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131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\\eqwpfs01.eliptik.local\fileserver\Department_Data\00-Share\141-BTCTURK _INT\"/>
    </mc:Choice>
  </mc:AlternateContent>
  <xr:revisionPtr revIDLastSave="0" documentId="13_ncr:1_{0CEA54CE-8994-46D1-AAC0-286BF3E94CFC}" xr6:coauthVersionLast="47" xr6:coauthVersionMax="47" xr10:uidLastSave="{00000000-0000-0000-0000-000000000000}"/>
  <bookViews>
    <workbookView xWindow="-28920" yWindow="855" windowWidth="29040" windowHeight="17520" tabRatio="729" activeTab="1" xr2:uid="{00000000-000D-0000-FFFF-FFFF00000000}"/>
  </bookViews>
  <sheets>
    <sheet name="Table 1" sheetId="47" r:id="rId1"/>
    <sheet name="TREASURY FILE" sheetId="4" r:id="rId2"/>
    <sheet name="TOPLAM month" sheetId="48" r:id="rId3"/>
    <sheet name="TOPLAM day" sheetId="49" r:id="rId4"/>
    <sheet name="SPECIFICATIONF" sheetId="29" r:id="rId5"/>
  </sheets>
  <definedNames>
    <definedName name="_xlnm._FilterDatabase" localSheetId="1" hidden="1">'TREASURY FILE'!$A$5:$I$3854</definedName>
    <definedName name="_xleta.MOD" hidden="1" xlm="1">#NAME?</definedName>
    <definedName name="_xleta.SUMIFS" hidden="1" xlm="1">#NAME?</definedName>
    <definedName name="ExternalData_1" localSheetId="0" hidden="1">'Table 1'!$A$1:$C$12</definedName>
    <definedName name="_xlnm.Print_Area" localSheetId="1">'TREASURY FILE'!$B$5:$F$5</definedName>
    <definedName name="_xlnm.Print_Titles" localSheetId="1">'TREASURY FILE'!$1:$5</definedName>
    <definedName name="solver_eng" localSheetId="1" hidden="1">1</definedName>
    <definedName name="solver_neg" localSheetId="1" hidden="1">1</definedName>
    <definedName name="solver_num" localSheetId="1" hidden="1">0</definedName>
    <definedName name="solver_opt" localSheetId="1" hidden="1">'TREASURY FILE'!#REF!</definedName>
    <definedName name="solver_typ" localSheetId="1" hidden="1">1</definedName>
    <definedName name="solver_val" localSheetId="1" hidden="1">0</definedName>
    <definedName name="solver_ver" localSheetId="1" hidden="1">3</definedName>
    <definedName name="YAPI">'TREASURY FILE'!#REF!</definedName>
    <definedName name="Z_5D8D7F1A_A109_4F6C_9307_9E510219E5CE_.wvu.Cols" localSheetId="1" hidden="1">'TREASURY FILE'!#REF!</definedName>
    <definedName name="Z_5D8D7F1A_A109_4F6C_9307_9E510219E5CE_.wvu.FilterData" localSheetId="1" hidden="1">'TREASURY FILE'!#REF!</definedName>
    <definedName name="Z_5D8D7F1A_A109_4F6C_9307_9E510219E5CE_.wvu.PrintArea" localSheetId="1" hidden="1">'TREASURY FILE'!$B$5:$F$5</definedName>
    <definedName name="Z_5D8D7F1A_A109_4F6C_9307_9E510219E5CE_.wvu.PrintTitles" localSheetId="1" hidden="1">'TREASURY FILE'!$1:$5</definedName>
  </definedNames>
  <calcPr calcId="191029"/>
  <customWorkbookViews>
    <customWorkbookView name="DENIZBANK - Personal View" guid="{5D8D7F1A-A109-4F6C-9307-9E510219E5CE}" mergeInterval="0" personalView="1" maximized="1" windowWidth="796" windowHeight="420" tabRatio="826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25" i="48" l="1"/>
  <c r="K25" i="48"/>
  <c r="I3636" i="4" l="1"/>
  <c r="H3636" i="4"/>
  <c r="I3635" i="4"/>
  <c r="H3635" i="4"/>
  <c r="I3630" i="4"/>
  <c r="H3630" i="4"/>
  <c r="I3629" i="4"/>
  <c r="H3629" i="4"/>
  <c r="I3624" i="4"/>
  <c r="H3624" i="4"/>
  <c r="I3623" i="4"/>
  <c r="H3623" i="4"/>
  <c r="I3618" i="4"/>
  <c r="H3618" i="4"/>
  <c r="I3617" i="4"/>
  <c r="H3617" i="4"/>
  <c r="I3612" i="4"/>
  <c r="H3612" i="4"/>
  <c r="I3611" i="4"/>
  <c r="H3611" i="4"/>
  <c r="I3606" i="4"/>
  <c r="H3606" i="4"/>
  <c r="I3605" i="4"/>
  <c r="H3605" i="4"/>
  <c r="I3600" i="4" l="1"/>
  <c r="H3600" i="4"/>
  <c r="I3599" i="4"/>
  <c r="H3599" i="4"/>
  <c r="I3594" i="4"/>
  <c r="H3594" i="4"/>
  <c r="I3593" i="4"/>
  <c r="H3593" i="4"/>
  <c r="I3588" i="4"/>
  <c r="H3588" i="4"/>
  <c r="I3587" i="4"/>
  <c r="H3587" i="4"/>
  <c r="I3582" i="4"/>
  <c r="H3582" i="4"/>
  <c r="I3581" i="4"/>
  <c r="H3581" i="4"/>
  <c r="I3576" i="4"/>
  <c r="H3576" i="4"/>
  <c r="I3575" i="4"/>
  <c r="H3575" i="4"/>
  <c r="I3570" i="4"/>
  <c r="H3570" i="4"/>
  <c r="I3569" i="4"/>
  <c r="H3569" i="4"/>
  <c r="I3564" i="4"/>
  <c r="H3564" i="4"/>
  <c r="I3563" i="4"/>
  <c r="H3563" i="4"/>
  <c r="I3558" i="4" l="1"/>
  <c r="H3558" i="4"/>
  <c r="I3557" i="4"/>
  <c r="H3557" i="4"/>
  <c r="I3552" i="4"/>
  <c r="H3552" i="4"/>
  <c r="I3551" i="4"/>
  <c r="H3551" i="4"/>
  <c r="I3546" i="4"/>
  <c r="H3546" i="4"/>
  <c r="I3545" i="4"/>
  <c r="H3545" i="4"/>
  <c r="I3540" i="4"/>
  <c r="H3540" i="4"/>
  <c r="I3539" i="4"/>
  <c r="H3539" i="4"/>
  <c r="R24" i="48"/>
  <c r="Q24" i="48"/>
  <c r="I3534" i="4" l="1"/>
  <c r="H3534" i="4"/>
  <c r="I3533" i="4"/>
  <c r="H3533" i="4"/>
  <c r="I3528" i="4"/>
  <c r="H3528" i="4"/>
  <c r="I3527" i="4"/>
  <c r="H3527" i="4"/>
  <c r="L24" i="48"/>
  <c r="K24" i="48"/>
  <c r="I3522" i="4" l="1"/>
  <c r="H3522" i="4"/>
  <c r="I3521" i="4"/>
  <c r="H3521" i="4"/>
  <c r="I3516" i="4"/>
  <c r="H3516" i="4"/>
  <c r="I3515" i="4"/>
  <c r="H3515" i="4"/>
  <c r="I3510" i="4"/>
  <c r="H3510" i="4"/>
  <c r="I3509" i="4"/>
  <c r="H3509" i="4"/>
  <c r="I3504" i="4"/>
  <c r="H3504" i="4"/>
  <c r="I3503" i="4"/>
  <c r="H3503" i="4"/>
  <c r="I3498" i="4"/>
  <c r="H3498" i="4"/>
  <c r="I3497" i="4"/>
  <c r="H3497" i="4"/>
  <c r="I3492" i="4"/>
  <c r="H3492" i="4"/>
  <c r="I3491" i="4"/>
  <c r="H3491" i="4"/>
  <c r="I3486" i="4"/>
  <c r="H3486" i="4"/>
  <c r="I3485" i="4"/>
  <c r="H3485" i="4"/>
  <c r="I3480" i="4"/>
  <c r="H3480" i="4"/>
  <c r="I3479" i="4"/>
  <c r="H3479" i="4"/>
  <c r="I3474" i="4"/>
  <c r="H3474" i="4"/>
  <c r="I3473" i="4"/>
  <c r="H3473" i="4"/>
  <c r="I3468" i="4"/>
  <c r="H3468" i="4"/>
  <c r="I3467" i="4"/>
  <c r="H3467" i="4"/>
  <c r="I3462" i="4"/>
  <c r="H3462" i="4"/>
  <c r="I3461" i="4"/>
  <c r="H3461" i="4"/>
  <c r="I3456" i="4"/>
  <c r="H3456" i="4"/>
  <c r="I3455" i="4"/>
  <c r="H3455" i="4"/>
  <c r="I3450" i="4"/>
  <c r="H3450" i="4"/>
  <c r="I3449" i="4"/>
  <c r="H3449" i="4"/>
  <c r="I3444" i="4"/>
  <c r="H3444" i="4"/>
  <c r="I3443" i="4"/>
  <c r="H3443" i="4"/>
  <c r="I3438" i="4"/>
  <c r="H3438" i="4"/>
  <c r="I3437" i="4"/>
  <c r="H3437" i="4"/>
  <c r="I3432" i="4"/>
  <c r="H3432" i="4"/>
  <c r="I3431" i="4"/>
  <c r="H3431" i="4"/>
  <c r="I3426" i="4"/>
  <c r="H3426" i="4"/>
  <c r="I3425" i="4"/>
  <c r="H3425" i="4"/>
  <c r="I3420" i="4"/>
  <c r="H3420" i="4"/>
  <c r="I3419" i="4"/>
  <c r="H3419" i="4"/>
  <c r="I3414" i="4"/>
  <c r="H3414" i="4"/>
  <c r="I3413" i="4"/>
  <c r="H3413" i="4"/>
  <c r="I3408" i="4"/>
  <c r="H3408" i="4"/>
  <c r="I3407" i="4"/>
  <c r="H3407" i="4"/>
  <c r="I3402" i="4"/>
  <c r="H3402" i="4"/>
  <c r="I3401" i="4"/>
  <c r="H3401" i="4"/>
  <c r="F3336" i="4"/>
  <c r="I3398" i="4"/>
  <c r="H3398" i="4"/>
  <c r="G3398" i="4"/>
  <c r="I3397" i="4"/>
  <c r="H3397" i="4"/>
  <c r="G3397" i="4"/>
  <c r="I3396" i="4"/>
  <c r="H3396" i="4"/>
  <c r="G3396" i="4"/>
  <c r="I3395" i="4"/>
  <c r="H3395" i="4"/>
  <c r="G3395" i="4"/>
  <c r="I3394" i="4"/>
  <c r="H3394" i="4"/>
  <c r="I3393" i="4"/>
  <c r="H3393" i="4"/>
  <c r="I3392" i="4"/>
  <c r="H3392" i="4"/>
  <c r="G3392" i="4"/>
  <c r="I3391" i="4"/>
  <c r="H3391" i="4"/>
  <c r="G3391" i="4"/>
  <c r="I3390" i="4"/>
  <c r="H3390" i="4"/>
  <c r="G3390" i="4"/>
  <c r="I3389" i="4"/>
  <c r="H3389" i="4"/>
  <c r="G3389" i="4"/>
  <c r="I3388" i="4"/>
  <c r="H3388" i="4"/>
  <c r="G3388" i="4"/>
  <c r="I3387" i="4"/>
  <c r="H3387" i="4"/>
  <c r="G3387" i="4"/>
  <c r="I3386" i="4"/>
  <c r="H3386" i="4"/>
  <c r="I3385" i="4"/>
  <c r="H3385" i="4"/>
  <c r="I3384" i="4"/>
  <c r="H3384" i="4"/>
  <c r="G3384" i="4"/>
  <c r="I3383" i="4"/>
  <c r="H3383" i="4"/>
  <c r="G3383" i="4"/>
  <c r="I3382" i="4"/>
  <c r="H3382" i="4"/>
  <c r="G3382" i="4"/>
  <c r="I3381" i="4"/>
  <c r="H3381" i="4"/>
  <c r="G3381" i="4"/>
  <c r="I3380" i="4"/>
  <c r="H3380" i="4"/>
  <c r="G3380" i="4"/>
  <c r="I3379" i="4"/>
  <c r="H3379" i="4"/>
  <c r="G3379" i="4"/>
  <c r="I3378" i="4"/>
  <c r="H3378" i="4"/>
  <c r="I3377" i="4"/>
  <c r="H3377" i="4"/>
  <c r="I3376" i="4"/>
  <c r="H3376" i="4"/>
  <c r="G3376" i="4"/>
  <c r="I3375" i="4"/>
  <c r="H3375" i="4"/>
  <c r="G3375" i="4"/>
  <c r="I3374" i="4"/>
  <c r="H3374" i="4"/>
  <c r="G3374" i="4"/>
  <c r="I3373" i="4"/>
  <c r="H3373" i="4"/>
  <c r="G3373" i="4"/>
  <c r="I3372" i="4"/>
  <c r="H3372" i="4"/>
  <c r="G3372" i="4"/>
  <c r="I3371" i="4"/>
  <c r="H3371" i="4"/>
  <c r="G3371" i="4"/>
  <c r="I3370" i="4"/>
  <c r="H3370" i="4"/>
  <c r="I3369" i="4"/>
  <c r="H3369" i="4"/>
  <c r="I3368" i="4"/>
  <c r="H3368" i="4"/>
  <c r="G3368" i="4"/>
  <c r="I3367" i="4"/>
  <c r="H3367" i="4"/>
  <c r="G3367" i="4"/>
  <c r="I3366" i="4"/>
  <c r="H3366" i="4"/>
  <c r="G3366" i="4"/>
  <c r="I3365" i="4"/>
  <c r="H3365" i="4"/>
  <c r="G3365" i="4"/>
  <c r="I3364" i="4"/>
  <c r="H3364" i="4"/>
  <c r="G3364" i="4"/>
  <c r="I3363" i="4"/>
  <c r="H3363" i="4"/>
  <c r="G3363" i="4"/>
  <c r="I3362" i="4"/>
  <c r="H3362" i="4"/>
  <c r="I3361" i="4"/>
  <c r="H3361" i="4"/>
  <c r="I3360" i="4"/>
  <c r="H3360" i="4"/>
  <c r="G3360" i="4"/>
  <c r="F3360" i="4"/>
  <c r="I3359" i="4"/>
  <c r="H3359" i="4"/>
  <c r="G3359" i="4"/>
  <c r="F3352" i="4"/>
  <c r="I3358" i="4"/>
  <c r="H3358" i="4"/>
  <c r="G3358" i="4"/>
  <c r="F3358" i="4"/>
  <c r="I3357" i="4"/>
  <c r="H3357" i="4"/>
  <c r="G3357" i="4"/>
  <c r="I3356" i="4"/>
  <c r="H3356" i="4"/>
  <c r="G3356" i="4"/>
  <c r="F3356" i="4"/>
  <c r="I3355" i="4"/>
  <c r="H3355" i="4"/>
  <c r="G3355" i="4"/>
  <c r="I3354" i="4"/>
  <c r="H3354" i="4"/>
  <c r="I3353" i="4"/>
  <c r="H3353" i="4"/>
  <c r="I3352" i="4"/>
  <c r="H3352" i="4"/>
  <c r="G3352" i="4"/>
  <c r="I3351" i="4"/>
  <c r="H3351" i="4"/>
  <c r="G3351" i="4"/>
  <c r="I3350" i="4"/>
  <c r="H3350" i="4"/>
  <c r="G3350" i="4"/>
  <c r="F3350" i="4"/>
  <c r="I3349" i="4"/>
  <c r="H3349" i="4"/>
  <c r="G3349" i="4"/>
  <c r="I3348" i="4"/>
  <c r="H3348" i="4"/>
  <c r="G3348" i="4"/>
  <c r="F3348" i="4"/>
  <c r="I3347" i="4"/>
  <c r="H3347" i="4"/>
  <c r="G3347" i="4"/>
  <c r="I3346" i="4"/>
  <c r="H3346" i="4"/>
  <c r="I3345" i="4"/>
  <c r="H3345" i="4"/>
  <c r="I3344" i="4"/>
  <c r="H3344" i="4"/>
  <c r="G3344" i="4"/>
  <c r="F3344" i="4"/>
  <c r="I3343" i="4"/>
  <c r="H3343" i="4"/>
  <c r="G3343" i="4"/>
  <c r="I3342" i="4"/>
  <c r="H3342" i="4"/>
  <c r="G3342" i="4"/>
  <c r="F3342" i="4"/>
  <c r="I3341" i="4"/>
  <c r="H3341" i="4"/>
  <c r="G3341" i="4"/>
  <c r="I3340" i="4"/>
  <c r="H3340" i="4"/>
  <c r="G3340" i="4"/>
  <c r="F3340" i="4"/>
  <c r="I3339" i="4"/>
  <c r="H3339" i="4"/>
  <c r="G3339" i="4"/>
  <c r="I3338" i="4"/>
  <c r="H3338" i="4"/>
  <c r="I3337" i="4"/>
  <c r="H3337" i="4"/>
  <c r="I3336" i="4"/>
  <c r="H3336" i="4"/>
  <c r="G3336" i="4"/>
  <c r="I3335" i="4"/>
  <c r="H3335" i="4"/>
  <c r="G3335" i="4"/>
  <c r="I3334" i="4"/>
  <c r="H3334" i="4"/>
  <c r="G3334" i="4"/>
  <c r="F3334" i="4"/>
  <c r="I3333" i="4"/>
  <c r="H3333" i="4"/>
  <c r="G3333" i="4"/>
  <c r="I3332" i="4"/>
  <c r="H3332" i="4"/>
  <c r="G3332" i="4"/>
  <c r="F3332" i="4"/>
  <c r="I3331" i="4"/>
  <c r="H3331" i="4"/>
  <c r="G3331" i="4"/>
  <c r="I3330" i="4"/>
  <c r="H3330" i="4"/>
  <c r="I3329" i="4"/>
  <c r="H3329" i="4"/>
  <c r="I3328" i="4"/>
  <c r="H3328" i="4"/>
  <c r="G3328" i="4"/>
  <c r="F3328" i="4"/>
  <c r="I3327" i="4"/>
  <c r="H3327" i="4"/>
  <c r="G3327" i="4"/>
  <c r="I3326" i="4"/>
  <c r="H3326" i="4"/>
  <c r="G3326" i="4"/>
  <c r="F3326" i="4"/>
  <c r="I3325" i="4"/>
  <c r="H3325" i="4"/>
  <c r="G3325" i="4"/>
  <c r="I3324" i="4"/>
  <c r="H3324" i="4"/>
  <c r="G3324" i="4"/>
  <c r="F3324" i="4"/>
  <c r="I3323" i="4"/>
  <c r="H3323" i="4"/>
  <c r="G3323" i="4"/>
  <c r="I3322" i="4"/>
  <c r="H3322" i="4"/>
  <c r="I3321" i="4"/>
  <c r="H3321" i="4"/>
  <c r="I3320" i="4"/>
  <c r="H3320" i="4"/>
  <c r="G3320" i="4"/>
  <c r="F3320" i="4"/>
  <c r="I3319" i="4"/>
  <c r="H3319" i="4"/>
  <c r="G3319" i="4"/>
  <c r="I3318" i="4" l="1"/>
  <c r="H3318" i="4"/>
  <c r="G3318" i="4"/>
  <c r="F3318" i="4"/>
  <c r="I3317" i="4"/>
  <c r="H3317" i="4"/>
  <c r="G3317" i="4"/>
  <c r="I3316" i="4"/>
  <c r="H3316" i="4"/>
  <c r="G3316" i="4"/>
  <c r="F3316" i="4"/>
  <c r="I3315" i="4"/>
  <c r="H3315" i="4"/>
  <c r="G3315" i="4"/>
  <c r="I3314" i="4"/>
  <c r="H3314" i="4"/>
  <c r="I3313" i="4"/>
  <c r="H3313" i="4"/>
  <c r="I3312" i="4"/>
  <c r="H3312" i="4"/>
  <c r="G3312" i="4"/>
  <c r="F3312" i="4"/>
  <c r="I3311" i="4"/>
  <c r="H3311" i="4"/>
  <c r="G3311" i="4"/>
  <c r="I3310" i="4" l="1"/>
  <c r="H3310" i="4"/>
  <c r="G3310" i="4"/>
  <c r="F3310" i="4"/>
  <c r="I3309" i="4"/>
  <c r="H3309" i="4"/>
  <c r="G3309" i="4"/>
  <c r="I3308" i="4"/>
  <c r="H3308" i="4"/>
  <c r="G3308" i="4"/>
  <c r="F3308" i="4"/>
  <c r="I3307" i="4"/>
  <c r="H3307" i="4"/>
  <c r="G3307" i="4"/>
  <c r="I3306" i="4"/>
  <c r="H3306" i="4"/>
  <c r="I3305" i="4"/>
  <c r="H3305" i="4"/>
  <c r="I3304" i="4"/>
  <c r="H3304" i="4"/>
  <c r="G3304" i="4"/>
  <c r="F3304" i="4"/>
  <c r="I3303" i="4"/>
  <c r="H3303" i="4"/>
  <c r="G3303" i="4"/>
  <c r="I3302" i="4" l="1"/>
  <c r="H3302" i="4"/>
  <c r="G3302" i="4"/>
  <c r="F3302" i="4"/>
  <c r="I3301" i="4"/>
  <c r="H3301" i="4"/>
  <c r="G3301" i="4"/>
  <c r="I3300" i="4"/>
  <c r="H3300" i="4"/>
  <c r="G3300" i="4"/>
  <c r="F3300" i="4"/>
  <c r="I3299" i="4"/>
  <c r="H3299" i="4"/>
  <c r="G3299" i="4"/>
  <c r="I3298" i="4"/>
  <c r="H3298" i="4"/>
  <c r="I3297" i="4"/>
  <c r="H3297" i="4"/>
  <c r="I3296" i="4"/>
  <c r="H3296" i="4"/>
  <c r="G3296" i="4"/>
  <c r="F3296" i="4"/>
  <c r="I3295" i="4"/>
  <c r="H3295" i="4"/>
  <c r="G3295" i="4"/>
  <c r="L23" i="48"/>
  <c r="K23" i="48"/>
  <c r="I3294" i="4"/>
  <c r="H3294" i="4"/>
  <c r="G3294" i="4"/>
  <c r="F3294" i="4"/>
  <c r="I3293" i="4"/>
  <c r="H3293" i="4"/>
  <c r="G3293" i="4"/>
  <c r="I3292" i="4"/>
  <c r="H3292" i="4"/>
  <c r="G3292" i="4"/>
  <c r="F3292" i="4"/>
  <c r="I3291" i="4"/>
  <c r="H3291" i="4"/>
  <c r="G3291" i="4"/>
  <c r="I3290" i="4"/>
  <c r="H3290" i="4"/>
  <c r="I3289" i="4"/>
  <c r="H3289" i="4"/>
  <c r="I3288" i="4"/>
  <c r="H3288" i="4"/>
  <c r="G3288" i="4"/>
  <c r="F3288" i="4"/>
  <c r="I3287" i="4"/>
  <c r="H3287" i="4"/>
  <c r="G3287" i="4"/>
  <c r="I3286" i="4"/>
  <c r="H3286" i="4"/>
  <c r="G3286" i="4"/>
  <c r="F3286" i="4"/>
  <c r="I3285" i="4"/>
  <c r="H3285" i="4"/>
  <c r="G3285" i="4"/>
  <c r="I3284" i="4"/>
  <c r="H3284" i="4"/>
  <c r="G3284" i="4"/>
  <c r="F3284" i="4"/>
  <c r="I3283" i="4"/>
  <c r="H3283" i="4"/>
  <c r="G3283" i="4"/>
  <c r="I3282" i="4"/>
  <c r="H3282" i="4"/>
  <c r="I3281" i="4"/>
  <c r="H3281" i="4"/>
  <c r="I3280" i="4"/>
  <c r="H3280" i="4"/>
  <c r="G3280" i="4"/>
  <c r="F3280" i="4"/>
  <c r="I3279" i="4"/>
  <c r="H3279" i="4"/>
  <c r="G3279" i="4"/>
  <c r="I3278" i="4"/>
  <c r="H3278" i="4"/>
  <c r="G3278" i="4"/>
  <c r="F3278" i="4"/>
  <c r="I3277" i="4"/>
  <c r="H3277" i="4"/>
  <c r="G3277" i="4"/>
  <c r="I3276" i="4"/>
  <c r="H3276" i="4"/>
  <c r="G3276" i="4"/>
  <c r="F3276" i="4"/>
  <c r="I3275" i="4"/>
  <c r="H3275" i="4"/>
  <c r="G3275" i="4"/>
  <c r="I3274" i="4"/>
  <c r="H3274" i="4"/>
  <c r="I3273" i="4"/>
  <c r="H3273" i="4"/>
  <c r="I3272" i="4"/>
  <c r="H3272" i="4"/>
  <c r="G3272" i="4"/>
  <c r="F3272" i="4"/>
  <c r="I3271" i="4"/>
  <c r="H3271" i="4"/>
  <c r="G3271" i="4"/>
  <c r="I3270" i="4"/>
  <c r="H3270" i="4"/>
  <c r="G3270" i="4"/>
  <c r="F3270" i="4"/>
  <c r="I3269" i="4"/>
  <c r="H3269" i="4"/>
  <c r="G3269" i="4"/>
  <c r="I3268" i="4"/>
  <c r="H3268" i="4"/>
  <c r="G3268" i="4"/>
  <c r="F3268" i="4"/>
  <c r="I3267" i="4"/>
  <c r="H3267" i="4"/>
  <c r="G3267" i="4"/>
  <c r="I3266" i="4"/>
  <c r="H3266" i="4"/>
  <c r="I3265" i="4"/>
  <c r="H3265" i="4"/>
  <c r="I3264" i="4"/>
  <c r="H3264" i="4"/>
  <c r="G3264" i="4"/>
  <c r="F3264" i="4"/>
  <c r="I3263" i="4"/>
  <c r="H3263" i="4"/>
  <c r="G3263" i="4"/>
  <c r="I3262" i="4"/>
  <c r="H3262" i="4"/>
  <c r="G3262" i="4"/>
  <c r="F3262" i="4"/>
  <c r="I3261" i="4"/>
  <c r="H3261" i="4"/>
  <c r="G3261" i="4"/>
  <c r="I3260" i="4"/>
  <c r="H3260" i="4"/>
  <c r="G3260" i="4"/>
  <c r="F3260" i="4"/>
  <c r="I3259" i="4"/>
  <c r="H3259" i="4"/>
  <c r="G3259" i="4"/>
  <c r="I3258" i="4"/>
  <c r="H3258" i="4"/>
  <c r="I3257" i="4"/>
  <c r="H3257" i="4"/>
  <c r="I3256" i="4"/>
  <c r="H3256" i="4"/>
  <c r="G3256" i="4"/>
  <c r="F3256" i="4"/>
  <c r="I3255" i="4"/>
  <c r="H3255" i="4"/>
  <c r="G3255" i="4"/>
  <c r="I3254" i="4" l="1"/>
  <c r="H3254" i="4"/>
  <c r="G3254" i="4"/>
  <c r="F3254" i="4"/>
  <c r="I3253" i="4"/>
  <c r="H3253" i="4"/>
  <c r="G3253" i="4"/>
  <c r="I3252" i="4"/>
  <c r="H3252" i="4"/>
  <c r="G3252" i="4"/>
  <c r="F3252" i="4"/>
  <c r="I3251" i="4"/>
  <c r="H3251" i="4"/>
  <c r="G3251" i="4"/>
  <c r="I3250" i="4"/>
  <c r="H3250" i="4"/>
  <c r="I3249" i="4"/>
  <c r="H3249" i="4"/>
  <c r="I3248" i="4"/>
  <c r="H3248" i="4"/>
  <c r="G3248" i="4"/>
  <c r="F3248" i="4"/>
  <c r="I3247" i="4"/>
  <c r="H3247" i="4"/>
  <c r="G3247" i="4"/>
  <c r="I3246" i="4"/>
  <c r="H3246" i="4"/>
  <c r="G3246" i="4"/>
  <c r="F3246" i="4"/>
  <c r="I3245" i="4"/>
  <c r="H3245" i="4"/>
  <c r="G3245" i="4"/>
  <c r="I3244" i="4"/>
  <c r="H3244" i="4"/>
  <c r="G3244" i="4"/>
  <c r="F3244" i="4"/>
  <c r="I3243" i="4"/>
  <c r="H3243" i="4"/>
  <c r="G3243" i="4"/>
  <c r="I3242" i="4"/>
  <c r="H3242" i="4"/>
  <c r="I3241" i="4"/>
  <c r="H3241" i="4"/>
  <c r="I3240" i="4"/>
  <c r="H3240" i="4"/>
  <c r="G3240" i="4"/>
  <c r="F3240" i="4"/>
  <c r="I3239" i="4"/>
  <c r="H3239" i="4"/>
  <c r="G3239" i="4"/>
  <c r="I3238" i="4"/>
  <c r="H3238" i="4"/>
  <c r="G3238" i="4"/>
  <c r="F3238" i="4"/>
  <c r="I3237" i="4"/>
  <c r="H3237" i="4"/>
  <c r="G3237" i="4"/>
  <c r="I3236" i="4"/>
  <c r="H3236" i="4"/>
  <c r="G3236" i="4"/>
  <c r="F3236" i="4"/>
  <c r="I3235" i="4"/>
  <c r="H3235" i="4"/>
  <c r="G3235" i="4"/>
  <c r="I3234" i="4"/>
  <c r="H3234" i="4"/>
  <c r="I3233" i="4"/>
  <c r="H3233" i="4"/>
  <c r="I3232" i="4"/>
  <c r="H3232" i="4"/>
  <c r="G3232" i="4"/>
  <c r="F3232" i="4"/>
  <c r="I3231" i="4"/>
  <c r="H3231" i="4"/>
  <c r="G3231" i="4"/>
  <c r="I3230" i="4" l="1"/>
  <c r="H3230" i="4"/>
  <c r="G3230" i="4"/>
  <c r="F3230" i="4"/>
  <c r="I3229" i="4"/>
  <c r="H3229" i="4"/>
  <c r="G3229" i="4"/>
  <c r="I3228" i="4"/>
  <c r="H3228" i="4"/>
  <c r="G3228" i="4"/>
  <c r="F3228" i="4"/>
  <c r="I3227" i="4"/>
  <c r="H3227" i="4"/>
  <c r="G3227" i="4"/>
  <c r="I3226" i="4"/>
  <c r="H3226" i="4"/>
  <c r="I3225" i="4"/>
  <c r="H3225" i="4"/>
  <c r="I3224" i="4"/>
  <c r="H3224" i="4"/>
  <c r="G3224" i="4"/>
  <c r="F3224" i="4"/>
  <c r="I3223" i="4"/>
  <c r="H3223" i="4"/>
  <c r="G3223" i="4"/>
  <c r="I3222" i="4"/>
  <c r="H3222" i="4"/>
  <c r="G3222" i="4"/>
  <c r="F3222" i="4"/>
  <c r="I3221" i="4"/>
  <c r="H3221" i="4"/>
  <c r="G3221" i="4"/>
  <c r="I3220" i="4"/>
  <c r="H3220" i="4"/>
  <c r="G3220" i="4"/>
  <c r="F3220" i="4"/>
  <c r="I3219" i="4"/>
  <c r="H3219" i="4"/>
  <c r="G3219" i="4"/>
  <c r="I3218" i="4"/>
  <c r="H3218" i="4"/>
  <c r="I3217" i="4"/>
  <c r="H3217" i="4"/>
  <c r="I3216" i="4"/>
  <c r="H3216" i="4"/>
  <c r="G3216" i="4"/>
  <c r="F3216" i="4"/>
  <c r="I3215" i="4"/>
  <c r="H3215" i="4"/>
  <c r="G3215" i="4"/>
  <c r="I3214" i="4"/>
  <c r="H3214" i="4"/>
  <c r="G3214" i="4"/>
  <c r="F3214" i="4"/>
  <c r="I3213" i="4"/>
  <c r="H3213" i="4"/>
  <c r="G3213" i="4"/>
  <c r="I3212" i="4"/>
  <c r="H3212" i="4"/>
  <c r="G3212" i="4"/>
  <c r="F3212" i="4"/>
  <c r="I3211" i="4"/>
  <c r="H3211" i="4"/>
  <c r="G3211" i="4"/>
  <c r="I3210" i="4"/>
  <c r="H3210" i="4"/>
  <c r="I3209" i="4"/>
  <c r="H3209" i="4"/>
  <c r="I3208" i="4"/>
  <c r="H3208" i="4"/>
  <c r="G3208" i="4"/>
  <c r="F3208" i="4"/>
  <c r="I3207" i="4"/>
  <c r="H3207" i="4"/>
  <c r="G3207" i="4"/>
  <c r="I3206" i="4"/>
  <c r="H3206" i="4"/>
  <c r="G3206" i="4"/>
  <c r="F3206" i="4"/>
  <c r="I3205" i="4"/>
  <c r="H3205" i="4"/>
  <c r="G3205" i="4"/>
  <c r="I3204" i="4"/>
  <c r="H3204" i="4"/>
  <c r="G3204" i="4"/>
  <c r="F3204" i="4"/>
  <c r="I3203" i="4"/>
  <c r="H3203" i="4"/>
  <c r="G3203" i="4"/>
  <c r="I3202" i="4"/>
  <c r="H3202" i="4"/>
  <c r="I3201" i="4"/>
  <c r="H3201" i="4"/>
  <c r="I3200" i="4"/>
  <c r="H3200" i="4"/>
  <c r="G3200" i="4"/>
  <c r="F3200" i="4"/>
  <c r="I3199" i="4"/>
  <c r="H3199" i="4"/>
  <c r="G3199" i="4"/>
  <c r="I3198" i="4"/>
  <c r="H3198" i="4"/>
  <c r="G3198" i="4"/>
  <c r="F3198" i="4"/>
  <c r="I3197" i="4"/>
  <c r="H3197" i="4"/>
  <c r="G3197" i="4"/>
  <c r="I3196" i="4"/>
  <c r="H3196" i="4"/>
  <c r="G3196" i="4"/>
  <c r="F3196" i="4"/>
  <c r="I3195" i="4"/>
  <c r="H3195" i="4"/>
  <c r="G3195" i="4"/>
  <c r="I3194" i="4"/>
  <c r="H3194" i="4"/>
  <c r="I3193" i="4"/>
  <c r="H3193" i="4"/>
  <c r="I3192" i="4"/>
  <c r="H3192" i="4"/>
  <c r="G3192" i="4"/>
  <c r="F3192" i="4"/>
  <c r="I3191" i="4"/>
  <c r="H3191" i="4"/>
  <c r="G3191" i="4"/>
  <c r="I3188" i="4"/>
  <c r="H3188" i="4"/>
  <c r="G3188" i="4"/>
  <c r="F3188" i="4"/>
  <c r="I3187" i="4"/>
  <c r="H3187" i="4"/>
  <c r="G3187" i="4"/>
  <c r="I3184" i="4"/>
  <c r="H3184" i="4"/>
  <c r="G3184" i="4"/>
  <c r="F3184" i="4"/>
  <c r="I3183" i="4"/>
  <c r="H3183" i="4"/>
  <c r="G3183" i="4"/>
  <c r="I3190" i="4"/>
  <c r="H3190" i="4"/>
  <c r="G3190" i="4"/>
  <c r="I3189" i="4"/>
  <c r="H3189" i="4"/>
  <c r="G3189" i="4"/>
  <c r="I3186" i="4"/>
  <c r="H3186" i="4"/>
  <c r="I3185" i="4"/>
  <c r="H3185" i="4"/>
  <c r="I3182" i="4"/>
  <c r="H3182" i="4"/>
  <c r="G3182" i="4"/>
  <c r="F3182" i="4"/>
  <c r="I3181" i="4"/>
  <c r="H3181" i="4"/>
  <c r="G3181" i="4"/>
  <c r="I3180" i="4"/>
  <c r="H3180" i="4"/>
  <c r="G3180" i="4"/>
  <c r="F3180" i="4"/>
  <c r="I3179" i="4"/>
  <c r="H3179" i="4"/>
  <c r="G3179" i="4"/>
  <c r="I3178" i="4"/>
  <c r="H3178" i="4"/>
  <c r="G3178" i="4"/>
  <c r="F3178" i="4"/>
  <c r="I3177" i="4"/>
  <c r="H3177" i="4"/>
  <c r="G3177" i="4"/>
  <c r="I3176" i="4"/>
  <c r="H3176" i="4"/>
  <c r="G3176" i="4"/>
  <c r="F3176" i="4"/>
  <c r="I3175" i="4"/>
  <c r="H3175" i="4"/>
  <c r="G3175" i="4"/>
  <c r="I3174" i="4" l="1"/>
  <c r="H3174" i="4"/>
  <c r="G3174" i="4"/>
  <c r="F3174" i="4"/>
  <c r="I3173" i="4"/>
  <c r="H3173" i="4"/>
  <c r="G3173" i="4"/>
  <c r="I3172" i="4"/>
  <c r="H3172" i="4"/>
  <c r="G3172" i="4"/>
  <c r="F3172" i="4"/>
  <c r="I3171" i="4"/>
  <c r="H3171" i="4"/>
  <c r="G3171" i="4"/>
  <c r="I3170" i="4"/>
  <c r="H3170" i="4"/>
  <c r="G3170" i="4"/>
  <c r="F3170" i="4"/>
  <c r="I3169" i="4"/>
  <c r="H3169" i="4"/>
  <c r="G3169" i="4"/>
  <c r="I3168" i="4"/>
  <c r="H3168" i="4"/>
  <c r="G3168" i="4"/>
  <c r="F3168" i="4"/>
  <c r="I3167" i="4"/>
  <c r="H3167" i="4"/>
  <c r="G3167" i="4"/>
  <c r="I3166" i="4"/>
  <c r="H3166" i="4"/>
  <c r="G3166" i="4"/>
  <c r="F3166" i="4"/>
  <c r="I3165" i="4"/>
  <c r="H3165" i="4"/>
  <c r="G3165" i="4"/>
  <c r="I3164" i="4"/>
  <c r="H3164" i="4"/>
  <c r="G3164" i="4"/>
  <c r="F3164" i="4"/>
  <c r="I3163" i="4"/>
  <c r="H3163" i="4"/>
  <c r="G3163" i="4"/>
  <c r="I3162" i="4"/>
  <c r="H3162" i="4"/>
  <c r="G3162" i="4"/>
  <c r="F3162" i="4"/>
  <c r="I3161" i="4"/>
  <c r="H3161" i="4"/>
  <c r="G3161" i="4"/>
  <c r="I3160" i="4"/>
  <c r="H3160" i="4"/>
  <c r="G3160" i="4"/>
  <c r="F3160" i="4"/>
  <c r="I3159" i="4"/>
  <c r="H3159" i="4"/>
  <c r="G3159" i="4"/>
  <c r="I3158" i="4"/>
  <c r="H3158" i="4"/>
  <c r="G3158" i="4"/>
  <c r="F3158" i="4"/>
  <c r="I3157" i="4"/>
  <c r="H3157" i="4"/>
  <c r="G3157" i="4"/>
  <c r="I3156" i="4"/>
  <c r="H3156" i="4"/>
  <c r="G3156" i="4"/>
  <c r="F3156" i="4"/>
  <c r="I3155" i="4"/>
  <c r="H3155" i="4"/>
  <c r="G3155" i="4"/>
  <c r="I3154" i="4"/>
  <c r="H3154" i="4"/>
  <c r="G3154" i="4"/>
  <c r="F3154" i="4"/>
  <c r="I3153" i="4"/>
  <c r="H3153" i="4"/>
  <c r="G3153" i="4"/>
  <c r="I3152" i="4"/>
  <c r="H3152" i="4"/>
  <c r="G3152" i="4"/>
  <c r="F3152" i="4"/>
  <c r="I3151" i="4"/>
  <c r="H3151" i="4"/>
  <c r="G3151" i="4"/>
  <c r="I3150" i="4"/>
  <c r="H3150" i="4"/>
  <c r="G3150" i="4"/>
  <c r="F3150" i="4"/>
  <c r="I3149" i="4"/>
  <c r="H3149" i="4"/>
  <c r="G3149" i="4"/>
  <c r="I3148" i="4"/>
  <c r="H3148" i="4"/>
  <c r="G3148" i="4"/>
  <c r="F3148" i="4"/>
  <c r="I3147" i="4"/>
  <c r="H3147" i="4"/>
  <c r="G3147" i="4"/>
  <c r="I3146" i="4"/>
  <c r="H3146" i="4"/>
  <c r="G3146" i="4"/>
  <c r="F3146" i="4"/>
  <c r="I3145" i="4"/>
  <c r="H3145" i="4"/>
  <c r="G3145" i="4"/>
  <c r="I3144" i="4"/>
  <c r="H3144" i="4"/>
  <c r="G3144" i="4"/>
  <c r="F3144" i="4"/>
  <c r="I3143" i="4"/>
  <c r="H3143" i="4"/>
  <c r="G3143" i="4"/>
  <c r="I3142" i="4"/>
  <c r="H3142" i="4"/>
  <c r="G3142" i="4"/>
  <c r="F3142" i="4"/>
  <c r="I3141" i="4"/>
  <c r="H3141" i="4"/>
  <c r="G3141" i="4"/>
  <c r="I3140" i="4"/>
  <c r="H3140" i="4"/>
  <c r="G3140" i="4"/>
  <c r="F3140" i="4"/>
  <c r="I3139" i="4"/>
  <c r="H3139" i="4"/>
  <c r="G3139" i="4"/>
  <c r="I3138" i="4"/>
  <c r="H3138" i="4"/>
  <c r="G3138" i="4"/>
  <c r="F3138" i="4"/>
  <c r="I3137" i="4"/>
  <c r="H3137" i="4"/>
  <c r="G3137" i="4"/>
  <c r="I3136" i="4"/>
  <c r="H3136" i="4"/>
  <c r="G3136" i="4"/>
  <c r="F3136" i="4"/>
  <c r="I3135" i="4"/>
  <c r="H3135" i="4"/>
  <c r="G3135" i="4"/>
  <c r="I3134" i="4"/>
  <c r="H3134" i="4"/>
  <c r="G3134" i="4"/>
  <c r="F3134" i="4"/>
  <c r="I3133" i="4"/>
  <c r="H3133" i="4"/>
  <c r="G3133" i="4"/>
  <c r="I3132" i="4"/>
  <c r="H3132" i="4"/>
  <c r="G3132" i="4"/>
  <c r="F3132" i="4"/>
  <c r="I3131" i="4"/>
  <c r="H3131" i="4"/>
  <c r="G3131" i="4"/>
  <c r="I3130" i="4"/>
  <c r="H3130" i="4"/>
  <c r="G3130" i="4"/>
  <c r="F3130" i="4"/>
  <c r="I3129" i="4"/>
  <c r="H3129" i="4"/>
  <c r="G3129" i="4"/>
  <c r="I3128" i="4"/>
  <c r="H3128" i="4"/>
  <c r="G3128" i="4"/>
  <c r="F3128" i="4"/>
  <c r="I3127" i="4"/>
  <c r="H3127" i="4"/>
  <c r="G3127" i="4"/>
  <c r="I3126" i="4"/>
  <c r="H3126" i="4"/>
  <c r="G3126" i="4"/>
  <c r="F3126" i="4"/>
  <c r="I3125" i="4"/>
  <c r="H3125" i="4"/>
  <c r="G3125" i="4"/>
  <c r="I3124" i="4"/>
  <c r="H3124" i="4"/>
  <c r="G3124" i="4"/>
  <c r="F3124" i="4"/>
  <c r="I3123" i="4"/>
  <c r="H3123" i="4"/>
  <c r="G3123" i="4"/>
  <c r="I3122" i="4"/>
  <c r="H3122" i="4"/>
  <c r="G3122" i="4"/>
  <c r="F3122" i="4"/>
  <c r="I3121" i="4"/>
  <c r="H3121" i="4"/>
  <c r="G3121" i="4"/>
  <c r="I3120" i="4"/>
  <c r="H3120" i="4"/>
  <c r="G3120" i="4"/>
  <c r="F3120" i="4"/>
  <c r="I3119" i="4"/>
  <c r="H3119" i="4"/>
  <c r="G3119" i="4"/>
  <c r="I3118" i="4"/>
  <c r="H3118" i="4"/>
  <c r="G3118" i="4"/>
  <c r="F3118" i="4"/>
  <c r="I3117" i="4"/>
  <c r="H3117" i="4"/>
  <c r="G3117" i="4"/>
  <c r="I3116" i="4"/>
  <c r="H3116" i="4"/>
  <c r="G3116" i="4"/>
  <c r="F3116" i="4"/>
  <c r="I3115" i="4"/>
  <c r="H3115" i="4"/>
  <c r="G3115" i="4"/>
  <c r="I3114" i="4"/>
  <c r="H3114" i="4"/>
  <c r="G3114" i="4"/>
  <c r="F3114" i="4"/>
  <c r="I3113" i="4"/>
  <c r="H3113" i="4"/>
  <c r="G3113" i="4"/>
  <c r="I3112" i="4"/>
  <c r="H3112" i="4"/>
  <c r="G3112" i="4"/>
  <c r="F3112" i="4"/>
  <c r="I3111" i="4"/>
  <c r="H3111" i="4"/>
  <c r="G3111" i="4"/>
  <c r="I3110" i="4"/>
  <c r="H3110" i="4"/>
  <c r="G3110" i="4"/>
  <c r="F3110" i="4"/>
  <c r="I3109" i="4"/>
  <c r="H3109" i="4"/>
  <c r="G3109" i="4"/>
  <c r="I3108" i="4"/>
  <c r="H3108" i="4"/>
  <c r="G3108" i="4"/>
  <c r="F3108" i="4"/>
  <c r="I3107" i="4"/>
  <c r="H3107" i="4"/>
  <c r="G3107" i="4"/>
  <c r="I3106" i="4"/>
  <c r="H3106" i="4"/>
  <c r="G3106" i="4"/>
  <c r="F3106" i="4"/>
  <c r="I3105" i="4"/>
  <c r="H3105" i="4"/>
  <c r="G3105" i="4"/>
  <c r="I3104" i="4"/>
  <c r="H3104" i="4"/>
  <c r="G3104" i="4"/>
  <c r="F3104" i="4"/>
  <c r="I3103" i="4"/>
  <c r="H3103" i="4"/>
  <c r="G3103" i="4"/>
  <c r="I3102" i="4"/>
  <c r="H3102" i="4"/>
  <c r="G3102" i="4"/>
  <c r="F3102" i="4"/>
  <c r="I3101" i="4"/>
  <c r="H3101" i="4"/>
  <c r="G3101" i="4"/>
  <c r="I3100" i="4"/>
  <c r="H3100" i="4"/>
  <c r="G3100" i="4"/>
  <c r="F3100" i="4"/>
  <c r="I3099" i="4"/>
  <c r="H3099" i="4"/>
  <c r="G3099" i="4"/>
  <c r="I3098" i="4"/>
  <c r="H3098" i="4"/>
  <c r="G3098" i="4"/>
  <c r="F3098" i="4"/>
  <c r="I3097" i="4"/>
  <c r="H3097" i="4"/>
  <c r="G3097" i="4"/>
  <c r="I3096" i="4"/>
  <c r="H3096" i="4"/>
  <c r="G3096" i="4"/>
  <c r="F3096" i="4"/>
  <c r="I3095" i="4"/>
  <c r="H3095" i="4"/>
  <c r="G3095" i="4"/>
  <c r="I3094" i="4"/>
  <c r="H3094" i="4"/>
  <c r="G3094" i="4"/>
  <c r="F3094" i="4"/>
  <c r="I3093" i="4"/>
  <c r="H3093" i="4"/>
  <c r="G3093" i="4"/>
  <c r="I3092" i="4"/>
  <c r="H3092" i="4"/>
  <c r="G3092" i="4"/>
  <c r="F3092" i="4"/>
  <c r="I3091" i="4"/>
  <c r="H3091" i="4"/>
  <c r="G3091" i="4"/>
  <c r="I3090" i="4"/>
  <c r="H3090" i="4"/>
  <c r="G3090" i="4"/>
  <c r="F3090" i="4"/>
  <c r="I3089" i="4"/>
  <c r="H3089" i="4"/>
  <c r="G3089" i="4"/>
  <c r="I3088" i="4"/>
  <c r="H3088" i="4"/>
  <c r="G3088" i="4"/>
  <c r="F3088" i="4"/>
  <c r="I3087" i="4"/>
  <c r="H3087" i="4"/>
  <c r="G3087" i="4"/>
  <c r="I3086" i="4" l="1"/>
  <c r="H3086" i="4"/>
  <c r="G3086" i="4"/>
  <c r="F3086" i="4"/>
  <c r="I3085" i="4"/>
  <c r="H3085" i="4"/>
  <c r="G3085" i="4"/>
  <c r="I3084" i="4"/>
  <c r="H3084" i="4"/>
  <c r="G3084" i="4"/>
  <c r="F3084" i="4"/>
  <c r="I3083" i="4"/>
  <c r="H3083" i="4"/>
  <c r="G3083" i="4"/>
  <c r="I3082" i="4"/>
  <c r="H3082" i="4"/>
  <c r="G3082" i="4"/>
  <c r="F3082" i="4"/>
  <c r="I3081" i="4"/>
  <c r="H3081" i="4"/>
  <c r="G3081" i="4"/>
  <c r="I3080" i="4"/>
  <c r="H3080" i="4"/>
  <c r="G3080" i="4"/>
  <c r="F3080" i="4"/>
  <c r="I3079" i="4"/>
  <c r="H3079" i="4"/>
  <c r="G3079" i="4"/>
  <c r="I3078" i="4"/>
  <c r="H3078" i="4"/>
  <c r="G3078" i="4"/>
  <c r="F3078" i="4"/>
  <c r="I3077" i="4"/>
  <c r="H3077" i="4"/>
  <c r="G3077" i="4"/>
  <c r="I3076" i="4"/>
  <c r="H3076" i="4"/>
  <c r="G3076" i="4"/>
  <c r="F3076" i="4"/>
  <c r="I3075" i="4"/>
  <c r="H3075" i="4"/>
  <c r="G3075" i="4"/>
  <c r="I3074" i="4"/>
  <c r="H3074" i="4"/>
  <c r="G3074" i="4"/>
  <c r="F3074" i="4"/>
  <c r="I3073" i="4"/>
  <c r="H3073" i="4"/>
  <c r="G3073" i="4"/>
  <c r="I3072" i="4"/>
  <c r="H3072" i="4"/>
  <c r="G3072" i="4"/>
  <c r="F3072" i="4"/>
  <c r="I3071" i="4"/>
  <c r="H3071" i="4"/>
  <c r="G3071" i="4"/>
  <c r="I3070" i="4"/>
  <c r="H3070" i="4"/>
  <c r="G3070" i="4"/>
  <c r="F3070" i="4"/>
  <c r="I3069" i="4"/>
  <c r="H3069" i="4"/>
  <c r="G3069" i="4"/>
  <c r="I3068" i="4"/>
  <c r="H3068" i="4"/>
  <c r="G3068" i="4"/>
  <c r="F3068" i="4"/>
  <c r="I3067" i="4"/>
  <c r="H3067" i="4"/>
  <c r="G3067" i="4"/>
  <c r="I3066" i="4"/>
  <c r="H3066" i="4"/>
  <c r="G3066" i="4"/>
  <c r="F3066" i="4"/>
  <c r="I3065" i="4"/>
  <c r="H3065" i="4"/>
  <c r="G3065" i="4"/>
  <c r="I3064" i="4"/>
  <c r="H3064" i="4"/>
  <c r="G3064" i="4"/>
  <c r="F3064" i="4"/>
  <c r="I3063" i="4"/>
  <c r="H3063" i="4"/>
  <c r="G3063" i="4"/>
  <c r="I3062" i="4"/>
  <c r="H3062" i="4"/>
  <c r="G3062" i="4"/>
  <c r="F3062" i="4"/>
  <c r="I3061" i="4"/>
  <c r="H3061" i="4"/>
  <c r="G3061" i="4"/>
  <c r="I3060" i="4"/>
  <c r="H3060" i="4"/>
  <c r="G3060" i="4"/>
  <c r="F3060" i="4"/>
  <c r="I3059" i="4"/>
  <c r="H3059" i="4"/>
  <c r="G3059" i="4"/>
  <c r="I3058" i="4"/>
  <c r="H3058" i="4"/>
  <c r="G3058" i="4"/>
  <c r="F3058" i="4"/>
  <c r="I3057" i="4"/>
  <c r="H3057" i="4"/>
  <c r="G3057" i="4"/>
  <c r="I3056" i="4"/>
  <c r="H3056" i="4"/>
  <c r="G3056" i="4"/>
  <c r="F3056" i="4"/>
  <c r="I3055" i="4"/>
  <c r="H3055" i="4"/>
  <c r="G3055" i="4"/>
  <c r="I3054" i="4"/>
  <c r="H3054" i="4"/>
  <c r="G3054" i="4"/>
  <c r="F3054" i="4"/>
  <c r="I3053" i="4"/>
  <c r="H3053" i="4"/>
  <c r="G3053" i="4"/>
  <c r="I3052" i="4"/>
  <c r="H3052" i="4"/>
  <c r="G3052" i="4"/>
  <c r="F3052" i="4"/>
  <c r="I3051" i="4"/>
  <c r="H3051" i="4"/>
  <c r="G3051" i="4"/>
  <c r="I3050" i="4"/>
  <c r="H3050" i="4"/>
  <c r="G3050" i="4"/>
  <c r="F3050" i="4"/>
  <c r="I3049" i="4"/>
  <c r="H3049" i="4"/>
  <c r="G3049" i="4"/>
  <c r="I3048" i="4"/>
  <c r="H3048" i="4"/>
  <c r="G3048" i="4"/>
  <c r="F3048" i="4"/>
  <c r="I3047" i="4"/>
  <c r="H3047" i="4"/>
  <c r="G3047" i="4"/>
  <c r="I3046" i="4"/>
  <c r="H3046" i="4"/>
  <c r="G3046" i="4"/>
  <c r="F3046" i="4"/>
  <c r="I3045" i="4"/>
  <c r="H3045" i="4"/>
  <c r="G3045" i="4"/>
  <c r="I3044" i="4"/>
  <c r="H3044" i="4"/>
  <c r="G3044" i="4"/>
  <c r="F3044" i="4"/>
  <c r="I3043" i="4"/>
  <c r="H3043" i="4"/>
  <c r="G3043" i="4"/>
  <c r="I3042" i="4"/>
  <c r="H3042" i="4"/>
  <c r="G3042" i="4"/>
  <c r="F3042" i="4"/>
  <c r="I3041" i="4"/>
  <c r="H3041" i="4"/>
  <c r="G3041" i="4"/>
  <c r="I3040" i="4"/>
  <c r="H3040" i="4"/>
  <c r="G3040" i="4"/>
  <c r="F3040" i="4"/>
  <c r="I3039" i="4"/>
  <c r="H3039" i="4"/>
  <c r="G3039" i="4"/>
  <c r="I3038" i="4"/>
  <c r="H3038" i="4"/>
  <c r="G3038" i="4"/>
  <c r="F3038" i="4"/>
  <c r="I3037" i="4"/>
  <c r="H3037" i="4"/>
  <c r="G3037" i="4"/>
  <c r="I3036" i="4"/>
  <c r="H3036" i="4"/>
  <c r="G3036" i="4"/>
  <c r="F3036" i="4"/>
  <c r="I3035" i="4"/>
  <c r="H3035" i="4"/>
  <c r="G3035" i="4"/>
  <c r="I3034" i="4"/>
  <c r="H3034" i="4"/>
  <c r="G3034" i="4"/>
  <c r="F3034" i="4"/>
  <c r="I3033" i="4"/>
  <c r="H3033" i="4"/>
  <c r="G3033" i="4"/>
  <c r="I3032" i="4"/>
  <c r="H3032" i="4"/>
  <c r="G3032" i="4"/>
  <c r="F3032" i="4"/>
  <c r="I3031" i="4"/>
  <c r="H3031" i="4"/>
  <c r="G3031" i="4"/>
  <c r="I3030" i="4"/>
  <c r="H3030" i="4"/>
  <c r="G3030" i="4"/>
  <c r="F3030" i="4"/>
  <c r="I3029" i="4"/>
  <c r="H3029" i="4"/>
  <c r="G3029" i="4"/>
  <c r="I3028" i="4"/>
  <c r="H3028" i="4"/>
  <c r="G3028" i="4"/>
  <c r="F3028" i="4"/>
  <c r="I3027" i="4"/>
  <c r="H3027" i="4"/>
  <c r="G3027" i="4"/>
  <c r="I3026" i="4"/>
  <c r="H3026" i="4"/>
  <c r="G3026" i="4"/>
  <c r="F3026" i="4"/>
  <c r="I3025" i="4"/>
  <c r="H3025" i="4"/>
  <c r="G3025" i="4"/>
  <c r="I3024" i="4"/>
  <c r="H3024" i="4"/>
  <c r="G3024" i="4"/>
  <c r="F3024" i="4"/>
  <c r="I3023" i="4"/>
  <c r="H3023" i="4"/>
  <c r="G3023" i="4"/>
  <c r="I3022" i="4"/>
  <c r="H3022" i="4"/>
  <c r="G3022" i="4"/>
  <c r="F3022" i="4"/>
  <c r="I3021" i="4"/>
  <c r="H3021" i="4"/>
  <c r="G3021" i="4"/>
  <c r="I3020" i="4"/>
  <c r="H3020" i="4"/>
  <c r="G3020" i="4"/>
  <c r="F3020" i="4"/>
  <c r="I3019" i="4"/>
  <c r="H3019" i="4"/>
  <c r="G3019" i="4"/>
  <c r="I3018" i="4"/>
  <c r="H3018" i="4"/>
  <c r="G3018" i="4"/>
  <c r="F3018" i="4"/>
  <c r="I3017" i="4"/>
  <c r="H3017" i="4"/>
  <c r="G3017" i="4"/>
  <c r="I3016" i="4"/>
  <c r="H3016" i="4"/>
  <c r="G3016" i="4"/>
  <c r="F3016" i="4"/>
  <c r="I3015" i="4"/>
  <c r="H3015" i="4"/>
  <c r="G3015" i="4"/>
  <c r="I3014" i="4"/>
  <c r="H3014" i="4"/>
  <c r="G3014" i="4"/>
  <c r="F3014" i="4"/>
  <c r="I3013" i="4"/>
  <c r="H3013" i="4"/>
  <c r="G3013" i="4"/>
  <c r="I3012" i="4"/>
  <c r="H3012" i="4"/>
  <c r="G3012" i="4"/>
  <c r="F3012" i="4"/>
  <c r="I3011" i="4"/>
  <c r="H3011" i="4"/>
  <c r="G3011" i="4"/>
  <c r="I3010" i="4"/>
  <c r="H3010" i="4"/>
  <c r="G3010" i="4"/>
  <c r="F3010" i="4"/>
  <c r="I3009" i="4"/>
  <c r="H3009" i="4"/>
  <c r="G3009" i="4"/>
  <c r="I3008" i="4"/>
  <c r="H3008" i="4"/>
  <c r="G3008" i="4"/>
  <c r="F3008" i="4"/>
  <c r="I3007" i="4"/>
  <c r="H3007" i="4"/>
  <c r="G3007" i="4"/>
  <c r="I3006" i="4"/>
  <c r="H3006" i="4"/>
  <c r="G3006" i="4"/>
  <c r="F3006" i="4"/>
  <c r="I3005" i="4"/>
  <c r="H3005" i="4"/>
  <c r="G3005" i="4"/>
  <c r="I3004" i="4"/>
  <c r="H3004" i="4"/>
  <c r="G3004" i="4"/>
  <c r="F3004" i="4"/>
  <c r="I3003" i="4"/>
  <c r="H3003" i="4"/>
  <c r="G3003" i="4"/>
  <c r="I3002" i="4"/>
  <c r="H3002" i="4"/>
  <c r="G3002" i="4"/>
  <c r="F3002" i="4"/>
  <c r="I3001" i="4"/>
  <c r="H3001" i="4"/>
  <c r="G3001" i="4"/>
  <c r="I3000" i="4"/>
  <c r="H3000" i="4"/>
  <c r="G3000" i="4"/>
  <c r="F3000" i="4"/>
  <c r="I2999" i="4"/>
  <c r="H2999" i="4"/>
  <c r="G2999" i="4"/>
  <c r="I2998" i="4"/>
  <c r="H2998" i="4"/>
  <c r="G2998" i="4"/>
  <c r="F2998" i="4"/>
  <c r="I2997" i="4"/>
  <c r="H2997" i="4"/>
  <c r="G2997" i="4"/>
  <c r="I2996" i="4"/>
  <c r="H2996" i="4"/>
  <c r="G2996" i="4"/>
  <c r="F2996" i="4"/>
  <c r="I2995" i="4"/>
  <c r="H2995" i="4"/>
  <c r="G2995" i="4"/>
  <c r="I2994" i="4"/>
  <c r="H2994" i="4"/>
  <c r="G2994" i="4"/>
  <c r="F2994" i="4"/>
  <c r="I2993" i="4"/>
  <c r="H2993" i="4"/>
  <c r="G2993" i="4"/>
  <c r="I2992" i="4"/>
  <c r="H2992" i="4"/>
  <c r="G2992" i="4"/>
  <c r="F2992" i="4"/>
  <c r="I2991" i="4"/>
  <c r="H2991" i="4"/>
  <c r="G2991" i="4"/>
  <c r="I2990" i="4"/>
  <c r="H2990" i="4"/>
  <c r="G2990" i="4"/>
  <c r="F2990" i="4"/>
  <c r="I2989" i="4"/>
  <c r="H2989" i="4"/>
  <c r="G2989" i="4"/>
  <c r="I2988" i="4"/>
  <c r="H2988" i="4"/>
  <c r="G2988" i="4"/>
  <c r="F2988" i="4"/>
  <c r="I2987" i="4"/>
  <c r="H2987" i="4"/>
  <c r="G2987" i="4"/>
  <c r="I2986" i="4"/>
  <c r="H2986" i="4"/>
  <c r="G2986" i="4"/>
  <c r="F2986" i="4"/>
  <c r="I2985" i="4"/>
  <c r="H2985" i="4"/>
  <c r="G2985" i="4"/>
  <c r="I2984" i="4"/>
  <c r="H2984" i="4"/>
  <c r="G2984" i="4"/>
  <c r="F2984" i="4"/>
  <c r="I2983" i="4"/>
  <c r="H2983" i="4"/>
  <c r="G2983" i="4"/>
  <c r="I2982" i="4"/>
  <c r="H2982" i="4"/>
  <c r="G2982" i="4"/>
  <c r="F2982" i="4"/>
  <c r="I2981" i="4"/>
  <c r="H2981" i="4"/>
  <c r="G2981" i="4"/>
  <c r="I2980" i="4"/>
  <c r="H2980" i="4"/>
  <c r="G2980" i="4"/>
  <c r="F2980" i="4"/>
  <c r="I2979" i="4"/>
  <c r="H2979" i="4"/>
  <c r="G2979" i="4"/>
  <c r="I2978" i="4"/>
  <c r="H2978" i="4"/>
  <c r="G2978" i="4"/>
  <c r="F2978" i="4"/>
  <c r="I2977" i="4"/>
  <c r="H2977" i="4"/>
  <c r="G2977" i="4"/>
  <c r="I2976" i="4"/>
  <c r="H2976" i="4"/>
  <c r="G2976" i="4"/>
  <c r="F2976" i="4"/>
  <c r="I2975" i="4"/>
  <c r="H2975" i="4"/>
  <c r="G2975" i="4"/>
  <c r="I2974" i="4"/>
  <c r="H2974" i="4"/>
  <c r="G2974" i="4"/>
  <c r="F2974" i="4"/>
  <c r="I2973" i="4"/>
  <c r="H2973" i="4"/>
  <c r="G2973" i="4"/>
  <c r="I2972" i="4"/>
  <c r="H2972" i="4"/>
  <c r="G2972" i="4"/>
  <c r="F2972" i="4"/>
  <c r="I2971" i="4"/>
  <c r="H2971" i="4"/>
  <c r="G2971" i="4"/>
  <c r="I2970" i="4"/>
  <c r="H2970" i="4"/>
  <c r="G2970" i="4"/>
  <c r="F2970" i="4"/>
  <c r="I2969" i="4"/>
  <c r="H2969" i="4"/>
  <c r="G2969" i="4"/>
  <c r="I2968" i="4"/>
  <c r="H2968" i="4"/>
  <c r="G2968" i="4"/>
  <c r="F2968" i="4"/>
  <c r="I2967" i="4"/>
  <c r="H2967" i="4"/>
  <c r="G2967" i="4"/>
  <c r="I2966" i="4" l="1"/>
  <c r="H2966" i="4"/>
  <c r="G2966" i="4"/>
  <c r="F2966" i="4"/>
  <c r="I2965" i="4"/>
  <c r="H2965" i="4"/>
  <c r="G2965" i="4"/>
  <c r="I2964" i="4"/>
  <c r="H2964" i="4"/>
  <c r="G2964" i="4"/>
  <c r="F2964" i="4"/>
  <c r="I2963" i="4"/>
  <c r="H2963" i="4"/>
  <c r="G2963" i="4"/>
  <c r="I2962" i="4"/>
  <c r="H2962" i="4"/>
  <c r="G2962" i="4"/>
  <c r="F2962" i="4"/>
  <c r="I2961" i="4"/>
  <c r="H2961" i="4"/>
  <c r="G2961" i="4"/>
  <c r="I2960" i="4"/>
  <c r="H2960" i="4"/>
  <c r="G2960" i="4"/>
  <c r="F2960" i="4"/>
  <c r="I2959" i="4"/>
  <c r="H2959" i="4"/>
  <c r="G2959" i="4"/>
  <c r="I2958" i="4" l="1"/>
  <c r="H2958" i="4"/>
  <c r="G2958" i="4"/>
  <c r="F2958" i="4"/>
  <c r="I2957" i="4"/>
  <c r="H2957" i="4"/>
  <c r="G2957" i="4"/>
  <c r="I2956" i="4"/>
  <c r="H2956" i="4"/>
  <c r="G2956" i="4"/>
  <c r="F2956" i="4"/>
  <c r="I2955" i="4"/>
  <c r="H2955" i="4"/>
  <c r="G2955" i="4"/>
  <c r="I2954" i="4"/>
  <c r="H2954" i="4"/>
  <c r="G2954" i="4"/>
  <c r="F2954" i="4"/>
  <c r="I2953" i="4"/>
  <c r="H2953" i="4"/>
  <c r="G2953" i="4"/>
  <c r="I2952" i="4"/>
  <c r="H2952" i="4"/>
  <c r="G2952" i="4"/>
  <c r="F2952" i="4"/>
  <c r="I2951" i="4"/>
  <c r="H2951" i="4"/>
  <c r="G2951" i="4"/>
  <c r="K22" i="48" l="1"/>
  <c r="L22" i="48"/>
  <c r="F2910" i="4"/>
  <c r="F2908" i="4"/>
  <c r="F2906" i="4"/>
  <c r="F2904" i="4"/>
  <c r="F2898" i="4"/>
  <c r="F2900" i="4"/>
  <c r="F2902" i="4"/>
  <c r="F2912" i="4"/>
  <c r="F2914" i="4"/>
  <c r="F2916" i="4"/>
  <c r="F2918" i="4"/>
  <c r="F2920" i="4"/>
  <c r="F2922" i="4"/>
  <c r="F2924" i="4"/>
  <c r="F2926" i="4"/>
  <c r="F2928" i="4"/>
  <c r="F2930" i="4"/>
  <c r="F2932" i="4"/>
  <c r="F2934" i="4"/>
  <c r="F2936" i="4"/>
  <c r="F2938" i="4"/>
  <c r="F2940" i="4"/>
  <c r="F2942" i="4"/>
  <c r="F2944" i="4"/>
  <c r="F2946" i="4"/>
  <c r="F2948" i="4"/>
  <c r="F2950" i="4"/>
  <c r="F2894" i="4"/>
  <c r="F2896" i="4"/>
  <c r="I2950" i="4"/>
  <c r="H2950" i="4"/>
  <c r="G2950" i="4"/>
  <c r="I2949" i="4"/>
  <c r="H2949" i="4"/>
  <c r="G2949" i="4"/>
  <c r="I2948" i="4"/>
  <c r="H2948" i="4"/>
  <c r="G2948" i="4"/>
  <c r="I2947" i="4"/>
  <c r="H2947" i="4"/>
  <c r="G2947" i="4"/>
  <c r="I2946" i="4"/>
  <c r="H2946" i="4"/>
  <c r="G2946" i="4"/>
  <c r="I2945" i="4"/>
  <c r="H2945" i="4"/>
  <c r="G2945" i="4"/>
  <c r="I2944" i="4"/>
  <c r="H2944" i="4"/>
  <c r="G2944" i="4"/>
  <c r="I2943" i="4"/>
  <c r="H2943" i="4"/>
  <c r="G2943" i="4"/>
  <c r="I2942" i="4"/>
  <c r="H2942" i="4"/>
  <c r="G2942" i="4"/>
  <c r="I2941" i="4"/>
  <c r="H2941" i="4"/>
  <c r="G2941" i="4"/>
  <c r="I2940" i="4"/>
  <c r="H2940" i="4"/>
  <c r="G2940" i="4"/>
  <c r="I2939" i="4"/>
  <c r="H2939" i="4"/>
  <c r="G2939" i="4"/>
  <c r="I2938" i="4"/>
  <c r="H2938" i="4"/>
  <c r="G2938" i="4"/>
  <c r="I2937" i="4"/>
  <c r="H2937" i="4"/>
  <c r="G2937" i="4"/>
  <c r="I2936" i="4"/>
  <c r="H2936" i="4"/>
  <c r="G2936" i="4"/>
  <c r="I2935" i="4"/>
  <c r="H2935" i="4"/>
  <c r="G2935" i="4"/>
  <c r="I2934" i="4"/>
  <c r="H2934" i="4"/>
  <c r="G2934" i="4"/>
  <c r="I2933" i="4"/>
  <c r="H2933" i="4"/>
  <c r="G2933" i="4"/>
  <c r="I2932" i="4"/>
  <c r="H2932" i="4"/>
  <c r="G2932" i="4"/>
  <c r="I2931" i="4"/>
  <c r="H2931" i="4"/>
  <c r="G2931" i="4"/>
  <c r="I2930" i="4"/>
  <c r="H2930" i="4"/>
  <c r="G2930" i="4"/>
  <c r="I2929" i="4"/>
  <c r="H2929" i="4"/>
  <c r="G2929" i="4"/>
  <c r="I2928" i="4"/>
  <c r="H2928" i="4"/>
  <c r="G2928" i="4"/>
  <c r="I2927" i="4"/>
  <c r="H2927" i="4"/>
  <c r="G2927" i="4"/>
  <c r="G2895" i="4"/>
  <c r="G2896" i="4"/>
  <c r="G2897" i="4"/>
  <c r="G2898" i="4"/>
  <c r="G2899" i="4"/>
  <c r="G2900" i="4"/>
  <c r="G2901" i="4"/>
  <c r="G2902" i="4"/>
  <c r="G2903" i="4"/>
  <c r="G2904" i="4"/>
  <c r="G2905" i="4"/>
  <c r="G2906" i="4"/>
  <c r="G2907" i="4"/>
  <c r="G2908" i="4"/>
  <c r="G2909" i="4"/>
  <c r="G2910" i="4"/>
  <c r="G2911" i="4"/>
  <c r="G2912" i="4"/>
  <c r="G2913" i="4"/>
  <c r="G2914" i="4"/>
  <c r="G2915" i="4"/>
  <c r="G2916" i="4"/>
  <c r="G2917" i="4"/>
  <c r="G2918" i="4"/>
  <c r="G2919" i="4"/>
  <c r="G2920" i="4"/>
  <c r="G2921" i="4"/>
  <c r="G2922" i="4"/>
  <c r="G2923" i="4"/>
  <c r="G2924" i="4"/>
  <c r="G2925" i="4"/>
  <c r="G2926" i="4"/>
  <c r="I2926" i="4"/>
  <c r="H2926" i="4"/>
  <c r="I2925" i="4"/>
  <c r="H2925" i="4"/>
  <c r="I2924" i="4"/>
  <c r="H2924" i="4"/>
  <c r="I2923" i="4"/>
  <c r="H2923" i="4"/>
  <c r="I2922" i="4"/>
  <c r="H2922" i="4"/>
  <c r="I2921" i="4"/>
  <c r="H2921" i="4"/>
  <c r="I2920" i="4"/>
  <c r="H2920" i="4"/>
  <c r="I2919" i="4"/>
  <c r="H2919" i="4"/>
  <c r="I2918" i="4"/>
  <c r="H2918" i="4"/>
  <c r="I2917" i="4"/>
  <c r="H2917" i="4"/>
  <c r="I2916" i="4"/>
  <c r="H2916" i="4"/>
  <c r="I2915" i="4"/>
  <c r="H2915" i="4"/>
  <c r="I2914" i="4"/>
  <c r="H2914" i="4"/>
  <c r="I2913" i="4"/>
  <c r="H2913" i="4"/>
  <c r="I2912" i="4"/>
  <c r="H2912" i="4"/>
  <c r="I2911" i="4"/>
  <c r="H2911" i="4"/>
  <c r="I2910" i="4"/>
  <c r="H2910" i="4"/>
  <c r="I2909" i="4"/>
  <c r="H2909" i="4"/>
  <c r="I2906" i="4"/>
  <c r="H2906" i="4"/>
  <c r="I2905" i="4"/>
  <c r="H2905" i="4"/>
  <c r="I2904" i="4"/>
  <c r="H2904" i="4"/>
  <c r="I2903" i="4"/>
  <c r="H2903" i="4"/>
  <c r="I2908" i="4"/>
  <c r="H2908" i="4"/>
  <c r="I2907" i="4"/>
  <c r="H2907" i="4"/>
  <c r="I2902" i="4"/>
  <c r="H2902" i="4"/>
  <c r="I2901" i="4"/>
  <c r="H2901" i="4"/>
  <c r="I2900" i="4"/>
  <c r="H2900" i="4"/>
  <c r="I2899" i="4"/>
  <c r="H2899" i="4"/>
  <c r="I2898" i="4"/>
  <c r="H2898" i="4"/>
  <c r="I2897" i="4"/>
  <c r="H2897" i="4"/>
  <c r="I2896" i="4"/>
  <c r="H2896" i="4"/>
  <c r="I2895" i="4"/>
  <c r="H2895" i="4"/>
  <c r="I2894" i="4"/>
  <c r="H2894" i="4"/>
  <c r="G2894" i="4"/>
  <c r="I2893" i="4"/>
  <c r="H2893" i="4"/>
  <c r="G2893" i="4"/>
  <c r="I2892" i="4"/>
  <c r="H2892" i="4"/>
  <c r="G2892" i="4"/>
  <c r="F2892" i="4"/>
  <c r="I2891" i="4"/>
  <c r="H2891" i="4"/>
  <c r="G2891" i="4"/>
  <c r="I2890" i="4"/>
  <c r="H2890" i="4"/>
  <c r="G2890" i="4"/>
  <c r="F2890" i="4"/>
  <c r="I2889" i="4"/>
  <c r="H2889" i="4"/>
  <c r="G2889" i="4"/>
  <c r="I2888" i="4"/>
  <c r="H2888" i="4"/>
  <c r="G2888" i="4"/>
  <c r="F2888" i="4"/>
  <c r="I2887" i="4"/>
  <c r="H2887" i="4"/>
  <c r="G2887" i="4"/>
  <c r="I2886" i="4"/>
  <c r="H2886" i="4"/>
  <c r="G2886" i="4"/>
  <c r="F2886" i="4"/>
  <c r="I2885" i="4"/>
  <c r="H2885" i="4"/>
  <c r="G2885" i="4"/>
  <c r="I2884" i="4"/>
  <c r="H2884" i="4"/>
  <c r="G2884" i="4"/>
  <c r="F2884" i="4"/>
  <c r="I2883" i="4"/>
  <c r="H2883" i="4"/>
  <c r="G2883" i="4"/>
  <c r="I2882" i="4"/>
  <c r="H2882" i="4"/>
  <c r="G2882" i="4"/>
  <c r="F2882" i="4"/>
  <c r="I2881" i="4"/>
  <c r="H2881" i="4"/>
  <c r="G2881" i="4"/>
  <c r="I2880" i="4"/>
  <c r="H2880" i="4"/>
  <c r="G2880" i="4"/>
  <c r="F2880" i="4"/>
  <c r="I2879" i="4"/>
  <c r="H2879" i="4"/>
  <c r="G2879" i="4"/>
  <c r="I2878" i="4"/>
  <c r="H2878" i="4"/>
  <c r="G2878" i="4"/>
  <c r="F2878" i="4"/>
  <c r="I2877" i="4"/>
  <c r="H2877" i="4"/>
  <c r="G2877" i="4"/>
  <c r="I2876" i="4"/>
  <c r="H2876" i="4"/>
  <c r="G2876" i="4"/>
  <c r="F2876" i="4"/>
  <c r="I2875" i="4"/>
  <c r="H2875" i="4"/>
  <c r="G2875" i="4"/>
  <c r="I2874" i="4"/>
  <c r="H2874" i="4"/>
  <c r="G2874" i="4"/>
  <c r="F2874" i="4"/>
  <c r="I2873" i="4"/>
  <c r="H2873" i="4"/>
  <c r="G2873" i="4"/>
  <c r="I2872" i="4"/>
  <c r="H2872" i="4"/>
  <c r="G2872" i="4"/>
  <c r="F2872" i="4"/>
  <c r="I2871" i="4"/>
  <c r="H2871" i="4"/>
  <c r="G2871" i="4"/>
  <c r="I2870" i="4"/>
  <c r="H2870" i="4"/>
  <c r="G2870" i="4"/>
  <c r="F2870" i="4"/>
  <c r="I2869" i="4"/>
  <c r="H2869" i="4"/>
  <c r="G2869" i="4"/>
  <c r="I2868" i="4"/>
  <c r="H2868" i="4"/>
  <c r="G2868" i="4"/>
  <c r="F2868" i="4"/>
  <c r="I2867" i="4"/>
  <c r="H2867" i="4"/>
  <c r="G2867" i="4"/>
  <c r="I2866" i="4"/>
  <c r="H2866" i="4"/>
  <c r="G2866" i="4"/>
  <c r="F2866" i="4"/>
  <c r="I2865" i="4"/>
  <c r="H2865" i="4"/>
  <c r="G2865" i="4"/>
  <c r="I2864" i="4"/>
  <c r="H2864" i="4"/>
  <c r="G2864" i="4"/>
  <c r="F2864" i="4"/>
  <c r="I2863" i="4"/>
  <c r="H2863" i="4"/>
  <c r="G2863" i="4"/>
  <c r="I2862" i="4"/>
  <c r="H2862" i="4"/>
  <c r="G2862" i="4"/>
  <c r="F2862" i="4"/>
  <c r="I2861" i="4"/>
  <c r="H2861" i="4"/>
  <c r="G2861" i="4"/>
  <c r="I2860" i="4"/>
  <c r="H2860" i="4"/>
  <c r="G2860" i="4"/>
  <c r="F2860" i="4"/>
  <c r="I2859" i="4"/>
  <c r="H2859" i="4"/>
  <c r="G2859" i="4"/>
  <c r="I2858" i="4"/>
  <c r="H2858" i="4"/>
  <c r="G2858" i="4"/>
  <c r="F2858" i="4"/>
  <c r="I2857" i="4"/>
  <c r="H2857" i="4"/>
  <c r="G2857" i="4"/>
  <c r="I2856" i="4"/>
  <c r="H2856" i="4"/>
  <c r="G2856" i="4"/>
  <c r="F2856" i="4"/>
  <c r="I2855" i="4"/>
  <c r="H2855" i="4"/>
  <c r="G2855" i="4"/>
  <c r="I2854" i="4"/>
  <c r="H2854" i="4"/>
  <c r="G2854" i="4"/>
  <c r="F2854" i="4"/>
  <c r="I2853" i="4"/>
  <c r="H2853" i="4"/>
  <c r="G2853" i="4"/>
  <c r="I2852" i="4"/>
  <c r="H2852" i="4"/>
  <c r="G2852" i="4"/>
  <c r="F2852" i="4"/>
  <c r="I2851" i="4"/>
  <c r="H2851" i="4"/>
  <c r="G2851" i="4"/>
  <c r="I2850" i="4"/>
  <c r="H2850" i="4"/>
  <c r="G2850" i="4"/>
  <c r="F2850" i="4"/>
  <c r="I2849" i="4"/>
  <c r="H2849" i="4"/>
  <c r="G2849" i="4"/>
  <c r="I2848" i="4"/>
  <c r="H2848" i="4"/>
  <c r="G2848" i="4"/>
  <c r="F2848" i="4"/>
  <c r="I2847" i="4"/>
  <c r="H2847" i="4"/>
  <c r="G2847" i="4"/>
  <c r="I2846" i="4"/>
  <c r="H2846" i="4"/>
  <c r="G2846" i="4"/>
  <c r="F2846" i="4"/>
  <c r="I2845" i="4"/>
  <c r="H2845" i="4"/>
  <c r="G2845" i="4"/>
  <c r="I2844" i="4"/>
  <c r="H2844" i="4"/>
  <c r="G2844" i="4"/>
  <c r="F2844" i="4"/>
  <c r="I2843" i="4"/>
  <c r="H2843" i="4"/>
  <c r="G2843" i="4"/>
  <c r="I2842" i="4"/>
  <c r="H2842" i="4"/>
  <c r="G2842" i="4"/>
  <c r="F2842" i="4"/>
  <c r="I2841" i="4"/>
  <c r="H2841" i="4"/>
  <c r="G2841" i="4"/>
  <c r="I2840" i="4"/>
  <c r="H2840" i="4"/>
  <c r="G2840" i="4"/>
  <c r="F2840" i="4"/>
  <c r="I2839" i="4"/>
  <c r="H2839" i="4"/>
  <c r="G2839" i="4"/>
  <c r="I2838" i="4" l="1"/>
  <c r="H2838" i="4"/>
  <c r="G2838" i="4"/>
  <c r="F2838" i="4"/>
  <c r="I2837" i="4"/>
  <c r="H2837" i="4"/>
  <c r="G2837" i="4"/>
  <c r="I2836" i="4"/>
  <c r="H2836" i="4"/>
  <c r="G2836" i="4"/>
  <c r="F2836" i="4"/>
  <c r="I2835" i="4"/>
  <c r="H2835" i="4"/>
  <c r="G2835" i="4"/>
  <c r="I2834" i="4"/>
  <c r="H2834" i="4"/>
  <c r="G2834" i="4"/>
  <c r="F2834" i="4"/>
  <c r="I2833" i="4"/>
  <c r="H2833" i="4"/>
  <c r="G2833" i="4"/>
  <c r="I2832" i="4"/>
  <c r="H2832" i="4"/>
  <c r="G2832" i="4"/>
  <c r="F2832" i="4"/>
  <c r="I2831" i="4"/>
  <c r="H2831" i="4"/>
  <c r="G2831" i="4"/>
  <c r="I2830" i="4"/>
  <c r="H2830" i="4"/>
  <c r="G2830" i="4"/>
  <c r="F2830" i="4"/>
  <c r="I2829" i="4"/>
  <c r="H2829" i="4"/>
  <c r="G2829" i="4"/>
  <c r="I2828" i="4"/>
  <c r="H2828" i="4"/>
  <c r="G2828" i="4"/>
  <c r="F2828" i="4"/>
  <c r="I2827" i="4"/>
  <c r="H2827" i="4"/>
  <c r="G2827" i="4"/>
  <c r="I2826" i="4"/>
  <c r="H2826" i="4"/>
  <c r="G2826" i="4"/>
  <c r="F2826" i="4"/>
  <c r="I2825" i="4"/>
  <c r="H2825" i="4"/>
  <c r="G2825" i="4"/>
  <c r="I2824" i="4"/>
  <c r="H2824" i="4"/>
  <c r="G2824" i="4"/>
  <c r="F2824" i="4"/>
  <c r="I2823" i="4"/>
  <c r="H2823" i="4"/>
  <c r="G2823" i="4"/>
  <c r="I2822" i="4"/>
  <c r="H2822" i="4"/>
  <c r="G2822" i="4"/>
  <c r="F2822" i="4"/>
  <c r="I2821" i="4"/>
  <c r="H2821" i="4"/>
  <c r="G2821" i="4"/>
  <c r="I2820" i="4"/>
  <c r="H2820" i="4"/>
  <c r="G2820" i="4"/>
  <c r="F2820" i="4"/>
  <c r="I2819" i="4"/>
  <c r="H2819" i="4"/>
  <c r="G2819" i="4"/>
  <c r="I2818" i="4"/>
  <c r="H2818" i="4"/>
  <c r="G2818" i="4"/>
  <c r="F2818" i="4"/>
  <c r="I2817" i="4"/>
  <c r="H2817" i="4"/>
  <c r="G2817" i="4"/>
  <c r="I2816" i="4"/>
  <c r="H2816" i="4"/>
  <c r="G2816" i="4"/>
  <c r="F2816" i="4"/>
  <c r="I2815" i="4"/>
  <c r="H2815" i="4"/>
  <c r="G2815" i="4"/>
  <c r="I2814" i="4"/>
  <c r="H2814" i="4"/>
  <c r="G2814" i="4"/>
  <c r="F2814" i="4"/>
  <c r="I2813" i="4"/>
  <c r="H2813" i="4"/>
  <c r="G2813" i="4"/>
  <c r="I2812" i="4"/>
  <c r="H2812" i="4"/>
  <c r="G2812" i="4"/>
  <c r="F2812" i="4"/>
  <c r="I2811" i="4"/>
  <c r="H2811" i="4"/>
  <c r="G2811" i="4"/>
  <c r="I2810" i="4"/>
  <c r="H2810" i="4"/>
  <c r="G2810" i="4"/>
  <c r="F2810" i="4"/>
  <c r="I2809" i="4"/>
  <c r="H2809" i="4"/>
  <c r="G2809" i="4"/>
  <c r="I2808" i="4"/>
  <c r="H2808" i="4"/>
  <c r="G2808" i="4"/>
  <c r="F2808" i="4"/>
  <c r="I2807" i="4"/>
  <c r="H2807" i="4"/>
  <c r="G2807" i="4"/>
  <c r="I2806" i="4"/>
  <c r="H2806" i="4"/>
  <c r="G2806" i="4"/>
  <c r="F2806" i="4"/>
  <c r="I2805" i="4"/>
  <c r="H2805" i="4"/>
  <c r="G2805" i="4"/>
  <c r="I2804" i="4"/>
  <c r="H2804" i="4"/>
  <c r="G2804" i="4"/>
  <c r="F2804" i="4"/>
  <c r="I2803" i="4"/>
  <c r="H2803" i="4"/>
  <c r="G2803" i="4"/>
  <c r="I2802" i="4"/>
  <c r="H2802" i="4"/>
  <c r="G2802" i="4"/>
  <c r="F2802" i="4"/>
  <c r="I2801" i="4"/>
  <c r="H2801" i="4"/>
  <c r="G2801" i="4"/>
  <c r="I2800" i="4"/>
  <c r="H2800" i="4"/>
  <c r="G2800" i="4"/>
  <c r="F2800" i="4"/>
  <c r="I2799" i="4"/>
  <c r="H2799" i="4"/>
  <c r="G2799" i="4"/>
  <c r="L21" i="48"/>
  <c r="K21" i="48"/>
  <c r="I2798" i="4"/>
  <c r="H2798" i="4"/>
  <c r="G2798" i="4"/>
  <c r="F2798" i="4"/>
  <c r="I2797" i="4"/>
  <c r="H2797" i="4"/>
  <c r="G2797" i="4"/>
  <c r="I2796" i="4"/>
  <c r="H2796" i="4"/>
  <c r="G2796" i="4"/>
  <c r="F2796" i="4"/>
  <c r="I2795" i="4"/>
  <c r="H2795" i="4"/>
  <c r="G2795" i="4"/>
  <c r="I2794" i="4"/>
  <c r="H2794" i="4"/>
  <c r="G2794" i="4"/>
  <c r="F2794" i="4"/>
  <c r="I2793" i="4"/>
  <c r="H2793" i="4"/>
  <c r="G2793" i="4"/>
  <c r="I2792" i="4"/>
  <c r="H2792" i="4"/>
  <c r="G2792" i="4"/>
  <c r="F2792" i="4"/>
  <c r="I2791" i="4"/>
  <c r="H2791" i="4"/>
  <c r="G2791" i="4"/>
  <c r="I2790" i="4"/>
  <c r="H2790" i="4"/>
  <c r="G2790" i="4"/>
  <c r="F2790" i="4"/>
  <c r="I2789" i="4"/>
  <c r="H2789" i="4"/>
  <c r="G2789" i="4"/>
  <c r="I2788" i="4"/>
  <c r="H2788" i="4"/>
  <c r="G2788" i="4"/>
  <c r="F2788" i="4"/>
  <c r="I2787" i="4"/>
  <c r="H2787" i="4"/>
  <c r="G2787" i="4"/>
  <c r="I2786" i="4"/>
  <c r="H2786" i="4"/>
  <c r="G2786" i="4"/>
  <c r="F2786" i="4"/>
  <c r="I2785" i="4"/>
  <c r="H2785" i="4"/>
  <c r="G2785" i="4"/>
  <c r="I2784" i="4"/>
  <c r="H2784" i="4"/>
  <c r="G2784" i="4"/>
  <c r="F2784" i="4"/>
  <c r="I2783" i="4"/>
  <c r="H2783" i="4"/>
  <c r="G2783" i="4"/>
  <c r="I2782" i="4"/>
  <c r="H2782" i="4"/>
  <c r="G2782" i="4"/>
  <c r="F2782" i="4"/>
  <c r="I2781" i="4"/>
  <c r="H2781" i="4"/>
  <c r="G2781" i="4"/>
  <c r="I2780" i="4"/>
  <c r="H2780" i="4"/>
  <c r="G2780" i="4"/>
  <c r="F2780" i="4"/>
  <c r="I2779" i="4"/>
  <c r="H2779" i="4"/>
  <c r="G2779" i="4"/>
  <c r="I2778" i="4"/>
  <c r="H2778" i="4"/>
  <c r="G2778" i="4"/>
  <c r="F2778" i="4"/>
  <c r="I2777" i="4"/>
  <c r="H2777" i="4"/>
  <c r="G2777" i="4"/>
  <c r="I2776" i="4"/>
  <c r="H2776" i="4"/>
  <c r="G2776" i="4"/>
  <c r="F2776" i="4"/>
  <c r="I2775" i="4"/>
  <c r="H2775" i="4"/>
  <c r="G2775" i="4"/>
  <c r="I2774" i="4"/>
  <c r="H2774" i="4"/>
  <c r="G2774" i="4"/>
  <c r="F2774" i="4"/>
  <c r="I2773" i="4"/>
  <c r="H2773" i="4"/>
  <c r="G2773" i="4"/>
  <c r="I2772" i="4"/>
  <c r="H2772" i="4"/>
  <c r="G2772" i="4"/>
  <c r="F2772" i="4"/>
  <c r="I2771" i="4"/>
  <c r="H2771" i="4"/>
  <c r="G2771" i="4"/>
  <c r="I2770" i="4"/>
  <c r="H2770" i="4"/>
  <c r="G2770" i="4"/>
  <c r="F2770" i="4"/>
  <c r="I2769" i="4"/>
  <c r="H2769" i="4"/>
  <c r="G2769" i="4"/>
  <c r="I2768" i="4"/>
  <c r="H2768" i="4"/>
  <c r="G2768" i="4"/>
  <c r="F2768" i="4"/>
  <c r="I2767" i="4"/>
  <c r="H2767" i="4"/>
  <c r="G2767" i="4"/>
  <c r="I2766" i="4"/>
  <c r="H2766" i="4"/>
  <c r="G2766" i="4"/>
  <c r="F2766" i="4"/>
  <c r="I2765" i="4"/>
  <c r="H2765" i="4"/>
  <c r="G2765" i="4"/>
  <c r="I2764" i="4"/>
  <c r="H2764" i="4"/>
  <c r="G2764" i="4"/>
  <c r="F2764" i="4"/>
  <c r="I2763" i="4"/>
  <c r="H2763" i="4"/>
  <c r="G2763" i="4"/>
  <c r="I2762" i="4"/>
  <c r="H2762" i="4"/>
  <c r="G2762" i="4"/>
  <c r="F2762" i="4"/>
  <c r="I2761" i="4"/>
  <c r="H2761" i="4"/>
  <c r="G2761" i="4"/>
  <c r="I2760" i="4"/>
  <c r="H2760" i="4"/>
  <c r="G2760" i="4"/>
  <c r="F2760" i="4"/>
  <c r="I2759" i="4"/>
  <c r="H2759" i="4"/>
  <c r="G2759" i="4"/>
  <c r="I2758" i="4"/>
  <c r="H2758" i="4"/>
  <c r="G2758" i="4"/>
  <c r="F2758" i="4"/>
  <c r="I2757" i="4"/>
  <c r="H2757" i="4"/>
  <c r="G2757" i="4"/>
  <c r="I2756" i="4"/>
  <c r="H2756" i="4"/>
  <c r="G2756" i="4"/>
  <c r="F2756" i="4"/>
  <c r="I2755" i="4"/>
  <c r="H2755" i="4"/>
  <c r="G2755" i="4"/>
  <c r="I2754" i="4"/>
  <c r="H2754" i="4"/>
  <c r="G2754" i="4"/>
  <c r="F2754" i="4"/>
  <c r="I2753" i="4"/>
  <c r="H2753" i="4"/>
  <c r="G2753" i="4"/>
  <c r="I2752" i="4"/>
  <c r="H2752" i="4"/>
  <c r="G2752" i="4"/>
  <c r="F2752" i="4"/>
  <c r="I2751" i="4"/>
  <c r="H2751" i="4"/>
  <c r="G2751" i="4"/>
  <c r="I2750" i="4"/>
  <c r="H2750" i="4"/>
  <c r="G2750" i="4"/>
  <c r="F2750" i="4"/>
  <c r="I2749" i="4"/>
  <c r="H2749" i="4"/>
  <c r="G2749" i="4"/>
  <c r="I2748" i="4"/>
  <c r="H2748" i="4"/>
  <c r="G2748" i="4"/>
  <c r="F2748" i="4"/>
  <c r="I2747" i="4"/>
  <c r="H2747" i="4"/>
  <c r="G2747" i="4"/>
  <c r="I2746" i="4"/>
  <c r="H2746" i="4"/>
  <c r="G2746" i="4"/>
  <c r="F2746" i="4"/>
  <c r="I2745" i="4"/>
  <c r="H2745" i="4"/>
  <c r="G2745" i="4"/>
  <c r="I2744" i="4"/>
  <c r="H2744" i="4"/>
  <c r="G2744" i="4"/>
  <c r="F2744" i="4"/>
  <c r="I2743" i="4"/>
  <c r="H2743" i="4"/>
  <c r="G2743" i="4"/>
  <c r="I2742" i="4"/>
  <c r="H2742" i="4"/>
  <c r="G2742" i="4"/>
  <c r="F2742" i="4"/>
  <c r="I2741" i="4"/>
  <c r="H2741" i="4"/>
  <c r="G2741" i="4"/>
  <c r="I2740" i="4"/>
  <c r="H2740" i="4"/>
  <c r="G2740" i="4"/>
  <c r="F2740" i="4"/>
  <c r="I2739" i="4"/>
  <c r="H2739" i="4"/>
  <c r="G2739" i="4"/>
  <c r="I2738" i="4"/>
  <c r="H2738" i="4"/>
  <c r="G2738" i="4"/>
  <c r="F2738" i="4"/>
  <c r="I2737" i="4"/>
  <c r="H2737" i="4"/>
  <c r="G2737" i="4"/>
  <c r="I2736" i="4"/>
  <c r="H2736" i="4"/>
  <c r="G2736" i="4"/>
  <c r="F2736" i="4"/>
  <c r="I2735" i="4"/>
  <c r="H2735" i="4"/>
  <c r="G2735" i="4"/>
  <c r="I2734" i="4"/>
  <c r="H2734" i="4"/>
  <c r="G2734" i="4"/>
  <c r="F2734" i="4"/>
  <c r="I2733" i="4"/>
  <c r="H2733" i="4"/>
  <c r="G2733" i="4"/>
  <c r="I2732" i="4"/>
  <c r="H2732" i="4"/>
  <c r="G2732" i="4"/>
  <c r="F2732" i="4"/>
  <c r="I2731" i="4"/>
  <c r="H2731" i="4"/>
  <c r="G2731" i="4"/>
  <c r="I2730" i="4"/>
  <c r="H2730" i="4"/>
  <c r="G2730" i="4"/>
  <c r="F2730" i="4"/>
  <c r="I2729" i="4"/>
  <c r="H2729" i="4"/>
  <c r="G2729" i="4"/>
  <c r="I2728" i="4"/>
  <c r="H2728" i="4"/>
  <c r="G2728" i="4"/>
  <c r="F2728" i="4"/>
  <c r="I2727" i="4"/>
  <c r="H2727" i="4"/>
  <c r="G2727" i="4"/>
  <c r="F2700" i="4"/>
  <c r="F2702" i="4"/>
  <c r="F2704" i="4"/>
  <c r="I2726" i="4"/>
  <c r="H2726" i="4"/>
  <c r="G2726" i="4"/>
  <c r="F2726" i="4"/>
  <c r="I2725" i="4"/>
  <c r="H2725" i="4"/>
  <c r="G2725" i="4"/>
  <c r="I2724" i="4"/>
  <c r="H2724" i="4"/>
  <c r="G2724" i="4"/>
  <c r="F2724" i="4"/>
  <c r="I2723" i="4"/>
  <c r="H2723" i="4"/>
  <c r="G2723" i="4"/>
  <c r="I2722" i="4"/>
  <c r="H2722" i="4"/>
  <c r="G2722" i="4"/>
  <c r="F2722" i="4"/>
  <c r="I2721" i="4"/>
  <c r="H2721" i="4"/>
  <c r="G2721" i="4"/>
  <c r="I2720" i="4"/>
  <c r="H2720" i="4"/>
  <c r="G2720" i="4"/>
  <c r="F2720" i="4"/>
  <c r="I2719" i="4"/>
  <c r="H2719" i="4"/>
  <c r="G2719" i="4"/>
  <c r="I2718" i="4"/>
  <c r="H2718" i="4"/>
  <c r="G2718" i="4"/>
  <c r="F2718" i="4"/>
  <c r="I2717" i="4"/>
  <c r="H2717" i="4"/>
  <c r="G2717" i="4"/>
  <c r="I2716" i="4"/>
  <c r="H2716" i="4"/>
  <c r="G2716" i="4"/>
  <c r="F2716" i="4"/>
  <c r="I2715" i="4"/>
  <c r="H2715" i="4"/>
  <c r="G2715" i="4"/>
  <c r="I2714" i="4"/>
  <c r="H2714" i="4"/>
  <c r="G2714" i="4"/>
  <c r="F2714" i="4"/>
  <c r="I2713" i="4"/>
  <c r="H2713" i="4"/>
  <c r="G2713" i="4"/>
  <c r="I2712" i="4"/>
  <c r="H2712" i="4"/>
  <c r="G2712" i="4"/>
  <c r="F2712" i="4"/>
  <c r="I2711" i="4"/>
  <c r="H2711" i="4"/>
  <c r="G2711" i="4"/>
  <c r="I2710" i="4"/>
  <c r="H2710" i="4"/>
  <c r="G2710" i="4"/>
  <c r="F2710" i="4"/>
  <c r="I2709" i="4"/>
  <c r="H2709" i="4"/>
  <c r="G2709" i="4"/>
  <c r="I2708" i="4"/>
  <c r="H2708" i="4"/>
  <c r="G2708" i="4"/>
  <c r="F2708" i="4"/>
  <c r="I2707" i="4"/>
  <c r="H2707" i="4"/>
  <c r="G2707" i="4"/>
  <c r="I2706" i="4"/>
  <c r="H2706" i="4"/>
  <c r="G2706" i="4"/>
  <c r="F2706" i="4"/>
  <c r="I2705" i="4"/>
  <c r="H2705" i="4"/>
  <c r="G2705" i="4"/>
  <c r="I2704" i="4"/>
  <c r="H2704" i="4"/>
  <c r="G2704" i="4"/>
  <c r="I2703" i="4"/>
  <c r="H2703" i="4"/>
  <c r="G2703" i="4"/>
  <c r="I2702" i="4"/>
  <c r="H2702" i="4"/>
  <c r="G2702" i="4"/>
  <c r="I2701" i="4"/>
  <c r="H2701" i="4"/>
  <c r="G2701" i="4"/>
  <c r="I2700" i="4"/>
  <c r="H2700" i="4"/>
  <c r="G2700" i="4"/>
  <c r="I2699" i="4"/>
  <c r="H2699" i="4"/>
  <c r="G2699" i="4"/>
  <c r="I2698" i="4"/>
  <c r="H2698" i="4"/>
  <c r="G2698" i="4"/>
  <c r="F2698" i="4"/>
  <c r="I2697" i="4"/>
  <c r="H2697" i="4"/>
  <c r="G2697" i="4"/>
  <c r="I2696" i="4"/>
  <c r="H2696" i="4"/>
  <c r="G2696" i="4"/>
  <c r="F2696" i="4"/>
  <c r="I2695" i="4"/>
  <c r="H2695" i="4"/>
  <c r="G2695" i="4"/>
  <c r="I2694" i="4"/>
  <c r="H2694" i="4"/>
  <c r="G2694" i="4"/>
  <c r="F2694" i="4"/>
  <c r="I2693" i="4"/>
  <c r="H2693" i="4"/>
  <c r="G2693" i="4"/>
  <c r="I2692" i="4"/>
  <c r="H2692" i="4"/>
  <c r="G2692" i="4"/>
  <c r="F2692" i="4"/>
  <c r="I2691" i="4"/>
  <c r="H2691" i="4"/>
  <c r="G2691" i="4"/>
  <c r="I2690" i="4"/>
  <c r="H2690" i="4"/>
  <c r="G2690" i="4"/>
  <c r="F2690" i="4"/>
  <c r="I2689" i="4"/>
  <c r="H2689" i="4"/>
  <c r="G2689" i="4"/>
  <c r="I2688" i="4"/>
  <c r="H2688" i="4"/>
  <c r="G2688" i="4"/>
  <c r="F2688" i="4"/>
  <c r="I2687" i="4"/>
  <c r="H2687" i="4"/>
  <c r="G2687" i="4"/>
  <c r="I2686" i="4"/>
  <c r="H2686" i="4"/>
  <c r="G2686" i="4"/>
  <c r="F2686" i="4"/>
  <c r="I2685" i="4"/>
  <c r="H2685" i="4"/>
  <c r="G2685" i="4"/>
  <c r="I2684" i="4"/>
  <c r="H2684" i="4"/>
  <c r="G2684" i="4"/>
  <c r="F2684" i="4"/>
  <c r="I2683" i="4"/>
  <c r="H2683" i="4"/>
  <c r="G2683" i="4"/>
  <c r="I2682" i="4"/>
  <c r="H2682" i="4"/>
  <c r="G2682" i="4"/>
  <c r="F2682" i="4"/>
  <c r="I2681" i="4"/>
  <c r="H2681" i="4"/>
  <c r="G2681" i="4"/>
  <c r="I2680" i="4"/>
  <c r="H2680" i="4"/>
  <c r="G2680" i="4"/>
  <c r="F2680" i="4"/>
  <c r="I2679" i="4"/>
  <c r="H2679" i="4"/>
  <c r="G2679" i="4"/>
  <c r="I2678" i="4"/>
  <c r="H2678" i="4"/>
  <c r="G2678" i="4"/>
  <c r="F2678" i="4"/>
  <c r="I2677" i="4"/>
  <c r="H2677" i="4"/>
  <c r="G2677" i="4"/>
  <c r="I2676" i="4"/>
  <c r="H2676" i="4"/>
  <c r="G2676" i="4"/>
  <c r="F2676" i="4"/>
  <c r="I2675" i="4"/>
  <c r="H2675" i="4"/>
  <c r="G2675" i="4"/>
  <c r="I2674" i="4"/>
  <c r="H2674" i="4"/>
  <c r="G2674" i="4"/>
  <c r="F2674" i="4"/>
  <c r="I2673" i="4"/>
  <c r="H2673" i="4"/>
  <c r="G2673" i="4"/>
  <c r="I2672" i="4"/>
  <c r="H2672" i="4"/>
  <c r="G2672" i="4"/>
  <c r="F2672" i="4"/>
  <c r="I2671" i="4"/>
  <c r="H2671" i="4"/>
  <c r="G2671" i="4"/>
  <c r="I2670" i="4"/>
  <c r="H2670" i="4"/>
  <c r="G2670" i="4"/>
  <c r="F2670" i="4"/>
  <c r="I2669" i="4"/>
  <c r="H2669" i="4"/>
  <c r="G2669" i="4"/>
  <c r="I2668" i="4"/>
  <c r="H2668" i="4"/>
  <c r="G2668" i="4"/>
  <c r="F2668" i="4"/>
  <c r="I2667" i="4"/>
  <c r="H2667" i="4"/>
  <c r="G2667" i="4"/>
  <c r="I2666" i="4"/>
  <c r="H2666" i="4"/>
  <c r="G2666" i="4"/>
  <c r="F2666" i="4"/>
  <c r="I2665" i="4"/>
  <c r="H2665" i="4"/>
  <c r="G2665" i="4"/>
  <c r="I2664" i="4"/>
  <c r="H2664" i="4"/>
  <c r="G2664" i="4"/>
  <c r="F2664" i="4"/>
  <c r="I2663" i="4"/>
  <c r="H2663" i="4"/>
  <c r="G2663" i="4"/>
  <c r="I2662" i="4"/>
  <c r="H2662" i="4"/>
  <c r="G2662" i="4"/>
  <c r="F2662" i="4"/>
  <c r="I2661" i="4"/>
  <c r="H2661" i="4"/>
  <c r="G2661" i="4"/>
  <c r="I2660" i="4"/>
  <c r="H2660" i="4"/>
  <c r="G2660" i="4"/>
  <c r="F2660" i="4"/>
  <c r="I2659" i="4"/>
  <c r="H2659" i="4"/>
  <c r="G2659" i="4"/>
  <c r="I2658" i="4"/>
  <c r="H2658" i="4"/>
  <c r="G2658" i="4"/>
  <c r="F2658" i="4"/>
  <c r="I2657" i="4"/>
  <c r="H2657" i="4"/>
  <c r="G2657" i="4"/>
  <c r="I2656" i="4"/>
  <c r="H2656" i="4"/>
  <c r="G2656" i="4"/>
  <c r="F2656" i="4"/>
  <c r="I2655" i="4"/>
  <c r="H2655" i="4"/>
  <c r="G2655" i="4"/>
  <c r="I2654" i="4"/>
  <c r="H2654" i="4"/>
  <c r="G2654" i="4"/>
  <c r="F2654" i="4"/>
  <c r="I2653" i="4"/>
  <c r="H2653" i="4"/>
  <c r="G2653" i="4"/>
  <c r="I2652" i="4"/>
  <c r="H2652" i="4"/>
  <c r="G2652" i="4"/>
  <c r="F2652" i="4"/>
  <c r="I2651" i="4"/>
  <c r="H2651" i="4"/>
  <c r="G2651" i="4"/>
  <c r="I2650" i="4"/>
  <c r="H2650" i="4"/>
  <c r="G2650" i="4"/>
  <c r="F2650" i="4"/>
  <c r="I2649" i="4"/>
  <c r="H2649" i="4"/>
  <c r="G2649" i="4"/>
  <c r="I2648" i="4"/>
  <c r="H2648" i="4"/>
  <c r="G2648" i="4"/>
  <c r="F2648" i="4"/>
  <c r="I2647" i="4"/>
  <c r="H2647" i="4"/>
  <c r="G2647" i="4"/>
  <c r="I2646" i="4"/>
  <c r="H2646" i="4"/>
  <c r="G2646" i="4"/>
  <c r="F2646" i="4"/>
  <c r="I2645" i="4"/>
  <c r="H2645" i="4"/>
  <c r="G2645" i="4"/>
  <c r="I2644" i="4"/>
  <c r="H2644" i="4"/>
  <c r="G2644" i="4"/>
  <c r="F2644" i="4"/>
  <c r="I2643" i="4"/>
  <c r="H2643" i="4"/>
  <c r="G2643" i="4"/>
  <c r="I2642" i="4"/>
  <c r="H2642" i="4"/>
  <c r="G2642" i="4"/>
  <c r="F2642" i="4"/>
  <c r="I2641" i="4"/>
  <c r="H2641" i="4"/>
  <c r="G2641" i="4"/>
  <c r="I2640" i="4"/>
  <c r="H2640" i="4"/>
  <c r="G2640" i="4"/>
  <c r="F2640" i="4"/>
  <c r="I2639" i="4"/>
  <c r="H2639" i="4"/>
  <c r="G2639" i="4"/>
  <c r="I2638" i="4"/>
  <c r="H2638" i="4"/>
  <c r="G2638" i="4"/>
  <c r="F2638" i="4"/>
  <c r="I2637" i="4"/>
  <c r="H2637" i="4"/>
  <c r="G2637" i="4"/>
  <c r="I2636" i="4"/>
  <c r="H2636" i="4"/>
  <c r="G2636" i="4"/>
  <c r="F2636" i="4"/>
  <c r="I2635" i="4"/>
  <c r="H2635" i="4"/>
  <c r="G2635" i="4"/>
  <c r="I2634" i="4"/>
  <c r="H2634" i="4"/>
  <c r="G2634" i="4"/>
  <c r="F2634" i="4"/>
  <c r="I2633" i="4"/>
  <c r="H2633" i="4"/>
  <c r="G2633" i="4"/>
  <c r="I2632" i="4"/>
  <c r="H2632" i="4"/>
  <c r="G2632" i="4"/>
  <c r="F2632" i="4"/>
  <c r="I2631" i="4"/>
  <c r="H2631" i="4"/>
  <c r="G2631" i="4"/>
  <c r="I2630" i="4"/>
  <c r="H2630" i="4"/>
  <c r="G2630" i="4"/>
  <c r="F2630" i="4"/>
  <c r="I2629" i="4"/>
  <c r="H2629" i="4"/>
  <c r="G2629" i="4"/>
  <c r="I2628" i="4"/>
  <c r="H2628" i="4"/>
  <c r="G2628" i="4"/>
  <c r="F2628" i="4"/>
  <c r="I2627" i="4"/>
  <c r="H2627" i="4"/>
  <c r="G2627" i="4"/>
  <c r="I2626" i="4"/>
  <c r="H2626" i="4"/>
  <c r="G2626" i="4"/>
  <c r="F2626" i="4"/>
  <c r="I2625" i="4"/>
  <c r="H2625" i="4"/>
  <c r="G2625" i="4"/>
  <c r="I2624" i="4"/>
  <c r="H2624" i="4"/>
  <c r="G2624" i="4"/>
  <c r="F2624" i="4"/>
  <c r="I2623" i="4"/>
  <c r="H2623" i="4"/>
  <c r="G2623" i="4"/>
  <c r="I2622" i="4"/>
  <c r="H2622" i="4"/>
  <c r="G2622" i="4"/>
  <c r="F2622" i="4"/>
  <c r="I2621" i="4"/>
  <c r="H2621" i="4"/>
  <c r="G2621" i="4"/>
  <c r="I2620" i="4"/>
  <c r="H2620" i="4"/>
  <c r="G2620" i="4"/>
  <c r="F2620" i="4"/>
  <c r="I2619" i="4"/>
  <c r="H2619" i="4"/>
  <c r="G2619" i="4"/>
  <c r="I2618" i="4"/>
  <c r="H2618" i="4"/>
  <c r="G2618" i="4"/>
  <c r="F2618" i="4"/>
  <c r="I2617" i="4"/>
  <c r="H2617" i="4"/>
  <c r="G2617" i="4"/>
  <c r="I2616" i="4"/>
  <c r="H2616" i="4"/>
  <c r="G2616" i="4"/>
  <c r="F2616" i="4"/>
  <c r="I2615" i="4"/>
  <c r="H2615" i="4"/>
  <c r="G2615" i="4"/>
  <c r="I2614" i="4"/>
  <c r="H2614" i="4"/>
  <c r="G2614" i="4"/>
  <c r="F2614" i="4"/>
  <c r="I2613" i="4"/>
  <c r="H2613" i="4"/>
  <c r="G2613" i="4"/>
  <c r="I2612" i="4"/>
  <c r="H2612" i="4"/>
  <c r="G2612" i="4"/>
  <c r="F2612" i="4"/>
  <c r="I2611" i="4"/>
  <c r="H2611" i="4"/>
  <c r="G2611" i="4"/>
  <c r="I2610" i="4"/>
  <c r="H2610" i="4"/>
  <c r="G2610" i="4"/>
  <c r="F2610" i="4"/>
  <c r="I2609" i="4"/>
  <c r="H2609" i="4"/>
  <c r="G2609" i="4"/>
  <c r="I2608" i="4"/>
  <c r="H2608" i="4"/>
  <c r="G2608" i="4"/>
  <c r="F2608" i="4"/>
  <c r="I2607" i="4"/>
  <c r="H2607" i="4"/>
  <c r="G2607" i="4"/>
  <c r="I2606" i="4"/>
  <c r="H2606" i="4"/>
  <c r="G2606" i="4"/>
  <c r="F2606" i="4"/>
  <c r="I2605" i="4"/>
  <c r="H2605" i="4"/>
  <c r="G2605" i="4"/>
  <c r="I2604" i="4"/>
  <c r="H2604" i="4"/>
  <c r="G2604" i="4"/>
  <c r="F2604" i="4"/>
  <c r="I2603" i="4"/>
  <c r="H2603" i="4"/>
  <c r="G2603" i="4"/>
  <c r="I2602" i="4"/>
  <c r="H2602" i="4"/>
  <c r="G2602" i="4"/>
  <c r="F2602" i="4"/>
  <c r="I2601" i="4"/>
  <c r="H2601" i="4"/>
  <c r="G2601" i="4"/>
  <c r="I2600" i="4"/>
  <c r="H2600" i="4"/>
  <c r="G2600" i="4"/>
  <c r="F2600" i="4"/>
  <c r="I2599" i="4"/>
  <c r="H2599" i="4"/>
  <c r="G2599" i="4"/>
  <c r="I2598" i="4"/>
  <c r="H2598" i="4"/>
  <c r="G2598" i="4"/>
  <c r="F2598" i="4"/>
  <c r="I2597" i="4"/>
  <c r="H2597" i="4"/>
  <c r="G2597" i="4"/>
  <c r="I2596" i="4"/>
  <c r="H2596" i="4"/>
  <c r="G2596" i="4"/>
  <c r="F2596" i="4"/>
  <c r="I2595" i="4"/>
  <c r="H2595" i="4"/>
  <c r="G2595" i="4"/>
  <c r="I2594" i="4"/>
  <c r="H2594" i="4"/>
  <c r="G2594" i="4"/>
  <c r="F2594" i="4"/>
  <c r="I2593" i="4"/>
  <c r="H2593" i="4"/>
  <c r="G2593" i="4"/>
  <c r="I2592" i="4"/>
  <c r="H2592" i="4"/>
  <c r="G2592" i="4"/>
  <c r="F2592" i="4"/>
  <c r="I2591" i="4"/>
  <c r="H2591" i="4"/>
  <c r="G2591" i="4"/>
  <c r="I2590" i="4"/>
  <c r="H2590" i="4"/>
  <c r="G2590" i="4"/>
  <c r="F2590" i="4"/>
  <c r="I2589" i="4"/>
  <c r="H2589" i="4"/>
  <c r="G2589" i="4"/>
  <c r="I2588" i="4"/>
  <c r="H2588" i="4"/>
  <c r="G2588" i="4"/>
  <c r="F2588" i="4"/>
  <c r="I2587" i="4"/>
  <c r="H2587" i="4"/>
  <c r="G2587" i="4"/>
  <c r="I2586" i="4"/>
  <c r="H2586" i="4"/>
  <c r="G2586" i="4"/>
  <c r="F2586" i="4"/>
  <c r="I2585" i="4"/>
  <c r="H2585" i="4"/>
  <c r="G2585" i="4"/>
  <c r="I2584" i="4"/>
  <c r="H2584" i="4"/>
  <c r="G2584" i="4"/>
  <c r="F2584" i="4"/>
  <c r="I2583" i="4"/>
  <c r="H2583" i="4"/>
  <c r="G2583" i="4"/>
  <c r="I2582" i="4"/>
  <c r="H2582" i="4"/>
  <c r="G2582" i="4"/>
  <c r="F2582" i="4"/>
  <c r="I2581" i="4"/>
  <c r="H2581" i="4"/>
  <c r="G2581" i="4"/>
  <c r="I2580" i="4"/>
  <c r="H2580" i="4"/>
  <c r="G2580" i="4"/>
  <c r="F2580" i="4"/>
  <c r="I2579" i="4"/>
  <c r="H2579" i="4"/>
  <c r="G2579" i="4"/>
  <c r="I2578" i="4"/>
  <c r="H2578" i="4"/>
  <c r="G2578" i="4"/>
  <c r="F2578" i="4"/>
  <c r="I2577" i="4"/>
  <c r="H2577" i="4"/>
  <c r="G2577" i="4"/>
  <c r="I2576" i="4"/>
  <c r="H2576" i="4"/>
  <c r="G2576" i="4"/>
  <c r="F2576" i="4"/>
  <c r="I2575" i="4"/>
  <c r="H2575" i="4"/>
  <c r="G2575" i="4"/>
  <c r="I2574" i="4"/>
  <c r="H2574" i="4"/>
  <c r="G2574" i="4"/>
  <c r="F2574" i="4"/>
  <c r="I2573" i="4"/>
  <c r="H2573" i="4"/>
  <c r="G2573" i="4"/>
  <c r="I2572" i="4"/>
  <c r="H2572" i="4"/>
  <c r="G2572" i="4"/>
  <c r="F2572" i="4"/>
  <c r="I2571" i="4"/>
  <c r="H2571" i="4"/>
  <c r="G2571" i="4"/>
  <c r="I2570" i="4"/>
  <c r="H2570" i="4"/>
  <c r="G2570" i="4"/>
  <c r="F2570" i="4"/>
  <c r="I2569" i="4"/>
  <c r="H2569" i="4"/>
  <c r="G2569" i="4"/>
  <c r="I2568" i="4"/>
  <c r="H2568" i="4"/>
  <c r="G2568" i="4"/>
  <c r="F2568" i="4"/>
  <c r="I2567" i="4"/>
  <c r="H2567" i="4"/>
  <c r="G2567" i="4"/>
  <c r="I2566" i="4"/>
  <c r="H2566" i="4"/>
  <c r="G2566" i="4"/>
  <c r="F2566" i="4"/>
  <c r="I2565" i="4"/>
  <c r="H2565" i="4"/>
  <c r="G2565" i="4"/>
  <c r="I2564" i="4"/>
  <c r="H2564" i="4"/>
  <c r="G2564" i="4"/>
  <c r="F2564" i="4"/>
  <c r="I2563" i="4"/>
  <c r="H2563" i="4"/>
  <c r="G2563" i="4"/>
  <c r="I2562" i="4"/>
  <c r="H2562" i="4"/>
  <c r="G2562" i="4"/>
  <c r="F2562" i="4"/>
  <c r="I2561" i="4"/>
  <c r="H2561" i="4"/>
  <c r="G2561" i="4"/>
  <c r="I2560" i="4"/>
  <c r="H2560" i="4"/>
  <c r="G2560" i="4"/>
  <c r="F2560" i="4"/>
  <c r="I2559" i="4"/>
  <c r="H2559" i="4"/>
  <c r="G2559" i="4"/>
  <c r="I2558" i="4"/>
  <c r="H2558" i="4"/>
  <c r="G2558" i="4"/>
  <c r="F2558" i="4"/>
  <c r="I2557" i="4"/>
  <c r="H2557" i="4"/>
  <c r="G2557" i="4"/>
  <c r="I2556" i="4"/>
  <c r="H2556" i="4"/>
  <c r="G2556" i="4"/>
  <c r="F2556" i="4"/>
  <c r="I2555" i="4"/>
  <c r="H2555" i="4"/>
  <c r="G2555" i="4"/>
  <c r="I2554" i="4"/>
  <c r="H2554" i="4"/>
  <c r="G2554" i="4"/>
  <c r="F2554" i="4"/>
  <c r="I2553" i="4"/>
  <c r="H2553" i="4"/>
  <c r="G2553" i="4"/>
  <c r="I2552" i="4"/>
  <c r="H2552" i="4"/>
  <c r="G2552" i="4"/>
  <c r="F2552" i="4"/>
  <c r="I2551" i="4"/>
  <c r="H2551" i="4"/>
  <c r="G2551" i="4"/>
  <c r="I2550" i="4"/>
  <c r="H2550" i="4"/>
  <c r="G2550" i="4"/>
  <c r="F2550" i="4"/>
  <c r="I2549" i="4"/>
  <c r="H2549" i="4"/>
  <c r="G2549" i="4"/>
  <c r="I2548" i="4"/>
  <c r="H2548" i="4"/>
  <c r="G2548" i="4"/>
  <c r="F2548" i="4"/>
  <c r="I2547" i="4"/>
  <c r="H2547" i="4"/>
  <c r="G2547" i="4"/>
  <c r="I2546" i="4"/>
  <c r="H2546" i="4"/>
  <c r="G2546" i="4"/>
  <c r="F2546" i="4"/>
  <c r="I2545" i="4"/>
  <c r="H2545" i="4"/>
  <c r="G2545" i="4"/>
  <c r="I2544" i="4"/>
  <c r="H2544" i="4"/>
  <c r="G2544" i="4"/>
  <c r="F2544" i="4"/>
  <c r="I2543" i="4"/>
  <c r="H2543" i="4"/>
  <c r="G2543" i="4"/>
  <c r="I2542" i="4"/>
  <c r="H2542" i="4"/>
  <c r="G2542" i="4"/>
  <c r="F2542" i="4"/>
  <c r="I2541" i="4"/>
  <c r="H2541" i="4"/>
  <c r="G2541" i="4"/>
  <c r="I2540" i="4"/>
  <c r="H2540" i="4"/>
  <c r="G2540" i="4"/>
  <c r="F2540" i="4"/>
  <c r="I2539" i="4"/>
  <c r="H2539" i="4"/>
  <c r="G2539" i="4"/>
  <c r="I2538" i="4"/>
  <c r="H2538" i="4"/>
  <c r="G2538" i="4"/>
  <c r="F2538" i="4"/>
  <c r="I2537" i="4"/>
  <c r="H2537" i="4"/>
  <c r="G2537" i="4"/>
  <c r="I2536" i="4"/>
  <c r="H2536" i="4"/>
  <c r="G2536" i="4"/>
  <c r="F2536" i="4"/>
  <c r="I2535" i="4"/>
  <c r="H2535" i="4"/>
  <c r="G2535" i="4"/>
  <c r="I2534" i="4"/>
  <c r="H2534" i="4"/>
  <c r="G2534" i="4"/>
  <c r="F2534" i="4"/>
  <c r="I2533" i="4"/>
  <c r="H2533" i="4"/>
  <c r="G2533" i="4"/>
  <c r="I2532" i="4"/>
  <c r="H2532" i="4"/>
  <c r="G2532" i="4"/>
  <c r="F2532" i="4"/>
  <c r="I2531" i="4"/>
  <c r="H2531" i="4"/>
  <c r="G2531" i="4"/>
  <c r="I2530" i="4"/>
  <c r="H2530" i="4"/>
  <c r="G2530" i="4"/>
  <c r="F2530" i="4"/>
  <c r="I2529" i="4"/>
  <c r="H2529" i="4"/>
  <c r="G2529" i="4"/>
  <c r="I2528" i="4"/>
  <c r="H2528" i="4"/>
  <c r="G2528" i="4"/>
  <c r="F2528" i="4"/>
  <c r="I2527" i="4"/>
  <c r="H2527" i="4"/>
  <c r="G2527" i="4"/>
  <c r="L20" i="48"/>
  <c r="K20" i="48"/>
  <c r="I2526" i="4"/>
  <c r="H2526" i="4"/>
  <c r="G2526" i="4"/>
  <c r="F2526" i="4"/>
  <c r="I2525" i="4"/>
  <c r="H2525" i="4"/>
  <c r="G2525" i="4"/>
  <c r="I2524" i="4"/>
  <c r="H2524" i="4"/>
  <c r="G2524" i="4"/>
  <c r="F2524" i="4"/>
  <c r="I2523" i="4"/>
  <c r="H2523" i="4"/>
  <c r="G2523" i="4"/>
  <c r="I2522" i="4"/>
  <c r="H2522" i="4"/>
  <c r="G2522" i="4"/>
  <c r="F2522" i="4"/>
  <c r="I2521" i="4"/>
  <c r="H2521" i="4"/>
  <c r="G2521" i="4"/>
  <c r="I2520" i="4"/>
  <c r="H2520" i="4"/>
  <c r="G2520" i="4"/>
  <c r="F2520" i="4"/>
  <c r="I2519" i="4"/>
  <c r="H2519" i="4"/>
  <c r="G2519" i="4"/>
  <c r="I2518" i="4"/>
  <c r="H2518" i="4"/>
  <c r="G2518" i="4"/>
  <c r="F2518" i="4"/>
  <c r="I2517" i="4"/>
  <c r="H2517" i="4"/>
  <c r="G2517" i="4"/>
  <c r="I2516" i="4"/>
  <c r="H2516" i="4"/>
  <c r="G2516" i="4"/>
  <c r="F2516" i="4"/>
  <c r="I2515" i="4"/>
  <c r="H2515" i="4"/>
  <c r="G2515" i="4"/>
  <c r="I2514" i="4"/>
  <c r="H2514" i="4"/>
  <c r="G2514" i="4"/>
  <c r="F2514" i="4"/>
  <c r="I2513" i="4"/>
  <c r="H2513" i="4"/>
  <c r="G2513" i="4"/>
  <c r="I2512" i="4"/>
  <c r="H2512" i="4"/>
  <c r="G2512" i="4"/>
  <c r="F2512" i="4"/>
  <c r="I2511" i="4"/>
  <c r="H2511" i="4"/>
  <c r="G2511" i="4"/>
  <c r="I2510" i="4"/>
  <c r="H2510" i="4"/>
  <c r="G2510" i="4"/>
  <c r="F2510" i="4"/>
  <c r="I2509" i="4"/>
  <c r="H2509" i="4"/>
  <c r="G2509" i="4"/>
  <c r="I2508" i="4"/>
  <c r="H2508" i="4"/>
  <c r="G2508" i="4"/>
  <c r="F2508" i="4"/>
  <c r="I2507" i="4"/>
  <c r="H2507" i="4"/>
  <c r="G2507" i="4"/>
  <c r="I2506" i="4"/>
  <c r="H2506" i="4"/>
  <c r="G2506" i="4"/>
  <c r="F2506" i="4"/>
  <c r="I2505" i="4"/>
  <c r="H2505" i="4"/>
  <c r="G2505" i="4"/>
  <c r="I2504" i="4"/>
  <c r="H2504" i="4"/>
  <c r="G2504" i="4"/>
  <c r="F2504" i="4"/>
  <c r="I2503" i="4"/>
  <c r="H2503" i="4"/>
  <c r="G2503" i="4"/>
  <c r="I2502" i="4"/>
  <c r="H2502" i="4"/>
  <c r="G2502" i="4"/>
  <c r="F2502" i="4"/>
  <c r="I2501" i="4"/>
  <c r="H2501" i="4"/>
  <c r="G2501" i="4"/>
  <c r="I2500" i="4"/>
  <c r="H2500" i="4"/>
  <c r="G2500" i="4"/>
  <c r="F2500" i="4"/>
  <c r="I2499" i="4"/>
  <c r="H2499" i="4"/>
  <c r="G2499" i="4"/>
  <c r="I2498" i="4"/>
  <c r="H2498" i="4"/>
  <c r="G2498" i="4"/>
  <c r="F2498" i="4"/>
  <c r="I2497" i="4"/>
  <c r="H2497" i="4"/>
  <c r="G2497" i="4"/>
  <c r="I2496" i="4"/>
  <c r="H2496" i="4"/>
  <c r="G2496" i="4"/>
  <c r="F2496" i="4"/>
  <c r="I2495" i="4"/>
  <c r="H2495" i="4"/>
  <c r="G2495" i="4"/>
  <c r="I2494" i="4"/>
  <c r="H2494" i="4"/>
  <c r="G2494" i="4"/>
  <c r="F2494" i="4"/>
  <c r="I2493" i="4"/>
  <c r="H2493" i="4"/>
  <c r="G2493" i="4"/>
  <c r="I2492" i="4"/>
  <c r="H2492" i="4"/>
  <c r="G2492" i="4"/>
  <c r="F2492" i="4"/>
  <c r="I2491" i="4"/>
  <c r="H2491" i="4"/>
  <c r="G2491" i="4"/>
  <c r="I2490" i="4"/>
  <c r="H2490" i="4"/>
  <c r="G2490" i="4"/>
  <c r="F2490" i="4"/>
  <c r="I2489" i="4"/>
  <c r="H2489" i="4"/>
  <c r="G2489" i="4"/>
  <c r="I2488" i="4"/>
  <c r="H2488" i="4"/>
  <c r="G2488" i="4"/>
  <c r="F2488" i="4"/>
  <c r="I2487" i="4"/>
  <c r="H2487" i="4"/>
  <c r="G2487" i="4"/>
  <c r="I2486" i="4"/>
  <c r="H2486" i="4"/>
  <c r="G2486" i="4"/>
  <c r="F2486" i="4"/>
  <c r="I2485" i="4"/>
  <c r="H2485" i="4"/>
  <c r="G2485" i="4"/>
  <c r="I2484" i="4"/>
  <c r="H2484" i="4"/>
  <c r="G2484" i="4"/>
  <c r="F2484" i="4"/>
  <c r="I2483" i="4"/>
  <c r="H2483" i="4"/>
  <c r="G2483" i="4"/>
  <c r="I2482" i="4"/>
  <c r="H2482" i="4"/>
  <c r="G2482" i="4"/>
  <c r="F2482" i="4"/>
  <c r="I2481" i="4"/>
  <c r="H2481" i="4"/>
  <c r="G2481" i="4"/>
  <c r="I2480" i="4"/>
  <c r="H2480" i="4"/>
  <c r="G2480" i="4"/>
  <c r="F2480" i="4"/>
  <c r="I2479" i="4"/>
  <c r="H2479" i="4"/>
  <c r="G2479" i="4"/>
  <c r="I2478" i="4"/>
  <c r="H2478" i="4"/>
  <c r="G2478" i="4"/>
  <c r="F2478" i="4"/>
  <c r="I2477" i="4"/>
  <c r="H2477" i="4"/>
  <c r="G2477" i="4"/>
  <c r="I2476" i="4"/>
  <c r="H2476" i="4"/>
  <c r="G2476" i="4"/>
  <c r="F2476" i="4"/>
  <c r="I2475" i="4"/>
  <c r="H2475" i="4"/>
  <c r="G2475" i="4"/>
  <c r="I2474" i="4"/>
  <c r="H2474" i="4"/>
  <c r="G2474" i="4"/>
  <c r="F2474" i="4"/>
  <c r="I2473" i="4"/>
  <c r="H2473" i="4"/>
  <c r="G2473" i="4"/>
  <c r="I2472" i="4"/>
  <c r="H2472" i="4"/>
  <c r="G2472" i="4"/>
  <c r="F2472" i="4"/>
  <c r="I2471" i="4"/>
  <c r="H2471" i="4"/>
  <c r="G2471" i="4"/>
  <c r="I2470" i="4"/>
  <c r="H2470" i="4"/>
  <c r="G2470" i="4"/>
  <c r="F2470" i="4"/>
  <c r="I2469" i="4"/>
  <c r="H2469" i="4"/>
  <c r="G2469" i="4"/>
  <c r="I2468" i="4"/>
  <c r="H2468" i="4"/>
  <c r="G2468" i="4"/>
  <c r="F2468" i="4"/>
  <c r="I2467" i="4"/>
  <c r="H2467" i="4"/>
  <c r="G2467" i="4"/>
  <c r="I2466" i="4"/>
  <c r="H2466" i="4"/>
  <c r="G2466" i="4"/>
  <c r="F2466" i="4"/>
  <c r="I2465" i="4"/>
  <c r="H2465" i="4"/>
  <c r="G2465" i="4"/>
  <c r="I2464" i="4"/>
  <c r="H2464" i="4"/>
  <c r="G2464" i="4"/>
  <c r="F2464" i="4"/>
  <c r="I2463" i="4"/>
  <c r="H2463" i="4"/>
  <c r="G2463" i="4"/>
  <c r="I2462" i="4"/>
  <c r="H2462" i="4"/>
  <c r="G2462" i="4"/>
  <c r="F2462" i="4"/>
  <c r="I2461" i="4"/>
  <c r="H2461" i="4"/>
  <c r="G2461" i="4"/>
  <c r="I2460" i="4"/>
  <c r="H2460" i="4"/>
  <c r="G2460" i="4"/>
  <c r="F2460" i="4"/>
  <c r="I2459" i="4"/>
  <c r="H2459" i="4"/>
  <c r="G2459" i="4"/>
  <c r="I2458" i="4"/>
  <c r="H2458" i="4"/>
  <c r="G2458" i="4"/>
  <c r="F2458" i="4"/>
  <c r="I2457" i="4"/>
  <c r="H2457" i="4"/>
  <c r="G2457" i="4"/>
  <c r="I2456" i="4"/>
  <c r="H2456" i="4"/>
  <c r="G2456" i="4"/>
  <c r="F2456" i="4"/>
  <c r="I2455" i="4"/>
  <c r="H2455" i="4"/>
  <c r="G2455" i="4"/>
  <c r="I2454" i="4"/>
  <c r="H2454" i="4"/>
  <c r="G2454" i="4"/>
  <c r="F2454" i="4"/>
  <c r="I2453" i="4"/>
  <c r="H2453" i="4"/>
  <c r="G2453" i="4"/>
  <c r="I2452" i="4"/>
  <c r="H2452" i="4"/>
  <c r="G2452" i="4"/>
  <c r="F2452" i="4"/>
  <c r="I2451" i="4"/>
  <c r="H2451" i="4"/>
  <c r="G2451" i="4"/>
  <c r="I2450" i="4"/>
  <c r="H2450" i="4"/>
  <c r="G2450" i="4"/>
  <c r="F2450" i="4"/>
  <c r="I2449" i="4"/>
  <c r="H2449" i="4"/>
  <c r="G2449" i="4"/>
  <c r="I2448" i="4"/>
  <c r="H2448" i="4"/>
  <c r="G2448" i="4"/>
  <c r="F2448" i="4"/>
  <c r="I2447" i="4"/>
  <c r="H2447" i="4"/>
  <c r="G2447" i="4"/>
  <c r="I2446" i="4"/>
  <c r="H2446" i="4"/>
  <c r="G2446" i="4"/>
  <c r="F2446" i="4"/>
  <c r="I2445" i="4"/>
  <c r="H2445" i="4"/>
  <c r="G2445" i="4"/>
  <c r="I2444" i="4"/>
  <c r="H2444" i="4"/>
  <c r="G2444" i="4"/>
  <c r="F2444" i="4"/>
  <c r="I2443" i="4"/>
  <c r="H2443" i="4"/>
  <c r="G2443" i="4"/>
  <c r="I2442" i="4"/>
  <c r="H2442" i="4"/>
  <c r="G2442" i="4"/>
  <c r="F2442" i="4"/>
  <c r="I2441" i="4"/>
  <c r="H2441" i="4"/>
  <c r="G2441" i="4"/>
  <c r="I2440" i="4"/>
  <c r="H2440" i="4"/>
  <c r="G2440" i="4"/>
  <c r="F2440" i="4"/>
  <c r="I2439" i="4"/>
  <c r="H2439" i="4"/>
  <c r="G2439" i="4"/>
  <c r="I2438" i="4"/>
  <c r="H2438" i="4"/>
  <c r="G2438" i="4"/>
  <c r="F2438" i="4"/>
  <c r="I2437" i="4"/>
  <c r="H2437" i="4"/>
  <c r="G2437" i="4"/>
  <c r="I2436" i="4"/>
  <c r="H2436" i="4"/>
  <c r="G2436" i="4"/>
  <c r="F2436" i="4"/>
  <c r="I2435" i="4"/>
  <c r="H2435" i="4"/>
  <c r="G2435" i="4"/>
  <c r="I2434" i="4"/>
  <c r="H2434" i="4"/>
  <c r="G2434" i="4"/>
  <c r="F2434" i="4"/>
  <c r="I2433" i="4"/>
  <c r="H2433" i="4"/>
  <c r="G2433" i="4"/>
  <c r="I2432" i="4"/>
  <c r="H2432" i="4"/>
  <c r="G2432" i="4"/>
  <c r="F2432" i="4"/>
  <c r="I2431" i="4"/>
  <c r="H2431" i="4"/>
  <c r="G2431" i="4"/>
  <c r="I2430" i="4"/>
  <c r="H2430" i="4"/>
  <c r="G2430" i="4"/>
  <c r="F2430" i="4"/>
  <c r="I2429" i="4"/>
  <c r="H2429" i="4"/>
  <c r="G2429" i="4"/>
  <c r="I2428" i="4"/>
  <c r="H2428" i="4"/>
  <c r="G2428" i="4"/>
  <c r="F2428" i="4"/>
  <c r="I2427" i="4"/>
  <c r="H2427" i="4"/>
  <c r="G2427" i="4"/>
  <c r="I2426" i="4"/>
  <c r="H2426" i="4"/>
  <c r="G2426" i="4"/>
  <c r="F2426" i="4"/>
  <c r="I2425" i="4"/>
  <c r="H2425" i="4"/>
  <c r="G2425" i="4"/>
  <c r="I2424" i="4"/>
  <c r="H2424" i="4"/>
  <c r="G2424" i="4"/>
  <c r="F2424" i="4"/>
  <c r="I2423" i="4"/>
  <c r="H2423" i="4"/>
  <c r="G2423" i="4"/>
  <c r="I2422" i="4"/>
  <c r="H2422" i="4"/>
  <c r="G2422" i="4"/>
  <c r="F2422" i="4"/>
  <c r="I2421" i="4"/>
  <c r="H2421" i="4"/>
  <c r="G2421" i="4"/>
  <c r="I2420" i="4"/>
  <c r="H2420" i="4"/>
  <c r="G2420" i="4"/>
  <c r="F2420" i="4"/>
  <c r="I2419" i="4"/>
  <c r="H2419" i="4"/>
  <c r="G2419" i="4"/>
  <c r="I2418" i="4"/>
  <c r="H2418" i="4"/>
  <c r="G2418" i="4"/>
  <c r="F2418" i="4"/>
  <c r="I2417" i="4"/>
  <c r="H2417" i="4"/>
  <c r="G2417" i="4"/>
  <c r="I2416" i="4"/>
  <c r="H2416" i="4"/>
  <c r="G2416" i="4"/>
  <c r="F2416" i="4"/>
  <c r="I2415" i="4"/>
  <c r="H2415" i="4"/>
  <c r="G2415" i="4"/>
  <c r="G13" i="4"/>
  <c r="F12" i="4"/>
  <c r="G12" i="4"/>
  <c r="H13" i="4"/>
  <c r="I13" i="4"/>
  <c r="H12" i="4"/>
  <c r="I12" i="4"/>
  <c r="G11" i="4"/>
  <c r="H11" i="4"/>
  <c r="I11" i="4"/>
  <c r="G9" i="4"/>
  <c r="H9" i="4"/>
  <c r="I9" i="4"/>
  <c r="I2414" i="4"/>
  <c r="H2414" i="4"/>
  <c r="G2414" i="4"/>
  <c r="F2414" i="4"/>
  <c r="I2413" i="4"/>
  <c r="H2413" i="4"/>
  <c r="G2413" i="4"/>
  <c r="I2412" i="4"/>
  <c r="H2412" i="4"/>
  <c r="G2412" i="4"/>
  <c r="F2412" i="4"/>
  <c r="I2411" i="4"/>
  <c r="H2411" i="4"/>
  <c r="G2411" i="4"/>
  <c r="I2410" i="4"/>
  <c r="H2410" i="4"/>
  <c r="G2410" i="4"/>
  <c r="F2410" i="4"/>
  <c r="I2409" i="4"/>
  <c r="H2409" i="4"/>
  <c r="G2409" i="4"/>
  <c r="I2408" i="4"/>
  <c r="H2408" i="4"/>
  <c r="G2408" i="4"/>
  <c r="F2408" i="4"/>
  <c r="I2407" i="4"/>
  <c r="H2407" i="4"/>
  <c r="G2407" i="4"/>
  <c r="G7" i="4"/>
  <c r="H7" i="4"/>
  <c r="I7" i="4"/>
  <c r="I2406" i="4"/>
  <c r="H2406" i="4"/>
  <c r="G2406" i="4"/>
  <c r="F2406" i="4"/>
  <c r="I2405" i="4"/>
  <c r="H2405" i="4"/>
  <c r="G2405" i="4"/>
  <c r="I2404" i="4"/>
  <c r="H2404" i="4"/>
  <c r="G2404" i="4"/>
  <c r="F2404" i="4"/>
  <c r="I2403" i="4"/>
  <c r="H2403" i="4"/>
  <c r="G2403" i="4"/>
  <c r="I2402" i="4"/>
  <c r="H2402" i="4"/>
  <c r="G2402" i="4"/>
  <c r="F2402" i="4"/>
  <c r="I2401" i="4"/>
  <c r="H2401" i="4"/>
  <c r="G2401" i="4"/>
  <c r="I2400" i="4"/>
  <c r="H2400" i="4"/>
  <c r="G2400" i="4"/>
  <c r="F2400" i="4"/>
  <c r="I2399" i="4"/>
  <c r="H2399" i="4"/>
  <c r="G2399" i="4"/>
  <c r="I2398" i="4"/>
  <c r="H2398" i="4"/>
  <c r="G2398" i="4"/>
  <c r="F2398" i="4"/>
  <c r="I2397" i="4"/>
  <c r="H2397" i="4"/>
  <c r="G2397" i="4"/>
  <c r="I2396" i="4"/>
  <c r="H2396" i="4"/>
  <c r="G2396" i="4"/>
  <c r="F2396" i="4"/>
  <c r="I2395" i="4"/>
  <c r="H2395" i="4"/>
  <c r="G2395" i="4"/>
  <c r="I2394" i="4"/>
  <c r="H2394" i="4"/>
  <c r="G2394" i="4"/>
  <c r="F2394" i="4"/>
  <c r="I2393" i="4"/>
  <c r="H2393" i="4"/>
  <c r="G2393" i="4"/>
  <c r="I2392" i="4"/>
  <c r="H2392" i="4"/>
  <c r="G2392" i="4"/>
  <c r="F2392" i="4"/>
  <c r="I2391" i="4"/>
  <c r="H2391" i="4"/>
  <c r="G2391" i="4"/>
  <c r="I2390" i="4"/>
  <c r="H2390" i="4"/>
  <c r="G2390" i="4"/>
  <c r="F2390" i="4"/>
  <c r="I2389" i="4"/>
  <c r="H2389" i="4"/>
  <c r="G2389" i="4"/>
  <c r="I2388" i="4"/>
  <c r="H2388" i="4"/>
  <c r="G2388" i="4"/>
  <c r="F2388" i="4"/>
  <c r="I2387" i="4"/>
  <c r="H2387" i="4"/>
  <c r="G2387" i="4"/>
  <c r="I2386" i="4"/>
  <c r="H2386" i="4"/>
  <c r="G2386" i="4"/>
  <c r="F2386" i="4"/>
  <c r="I2385" i="4"/>
  <c r="H2385" i="4"/>
  <c r="G2385" i="4"/>
  <c r="I2384" i="4"/>
  <c r="H2384" i="4"/>
  <c r="G2384" i="4"/>
  <c r="F2384" i="4"/>
  <c r="I2383" i="4"/>
  <c r="H2383" i="4"/>
  <c r="G2383" i="4"/>
  <c r="I2382" i="4"/>
  <c r="H2382" i="4"/>
  <c r="G2382" i="4"/>
  <c r="F2382" i="4"/>
  <c r="I2381" i="4"/>
  <c r="H2381" i="4"/>
  <c r="G2381" i="4"/>
  <c r="I2380" i="4"/>
  <c r="H2380" i="4"/>
  <c r="G2380" i="4"/>
  <c r="F2380" i="4"/>
  <c r="I2379" i="4"/>
  <c r="H2379" i="4"/>
  <c r="G2379" i="4"/>
  <c r="I2378" i="4"/>
  <c r="H2378" i="4"/>
  <c r="G2378" i="4"/>
  <c r="F2378" i="4"/>
  <c r="I2377" i="4"/>
  <c r="H2377" i="4"/>
  <c r="G2377" i="4"/>
  <c r="I2376" i="4"/>
  <c r="H2376" i="4"/>
  <c r="G2376" i="4"/>
  <c r="F2376" i="4"/>
  <c r="I2375" i="4"/>
  <c r="H2375" i="4"/>
  <c r="G2375" i="4"/>
  <c r="I2374" i="4"/>
  <c r="H2374" i="4"/>
  <c r="G2374" i="4"/>
  <c r="F2374" i="4"/>
  <c r="I2373" i="4"/>
  <c r="H2373" i="4"/>
  <c r="G2373" i="4"/>
  <c r="I2372" i="4"/>
  <c r="H2372" i="4"/>
  <c r="G2372" i="4"/>
  <c r="F2372" i="4"/>
  <c r="I2371" i="4"/>
  <c r="H2371" i="4"/>
  <c r="G2371" i="4"/>
  <c r="I2370" i="4"/>
  <c r="H2370" i="4"/>
  <c r="G2370" i="4"/>
  <c r="F2370" i="4"/>
  <c r="I2369" i="4"/>
  <c r="H2369" i="4"/>
  <c r="G2369" i="4"/>
  <c r="I2368" i="4"/>
  <c r="H2368" i="4"/>
  <c r="G2368" i="4"/>
  <c r="F2368" i="4"/>
  <c r="I2367" i="4"/>
  <c r="H2367" i="4"/>
  <c r="G2367" i="4"/>
  <c r="I2366" i="4"/>
  <c r="H2366" i="4"/>
  <c r="G2366" i="4"/>
  <c r="F2366" i="4"/>
  <c r="I2365" i="4"/>
  <c r="H2365" i="4"/>
  <c r="G2365" i="4"/>
  <c r="I2364" i="4"/>
  <c r="H2364" i="4"/>
  <c r="G2364" i="4"/>
  <c r="F2364" i="4"/>
  <c r="I2363" i="4"/>
  <c r="H2363" i="4"/>
  <c r="G2363" i="4"/>
  <c r="I2362" i="4"/>
  <c r="H2362" i="4"/>
  <c r="G2362" i="4"/>
  <c r="F2362" i="4"/>
  <c r="I2361" i="4"/>
  <c r="H2361" i="4"/>
  <c r="G2361" i="4"/>
  <c r="I2360" i="4"/>
  <c r="H2360" i="4"/>
  <c r="G2360" i="4"/>
  <c r="F2360" i="4"/>
  <c r="I2359" i="4"/>
  <c r="H2359" i="4"/>
  <c r="G2359" i="4"/>
  <c r="I2358" i="4"/>
  <c r="H2358" i="4"/>
  <c r="G2358" i="4"/>
  <c r="F2358" i="4"/>
  <c r="I2357" i="4"/>
  <c r="H2357" i="4"/>
  <c r="G2357" i="4"/>
  <c r="I2356" i="4"/>
  <c r="H2356" i="4"/>
  <c r="G2356" i="4"/>
  <c r="F2356" i="4"/>
  <c r="I2355" i="4"/>
  <c r="H2355" i="4"/>
  <c r="G2355" i="4"/>
  <c r="I2354" i="4"/>
  <c r="H2354" i="4"/>
  <c r="G2354" i="4"/>
  <c r="F2354" i="4"/>
  <c r="I2353" i="4"/>
  <c r="H2353" i="4"/>
  <c r="G2353" i="4"/>
  <c r="I2352" i="4"/>
  <c r="H2352" i="4"/>
  <c r="G2352" i="4"/>
  <c r="F2352" i="4"/>
  <c r="I2351" i="4"/>
  <c r="H2351" i="4"/>
  <c r="G2351" i="4"/>
  <c r="I2350" i="4" l="1"/>
  <c r="H2350" i="4"/>
  <c r="G2350" i="4"/>
  <c r="F2350" i="4"/>
  <c r="I2349" i="4"/>
  <c r="H2349" i="4"/>
  <c r="G2349" i="4"/>
  <c r="I2348" i="4"/>
  <c r="H2348" i="4"/>
  <c r="G2348" i="4"/>
  <c r="F2348" i="4"/>
  <c r="I2347" i="4"/>
  <c r="H2347" i="4"/>
  <c r="G2347" i="4"/>
  <c r="I2346" i="4"/>
  <c r="H2346" i="4"/>
  <c r="G2346" i="4"/>
  <c r="F2346" i="4"/>
  <c r="I2345" i="4"/>
  <c r="H2345" i="4"/>
  <c r="G2345" i="4"/>
  <c r="I2344" i="4"/>
  <c r="H2344" i="4"/>
  <c r="G2344" i="4"/>
  <c r="F2344" i="4"/>
  <c r="I2343" i="4"/>
  <c r="H2343" i="4"/>
  <c r="G2343" i="4"/>
  <c r="L19" i="48"/>
  <c r="K19" i="48"/>
  <c r="I2342" i="4"/>
  <c r="H2342" i="4"/>
  <c r="G2342" i="4"/>
  <c r="F2342" i="4"/>
  <c r="I2341" i="4"/>
  <c r="H2341" i="4"/>
  <c r="G2341" i="4"/>
  <c r="I2340" i="4"/>
  <c r="H2340" i="4"/>
  <c r="G2340" i="4"/>
  <c r="F2340" i="4"/>
  <c r="I2339" i="4"/>
  <c r="H2339" i="4"/>
  <c r="G2339" i="4"/>
  <c r="I2338" i="4"/>
  <c r="H2338" i="4"/>
  <c r="G2338" i="4"/>
  <c r="F2338" i="4"/>
  <c r="I2337" i="4"/>
  <c r="H2337" i="4"/>
  <c r="G2337" i="4"/>
  <c r="I2336" i="4"/>
  <c r="H2336" i="4"/>
  <c r="G2336" i="4"/>
  <c r="F2336" i="4"/>
  <c r="I2335" i="4"/>
  <c r="H2335" i="4"/>
  <c r="G2335" i="4"/>
  <c r="I2334" i="4"/>
  <c r="H2334" i="4"/>
  <c r="G2334" i="4"/>
  <c r="F2334" i="4"/>
  <c r="I2333" i="4"/>
  <c r="H2333" i="4"/>
  <c r="G2333" i="4"/>
  <c r="I2332" i="4"/>
  <c r="H2332" i="4"/>
  <c r="G2332" i="4"/>
  <c r="F2332" i="4"/>
  <c r="I2331" i="4"/>
  <c r="H2331" i="4"/>
  <c r="G2331" i="4"/>
  <c r="I2330" i="4"/>
  <c r="H2330" i="4"/>
  <c r="G2330" i="4"/>
  <c r="F2330" i="4"/>
  <c r="I2329" i="4"/>
  <c r="H2329" i="4"/>
  <c r="G2329" i="4"/>
  <c r="I2328" i="4"/>
  <c r="H2328" i="4"/>
  <c r="G2328" i="4"/>
  <c r="F2328" i="4"/>
  <c r="I2327" i="4"/>
  <c r="H2327" i="4"/>
  <c r="G2327" i="4"/>
  <c r="I2326" i="4"/>
  <c r="H2326" i="4"/>
  <c r="G2326" i="4"/>
  <c r="F2326" i="4"/>
  <c r="I2325" i="4"/>
  <c r="H2325" i="4"/>
  <c r="G2325" i="4"/>
  <c r="I2324" i="4"/>
  <c r="H2324" i="4"/>
  <c r="G2324" i="4"/>
  <c r="F2324" i="4"/>
  <c r="I2323" i="4"/>
  <c r="H2323" i="4"/>
  <c r="G2323" i="4"/>
  <c r="I2322" i="4"/>
  <c r="H2322" i="4"/>
  <c r="G2322" i="4"/>
  <c r="F2322" i="4"/>
  <c r="I2321" i="4"/>
  <c r="H2321" i="4"/>
  <c r="G2321" i="4"/>
  <c r="I2320" i="4"/>
  <c r="H2320" i="4"/>
  <c r="G2320" i="4"/>
  <c r="F2320" i="4"/>
  <c r="I2319" i="4"/>
  <c r="H2319" i="4"/>
  <c r="G2319" i="4"/>
  <c r="I2318" i="4"/>
  <c r="H2318" i="4"/>
  <c r="G2318" i="4"/>
  <c r="F2318" i="4"/>
  <c r="I2317" i="4"/>
  <c r="H2317" i="4"/>
  <c r="G2317" i="4"/>
  <c r="I2316" i="4"/>
  <c r="H2316" i="4"/>
  <c r="G2316" i="4"/>
  <c r="F2316" i="4"/>
  <c r="I2315" i="4"/>
  <c r="H2315" i="4"/>
  <c r="G2315" i="4"/>
  <c r="I2314" i="4"/>
  <c r="H2314" i="4"/>
  <c r="G2314" i="4"/>
  <c r="F2314" i="4"/>
  <c r="I2313" i="4"/>
  <c r="H2313" i="4"/>
  <c r="G2313" i="4"/>
  <c r="I2312" i="4"/>
  <c r="H2312" i="4"/>
  <c r="G2312" i="4"/>
  <c r="F2312" i="4"/>
  <c r="I2311" i="4"/>
  <c r="H2311" i="4"/>
  <c r="G2311" i="4"/>
  <c r="I2310" i="4"/>
  <c r="H2310" i="4"/>
  <c r="G2310" i="4"/>
  <c r="F2310" i="4"/>
  <c r="I2309" i="4"/>
  <c r="H2309" i="4"/>
  <c r="G2309" i="4"/>
  <c r="I2308" i="4"/>
  <c r="H2308" i="4"/>
  <c r="G2308" i="4"/>
  <c r="F2308" i="4"/>
  <c r="I2307" i="4"/>
  <c r="H2307" i="4"/>
  <c r="G2307" i="4"/>
  <c r="I2306" i="4"/>
  <c r="H2306" i="4"/>
  <c r="G2306" i="4"/>
  <c r="F2306" i="4"/>
  <c r="I2305" i="4"/>
  <c r="H2305" i="4"/>
  <c r="G2305" i="4"/>
  <c r="I2304" i="4"/>
  <c r="H2304" i="4"/>
  <c r="G2304" i="4"/>
  <c r="F2304" i="4"/>
  <c r="I2303" i="4"/>
  <c r="H2303" i="4"/>
  <c r="G2303" i="4"/>
  <c r="I2302" i="4"/>
  <c r="H2302" i="4"/>
  <c r="G2302" i="4"/>
  <c r="F2302" i="4"/>
  <c r="I2301" i="4"/>
  <c r="H2301" i="4"/>
  <c r="G2301" i="4"/>
  <c r="I2300" i="4"/>
  <c r="H2300" i="4"/>
  <c r="G2300" i="4"/>
  <c r="F2300" i="4"/>
  <c r="I2299" i="4"/>
  <c r="H2299" i="4"/>
  <c r="G2299" i="4"/>
  <c r="I2298" i="4"/>
  <c r="H2298" i="4"/>
  <c r="G2298" i="4"/>
  <c r="F2298" i="4"/>
  <c r="I2297" i="4"/>
  <c r="H2297" i="4"/>
  <c r="G2297" i="4"/>
  <c r="I2296" i="4"/>
  <c r="H2296" i="4"/>
  <c r="G2296" i="4"/>
  <c r="F2296" i="4"/>
  <c r="I2295" i="4"/>
  <c r="H2295" i="4"/>
  <c r="G2295" i="4"/>
  <c r="I2294" i="4"/>
  <c r="H2294" i="4"/>
  <c r="G2294" i="4"/>
  <c r="F2294" i="4"/>
  <c r="I2293" i="4"/>
  <c r="H2293" i="4"/>
  <c r="G2293" i="4"/>
  <c r="I2292" i="4"/>
  <c r="H2292" i="4"/>
  <c r="G2292" i="4"/>
  <c r="F2292" i="4"/>
  <c r="I2291" i="4"/>
  <c r="H2291" i="4"/>
  <c r="G2291" i="4"/>
  <c r="I2290" i="4"/>
  <c r="H2290" i="4"/>
  <c r="G2290" i="4"/>
  <c r="F2290" i="4"/>
  <c r="I2289" i="4"/>
  <c r="H2289" i="4"/>
  <c r="G2289" i="4"/>
  <c r="I2288" i="4"/>
  <c r="H2288" i="4"/>
  <c r="G2288" i="4"/>
  <c r="F2288" i="4"/>
  <c r="I2287" i="4"/>
  <c r="H2287" i="4"/>
  <c r="G2287" i="4"/>
  <c r="I2286" i="4"/>
  <c r="H2286" i="4"/>
  <c r="G2286" i="4"/>
  <c r="F2286" i="4"/>
  <c r="I2285" i="4"/>
  <c r="H2285" i="4"/>
  <c r="G2285" i="4"/>
  <c r="I2284" i="4"/>
  <c r="H2284" i="4"/>
  <c r="G2284" i="4"/>
  <c r="F2284" i="4"/>
  <c r="I2283" i="4"/>
  <c r="H2283" i="4"/>
  <c r="G2283" i="4"/>
  <c r="I2282" i="4"/>
  <c r="H2282" i="4"/>
  <c r="G2282" i="4"/>
  <c r="F2282" i="4"/>
  <c r="I2281" i="4"/>
  <c r="H2281" i="4"/>
  <c r="G2281" i="4"/>
  <c r="I2280" i="4"/>
  <c r="H2280" i="4"/>
  <c r="G2280" i="4"/>
  <c r="F2280" i="4"/>
  <c r="I2279" i="4"/>
  <c r="H2279" i="4"/>
  <c r="G2279" i="4"/>
  <c r="F2274" i="4"/>
  <c r="I2278" i="4"/>
  <c r="H2278" i="4"/>
  <c r="G2278" i="4"/>
  <c r="F2278" i="4"/>
  <c r="I2277" i="4"/>
  <c r="H2277" i="4"/>
  <c r="G2277" i="4"/>
  <c r="I2276" i="4"/>
  <c r="H2276" i="4"/>
  <c r="G2276" i="4"/>
  <c r="F2276" i="4"/>
  <c r="I2275" i="4"/>
  <c r="H2275" i="4"/>
  <c r="G2275" i="4"/>
  <c r="I2274" i="4"/>
  <c r="H2274" i="4"/>
  <c r="G2274" i="4"/>
  <c r="I2273" i="4"/>
  <c r="H2273" i="4"/>
  <c r="G2273" i="4"/>
  <c r="I2272" i="4"/>
  <c r="H2272" i="4"/>
  <c r="G2272" i="4"/>
  <c r="F2272" i="4"/>
  <c r="I2271" i="4"/>
  <c r="H2271" i="4"/>
  <c r="G2271" i="4"/>
  <c r="I2270" i="4"/>
  <c r="H2270" i="4"/>
  <c r="G2270" i="4"/>
  <c r="F2270" i="4"/>
  <c r="I2269" i="4"/>
  <c r="H2269" i="4"/>
  <c r="G2269" i="4"/>
  <c r="I2268" i="4"/>
  <c r="H2268" i="4"/>
  <c r="G2268" i="4"/>
  <c r="F2268" i="4"/>
  <c r="I2267" i="4"/>
  <c r="H2267" i="4"/>
  <c r="G2267" i="4"/>
  <c r="I2266" i="4"/>
  <c r="H2266" i="4"/>
  <c r="G2266" i="4"/>
  <c r="F2266" i="4"/>
  <c r="I2265" i="4"/>
  <c r="H2265" i="4"/>
  <c r="G2265" i="4"/>
  <c r="I2264" i="4"/>
  <c r="H2264" i="4"/>
  <c r="G2264" i="4"/>
  <c r="F2264" i="4"/>
  <c r="I2263" i="4"/>
  <c r="H2263" i="4"/>
  <c r="G2263" i="4"/>
  <c r="I2262" i="4"/>
  <c r="H2262" i="4"/>
  <c r="G2262" i="4"/>
  <c r="F2262" i="4"/>
  <c r="I2261" i="4"/>
  <c r="H2261" i="4"/>
  <c r="G2261" i="4"/>
  <c r="I2260" i="4"/>
  <c r="H2260" i="4"/>
  <c r="G2260" i="4"/>
  <c r="F2260" i="4"/>
  <c r="I2259" i="4"/>
  <c r="H2259" i="4"/>
  <c r="G2259" i="4"/>
  <c r="I2258" i="4"/>
  <c r="H2258" i="4"/>
  <c r="G2258" i="4"/>
  <c r="F2258" i="4"/>
  <c r="I2257" i="4"/>
  <c r="H2257" i="4"/>
  <c r="G2257" i="4"/>
  <c r="I2256" i="4"/>
  <c r="H2256" i="4"/>
  <c r="G2256" i="4"/>
  <c r="F2256" i="4"/>
  <c r="I2255" i="4"/>
  <c r="H2255" i="4"/>
  <c r="G2255" i="4"/>
  <c r="I2254" i="4"/>
  <c r="H2254" i="4"/>
  <c r="G2254" i="4"/>
  <c r="F2254" i="4"/>
  <c r="I2253" i="4"/>
  <c r="H2253" i="4"/>
  <c r="G2253" i="4"/>
  <c r="I2252" i="4"/>
  <c r="H2252" i="4"/>
  <c r="G2252" i="4"/>
  <c r="F2252" i="4"/>
  <c r="I2251" i="4"/>
  <c r="H2251" i="4"/>
  <c r="G2251" i="4"/>
  <c r="I2250" i="4"/>
  <c r="H2250" i="4"/>
  <c r="G2250" i="4"/>
  <c r="F2250" i="4"/>
  <c r="I2249" i="4"/>
  <c r="H2249" i="4"/>
  <c r="G2249" i="4"/>
  <c r="I2248" i="4"/>
  <c r="H2248" i="4"/>
  <c r="G2248" i="4"/>
  <c r="F2248" i="4"/>
  <c r="I2247" i="4"/>
  <c r="H2247" i="4"/>
  <c r="G2247" i="4"/>
  <c r="I2246" i="4"/>
  <c r="H2246" i="4"/>
  <c r="G2246" i="4"/>
  <c r="F2246" i="4"/>
  <c r="I2245" i="4"/>
  <c r="H2245" i="4"/>
  <c r="G2245" i="4"/>
  <c r="I2244" i="4"/>
  <c r="H2244" i="4"/>
  <c r="G2244" i="4"/>
  <c r="F2244" i="4"/>
  <c r="I2243" i="4"/>
  <c r="H2243" i="4"/>
  <c r="G2243" i="4"/>
  <c r="I2242" i="4"/>
  <c r="H2242" i="4"/>
  <c r="G2242" i="4"/>
  <c r="F2242" i="4"/>
  <c r="I2241" i="4"/>
  <c r="H2241" i="4"/>
  <c r="G2241" i="4"/>
  <c r="I2240" i="4"/>
  <c r="H2240" i="4"/>
  <c r="G2240" i="4"/>
  <c r="F2240" i="4"/>
  <c r="I2239" i="4"/>
  <c r="H2239" i="4"/>
  <c r="G2239" i="4"/>
  <c r="I2238" i="4"/>
  <c r="H2238" i="4"/>
  <c r="G2238" i="4"/>
  <c r="F2238" i="4"/>
  <c r="I2237" i="4"/>
  <c r="H2237" i="4"/>
  <c r="G2237" i="4"/>
  <c r="I2236" i="4"/>
  <c r="H2236" i="4"/>
  <c r="G2236" i="4"/>
  <c r="F2236" i="4"/>
  <c r="I2235" i="4"/>
  <c r="H2235" i="4"/>
  <c r="G2235" i="4"/>
  <c r="I2234" i="4"/>
  <c r="H2234" i="4"/>
  <c r="G2234" i="4"/>
  <c r="F2234" i="4"/>
  <c r="I2233" i="4"/>
  <c r="H2233" i="4"/>
  <c r="G2233" i="4"/>
  <c r="I2232" i="4"/>
  <c r="H2232" i="4"/>
  <c r="G2232" i="4"/>
  <c r="F2232" i="4"/>
  <c r="I2231" i="4"/>
  <c r="H2231" i="4"/>
  <c r="G2231" i="4"/>
  <c r="I2230" i="4"/>
  <c r="H2230" i="4"/>
  <c r="G2230" i="4"/>
  <c r="F2230" i="4"/>
  <c r="I2229" i="4"/>
  <c r="H2229" i="4"/>
  <c r="G2229" i="4"/>
  <c r="I2228" i="4"/>
  <c r="H2228" i="4"/>
  <c r="G2228" i="4"/>
  <c r="F2228" i="4"/>
  <c r="I2227" i="4"/>
  <c r="H2227" i="4"/>
  <c r="G2227" i="4"/>
  <c r="I2226" i="4"/>
  <c r="H2226" i="4"/>
  <c r="G2226" i="4"/>
  <c r="F2226" i="4"/>
  <c r="I2225" i="4"/>
  <c r="H2225" i="4"/>
  <c r="G2225" i="4"/>
  <c r="I2224" i="4"/>
  <c r="H2224" i="4"/>
  <c r="G2224" i="4"/>
  <c r="F2224" i="4"/>
  <c r="I2223" i="4"/>
  <c r="H2223" i="4"/>
  <c r="G2223" i="4"/>
  <c r="I2222" i="4"/>
  <c r="H2222" i="4"/>
  <c r="G2222" i="4"/>
  <c r="F2222" i="4"/>
  <c r="I2221" i="4"/>
  <c r="H2221" i="4"/>
  <c r="G2221" i="4"/>
  <c r="I2220" i="4"/>
  <c r="H2220" i="4"/>
  <c r="G2220" i="4"/>
  <c r="F2220" i="4"/>
  <c r="I2219" i="4"/>
  <c r="H2219" i="4"/>
  <c r="G2219" i="4"/>
  <c r="I2218" i="4"/>
  <c r="H2218" i="4"/>
  <c r="G2218" i="4"/>
  <c r="F2218" i="4"/>
  <c r="I2217" i="4"/>
  <c r="H2217" i="4"/>
  <c r="G2217" i="4"/>
  <c r="I2216" i="4"/>
  <c r="H2216" i="4"/>
  <c r="G2216" i="4"/>
  <c r="F2216" i="4"/>
  <c r="I2215" i="4"/>
  <c r="H2215" i="4"/>
  <c r="G2215" i="4"/>
  <c r="I2214" i="4"/>
  <c r="H2214" i="4"/>
  <c r="G2214" i="4"/>
  <c r="F2214" i="4"/>
  <c r="I2213" i="4"/>
  <c r="H2213" i="4"/>
  <c r="G2213" i="4"/>
  <c r="I2212" i="4"/>
  <c r="H2212" i="4"/>
  <c r="G2212" i="4"/>
  <c r="F2212" i="4"/>
  <c r="I2211" i="4"/>
  <c r="H2211" i="4"/>
  <c r="G2211" i="4"/>
  <c r="I2210" i="4"/>
  <c r="H2210" i="4"/>
  <c r="G2210" i="4"/>
  <c r="F2210" i="4"/>
  <c r="I2209" i="4"/>
  <c r="H2209" i="4"/>
  <c r="G2209" i="4"/>
  <c r="I2208" i="4"/>
  <c r="H2208" i="4"/>
  <c r="G2208" i="4"/>
  <c r="F2208" i="4"/>
  <c r="I2207" i="4"/>
  <c r="H2207" i="4"/>
  <c r="G2207" i="4"/>
  <c r="I2206" i="4"/>
  <c r="H2206" i="4"/>
  <c r="G2206" i="4"/>
  <c r="F2206" i="4"/>
  <c r="I2205" i="4"/>
  <c r="H2205" i="4"/>
  <c r="G2205" i="4"/>
  <c r="I2204" i="4"/>
  <c r="H2204" i="4"/>
  <c r="G2204" i="4"/>
  <c r="F2204" i="4"/>
  <c r="I2203" i="4"/>
  <c r="H2203" i="4"/>
  <c r="G2203" i="4"/>
  <c r="I2202" i="4"/>
  <c r="H2202" i="4"/>
  <c r="G2202" i="4"/>
  <c r="F2202" i="4"/>
  <c r="I2201" i="4"/>
  <c r="H2201" i="4"/>
  <c r="G2201" i="4"/>
  <c r="I2200" i="4"/>
  <c r="H2200" i="4"/>
  <c r="G2200" i="4"/>
  <c r="F2200" i="4"/>
  <c r="I2199" i="4"/>
  <c r="H2199" i="4"/>
  <c r="G2199" i="4"/>
  <c r="I2198" i="4"/>
  <c r="H2198" i="4"/>
  <c r="G2198" i="4"/>
  <c r="F2198" i="4"/>
  <c r="I2197" i="4"/>
  <c r="H2197" i="4"/>
  <c r="G2197" i="4"/>
  <c r="I2196" i="4"/>
  <c r="H2196" i="4"/>
  <c r="G2196" i="4"/>
  <c r="F2196" i="4"/>
  <c r="I2195" i="4"/>
  <c r="H2195" i="4"/>
  <c r="G2195" i="4"/>
  <c r="I2194" i="4"/>
  <c r="H2194" i="4"/>
  <c r="G2194" i="4"/>
  <c r="F2194" i="4"/>
  <c r="I2193" i="4"/>
  <c r="H2193" i="4"/>
  <c r="G2193" i="4"/>
  <c r="I2192" i="4"/>
  <c r="H2192" i="4"/>
  <c r="G2192" i="4"/>
  <c r="F2192" i="4"/>
  <c r="I2191" i="4"/>
  <c r="H2191" i="4"/>
  <c r="G2191" i="4"/>
  <c r="I2190" i="4"/>
  <c r="H2190" i="4"/>
  <c r="G2190" i="4"/>
  <c r="F2190" i="4"/>
  <c r="I2189" i="4"/>
  <c r="H2189" i="4"/>
  <c r="G2189" i="4"/>
  <c r="I2188" i="4"/>
  <c r="H2188" i="4"/>
  <c r="G2188" i="4"/>
  <c r="F2188" i="4"/>
  <c r="I2187" i="4"/>
  <c r="H2187" i="4"/>
  <c r="G2187" i="4"/>
  <c r="I2186" i="4"/>
  <c r="H2186" i="4"/>
  <c r="G2186" i="4"/>
  <c r="F2186" i="4"/>
  <c r="I2185" i="4"/>
  <c r="H2185" i="4"/>
  <c r="G2185" i="4"/>
  <c r="I2184" i="4"/>
  <c r="H2184" i="4"/>
  <c r="G2184" i="4"/>
  <c r="F2184" i="4"/>
  <c r="I2183" i="4"/>
  <c r="H2183" i="4"/>
  <c r="G2183" i="4"/>
  <c r="I2182" i="4"/>
  <c r="H2182" i="4"/>
  <c r="G2182" i="4"/>
  <c r="F2182" i="4"/>
  <c r="I2181" i="4"/>
  <c r="H2181" i="4"/>
  <c r="G2181" i="4"/>
  <c r="I2180" i="4"/>
  <c r="H2180" i="4"/>
  <c r="G2180" i="4"/>
  <c r="F2180" i="4"/>
  <c r="I2179" i="4"/>
  <c r="H2179" i="4"/>
  <c r="G2179" i="4"/>
  <c r="I2178" i="4"/>
  <c r="H2178" i="4"/>
  <c r="G2178" i="4"/>
  <c r="F2178" i="4"/>
  <c r="I2177" i="4"/>
  <c r="H2177" i="4"/>
  <c r="G2177" i="4"/>
  <c r="I2176" i="4"/>
  <c r="H2176" i="4"/>
  <c r="G2176" i="4"/>
  <c r="F2176" i="4"/>
  <c r="I2175" i="4"/>
  <c r="H2175" i="4"/>
  <c r="G2175" i="4"/>
  <c r="I2174" i="4"/>
  <c r="H2174" i="4"/>
  <c r="G2174" i="4"/>
  <c r="F2174" i="4"/>
  <c r="I2173" i="4"/>
  <c r="H2173" i="4"/>
  <c r="G2173" i="4"/>
  <c r="I2172" i="4"/>
  <c r="H2172" i="4"/>
  <c r="G2172" i="4"/>
  <c r="F2172" i="4"/>
  <c r="I2171" i="4"/>
  <c r="H2171" i="4"/>
  <c r="G2171" i="4"/>
  <c r="I2170" i="4"/>
  <c r="H2170" i="4"/>
  <c r="G2170" i="4"/>
  <c r="F2170" i="4"/>
  <c r="I2169" i="4"/>
  <c r="H2169" i="4"/>
  <c r="G2169" i="4"/>
  <c r="I2168" i="4"/>
  <c r="H2168" i="4"/>
  <c r="G2168" i="4"/>
  <c r="F2168" i="4"/>
  <c r="I2167" i="4"/>
  <c r="H2167" i="4"/>
  <c r="G2167" i="4"/>
  <c r="I2166" i="4"/>
  <c r="H2166" i="4"/>
  <c r="G2166" i="4"/>
  <c r="F2166" i="4"/>
  <c r="I2165" i="4"/>
  <c r="H2165" i="4"/>
  <c r="G2165" i="4"/>
  <c r="I2164" i="4"/>
  <c r="H2164" i="4"/>
  <c r="G2164" i="4"/>
  <c r="F2164" i="4"/>
  <c r="I2163" i="4"/>
  <c r="H2163" i="4"/>
  <c r="G2163" i="4"/>
  <c r="I2162" i="4"/>
  <c r="H2162" i="4"/>
  <c r="G2162" i="4"/>
  <c r="F2162" i="4"/>
  <c r="I2161" i="4"/>
  <c r="H2161" i="4"/>
  <c r="G2161" i="4"/>
  <c r="I2160" i="4"/>
  <c r="H2160" i="4"/>
  <c r="G2160" i="4"/>
  <c r="F2160" i="4"/>
  <c r="I2159" i="4"/>
  <c r="H2159" i="4"/>
  <c r="G2159" i="4"/>
  <c r="I2158" i="4"/>
  <c r="H2158" i="4"/>
  <c r="G2158" i="4"/>
  <c r="F2158" i="4"/>
  <c r="I2157" i="4"/>
  <c r="H2157" i="4"/>
  <c r="G2157" i="4"/>
  <c r="I2156" i="4"/>
  <c r="H2156" i="4"/>
  <c r="G2156" i="4"/>
  <c r="F2156" i="4"/>
  <c r="I2155" i="4"/>
  <c r="H2155" i="4"/>
  <c r="G2155" i="4"/>
  <c r="I2154" i="4"/>
  <c r="H2154" i="4"/>
  <c r="G2154" i="4"/>
  <c r="F2154" i="4"/>
  <c r="I2153" i="4"/>
  <c r="H2153" i="4"/>
  <c r="G2153" i="4"/>
  <c r="I2152" i="4"/>
  <c r="H2152" i="4"/>
  <c r="G2152" i="4"/>
  <c r="F2152" i="4"/>
  <c r="I2151" i="4"/>
  <c r="H2151" i="4"/>
  <c r="G2151" i="4"/>
  <c r="I2150" i="4"/>
  <c r="H2150" i="4"/>
  <c r="G2150" i="4"/>
  <c r="F2150" i="4"/>
  <c r="I2149" i="4"/>
  <c r="H2149" i="4"/>
  <c r="G2149" i="4"/>
  <c r="I2148" i="4"/>
  <c r="H2148" i="4"/>
  <c r="G2148" i="4"/>
  <c r="F2148" i="4"/>
  <c r="I2147" i="4"/>
  <c r="H2147" i="4"/>
  <c r="G2147" i="4"/>
  <c r="I2146" i="4"/>
  <c r="H2146" i="4"/>
  <c r="G2146" i="4"/>
  <c r="F2146" i="4"/>
  <c r="I2145" i="4"/>
  <c r="H2145" i="4"/>
  <c r="G2145" i="4"/>
  <c r="I2144" i="4"/>
  <c r="H2144" i="4"/>
  <c r="G2144" i="4"/>
  <c r="F2144" i="4"/>
  <c r="I2143" i="4"/>
  <c r="H2143" i="4"/>
  <c r="G2143" i="4"/>
  <c r="I2142" i="4"/>
  <c r="H2142" i="4"/>
  <c r="G2142" i="4"/>
  <c r="F2142" i="4"/>
  <c r="I2141" i="4"/>
  <c r="H2141" i="4"/>
  <c r="G2141" i="4"/>
  <c r="I2140" i="4"/>
  <c r="H2140" i="4"/>
  <c r="G2140" i="4"/>
  <c r="F2140" i="4"/>
  <c r="I2139" i="4"/>
  <c r="H2139" i="4"/>
  <c r="G2139" i="4"/>
  <c r="I2138" i="4"/>
  <c r="H2138" i="4"/>
  <c r="G2138" i="4"/>
  <c r="F2138" i="4"/>
  <c r="I2137" i="4"/>
  <c r="H2137" i="4"/>
  <c r="G2137" i="4"/>
  <c r="I2136" i="4"/>
  <c r="H2136" i="4"/>
  <c r="G2136" i="4"/>
  <c r="F2136" i="4"/>
  <c r="I2135" i="4"/>
  <c r="H2135" i="4"/>
  <c r="G2135" i="4"/>
  <c r="I2134" i="4" l="1"/>
  <c r="H2134" i="4"/>
  <c r="G2134" i="4"/>
  <c r="F2134" i="4"/>
  <c r="I2133" i="4"/>
  <c r="H2133" i="4"/>
  <c r="G2133" i="4"/>
  <c r="I2132" i="4"/>
  <c r="H2132" i="4"/>
  <c r="G2132" i="4"/>
  <c r="F2132" i="4"/>
  <c r="I2131" i="4"/>
  <c r="H2131" i="4"/>
  <c r="G2131" i="4"/>
  <c r="I2130" i="4"/>
  <c r="H2130" i="4"/>
  <c r="G2130" i="4"/>
  <c r="F2130" i="4"/>
  <c r="I2129" i="4"/>
  <c r="H2129" i="4"/>
  <c r="G2129" i="4"/>
  <c r="I2128" i="4"/>
  <c r="H2128" i="4"/>
  <c r="G2128" i="4"/>
  <c r="F2128" i="4"/>
  <c r="I2127" i="4"/>
  <c r="H2127" i="4"/>
  <c r="G2127" i="4"/>
  <c r="I2126" i="4" l="1"/>
  <c r="H2126" i="4"/>
  <c r="G2126" i="4"/>
  <c r="F2126" i="4"/>
  <c r="I2125" i="4"/>
  <c r="H2125" i="4"/>
  <c r="G2125" i="4"/>
  <c r="I2124" i="4"/>
  <c r="H2124" i="4"/>
  <c r="G2124" i="4"/>
  <c r="F2124" i="4"/>
  <c r="I2123" i="4"/>
  <c r="H2123" i="4"/>
  <c r="G2123" i="4"/>
  <c r="I2122" i="4"/>
  <c r="H2122" i="4"/>
  <c r="G2122" i="4"/>
  <c r="F2122" i="4"/>
  <c r="I2121" i="4"/>
  <c r="H2121" i="4"/>
  <c r="G2121" i="4"/>
  <c r="I2120" i="4"/>
  <c r="H2120" i="4"/>
  <c r="G2120" i="4"/>
  <c r="F2120" i="4"/>
  <c r="I2119" i="4"/>
  <c r="H2119" i="4"/>
  <c r="G2119" i="4"/>
  <c r="I2118" i="4"/>
  <c r="H2118" i="4"/>
  <c r="G2118" i="4"/>
  <c r="F2118" i="4"/>
  <c r="I2117" i="4"/>
  <c r="H2117" i="4"/>
  <c r="G2117" i="4"/>
  <c r="I2116" i="4"/>
  <c r="H2116" i="4"/>
  <c r="G2116" i="4"/>
  <c r="F2116" i="4"/>
  <c r="I2115" i="4"/>
  <c r="H2115" i="4"/>
  <c r="G2115" i="4"/>
  <c r="I2114" i="4"/>
  <c r="H2114" i="4"/>
  <c r="G2114" i="4"/>
  <c r="F2114" i="4"/>
  <c r="I2113" i="4"/>
  <c r="H2113" i="4"/>
  <c r="G2113" i="4"/>
  <c r="I2112" i="4"/>
  <c r="H2112" i="4"/>
  <c r="G2112" i="4"/>
  <c r="F2112" i="4"/>
  <c r="I2111" i="4"/>
  <c r="H2111" i="4"/>
  <c r="G2111" i="4"/>
  <c r="I2110" i="4"/>
  <c r="H2110" i="4"/>
  <c r="G2110" i="4"/>
  <c r="F2110" i="4"/>
  <c r="I2109" i="4"/>
  <c r="H2109" i="4"/>
  <c r="G2109" i="4"/>
  <c r="I2108" i="4"/>
  <c r="H2108" i="4"/>
  <c r="G2108" i="4"/>
  <c r="F2108" i="4"/>
  <c r="I2107" i="4"/>
  <c r="H2107" i="4"/>
  <c r="G2107" i="4"/>
  <c r="I2106" i="4"/>
  <c r="H2106" i="4"/>
  <c r="G2106" i="4"/>
  <c r="F2106" i="4"/>
  <c r="I2105" i="4"/>
  <c r="H2105" i="4"/>
  <c r="G2105" i="4"/>
  <c r="I2104" i="4"/>
  <c r="H2104" i="4"/>
  <c r="G2104" i="4"/>
  <c r="F2104" i="4"/>
  <c r="I2103" i="4"/>
  <c r="H2103" i="4"/>
  <c r="G2103" i="4"/>
  <c r="I2102" i="4"/>
  <c r="H2102" i="4"/>
  <c r="G2102" i="4"/>
  <c r="F2102" i="4"/>
  <c r="I2101" i="4"/>
  <c r="H2101" i="4"/>
  <c r="G2101" i="4"/>
  <c r="I2100" i="4"/>
  <c r="H2100" i="4"/>
  <c r="G2100" i="4"/>
  <c r="F2100" i="4"/>
  <c r="I2099" i="4"/>
  <c r="H2099" i="4"/>
  <c r="G2099" i="4"/>
  <c r="I2098" i="4"/>
  <c r="H2098" i="4"/>
  <c r="G2098" i="4"/>
  <c r="F2098" i="4"/>
  <c r="I2097" i="4"/>
  <c r="H2097" i="4"/>
  <c r="G2097" i="4"/>
  <c r="I2096" i="4"/>
  <c r="H2096" i="4"/>
  <c r="G2096" i="4"/>
  <c r="F2096" i="4"/>
  <c r="I2095" i="4"/>
  <c r="H2095" i="4"/>
  <c r="G2095" i="4"/>
  <c r="I2094" i="4"/>
  <c r="H2094" i="4"/>
  <c r="G2094" i="4"/>
  <c r="F2094" i="4"/>
  <c r="I2093" i="4"/>
  <c r="H2093" i="4"/>
  <c r="G2093" i="4"/>
  <c r="I2092" i="4"/>
  <c r="H2092" i="4"/>
  <c r="G2092" i="4"/>
  <c r="F2092" i="4"/>
  <c r="I2091" i="4"/>
  <c r="H2091" i="4"/>
  <c r="G2091" i="4"/>
  <c r="I2090" i="4"/>
  <c r="H2090" i="4"/>
  <c r="G2090" i="4"/>
  <c r="F2090" i="4"/>
  <c r="I2089" i="4"/>
  <c r="H2089" i="4"/>
  <c r="G2089" i="4"/>
  <c r="I2088" i="4"/>
  <c r="H2088" i="4"/>
  <c r="G2088" i="4"/>
  <c r="F2088" i="4"/>
  <c r="I2087" i="4"/>
  <c r="H2087" i="4"/>
  <c r="G2087" i="4"/>
  <c r="I2086" i="4"/>
  <c r="H2086" i="4"/>
  <c r="G2086" i="4"/>
  <c r="F2086" i="4"/>
  <c r="I2085" i="4"/>
  <c r="H2085" i="4"/>
  <c r="G2085" i="4"/>
  <c r="I2084" i="4"/>
  <c r="H2084" i="4"/>
  <c r="G2084" i="4"/>
  <c r="F2084" i="4"/>
  <c r="I2083" i="4"/>
  <c r="H2083" i="4"/>
  <c r="G2083" i="4"/>
  <c r="I2082" i="4"/>
  <c r="H2082" i="4"/>
  <c r="G2082" i="4"/>
  <c r="F2082" i="4"/>
  <c r="I2081" i="4"/>
  <c r="H2081" i="4"/>
  <c r="G2081" i="4"/>
  <c r="I2080" i="4"/>
  <c r="H2080" i="4"/>
  <c r="G2080" i="4"/>
  <c r="F2080" i="4"/>
  <c r="I2079" i="4"/>
  <c r="H2079" i="4"/>
  <c r="G2079" i="4"/>
  <c r="K18" i="48"/>
  <c r="L18" i="48"/>
  <c r="I2078" i="4"/>
  <c r="H2078" i="4"/>
  <c r="G2078" i="4"/>
  <c r="F2078" i="4"/>
  <c r="I2077" i="4"/>
  <c r="H2077" i="4"/>
  <c r="G2077" i="4"/>
  <c r="I2076" i="4"/>
  <c r="H2076" i="4"/>
  <c r="G2076" i="4"/>
  <c r="F2076" i="4"/>
  <c r="I2075" i="4"/>
  <c r="H2075" i="4"/>
  <c r="G2075" i="4"/>
  <c r="I2074" i="4"/>
  <c r="H2074" i="4"/>
  <c r="G2074" i="4"/>
  <c r="F2074" i="4"/>
  <c r="I2073" i="4"/>
  <c r="H2073" i="4"/>
  <c r="G2073" i="4"/>
  <c r="I2072" i="4"/>
  <c r="H2072" i="4"/>
  <c r="G2072" i="4"/>
  <c r="F2072" i="4"/>
  <c r="I2071" i="4"/>
  <c r="H2071" i="4"/>
  <c r="G2071" i="4"/>
  <c r="I2070" i="4"/>
  <c r="H2070" i="4"/>
  <c r="G2070" i="4"/>
  <c r="F2070" i="4"/>
  <c r="I2069" i="4"/>
  <c r="H2069" i="4"/>
  <c r="G2069" i="4"/>
  <c r="I2068" i="4"/>
  <c r="H2068" i="4"/>
  <c r="G2068" i="4"/>
  <c r="F2068" i="4"/>
  <c r="I2067" i="4"/>
  <c r="H2067" i="4"/>
  <c r="G2067" i="4"/>
  <c r="I2066" i="4"/>
  <c r="H2066" i="4"/>
  <c r="G2066" i="4"/>
  <c r="F2066" i="4"/>
  <c r="I2065" i="4"/>
  <c r="H2065" i="4"/>
  <c r="G2065" i="4"/>
  <c r="I2064" i="4"/>
  <c r="H2064" i="4"/>
  <c r="G2064" i="4"/>
  <c r="F2064" i="4"/>
  <c r="I2063" i="4"/>
  <c r="H2063" i="4"/>
  <c r="G2063" i="4"/>
  <c r="I2062" i="4"/>
  <c r="H2062" i="4"/>
  <c r="G2062" i="4"/>
  <c r="F2062" i="4"/>
  <c r="I2061" i="4"/>
  <c r="H2061" i="4"/>
  <c r="G2061" i="4"/>
  <c r="I2060" i="4"/>
  <c r="H2060" i="4"/>
  <c r="G2060" i="4"/>
  <c r="F2060" i="4"/>
  <c r="I2059" i="4"/>
  <c r="H2059" i="4"/>
  <c r="G2059" i="4"/>
  <c r="I2058" i="4"/>
  <c r="H2058" i="4"/>
  <c r="G2058" i="4"/>
  <c r="F2058" i="4"/>
  <c r="I2057" i="4"/>
  <c r="H2057" i="4"/>
  <c r="G2057" i="4"/>
  <c r="I2056" i="4"/>
  <c r="H2056" i="4"/>
  <c r="G2056" i="4"/>
  <c r="F2056" i="4"/>
  <c r="I2055" i="4"/>
  <c r="H2055" i="4"/>
  <c r="G2055" i="4"/>
  <c r="I2054" i="4"/>
  <c r="H2054" i="4"/>
  <c r="G2054" i="4"/>
  <c r="F2054" i="4"/>
  <c r="I2053" i="4"/>
  <c r="H2053" i="4"/>
  <c r="G2053" i="4"/>
  <c r="I2052" i="4"/>
  <c r="H2052" i="4"/>
  <c r="G2052" i="4"/>
  <c r="F2052" i="4"/>
  <c r="I2051" i="4"/>
  <c r="H2051" i="4"/>
  <c r="G2051" i="4"/>
  <c r="I2050" i="4"/>
  <c r="H2050" i="4"/>
  <c r="G2050" i="4"/>
  <c r="F2050" i="4"/>
  <c r="I2049" i="4"/>
  <c r="H2049" i="4"/>
  <c r="G2049" i="4"/>
  <c r="I2048" i="4"/>
  <c r="H2048" i="4"/>
  <c r="G2048" i="4"/>
  <c r="F2048" i="4"/>
  <c r="I2047" i="4"/>
  <c r="H2047" i="4"/>
  <c r="G2047" i="4"/>
  <c r="I2046" i="4"/>
  <c r="H2046" i="4"/>
  <c r="G2046" i="4"/>
  <c r="F2046" i="4"/>
  <c r="I2045" i="4"/>
  <c r="H2045" i="4"/>
  <c r="G2045" i="4"/>
  <c r="I2044" i="4"/>
  <c r="H2044" i="4"/>
  <c r="G2044" i="4"/>
  <c r="F2044" i="4"/>
  <c r="I2043" i="4"/>
  <c r="H2043" i="4"/>
  <c r="G2043" i="4"/>
  <c r="I2042" i="4"/>
  <c r="H2042" i="4"/>
  <c r="G2042" i="4"/>
  <c r="F2042" i="4"/>
  <c r="I2041" i="4"/>
  <c r="H2041" i="4"/>
  <c r="G2041" i="4"/>
  <c r="I2040" i="4"/>
  <c r="H2040" i="4"/>
  <c r="G2040" i="4"/>
  <c r="F2040" i="4"/>
  <c r="I2039" i="4"/>
  <c r="H2039" i="4"/>
  <c r="G2039" i="4"/>
  <c r="I2038" i="4"/>
  <c r="H2038" i="4"/>
  <c r="G2038" i="4"/>
  <c r="F2038" i="4"/>
  <c r="I2037" i="4"/>
  <c r="H2037" i="4"/>
  <c r="G2037" i="4"/>
  <c r="I2036" i="4"/>
  <c r="H2036" i="4"/>
  <c r="G2036" i="4"/>
  <c r="F2036" i="4"/>
  <c r="I2035" i="4"/>
  <c r="H2035" i="4"/>
  <c r="G2035" i="4"/>
  <c r="I2034" i="4"/>
  <c r="H2034" i="4"/>
  <c r="G2034" i="4"/>
  <c r="F2034" i="4"/>
  <c r="I2033" i="4"/>
  <c r="H2033" i="4"/>
  <c r="G2033" i="4"/>
  <c r="I2032" i="4"/>
  <c r="H2032" i="4"/>
  <c r="G2032" i="4"/>
  <c r="F2032" i="4"/>
  <c r="I2031" i="4"/>
  <c r="H2031" i="4"/>
  <c r="G2031" i="4"/>
  <c r="I2030" i="4"/>
  <c r="H2030" i="4"/>
  <c r="G2030" i="4"/>
  <c r="F2030" i="4"/>
  <c r="I2029" i="4"/>
  <c r="H2029" i="4"/>
  <c r="G2029" i="4"/>
  <c r="I2028" i="4"/>
  <c r="H2028" i="4"/>
  <c r="G2028" i="4"/>
  <c r="F2028" i="4"/>
  <c r="I2027" i="4"/>
  <c r="H2027" i="4"/>
  <c r="G2027" i="4"/>
  <c r="I2026" i="4"/>
  <c r="H2026" i="4"/>
  <c r="G2026" i="4"/>
  <c r="F2026" i="4"/>
  <c r="I2025" i="4"/>
  <c r="H2025" i="4"/>
  <c r="G2025" i="4"/>
  <c r="I2024" i="4"/>
  <c r="H2024" i="4"/>
  <c r="G2024" i="4"/>
  <c r="F2024" i="4"/>
  <c r="I2023" i="4"/>
  <c r="H2023" i="4"/>
  <c r="G2023" i="4"/>
  <c r="I2022" i="4" l="1"/>
  <c r="H2022" i="4"/>
  <c r="G2022" i="4"/>
  <c r="F2022" i="4"/>
  <c r="I2021" i="4"/>
  <c r="H2021" i="4"/>
  <c r="G2021" i="4"/>
  <c r="I2020" i="4"/>
  <c r="H2020" i="4"/>
  <c r="G2020" i="4"/>
  <c r="F2020" i="4"/>
  <c r="I2019" i="4"/>
  <c r="H2019" i="4"/>
  <c r="G2019" i="4"/>
  <c r="I2018" i="4"/>
  <c r="H2018" i="4"/>
  <c r="G2018" i="4"/>
  <c r="F2018" i="4"/>
  <c r="I2017" i="4"/>
  <c r="H2017" i="4"/>
  <c r="G2017" i="4"/>
  <c r="I2016" i="4"/>
  <c r="H2016" i="4"/>
  <c r="G2016" i="4"/>
  <c r="F2016" i="4"/>
  <c r="I2015" i="4"/>
  <c r="H2015" i="4"/>
  <c r="G2015" i="4"/>
  <c r="I2014" i="4"/>
  <c r="H2014" i="4"/>
  <c r="G2014" i="4"/>
  <c r="F2014" i="4"/>
  <c r="I2013" i="4"/>
  <c r="H2013" i="4"/>
  <c r="G2013" i="4"/>
  <c r="I2012" i="4"/>
  <c r="H2012" i="4"/>
  <c r="G2012" i="4"/>
  <c r="F2012" i="4"/>
  <c r="I2011" i="4"/>
  <c r="H2011" i="4"/>
  <c r="G2011" i="4"/>
  <c r="I2010" i="4"/>
  <c r="H2010" i="4"/>
  <c r="G2010" i="4"/>
  <c r="F2010" i="4"/>
  <c r="I2009" i="4"/>
  <c r="H2009" i="4"/>
  <c r="G2009" i="4"/>
  <c r="I2008" i="4"/>
  <c r="H2008" i="4"/>
  <c r="G2008" i="4"/>
  <c r="F2008" i="4"/>
  <c r="I2007" i="4"/>
  <c r="H2007" i="4"/>
  <c r="G2007" i="4"/>
  <c r="I2006" i="4" l="1"/>
  <c r="H2006" i="4"/>
  <c r="G2006" i="4"/>
  <c r="F2006" i="4"/>
  <c r="I2005" i="4"/>
  <c r="H2005" i="4"/>
  <c r="G2005" i="4"/>
  <c r="I2004" i="4"/>
  <c r="H2004" i="4"/>
  <c r="G2004" i="4"/>
  <c r="F2004" i="4"/>
  <c r="I2003" i="4"/>
  <c r="H2003" i="4"/>
  <c r="G2003" i="4"/>
  <c r="I2002" i="4"/>
  <c r="H2002" i="4"/>
  <c r="G2002" i="4"/>
  <c r="F2002" i="4"/>
  <c r="I2001" i="4"/>
  <c r="H2001" i="4"/>
  <c r="G2001" i="4"/>
  <c r="I2000" i="4"/>
  <c r="H2000" i="4"/>
  <c r="G2000" i="4"/>
  <c r="F2000" i="4"/>
  <c r="I1999" i="4"/>
  <c r="H1999" i="4"/>
  <c r="G1999" i="4"/>
  <c r="I1998" i="4"/>
  <c r="H1998" i="4"/>
  <c r="G1998" i="4"/>
  <c r="F1998" i="4"/>
  <c r="I1997" i="4"/>
  <c r="H1997" i="4"/>
  <c r="G1997" i="4"/>
  <c r="I1996" i="4"/>
  <c r="H1996" i="4"/>
  <c r="G1996" i="4"/>
  <c r="F1996" i="4"/>
  <c r="I1995" i="4"/>
  <c r="H1995" i="4"/>
  <c r="G1995" i="4"/>
  <c r="I1994" i="4"/>
  <c r="H1994" i="4"/>
  <c r="G1994" i="4"/>
  <c r="F1994" i="4"/>
  <c r="I1993" i="4"/>
  <c r="H1993" i="4"/>
  <c r="G1993" i="4"/>
  <c r="I1992" i="4"/>
  <c r="H1992" i="4"/>
  <c r="G1992" i="4"/>
  <c r="F1992" i="4"/>
  <c r="I1991" i="4"/>
  <c r="H1991" i="4"/>
  <c r="G1991" i="4"/>
  <c r="I1990" i="4"/>
  <c r="H1990" i="4"/>
  <c r="G1990" i="4"/>
  <c r="F1990" i="4"/>
  <c r="I1989" i="4"/>
  <c r="H1989" i="4"/>
  <c r="G1989" i="4"/>
  <c r="I1988" i="4"/>
  <c r="H1988" i="4"/>
  <c r="G1988" i="4"/>
  <c r="F1988" i="4"/>
  <c r="I1987" i="4"/>
  <c r="H1987" i="4"/>
  <c r="G1987" i="4"/>
  <c r="I1986" i="4"/>
  <c r="H1986" i="4"/>
  <c r="G1986" i="4"/>
  <c r="F1986" i="4"/>
  <c r="I1985" i="4"/>
  <c r="H1985" i="4"/>
  <c r="G1985" i="4"/>
  <c r="I1984" i="4"/>
  <c r="H1984" i="4"/>
  <c r="G1984" i="4"/>
  <c r="F1984" i="4"/>
  <c r="I1983" i="4"/>
  <c r="H1983" i="4"/>
  <c r="G1983" i="4"/>
  <c r="I1982" i="4"/>
  <c r="H1982" i="4"/>
  <c r="G1982" i="4"/>
  <c r="F1982" i="4"/>
  <c r="I1981" i="4"/>
  <c r="H1981" i="4"/>
  <c r="G1981" i="4"/>
  <c r="I1980" i="4"/>
  <c r="H1980" i="4"/>
  <c r="G1980" i="4"/>
  <c r="F1980" i="4"/>
  <c r="I1979" i="4"/>
  <c r="H1979" i="4"/>
  <c r="G1979" i="4"/>
  <c r="I1978" i="4"/>
  <c r="H1978" i="4"/>
  <c r="G1978" i="4"/>
  <c r="F1978" i="4"/>
  <c r="I1977" i="4"/>
  <c r="H1977" i="4"/>
  <c r="G1977" i="4"/>
  <c r="I1976" i="4"/>
  <c r="H1976" i="4"/>
  <c r="G1976" i="4"/>
  <c r="F1976" i="4"/>
  <c r="I1975" i="4"/>
  <c r="H1975" i="4"/>
  <c r="G1975" i="4"/>
  <c r="I1974" i="4" l="1"/>
  <c r="H1974" i="4"/>
  <c r="G1974" i="4"/>
  <c r="F1974" i="4"/>
  <c r="I1973" i="4"/>
  <c r="H1973" i="4"/>
  <c r="G1973" i="4"/>
  <c r="I1972" i="4"/>
  <c r="H1972" i="4"/>
  <c r="G1972" i="4"/>
  <c r="F1972" i="4"/>
  <c r="I1971" i="4"/>
  <c r="H1971" i="4"/>
  <c r="G1971" i="4"/>
  <c r="I1970" i="4"/>
  <c r="H1970" i="4"/>
  <c r="G1970" i="4"/>
  <c r="F1970" i="4"/>
  <c r="I1969" i="4"/>
  <c r="H1969" i="4"/>
  <c r="G1969" i="4"/>
  <c r="I1968" i="4"/>
  <c r="H1968" i="4"/>
  <c r="G1968" i="4"/>
  <c r="F1968" i="4"/>
  <c r="I1967" i="4"/>
  <c r="H1967" i="4"/>
  <c r="G1967" i="4"/>
  <c r="I1966" i="4" l="1"/>
  <c r="H1966" i="4"/>
  <c r="G1966" i="4"/>
  <c r="F1966" i="4"/>
  <c r="I1965" i="4"/>
  <c r="H1965" i="4"/>
  <c r="G1965" i="4"/>
  <c r="I1964" i="4"/>
  <c r="H1964" i="4"/>
  <c r="G1964" i="4"/>
  <c r="F1964" i="4"/>
  <c r="I1963" i="4"/>
  <c r="H1963" i="4"/>
  <c r="G1963" i="4"/>
  <c r="I1962" i="4"/>
  <c r="H1962" i="4"/>
  <c r="G1962" i="4"/>
  <c r="F1962" i="4"/>
  <c r="I1961" i="4"/>
  <c r="H1961" i="4"/>
  <c r="G1961" i="4"/>
  <c r="I1960" i="4"/>
  <c r="H1960" i="4"/>
  <c r="G1960" i="4"/>
  <c r="F1960" i="4"/>
  <c r="I1959" i="4"/>
  <c r="H1959" i="4"/>
  <c r="G1959" i="4"/>
  <c r="I1958" i="4" l="1"/>
  <c r="H1958" i="4"/>
  <c r="G1958" i="4"/>
  <c r="F1958" i="4"/>
  <c r="I1957" i="4"/>
  <c r="H1957" i="4"/>
  <c r="G1957" i="4"/>
  <c r="I1956" i="4"/>
  <c r="H1956" i="4"/>
  <c r="G1956" i="4"/>
  <c r="F1956" i="4"/>
  <c r="I1955" i="4"/>
  <c r="H1955" i="4"/>
  <c r="G1955" i="4"/>
  <c r="I1954" i="4"/>
  <c r="H1954" i="4"/>
  <c r="G1954" i="4"/>
  <c r="F1954" i="4"/>
  <c r="I1953" i="4"/>
  <c r="H1953" i="4"/>
  <c r="G1953" i="4"/>
  <c r="I1952" i="4"/>
  <c r="H1952" i="4"/>
  <c r="G1952" i="4"/>
  <c r="F1952" i="4"/>
  <c r="I1951" i="4"/>
  <c r="H1951" i="4"/>
  <c r="G1951" i="4"/>
  <c r="I1950" i="4"/>
  <c r="H1950" i="4"/>
  <c r="G1950" i="4"/>
  <c r="F1950" i="4"/>
  <c r="I1949" i="4"/>
  <c r="H1949" i="4"/>
  <c r="G1949" i="4"/>
  <c r="I1948" i="4"/>
  <c r="H1948" i="4"/>
  <c r="G1948" i="4"/>
  <c r="F1948" i="4"/>
  <c r="I1947" i="4"/>
  <c r="H1947" i="4"/>
  <c r="G1947" i="4"/>
  <c r="I1946" i="4"/>
  <c r="H1946" i="4"/>
  <c r="G1946" i="4"/>
  <c r="F1946" i="4"/>
  <c r="I1945" i="4"/>
  <c r="H1945" i="4"/>
  <c r="G1945" i="4"/>
  <c r="I1944" i="4"/>
  <c r="H1944" i="4"/>
  <c r="G1944" i="4"/>
  <c r="F1944" i="4"/>
  <c r="I1943" i="4"/>
  <c r="H1943" i="4"/>
  <c r="G1943" i="4"/>
  <c r="I1942" i="4"/>
  <c r="H1942" i="4"/>
  <c r="G1942" i="4"/>
  <c r="F1942" i="4"/>
  <c r="I1941" i="4"/>
  <c r="H1941" i="4"/>
  <c r="G1941" i="4"/>
  <c r="I1940" i="4"/>
  <c r="H1940" i="4"/>
  <c r="G1940" i="4"/>
  <c r="F1940" i="4"/>
  <c r="I1939" i="4"/>
  <c r="H1939" i="4"/>
  <c r="G1939" i="4"/>
  <c r="I1938" i="4"/>
  <c r="H1938" i="4"/>
  <c r="G1938" i="4"/>
  <c r="F1938" i="4"/>
  <c r="I1937" i="4"/>
  <c r="H1937" i="4"/>
  <c r="G1937" i="4"/>
  <c r="I1936" i="4"/>
  <c r="H1936" i="4"/>
  <c r="G1936" i="4"/>
  <c r="F1936" i="4"/>
  <c r="I1935" i="4"/>
  <c r="H1935" i="4"/>
  <c r="G1935" i="4"/>
  <c r="I1934" i="4"/>
  <c r="H1934" i="4"/>
  <c r="G1934" i="4"/>
  <c r="F1934" i="4"/>
  <c r="I1933" i="4"/>
  <c r="H1933" i="4"/>
  <c r="G1933" i="4"/>
  <c r="I1932" i="4"/>
  <c r="H1932" i="4"/>
  <c r="G1932" i="4"/>
  <c r="F1932" i="4"/>
  <c r="I1931" i="4"/>
  <c r="H1931" i="4"/>
  <c r="G1931" i="4"/>
  <c r="I1930" i="4"/>
  <c r="H1930" i="4"/>
  <c r="G1930" i="4"/>
  <c r="F1930" i="4"/>
  <c r="I1929" i="4"/>
  <c r="H1929" i="4"/>
  <c r="G1929" i="4"/>
  <c r="I1928" i="4"/>
  <c r="H1928" i="4"/>
  <c r="G1928" i="4"/>
  <c r="F1928" i="4"/>
  <c r="I1927" i="4"/>
  <c r="H1927" i="4"/>
  <c r="G1927" i="4"/>
  <c r="I1926" i="4"/>
  <c r="H1926" i="4"/>
  <c r="G1926" i="4"/>
  <c r="F1926" i="4"/>
  <c r="I1925" i="4"/>
  <c r="H1925" i="4"/>
  <c r="G1925" i="4"/>
  <c r="I1924" i="4"/>
  <c r="H1924" i="4"/>
  <c r="G1924" i="4"/>
  <c r="F1924" i="4"/>
  <c r="I1923" i="4"/>
  <c r="H1923" i="4"/>
  <c r="G1923" i="4"/>
  <c r="I1922" i="4"/>
  <c r="H1922" i="4"/>
  <c r="G1922" i="4"/>
  <c r="F1922" i="4"/>
  <c r="I1921" i="4"/>
  <c r="H1921" i="4"/>
  <c r="G1921" i="4"/>
  <c r="I1920" i="4"/>
  <c r="H1920" i="4"/>
  <c r="G1920" i="4"/>
  <c r="F1920" i="4"/>
  <c r="I1919" i="4"/>
  <c r="H1919" i="4"/>
  <c r="G1919" i="4"/>
  <c r="I1918" i="4"/>
  <c r="H1918" i="4"/>
  <c r="G1918" i="4"/>
  <c r="F1918" i="4"/>
  <c r="I1917" i="4"/>
  <c r="H1917" i="4"/>
  <c r="G1917" i="4"/>
  <c r="I1916" i="4"/>
  <c r="H1916" i="4"/>
  <c r="G1916" i="4"/>
  <c r="F1916" i="4"/>
  <c r="I1915" i="4"/>
  <c r="H1915" i="4"/>
  <c r="G1915" i="4"/>
  <c r="I1914" i="4"/>
  <c r="H1914" i="4"/>
  <c r="G1914" i="4"/>
  <c r="F1914" i="4"/>
  <c r="I1913" i="4"/>
  <c r="H1913" i="4"/>
  <c r="G1913" i="4"/>
  <c r="I1912" i="4"/>
  <c r="H1912" i="4"/>
  <c r="G1912" i="4"/>
  <c r="F1912" i="4"/>
  <c r="I1911" i="4"/>
  <c r="H1911" i="4"/>
  <c r="G1911" i="4"/>
  <c r="I1910" i="4"/>
  <c r="H1910" i="4"/>
  <c r="G1910" i="4"/>
  <c r="F1910" i="4"/>
  <c r="I1909" i="4"/>
  <c r="H1909" i="4"/>
  <c r="G1909" i="4"/>
  <c r="I1908" i="4"/>
  <c r="H1908" i="4"/>
  <c r="G1908" i="4"/>
  <c r="F1908" i="4"/>
  <c r="I1907" i="4"/>
  <c r="H1907" i="4"/>
  <c r="G1907" i="4"/>
  <c r="I1906" i="4"/>
  <c r="H1906" i="4"/>
  <c r="G1906" i="4"/>
  <c r="F1906" i="4"/>
  <c r="I1905" i="4"/>
  <c r="H1905" i="4"/>
  <c r="G1905" i="4"/>
  <c r="I1904" i="4"/>
  <c r="H1904" i="4"/>
  <c r="G1904" i="4"/>
  <c r="F1904" i="4"/>
  <c r="I1903" i="4"/>
  <c r="H1903" i="4"/>
  <c r="G1903" i="4"/>
  <c r="I1902" i="4"/>
  <c r="H1902" i="4"/>
  <c r="G1902" i="4"/>
  <c r="F1902" i="4"/>
  <c r="I1901" i="4"/>
  <c r="H1901" i="4"/>
  <c r="G1901" i="4"/>
  <c r="I1900" i="4"/>
  <c r="H1900" i="4"/>
  <c r="G1900" i="4"/>
  <c r="F1900" i="4"/>
  <c r="I1899" i="4"/>
  <c r="H1899" i="4"/>
  <c r="G1899" i="4"/>
  <c r="I1898" i="4"/>
  <c r="H1898" i="4"/>
  <c r="G1898" i="4"/>
  <c r="F1898" i="4"/>
  <c r="I1897" i="4"/>
  <c r="H1897" i="4"/>
  <c r="G1897" i="4"/>
  <c r="I1896" i="4"/>
  <c r="H1896" i="4"/>
  <c r="G1896" i="4"/>
  <c r="F1896" i="4"/>
  <c r="I1895" i="4"/>
  <c r="H1895" i="4"/>
  <c r="G1895" i="4"/>
  <c r="I1894" i="4"/>
  <c r="H1894" i="4"/>
  <c r="G1894" i="4"/>
  <c r="F1894" i="4"/>
  <c r="I1893" i="4"/>
  <c r="H1893" i="4"/>
  <c r="G1893" i="4"/>
  <c r="I1892" i="4"/>
  <c r="H1892" i="4"/>
  <c r="G1892" i="4"/>
  <c r="F1892" i="4"/>
  <c r="I1891" i="4"/>
  <c r="H1891" i="4"/>
  <c r="G1891" i="4"/>
  <c r="I1890" i="4"/>
  <c r="H1890" i="4"/>
  <c r="G1890" i="4"/>
  <c r="F1890" i="4"/>
  <c r="I1889" i="4"/>
  <c r="H1889" i="4"/>
  <c r="G1889" i="4"/>
  <c r="I1888" i="4"/>
  <c r="H1888" i="4"/>
  <c r="G1888" i="4"/>
  <c r="F1888" i="4"/>
  <c r="I1887" i="4"/>
  <c r="H1887" i="4"/>
  <c r="G1887" i="4"/>
  <c r="I1886" i="4"/>
  <c r="H1886" i="4"/>
  <c r="G1886" i="4"/>
  <c r="F1886" i="4"/>
  <c r="I1885" i="4"/>
  <c r="H1885" i="4"/>
  <c r="G1885" i="4"/>
  <c r="I1884" i="4"/>
  <c r="H1884" i="4"/>
  <c r="G1884" i="4"/>
  <c r="F1884" i="4"/>
  <c r="I1883" i="4"/>
  <c r="H1883" i="4"/>
  <c r="G1883" i="4"/>
  <c r="I1882" i="4"/>
  <c r="H1882" i="4"/>
  <c r="G1882" i="4"/>
  <c r="F1882" i="4"/>
  <c r="I1881" i="4"/>
  <c r="H1881" i="4"/>
  <c r="G1881" i="4"/>
  <c r="I1880" i="4"/>
  <c r="H1880" i="4"/>
  <c r="G1880" i="4"/>
  <c r="F1880" i="4"/>
  <c r="I1879" i="4"/>
  <c r="H1879" i="4"/>
  <c r="G1879" i="4"/>
  <c r="I1878" i="4" l="1"/>
  <c r="H1878" i="4"/>
  <c r="G1878" i="4"/>
  <c r="F1878" i="4"/>
  <c r="I1877" i="4"/>
  <c r="H1877" i="4"/>
  <c r="G1877" i="4"/>
  <c r="I1876" i="4"/>
  <c r="H1876" i="4"/>
  <c r="G1876" i="4"/>
  <c r="F1876" i="4"/>
  <c r="I1875" i="4"/>
  <c r="H1875" i="4"/>
  <c r="G1875" i="4"/>
  <c r="I1874" i="4"/>
  <c r="H1874" i="4"/>
  <c r="G1874" i="4"/>
  <c r="F1874" i="4"/>
  <c r="I1873" i="4"/>
  <c r="H1873" i="4"/>
  <c r="G1873" i="4"/>
  <c r="I1872" i="4"/>
  <c r="H1872" i="4"/>
  <c r="G1872" i="4"/>
  <c r="F1872" i="4"/>
  <c r="I1871" i="4"/>
  <c r="H1871" i="4"/>
  <c r="G1871" i="4"/>
  <c r="I1870" i="4"/>
  <c r="H1870" i="4"/>
  <c r="G1870" i="4"/>
  <c r="F1870" i="4"/>
  <c r="I1869" i="4"/>
  <c r="H1869" i="4"/>
  <c r="G1869" i="4"/>
  <c r="I1868" i="4"/>
  <c r="H1868" i="4"/>
  <c r="G1868" i="4"/>
  <c r="F1868" i="4"/>
  <c r="I1867" i="4"/>
  <c r="H1867" i="4"/>
  <c r="G1867" i="4"/>
  <c r="I1866" i="4"/>
  <c r="H1866" i="4"/>
  <c r="G1866" i="4"/>
  <c r="F1866" i="4"/>
  <c r="I1865" i="4"/>
  <c r="H1865" i="4"/>
  <c r="G1865" i="4"/>
  <c r="I1864" i="4"/>
  <c r="H1864" i="4"/>
  <c r="G1864" i="4"/>
  <c r="F1864" i="4"/>
  <c r="I1863" i="4"/>
  <c r="H1863" i="4"/>
  <c r="G1863" i="4"/>
  <c r="I1862" i="4"/>
  <c r="H1862" i="4"/>
  <c r="G1862" i="4"/>
  <c r="F1862" i="4"/>
  <c r="I1861" i="4"/>
  <c r="H1861" i="4"/>
  <c r="G1861" i="4"/>
  <c r="I1860" i="4"/>
  <c r="H1860" i="4"/>
  <c r="G1860" i="4"/>
  <c r="F1860" i="4"/>
  <c r="I1859" i="4"/>
  <c r="H1859" i="4"/>
  <c r="G1859" i="4"/>
  <c r="I1858" i="4"/>
  <c r="H1858" i="4"/>
  <c r="G1858" i="4"/>
  <c r="F1858" i="4"/>
  <c r="I1857" i="4"/>
  <c r="H1857" i="4"/>
  <c r="G1857" i="4"/>
  <c r="I1856" i="4"/>
  <c r="H1856" i="4"/>
  <c r="G1856" i="4"/>
  <c r="F1856" i="4"/>
  <c r="I1855" i="4"/>
  <c r="H1855" i="4"/>
  <c r="G1855" i="4"/>
  <c r="I1854" i="4" l="1"/>
  <c r="H1854" i="4"/>
  <c r="G1854" i="4"/>
  <c r="F1854" i="4"/>
  <c r="I1853" i="4"/>
  <c r="H1853" i="4"/>
  <c r="G1853" i="4"/>
  <c r="I1852" i="4"/>
  <c r="H1852" i="4"/>
  <c r="G1852" i="4"/>
  <c r="F1852" i="4"/>
  <c r="I1851" i="4"/>
  <c r="H1851" i="4"/>
  <c r="G1851" i="4"/>
  <c r="I1850" i="4"/>
  <c r="H1850" i="4"/>
  <c r="G1850" i="4"/>
  <c r="F1850" i="4"/>
  <c r="I1849" i="4"/>
  <c r="H1849" i="4"/>
  <c r="G1849" i="4"/>
  <c r="I1848" i="4"/>
  <c r="H1848" i="4"/>
  <c r="G1848" i="4"/>
  <c r="F1848" i="4"/>
  <c r="I1847" i="4"/>
  <c r="H1847" i="4"/>
  <c r="G1847" i="4"/>
  <c r="H8" i="4"/>
  <c r="I8" i="4"/>
  <c r="H10" i="4"/>
  <c r="I10" i="4"/>
  <c r="H14" i="4"/>
  <c r="I14" i="4"/>
  <c r="H15" i="4"/>
  <c r="I15" i="4"/>
  <c r="H16" i="4"/>
  <c r="I16" i="4"/>
  <c r="H17" i="4"/>
  <c r="I17" i="4"/>
  <c r="H18" i="4"/>
  <c r="I18" i="4"/>
  <c r="H19" i="4"/>
  <c r="I19" i="4"/>
  <c r="H20" i="4"/>
  <c r="I20" i="4"/>
  <c r="H21" i="4"/>
  <c r="I21" i="4"/>
  <c r="H22" i="4"/>
  <c r="I22" i="4"/>
  <c r="H23" i="4"/>
  <c r="I23" i="4"/>
  <c r="H24" i="4"/>
  <c r="I24" i="4"/>
  <c r="H25" i="4"/>
  <c r="I25" i="4"/>
  <c r="H26" i="4"/>
  <c r="I26" i="4"/>
  <c r="H27" i="4"/>
  <c r="I27" i="4"/>
  <c r="H28" i="4"/>
  <c r="I28" i="4"/>
  <c r="H29" i="4"/>
  <c r="I29" i="4"/>
  <c r="H30" i="4"/>
  <c r="I30" i="4"/>
  <c r="H31" i="4"/>
  <c r="I31" i="4"/>
  <c r="H32" i="4"/>
  <c r="I32" i="4"/>
  <c r="H33" i="4"/>
  <c r="I33" i="4"/>
  <c r="H34" i="4"/>
  <c r="I34" i="4"/>
  <c r="H35" i="4"/>
  <c r="I35" i="4"/>
  <c r="H36" i="4"/>
  <c r="I36" i="4"/>
  <c r="H37" i="4"/>
  <c r="I37" i="4"/>
  <c r="H38" i="4"/>
  <c r="I38" i="4"/>
  <c r="H39" i="4"/>
  <c r="I39" i="4"/>
  <c r="H40" i="4"/>
  <c r="I40" i="4"/>
  <c r="H41" i="4"/>
  <c r="I41" i="4"/>
  <c r="H42" i="4"/>
  <c r="I42" i="4"/>
  <c r="H43" i="4"/>
  <c r="I43" i="4"/>
  <c r="H44" i="4"/>
  <c r="I44" i="4"/>
  <c r="H45" i="4"/>
  <c r="I45" i="4"/>
  <c r="H46" i="4"/>
  <c r="I46" i="4"/>
  <c r="H47" i="4"/>
  <c r="I47" i="4"/>
  <c r="H48" i="4"/>
  <c r="I48" i="4"/>
  <c r="H49" i="4"/>
  <c r="I49" i="4"/>
  <c r="H50" i="4"/>
  <c r="I50" i="4"/>
  <c r="H51" i="4"/>
  <c r="I51" i="4"/>
  <c r="H52" i="4"/>
  <c r="I52" i="4"/>
  <c r="H53" i="4"/>
  <c r="I53" i="4"/>
  <c r="H54" i="4"/>
  <c r="I54" i="4"/>
  <c r="H55" i="4"/>
  <c r="I55" i="4"/>
  <c r="H56" i="4"/>
  <c r="I56" i="4"/>
  <c r="H57" i="4"/>
  <c r="I57" i="4"/>
  <c r="H58" i="4"/>
  <c r="I58" i="4"/>
  <c r="H59" i="4"/>
  <c r="I59" i="4"/>
  <c r="H60" i="4"/>
  <c r="I60" i="4"/>
  <c r="H61" i="4"/>
  <c r="I61" i="4"/>
  <c r="H62" i="4"/>
  <c r="I62" i="4"/>
  <c r="H63" i="4"/>
  <c r="I63" i="4"/>
  <c r="H64" i="4"/>
  <c r="I64" i="4"/>
  <c r="H65" i="4"/>
  <c r="I65" i="4"/>
  <c r="H66" i="4"/>
  <c r="I66" i="4"/>
  <c r="H67" i="4"/>
  <c r="I67" i="4"/>
  <c r="H68" i="4"/>
  <c r="I68" i="4"/>
  <c r="H69" i="4"/>
  <c r="I69" i="4"/>
  <c r="H70" i="4"/>
  <c r="I70" i="4"/>
  <c r="H71" i="4"/>
  <c r="I71" i="4"/>
  <c r="H72" i="4"/>
  <c r="I72" i="4"/>
  <c r="H73" i="4"/>
  <c r="I73" i="4"/>
  <c r="H74" i="4"/>
  <c r="I74" i="4"/>
  <c r="H75" i="4"/>
  <c r="I75" i="4"/>
  <c r="H76" i="4"/>
  <c r="I76" i="4"/>
  <c r="H77" i="4"/>
  <c r="I77" i="4"/>
  <c r="H78" i="4"/>
  <c r="I78" i="4"/>
  <c r="H79" i="4"/>
  <c r="I79" i="4"/>
  <c r="H80" i="4"/>
  <c r="I80" i="4"/>
  <c r="H81" i="4"/>
  <c r="I81" i="4"/>
  <c r="H82" i="4"/>
  <c r="I82" i="4"/>
  <c r="H83" i="4"/>
  <c r="I83" i="4"/>
  <c r="H84" i="4"/>
  <c r="I84" i="4"/>
  <c r="H85" i="4"/>
  <c r="I85" i="4"/>
  <c r="H86" i="4"/>
  <c r="I86" i="4"/>
  <c r="H87" i="4"/>
  <c r="I87" i="4"/>
  <c r="H88" i="4"/>
  <c r="I88" i="4"/>
  <c r="H89" i="4"/>
  <c r="I89" i="4"/>
  <c r="H90" i="4"/>
  <c r="I90" i="4"/>
  <c r="H91" i="4"/>
  <c r="I91" i="4"/>
  <c r="H92" i="4"/>
  <c r="I92" i="4"/>
  <c r="H93" i="4"/>
  <c r="I93" i="4"/>
  <c r="H94" i="4"/>
  <c r="I94" i="4"/>
  <c r="H95" i="4"/>
  <c r="I95" i="4"/>
  <c r="H96" i="4"/>
  <c r="I96" i="4"/>
  <c r="H97" i="4"/>
  <c r="I97" i="4"/>
  <c r="H98" i="4"/>
  <c r="I98" i="4"/>
  <c r="H99" i="4"/>
  <c r="I99" i="4"/>
  <c r="H100" i="4"/>
  <c r="I100" i="4"/>
  <c r="H101" i="4"/>
  <c r="I101" i="4"/>
  <c r="H102" i="4"/>
  <c r="I102" i="4"/>
  <c r="H103" i="4"/>
  <c r="I103" i="4"/>
  <c r="H104" i="4"/>
  <c r="I104" i="4"/>
  <c r="H105" i="4"/>
  <c r="I105" i="4"/>
  <c r="H106" i="4"/>
  <c r="I106" i="4"/>
  <c r="H107" i="4"/>
  <c r="I107" i="4"/>
  <c r="H108" i="4"/>
  <c r="I108" i="4"/>
  <c r="H109" i="4"/>
  <c r="I109" i="4"/>
  <c r="H110" i="4"/>
  <c r="I110" i="4"/>
  <c r="H111" i="4"/>
  <c r="I111" i="4"/>
  <c r="H112" i="4"/>
  <c r="I112" i="4"/>
  <c r="H113" i="4"/>
  <c r="I113" i="4"/>
  <c r="H114" i="4"/>
  <c r="I114" i="4"/>
  <c r="H115" i="4"/>
  <c r="I115" i="4"/>
  <c r="H116" i="4"/>
  <c r="I116" i="4"/>
  <c r="H117" i="4"/>
  <c r="I117" i="4"/>
  <c r="H118" i="4"/>
  <c r="I118" i="4"/>
  <c r="H119" i="4"/>
  <c r="I119" i="4"/>
  <c r="H120" i="4"/>
  <c r="I120" i="4"/>
  <c r="H121" i="4"/>
  <c r="I121" i="4"/>
  <c r="H122" i="4"/>
  <c r="I122" i="4"/>
  <c r="H123" i="4"/>
  <c r="I123" i="4"/>
  <c r="H124" i="4"/>
  <c r="I124" i="4"/>
  <c r="H125" i="4"/>
  <c r="I125" i="4"/>
  <c r="H126" i="4"/>
  <c r="I126" i="4"/>
  <c r="H127" i="4"/>
  <c r="I127" i="4"/>
  <c r="H128" i="4"/>
  <c r="I128" i="4"/>
  <c r="H129" i="4"/>
  <c r="I129" i="4"/>
  <c r="H130" i="4"/>
  <c r="I130" i="4"/>
  <c r="H131" i="4"/>
  <c r="I131" i="4"/>
  <c r="H132" i="4"/>
  <c r="I132" i="4"/>
  <c r="H133" i="4"/>
  <c r="I133" i="4"/>
  <c r="H134" i="4"/>
  <c r="I134" i="4"/>
  <c r="H135" i="4"/>
  <c r="I135" i="4"/>
  <c r="H136" i="4"/>
  <c r="I136" i="4"/>
  <c r="H137" i="4"/>
  <c r="I137" i="4"/>
  <c r="H138" i="4"/>
  <c r="I138" i="4"/>
  <c r="H139" i="4"/>
  <c r="I139" i="4"/>
  <c r="H140" i="4"/>
  <c r="I140" i="4"/>
  <c r="H141" i="4"/>
  <c r="I141" i="4"/>
  <c r="H142" i="4"/>
  <c r="I142" i="4"/>
  <c r="H143" i="4"/>
  <c r="I143" i="4"/>
  <c r="H144" i="4"/>
  <c r="I144" i="4"/>
  <c r="H145" i="4"/>
  <c r="I145" i="4"/>
  <c r="H146" i="4"/>
  <c r="I146" i="4"/>
  <c r="H147" i="4"/>
  <c r="I147" i="4"/>
  <c r="H148" i="4"/>
  <c r="I148" i="4"/>
  <c r="H149" i="4"/>
  <c r="I149" i="4"/>
  <c r="H150" i="4"/>
  <c r="I150" i="4"/>
  <c r="H151" i="4"/>
  <c r="I151" i="4"/>
  <c r="H152" i="4"/>
  <c r="I152" i="4"/>
  <c r="H153" i="4"/>
  <c r="I153" i="4"/>
  <c r="H154" i="4"/>
  <c r="I154" i="4"/>
  <c r="H155" i="4"/>
  <c r="I155" i="4"/>
  <c r="H156" i="4"/>
  <c r="I156" i="4"/>
  <c r="H157" i="4"/>
  <c r="I157" i="4"/>
  <c r="H158" i="4"/>
  <c r="I158" i="4"/>
  <c r="H159" i="4"/>
  <c r="I159" i="4"/>
  <c r="H160" i="4"/>
  <c r="I160" i="4"/>
  <c r="H161" i="4"/>
  <c r="I161" i="4"/>
  <c r="H162" i="4"/>
  <c r="I162" i="4"/>
  <c r="H163" i="4"/>
  <c r="I163" i="4"/>
  <c r="H164" i="4"/>
  <c r="I164" i="4"/>
  <c r="H165" i="4"/>
  <c r="I165" i="4"/>
  <c r="H166" i="4"/>
  <c r="I166" i="4"/>
  <c r="H167" i="4"/>
  <c r="I167" i="4"/>
  <c r="H168" i="4"/>
  <c r="I168" i="4"/>
  <c r="H169" i="4"/>
  <c r="I169" i="4"/>
  <c r="H170" i="4"/>
  <c r="I170" i="4"/>
  <c r="H171" i="4"/>
  <c r="I171" i="4"/>
  <c r="H172" i="4"/>
  <c r="I172" i="4"/>
  <c r="H173" i="4"/>
  <c r="I173" i="4"/>
  <c r="H174" i="4"/>
  <c r="I174" i="4"/>
  <c r="H175" i="4"/>
  <c r="I175" i="4"/>
  <c r="H176" i="4"/>
  <c r="I176" i="4"/>
  <c r="H177" i="4"/>
  <c r="I177" i="4"/>
  <c r="H178" i="4"/>
  <c r="I178" i="4"/>
  <c r="H179" i="4"/>
  <c r="I179" i="4"/>
  <c r="H180" i="4"/>
  <c r="I180" i="4"/>
  <c r="H181" i="4"/>
  <c r="I181" i="4"/>
  <c r="H182" i="4"/>
  <c r="I182" i="4"/>
  <c r="H183" i="4"/>
  <c r="I183" i="4"/>
  <c r="H184" i="4"/>
  <c r="I184" i="4"/>
  <c r="H185" i="4"/>
  <c r="I185" i="4"/>
  <c r="H186" i="4"/>
  <c r="I186" i="4"/>
  <c r="H187" i="4"/>
  <c r="I187" i="4"/>
  <c r="H188" i="4"/>
  <c r="I188" i="4"/>
  <c r="H189" i="4"/>
  <c r="I189" i="4"/>
  <c r="H190" i="4"/>
  <c r="I190" i="4"/>
  <c r="H191" i="4"/>
  <c r="I191" i="4"/>
  <c r="H192" i="4"/>
  <c r="I192" i="4"/>
  <c r="H193" i="4"/>
  <c r="I193" i="4"/>
  <c r="H194" i="4"/>
  <c r="I194" i="4"/>
  <c r="H195" i="4"/>
  <c r="I195" i="4"/>
  <c r="H196" i="4"/>
  <c r="I196" i="4"/>
  <c r="H197" i="4"/>
  <c r="I197" i="4"/>
  <c r="H198" i="4"/>
  <c r="I198" i="4"/>
  <c r="H199" i="4"/>
  <c r="I199" i="4"/>
  <c r="H200" i="4"/>
  <c r="I200" i="4"/>
  <c r="H201" i="4"/>
  <c r="I201" i="4"/>
  <c r="H202" i="4"/>
  <c r="I202" i="4"/>
  <c r="H203" i="4"/>
  <c r="I203" i="4"/>
  <c r="H204" i="4"/>
  <c r="I204" i="4"/>
  <c r="H205" i="4"/>
  <c r="I205" i="4"/>
  <c r="H206" i="4"/>
  <c r="I206" i="4"/>
  <c r="H207" i="4"/>
  <c r="I207" i="4"/>
  <c r="H208" i="4"/>
  <c r="I208" i="4"/>
  <c r="H209" i="4"/>
  <c r="I209" i="4"/>
  <c r="H210" i="4"/>
  <c r="I210" i="4"/>
  <c r="H211" i="4"/>
  <c r="I211" i="4"/>
  <c r="H212" i="4"/>
  <c r="I212" i="4"/>
  <c r="H213" i="4"/>
  <c r="I213" i="4"/>
  <c r="H214" i="4"/>
  <c r="I214" i="4"/>
  <c r="H215" i="4"/>
  <c r="I215" i="4"/>
  <c r="H216" i="4"/>
  <c r="I216" i="4"/>
  <c r="H217" i="4"/>
  <c r="I217" i="4"/>
  <c r="H218" i="4"/>
  <c r="I218" i="4"/>
  <c r="H219" i="4"/>
  <c r="I219" i="4"/>
  <c r="H220" i="4"/>
  <c r="I220" i="4"/>
  <c r="H221" i="4"/>
  <c r="I221" i="4"/>
  <c r="H222" i="4"/>
  <c r="I222" i="4"/>
  <c r="H223" i="4"/>
  <c r="I223" i="4"/>
  <c r="H224" i="4"/>
  <c r="I224" i="4"/>
  <c r="H225" i="4"/>
  <c r="I225" i="4"/>
  <c r="H226" i="4"/>
  <c r="I226" i="4"/>
  <c r="H227" i="4"/>
  <c r="I227" i="4"/>
  <c r="H228" i="4"/>
  <c r="I228" i="4"/>
  <c r="H229" i="4"/>
  <c r="I229" i="4"/>
  <c r="H230" i="4"/>
  <c r="I230" i="4"/>
  <c r="H231" i="4"/>
  <c r="I231" i="4"/>
  <c r="H232" i="4"/>
  <c r="I232" i="4"/>
  <c r="H233" i="4"/>
  <c r="I233" i="4"/>
  <c r="H234" i="4"/>
  <c r="I234" i="4"/>
  <c r="H235" i="4"/>
  <c r="I235" i="4"/>
  <c r="H236" i="4"/>
  <c r="I236" i="4"/>
  <c r="H237" i="4"/>
  <c r="I237" i="4"/>
  <c r="H238" i="4"/>
  <c r="I238" i="4"/>
  <c r="H239" i="4"/>
  <c r="I239" i="4"/>
  <c r="H240" i="4"/>
  <c r="I240" i="4"/>
  <c r="H241" i="4"/>
  <c r="I241" i="4"/>
  <c r="H242" i="4"/>
  <c r="I242" i="4"/>
  <c r="H243" i="4"/>
  <c r="I243" i="4"/>
  <c r="H244" i="4"/>
  <c r="I244" i="4"/>
  <c r="H245" i="4"/>
  <c r="I245" i="4"/>
  <c r="H246" i="4"/>
  <c r="I246" i="4"/>
  <c r="H247" i="4"/>
  <c r="I247" i="4"/>
  <c r="H248" i="4"/>
  <c r="I248" i="4"/>
  <c r="H249" i="4"/>
  <c r="I249" i="4"/>
  <c r="H250" i="4"/>
  <c r="I250" i="4"/>
  <c r="H251" i="4"/>
  <c r="I251" i="4"/>
  <c r="H252" i="4"/>
  <c r="I252" i="4"/>
  <c r="H253" i="4"/>
  <c r="I253" i="4"/>
  <c r="H254" i="4"/>
  <c r="I254" i="4"/>
  <c r="H255" i="4"/>
  <c r="I255" i="4"/>
  <c r="H256" i="4"/>
  <c r="I256" i="4"/>
  <c r="H257" i="4"/>
  <c r="I257" i="4"/>
  <c r="H258" i="4"/>
  <c r="I258" i="4"/>
  <c r="H259" i="4"/>
  <c r="I259" i="4"/>
  <c r="H260" i="4"/>
  <c r="I260" i="4"/>
  <c r="H261" i="4"/>
  <c r="I261" i="4"/>
  <c r="H262" i="4"/>
  <c r="I262" i="4"/>
  <c r="H263" i="4"/>
  <c r="I263" i="4"/>
  <c r="H264" i="4"/>
  <c r="I264" i="4"/>
  <c r="H265" i="4"/>
  <c r="I265" i="4"/>
  <c r="H266" i="4"/>
  <c r="I266" i="4"/>
  <c r="H267" i="4"/>
  <c r="I267" i="4"/>
  <c r="H268" i="4"/>
  <c r="I268" i="4"/>
  <c r="H269" i="4"/>
  <c r="I269" i="4"/>
  <c r="H270" i="4"/>
  <c r="I270" i="4"/>
  <c r="H271" i="4"/>
  <c r="I271" i="4"/>
  <c r="H272" i="4"/>
  <c r="I272" i="4"/>
  <c r="H273" i="4"/>
  <c r="I273" i="4"/>
  <c r="H274" i="4"/>
  <c r="I274" i="4"/>
  <c r="H275" i="4"/>
  <c r="I275" i="4"/>
  <c r="H276" i="4"/>
  <c r="I276" i="4"/>
  <c r="H277" i="4"/>
  <c r="I277" i="4"/>
  <c r="H278" i="4"/>
  <c r="I278" i="4"/>
  <c r="H279" i="4"/>
  <c r="I279" i="4"/>
  <c r="H280" i="4"/>
  <c r="I280" i="4"/>
  <c r="H281" i="4"/>
  <c r="I281" i="4"/>
  <c r="H282" i="4"/>
  <c r="I282" i="4"/>
  <c r="H283" i="4"/>
  <c r="I283" i="4"/>
  <c r="H284" i="4"/>
  <c r="I284" i="4"/>
  <c r="H285" i="4"/>
  <c r="I285" i="4"/>
  <c r="H286" i="4"/>
  <c r="I286" i="4"/>
  <c r="H287" i="4"/>
  <c r="I287" i="4"/>
  <c r="H288" i="4"/>
  <c r="I288" i="4"/>
  <c r="H289" i="4"/>
  <c r="I289" i="4"/>
  <c r="H290" i="4"/>
  <c r="I290" i="4"/>
  <c r="H291" i="4"/>
  <c r="I291" i="4"/>
  <c r="H292" i="4"/>
  <c r="I292" i="4"/>
  <c r="H293" i="4"/>
  <c r="I293" i="4"/>
  <c r="H294" i="4"/>
  <c r="I294" i="4"/>
  <c r="H295" i="4"/>
  <c r="I295" i="4"/>
  <c r="H296" i="4"/>
  <c r="I296" i="4"/>
  <c r="H297" i="4"/>
  <c r="I297" i="4"/>
  <c r="H298" i="4"/>
  <c r="I298" i="4"/>
  <c r="H299" i="4"/>
  <c r="I299" i="4"/>
  <c r="H300" i="4"/>
  <c r="I300" i="4"/>
  <c r="H301" i="4"/>
  <c r="I301" i="4"/>
  <c r="H302" i="4"/>
  <c r="I302" i="4"/>
  <c r="H303" i="4"/>
  <c r="I303" i="4"/>
  <c r="H304" i="4"/>
  <c r="I304" i="4"/>
  <c r="H305" i="4"/>
  <c r="I305" i="4"/>
  <c r="H306" i="4"/>
  <c r="I306" i="4"/>
  <c r="H307" i="4"/>
  <c r="I307" i="4"/>
  <c r="H308" i="4"/>
  <c r="I308" i="4"/>
  <c r="H309" i="4"/>
  <c r="I309" i="4"/>
  <c r="H310" i="4"/>
  <c r="I310" i="4"/>
  <c r="H311" i="4"/>
  <c r="I311" i="4"/>
  <c r="H312" i="4"/>
  <c r="I312" i="4"/>
  <c r="H313" i="4"/>
  <c r="I313" i="4"/>
  <c r="H314" i="4"/>
  <c r="I314" i="4"/>
  <c r="H315" i="4"/>
  <c r="I315" i="4"/>
  <c r="H316" i="4"/>
  <c r="I316" i="4"/>
  <c r="H317" i="4"/>
  <c r="I317" i="4"/>
  <c r="H318" i="4"/>
  <c r="I318" i="4"/>
  <c r="H319" i="4"/>
  <c r="I319" i="4"/>
  <c r="H320" i="4"/>
  <c r="I320" i="4"/>
  <c r="H321" i="4"/>
  <c r="I321" i="4"/>
  <c r="H322" i="4"/>
  <c r="I322" i="4"/>
  <c r="H323" i="4"/>
  <c r="I323" i="4"/>
  <c r="H324" i="4"/>
  <c r="I324" i="4"/>
  <c r="H325" i="4"/>
  <c r="I325" i="4"/>
  <c r="H326" i="4"/>
  <c r="I326" i="4"/>
  <c r="H327" i="4"/>
  <c r="I327" i="4"/>
  <c r="H328" i="4"/>
  <c r="I328" i="4"/>
  <c r="H329" i="4"/>
  <c r="I329" i="4"/>
  <c r="H330" i="4"/>
  <c r="I330" i="4"/>
  <c r="H331" i="4"/>
  <c r="I331" i="4"/>
  <c r="H332" i="4"/>
  <c r="I332" i="4"/>
  <c r="H333" i="4"/>
  <c r="I333" i="4"/>
  <c r="H334" i="4"/>
  <c r="I334" i="4"/>
  <c r="H335" i="4"/>
  <c r="I335" i="4"/>
  <c r="H336" i="4"/>
  <c r="I336" i="4"/>
  <c r="H337" i="4"/>
  <c r="I337" i="4"/>
  <c r="H338" i="4"/>
  <c r="I338" i="4"/>
  <c r="H339" i="4"/>
  <c r="I339" i="4"/>
  <c r="H340" i="4"/>
  <c r="I340" i="4"/>
  <c r="H341" i="4"/>
  <c r="I341" i="4"/>
  <c r="H342" i="4"/>
  <c r="I342" i="4"/>
  <c r="H343" i="4"/>
  <c r="I343" i="4"/>
  <c r="H344" i="4"/>
  <c r="I344" i="4"/>
  <c r="H345" i="4"/>
  <c r="I345" i="4"/>
  <c r="H346" i="4"/>
  <c r="I346" i="4"/>
  <c r="H347" i="4"/>
  <c r="I347" i="4"/>
  <c r="H348" i="4"/>
  <c r="I348" i="4"/>
  <c r="H349" i="4"/>
  <c r="I349" i="4"/>
  <c r="H350" i="4"/>
  <c r="I350" i="4"/>
  <c r="H351" i="4"/>
  <c r="I351" i="4"/>
  <c r="H352" i="4"/>
  <c r="I352" i="4"/>
  <c r="H353" i="4"/>
  <c r="I353" i="4"/>
  <c r="H354" i="4"/>
  <c r="I354" i="4"/>
  <c r="H355" i="4"/>
  <c r="I355" i="4"/>
  <c r="H356" i="4"/>
  <c r="I356" i="4"/>
  <c r="H357" i="4"/>
  <c r="I357" i="4"/>
  <c r="H358" i="4"/>
  <c r="I358" i="4"/>
  <c r="H359" i="4"/>
  <c r="I359" i="4"/>
  <c r="H360" i="4"/>
  <c r="I360" i="4"/>
  <c r="H361" i="4"/>
  <c r="I361" i="4"/>
  <c r="H362" i="4"/>
  <c r="I362" i="4"/>
  <c r="H363" i="4"/>
  <c r="I363" i="4"/>
  <c r="H364" i="4"/>
  <c r="I364" i="4"/>
  <c r="H365" i="4"/>
  <c r="I365" i="4"/>
  <c r="H366" i="4"/>
  <c r="I366" i="4"/>
  <c r="H367" i="4"/>
  <c r="I367" i="4"/>
  <c r="H368" i="4"/>
  <c r="I368" i="4"/>
  <c r="H369" i="4"/>
  <c r="I369" i="4"/>
  <c r="H370" i="4"/>
  <c r="I370" i="4"/>
  <c r="H371" i="4"/>
  <c r="I371" i="4"/>
  <c r="H372" i="4"/>
  <c r="I372" i="4"/>
  <c r="H373" i="4"/>
  <c r="I373" i="4"/>
  <c r="H374" i="4"/>
  <c r="I374" i="4"/>
  <c r="H375" i="4"/>
  <c r="I375" i="4"/>
  <c r="H376" i="4"/>
  <c r="I376" i="4"/>
  <c r="H377" i="4"/>
  <c r="I377" i="4"/>
  <c r="H378" i="4"/>
  <c r="I378" i="4"/>
  <c r="H379" i="4"/>
  <c r="I379" i="4"/>
  <c r="H380" i="4"/>
  <c r="I380" i="4"/>
  <c r="H381" i="4"/>
  <c r="I381" i="4"/>
  <c r="H382" i="4"/>
  <c r="I382" i="4"/>
  <c r="H383" i="4"/>
  <c r="I383" i="4"/>
  <c r="H384" i="4"/>
  <c r="I384" i="4"/>
  <c r="H385" i="4"/>
  <c r="I385" i="4"/>
  <c r="H386" i="4"/>
  <c r="I386" i="4"/>
  <c r="H387" i="4"/>
  <c r="I387" i="4"/>
  <c r="H388" i="4"/>
  <c r="I388" i="4"/>
  <c r="H389" i="4"/>
  <c r="I389" i="4"/>
  <c r="H390" i="4"/>
  <c r="I390" i="4"/>
  <c r="H391" i="4"/>
  <c r="I391" i="4"/>
  <c r="H392" i="4"/>
  <c r="I392" i="4"/>
  <c r="H393" i="4"/>
  <c r="I393" i="4"/>
  <c r="H394" i="4"/>
  <c r="I394" i="4"/>
  <c r="H395" i="4"/>
  <c r="I395" i="4"/>
  <c r="H396" i="4"/>
  <c r="I396" i="4"/>
  <c r="H397" i="4"/>
  <c r="I397" i="4"/>
  <c r="H398" i="4"/>
  <c r="I398" i="4"/>
  <c r="H399" i="4"/>
  <c r="I399" i="4"/>
  <c r="H400" i="4"/>
  <c r="I400" i="4"/>
  <c r="H401" i="4"/>
  <c r="I401" i="4"/>
  <c r="H402" i="4"/>
  <c r="I402" i="4"/>
  <c r="H403" i="4"/>
  <c r="I403" i="4"/>
  <c r="H404" i="4"/>
  <c r="I404" i="4"/>
  <c r="H405" i="4"/>
  <c r="I405" i="4"/>
  <c r="H406" i="4"/>
  <c r="I406" i="4"/>
  <c r="H407" i="4"/>
  <c r="I407" i="4"/>
  <c r="H408" i="4"/>
  <c r="I408" i="4"/>
  <c r="H409" i="4"/>
  <c r="I409" i="4"/>
  <c r="H410" i="4"/>
  <c r="I410" i="4"/>
  <c r="H411" i="4"/>
  <c r="I411" i="4"/>
  <c r="H412" i="4"/>
  <c r="I412" i="4"/>
  <c r="H413" i="4"/>
  <c r="I413" i="4"/>
  <c r="H414" i="4"/>
  <c r="I414" i="4"/>
  <c r="H415" i="4"/>
  <c r="I415" i="4"/>
  <c r="H416" i="4"/>
  <c r="I416" i="4"/>
  <c r="H417" i="4"/>
  <c r="I417" i="4"/>
  <c r="H418" i="4"/>
  <c r="I418" i="4"/>
  <c r="H419" i="4"/>
  <c r="I419" i="4"/>
  <c r="H420" i="4"/>
  <c r="I420" i="4"/>
  <c r="H421" i="4"/>
  <c r="I421" i="4"/>
  <c r="H422" i="4"/>
  <c r="I422" i="4"/>
  <c r="H423" i="4"/>
  <c r="I423" i="4"/>
  <c r="H424" i="4"/>
  <c r="I424" i="4"/>
  <c r="H425" i="4"/>
  <c r="I425" i="4"/>
  <c r="H426" i="4"/>
  <c r="I426" i="4"/>
  <c r="H427" i="4"/>
  <c r="I427" i="4"/>
  <c r="H428" i="4"/>
  <c r="I428" i="4"/>
  <c r="H429" i="4"/>
  <c r="I429" i="4"/>
  <c r="H430" i="4"/>
  <c r="I430" i="4"/>
  <c r="H431" i="4"/>
  <c r="I431" i="4"/>
  <c r="H432" i="4"/>
  <c r="I432" i="4"/>
  <c r="H433" i="4"/>
  <c r="I433" i="4"/>
  <c r="H434" i="4"/>
  <c r="I434" i="4"/>
  <c r="H435" i="4"/>
  <c r="I435" i="4"/>
  <c r="H436" i="4"/>
  <c r="I436" i="4"/>
  <c r="H437" i="4"/>
  <c r="I437" i="4"/>
  <c r="H438" i="4"/>
  <c r="I438" i="4"/>
  <c r="H439" i="4"/>
  <c r="I439" i="4"/>
  <c r="H440" i="4"/>
  <c r="I440" i="4"/>
  <c r="H441" i="4"/>
  <c r="I441" i="4"/>
  <c r="H442" i="4"/>
  <c r="I442" i="4"/>
  <c r="H443" i="4"/>
  <c r="I443" i="4"/>
  <c r="H444" i="4"/>
  <c r="I444" i="4"/>
  <c r="H445" i="4"/>
  <c r="I445" i="4"/>
  <c r="H446" i="4"/>
  <c r="I446" i="4"/>
  <c r="H447" i="4"/>
  <c r="I447" i="4"/>
  <c r="H448" i="4"/>
  <c r="I448" i="4"/>
  <c r="H449" i="4"/>
  <c r="I449" i="4"/>
  <c r="H450" i="4"/>
  <c r="I450" i="4"/>
  <c r="H451" i="4"/>
  <c r="I451" i="4"/>
  <c r="H452" i="4"/>
  <c r="I452" i="4"/>
  <c r="H453" i="4"/>
  <c r="I453" i="4"/>
  <c r="H454" i="4"/>
  <c r="I454" i="4"/>
  <c r="H455" i="4"/>
  <c r="I455" i="4"/>
  <c r="H456" i="4"/>
  <c r="I456" i="4"/>
  <c r="H457" i="4"/>
  <c r="I457" i="4"/>
  <c r="H458" i="4"/>
  <c r="I458" i="4"/>
  <c r="H459" i="4"/>
  <c r="I459" i="4"/>
  <c r="H460" i="4"/>
  <c r="I460" i="4"/>
  <c r="H461" i="4"/>
  <c r="I461" i="4"/>
  <c r="H462" i="4"/>
  <c r="I462" i="4"/>
  <c r="H463" i="4"/>
  <c r="I463" i="4"/>
  <c r="H464" i="4"/>
  <c r="I464" i="4"/>
  <c r="H465" i="4"/>
  <c r="I465" i="4"/>
  <c r="H466" i="4"/>
  <c r="I466" i="4"/>
  <c r="H467" i="4"/>
  <c r="I467" i="4"/>
  <c r="H468" i="4"/>
  <c r="I468" i="4"/>
  <c r="H469" i="4"/>
  <c r="I469" i="4"/>
  <c r="H470" i="4"/>
  <c r="I470" i="4"/>
  <c r="H471" i="4"/>
  <c r="I471" i="4"/>
  <c r="H472" i="4"/>
  <c r="I472" i="4"/>
  <c r="H473" i="4"/>
  <c r="I473" i="4"/>
  <c r="H474" i="4"/>
  <c r="I474" i="4"/>
  <c r="H475" i="4"/>
  <c r="I475" i="4"/>
  <c r="H476" i="4"/>
  <c r="I476" i="4"/>
  <c r="H477" i="4"/>
  <c r="I477" i="4"/>
  <c r="H478" i="4"/>
  <c r="I478" i="4"/>
  <c r="H479" i="4"/>
  <c r="I479" i="4"/>
  <c r="H480" i="4"/>
  <c r="I480" i="4"/>
  <c r="H481" i="4"/>
  <c r="I481" i="4"/>
  <c r="H482" i="4"/>
  <c r="I482" i="4"/>
  <c r="H483" i="4"/>
  <c r="I483" i="4"/>
  <c r="H484" i="4"/>
  <c r="I484" i="4"/>
  <c r="H485" i="4"/>
  <c r="I485" i="4"/>
  <c r="H486" i="4"/>
  <c r="I486" i="4"/>
  <c r="H487" i="4"/>
  <c r="I487" i="4"/>
  <c r="H488" i="4"/>
  <c r="I488" i="4"/>
  <c r="H489" i="4"/>
  <c r="I489" i="4"/>
  <c r="H490" i="4"/>
  <c r="I490" i="4"/>
  <c r="H491" i="4"/>
  <c r="I491" i="4"/>
  <c r="H492" i="4"/>
  <c r="I492" i="4"/>
  <c r="H493" i="4"/>
  <c r="I493" i="4"/>
  <c r="H494" i="4"/>
  <c r="I494" i="4"/>
  <c r="H495" i="4"/>
  <c r="I495" i="4"/>
  <c r="H496" i="4"/>
  <c r="I496" i="4"/>
  <c r="H497" i="4"/>
  <c r="I497" i="4"/>
  <c r="H498" i="4"/>
  <c r="I498" i="4"/>
  <c r="H499" i="4"/>
  <c r="I499" i="4"/>
  <c r="H500" i="4"/>
  <c r="I500" i="4"/>
  <c r="H501" i="4"/>
  <c r="I501" i="4"/>
  <c r="H502" i="4"/>
  <c r="I502" i="4"/>
  <c r="H503" i="4"/>
  <c r="I503" i="4"/>
  <c r="H504" i="4"/>
  <c r="I504" i="4"/>
  <c r="H505" i="4"/>
  <c r="I505" i="4"/>
  <c r="H506" i="4"/>
  <c r="I506" i="4"/>
  <c r="H507" i="4"/>
  <c r="I507" i="4"/>
  <c r="H508" i="4"/>
  <c r="I508" i="4"/>
  <c r="H509" i="4"/>
  <c r="I509" i="4"/>
  <c r="H510" i="4"/>
  <c r="I510" i="4"/>
  <c r="H511" i="4"/>
  <c r="I511" i="4"/>
  <c r="H512" i="4"/>
  <c r="I512" i="4"/>
  <c r="H513" i="4"/>
  <c r="I513" i="4"/>
  <c r="H514" i="4"/>
  <c r="I514" i="4"/>
  <c r="H515" i="4"/>
  <c r="I515" i="4"/>
  <c r="H516" i="4"/>
  <c r="I516" i="4"/>
  <c r="H517" i="4"/>
  <c r="I517" i="4"/>
  <c r="H518" i="4"/>
  <c r="I518" i="4"/>
  <c r="H519" i="4"/>
  <c r="I519" i="4"/>
  <c r="H520" i="4"/>
  <c r="I520" i="4"/>
  <c r="H521" i="4"/>
  <c r="I521" i="4"/>
  <c r="H522" i="4"/>
  <c r="I522" i="4"/>
  <c r="H523" i="4"/>
  <c r="I523" i="4"/>
  <c r="H524" i="4"/>
  <c r="I524" i="4"/>
  <c r="H525" i="4"/>
  <c r="I525" i="4"/>
  <c r="H526" i="4"/>
  <c r="I526" i="4"/>
  <c r="H527" i="4"/>
  <c r="I527" i="4"/>
  <c r="H528" i="4"/>
  <c r="I528" i="4"/>
  <c r="H529" i="4"/>
  <c r="I529" i="4"/>
  <c r="H530" i="4"/>
  <c r="I530" i="4"/>
  <c r="H531" i="4"/>
  <c r="I531" i="4"/>
  <c r="H532" i="4"/>
  <c r="I532" i="4"/>
  <c r="H533" i="4"/>
  <c r="I533" i="4"/>
  <c r="H534" i="4"/>
  <c r="I534" i="4"/>
  <c r="H535" i="4"/>
  <c r="I535" i="4"/>
  <c r="H536" i="4"/>
  <c r="I536" i="4"/>
  <c r="H537" i="4"/>
  <c r="I537" i="4"/>
  <c r="H538" i="4"/>
  <c r="I538" i="4"/>
  <c r="H539" i="4"/>
  <c r="I539" i="4"/>
  <c r="H540" i="4"/>
  <c r="I540" i="4"/>
  <c r="H541" i="4"/>
  <c r="I541" i="4"/>
  <c r="H542" i="4"/>
  <c r="I542" i="4"/>
  <c r="H543" i="4"/>
  <c r="I543" i="4"/>
  <c r="H544" i="4"/>
  <c r="I544" i="4"/>
  <c r="H545" i="4"/>
  <c r="I545" i="4"/>
  <c r="H546" i="4"/>
  <c r="I546" i="4"/>
  <c r="H547" i="4"/>
  <c r="I547" i="4"/>
  <c r="H548" i="4"/>
  <c r="I548" i="4"/>
  <c r="H549" i="4"/>
  <c r="I549" i="4"/>
  <c r="H550" i="4"/>
  <c r="I550" i="4"/>
  <c r="H551" i="4"/>
  <c r="I551" i="4"/>
  <c r="H552" i="4"/>
  <c r="I552" i="4"/>
  <c r="H553" i="4"/>
  <c r="I553" i="4"/>
  <c r="H554" i="4"/>
  <c r="I554" i="4"/>
  <c r="H555" i="4"/>
  <c r="I555" i="4"/>
  <c r="H556" i="4"/>
  <c r="I556" i="4"/>
  <c r="H557" i="4"/>
  <c r="I557" i="4"/>
  <c r="H558" i="4"/>
  <c r="I558" i="4"/>
  <c r="H559" i="4"/>
  <c r="I559" i="4"/>
  <c r="H560" i="4"/>
  <c r="I560" i="4"/>
  <c r="H561" i="4"/>
  <c r="I561" i="4"/>
  <c r="H562" i="4"/>
  <c r="I562" i="4"/>
  <c r="H563" i="4"/>
  <c r="I563" i="4"/>
  <c r="H564" i="4"/>
  <c r="I564" i="4"/>
  <c r="H565" i="4"/>
  <c r="I565" i="4"/>
  <c r="H566" i="4"/>
  <c r="I566" i="4"/>
  <c r="H567" i="4"/>
  <c r="I567" i="4"/>
  <c r="H568" i="4"/>
  <c r="I568" i="4"/>
  <c r="H569" i="4"/>
  <c r="I569" i="4"/>
  <c r="H570" i="4"/>
  <c r="I570" i="4"/>
  <c r="H571" i="4"/>
  <c r="I571" i="4"/>
  <c r="H572" i="4"/>
  <c r="I572" i="4"/>
  <c r="H573" i="4"/>
  <c r="I573" i="4"/>
  <c r="H574" i="4"/>
  <c r="I574" i="4"/>
  <c r="H575" i="4"/>
  <c r="I575" i="4"/>
  <c r="H576" i="4"/>
  <c r="I576" i="4"/>
  <c r="H577" i="4"/>
  <c r="I577" i="4"/>
  <c r="H578" i="4"/>
  <c r="I578" i="4"/>
  <c r="H579" i="4"/>
  <c r="I579" i="4"/>
  <c r="H580" i="4"/>
  <c r="I580" i="4"/>
  <c r="H581" i="4"/>
  <c r="I581" i="4"/>
  <c r="H582" i="4"/>
  <c r="I582" i="4"/>
  <c r="H583" i="4"/>
  <c r="I583" i="4"/>
  <c r="H584" i="4"/>
  <c r="I584" i="4"/>
  <c r="H585" i="4"/>
  <c r="I585" i="4"/>
  <c r="H586" i="4"/>
  <c r="I586" i="4"/>
  <c r="H587" i="4"/>
  <c r="I587" i="4"/>
  <c r="H588" i="4"/>
  <c r="I588" i="4"/>
  <c r="H589" i="4"/>
  <c r="I589" i="4"/>
  <c r="H590" i="4"/>
  <c r="I590" i="4"/>
  <c r="H591" i="4"/>
  <c r="I591" i="4"/>
  <c r="H592" i="4"/>
  <c r="I592" i="4"/>
  <c r="H593" i="4"/>
  <c r="I593" i="4"/>
  <c r="H594" i="4"/>
  <c r="I594" i="4"/>
  <c r="H595" i="4"/>
  <c r="I595" i="4"/>
  <c r="H596" i="4"/>
  <c r="I596" i="4"/>
  <c r="H597" i="4"/>
  <c r="I597" i="4"/>
  <c r="H598" i="4"/>
  <c r="I598" i="4"/>
  <c r="H599" i="4"/>
  <c r="I599" i="4"/>
  <c r="H600" i="4"/>
  <c r="I600" i="4"/>
  <c r="H601" i="4"/>
  <c r="I601" i="4"/>
  <c r="H602" i="4"/>
  <c r="I602" i="4"/>
  <c r="H603" i="4"/>
  <c r="I603" i="4"/>
  <c r="H604" i="4"/>
  <c r="I604" i="4"/>
  <c r="H605" i="4"/>
  <c r="I605" i="4"/>
  <c r="H606" i="4"/>
  <c r="I606" i="4"/>
  <c r="H607" i="4"/>
  <c r="I607" i="4"/>
  <c r="H608" i="4"/>
  <c r="I608" i="4"/>
  <c r="H609" i="4"/>
  <c r="I609" i="4"/>
  <c r="H610" i="4"/>
  <c r="I610" i="4"/>
  <c r="H611" i="4"/>
  <c r="I611" i="4"/>
  <c r="H612" i="4"/>
  <c r="I612" i="4"/>
  <c r="H613" i="4"/>
  <c r="I613" i="4"/>
  <c r="H614" i="4"/>
  <c r="I614" i="4"/>
  <c r="H615" i="4"/>
  <c r="I615" i="4"/>
  <c r="H616" i="4"/>
  <c r="I616" i="4"/>
  <c r="H617" i="4"/>
  <c r="I617" i="4"/>
  <c r="H618" i="4"/>
  <c r="I618" i="4"/>
  <c r="H619" i="4"/>
  <c r="I619" i="4"/>
  <c r="H620" i="4"/>
  <c r="I620" i="4"/>
  <c r="H621" i="4"/>
  <c r="I621" i="4"/>
  <c r="H622" i="4"/>
  <c r="I622" i="4"/>
  <c r="H623" i="4"/>
  <c r="I623" i="4"/>
  <c r="H624" i="4"/>
  <c r="I624" i="4"/>
  <c r="H625" i="4"/>
  <c r="I625" i="4"/>
  <c r="H626" i="4"/>
  <c r="I626" i="4"/>
  <c r="H627" i="4"/>
  <c r="I627" i="4"/>
  <c r="H628" i="4"/>
  <c r="I628" i="4"/>
  <c r="H629" i="4"/>
  <c r="I629" i="4"/>
  <c r="H630" i="4"/>
  <c r="I630" i="4"/>
  <c r="H631" i="4"/>
  <c r="I631" i="4"/>
  <c r="H632" i="4"/>
  <c r="I632" i="4"/>
  <c r="H633" i="4"/>
  <c r="I633" i="4"/>
  <c r="H634" i="4"/>
  <c r="I634" i="4"/>
  <c r="H635" i="4"/>
  <c r="I635" i="4"/>
  <c r="H636" i="4"/>
  <c r="I636" i="4"/>
  <c r="H637" i="4"/>
  <c r="I637" i="4"/>
  <c r="H638" i="4"/>
  <c r="I638" i="4"/>
  <c r="H639" i="4"/>
  <c r="I639" i="4"/>
  <c r="H640" i="4"/>
  <c r="I640" i="4"/>
  <c r="H641" i="4"/>
  <c r="I641" i="4"/>
  <c r="H642" i="4"/>
  <c r="I642" i="4"/>
  <c r="H643" i="4"/>
  <c r="I643" i="4"/>
  <c r="H644" i="4"/>
  <c r="I644" i="4"/>
  <c r="H645" i="4"/>
  <c r="I645" i="4"/>
  <c r="H646" i="4"/>
  <c r="I646" i="4"/>
  <c r="H647" i="4"/>
  <c r="I647" i="4"/>
  <c r="H648" i="4"/>
  <c r="I648" i="4"/>
  <c r="H649" i="4"/>
  <c r="I649" i="4"/>
  <c r="H650" i="4"/>
  <c r="I650" i="4"/>
  <c r="H651" i="4"/>
  <c r="I651" i="4"/>
  <c r="H652" i="4"/>
  <c r="I652" i="4"/>
  <c r="H653" i="4"/>
  <c r="I653" i="4"/>
  <c r="H654" i="4"/>
  <c r="I654" i="4"/>
  <c r="H655" i="4"/>
  <c r="I655" i="4"/>
  <c r="H656" i="4"/>
  <c r="I656" i="4"/>
  <c r="H657" i="4"/>
  <c r="I657" i="4"/>
  <c r="H658" i="4"/>
  <c r="I658" i="4"/>
  <c r="H659" i="4"/>
  <c r="I659" i="4"/>
  <c r="H660" i="4"/>
  <c r="I660" i="4"/>
  <c r="H661" i="4"/>
  <c r="I661" i="4"/>
  <c r="H662" i="4"/>
  <c r="I662" i="4"/>
  <c r="H663" i="4"/>
  <c r="I663" i="4"/>
  <c r="H664" i="4"/>
  <c r="I664" i="4"/>
  <c r="H665" i="4"/>
  <c r="I665" i="4"/>
  <c r="H666" i="4"/>
  <c r="I666" i="4"/>
  <c r="H667" i="4"/>
  <c r="I667" i="4"/>
  <c r="H668" i="4"/>
  <c r="I668" i="4"/>
  <c r="H669" i="4"/>
  <c r="I669" i="4"/>
  <c r="H670" i="4"/>
  <c r="I670" i="4"/>
  <c r="H671" i="4"/>
  <c r="I671" i="4"/>
  <c r="H672" i="4"/>
  <c r="I672" i="4"/>
  <c r="H673" i="4"/>
  <c r="I673" i="4"/>
  <c r="H674" i="4"/>
  <c r="I674" i="4"/>
  <c r="H675" i="4"/>
  <c r="I675" i="4"/>
  <c r="H676" i="4"/>
  <c r="I676" i="4"/>
  <c r="H677" i="4"/>
  <c r="I677" i="4"/>
  <c r="H678" i="4"/>
  <c r="I678" i="4"/>
  <c r="H679" i="4"/>
  <c r="I679" i="4"/>
  <c r="H680" i="4"/>
  <c r="I680" i="4"/>
  <c r="H681" i="4"/>
  <c r="I681" i="4"/>
  <c r="H682" i="4"/>
  <c r="I682" i="4"/>
  <c r="H683" i="4"/>
  <c r="I683" i="4"/>
  <c r="H684" i="4"/>
  <c r="I684" i="4"/>
  <c r="H685" i="4"/>
  <c r="I685" i="4"/>
  <c r="H686" i="4"/>
  <c r="I686" i="4"/>
  <c r="H687" i="4"/>
  <c r="I687" i="4"/>
  <c r="H688" i="4"/>
  <c r="I688" i="4"/>
  <c r="H689" i="4"/>
  <c r="I689" i="4"/>
  <c r="H690" i="4"/>
  <c r="I690" i="4"/>
  <c r="H691" i="4"/>
  <c r="I691" i="4"/>
  <c r="H692" i="4"/>
  <c r="I692" i="4"/>
  <c r="H693" i="4"/>
  <c r="I693" i="4"/>
  <c r="H694" i="4"/>
  <c r="I694" i="4"/>
  <c r="H695" i="4"/>
  <c r="I695" i="4"/>
  <c r="H696" i="4"/>
  <c r="I696" i="4"/>
  <c r="H697" i="4"/>
  <c r="I697" i="4"/>
  <c r="H698" i="4"/>
  <c r="I698" i="4"/>
  <c r="H699" i="4"/>
  <c r="I699" i="4"/>
  <c r="H700" i="4"/>
  <c r="I700" i="4"/>
  <c r="H701" i="4"/>
  <c r="I701" i="4"/>
  <c r="H702" i="4"/>
  <c r="I702" i="4"/>
  <c r="H703" i="4"/>
  <c r="I703" i="4"/>
  <c r="H704" i="4"/>
  <c r="I704" i="4"/>
  <c r="H705" i="4"/>
  <c r="I705" i="4"/>
  <c r="H706" i="4"/>
  <c r="I706" i="4"/>
  <c r="H707" i="4"/>
  <c r="I707" i="4"/>
  <c r="H708" i="4"/>
  <c r="I708" i="4"/>
  <c r="H709" i="4"/>
  <c r="I709" i="4"/>
  <c r="H710" i="4"/>
  <c r="I710" i="4"/>
  <c r="H711" i="4"/>
  <c r="I711" i="4"/>
  <c r="H712" i="4"/>
  <c r="I712" i="4"/>
  <c r="H713" i="4"/>
  <c r="I713" i="4"/>
  <c r="H714" i="4"/>
  <c r="I714" i="4"/>
  <c r="H715" i="4"/>
  <c r="I715" i="4"/>
  <c r="H716" i="4"/>
  <c r="I716" i="4"/>
  <c r="H717" i="4"/>
  <c r="I717" i="4"/>
  <c r="H718" i="4"/>
  <c r="I718" i="4"/>
  <c r="H719" i="4"/>
  <c r="I719" i="4"/>
  <c r="H720" i="4"/>
  <c r="I720" i="4"/>
  <c r="H721" i="4"/>
  <c r="I721" i="4"/>
  <c r="H722" i="4"/>
  <c r="I722" i="4"/>
  <c r="H723" i="4"/>
  <c r="I723" i="4"/>
  <c r="H724" i="4"/>
  <c r="I724" i="4"/>
  <c r="H725" i="4"/>
  <c r="I725" i="4"/>
  <c r="H726" i="4"/>
  <c r="I726" i="4"/>
  <c r="H727" i="4"/>
  <c r="I727" i="4"/>
  <c r="H728" i="4"/>
  <c r="I728" i="4"/>
  <c r="H729" i="4"/>
  <c r="I729" i="4"/>
  <c r="H730" i="4"/>
  <c r="I730" i="4"/>
  <c r="H731" i="4"/>
  <c r="I731" i="4"/>
  <c r="H732" i="4"/>
  <c r="I732" i="4"/>
  <c r="H733" i="4"/>
  <c r="I733" i="4"/>
  <c r="H734" i="4"/>
  <c r="I734" i="4"/>
  <c r="H735" i="4"/>
  <c r="I735" i="4"/>
  <c r="H736" i="4"/>
  <c r="I736" i="4"/>
  <c r="H737" i="4"/>
  <c r="I737" i="4"/>
  <c r="H738" i="4"/>
  <c r="I738" i="4"/>
  <c r="H739" i="4"/>
  <c r="I739" i="4"/>
  <c r="H740" i="4"/>
  <c r="I740" i="4"/>
  <c r="H741" i="4"/>
  <c r="I741" i="4"/>
  <c r="H742" i="4"/>
  <c r="I742" i="4"/>
  <c r="H743" i="4"/>
  <c r="I743" i="4"/>
  <c r="H744" i="4"/>
  <c r="I744" i="4"/>
  <c r="H745" i="4"/>
  <c r="I745" i="4"/>
  <c r="H746" i="4"/>
  <c r="I746" i="4"/>
  <c r="H747" i="4"/>
  <c r="I747" i="4"/>
  <c r="H748" i="4"/>
  <c r="I748" i="4"/>
  <c r="H749" i="4"/>
  <c r="I749" i="4"/>
  <c r="H750" i="4"/>
  <c r="I750" i="4"/>
  <c r="H751" i="4"/>
  <c r="I751" i="4"/>
  <c r="H752" i="4"/>
  <c r="I752" i="4"/>
  <c r="H753" i="4"/>
  <c r="I753" i="4"/>
  <c r="H754" i="4"/>
  <c r="I754" i="4"/>
  <c r="H755" i="4"/>
  <c r="I755" i="4"/>
  <c r="H756" i="4"/>
  <c r="I756" i="4"/>
  <c r="H757" i="4"/>
  <c r="I757" i="4"/>
  <c r="H758" i="4"/>
  <c r="I758" i="4"/>
  <c r="H759" i="4"/>
  <c r="I759" i="4"/>
  <c r="H760" i="4"/>
  <c r="I760" i="4"/>
  <c r="H761" i="4"/>
  <c r="I761" i="4"/>
  <c r="H762" i="4"/>
  <c r="I762" i="4"/>
  <c r="H763" i="4"/>
  <c r="I763" i="4"/>
  <c r="H764" i="4"/>
  <c r="I764" i="4"/>
  <c r="H765" i="4"/>
  <c r="I765" i="4"/>
  <c r="H766" i="4"/>
  <c r="I766" i="4"/>
  <c r="H767" i="4"/>
  <c r="I767" i="4"/>
  <c r="H768" i="4"/>
  <c r="I768" i="4"/>
  <c r="H769" i="4"/>
  <c r="I769" i="4"/>
  <c r="H770" i="4"/>
  <c r="I770" i="4"/>
  <c r="H771" i="4"/>
  <c r="I771" i="4"/>
  <c r="H772" i="4"/>
  <c r="I772" i="4"/>
  <c r="H773" i="4"/>
  <c r="I773" i="4"/>
  <c r="H774" i="4"/>
  <c r="I774" i="4"/>
  <c r="H775" i="4"/>
  <c r="I775" i="4"/>
  <c r="H776" i="4"/>
  <c r="I776" i="4"/>
  <c r="H777" i="4"/>
  <c r="I777" i="4"/>
  <c r="H778" i="4"/>
  <c r="I778" i="4"/>
  <c r="H779" i="4"/>
  <c r="I779" i="4"/>
  <c r="H780" i="4"/>
  <c r="I780" i="4"/>
  <c r="H781" i="4"/>
  <c r="I781" i="4"/>
  <c r="H782" i="4"/>
  <c r="I782" i="4"/>
  <c r="H783" i="4"/>
  <c r="I783" i="4"/>
  <c r="H784" i="4"/>
  <c r="I784" i="4"/>
  <c r="H785" i="4"/>
  <c r="I785" i="4"/>
  <c r="H786" i="4"/>
  <c r="I786" i="4"/>
  <c r="H787" i="4"/>
  <c r="I787" i="4"/>
  <c r="H788" i="4"/>
  <c r="I788" i="4"/>
  <c r="H789" i="4"/>
  <c r="I789" i="4"/>
  <c r="H790" i="4"/>
  <c r="I790" i="4"/>
  <c r="H791" i="4"/>
  <c r="I791" i="4"/>
  <c r="H792" i="4"/>
  <c r="I792" i="4"/>
  <c r="H793" i="4"/>
  <c r="I793" i="4"/>
  <c r="H794" i="4"/>
  <c r="I794" i="4"/>
  <c r="H795" i="4"/>
  <c r="I795" i="4"/>
  <c r="H796" i="4"/>
  <c r="I796" i="4"/>
  <c r="H797" i="4"/>
  <c r="I797" i="4"/>
  <c r="H798" i="4"/>
  <c r="I798" i="4"/>
  <c r="H799" i="4"/>
  <c r="I799" i="4"/>
  <c r="H800" i="4"/>
  <c r="I800" i="4"/>
  <c r="H801" i="4"/>
  <c r="I801" i="4"/>
  <c r="H802" i="4"/>
  <c r="I802" i="4"/>
  <c r="H803" i="4"/>
  <c r="I803" i="4"/>
  <c r="H804" i="4"/>
  <c r="I804" i="4"/>
  <c r="H805" i="4"/>
  <c r="I805" i="4"/>
  <c r="H806" i="4"/>
  <c r="I806" i="4"/>
  <c r="H807" i="4"/>
  <c r="I807" i="4"/>
  <c r="H808" i="4"/>
  <c r="I808" i="4"/>
  <c r="H809" i="4"/>
  <c r="I809" i="4"/>
  <c r="H810" i="4"/>
  <c r="I810" i="4"/>
  <c r="H811" i="4"/>
  <c r="I811" i="4"/>
  <c r="H812" i="4"/>
  <c r="I812" i="4"/>
  <c r="H813" i="4"/>
  <c r="I813" i="4"/>
  <c r="H814" i="4"/>
  <c r="I814" i="4"/>
  <c r="H815" i="4"/>
  <c r="I815" i="4"/>
  <c r="H816" i="4"/>
  <c r="I816" i="4"/>
  <c r="H817" i="4"/>
  <c r="I817" i="4"/>
  <c r="H818" i="4"/>
  <c r="I818" i="4"/>
  <c r="H819" i="4"/>
  <c r="I819" i="4"/>
  <c r="H820" i="4"/>
  <c r="I820" i="4"/>
  <c r="H821" i="4"/>
  <c r="I821" i="4"/>
  <c r="H822" i="4"/>
  <c r="I822" i="4"/>
  <c r="H823" i="4"/>
  <c r="I823" i="4"/>
  <c r="H824" i="4"/>
  <c r="I824" i="4"/>
  <c r="H825" i="4"/>
  <c r="I825" i="4"/>
  <c r="H826" i="4"/>
  <c r="I826" i="4"/>
  <c r="H827" i="4"/>
  <c r="I827" i="4"/>
  <c r="H828" i="4"/>
  <c r="I828" i="4"/>
  <c r="H829" i="4"/>
  <c r="I829" i="4"/>
  <c r="H830" i="4"/>
  <c r="I830" i="4"/>
  <c r="H831" i="4"/>
  <c r="I831" i="4"/>
  <c r="H832" i="4"/>
  <c r="I832" i="4"/>
  <c r="H833" i="4"/>
  <c r="I833" i="4"/>
  <c r="H834" i="4"/>
  <c r="I834" i="4"/>
  <c r="H835" i="4"/>
  <c r="I835" i="4"/>
  <c r="H836" i="4"/>
  <c r="I836" i="4"/>
  <c r="H837" i="4"/>
  <c r="I837" i="4"/>
  <c r="H838" i="4"/>
  <c r="I838" i="4"/>
  <c r="H839" i="4"/>
  <c r="I839" i="4"/>
  <c r="H840" i="4"/>
  <c r="I840" i="4"/>
  <c r="H841" i="4"/>
  <c r="I841" i="4"/>
  <c r="H842" i="4"/>
  <c r="I842" i="4"/>
  <c r="H843" i="4"/>
  <c r="I843" i="4"/>
  <c r="H844" i="4"/>
  <c r="I844" i="4"/>
  <c r="H845" i="4"/>
  <c r="I845" i="4"/>
  <c r="H846" i="4"/>
  <c r="I846" i="4"/>
  <c r="H847" i="4"/>
  <c r="I847" i="4"/>
  <c r="H848" i="4"/>
  <c r="I848" i="4"/>
  <c r="H849" i="4"/>
  <c r="I849" i="4"/>
  <c r="H850" i="4"/>
  <c r="I850" i="4"/>
  <c r="H851" i="4"/>
  <c r="I851" i="4"/>
  <c r="H852" i="4"/>
  <c r="I852" i="4"/>
  <c r="H853" i="4"/>
  <c r="I853" i="4"/>
  <c r="H854" i="4"/>
  <c r="I854" i="4"/>
  <c r="H855" i="4"/>
  <c r="I855" i="4"/>
  <c r="H856" i="4"/>
  <c r="I856" i="4"/>
  <c r="H857" i="4"/>
  <c r="I857" i="4"/>
  <c r="H858" i="4"/>
  <c r="I858" i="4"/>
  <c r="H859" i="4"/>
  <c r="I859" i="4"/>
  <c r="H860" i="4"/>
  <c r="I860" i="4"/>
  <c r="H861" i="4"/>
  <c r="I861" i="4"/>
  <c r="H862" i="4"/>
  <c r="I862" i="4"/>
  <c r="H863" i="4"/>
  <c r="I863" i="4"/>
  <c r="H864" i="4"/>
  <c r="I864" i="4"/>
  <c r="H865" i="4"/>
  <c r="I865" i="4"/>
  <c r="H866" i="4"/>
  <c r="I866" i="4"/>
  <c r="H867" i="4"/>
  <c r="I867" i="4"/>
  <c r="H868" i="4"/>
  <c r="I868" i="4"/>
  <c r="H869" i="4"/>
  <c r="I869" i="4"/>
  <c r="H870" i="4"/>
  <c r="I870" i="4"/>
  <c r="H871" i="4"/>
  <c r="I871" i="4"/>
  <c r="H872" i="4"/>
  <c r="I872" i="4"/>
  <c r="H873" i="4"/>
  <c r="I873" i="4"/>
  <c r="H874" i="4"/>
  <c r="I874" i="4"/>
  <c r="H875" i="4"/>
  <c r="I875" i="4"/>
  <c r="H876" i="4"/>
  <c r="I876" i="4"/>
  <c r="H877" i="4"/>
  <c r="I877" i="4"/>
  <c r="H878" i="4"/>
  <c r="I878" i="4"/>
  <c r="H879" i="4"/>
  <c r="I879" i="4"/>
  <c r="H880" i="4"/>
  <c r="I880" i="4"/>
  <c r="H881" i="4"/>
  <c r="I881" i="4"/>
  <c r="H882" i="4"/>
  <c r="I882" i="4"/>
  <c r="H883" i="4"/>
  <c r="I883" i="4"/>
  <c r="H884" i="4"/>
  <c r="I884" i="4"/>
  <c r="H885" i="4"/>
  <c r="I885" i="4"/>
  <c r="H886" i="4"/>
  <c r="I886" i="4"/>
  <c r="H887" i="4"/>
  <c r="I887" i="4"/>
  <c r="H888" i="4"/>
  <c r="I888" i="4"/>
  <c r="H889" i="4"/>
  <c r="I889" i="4"/>
  <c r="H890" i="4"/>
  <c r="I890" i="4"/>
  <c r="H891" i="4"/>
  <c r="I891" i="4"/>
  <c r="H892" i="4"/>
  <c r="I892" i="4"/>
  <c r="H893" i="4"/>
  <c r="I893" i="4"/>
  <c r="H894" i="4"/>
  <c r="I894" i="4"/>
  <c r="H895" i="4"/>
  <c r="I895" i="4"/>
  <c r="H896" i="4"/>
  <c r="I896" i="4"/>
  <c r="H897" i="4"/>
  <c r="I897" i="4"/>
  <c r="H898" i="4"/>
  <c r="I898" i="4"/>
  <c r="H899" i="4"/>
  <c r="I899" i="4"/>
  <c r="H900" i="4"/>
  <c r="I900" i="4"/>
  <c r="H901" i="4"/>
  <c r="I901" i="4"/>
  <c r="H902" i="4"/>
  <c r="I902" i="4"/>
  <c r="H903" i="4"/>
  <c r="I903" i="4"/>
  <c r="H904" i="4"/>
  <c r="I904" i="4"/>
  <c r="H905" i="4"/>
  <c r="I905" i="4"/>
  <c r="H906" i="4"/>
  <c r="I906" i="4"/>
  <c r="H907" i="4"/>
  <c r="I907" i="4"/>
  <c r="H908" i="4"/>
  <c r="I908" i="4"/>
  <c r="H909" i="4"/>
  <c r="I909" i="4"/>
  <c r="H910" i="4"/>
  <c r="I910" i="4"/>
  <c r="H911" i="4"/>
  <c r="I911" i="4"/>
  <c r="H912" i="4"/>
  <c r="I912" i="4"/>
  <c r="H913" i="4"/>
  <c r="I913" i="4"/>
  <c r="H914" i="4"/>
  <c r="I914" i="4"/>
  <c r="H915" i="4"/>
  <c r="I915" i="4"/>
  <c r="H916" i="4"/>
  <c r="I916" i="4"/>
  <c r="H917" i="4"/>
  <c r="I917" i="4"/>
  <c r="H918" i="4"/>
  <c r="I918" i="4"/>
  <c r="H919" i="4"/>
  <c r="I919" i="4"/>
  <c r="H920" i="4"/>
  <c r="I920" i="4"/>
  <c r="H921" i="4"/>
  <c r="I921" i="4"/>
  <c r="H922" i="4"/>
  <c r="I922" i="4"/>
  <c r="H923" i="4"/>
  <c r="I923" i="4"/>
  <c r="H924" i="4"/>
  <c r="I924" i="4"/>
  <c r="H925" i="4"/>
  <c r="I925" i="4"/>
  <c r="H926" i="4"/>
  <c r="I926" i="4"/>
  <c r="H927" i="4"/>
  <c r="I927" i="4"/>
  <c r="H928" i="4"/>
  <c r="I928" i="4"/>
  <c r="H929" i="4"/>
  <c r="I929" i="4"/>
  <c r="H930" i="4"/>
  <c r="I930" i="4"/>
  <c r="H931" i="4"/>
  <c r="I931" i="4"/>
  <c r="H932" i="4"/>
  <c r="I932" i="4"/>
  <c r="H933" i="4"/>
  <c r="I933" i="4"/>
  <c r="H934" i="4"/>
  <c r="I934" i="4"/>
  <c r="H935" i="4"/>
  <c r="I935" i="4"/>
  <c r="H936" i="4"/>
  <c r="I936" i="4"/>
  <c r="H937" i="4"/>
  <c r="I937" i="4"/>
  <c r="H938" i="4"/>
  <c r="I938" i="4"/>
  <c r="H939" i="4"/>
  <c r="I939" i="4"/>
  <c r="H940" i="4"/>
  <c r="I940" i="4"/>
  <c r="H941" i="4"/>
  <c r="I941" i="4"/>
  <c r="H942" i="4"/>
  <c r="I942" i="4"/>
  <c r="H943" i="4"/>
  <c r="I943" i="4"/>
  <c r="H944" i="4"/>
  <c r="I944" i="4"/>
  <c r="H945" i="4"/>
  <c r="I945" i="4"/>
  <c r="H946" i="4"/>
  <c r="I946" i="4"/>
  <c r="H947" i="4"/>
  <c r="I947" i="4"/>
  <c r="H948" i="4"/>
  <c r="I948" i="4"/>
  <c r="H949" i="4"/>
  <c r="I949" i="4"/>
  <c r="H950" i="4"/>
  <c r="I950" i="4"/>
  <c r="H951" i="4"/>
  <c r="I951" i="4"/>
  <c r="H952" i="4"/>
  <c r="I952" i="4"/>
  <c r="H953" i="4"/>
  <c r="I953" i="4"/>
  <c r="H954" i="4"/>
  <c r="I954" i="4"/>
  <c r="H955" i="4"/>
  <c r="I955" i="4"/>
  <c r="H956" i="4"/>
  <c r="I956" i="4"/>
  <c r="H957" i="4"/>
  <c r="I957" i="4"/>
  <c r="H958" i="4"/>
  <c r="I958" i="4"/>
  <c r="H959" i="4"/>
  <c r="I959" i="4"/>
  <c r="H960" i="4"/>
  <c r="I960" i="4"/>
  <c r="H961" i="4"/>
  <c r="I961" i="4"/>
  <c r="H962" i="4"/>
  <c r="I962" i="4"/>
  <c r="H963" i="4"/>
  <c r="I963" i="4"/>
  <c r="H964" i="4"/>
  <c r="I964" i="4"/>
  <c r="H965" i="4"/>
  <c r="I965" i="4"/>
  <c r="H966" i="4"/>
  <c r="I966" i="4"/>
  <c r="H967" i="4"/>
  <c r="I967" i="4"/>
  <c r="H968" i="4"/>
  <c r="I968" i="4"/>
  <c r="H969" i="4"/>
  <c r="I969" i="4"/>
  <c r="H970" i="4"/>
  <c r="I970" i="4"/>
  <c r="H971" i="4"/>
  <c r="I971" i="4"/>
  <c r="H972" i="4"/>
  <c r="I972" i="4"/>
  <c r="H973" i="4"/>
  <c r="I973" i="4"/>
  <c r="H974" i="4"/>
  <c r="I974" i="4"/>
  <c r="H975" i="4"/>
  <c r="I975" i="4"/>
  <c r="H976" i="4"/>
  <c r="I976" i="4"/>
  <c r="H977" i="4"/>
  <c r="I977" i="4"/>
  <c r="H978" i="4"/>
  <c r="I978" i="4"/>
  <c r="H979" i="4"/>
  <c r="I979" i="4"/>
  <c r="H980" i="4"/>
  <c r="I980" i="4"/>
  <c r="H981" i="4"/>
  <c r="I981" i="4"/>
  <c r="H982" i="4"/>
  <c r="I982" i="4"/>
  <c r="H983" i="4"/>
  <c r="I983" i="4"/>
  <c r="H984" i="4"/>
  <c r="I984" i="4"/>
  <c r="H985" i="4"/>
  <c r="I985" i="4"/>
  <c r="H986" i="4"/>
  <c r="I986" i="4"/>
  <c r="H987" i="4"/>
  <c r="I987" i="4"/>
  <c r="H988" i="4"/>
  <c r="I988" i="4"/>
  <c r="H989" i="4"/>
  <c r="I989" i="4"/>
  <c r="H990" i="4"/>
  <c r="I990" i="4"/>
  <c r="H991" i="4"/>
  <c r="I991" i="4"/>
  <c r="H992" i="4"/>
  <c r="I992" i="4"/>
  <c r="H993" i="4"/>
  <c r="I993" i="4"/>
  <c r="H994" i="4"/>
  <c r="I994" i="4"/>
  <c r="H995" i="4"/>
  <c r="I995" i="4"/>
  <c r="H996" i="4"/>
  <c r="I996" i="4"/>
  <c r="H997" i="4"/>
  <c r="I997" i="4"/>
  <c r="H998" i="4"/>
  <c r="I998" i="4"/>
  <c r="H999" i="4"/>
  <c r="I999" i="4"/>
  <c r="H1000" i="4"/>
  <c r="I1000" i="4"/>
  <c r="H1001" i="4"/>
  <c r="I1001" i="4"/>
  <c r="H1002" i="4"/>
  <c r="I1002" i="4"/>
  <c r="H1003" i="4"/>
  <c r="I1003" i="4"/>
  <c r="H1004" i="4"/>
  <c r="I1004" i="4"/>
  <c r="H1005" i="4"/>
  <c r="I1005" i="4"/>
  <c r="H1006" i="4"/>
  <c r="I1006" i="4"/>
  <c r="H1007" i="4"/>
  <c r="I1007" i="4"/>
  <c r="H1008" i="4"/>
  <c r="I1008" i="4"/>
  <c r="H1009" i="4"/>
  <c r="I1009" i="4"/>
  <c r="H1010" i="4"/>
  <c r="I1010" i="4"/>
  <c r="H1011" i="4"/>
  <c r="I1011" i="4"/>
  <c r="H1012" i="4"/>
  <c r="I1012" i="4"/>
  <c r="H1013" i="4"/>
  <c r="I1013" i="4"/>
  <c r="H1014" i="4"/>
  <c r="I1014" i="4"/>
  <c r="H1015" i="4"/>
  <c r="I1015" i="4"/>
  <c r="H1016" i="4"/>
  <c r="I1016" i="4"/>
  <c r="H1017" i="4"/>
  <c r="I1017" i="4"/>
  <c r="H1018" i="4"/>
  <c r="I1018" i="4"/>
  <c r="H1019" i="4"/>
  <c r="I1019" i="4"/>
  <c r="H1020" i="4"/>
  <c r="I1020" i="4"/>
  <c r="H1021" i="4"/>
  <c r="I1021" i="4"/>
  <c r="H1022" i="4"/>
  <c r="I1022" i="4"/>
  <c r="H1023" i="4"/>
  <c r="I1023" i="4"/>
  <c r="H1024" i="4"/>
  <c r="I1024" i="4"/>
  <c r="H1025" i="4"/>
  <c r="I1025" i="4"/>
  <c r="H1026" i="4"/>
  <c r="I1026" i="4"/>
  <c r="H1027" i="4"/>
  <c r="I1027" i="4"/>
  <c r="H1028" i="4"/>
  <c r="I1028" i="4"/>
  <c r="H1029" i="4"/>
  <c r="I1029" i="4"/>
  <c r="H1030" i="4"/>
  <c r="I1030" i="4"/>
  <c r="H1031" i="4"/>
  <c r="I1031" i="4"/>
  <c r="H1032" i="4"/>
  <c r="I1032" i="4"/>
  <c r="H1033" i="4"/>
  <c r="I1033" i="4"/>
  <c r="H1034" i="4"/>
  <c r="I1034" i="4"/>
  <c r="H1035" i="4"/>
  <c r="I1035" i="4"/>
  <c r="H1036" i="4"/>
  <c r="I1036" i="4"/>
  <c r="H1037" i="4"/>
  <c r="I1037" i="4"/>
  <c r="H1038" i="4"/>
  <c r="I1038" i="4"/>
  <c r="H1039" i="4"/>
  <c r="I1039" i="4"/>
  <c r="H1040" i="4"/>
  <c r="I1040" i="4"/>
  <c r="H1041" i="4"/>
  <c r="I1041" i="4"/>
  <c r="H1042" i="4"/>
  <c r="I1042" i="4"/>
  <c r="H1043" i="4"/>
  <c r="I1043" i="4"/>
  <c r="H1044" i="4"/>
  <c r="I1044" i="4"/>
  <c r="H1045" i="4"/>
  <c r="I1045" i="4"/>
  <c r="H1046" i="4"/>
  <c r="I1046" i="4"/>
  <c r="H1047" i="4"/>
  <c r="I1047" i="4"/>
  <c r="H1048" i="4"/>
  <c r="I1048" i="4"/>
  <c r="H1049" i="4"/>
  <c r="I1049" i="4"/>
  <c r="H1050" i="4"/>
  <c r="I1050" i="4"/>
  <c r="H1051" i="4"/>
  <c r="I1051" i="4"/>
  <c r="H1052" i="4"/>
  <c r="I1052" i="4"/>
  <c r="H1053" i="4"/>
  <c r="I1053" i="4"/>
  <c r="H1054" i="4"/>
  <c r="I1054" i="4"/>
  <c r="H1055" i="4"/>
  <c r="I1055" i="4"/>
  <c r="H1056" i="4"/>
  <c r="I1056" i="4"/>
  <c r="H1057" i="4"/>
  <c r="I1057" i="4"/>
  <c r="H1058" i="4"/>
  <c r="I1058" i="4"/>
  <c r="H1059" i="4"/>
  <c r="I1059" i="4"/>
  <c r="H1060" i="4"/>
  <c r="I1060" i="4"/>
  <c r="H1061" i="4"/>
  <c r="I1061" i="4"/>
  <c r="H1062" i="4"/>
  <c r="I1062" i="4"/>
  <c r="H1063" i="4"/>
  <c r="I1063" i="4"/>
  <c r="H1064" i="4"/>
  <c r="I1064" i="4"/>
  <c r="H1065" i="4"/>
  <c r="I1065" i="4"/>
  <c r="H1066" i="4"/>
  <c r="I1066" i="4"/>
  <c r="H1067" i="4"/>
  <c r="I1067" i="4"/>
  <c r="H1068" i="4"/>
  <c r="I1068" i="4"/>
  <c r="H1069" i="4"/>
  <c r="I1069" i="4"/>
  <c r="H1070" i="4"/>
  <c r="I1070" i="4"/>
  <c r="H1071" i="4"/>
  <c r="I1071" i="4"/>
  <c r="H1072" i="4"/>
  <c r="I1072" i="4"/>
  <c r="H1073" i="4"/>
  <c r="I1073" i="4"/>
  <c r="H1074" i="4"/>
  <c r="I1074" i="4"/>
  <c r="H1075" i="4"/>
  <c r="I1075" i="4"/>
  <c r="H1076" i="4"/>
  <c r="I1076" i="4"/>
  <c r="H1077" i="4"/>
  <c r="I1077" i="4"/>
  <c r="H1078" i="4"/>
  <c r="I1078" i="4"/>
  <c r="H1079" i="4"/>
  <c r="I1079" i="4"/>
  <c r="H1080" i="4"/>
  <c r="I1080" i="4"/>
  <c r="H1081" i="4"/>
  <c r="I1081" i="4"/>
  <c r="H1082" i="4"/>
  <c r="I1082" i="4"/>
  <c r="H1083" i="4"/>
  <c r="I1083" i="4"/>
  <c r="H1084" i="4"/>
  <c r="I1084" i="4"/>
  <c r="H1085" i="4"/>
  <c r="I1085" i="4"/>
  <c r="H1086" i="4"/>
  <c r="I1086" i="4"/>
  <c r="H1087" i="4"/>
  <c r="I1087" i="4"/>
  <c r="H1088" i="4"/>
  <c r="I1088" i="4"/>
  <c r="H1089" i="4"/>
  <c r="I1089" i="4"/>
  <c r="H1090" i="4"/>
  <c r="I1090" i="4"/>
  <c r="H1091" i="4"/>
  <c r="I1091" i="4"/>
  <c r="H1092" i="4"/>
  <c r="I1092" i="4"/>
  <c r="H1093" i="4"/>
  <c r="I1093" i="4"/>
  <c r="H1094" i="4"/>
  <c r="I1094" i="4"/>
  <c r="H1095" i="4"/>
  <c r="I1095" i="4"/>
  <c r="H1096" i="4"/>
  <c r="I1096" i="4"/>
  <c r="H1097" i="4"/>
  <c r="I1097" i="4"/>
  <c r="H1098" i="4"/>
  <c r="I1098" i="4"/>
  <c r="H1099" i="4"/>
  <c r="I1099" i="4"/>
  <c r="H1100" i="4"/>
  <c r="I1100" i="4"/>
  <c r="H1101" i="4"/>
  <c r="I1101" i="4"/>
  <c r="H1102" i="4"/>
  <c r="I1102" i="4"/>
  <c r="H1103" i="4"/>
  <c r="I1103" i="4"/>
  <c r="H1104" i="4"/>
  <c r="I1104" i="4"/>
  <c r="H1105" i="4"/>
  <c r="I1105" i="4"/>
  <c r="H1106" i="4"/>
  <c r="I1106" i="4"/>
  <c r="H1107" i="4"/>
  <c r="I1107" i="4"/>
  <c r="H1108" i="4"/>
  <c r="I1108" i="4"/>
  <c r="H1109" i="4"/>
  <c r="I1109" i="4"/>
  <c r="H1110" i="4"/>
  <c r="I1110" i="4"/>
  <c r="H1111" i="4"/>
  <c r="I1111" i="4"/>
  <c r="H1112" i="4"/>
  <c r="I1112" i="4"/>
  <c r="H1113" i="4"/>
  <c r="I1113" i="4"/>
  <c r="H1114" i="4"/>
  <c r="I1114" i="4"/>
  <c r="H1115" i="4"/>
  <c r="I1115" i="4"/>
  <c r="H1116" i="4"/>
  <c r="I1116" i="4"/>
  <c r="H1117" i="4"/>
  <c r="I1117" i="4"/>
  <c r="H1118" i="4"/>
  <c r="I1118" i="4"/>
  <c r="H1119" i="4"/>
  <c r="I1119" i="4"/>
  <c r="H1120" i="4"/>
  <c r="I1120" i="4"/>
  <c r="H1121" i="4"/>
  <c r="I1121" i="4"/>
  <c r="H1122" i="4"/>
  <c r="I1122" i="4"/>
  <c r="H1123" i="4"/>
  <c r="I1123" i="4"/>
  <c r="H1124" i="4"/>
  <c r="I1124" i="4"/>
  <c r="H1125" i="4"/>
  <c r="I1125" i="4"/>
  <c r="H1126" i="4"/>
  <c r="I1126" i="4"/>
  <c r="H1127" i="4"/>
  <c r="I1127" i="4"/>
  <c r="H1128" i="4"/>
  <c r="I1128" i="4"/>
  <c r="H1129" i="4"/>
  <c r="I1129" i="4"/>
  <c r="H1130" i="4"/>
  <c r="I1130" i="4"/>
  <c r="H1131" i="4"/>
  <c r="I1131" i="4"/>
  <c r="H1132" i="4"/>
  <c r="I1132" i="4"/>
  <c r="H1133" i="4"/>
  <c r="I1133" i="4"/>
  <c r="H1134" i="4"/>
  <c r="I1134" i="4"/>
  <c r="H1135" i="4"/>
  <c r="I1135" i="4"/>
  <c r="H1136" i="4"/>
  <c r="I1136" i="4"/>
  <c r="H1137" i="4"/>
  <c r="I1137" i="4"/>
  <c r="H1138" i="4"/>
  <c r="I1138" i="4"/>
  <c r="H1139" i="4"/>
  <c r="I1139" i="4"/>
  <c r="H1140" i="4"/>
  <c r="I1140" i="4"/>
  <c r="H1141" i="4"/>
  <c r="I1141" i="4"/>
  <c r="H1142" i="4"/>
  <c r="I1142" i="4"/>
  <c r="H1143" i="4"/>
  <c r="I1143" i="4"/>
  <c r="H1144" i="4"/>
  <c r="I1144" i="4"/>
  <c r="H1145" i="4"/>
  <c r="I1145" i="4"/>
  <c r="H1146" i="4"/>
  <c r="I1146" i="4"/>
  <c r="H1147" i="4"/>
  <c r="I1147" i="4"/>
  <c r="H1148" i="4"/>
  <c r="I1148" i="4"/>
  <c r="H1149" i="4"/>
  <c r="I1149" i="4"/>
  <c r="H1150" i="4"/>
  <c r="I1150" i="4"/>
  <c r="H1151" i="4"/>
  <c r="I1151" i="4"/>
  <c r="H1152" i="4"/>
  <c r="I1152" i="4"/>
  <c r="H1153" i="4"/>
  <c r="I1153" i="4"/>
  <c r="H1154" i="4"/>
  <c r="I1154" i="4"/>
  <c r="H1155" i="4"/>
  <c r="I1155" i="4"/>
  <c r="H1156" i="4"/>
  <c r="I1156" i="4"/>
  <c r="H1157" i="4"/>
  <c r="I1157" i="4"/>
  <c r="H1158" i="4"/>
  <c r="I1158" i="4"/>
  <c r="H1159" i="4"/>
  <c r="I1159" i="4"/>
  <c r="H1160" i="4"/>
  <c r="I1160" i="4"/>
  <c r="H1161" i="4"/>
  <c r="I1161" i="4"/>
  <c r="H1162" i="4"/>
  <c r="I1162" i="4"/>
  <c r="H1163" i="4"/>
  <c r="I1163" i="4"/>
  <c r="H1164" i="4"/>
  <c r="I1164" i="4"/>
  <c r="H1165" i="4"/>
  <c r="I1165" i="4"/>
  <c r="H1166" i="4"/>
  <c r="I1166" i="4"/>
  <c r="H1167" i="4"/>
  <c r="I1167" i="4"/>
  <c r="H1168" i="4"/>
  <c r="I1168" i="4"/>
  <c r="H1169" i="4"/>
  <c r="I1169" i="4"/>
  <c r="H1170" i="4"/>
  <c r="I1170" i="4"/>
  <c r="H1171" i="4"/>
  <c r="I1171" i="4"/>
  <c r="H1172" i="4"/>
  <c r="I1172" i="4"/>
  <c r="H1173" i="4"/>
  <c r="I1173" i="4"/>
  <c r="H1174" i="4"/>
  <c r="I1174" i="4"/>
  <c r="H1175" i="4"/>
  <c r="I1175" i="4"/>
  <c r="H1176" i="4"/>
  <c r="I1176" i="4"/>
  <c r="H1177" i="4"/>
  <c r="I1177" i="4"/>
  <c r="H1178" i="4"/>
  <c r="I1178" i="4"/>
  <c r="H1179" i="4"/>
  <c r="I1179" i="4"/>
  <c r="H1180" i="4"/>
  <c r="I1180" i="4"/>
  <c r="H1181" i="4"/>
  <c r="I1181" i="4"/>
  <c r="H1182" i="4"/>
  <c r="I1182" i="4"/>
  <c r="H1183" i="4"/>
  <c r="I1183" i="4"/>
  <c r="H1184" i="4"/>
  <c r="I1184" i="4"/>
  <c r="H1185" i="4"/>
  <c r="I1185" i="4"/>
  <c r="H1186" i="4"/>
  <c r="I1186" i="4"/>
  <c r="H1187" i="4"/>
  <c r="I1187" i="4"/>
  <c r="H1188" i="4"/>
  <c r="I1188" i="4"/>
  <c r="H1189" i="4"/>
  <c r="I1189" i="4"/>
  <c r="H1190" i="4"/>
  <c r="I1190" i="4"/>
  <c r="H1191" i="4"/>
  <c r="I1191" i="4"/>
  <c r="H1192" i="4"/>
  <c r="I1192" i="4"/>
  <c r="H1193" i="4"/>
  <c r="I1193" i="4"/>
  <c r="H1194" i="4"/>
  <c r="I1194" i="4"/>
  <c r="H1195" i="4"/>
  <c r="I1195" i="4"/>
  <c r="H1196" i="4"/>
  <c r="I1196" i="4"/>
  <c r="H1197" i="4"/>
  <c r="I1197" i="4"/>
  <c r="H1198" i="4"/>
  <c r="I1198" i="4"/>
  <c r="H1199" i="4"/>
  <c r="I1199" i="4"/>
  <c r="H1200" i="4"/>
  <c r="I1200" i="4"/>
  <c r="H1201" i="4"/>
  <c r="I1201" i="4"/>
  <c r="H1202" i="4"/>
  <c r="I1202" i="4"/>
  <c r="H1203" i="4"/>
  <c r="I1203" i="4"/>
  <c r="H1204" i="4"/>
  <c r="I1204" i="4"/>
  <c r="H1205" i="4"/>
  <c r="I1205" i="4"/>
  <c r="H1206" i="4"/>
  <c r="I1206" i="4"/>
  <c r="H1207" i="4"/>
  <c r="I1207" i="4"/>
  <c r="H1208" i="4"/>
  <c r="I1208" i="4"/>
  <c r="H1209" i="4"/>
  <c r="I1209" i="4"/>
  <c r="H1210" i="4"/>
  <c r="I1210" i="4"/>
  <c r="H1211" i="4"/>
  <c r="I1211" i="4"/>
  <c r="H1212" i="4"/>
  <c r="I1212" i="4"/>
  <c r="H1213" i="4"/>
  <c r="I1213" i="4"/>
  <c r="H1214" i="4"/>
  <c r="I1214" i="4"/>
  <c r="H1215" i="4"/>
  <c r="I1215" i="4"/>
  <c r="H1216" i="4"/>
  <c r="I1216" i="4"/>
  <c r="H1217" i="4"/>
  <c r="I1217" i="4"/>
  <c r="H1218" i="4"/>
  <c r="I1218" i="4"/>
  <c r="H1219" i="4"/>
  <c r="I1219" i="4"/>
  <c r="H1220" i="4"/>
  <c r="I1220" i="4"/>
  <c r="H1221" i="4"/>
  <c r="I1221" i="4"/>
  <c r="H1222" i="4"/>
  <c r="I1222" i="4"/>
  <c r="H1223" i="4"/>
  <c r="I1223" i="4"/>
  <c r="H1224" i="4"/>
  <c r="I1224" i="4"/>
  <c r="H1225" i="4"/>
  <c r="I1225" i="4"/>
  <c r="H1226" i="4"/>
  <c r="I1226" i="4"/>
  <c r="H1227" i="4"/>
  <c r="I1227" i="4"/>
  <c r="H1228" i="4"/>
  <c r="I1228" i="4"/>
  <c r="H1229" i="4"/>
  <c r="I1229" i="4"/>
  <c r="H1230" i="4"/>
  <c r="I1230" i="4"/>
  <c r="H1231" i="4"/>
  <c r="I1231" i="4"/>
  <c r="H1232" i="4"/>
  <c r="I1232" i="4"/>
  <c r="H1233" i="4"/>
  <c r="I1233" i="4"/>
  <c r="H1234" i="4"/>
  <c r="I1234" i="4"/>
  <c r="H1235" i="4"/>
  <c r="I1235" i="4"/>
  <c r="H1236" i="4"/>
  <c r="I1236" i="4"/>
  <c r="H1237" i="4"/>
  <c r="I1237" i="4"/>
  <c r="H1238" i="4"/>
  <c r="I1238" i="4"/>
  <c r="H1239" i="4"/>
  <c r="I1239" i="4"/>
  <c r="H1240" i="4"/>
  <c r="I1240" i="4"/>
  <c r="H1241" i="4"/>
  <c r="I1241" i="4"/>
  <c r="H1242" i="4"/>
  <c r="I1242" i="4"/>
  <c r="H1243" i="4"/>
  <c r="I1243" i="4"/>
  <c r="H1244" i="4"/>
  <c r="I1244" i="4"/>
  <c r="H1245" i="4"/>
  <c r="I1245" i="4"/>
  <c r="H1246" i="4"/>
  <c r="I1246" i="4"/>
  <c r="H1247" i="4"/>
  <c r="I1247" i="4"/>
  <c r="H1248" i="4"/>
  <c r="I1248" i="4"/>
  <c r="H1249" i="4"/>
  <c r="I1249" i="4"/>
  <c r="H1250" i="4"/>
  <c r="I1250" i="4"/>
  <c r="H1251" i="4"/>
  <c r="I1251" i="4"/>
  <c r="H1252" i="4"/>
  <c r="I1252" i="4"/>
  <c r="H1253" i="4"/>
  <c r="I1253" i="4"/>
  <c r="H1254" i="4"/>
  <c r="I1254" i="4"/>
  <c r="H1255" i="4"/>
  <c r="I1255" i="4"/>
  <c r="H1256" i="4"/>
  <c r="I1256" i="4"/>
  <c r="H1257" i="4"/>
  <c r="I1257" i="4"/>
  <c r="H1258" i="4"/>
  <c r="I1258" i="4"/>
  <c r="H1259" i="4"/>
  <c r="I1259" i="4"/>
  <c r="H1260" i="4"/>
  <c r="I1260" i="4"/>
  <c r="H1261" i="4"/>
  <c r="I1261" i="4"/>
  <c r="H1262" i="4"/>
  <c r="I1262" i="4"/>
  <c r="H1263" i="4"/>
  <c r="I1263" i="4"/>
  <c r="H1264" i="4"/>
  <c r="I1264" i="4"/>
  <c r="H1265" i="4"/>
  <c r="I1265" i="4"/>
  <c r="H1266" i="4"/>
  <c r="I1266" i="4"/>
  <c r="H1267" i="4"/>
  <c r="I1267" i="4"/>
  <c r="H1268" i="4"/>
  <c r="I1268" i="4"/>
  <c r="H1269" i="4"/>
  <c r="I1269" i="4"/>
  <c r="H1270" i="4"/>
  <c r="I1270" i="4"/>
  <c r="H1271" i="4"/>
  <c r="I1271" i="4"/>
  <c r="H1272" i="4"/>
  <c r="I1272" i="4"/>
  <c r="H1273" i="4"/>
  <c r="I1273" i="4"/>
  <c r="H1274" i="4"/>
  <c r="I1274" i="4"/>
  <c r="H1275" i="4"/>
  <c r="I1275" i="4"/>
  <c r="H1276" i="4"/>
  <c r="I1276" i="4"/>
  <c r="H1277" i="4"/>
  <c r="I1277" i="4"/>
  <c r="H1278" i="4"/>
  <c r="I1278" i="4"/>
  <c r="H1279" i="4"/>
  <c r="I1279" i="4"/>
  <c r="H1280" i="4"/>
  <c r="I1280" i="4"/>
  <c r="H1281" i="4"/>
  <c r="I1281" i="4"/>
  <c r="H1282" i="4"/>
  <c r="I1282" i="4"/>
  <c r="H1283" i="4"/>
  <c r="I1283" i="4"/>
  <c r="H1284" i="4"/>
  <c r="I1284" i="4"/>
  <c r="H1285" i="4"/>
  <c r="I1285" i="4"/>
  <c r="H1286" i="4"/>
  <c r="I1286" i="4"/>
  <c r="H1287" i="4"/>
  <c r="I1287" i="4"/>
  <c r="H1288" i="4"/>
  <c r="I1288" i="4"/>
  <c r="H1289" i="4"/>
  <c r="I1289" i="4"/>
  <c r="H1290" i="4"/>
  <c r="I1290" i="4"/>
  <c r="H1291" i="4"/>
  <c r="I1291" i="4"/>
  <c r="H1292" i="4"/>
  <c r="I1292" i="4"/>
  <c r="H1293" i="4"/>
  <c r="I1293" i="4"/>
  <c r="H1294" i="4"/>
  <c r="I1294" i="4"/>
  <c r="H1295" i="4"/>
  <c r="I1295" i="4"/>
  <c r="H1296" i="4"/>
  <c r="I1296" i="4"/>
  <c r="H1297" i="4"/>
  <c r="I1297" i="4"/>
  <c r="H1298" i="4"/>
  <c r="I1298" i="4"/>
  <c r="H1299" i="4"/>
  <c r="I1299" i="4"/>
  <c r="H1300" i="4"/>
  <c r="I1300" i="4"/>
  <c r="H1301" i="4"/>
  <c r="I1301" i="4"/>
  <c r="H1302" i="4"/>
  <c r="I1302" i="4"/>
  <c r="H1303" i="4"/>
  <c r="I1303" i="4"/>
  <c r="H1304" i="4"/>
  <c r="I1304" i="4"/>
  <c r="H1305" i="4"/>
  <c r="I1305" i="4"/>
  <c r="H1306" i="4"/>
  <c r="I1306" i="4"/>
  <c r="H1307" i="4"/>
  <c r="I1307" i="4"/>
  <c r="H1308" i="4"/>
  <c r="I1308" i="4"/>
  <c r="H1309" i="4"/>
  <c r="I1309" i="4"/>
  <c r="H1310" i="4"/>
  <c r="I1310" i="4"/>
  <c r="H1311" i="4"/>
  <c r="I1311" i="4"/>
  <c r="H1312" i="4"/>
  <c r="I1312" i="4"/>
  <c r="H1313" i="4"/>
  <c r="I1313" i="4"/>
  <c r="H1314" i="4"/>
  <c r="I1314" i="4"/>
  <c r="H1315" i="4"/>
  <c r="I1315" i="4"/>
  <c r="H1316" i="4"/>
  <c r="I1316" i="4"/>
  <c r="H1317" i="4"/>
  <c r="I1317" i="4"/>
  <c r="H1318" i="4"/>
  <c r="I1318" i="4"/>
  <c r="H1319" i="4"/>
  <c r="I1319" i="4"/>
  <c r="H1320" i="4"/>
  <c r="I1320" i="4"/>
  <c r="H1321" i="4"/>
  <c r="I1321" i="4"/>
  <c r="H1322" i="4"/>
  <c r="I1322" i="4"/>
  <c r="H1323" i="4"/>
  <c r="I1323" i="4"/>
  <c r="H1324" i="4"/>
  <c r="I1324" i="4"/>
  <c r="H1325" i="4"/>
  <c r="I1325" i="4"/>
  <c r="H1326" i="4"/>
  <c r="I1326" i="4"/>
  <c r="H1327" i="4"/>
  <c r="I1327" i="4"/>
  <c r="H1328" i="4"/>
  <c r="I1328" i="4"/>
  <c r="H1329" i="4"/>
  <c r="I1329" i="4"/>
  <c r="H1330" i="4"/>
  <c r="I1330" i="4"/>
  <c r="H1331" i="4"/>
  <c r="I1331" i="4"/>
  <c r="H1332" i="4"/>
  <c r="I1332" i="4"/>
  <c r="H1333" i="4"/>
  <c r="I1333" i="4"/>
  <c r="H1334" i="4"/>
  <c r="I1334" i="4"/>
  <c r="H1335" i="4"/>
  <c r="I1335" i="4"/>
  <c r="H1336" i="4"/>
  <c r="I1336" i="4"/>
  <c r="H1337" i="4"/>
  <c r="I1337" i="4"/>
  <c r="H1338" i="4"/>
  <c r="I1338" i="4"/>
  <c r="H1339" i="4"/>
  <c r="I1339" i="4"/>
  <c r="H1340" i="4"/>
  <c r="I1340" i="4"/>
  <c r="H1341" i="4"/>
  <c r="I1341" i="4"/>
  <c r="H1342" i="4"/>
  <c r="I1342" i="4"/>
  <c r="H1343" i="4"/>
  <c r="I1343" i="4"/>
  <c r="H1344" i="4"/>
  <c r="I1344" i="4"/>
  <c r="H1345" i="4"/>
  <c r="I1345" i="4"/>
  <c r="H1346" i="4"/>
  <c r="I1346" i="4"/>
  <c r="H1347" i="4"/>
  <c r="I1347" i="4"/>
  <c r="H1348" i="4"/>
  <c r="I1348" i="4"/>
  <c r="H1349" i="4"/>
  <c r="I1349" i="4"/>
  <c r="H1350" i="4"/>
  <c r="I1350" i="4"/>
  <c r="H1351" i="4"/>
  <c r="I1351" i="4"/>
  <c r="H1352" i="4"/>
  <c r="I1352" i="4"/>
  <c r="H1353" i="4"/>
  <c r="I1353" i="4"/>
  <c r="H1354" i="4"/>
  <c r="I1354" i="4"/>
  <c r="H1355" i="4"/>
  <c r="I1355" i="4"/>
  <c r="H1356" i="4"/>
  <c r="I1356" i="4"/>
  <c r="H1357" i="4"/>
  <c r="I1357" i="4"/>
  <c r="H1358" i="4"/>
  <c r="I1358" i="4"/>
  <c r="H1359" i="4"/>
  <c r="I1359" i="4"/>
  <c r="H1360" i="4"/>
  <c r="I1360" i="4"/>
  <c r="H1361" i="4"/>
  <c r="I1361" i="4"/>
  <c r="H1362" i="4"/>
  <c r="I1362" i="4"/>
  <c r="H1363" i="4"/>
  <c r="I1363" i="4"/>
  <c r="H1364" i="4"/>
  <c r="I1364" i="4"/>
  <c r="H1365" i="4"/>
  <c r="I1365" i="4"/>
  <c r="H1366" i="4"/>
  <c r="I1366" i="4"/>
  <c r="H1367" i="4"/>
  <c r="I1367" i="4"/>
  <c r="H1368" i="4"/>
  <c r="I1368" i="4"/>
  <c r="H1369" i="4"/>
  <c r="I1369" i="4"/>
  <c r="H1370" i="4"/>
  <c r="I1370" i="4"/>
  <c r="H1371" i="4"/>
  <c r="I1371" i="4"/>
  <c r="H1372" i="4"/>
  <c r="I1372" i="4"/>
  <c r="H1373" i="4"/>
  <c r="I1373" i="4"/>
  <c r="H1374" i="4"/>
  <c r="I1374" i="4"/>
  <c r="H1375" i="4"/>
  <c r="I1375" i="4"/>
  <c r="H1376" i="4"/>
  <c r="I1376" i="4"/>
  <c r="H1377" i="4"/>
  <c r="I1377" i="4"/>
  <c r="H1378" i="4"/>
  <c r="I1378" i="4"/>
  <c r="H1379" i="4"/>
  <c r="I1379" i="4"/>
  <c r="H1380" i="4"/>
  <c r="I1380" i="4"/>
  <c r="H1381" i="4"/>
  <c r="I1381" i="4"/>
  <c r="H1382" i="4"/>
  <c r="I1382" i="4"/>
  <c r="H1383" i="4"/>
  <c r="I1383" i="4"/>
  <c r="H1384" i="4"/>
  <c r="I1384" i="4"/>
  <c r="H1385" i="4"/>
  <c r="I1385" i="4"/>
  <c r="H1386" i="4"/>
  <c r="I1386" i="4"/>
  <c r="H1387" i="4"/>
  <c r="I1387" i="4"/>
  <c r="H1388" i="4"/>
  <c r="I1388" i="4"/>
  <c r="H1389" i="4"/>
  <c r="I1389" i="4"/>
  <c r="H1390" i="4"/>
  <c r="I1390" i="4"/>
  <c r="H1391" i="4"/>
  <c r="I1391" i="4"/>
  <c r="H1392" i="4"/>
  <c r="I1392" i="4"/>
  <c r="H1393" i="4"/>
  <c r="I1393" i="4"/>
  <c r="H1394" i="4"/>
  <c r="I1394" i="4"/>
  <c r="H1395" i="4"/>
  <c r="I1395" i="4"/>
  <c r="H1396" i="4"/>
  <c r="I1396" i="4"/>
  <c r="H1397" i="4"/>
  <c r="I1397" i="4"/>
  <c r="H1398" i="4"/>
  <c r="I1398" i="4"/>
  <c r="H1399" i="4"/>
  <c r="I1399" i="4"/>
  <c r="H1400" i="4"/>
  <c r="I1400" i="4"/>
  <c r="H1401" i="4"/>
  <c r="I1401" i="4"/>
  <c r="H1402" i="4"/>
  <c r="I1402" i="4"/>
  <c r="H1403" i="4"/>
  <c r="I1403" i="4"/>
  <c r="H1404" i="4"/>
  <c r="I1404" i="4"/>
  <c r="H1405" i="4"/>
  <c r="I1405" i="4"/>
  <c r="H1406" i="4"/>
  <c r="I1406" i="4"/>
  <c r="H1407" i="4"/>
  <c r="I1407" i="4"/>
  <c r="H1408" i="4"/>
  <c r="I1408" i="4"/>
  <c r="H1409" i="4"/>
  <c r="I1409" i="4"/>
  <c r="H1410" i="4"/>
  <c r="I1410" i="4"/>
  <c r="H1411" i="4"/>
  <c r="I1411" i="4"/>
  <c r="H1412" i="4"/>
  <c r="I1412" i="4"/>
  <c r="H1413" i="4"/>
  <c r="I1413" i="4"/>
  <c r="H1414" i="4"/>
  <c r="I1414" i="4"/>
  <c r="H1415" i="4"/>
  <c r="I1415" i="4"/>
  <c r="H1416" i="4"/>
  <c r="I1416" i="4"/>
  <c r="H1417" i="4"/>
  <c r="I1417" i="4"/>
  <c r="H1418" i="4"/>
  <c r="I1418" i="4"/>
  <c r="H1419" i="4"/>
  <c r="I1419" i="4"/>
  <c r="H1420" i="4"/>
  <c r="I1420" i="4"/>
  <c r="H1421" i="4"/>
  <c r="I1421" i="4"/>
  <c r="H1422" i="4"/>
  <c r="I1422" i="4"/>
  <c r="H1423" i="4"/>
  <c r="I1423" i="4"/>
  <c r="H1424" i="4"/>
  <c r="I1424" i="4"/>
  <c r="H1425" i="4"/>
  <c r="I1425" i="4"/>
  <c r="H1426" i="4"/>
  <c r="I1426" i="4"/>
  <c r="H1427" i="4"/>
  <c r="I1427" i="4"/>
  <c r="H1428" i="4"/>
  <c r="I1428" i="4"/>
  <c r="H1429" i="4"/>
  <c r="I1429" i="4"/>
  <c r="H1430" i="4"/>
  <c r="I1430" i="4"/>
  <c r="H1431" i="4"/>
  <c r="I1431" i="4"/>
  <c r="H1432" i="4"/>
  <c r="I1432" i="4"/>
  <c r="H1433" i="4"/>
  <c r="I1433" i="4"/>
  <c r="H1434" i="4"/>
  <c r="I1434" i="4"/>
  <c r="H1435" i="4"/>
  <c r="I1435" i="4"/>
  <c r="H1436" i="4"/>
  <c r="I1436" i="4"/>
  <c r="H1437" i="4"/>
  <c r="I1437" i="4"/>
  <c r="H1438" i="4"/>
  <c r="I1438" i="4"/>
  <c r="H1439" i="4"/>
  <c r="I1439" i="4"/>
  <c r="H1440" i="4"/>
  <c r="I1440" i="4"/>
  <c r="H1441" i="4"/>
  <c r="I1441" i="4"/>
  <c r="H1442" i="4"/>
  <c r="I1442" i="4"/>
  <c r="H1443" i="4"/>
  <c r="I1443" i="4"/>
  <c r="H1444" i="4"/>
  <c r="I1444" i="4"/>
  <c r="H1445" i="4"/>
  <c r="I1445" i="4"/>
  <c r="H1446" i="4"/>
  <c r="I1446" i="4"/>
  <c r="H1447" i="4"/>
  <c r="I1447" i="4"/>
  <c r="H1448" i="4"/>
  <c r="I1448" i="4"/>
  <c r="H1449" i="4"/>
  <c r="I1449" i="4"/>
  <c r="H1450" i="4"/>
  <c r="I1450" i="4"/>
  <c r="H1451" i="4"/>
  <c r="I1451" i="4"/>
  <c r="H1452" i="4"/>
  <c r="I1452" i="4"/>
  <c r="H1453" i="4"/>
  <c r="I1453" i="4"/>
  <c r="H1454" i="4"/>
  <c r="I1454" i="4"/>
  <c r="H1455" i="4"/>
  <c r="I1455" i="4"/>
  <c r="H1456" i="4"/>
  <c r="I1456" i="4"/>
  <c r="H1457" i="4"/>
  <c r="I1457" i="4"/>
  <c r="H1458" i="4"/>
  <c r="I1458" i="4"/>
  <c r="H1459" i="4"/>
  <c r="I1459" i="4"/>
  <c r="H1460" i="4"/>
  <c r="I1460" i="4"/>
  <c r="H1461" i="4"/>
  <c r="I1461" i="4"/>
  <c r="H1462" i="4"/>
  <c r="I1462" i="4"/>
  <c r="H1463" i="4"/>
  <c r="I1463" i="4"/>
  <c r="H1464" i="4"/>
  <c r="I1464" i="4"/>
  <c r="H1465" i="4"/>
  <c r="I1465" i="4"/>
  <c r="H1466" i="4"/>
  <c r="I1466" i="4"/>
  <c r="H1467" i="4"/>
  <c r="I1467" i="4"/>
  <c r="H1468" i="4"/>
  <c r="I1468" i="4"/>
  <c r="H1469" i="4"/>
  <c r="I1469" i="4"/>
  <c r="H1470" i="4"/>
  <c r="I1470" i="4"/>
  <c r="H1471" i="4"/>
  <c r="I1471" i="4"/>
  <c r="H1472" i="4"/>
  <c r="I1472" i="4"/>
  <c r="H1473" i="4"/>
  <c r="I1473" i="4"/>
  <c r="H1474" i="4"/>
  <c r="I1474" i="4"/>
  <c r="H1475" i="4"/>
  <c r="I1475" i="4"/>
  <c r="H1476" i="4"/>
  <c r="I1476" i="4"/>
  <c r="H1477" i="4"/>
  <c r="I1477" i="4"/>
  <c r="H1478" i="4"/>
  <c r="I1478" i="4"/>
  <c r="H1479" i="4"/>
  <c r="I1479" i="4"/>
  <c r="H1480" i="4"/>
  <c r="I1480" i="4"/>
  <c r="H1481" i="4"/>
  <c r="I1481" i="4"/>
  <c r="H1482" i="4"/>
  <c r="I1482" i="4"/>
  <c r="H1483" i="4"/>
  <c r="I1483" i="4"/>
  <c r="H1484" i="4"/>
  <c r="I1484" i="4"/>
  <c r="H1485" i="4"/>
  <c r="I1485" i="4"/>
  <c r="H1486" i="4"/>
  <c r="I1486" i="4"/>
  <c r="H1487" i="4"/>
  <c r="I1487" i="4"/>
  <c r="H1488" i="4"/>
  <c r="I1488" i="4"/>
  <c r="H1489" i="4"/>
  <c r="I1489" i="4"/>
  <c r="H1490" i="4"/>
  <c r="I1490" i="4"/>
  <c r="H1491" i="4"/>
  <c r="I1491" i="4"/>
  <c r="H1492" i="4"/>
  <c r="I1492" i="4"/>
  <c r="H1493" i="4"/>
  <c r="I1493" i="4"/>
  <c r="H1494" i="4"/>
  <c r="I1494" i="4"/>
  <c r="H1495" i="4"/>
  <c r="I1495" i="4"/>
  <c r="H1496" i="4"/>
  <c r="I1496" i="4"/>
  <c r="H1497" i="4"/>
  <c r="I1497" i="4"/>
  <c r="H1498" i="4"/>
  <c r="I1498" i="4"/>
  <c r="H1499" i="4"/>
  <c r="I1499" i="4"/>
  <c r="H1500" i="4"/>
  <c r="I1500" i="4"/>
  <c r="H1501" i="4"/>
  <c r="I1501" i="4"/>
  <c r="H1502" i="4"/>
  <c r="I1502" i="4"/>
  <c r="H1503" i="4"/>
  <c r="I1503" i="4"/>
  <c r="H1504" i="4"/>
  <c r="I1504" i="4"/>
  <c r="H1505" i="4"/>
  <c r="I1505" i="4"/>
  <c r="H1506" i="4"/>
  <c r="I1506" i="4"/>
  <c r="H1507" i="4"/>
  <c r="I1507" i="4"/>
  <c r="H1508" i="4"/>
  <c r="I1508" i="4"/>
  <c r="H1509" i="4"/>
  <c r="I1509" i="4"/>
  <c r="H1510" i="4"/>
  <c r="I1510" i="4"/>
  <c r="H1511" i="4"/>
  <c r="I1511" i="4"/>
  <c r="H1512" i="4"/>
  <c r="I1512" i="4"/>
  <c r="H1513" i="4"/>
  <c r="I1513" i="4"/>
  <c r="H1514" i="4"/>
  <c r="I1514" i="4"/>
  <c r="H1515" i="4"/>
  <c r="I1515" i="4"/>
  <c r="H1516" i="4"/>
  <c r="I1516" i="4"/>
  <c r="H1517" i="4"/>
  <c r="I1517" i="4"/>
  <c r="H1518" i="4"/>
  <c r="I1518" i="4"/>
  <c r="H1519" i="4"/>
  <c r="I1519" i="4"/>
  <c r="H1520" i="4"/>
  <c r="I1520" i="4"/>
  <c r="H1521" i="4"/>
  <c r="I1521" i="4"/>
  <c r="H1522" i="4"/>
  <c r="I1522" i="4"/>
  <c r="H1523" i="4"/>
  <c r="I1523" i="4"/>
  <c r="H1524" i="4"/>
  <c r="I1524" i="4"/>
  <c r="H1525" i="4"/>
  <c r="I1525" i="4"/>
  <c r="H1526" i="4"/>
  <c r="I1526" i="4"/>
  <c r="H1527" i="4"/>
  <c r="I1527" i="4"/>
  <c r="H1528" i="4"/>
  <c r="I1528" i="4"/>
  <c r="H1529" i="4"/>
  <c r="I1529" i="4"/>
  <c r="H1530" i="4"/>
  <c r="I1530" i="4"/>
  <c r="H1531" i="4"/>
  <c r="I1531" i="4"/>
  <c r="H1532" i="4"/>
  <c r="I1532" i="4"/>
  <c r="H1533" i="4"/>
  <c r="I1533" i="4"/>
  <c r="H1534" i="4"/>
  <c r="I1534" i="4"/>
  <c r="H1535" i="4"/>
  <c r="I1535" i="4"/>
  <c r="H1536" i="4"/>
  <c r="I1536" i="4"/>
  <c r="H1537" i="4"/>
  <c r="I1537" i="4"/>
  <c r="H1538" i="4"/>
  <c r="I1538" i="4"/>
  <c r="H1539" i="4"/>
  <c r="I1539" i="4"/>
  <c r="H1540" i="4"/>
  <c r="I1540" i="4"/>
  <c r="H1541" i="4"/>
  <c r="I1541" i="4"/>
  <c r="H1542" i="4"/>
  <c r="I1542" i="4"/>
  <c r="H1543" i="4"/>
  <c r="I1543" i="4"/>
  <c r="H1544" i="4"/>
  <c r="I1544" i="4"/>
  <c r="H1545" i="4"/>
  <c r="I1545" i="4"/>
  <c r="H1546" i="4"/>
  <c r="I1546" i="4"/>
  <c r="H1547" i="4"/>
  <c r="I1547" i="4"/>
  <c r="H1548" i="4"/>
  <c r="I1548" i="4"/>
  <c r="H1549" i="4"/>
  <c r="I1549" i="4"/>
  <c r="H1550" i="4"/>
  <c r="I1550" i="4"/>
  <c r="H1551" i="4"/>
  <c r="I1551" i="4"/>
  <c r="H1552" i="4"/>
  <c r="I1552" i="4"/>
  <c r="H1553" i="4"/>
  <c r="I1553" i="4"/>
  <c r="H1554" i="4"/>
  <c r="I1554" i="4"/>
  <c r="H1555" i="4"/>
  <c r="I1555" i="4"/>
  <c r="H1556" i="4"/>
  <c r="I1556" i="4"/>
  <c r="H1557" i="4"/>
  <c r="I1557" i="4"/>
  <c r="H1558" i="4"/>
  <c r="I1558" i="4"/>
  <c r="H1559" i="4"/>
  <c r="I1559" i="4"/>
  <c r="H1560" i="4"/>
  <c r="I1560" i="4"/>
  <c r="H1561" i="4"/>
  <c r="I1561" i="4"/>
  <c r="H1562" i="4"/>
  <c r="I1562" i="4"/>
  <c r="H1563" i="4"/>
  <c r="I1563" i="4"/>
  <c r="H1564" i="4"/>
  <c r="I1564" i="4"/>
  <c r="H1565" i="4"/>
  <c r="I1565" i="4"/>
  <c r="H1566" i="4"/>
  <c r="I1566" i="4"/>
  <c r="H1567" i="4"/>
  <c r="I1567" i="4"/>
  <c r="H1568" i="4"/>
  <c r="I1568" i="4"/>
  <c r="H1569" i="4"/>
  <c r="I1569" i="4"/>
  <c r="H1570" i="4"/>
  <c r="I1570" i="4"/>
  <c r="H1571" i="4"/>
  <c r="I1571" i="4"/>
  <c r="H1572" i="4"/>
  <c r="I1572" i="4"/>
  <c r="H1573" i="4"/>
  <c r="I1573" i="4"/>
  <c r="H1574" i="4"/>
  <c r="I1574" i="4"/>
  <c r="H1575" i="4"/>
  <c r="I1575" i="4"/>
  <c r="H1576" i="4"/>
  <c r="I1576" i="4"/>
  <c r="H1577" i="4"/>
  <c r="I1577" i="4"/>
  <c r="H1578" i="4"/>
  <c r="I1578" i="4"/>
  <c r="H1579" i="4"/>
  <c r="I1579" i="4"/>
  <c r="H1580" i="4"/>
  <c r="I1580" i="4"/>
  <c r="H1581" i="4"/>
  <c r="I1581" i="4"/>
  <c r="H1582" i="4"/>
  <c r="I1582" i="4"/>
  <c r="H1583" i="4"/>
  <c r="I1583" i="4"/>
  <c r="H1584" i="4"/>
  <c r="I1584" i="4"/>
  <c r="H1585" i="4"/>
  <c r="I1585" i="4"/>
  <c r="H1586" i="4"/>
  <c r="I1586" i="4"/>
  <c r="H1587" i="4"/>
  <c r="I1587" i="4"/>
  <c r="H1588" i="4"/>
  <c r="I1588" i="4"/>
  <c r="H1589" i="4"/>
  <c r="I1589" i="4"/>
  <c r="H1590" i="4"/>
  <c r="I1590" i="4"/>
  <c r="H1591" i="4"/>
  <c r="I1591" i="4"/>
  <c r="H1592" i="4"/>
  <c r="I1592" i="4"/>
  <c r="H1593" i="4"/>
  <c r="I1593" i="4"/>
  <c r="H1594" i="4"/>
  <c r="I1594" i="4"/>
  <c r="H1595" i="4"/>
  <c r="I1595" i="4"/>
  <c r="H1596" i="4"/>
  <c r="I1596" i="4"/>
  <c r="H1597" i="4"/>
  <c r="I1597" i="4"/>
  <c r="H1598" i="4"/>
  <c r="I1598" i="4"/>
  <c r="H1599" i="4"/>
  <c r="I1599" i="4"/>
  <c r="H1600" i="4"/>
  <c r="I1600" i="4"/>
  <c r="H1601" i="4"/>
  <c r="I1601" i="4"/>
  <c r="H1602" i="4"/>
  <c r="I1602" i="4"/>
  <c r="H1603" i="4"/>
  <c r="I1603" i="4"/>
  <c r="H1604" i="4"/>
  <c r="I1604" i="4"/>
  <c r="H1605" i="4"/>
  <c r="I1605" i="4"/>
  <c r="H1606" i="4"/>
  <c r="I1606" i="4"/>
  <c r="H1607" i="4"/>
  <c r="I1607" i="4"/>
  <c r="H1608" i="4"/>
  <c r="I1608" i="4"/>
  <c r="H1609" i="4"/>
  <c r="I1609" i="4"/>
  <c r="H1610" i="4"/>
  <c r="I1610" i="4"/>
  <c r="H1611" i="4"/>
  <c r="I1611" i="4"/>
  <c r="H1612" i="4"/>
  <c r="I1612" i="4"/>
  <c r="H1613" i="4"/>
  <c r="I1613" i="4"/>
  <c r="H1614" i="4"/>
  <c r="I1614" i="4"/>
  <c r="H1615" i="4"/>
  <c r="I1615" i="4"/>
  <c r="H1616" i="4"/>
  <c r="I1616" i="4"/>
  <c r="H1617" i="4"/>
  <c r="I1617" i="4"/>
  <c r="H1618" i="4"/>
  <c r="I1618" i="4"/>
  <c r="H1619" i="4"/>
  <c r="I1619" i="4"/>
  <c r="H1620" i="4"/>
  <c r="I1620" i="4"/>
  <c r="H1621" i="4"/>
  <c r="I1621" i="4"/>
  <c r="H1622" i="4"/>
  <c r="I1622" i="4"/>
  <c r="H1623" i="4"/>
  <c r="I1623" i="4"/>
  <c r="H1624" i="4"/>
  <c r="I1624" i="4"/>
  <c r="H1625" i="4"/>
  <c r="I1625" i="4"/>
  <c r="H1626" i="4"/>
  <c r="I1626" i="4"/>
  <c r="H1627" i="4"/>
  <c r="I1627" i="4"/>
  <c r="H1628" i="4"/>
  <c r="I1628" i="4"/>
  <c r="H1629" i="4"/>
  <c r="I1629" i="4"/>
  <c r="H1630" i="4"/>
  <c r="I1630" i="4"/>
  <c r="H1631" i="4"/>
  <c r="I1631" i="4"/>
  <c r="H1632" i="4"/>
  <c r="I1632" i="4"/>
  <c r="H1633" i="4"/>
  <c r="I1633" i="4"/>
  <c r="H1634" i="4"/>
  <c r="I1634" i="4"/>
  <c r="H1635" i="4"/>
  <c r="I1635" i="4"/>
  <c r="H1636" i="4"/>
  <c r="I1636" i="4"/>
  <c r="H1637" i="4"/>
  <c r="I1637" i="4"/>
  <c r="H1638" i="4"/>
  <c r="I1638" i="4"/>
  <c r="H1639" i="4"/>
  <c r="I1639" i="4"/>
  <c r="H1640" i="4"/>
  <c r="I1640" i="4"/>
  <c r="H1641" i="4"/>
  <c r="I1641" i="4"/>
  <c r="H1642" i="4"/>
  <c r="I1642" i="4"/>
  <c r="H1643" i="4"/>
  <c r="I1643" i="4"/>
  <c r="H1644" i="4"/>
  <c r="I1644" i="4"/>
  <c r="H1645" i="4"/>
  <c r="I1645" i="4"/>
  <c r="H1646" i="4"/>
  <c r="I1646" i="4"/>
  <c r="H1647" i="4"/>
  <c r="I1647" i="4"/>
  <c r="H1648" i="4"/>
  <c r="I1648" i="4"/>
  <c r="H1649" i="4"/>
  <c r="I1649" i="4"/>
  <c r="H1650" i="4"/>
  <c r="I1650" i="4"/>
  <c r="H1651" i="4"/>
  <c r="I1651" i="4"/>
  <c r="H1652" i="4"/>
  <c r="I1652" i="4"/>
  <c r="H1653" i="4"/>
  <c r="I1653" i="4"/>
  <c r="H1654" i="4"/>
  <c r="I1654" i="4"/>
  <c r="H1655" i="4"/>
  <c r="I1655" i="4"/>
  <c r="H1656" i="4"/>
  <c r="I1656" i="4"/>
  <c r="H1657" i="4"/>
  <c r="I1657" i="4"/>
  <c r="H1658" i="4"/>
  <c r="I1658" i="4"/>
  <c r="H1659" i="4"/>
  <c r="I1659" i="4"/>
  <c r="H1660" i="4"/>
  <c r="I1660" i="4"/>
  <c r="H1661" i="4"/>
  <c r="I1661" i="4"/>
  <c r="H1662" i="4"/>
  <c r="I1662" i="4"/>
  <c r="H1663" i="4"/>
  <c r="I1663" i="4"/>
  <c r="H1664" i="4"/>
  <c r="I1664" i="4"/>
  <c r="H1665" i="4"/>
  <c r="I1665" i="4"/>
  <c r="H1666" i="4"/>
  <c r="I1666" i="4"/>
  <c r="H1667" i="4"/>
  <c r="I1667" i="4"/>
  <c r="H1668" i="4"/>
  <c r="I1668" i="4"/>
  <c r="H1669" i="4"/>
  <c r="I1669" i="4"/>
  <c r="H1670" i="4"/>
  <c r="I1670" i="4"/>
  <c r="H1671" i="4"/>
  <c r="I1671" i="4"/>
  <c r="H1672" i="4"/>
  <c r="I1672" i="4"/>
  <c r="H1673" i="4"/>
  <c r="I1673" i="4"/>
  <c r="H1674" i="4"/>
  <c r="I1674" i="4"/>
  <c r="H1675" i="4"/>
  <c r="I1675" i="4"/>
  <c r="H1676" i="4"/>
  <c r="I1676" i="4"/>
  <c r="H1677" i="4"/>
  <c r="I1677" i="4"/>
  <c r="H1678" i="4"/>
  <c r="I1678" i="4"/>
  <c r="H1679" i="4"/>
  <c r="I1679" i="4"/>
  <c r="H1680" i="4"/>
  <c r="I1680" i="4"/>
  <c r="H1681" i="4"/>
  <c r="I1681" i="4"/>
  <c r="H1682" i="4"/>
  <c r="I1682" i="4"/>
  <c r="H1683" i="4"/>
  <c r="I1683" i="4"/>
  <c r="H1684" i="4"/>
  <c r="I1684" i="4"/>
  <c r="H1685" i="4"/>
  <c r="I1685" i="4"/>
  <c r="H1686" i="4"/>
  <c r="I1686" i="4"/>
  <c r="H1687" i="4"/>
  <c r="I1687" i="4"/>
  <c r="H1688" i="4"/>
  <c r="I1688" i="4"/>
  <c r="H1689" i="4"/>
  <c r="I1689" i="4"/>
  <c r="H1690" i="4"/>
  <c r="I1690" i="4"/>
  <c r="H1691" i="4"/>
  <c r="I1691" i="4"/>
  <c r="H1692" i="4"/>
  <c r="I1692" i="4"/>
  <c r="H1693" i="4"/>
  <c r="I1693" i="4"/>
  <c r="H1694" i="4"/>
  <c r="I1694" i="4"/>
  <c r="H1695" i="4"/>
  <c r="I1695" i="4"/>
  <c r="H1696" i="4"/>
  <c r="I1696" i="4"/>
  <c r="H1697" i="4"/>
  <c r="I1697" i="4"/>
  <c r="H1698" i="4"/>
  <c r="I1698" i="4"/>
  <c r="H1699" i="4"/>
  <c r="I1699" i="4"/>
  <c r="H1700" i="4"/>
  <c r="I1700" i="4"/>
  <c r="H1701" i="4"/>
  <c r="I1701" i="4"/>
  <c r="H1702" i="4"/>
  <c r="I1702" i="4"/>
  <c r="H1703" i="4"/>
  <c r="I1703" i="4"/>
  <c r="H1704" i="4"/>
  <c r="I1704" i="4"/>
  <c r="H1705" i="4"/>
  <c r="I1705" i="4"/>
  <c r="H1706" i="4"/>
  <c r="I1706" i="4"/>
  <c r="H1707" i="4"/>
  <c r="I1707" i="4"/>
  <c r="H1708" i="4"/>
  <c r="I1708" i="4"/>
  <c r="H1709" i="4"/>
  <c r="I1709" i="4"/>
  <c r="H1710" i="4"/>
  <c r="I1710" i="4"/>
  <c r="H1711" i="4"/>
  <c r="I1711" i="4"/>
  <c r="H1712" i="4"/>
  <c r="I1712" i="4"/>
  <c r="H1713" i="4"/>
  <c r="I1713" i="4"/>
  <c r="H1714" i="4"/>
  <c r="I1714" i="4"/>
  <c r="H1715" i="4"/>
  <c r="I1715" i="4"/>
  <c r="H1716" i="4"/>
  <c r="I1716" i="4"/>
  <c r="H1717" i="4"/>
  <c r="I1717" i="4"/>
  <c r="H1718" i="4"/>
  <c r="I1718" i="4"/>
  <c r="H1719" i="4"/>
  <c r="I1719" i="4"/>
  <c r="H1720" i="4"/>
  <c r="I1720" i="4"/>
  <c r="H1721" i="4"/>
  <c r="I1721" i="4"/>
  <c r="H1722" i="4"/>
  <c r="I1722" i="4"/>
  <c r="H1723" i="4"/>
  <c r="I1723" i="4"/>
  <c r="H1724" i="4"/>
  <c r="I1724" i="4"/>
  <c r="H1725" i="4"/>
  <c r="I1725" i="4"/>
  <c r="H1726" i="4"/>
  <c r="I1726" i="4"/>
  <c r="H1727" i="4"/>
  <c r="I1727" i="4"/>
  <c r="H1728" i="4"/>
  <c r="I1728" i="4"/>
  <c r="H1729" i="4"/>
  <c r="I1729" i="4"/>
  <c r="H1730" i="4"/>
  <c r="I1730" i="4"/>
  <c r="H1731" i="4"/>
  <c r="I1731" i="4"/>
  <c r="H1732" i="4"/>
  <c r="I1732" i="4"/>
  <c r="H1733" i="4"/>
  <c r="I1733" i="4"/>
  <c r="H1734" i="4"/>
  <c r="I1734" i="4"/>
  <c r="H1735" i="4"/>
  <c r="I1735" i="4"/>
  <c r="H1736" i="4"/>
  <c r="I1736" i="4"/>
  <c r="H1737" i="4"/>
  <c r="I1737" i="4"/>
  <c r="H1738" i="4"/>
  <c r="I1738" i="4"/>
  <c r="H1739" i="4"/>
  <c r="I1739" i="4"/>
  <c r="H1740" i="4"/>
  <c r="I1740" i="4"/>
  <c r="H1741" i="4"/>
  <c r="I1741" i="4"/>
  <c r="H1742" i="4"/>
  <c r="I1742" i="4"/>
  <c r="H1743" i="4"/>
  <c r="I1743" i="4"/>
  <c r="H1744" i="4"/>
  <c r="I1744" i="4"/>
  <c r="H1745" i="4"/>
  <c r="I1745" i="4"/>
  <c r="H1746" i="4"/>
  <c r="I1746" i="4"/>
  <c r="H1747" i="4"/>
  <c r="I1747" i="4"/>
  <c r="H1748" i="4"/>
  <c r="I1748" i="4"/>
  <c r="H1749" i="4"/>
  <c r="I1749" i="4"/>
  <c r="H1750" i="4"/>
  <c r="I1750" i="4"/>
  <c r="H1751" i="4"/>
  <c r="I1751" i="4"/>
  <c r="H1752" i="4"/>
  <c r="I1752" i="4"/>
  <c r="H1753" i="4"/>
  <c r="I1753" i="4"/>
  <c r="H1754" i="4"/>
  <c r="I1754" i="4"/>
  <c r="H1755" i="4"/>
  <c r="I1755" i="4"/>
  <c r="H1756" i="4"/>
  <c r="I1756" i="4"/>
  <c r="H1757" i="4"/>
  <c r="I1757" i="4"/>
  <c r="H1758" i="4"/>
  <c r="I1758" i="4"/>
  <c r="H1759" i="4"/>
  <c r="I1759" i="4"/>
  <c r="H1760" i="4"/>
  <c r="I1760" i="4"/>
  <c r="H1761" i="4"/>
  <c r="I1761" i="4"/>
  <c r="H1762" i="4"/>
  <c r="I1762" i="4"/>
  <c r="H1763" i="4"/>
  <c r="I1763" i="4"/>
  <c r="H1764" i="4"/>
  <c r="I1764" i="4"/>
  <c r="H1765" i="4"/>
  <c r="I1765" i="4"/>
  <c r="H1766" i="4"/>
  <c r="I1766" i="4"/>
  <c r="H1767" i="4"/>
  <c r="I1767" i="4"/>
  <c r="H1768" i="4"/>
  <c r="I1768" i="4"/>
  <c r="H1769" i="4"/>
  <c r="I1769" i="4"/>
  <c r="H1770" i="4"/>
  <c r="I1770" i="4"/>
  <c r="H1771" i="4"/>
  <c r="I1771" i="4"/>
  <c r="H1772" i="4"/>
  <c r="I1772" i="4"/>
  <c r="H1773" i="4"/>
  <c r="I1773" i="4"/>
  <c r="H1774" i="4"/>
  <c r="I1774" i="4"/>
  <c r="H1775" i="4"/>
  <c r="I1775" i="4"/>
  <c r="H1776" i="4"/>
  <c r="I1776" i="4"/>
  <c r="H1777" i="4"/>
  <c r="I1777" i="4"/>
  <c r="H1778" i="4"/>
  <c r="I1778" i="4"/>
  <c r="H1779" i="4"/>
  <c r="I1779" i="4"/>
  <c r="H1780" i="4"/>
  <c r="I1780" i="4"/>
  <c r="H1781" i="4"/>
  <c r="I1781" i="4"/>
  <c r="H1782" i="4"/>
  <c r="I1782" i="4"/>
  <c r="H1783" i="4"/>
  <c r="I1783" i="4"/>
  <c r="H1784" i="4"/>
  <c r="I1784" i="4"/>
  <c r="H1785" i="4"/>
  <c r="I1785" i="4"/>
  <c r="H1786" i="4"/>
  <c r="I1786" i="4"/>
  <c r="H1787" i="4"/>
  <c r="I1787" i="4"/>
  <c r="H1788" i="4"/>
  <c r="I1788" i="4"/>
  <c r="H1789" i="4"/>
  <c r="I1789" i="4"/>
  <c r="H1790" i="4"/>
  <c r="I1790" i="4"/>
  <c r="H1791" i="4"/>
  <c r="I1791" i="4"/>
  <c r="H1792" i="4"/>
  <c r="I1792" i="4"/>
  <c r="H1793" i="4"/>
  <c r="I1793" i="4"/>
  <c r="H1794" i="4"/>
  <c r="I1794" i="4"/>
  <c r="H1795" i="4"/>
  <c r="I1795" i="4"/>
  <c r="H1796" i="4"/>
  <c r="I1796" i="4"/>
  <c r="H1797" i="4"/>
  <c r="I1797" i="4"/>
  <c r="H1798" i="4"/>
  <c r="I1798" i="4"/>
  <c r="H1799" i="4"/>
  <c r="I1799" i="4"/>
  <c r="H1800" i="4"/>
  <c r="I1800" i="4"/>
  <c r="H1801" i="4"/>
  <c r="I1801" i="4"/>
  <c r="H1802" i="4"/>
  <c r="I1802" i="4"/>
  <c r="H1803" i="4"/>
  <c r="I1803" i="4"/>
  <c r="H1804" i="4"/>
  <c r="I1804" i="4"/>
  <c r="H1805" i="4"/>
  <c r="I1805" i="4"/>
  <c r="H1806" i="4"/>
  <c r="I1806" i="4"/>
  <c r="H1807" i="4"/>
  <c r="I1807" i="4"/>
  <c r="H1808" i="4"/>
  <c r="I1808" i="4"/>
  <c r="H1809" i="4"/>
  <c r="I1809" i="4"/>
  <c r="H1810" i="4"/>
  <c r="I1810" i="4"/>
  <c r="H1811" i="4"/>
  <c r="I1811" i="4"/>
  <c r="H1812" i="4"/>
  <c r="I1812" i="4"/>
  <c r="H1813" i="4"/>
  <c r="I1813" i="4"/>
  <c r="H1814" i="4"/>
  <c r="I1814" i="4"/>
  <c r="H1815" i="4"/>
  <c r="I1815" i="4"/>
  <c r="H1816" i="4"/>
  <c r="I1816" i="4"/>
  <c r="H1817" i="4"/>
  <c r="I1817" i="4"/>
  <c r="H1818" i="4"/>
  <c r="I1818" i="4"/>
  <c r="H1819" i="4"/>
  <c r="I1819" i="4"/>
  <c r="H1820" i="4"/>
  <c r="I1820" i="4"/>
  <c r="H1821" i="4"/>
  <c r="I1821" i="4"/>
  <c r="H1822" i="4"/>
  <c r="I1822" i="4"/>
  <c r="H1823" i="4"/>
  <c r="I1823" i="4"/>
  <c r="H1824" i="4"/>
  <c r="I1824" i="4"/>
  <c r="H1825" i="4"/>
  <c r="I1825" i="4"/>
  <c r="H1826" i="4"/>
  <c r="I1826" i="4"/>
  <c r="H1827" i="4"/>
  <c r="I1827" i="4"/>
  <c r="H1828" i="4"/>
  <c r="I1828" i="4"/>
  <c r="H1829" i="4"/>
  <c r="I1829" i="4"/>
  <c r="H1830" i="4"/>
  <c r="I1830" i="4"/>
  <c r="H1831" i="4"/>
  <c r="I1831" i="4"/>
  <c r="H1832" i="4"/>
  <c r="I1832" i="4"/>
  <c r="H1833" i="4"/>
  <c r="I1833" i="4"/>
  <c r="H1834" i="4"/>
  <c r="I1834" i="4"/>
  <c r="H1835" i="4"/>
  <c r="I1835" i="4"/>
  <c r="H1836" i="4"/>
  <c r="I1836" i="4"/>
  <c r="H1837" i="4"/>
  <c r="I1837" i="4"/>
  <c r="H1838" i="4"/>
  <c r="I1838" i="4"/>
  <c r="H1839" i="4"/>
  <c r="I1839" i="4"/>
  <c r="H1840" i="4"/>
  <c r="I1840" i="4"/>
  <c r="H1841" i="4"/>
  <c r="I1841" i="4"/>
  <c r="H1842" i="4"/>
  <c r="I1842" i="4"/>
  <c r="H1843" i="4"/>
  <c r="I1843" i="4"/>
  <c r="H1844" i="4"/>
  <c r="I1844" i="4"/>
  <c r="H1845" i="4"/>
  <c r="I1845" i="4"/>
  <c r="H1846" i="4"/>
  <c r="I1846" i="4"/>
  <c r="G1839" i="4" l="1"/>
  <c r="F1840" i="4"/>
  <c r="G1840" i="4"/>
  <c r="G1841" i="4"/>
  <c r="F1842" i="4"/>
  <c r="G1842" i="4"/>
  <c r="G1843" i="4"/>
  <c r="F1844" i="4"/>
  <c r="G1844" i="4"/>
  <c r="G1845" i="4"/>
  <c r="F1846" i="4"/>
  <c r="G1846" i="4"/>
  <c r="G1838" i="4" l="1"/>
  <c r="F1838" i="4"/>
  <c r="G1837" i="4"/>
  <c r="G1836" i="4"/>
  <c r="F1836" i="4"/>
  <c r="G1835" i="4"/>
  <c r="G1834" i="4"/>
  <c r="F1834" i="4"/>
  <c r="G1833" i="4"/>
  <c r="G1832" i="4"/>
  <c r="F1832" i="4"/>
  <c r="G1831" i="4"/>
  <c r="G1830" i="4" l="1"/>
  <c r="F1830" i="4"/>
  <c r="G1829" i="4"/>
  <c r="G1828" i="4"/>
  <c r="F1828" i="4"/>
  <c r="G1827" i="4"/>
  <c r="G1826" i="4"/>
  <c r="F1826" i="4"/>
  <c r="G1825" i="4"/>
  <c r="G1824" i="4"/>
  <c r="F1824" i="4"/>
  <c r="G1823" i="4"/>
  <c r="G1822" i="4"/>
  <c r="F1822" i="4"/>
  <c r="G1821" i="4"/>
  <c r="G1820" i="4"/>
  <c r="F1820" i="4"/>
  <c r="G1819" i="4"/>
  <c r="G1818" i="4"/>
  <c r="F1818" i="4"/>
  <c r="G1817" i="4"/>
  <c r="G1816" i="4"/>
  <c r="F1816" i="4"/>
  <c r="G1815" i="4"/>
  <c r="G1814" i="4"/>
  <c r="F1814" i="4"/>
  <c r="G1813" i="4"/>
  <c r="G1812" i="4"/>
  <c r="F1812" i="4"/>
  <c r="G1811" i="4"/>
  <c r="G1810" i="4"/>
  <c r="F1810" i="4"/>
  <c r="G1809" i="4"/>
  <c r="G1808" i="4"/>
  <c r="F1808" i="4"/>
  <c r="G1807" i="4"/>
  <c r="G1806" i="4"/>
  <c r="F1806" i="4"/>
  <c r="G1805" i="4"/>
  <c r="G1804" i="4"/>
  <c r="F1804" i="4"/>
  <c r="G1803" i="4"/>
  <c r="G1802" i="4"/>
  <c r="F1802" i="4"/>
  <c r="G1801" i="4"/>
  <c r="G1800" i="4"/>
  <c r="F1800" i="4"/>
  <c r="G1799" i="4"/>
  <c r="G1798" i="4"/>
  <c r="F1798" i="4"/>
  <c r="G1797" i="4"/>
  <c r="G1796" i="4"/>
  <c r="F1796" i="4"/>
  <c r="G1795" i="4"/>
  <c r="G1794" i="4"/>
  <c r="F1794" i="4"/>
  <c r="G1793" i="4"/>
  <c r="G1792" i="4"/>
  <c r="F1792" i="4"/>
  <c r="G1791" i="4"/>
  <c r="G1790" i="4" l="1"/>
  <c r="F1790" i="4"/>
  <c r="G1789" i="4"/>
  <c r="G1788" i="4"/>
  <c r="F1788" i="4"/>
  <c r="G1787" i="4"/>
  <c r="G1786" i="4"/>
  <c r="F1786" i="4"/>
  <c r="G1785" i="4"/>
  <c r="G1784" i="4"/>
  <c r="F1784" i="4"/>
  <c r="G1783" i="4"/>
  <c r="G1782" i="4"/>
  <c r="F1782" i="4"/>
  <c r="G1781" i="4"/>
  <c r="G1780" i="4"/>
  <c r="F1780" i="4"/>
  <c r="G1779" i="4"/>
  <c r="G1778" i="4"/>
  <c r="F1778" i="4"/>
  <c r="G1777" i="4"/>
  <c r="G1776" i="4"/>
  <c r="F1776" i="4"/>
  <c r="G1775" i="4"/>
  <c r="G1774" i="4"/>
  <c r="F1774" i="4"/>
  <c r="G1773" i="4"/>
  <c r="G1772" i="4"/>
  <c r="F1772" i="4"/>
  <c r="G1771" i="4"/>
  <c r="G1770" i="4"/>
  <c r="F1770" i="4"/>
  <c r="G1769" i="4"/>
  <c r="G1768" i="4"/>
  <c r="F1768" i="4"/>
  <c r="G1767" i="4"/>
  <c r="G1766" i="4"/>
  <c r="F1766" i="4"/>
  <c r="G1765" i="4"/>
  <c r="G1764" i="4"/>
  <c r="F1764" i="4"/>
  <c r="G1763" i="4"/>
  <c r="G1762" i="4"/>
  <c r="F1762" i="4"/>
  <c r="G1761" i="4"/>
  <c r="G1760" i="4"/>
  <c r="F1760" i="4"/>
  <c r="G1759" i="4"/>
  <c r="G1758" i="4"/>
  <c r="F1758" i="4"/>
  <c r="G1757" i="4"/>
  <c r="G1756" i="4"/>
  <c r="F1756" i="4"/>
  <c r="G1755" i="4"/>
  <c r="G1754" i="4"/>
  <c r="F1754" i="4"/>
  <c r="G1753" i="4"/>
  <c r="G1752" i="4"/>
  <c r="F1752" i="4"/>
  <c r="G1751" i="4"/>
  <c r="G1750" i="4"/>
  <c r="F1750" i="4"/>
  <c r="G1749" i="4"/>
  <c r="G1748" i="4"/>
  <c r="F1748" i="4"/>
  <c r="G1747" i="4"/>
  <c r="G1746" i="4"/>
  <c r="F1746" i="4"/>
  <c r="G1745" i="4"/>
  <c r="G1744" i="4"/>
  <c r="F1744" i="4"/>
  <c r="G1743" i="4"/>
  <c r="G1742" i="4"/>
  <c r="F1742" i="4"/>
  <c r="G1741" i="4"/>
  <c r="G1740" i="4"/>
  <c r="F1740" i="4"/>
  <c r="G1739" i="4"/>
  <c r="G1738" i="4"/>
  <c r="F1738" i="4"/>
  <c r="G1737" i="4"/>
  <c r="G1736" i="4"/>
  <c r="F1736" i="4"/>
  <c r="G1735" i="4"/>
  <c r="G1734" i="4"/>
  <c r="F1734" i="4"/>
  <c r="G1733" i="4"/>
  <c r="G1732" i="4"/>
  <c r="F1732" i="4"/>
  <c r="G1731" i="4"/>
  <c r="G1730" i="4"/>
  <c r="F1730" i="4"/>
  <c r="G1729" i="4"/>
  <c r="G1728" i="4"/>
  <c r="F1728" i="4"/>
  <c r="G1727" i="4"/>
  <c r="F1710" i="4"/>
  <c r="F1712" i="4"/>
  <c r="F1714" i="4"/>
  <c r="F1716" i="4"/>
  <c r="F1718" i="4"/>
  <c r="F1720" i="4"/>
  <c r="F1722" i="4"/>
  <c r="F1724" i="4"/>
  <c r="F1726" i="4"/>
  <c r="G1726" i="4"/>
  <c r="G1725" i="4"/>
  <c r="G1724" i="4"/>
  <c r="G1723" i="4"/>
  <c r="G1722" i="4"/>
  <c r="G1721" i="4"/>
  <c r="G1720" i="4"/>
  <c r="G1719" i="4"/>
  <c r="G1718" i="4" l="1"/>
  <c r="G1717" i="4"/>
  <c r="G1716" i="4"/>
  <c r="G1715" i="4"/>
  <c r="G1714" i="4"/>
  <c r="G1713" i="4"/>
  <c r="G1712" i="4"/>
  <c r="G1711" i="4"/>
  <c r="G1710" i="4"/>
  <c r="G1709" i="4"/>
  <c r="G1708" i="4"/>
  <c r="F1708" i="4"/>
  <c r="G1707" i="4"/>
  <c r="G1706" i="4"/>
  <c r="F1706" i="4"/>
  <c r="G1705" i="4"/>
  <c r="G1704" i="4"/>
  <c r="F1704" i="4"/>
  <c r="G1703" i="4"/>
  <c r="G1702" i="4"/>
  <c r="F1702" i="4"/>
  <c r="G1701" i="4"/>
  <c r="G1700" i="4"/>
  <c r="F1700" i="4"/>
  <c r="G1699" i="4"/>
  <c r="G1698" i="4"/>
  <c r="F1698" i="4"/>
  <c r="G1697" i="4"/>
  <c r="G1696" i="4"/>
  <c r="F1696" i="4"/>
  <c r="G1695" i="4"/>
  <c r="G1694" i="4"/>
  <c r="F1694" i="4"/>
  <c r="G1693" i="4"/>
  <c r="G1692" i="4"/>
  <c r="F1692" i="4"/>
  <c r="G1691" i="4"/>
  <c r="G1690" i="4"/>
  <c r="F1690" i="4"/>
  <c r="G1689" i="4"/>
  <c r="G1688" i="4"/>
  <c r="F1688" i="4"/>
  <c r="G1687" i="4"/>
  <c r="G1686" i="4"/>
  <c r="F1686" i="4"/>
  <c r="G1685" i="4"/>
  <c r="G1684" i="4"/>
  <c r="F1684" i="4"/>
  <c r="G1683" i="4"/>
  <c r="G1682" i="4"/>
  <c r="F1682" i="4"/>
  <c r="G1681" i="4"/>
  <c r="G1680" i="4"/>
  <c r="F1680" i="4"/>
  <c r="G1679" i="4"/>
  <c r="G1678" i="4"/>
  <c r="F1678" i="4"/>
  <c r="G1677" i="4"/>
  <c r="G1676" i="4"/>
  <c r="F1676" i="4"/>
  <c r="G1675" i="4"/>
  <c r="G1674" i="4"/>
  <c r="F1674" i="4"/>
  <c r="G1673" i="4"/>
  <c r="G1672" i="4"/>
  <c r="F1672" i="4"/>
  <c r="G1671" i="4"/>
  <c r="G1670" i="4"/>
  <c r="F1670" i="4"/>
  <c r="G1669" i="4"/>
  <c r="G1668" i="4"/>
  <c r="F1668" i="4"/>
  <c r="G1667" i="4"/>
  <c r="G1666" i="4"/>
  <c r="F1666" i="4"/>
  <c r="G1665" i="4"/>
  <c r="G1664" i="4"/>
  <c r="F1664" i="4"/>
  <c r="G1663" i="4"/>
  <c r="G1662" i="4"/>
  <c r="F1662" i="4"/>
  <c r="G1661" i="4"/>
  <c r="G1660" i="4"/>
  <c r="F1660" i="4"/>
  <c r="G1659" i="4"/>
  <c r="G1658" i="4"/>
  <c r="F1658" i="4"/>
  <c r="G1657" i="4"/>
  <c r="G1656" i="4"/>
  <c r="F1656" i="4"/>
  <c r="G1655" i="4"/>
  <c r="G1654" i="4"/>
  <c r="F1654" i="4"/>
  <c r="G1653" i="4"/>
  <c r="G1652" i="4"/>
  <c r="F1652" i="4"/>
  <c r="G1651" i="4"/>
  <c r="G1650" i="4"/>
  <c r="F1650" i="4"/>
  <c r="G1649" i="4"/>
  <c r="G1648" i="4"/>
  <c r="F1648" i="4"/>
  <c r="G1647" i="4"/>
  <c r="G1646" i="4"/>
  <c r="F1646" i="4"/>
  <c r="G1645" i="4"/>
  <c r="G1644" i="4"/>
  <c r="F1644" i="4"/>
  <c r="G1643" i="4"/>
  <c r="G1642" i="4"/>
  <c r="F1642" i="4"/>
  <c r="G1641" i="4"/>
  <c r="G1640" i="4"/>
  <c r="F1640" i="4"/>
  <c r="G1639" i="4"/>
  <c r="G1638" i="4"/>
  <c r="F1638" i="4"/>
  <c r="G1637" i="4"/>
  <c r="G1636" i="4"/>
  <c r="F1636" i="4"/>
  <c r="G1635" i="4"/>
  <c r="G1634" i="4"/>
  <c r="F1634" i="4"/>
  <c r="G1633" i="4"/>
  <c r="G1632" i="4"/>
  <c r="F1632" i="4"/>
  <c r="G1631" i="4"/>
  <c r="G1630" i="4"/>
  <c r="F1630" i="4"/>
  <c r="G1629" i="4"/>
  <c r="G1628" i="4"/>
  <c r="F1628" i="4"/>
  <c r="G1627" i="4"/>
  <c r="G1626" i="4"/>
  <c r="F1626" i="4"/>
  <c r="G1625" i="4"/>
  <c r="G1624" i="4"/>
  <c r="F1624" i="4"/>
  <c r="G1623" i="4"/>
  <c r="G1622" i="4"/>
  <c r="F1622" i="4"/>
  <c r="G1621" i="4"/>
  <c r="G1620" i="4"/>
  <c r="F1620" i="4"/>
  <c r="G1619" i="4"/>
  <c r="G1618" i="4"/>
  <c r="F1618" i="4"/>
  <c r="G1617" i="4"/>
  <c r="G1616" i="4"/>
  <c r="F1616" i="4"/>
  <c r="G1615" i="4"/>
  <c r="L17" i="48" l="1"/>
  <c r="K17" i="48"/>
  <c r="G1614" i="4"/>
  <c r="F1614" i="4"/>
  <c r="G1613" i="4"/>
  <c r="G1612" i="4"/>
  <c r="F1612" i="4"/>
  <c r="G1611" i="4"/>
  <c r="G1610" i="4"/>
  <c r="F1610" i="4"/>
  <c r="G1609" i="4"/>
  <c r="G1608" i="4"/>
  <c r="F1608" i="4"/>
  <c r="G1607" i="4"/>
  <c r="G1606" i="4" l="1"/>
  <c r="F1606" i="4"/>
  <c r="G1605" i="4"/>
  <c r="G1604" i="4"/>
  <c r="F1604" i="4"/>
  <c r="G1603" i="4"/>
  <c r="G1602" i="4"/>
  <c r="F1602" i="4"/>
  <c r="G1601" i="4"/>
  <c r="G1600" i="4"/>
  <c r="F1600" i="4"/>
  <c r="G1599" i="4"/>
  <c r="G1598" i="4"/>
  <c r="F1598" i="4"/>
  <c r="G1597" i="4"/>
  <c r="G1596" i="4"/>
  <c r="F1596" i="4"/>
  <c r="G1595" i="4"/>
  <c r="G1594" i="4"/>
  <c r="F1594" i="4"/>
  <c r="G1593" i="4"/>
  <c r="G1592" i="4"/>
  <c r="F1592" i="4"/>
  <c r="G1591" i="4"/>
  <c r="G1590" i="4"/>
  <c r="F1590" i="4"/>
  <c r="G1589" i="4"/>
  <c r="G1588" i="4"/>
  <c r="F1588" i="4"/>
  <c r="G1587" i="4"/>
  <c r="G1586" i="4"/>
  <c r="F1586" i="4"/>
  <c r="G1585" i="4"/>
  <c r="G1584" i="4"/>
  <c r="F1584" i="4"/>
  <c r="G1583" i="4"/>
  <c r="F133" i="4"/>
  <c r="G133" i="4"/>
  <c r="G132" i="4"/>
  <c r="G1582" i="4" l="1"/>
  <c r="F1582" i="4"/>
  <c r="G1581" i="4"/>
  <c r="G1580" i="4"/>
  <c r="F1580" i="4"/>
  <c r="G1579" i="4"/>
  <c r="G1578" i="4"/>
  <c r="F1578" i="4"/>
  <c r="G1577" i="4"/>
  <c r="G1576" i="4"/>
  <c r="F1576" i="4"/>
  <c r="G1575" i="4"/>
  <c r="G1574" i="4"/>
  <c r="F1574" i="4"/>
  <c r="G1573" i="4"/>
  <c r="G1572" i="4"/>
  <c r="F1572" i="4"/>
  <c r="G1571" i="4"/>
  <c r="G1570" i="4"/>
  <c r="F1570" i="4"/>
  <c r="G1569" i="4"/>
  <c r="G1568" i="4"/>
  <c r="F1568" i="4"/>
  <c r="G1567" i="4"/>
  <c r="G1566" i="4"/>
  <c r="F1566" i="4"/>
  <c r="G1565" i="4"/>
  <c r="G1564" i="4"/>
  <c r="F1564" i="4"/>
  <c r="G1563" i="4"/>
  <c r="G1562" i="4"/>
  <c r="F1562" i="4"/>
  <c r="G1561" i="4"/>
  <c r="G1560" i="4"/>
  <c r="F1560" i="4"/>
  <c r="G1559" i="4"/>
  <c r="G1558" i="4"/>
  <c r="F1558" i="4"/>
  <c r="G1557" i="4"/>
  <c r="G1556" i="4"/>
  <c r="F1556" i="4"/>
  <c r="G1555" i="4"/>
  <c r="G1554" i="4"/>
  <c r="F1554" i="4"/>
  <c r="G1553" i="4"/>
  <c r="G1552" i="4"/>
  <c r="F1552" i="4"/>
  <c r="G1551" i="4"/>
  <c r="G1550" i="4"/>
  <c r="F1550" i="4"/>
  <c r="G1549" i="4"/>
  <c r="G1548" i="4"/>
  <c r="F1548" i="4"/>
  <c r="G1547" i="4"/>
  <c r="G1546" i="4"/>
  <c r="F1546" i="4"/>
  <c r="G1545" i="4"/>
  <c r="G1544" i="4"/>
  <c r="F1544" i="4"/>
  <c r="G1543" i="4"/>
  <c r="G1542" i="4"/>
  <c r="F1542" i="4"/>
  <c r="G1541" i="4"/>
  <c r="G1540" i="4"/>
  <c r="F1540" i="4"/>
  <c r="G1539" i="4"/>
  <c r="G1538" i="4"/>
  <c r="F1538" i="4"/>
  <c r="G1537" i="4"/>
  <c r="G1536" i="4"/>
  <c r="F1536" i="4"/>
  <c r="G1535" i="4"/>
  <c r="G1534" i="4"/>
  <c r="F1534" i="4"/>
  <c r="G1533" i="4"/>
  <c r="G1532" i="4"/>
  <c r="F1532" i="4"/>
  <c r="G1531" i="4"/>
  <c r="G1530" i="4"/>
  <c r="F1530" i="4"/>
  <c r="G1529" i="4"/>
  <c r="G1528" i="4"/>
  <c r="F1528" i="4"/>
  <c r="G1527" i="4"/>
  <c r="G1526" i="4"/>
  <c r="F1526" i="4"/>
  <c r="G1525" i="4"/>
  <c r="G1524" i="4"/>
  <c r="F1524" i="4"/>
  <c r="G1523" i="4"/>
  <c r="G1522" i="4"/>
  <c r="F1522" i="4"/>
  <c r="G1521" i="4"/>
  <c r="G1520" i="4"/>
  <c r="F1520" i="4"/>
  <c r="G1519" i="4"/>
  <c r="G1518" i="4"/>
  <c r="F1518" i="4"/>
  <c r="G1517" i="4"/>
  <c r="G1516" i="4"/>
  <c r="F1516" i="4"/>
  <c r="G1515" i="4"/>
  <c r="G1514" i="4"/>
  <c r="F1514" i="4"/>
  <c r="G1513" i="4"/>
  <c r="G1512" i="4"/>
  <c r="F1512" i="4"/>
  <c r="G1511" i="4"/>
  <c r="G1510" i="4"/>
  <c r="F1510" i="4"/>
  <c r="G1509" i="4"/>
  <c r="G1508" i="4"/>
  <c r="F1508" i="4"/>
  <c r="G1507" i="4"/>
  <c r="F1506" i="4"/>
  <c r="G1506" i="4"/>
  <c r="G1505" i="4"/>
  <c r="G1504" i="4"/>
  <c r="F1504" i="4"/>
  <c r="G1503" i="4"/>
  <c r="G1502" i="4"/>
  <c r="F1502" i="4"/>
  <c r="G1501" i="4"/>
  <c r="G1500" i="4"/>
  <c r="F1500" i="4"/>
  <c r="G1499" i="4"/>
  <c r="G1498" i="4"/>
  <c r="F1498" i="4"/>
  <c r="G1497" i="4"/>
  <c r="G1496" i="4"/>
  <c r="F1496" i="4"/>
  <c r="G1495" i="4"/>
  <c r="G1494" i="4"/>
  <c r="F1494" i="4"/>
  <c r="G1493" i="4"/>
  <c r="G1492" i="4"/>
  <c r="F1492" i="4"/>
  <c r="G1491" i="4"/>
  <c r="G1490" i="4"/>
  <c r="F1490" i="4"/>
  <c r="G1489" i="4"/>
  <c r="G1488" i="4"/>
  <c r="F1488" i="4"/>
  <c r="G1487" i="4"/>
  <c r="G1486" i="4"/>
  <c r="F1486" i="4"/>
  <c r="G1485" i="4"/>
  <c r="G1484" i="4"/>
  <c r="F1484" i="4"/>
  <c r="G1483" i="4"/>
  <c r="G1482" i="4"/>
  <c r="F1482" i="4"/>
  <c r="G1481" i="4"/>
  <c r="G1480" i="4"/>
  <c r="F1480" i="4"/>
  <c r="G1479" i="4"/>
  <c r="G1478" i="4"/>
  <c r="F1478" i="4"/>
  <c r="G1477" i="4"/>
  <c r="G1476" i="4"/>
  <c r="F1476" i="4"/>
  <c r="G1475" i="4"/>
  <c r="G1474" i="4"/>
  <c r="F1474" i="4"/>
  <c r="G1473" i="4"/>
  <c r="G1472" i="4"/>
  <c r="F1472" i="4"/>
  <c r="G1471" i="4"/>
  <c r="E1456" i="4"/>
  <c r="E1455" i="4"/>
  <c r="G1470" i="4"/>
  <c r="F1470" i="4"/>
  <c r="G1469" i="4"/>
  <c r="G1468" i="4"/>
  <c r="F1468" i="4"/>
  <c r="G1467" i="4"/>
  <c r="G1466" i="4"/>
  <c r="F1466" i="4"/>
  <c r="G1465" i="4"/>
  <c r="G1464" i="4"/>
  <c r="F1464" i="4"/>
  <c r="G1463" i="4"/>
  <c r="G1462" i="4" l="1"/>
  <c r="F1462" i="4"/>
  <c r="G1461" i="4"/>
  <c r="G1460" i="4"/>
  <c r="F1460" i="4"/>
  <c r="G1459" i="4"/>
  <c r="G1458" i="4"/>
  <c r="F1458" i="4"/>
  <c r="G1457" i="4"/>
  <c r="G1456" i="4"/>
  <c r="F1456" i="4"/>
  <c r="G1455" i="4"/>
  <c r="G1454" i="4" l="1"/>
  <c r="F1454" i="4"/>
  <c r="G1453" i="4"/>
  <c r="G1452" i="4"/>
  <c r="F1452" i="4"/>
  <c r="G1451" i="4"/>
  <c r="G1450" i="4"/>
  <c r="F1450" i="4"/>
  <c r="G1449" i="4"/>
  <c r="G1448" i="4"/>
  <c r="F1448" i="4"/>
  <c r="G1447" i="4"/>
  <c r="K5" i="48"/>
  <c r="L5" i="48"/>
  <c r="K6" i="48"/>
  <c r="L6" i="48"/>
  <c r="K7" i="48"/>
  <c r="L7" i="48"/>
  <c r="K8" i="48"/>
  <c r="L8" i="48"/>
  <c r="K9" i="48"/>
  <c r="L9" i="48"/>
  <c r="K10" i="48"/>
  <c r="L10" i="48"/>
  <c r="K11" i="48"/>
  <c r="L11" i="48"/>
  <c r="K12" i="48"/>
  <c r="L12" i="48"/>
  <c r="K13" i="48"/>
  <c r="L13" i="48"/>
  <c r="K14" i="48"/>
  <c r="L14" i="48"/>
  <c r="K15" i="48"/>
  <c r="L15" i="48"/>
  <c r="K16" i="48"/>
  <c r="L16" i="48"/>
  <c r="L4" i="48"/>
  <c r="K4" i="48"/>
  <c r="G1446" i="4"/>
  <c r="F1446" i="4"/>
  <c r="G1445" i="4"/>
  <c r="G1444" i="4"/>
  <c r="F1444" i="4"/>
  <c r="G1443" i="4"/>
  <c r="G1442" i="4"/>
  <c r="F1442" i="4"/>
  <c r="G1441" i="4"/>
  <c r="G1440" i="4"/>
  <c r="F1440" i="4"/>
  <c r="G1439" i="4"/>
  <c r="G1438" i="4" l="1"/>
  <c r="F1438" i="4"/>
  <c r="G1437" i="4"/>
  <c r="G1436" i="4"/>
  <c r="F1436" i="4"/>
  <c r="G1435" i="4"/>
  <c r="G1434" i="4"/>
  <c r="F1434" i="4"/>
  <c r="G1433" i="4"/>
  <c r="G1432" i="4"/>
  <c r="F1432" i="4"/>
  <c r="G1431" i="4"/>
  <c r="G1430" i="4"/>
  <c r="F1430" i="4"/>
  <c r="G1429" i="4"/>
  <c r="G1428" i="4"/>
  <c r="F1428" i="4"/>
  <c r="G1427" i="4"/>
  <c r="G1426" i="4"/>
  <c r="F1426" i="4"/>
  <c r="G1425" i="4"/>
  <c r="G1424" i="4"/>
  <c r="F1424" i="4"/>
  <c r="G1423" i="4"/>
  <c r="G1422" i="4"/>
  <c r="F1422" i="4"/>
  <c r="G1421" i="4"/>
  <c r="G1420" i="4"/>
  <c r="F1420" i="4"/>
  <c r="G1419" i="4"/>
  <c r="G1418" i="4"/>
  <c r="F1418" i="4"/>
  <c r="G1417" i="4"/>
  <c r="G1416" i="4"/>
  <c r="F1416" i="4"/>
  <c r="G1415" i="4"/>
  <c r="G1414" i="4"/>
  <c r="F1414" i="4"/>
  <c r="G1413" i="4"/>
  <c r="G1412" i="4"/>
  <c r="F1412" i="4"/>
  <c r="G1411" i="4"/>
  <c r="G1410" i="4"/>
  <c r="F1410" i="4"/>
  <c r="G1409" i="4"/>
  <c r="G1408" i="4"/>
  <c r="F1408" i="4"/>
  <c r="G1407" i="4"/>
  <c r="G1406" i="4"/>
  <c r="F1406" i="4"/>
  <c r="G1405" i="4"/>
  <c r="G1404" i="4"/>
  <c r="F1404" i="4"/>
  <c r="G1403" i="4"/>
  <c r="G1402" i="4"/>
  <c r="F1402" i="4"/>
  <c r="G1401" i="4"/>
  <c r="G1400" i="4"/>
  <c r="F1400" i="4"/>
  <c r="G1399" i="4"/>
  <c r="G1398" i="4"/>
  <c r="F1398" i="4"/>
  <c r="G1397" i="4"/>
  <c r="G1396" i="4"/>
  <c r="F1396" i="4"/>
  <c r="G1395" i="4"/>
  <c r="G1394" i="4"/>
  <c r="F1394" i="4"/>
  <c r="G1393" i="4"/>
  <c r="G1392" i="4"/>
  <c r="F1392" i="4"/>
  <c r="G1391" i="4"/>
  <c r="G1390" i="4" l="1"/>
  <c r="F1390" i="4"/>
  <c r="G1389" i="4"/>
  <c r="G1388" i="4"/>
  <c r="F1388" i="4"/>
  <c r="G1387" i="4"/>
  <c r="G1386" i="4"/>
  <c r="F1386" i="4"/>
  <c r="G1385" i="4"/>
  <c r="G1384" i="4"/>
  <c r="F1384" i="4"/>
  <c r="G1383" i="4"/>
  <c r="G1382" i="4"/>
  <c r="F1382" i="4"/>
  <c r="G1381" i="4"/>
  <c r="G1380" i="4"/>
  <c r="F1380" i="4"/>
  <c r="G1379" i="4"/>
  <c r="G1378" i="4"/>
  <c r="F1378" i="4"/>
  <c r="G1377" i="4"/>
  <c r="G1376" i="4"/>
  <c r="F1376" i="4"/>
  <c r="G1375" i="4"/>
  <c r="G1374" i="4"/>
  <c r="F1374" i="4"/>
  <c r="G1373" i="4"/>
  <c r="G1372" i="4"/>
  <c r="F1372" i="4"/>
  <c r="G1371" i="4"/>
  <c r="G1370" i="4"/>
  <c r="F1370" i="4"/>
  <c r="G1369" i="4"/>
  <c r="G1368" i="4"/>
  <c r="F1368" i="4"/>
  <c r="G1367" i="4"/>
  <c r="G1366" i="4"/>
  <c r="F1366" i="4"/>
  <c r="G1365" i="4"/>
  <c r="G1364" i="4"/>
  <c r="F1364" i="4"/>
  <c r="G1363" i="4"/>
  <c r="G1362" i="4"/>
  <c r="F1362" i="4"/>
  <c r="G1361" i="4"/>
  <c r="G1360" i="4"/>
  <c r="F1360" i="4"/>
  <c r="G1359" i="4"/>
  <c r="G1358" i="4"/>
  <c r="F1358" i="4"/>
  <c r="G1357" i="4"/>
  <c r="G1356" i="4"/>
  <c r="F1356" i="4"/>
  <c r="G1355" i="4"/>
  <c r="G1354" i="4"/>
  <c r="F1354" i="4"/>
  <c r="G1353" i="4"/>
  <c r="G1352" i="4"/>
  <c r="F1352" i="4"/>
  <c r="G1351" i="4"/>
  <c r="G1350" i="4"/>
  <c r="F1350" i="4"/>
  <c r="G1349" i="4"/>
  <c r="G1348" i="4"/>
  <c r="F1348" i="4"/>
  <c r="G1347" i="4"/>
  <c r="G1346" i="4"/>
  <c r="F1346" i="4"/>
  <c r="G1345" i="4"/>
  <c r="G1344" i="4"/>
  <c r="F1344" i="4"/>
  <c r="G1343" i="4"/>
  <c r="G1342" i="4"/>
  <c r="F1342" i="4"/>
  <c r="G1341" i="4"/>
  <c r="G1340" i="4"/>
  <c r="F1340" i="4"/>
  <c r="G1339" i="4"/>
  <c r="G1338" i="4"/>
  <c r="F1338" i="4"/>
  <c r="G1337" i="4"/>
  <c r="G1336" i="4"/>
  <c r="F1336" i="4"/>
  <c r="G1335" i="4"/>
  <c r="G1334" i="4"/>
  <c r="F1334" i="4"/>
  <c r="G1333" i="4"/>
  <c r="G1332" i="4"/>
  <c r="F1332" i="4"/>
  <c r="G1331" i="4"/>
  <c r="G1330" i="4"/>
  <c r="F1330" i="4"/>
  <c r="G1329" i="4"/>
  <c r="G1328" i="4"/>
  <c r="F1328" i="4"/>
  <c r="G1327" i="4"/>
  <c r="G1326" i="4"/>
  <c r="F1326" i="4"/>
  <c r="G1325" i="4"/>
  <c r="G1324" i="4"/>
  <c r="F1324" i="4"/>
  <c r="G1323" i="4"/>
  <c r="G1322" i="4"/>
  <c r="F1322" i="4"/>
  <c r="G1321" i="4"/>
  <c r="G1320" i="4"/>
  <c r="F1320" i="4"/>
  <c r="G1319" i="4"/>
  <c r="G1318" i="4"/>
  <c r="F1318" i="4"/>
  <c r="G1317" i="4"/>
  <c r="G1316" i="4"/>
  <c r="F1316" i="4"/>
  <c r="G1315" i="4"/>
  <c r="G1314" i="4"/>
  <c r="F1314" i="4"/>
  <c r="G1313" i="4"/>
  <c r="G1312" i="4"/>
  <c r="F1312" i="4"/>
  <c r="G1311" i="4"/>
  <c r="G1310" i="4"/>
  <c r="F1310" i="4"/>
  <c r="G1309" i="4"/>
  <c r="G1308" i="4"/>
  <c r="F1308" i="4"/>
  <c r="G1307" i="4"/>
  <c r="G1306" i="4"/>
  <c r="F1306" i="4"/>
  <c r="G1305" i="4"/>
  <c r="G1304" i="4"/>
  <c r="F1304" i="4"/>
  <c r="G1303" i="4"/>
  <c r="G1302" i="4"/>
  <c r="F1302" i="4"/>
  <c r="G1301" i="4"/>
  <c r="G1300" i="4"/>
  <c r="F1300" i="4"/>
  <c r="G1299" i="4"/>
  <c r="G1298" i="4"/>
  <c r="F1298" i="4"/>
  <c r="G1297" i="4"/>
  <c r="G1296" i="4"/>
  <c r="F1296" i="4"/>
  <c r="G1295" i="4"/>
  <c r="G1294" i="4"/>
  <c r="F1294" i="4"/>
  <c r="G1293" i="4"/>
  <c r="G1292" i="4"/>
  <c r="F1292" i="4"/>
  <c r="G1291" i="4"/>
  <c r="G1290" i="4"/>
  <c r="F1290" i="4"/>
  <c r="G1289" i="4"/>
  <c r="G1288" i="4"/>
  <c r="F1288" i="4"/>
  <c r="G1287" i="4"/>
  <c r="G1286" i="4"/>
  <c r="F1286" i="4"/>
  <c r="G1285" i="4"/>
  <c r="G1284" i="4"/>
  <c r="F1284" i="4"/>
  <c r="G1283" i="4"/>
  <c r="G1282" i="4"/>
  <c r="F1282" i="4"/>
  <c r="G1281" i="4"/>
  <c r="G1280" i="4"/>
  <c r="F1280" i="4"/>
  <c r="G1279" i="4"/>
  <c r="G1278" i="4"/>
  <c r="F1278" i="4"/>
  <c r="G1277" i="4"/>
  <c r="G1276" i="4"/>
  <c r="F1276" i="4"/>
  <c r="G1275" i="4"/>
  <c r="G1274" i="4"/>
  <c r="F1274" i="4"/>
  <c r="G1273" i="4"/>
  <c r="G1272" i="4"/>
  <c r="F1272" i="4"/>
  <c r="G1271" i="4"/>
  <c r="G1270" i="4"/>
  <c r="F1270" i="4"/>
  <c r="G1269" i="4"/>
  <c r="G1268" i="4"/>
  <c r="F1268" i="4"/>
  <c r="G1267" i="4"/>
  <c r="G1266" i="4"/>
  <c r="F1266" i="4"/>
  <c r="G1265" i="4"/>
  <c r="G1264" i="4"/>
  <c r="F1264" i="4"/>
  <c r="G1263" i="4"/>
  <c r="G1262" i="4"/>
  <c r="F1262" i="4"/>
  <c r="G1261" i="4"/>
  <c r="G1260" i="4"/>
  <c r="F1260" i="4"/>
  <c r="G1259" i="4"/>
  <c r="G1258" i="4"/>
  <c r="F1258" i="4"/>
  <c r="G1257" i="4"/>
  <c r="G1256" i="4"/>
  <c r="F1256" i="4"/>
  <c r="G1255" i="4"/>
  <c r="G1254" i="4"/>
  <c r="F1254" i="4"/>
  <c r="G1253" i="4"/>
  <c r="G1252" i="4"/>
  <c r="F1252" i="4"/>
  <c r="G1251" i="4"/>
  <c r="G1250" i="4"/>
  <c r="F1250" i="4"/>
  <c r="G1249" i="4"/>
  <c r="G1248" i="4"/>
  <c r="F1248" i="4"/>
  <c r="G1247" i="4"/>
  <c r="G1246" i="4"/>
  <c r="F1246" i="4"/>
  <c r="G1245" i="4"/>
  <c r="G1244" i="4"/>
  <c r="F1244" i="4"/>
  <c r="G1243" i="4"/>
  <c r="G1242" i="4"/>
  <c r="F1242" i="4"/>
  <c r="G1241" i="4"/>
  <c r="G1240" i="4"/>
  <c r="F1240" i="4"/>
  <c r="G1239" i="4"/>
  <c r="G1238" i="4"/>
  <c r="F1238" i="4"/>
  <c r="G1237" i="4"/>
  <c r="G1236" i="4"/>
  <c r="F1236" i="4"/>
  <c r="G1235" i="4"/>
  <c r="G1234" i="4"/>
  <c r="F1234" i="4"/>
  <c r="G1233" i="4"/>
  <c r="G1232" i="4"/>
  <c r="F1232" i="4"/>
  <c r="G1231" i="4"/>
  <c r="G1230" i="4" l="1"/>
  <c r="F1230" i="4"/>
  <c r="G1229" i="4"/>
  <c r="G1228" i="4"/>
  <c r="F1228" i="4"/>
  <c r="G1227" i="4"/>
  <c r="G1226" i="4"/>
  <c r="F1226" i="4"/>
  <c r="G1225" i="4"/>
  <c r="G1224" i="4"/>
  <c r="F1224" i="4"/>
  <c r="G1223" i="4"/>
  <c r="G1222" i="4"/>
  <c r="F1222" i="4"/>
  <c r="G1221" i="4"/>
  <c r="G1220" i="4"/>
  <c r="F1220" i="4"/>
  <c r="G1219" i="4"/>
  <c r="G1218" i="4"/>
  <c r="F1218" i="4"/>
  <c r="G1217" i="4"/>
  <c r="G1216" i="4"/>
  <c r="F1216" i="4"/>
  <c r="G1215" i="4"/>
  <c r="G1214" i="4"/>
  <c r="F1214" i="4"/>
  <c r="G1213" i="4"/>
  <c r="G1212" i="4"/>
  <c r="F1212" i="4"/>
  <c r="G1211" i="4"/>
  <c r="G1210" i="4"/>
  <c r="F1210" i="4"/>
  <c r="G1209" i="4"/>
  <c r="G1208" i="4"/>
  <c r="F1208" i="4"/>
  <c r="G1207" i="4"/>
  <c r="G1206" i="4"/>
  <c r="F1206" i="4"/>
  <c r="G1205" i="4"/>
  <c r="G1204" i="4"/>
  <c r="F1204" i="4"/>
  <c r="G1203" i="4"/>
  <c r="G1202" i="4"/>
  <c r="F1202" i="4"/>
  <c r="G1201" i="4"/>
  <c r="G1200" i="4"/>
  <c r="F1200" i="4"/>
  <c r="G1199" i="4"/>
  <c r="G1198" i="4"/>
  <c r="F1198" i="4"/>
  <c r="G1197" i="4"/>
  <c r="G1196" i="4"/>
  <c r="F1196" i="4"/>
  <c r="G1195" i="4"/>
  <c r="G1194" i="4"/>
  <c r="F1194" i="4"/>
  <c r="G1193" i="4"/>
  <c r="G1192" i="4"/>
  <c r="F1192" i="4"/>
  <c r="G1191" i="4"/>
  <c r="G1190" i="4"/>
  <c r="F1190" i="4"/>
  <c r="G1189" i="4"/>
  <c r="G1188" i="4"/>
  <c r="F1188" i="4"/>
  <c r="G1187" i="4"/>
  <c r="G1186" i="4"/>
  <c r="F1186" i="4"/>
  <c r="G1185" i="4"/>
  <c r="G1184" i="4"/>
  <c r="F1184" i="4"/>
  <c r="G1183" i="4"/>
  <c r="G1182" i="4"/>
  <c r="F1182" i="4"/>
  <c r="G1181" i="4"/>
  <c r="G1180" i="4"/>
  <c r="F1180" i="4"/>
  <c r="G1179" i="4"/>
  <c r="G1178" i="4"/>
  <c r="F1178" i="4"/>
  <c r="G1177" i="4"/>
  <c r="G1176" i="4"/>
  <c r="F1176" i="4"/>
  <c r="G1175" i="4"/>
  <c r="G1174" i="4"/>
  <c r="F1174" i="4"/>
  <c r="G1173" i="4"/>
  <c r="G1172" i="4"/>
  <c r="F1172" i="4"/>
  <c r="G1171" i="4"/>
  <c r="G1170" i="4"/>
  <c r="F1170" i="4"/>
  <c r="G1169" i="4"/>
  <c r="G1168" i="4"/>
  <c r="F1168" i="4"/>
  <c r="G1167" i="4"/>
  <c r="G1166" i="4" l="1"/>
  <c r="F1166" i="4"/>
  <c r="G1165" i="4"/>
  <c r="G1164" i="4"/>
  <c r="F1164" i="4"/>
  <c r="G1163" i="4"/>
  <c r="G1162" i="4"/>
  <c r="F1162" i="4"/>
  <c r="G1161" i="4"/>
  <c r="G1160" i="4"/>
  <c r="F1160" i="4"/>
  <c r="G1159" i="4"/>
  <c r="G1158" i="4"/>
  <c r="F1158" i="4"/>
  <c r="G1157" i="4"/>
  <c r="G1156" i="4"/>
  <c r="F1156" i="4"/>
  <c r="G1155" i="4"/>
  <c r="G1154" i="4"/>
  <c r="F1154" i="4"/>
  <c r="G1153" i="4"/>
  <c r="G1152" i="4"/>
  <c r="F1152" i="4"/>
  <c r="G1151" i="4"/>
  <c r="G1150" i="4"/>
  <c r="F1150" i="4"/>
  <c r="G1149" i="4"/>
  <c r="G1148" i="4"/>
  <c r="F1148" i="4"/>
  <c r="G1147" i="4"/>
  <c r="G1146" i="4"/>
  <c r="F1146" i="4"/>
  <c r="G1145" i="4"/>
  <c r="G1144" i="4"/>
  <c r="F1144" i="4"/>
  <c r="G1143" i="4"/>
  <c r="G1142" i="4"/>
  <c r="F1142" i="4"/>
  <c r="G1141" i="4"/>
  <c r="G1140" i="4"/>
  <c r="F1140" i="4"/>
  <c r="G1139" i="4"/>
  <c r="G1138" i="4"/>
  <c r="F1138" i="4"/>
  <c r="G1137" i="4"/>
  <c r="G1136" i="4"/>
  <c r="F1136" i="4"/>
  <c r="G1135" i="4"/>
  <c r="G1134" i="4"/>
  <c r="F1134" i="4"/>
  <c r="G1133" i="4"/>
  <c r="G1132" i="4"/>
  <c r="F1132" i="4"/>
  <c r="G1131" i="4"/>
  <c r="G1130" i="4"/>
  <c r="F1130" i="4"/>
  <c r="G1129" i="4"/>
  <c r="G1128" i="4"/>
  <c r="F1128" i="4"/>
  <c r="G1127" i="4"/>
  <c r="G1119" i="4"/>
  <c r="F1120" i="4"/>
  <c r="G1120" i="4"/>
  <c r="G1121" i="4"/>
  <c r="F1122" i="4"/>
  <c r="G1122" i="4"/>
  <c r="G1123" i="4"/>
  <c r="F1124" i="4"/>
  <c r="G1124" i="4"/>
  <c r="G1125" i="4"/>
  <c r="F1126" i="4"/>
  <c r="G1126" i="4"/>
  <c r="G135" i="4"/>
  <c r="G134" i="4"/>
  <c r="F135" i="4"/>
  <c r="F6" i="4"/>
  <c r="G6" i="4"/>
  <c r="H6" i="4"/>
  <c r="I6" i="4"/>
  <c r="F8" i="4"/>
  <c r="G8" i="4"/>
  <c r="F10" i="4"/>
  <c r="G10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F15" i="4"/>
  <c r="F17" i="4"/>
  <c r="F19" i="4"/>
  <c r="F21" i="4"/>
  <c r="F23" i="4"/>
  <c r="F25" i="4"/>
  <c r="F27" i="4"/>
  <c r="F29" i="4"/>
  <c r="F31" i="4"/>
  <c r="F33" i="4"/>
  <c r="F35" i="4"/>
  <c r="F37" i="4"/>
  <c r="F39" i="4"/>
  <c r="F41" i="4"/>
  <c r="F43" i="4"/>
  <c r="F45" i="4"/>
  <c r="F47" i="4"/>
  <c r="F49" i="4"/>
  <c r="F51" i="4"/>
  <c r="F53" i="4"/>
  <c r="F55" i="4"/>
  <c r="F57" i="4"/>
  <c r="F59" i="4"/>
  <c r="F61" i="4"/>
  <c r="F63" i="4"/>
  <c r="F65" i="4"/>
  <c r="F67" i="4"/>
  <c r="F69" i="4"/>
  <c r="F71" i="4"/>
  <c r="F73" i="4"/>
  <c r="F75" i="4"/>
  <c r="F77" i="4"/>
  <c r="F79" i="4"/>
  <c r="F81" i="4"/>
  <c r="F83" i="4"/>
  <c r="F85" i="4"/>
  <c r="F87" i="4"/>
  <c r="F89" i="4"/>
  <c r="F91" i="4"/>
  <c r="F93" i="4"/>
  <c r="F95" i="4"/>
  <c r="F97" i="4"/>
  <c r="F99" i="4"/>
  <c r="F101" i="4"/>
  <c r="F103" i="4"/>
  <c r="F105" i="4"/>
  <c r="F107" i="4"/>
  <c r="F109" i="4"/>
  <c r="F111" i="4"/>
  <c r="F113" i="4"/>
  <c r="F115" i="4"/>
  <c r="F117" i="4"/>
  <c r="F119" i="4"/>
  <c r="F121" i="4"/>
  <c r="F123" i="4"/>
  <c r="F125" i="4"/>
  <c r="F127" i="4"/>
  <c r="F129" i="4"/>
  <c r="F131" i="4"/>
  <c r="G1118" i="4"/>
  <c r="F1118" i="4"/>
  <c r="G1117" i="4"/>
  <c r="G1116" i="4"/>
  <c r="F1116" i="4"/>
  <c r="G1115" i="4"/>
  <c r="G1114" i="4"/>
  <c r="F1114" i="4"/>
  <c r="G1113" i="4"/>
  <c r="G1112" i="4"/>
  <c r="F1112" i="4"/>
  <c r="G1111" i="4"/>
  <c r="G1110" i="4"/>
  <c r="F1110" i="4"/>
  <c r="G1109" i="4"/>
  <c r="G1108" i="4"/>
  <c r="F1108" i="4"/>
  <c r="G1107" i="4"/>
  <c r="G1106" i="4"/>
  <c r="F1106" i="4"/>
  <c r="G1105" i="4"/>
  <c r="G1104" i="4"/>
  <c r="F1104" i="4"/>
  <c r="G1103" i="4"/>
  <c r="G1102" i="4"/>
  <c r="F1102" i="4"/>
  <c r="G1101" i="4"/>
  <c r="G1100" i="4"/>
  <c r="F1100" i="4"/>
  <c r="G1099" i="4"/>
  <c r="G1098" i="4"/>
  <c r="F1098" i="4"/>
  <c r="G1097" i="4"/>
  <c r="G1096" i="4"/>
  <c r="F1096" i="4"/>
  <c r="G1095" i="4"/>
  <c r="G1094" i="4"/>
  <c r="F1094" i="4"/>
  <c r="G1093" i="4"/>
  <c r="G1092" i="4"/>
  <c r="F1092" i="4"/>
  <c r="G1091" i="4"/>
  <c r="G1090" i="4"/>
  <c r="F1090" i="4"/>
  <c r="G1089" i="4"/>
  <c r="G1088" i="4"/>
  <c r="F1088" i="4"/>
  <c r="G1087" i="4"/>
  <c r="G1086" i="4"/>
  <c r="F1086" i="4"/>
  <c r="G1085" i="4"/>
  <c r="G1084" i="4"/>
  <c r="F1084" i="4"/>
  <c r="G1083" i="4"/>
  <c r="G1082" i="4"/>
  <c r="F1082" i="4"/>
  <c r="G1081" i="4"/>
  <c r="G1080" i="4"/>
  <c r="F1080" i="4"/>
  <c r="G1079" i="4"/>
  <c r="G1078" i="4"/>
  <c r="F1078" i="4"/>
  <c r="G1077" i="4"/>
  <c r="G1076" i="4"/>
  <c r="F1076" i="4"/>
  <c r="G1075" i="4"/>
  <c r="G1074" i="4"/>
  <c r="F1074" i="4"/>
  <c r="G1073" i="4"/>
  <c r="G1072" i="4"/>
  <c r="F1072" i="4"/>
  <c r="G1071" i="4"/>
  <c r="G1070" i="4"/>
  <c r="F1070" i="4"/>
  <c r="G1069" i="4"/>
  <c r="G1068" i="4"/>
  <c r="F1068" i="4"/>
  <c r="G1067" i="4"/>
  <c r="G1066" i="4"/>
  <c r="F1066" i="4"/>
  <c r="G1065" i="4"/>
  <c r="G1064" i="4"/>
  <c r="F1064" i="4"/>
  <c r="G1063" i="4"/>
  <c r="G1062" i="4"/>
  <c r="F1062" i="4"/>
  <c r="G1061" i="4"/>
  <c r="G1060" i="4"/>
  <c r="F1060" i="4"/>
  <c r="G1059" i="4"/>
  <c r="G1058" i="4"/>
  <c r="F1058" i="4"/>
  <c r="G1057" i="4"/>
  <c r="G1056" i="4"/>
  <c r="F1056" i="4"/>
  <c r="G1055" i="4"/>
  <c r="N23" i="48" l="1"/>
  <c r="M22" i="48"/>
  <c r="D24" i="48"/>
  <c r="E24" i="48"/>
  <c r="F24" i="48"/>
  <c r="G24" i="48"/>
  <c r="G23" i="48"/>
  <c r="O23" i="48"/>
  <c r="M23" i="48"/>
  <c r="P23" i="48"/>
  <c r="F23" i="48"/>
  <c r="E23" i="48"/>
  <c r="D23" i="48"/>
  <c r="N22" i="48"/>
  <c r="P22" i="48"/>
  <c r="E22" i="48"/>
  <c r="O22" i="48"/>
  <c r="D22" i="48"/>
  <c r="F22" i="48"/>
  <c r="G22" i="48"/>
  <c r="E21" i="48"/>
  <c r="M21" i="48"/>
  <c r="G21" i="48"/>
  <c r="F21" i="48"/>
  <c r="N21" i="48"/>
  <c r="D21" i="48"/>
  <c r="P21" i="48"/>
  <c r="O21" i="48"/>
  <c r="E20" i="48"/>
  <c r="F20" i="48"/>
  <c r="M20" i="48"/>
  <c r="N20" i="48"/>
  <c r="O20" i="48"/>
  <c r="P20" i="48"/>
  <c r="D20" i="48"/>
  <c r="G20" i="48"/>
  <c r="M19" i="48"/>
  <c r="O19" i="48"/>
  <c r="P19" i="48"/>
  <c r="D19" i="48"/>
  <c r="E19" i="48"/>
  <c r="F19" i="48"/>
  <c r="G19" i="48"/>
  <c r="N19" i="48"/>
  <c r="M18" i="48"/>
  <c r="G18" i="48"/>
  <c r="N18" i="48"/>
  <c r="O18" i="48"/>
  <c r="P18" i="48"/>
  <c r="D18" i="48"/>
  <c r="E18" i="48"/>
  <c r="F18" i="48"/>
  <c r="G1054" i="4"/>
  <c r="F1054" i="4"/>
  <c r="G1053" i="4"/>
  <c r="G1052" i="4"/>
  <c r="F1052" i="4"/>
  <c r="G1051" i="4"/>
  <c r="G1050" i="4"/>
  <c r="F1050" i="4"/>
  <c r="G1049" i="4"/>
  <c r="G1048" i="4"/>
  <c r="F1048" i="4"/>
  <c r="G1047" i="4"/>
  <c r="G1046" i="4"/>
  <c r="F1046" i="4"/>
  <c r="G1045" i="4"/>
  <c r="G1044" i="4"/>
  <c r="F1044" i="4"/>
  <c r="G1043" i="4"/>
  <c r="G1042" i="4"/>
  <c r="F1042" i="4"/>
  <c r="G1041" i="4"/>
  <c r="G1040" i="4"/>
  <c r="F1040" i="4"/>
  <c r="G1039" i="4"/>
  <c r="G1038" i="4"/>
  <c r="F1038" i="4"/>
  <c r="G1037" i="4"/>
  <c r="G1036" i="4"/>
  <c r="F1036" i="4"/>
  <c r="G1035" i="4"/>
  <c r="G1034" i="4"/>
  <c r="F1034" i="4"/>
  <c r="G1033" i="4"/>
  <c r="G1032" i="4"/>
  <c r="F1032" i="4"/>
  <c r="G1031" i="4"/>
  <c r="G1030" i="4"/>
  <c r="F1030" i="4"/>
  <c r="G1029" i="4"/>
  <c r="G1028" i="4"/>
  <c r="F1028" i="4"/>
  <c r="G1027" i="4"/>
  <c r="G1026" i="4"/>
  <c r="F1026" i="4"/>
  <c r="G1025" i="4"/>
  <c r="G1024" i="4"/>
  <c r="F1024" i="4"/>
  <c r="G1023" i="4"/>
  <c r="G1022" i="4"/>
  <c r="F1022" i="4"/>
  <c r="G1021" i="4"/>
  <c r="G1020" i="4"/>
  <c r="F1020" i="4"/>
  <c r="G1019" i="4"/>
  <c r="G1018" i="4"/>
  <c r="F1018" i="4"/>
  <c r="G1017" i="4"/>
  <c r="G1016" i="4"/>
  <c r="F1016" i="4"/>
  <c r="G1015" i="4"/>
  <c r="G1014" i="4"/>
  <c r="F1014" i="4"/>
  <c r="G1013" i="4"/>
  <c r="G1012" i="4"/>
  <c r="F1012" i="4"/>
  <c r="G1011" i="4"/>
  <c r="G1010" i="4"/>
  <c r="F1010" i="4"/>
  <c r="G1009" i="4"/>
  <c r="G1008" i="4"/>
  <c r="F1008" i="4"/>
  <c r="G1007" i="4"/>
  <c r="G1006" i="4"/>
  <c r="F1006" i="4"/>
  <c r="G1005" i="4"/>
  <c r="G1004" i="4"/>
  <c r="F1004" i="4"/>
  <c r="G1003" i="4"/>
  <c r="G1002" i="4"/>
  <c r="F1002" i="4"/>
  <c r="G1001" i="4"/>
  <c r="G1000" i="4"/>
  <c r="F1000" i="4"/>
  <c r="G999" i="4"/>
  <c r="G998" i="4"/>
  <c r="F998" i="4"/>
  <c r="G997" i="4"/>
  <c r="G996" i="4"/>
  <c r="F996" i="4"/>
  <c r="G995" i="4"/>
  <c r="G994" i="4"/>
  <c r="F994" i="4"/>
  <c r="G993" i="4"/>
  <c r="G992" i="4"/>
  <c r="F992" i="4"/>
  <c r="G991" i="4"/>
  <c r="G990" i="4"/>
  <c r="F990" i="4"/>
  <c r="G989" i="4"/>
  <c r="G988" i="4"/>
  <c r="F988" i="4"/>
  <c r="G987" i="4"/>
  <c r="G986" i="4"/>
  <c r="F986" i="4"/>
  <c r="G985" i="4"/>
  <c r="G984" i="4"/>
  <c r="F984" i="4"/>
  <c r="G983" i="4"/>
  <c r="G982" i="4"/>
  <c r="F982" i="4"/>
  <c r="G981" i="4"/>
  <c r="G980" i="4"/>
  <c r="F980" i="4"/>
  <c r="G979" i="4"/>
  <c r="G978" i="4"/>
  <c r="F978" i="4"/>
  <c r="G977" i="4"/>
  <c r="G976" i="4"/>
  <c r="F976" i="4"/>
  <c r="G975" i="4"/>
  <c r="G974" i="4"/>
  <c r="F974" i="4"/>
  <c r="G973" i="4"/>
  <c r="G972" i="4"/>
  <c r="F972" i="4"/>
  <c r="G971" i="4"/>
  <c r="G970" i="4"/>
  <c r="F970" i="4"/>
  <c r="G969" i="4"/>
  <c r="G968" i="4"/>
  <c r="F968" i="4"/>
  <c r="G967" i="4"/>
  <c r="G966" i="4"/>
  <c r="F966" i="4"/>
  <c r="G965" i="4"/>
  <c r="G964" i="4"/>
  <c r="F964" i="4"/>
  <c r="G963" i="4"/>
  <c r="G962" i="4"/>
  <c r="F962" i="4"/>
  <c r="G961" i="4"/>
  <c r="G960" i="4"/>
  <c r="F960" i="4"/>
  <c r="G959" i="4"/>
  <c r="G958" i="4"/>
  <c r="F958" i="4"/>
  <c r="G957" i="4"/>
  <c r="G956" i="4"/>
  <c r="F956" i="4"/>
  <c r="G955" i="4"/>
  <c r="G954" i="4"/>
  <c r="F954" i="4"/>
  <c r="G953" i="4"/>
  <c r="G952" i="4"/>
  <c r="F952" i="4"/>
  <c r="G951" i="4"/>
  <c r="G950" i="4"/>
  <c r="F950" i="4"/>
  <c r="G949" i="4"/>
  <c r="G948" i="4"/>
  <c r="F948" i="4"/>
  <c r="G947" i="4"/>
  <c r="G946" i="4"/>
  <c r="F946" i="4"/>
  <c r="G945" i="4"/>
  <c r="G944" i="4"/>
  <c r="F944" i="4"/>
  <c r="G943" i="4"/>
  <c r="G942" i="4"/>
  <c r="F942" i="4"/>
  <c r="G941" i="4"/>
  <c r="G940" i="4"/>
  <c r="F940" i="4"/>
  <c r="G939" i="4"/>
  <c r="G938" i="4"/>
  <c r="F938" i="4"/>
  <c r="G937" i="4"/>
  <c r="G936" i="4"/>
  <c r="F936" i="4"/>
  <c r="G935" i="4"/>
  <c r="G934" i="4"/>
  <c r="F934" i="4"/>
  <c r="G933" i="4"/>
  <c r="G932" i="4"/>
  <c r="F932" i="4"/>
  <c r="G931" i="4"/>
  <c r="G930" i="4"/>
  <c r="F930" i="4"/>
  <c r="G929" i="4"/>
  <c r="G928" i="4"/>
  <c r="F928" i="4"/>
  <c r="G927" i="4"/>
  <c r="G926" i="4"/>
  <c r="F926" i="4"/>
  <c r="G925" i="4"/>
  <c r="G924" i="4"/>
  <c r="F924" i="4"/>
  <c r="G923" i="4"/>
  <c r="G922" i="4"/>
  <c r="F922" i="4"/>
  <c r="G921" i="4"/>
  <c r="G920" i="4"/>
  <c r="F920" i="4"/>
  <c r="G919" i="4"/>
  <c r="G918" i="4"/>
  <c r="F918" i="4"/>
  <c r="G917" i="4"/>
  <c r="G916" i="4"/>
  <c r="F916" i="4"/>
  <c r="G915" i="4"/>
  <c r="G914" i="4"/>
  <c r="F914" i="4"/>
  <c r="G913" i="4"/>
  <c r="G912" i="4"/>
  <c r="F912" i="4"/>
  <c r="G911" i="4"/>
  <c r="G910" i="4"/>
  <c r="F910" i="4"/>
  <c r="G909" i="4"/>
  <c r="G908" i="4"/>
  <c r="F908" i="4"/>
  <c r="G907" i="4"/>
  <c r="G906" i="4"/>
  <c r="F906" i="4"/>
  <c r="G905" i="4"/>
  <c r="G904" i="4"/>
  <c r="F904" i="4"/>
  <c r="G903" i="4"/>
  <c r="G902" i="4"/>
  <c r="F902" i="4"/>
  <c r="G901" i="4"/>
  <c r="G900" i="4"/>
  <c r="F900" i="4"/>
  <c r="G899" i="4"/>
  <c r="G898" i="4"/>
  <c r="F898" i="4"/>
  <c r="G897" i="4"/>
  <c r="G896" i="4"/>
  <c r="F896" i="4"/>
  <c r="G895" i="4"/>
  <c r="G894" i="4"/>
  <c r="F894" i="4"/>
  <c r="G893" i="4"/>
  <c r="G892" i="4"/>
  <c r="F892" i="4"/>
  <c r="G891" i="4"/>
  <c r="G890" i="4"/>
  <c r="F890" i="4"/>
  <c r="G889" i="4"/>
  <c r="G888" i="4"/>
  <c r="F888" i="4"/>
  <c r="G887" i="4"/>
  <c r="G886" i="4"/>
  <c r="F886" i="4"/>
  <c r="G885" i="4"/>
  <c r="G884" i="4"/>
  <c r="F884" i="4"/>
  <c r="G883" i="4"/>
  <c r="G882" i="4"/>
  <c r="F882" i="4"/>
  <c r="G881" i="4"/>
  <c r="G880" i="4"/>
  <c r="F880" i="4"/>
  <c r="G879" i="4"/>
  <c r="G878" i="4"/>
  <c r="F878" i="4"/>
  <c r="G877" i="4"/>
  <c r="G876" i="4"/>
  <c r="F876" i="4"/>
  <c r="G875" i="4"/>
  <c r="G874" i="4"/>
  <c r="F874" i="4"/>
  <c r="G873" i="4"/>
  <c r="G872" i="4"/>
  <c r="F872" i="4"/>
  <c r="G871" i="4"/>
  <c r="G870" i="4"/>
  <c r="F870" i="4"/>
  <c r="G869" i="4"/>
  <c r="G868" i="4"/>
  <c r="F868" i="4"/>
  <c r="G867" i="4"/>
  <c r="G866" i="4"/>
  <c r="F866" i="4"/>
  <c r="G865" i="4"/>
  <c r="G864" i="4"/>
  <c r="F864" i="4"/>
  <c r="G863" i="4"/>
  <c r="G862" i="4"/>
  <c r="F862" i="4"/>
  <c r="G861" i="4"/>
  <c r="G860" i="4"/>
  <c r="F860" i="4"/>
  <c r="G859" i="4"/>
  <c r="G858" i="4"/>
  <c r="F858" i="4"/>
  <c r="G857" i="4"/>
  <c r="G856" i="4"/>
  <c r="F856" i="4"/>
  <c r="G855" i="4"/>
  <c r="G854" i="4"/>
  <c r="F854" i="4"/>
  <c r="G853" i="4"/>
  <c r="G852" i="4"/>
  <c r="F852" i="4"/>
  <c r="G851" i="4"/>
  <c r="G850" i="4"/>
  <c r="F850" i="4"/>
  <c r="G849" i="4"/>
  <c r="G848" i="4"/>
  <c r="F848" i="4"/>
  <c r="G847" i="4"/>
  <c r="G846" i="4"/>
  <c r="F846" i="4"/>
  <c r="G845" i="4"/>
  <c r="G844" i="4"/>
  <c r="F844" i="4"/>
  <c r="G843" i="4"/>
  <c r="G842" i="4"/>
  <c r="F842" i="4"/>
  <c r="G841" i="4"/>
  <c r="G840" i="4"/>
  <c r="F840" i="4"/>
  <c r="G839" i="4"/>
  <c r="G838" i="4"/>
  <c r="F838" i="4"/>
  <c r="G837" i="4"/>
  <c r="G836" i="4"/>
  <c r="F836" i="4"/>
  <c r="G835" i="4"/>
  <c r="G834" i="4"/>
  <c r="F834" i="4"/>
  <c r="G833" i="4"/>
  <c r="G832" i="4"/>
  <c r="F832" i="4"/>
  <c r="G831" i="4"/>
  <c r="G830" i="4"/>
  <c r="F830" i="4"/>
  <c r="G829" i="4"/>
  <c r="G828" i="4"/>
  <c r="F828" i="4"/>
  <c r="G827" i="4"/>
  <c r="G826" i="4"/>
  <c r="F826" i="4"/>
  <c r="G825" i="4"/>
  <c r="G824" i="4"/>
  <c r="F824" i="4"/>
  <c r="G823" i="4"/>
  <c r="G822" i="4"/>
  <c r="F822" i="4"/>
  <c r="G821" i="4"/>
  <c r="G820" i="4"/>
  <c r="F820" i="4"/>
  <c r="G819" i="4"/>
  <c r="G818" i="4"/>
  <c r="F818" i="4"/>
  <c r="G817" i="4"/>
  <c r="G816" i="4"/>
  <c r="F816" i="4"/>
  <c r="G815" i="4"/>
  <c r="G814" i="4"/>
  <c r="F814" i="4"/>
  <c r="G813" i="4"/>
  <c r="G812" i="4"/>
  <c r="F812" i="4"/>
  <c r="G811" i="4"/>
  <c r="G810" i="4"/>
  <c r="F810" i="4"/>
  <c r="G809" i="4"/>
  <c r="G808" i="4"/>
  <c r="F808" i="4"/>
  <c r="G807" i="4"/>
  <c r="G806" i="4"/>
  <c r="F806" i="4"/>
  <c r="G805" i="4"/>
  <c r="G804" i="4"/>
  <c r="F804" i="4"/>
  <c r="G803" i="4"/>
  <c r="G802" i="4"/>
  <c r="F802" i="4"/>
  <c r="G801" i="4"/>
  <c r="G800" i="4"/>
  <c r="F800" i="4"/>
  <c r="G799" i="4"/>
  <c r="G798" i="4"/>
  <c r="F798" i="4"/>
  <c r="G797" i="4"/>
  <c r="G796" i="4"/>
  <c r="F796" i="4"/>
  <c r="G795" i="4"/>
  <c r="G794" i="4"/>
  <c r="F794" i="4"/>
  <c r="G793" i="4"/>
  <c r="G792" i="4"/>
  <c r="F792" i="4"/>
  <c r="G791" i="4"/>
  <c r="G790" i="4"/>
  <c r="F790" i="4"/>
  <c r="G789" i="4"/>
  <c r="G788" i="4"/>
  <c r="F788" i="4"/>
  <c r="G787" i="4"/>
  <c r="G786" i="4"/>
  <c r="F786" i="4"/>
  <c r="G785" i="4"/>
  <c r="G784" i="4"/>
  <c r="F784" i="4"/>
  <c r="G783" i="4"/>
  <c r="G782" i="4"/>
  <c r="F782" i="4"/>
  <c r="G781" i="4"/>
  <c r="G780" i="4"/>
  <c r="F780" i="4"/>
  <c r="G779" i="4"/>
  <c r="G778" i="4"/>
  <c r="F778" i="4"/>
  <c r="G777" i="4"/>
  <c r="G776" i="4"/>
  <c r="F776" i="4"/>
  <c r="G775" i="4"/>
  <c r="G774" i="4"/>
  <c r="F774" i="4"/>
  <c r="G773" i="4"/>
  <c r="G772" i="4"/>
  <c r="F772" i="4"/>
  <c r="G771" i="4"/>
  <c r="G770" i="4"/>
  <c r="F770" i="4"/>
  <c r="G769" i="4"/>
  <c r="G768" i="4"/>
  <c r="F768" i="4"/>
  <c r="G767" i="4"/>
  <c r="G766" i="4"/>
  <c r="F766" i="4"/>
  <c r="G765" i="4"/>
  <c r="G764" i="4"/>
  <c r="F764" i="4"/>
  <c r="G763" i="4"/>
  <c r="G762" i="4"/>
  <c r="F762" i="4"/>
  <c r="G761" i="4"/>
  <c r="G760" i="4"/>
  <c r="F760" i="4"/>
  <c r="G759" i="4"/>
  <c r="G758" i="4"/>
  <c r="F758" i="4"/>
  <c r="G757" i="4"/>
  <c r="G756" i="4"/>
  <c r="F756" i="4"/>
  <c r="G755" i="4"/>
  <c r="G754" i="4"/>
  <c r="F754" i="4"/>
  <c r="G753" i="4"/>
  <c r="G752" i="4"/>
  <c r="F752" i="4"/>
  <c r="G751" i="4"/>
  <c r="G750" i="4"/>
  <c r="F750" i="4"/>
  <c r="G749" i="4"/>
  <c r="G748" i="4"/>
  <c r="F748" i="4"/>
  <c r="G747" i="4"/>
  <c r="G746" i="4"/>
  <c r="F746" i="4"/>
  <c r="G745" i="4"/>
  <c r="G744" i="4"/>
  <c r="F744" i="4"/>
  <c r="G743" i="4"/>
  <c r="G742" i="4"/>
  <c r="F742" i="4"/>
  <c r="G741" i="4"/>
  <c r="G740" i="4"/>
  <c r="F740" i="4"/>
  <c r="G739" i="4"/>
  <c r="G738" i="4"/>
  <c r="F738" i="4"/>
  <c r="G737" i="4"/>
  <c r="G736" i="4"/>
  <c r="F736" i="4"/>
  <c r="G735" i="4"/>
  <c r="G734" i="4"/>
  <c r="F734" i="4"/>
  <c r="G733" i="4"/>
  <c r="G732" i="4"/>
  <c r="F732" i="4"/>
  <c r="G731" i="4"/>
  <c r="G730" i="4"/>
  <c r="F730" i="4"/>
  <c r="G729" i="4"/>
  <c r="G728" i="4"/>
  <c r="F728" i="4"/>
  <c r="G727" i="4"/>
  <c r="G726" i="4"/>
  <c r="F726" i="4"/>
  <c r="G725" i="4"/>
  <c r="G724" i="4"/>
  <c r="F724" i="4"/>
  <c r="G723" i="4"/>
  <c r="G722" i="4"/>
  <c r="F722" i="4"/>
  <c r="G721" i="4"/>
  <c r="G720" i="4"/>
  <c r="F720" i="4"/>
  <c r="G719" i="4"/>
  <c r="G718" i="4"/>
  <c r="F718" i="4"/>
  <c r="G717" i="4"/>
  <c r="G716" i="4"/>
  <c r="F716" i="4"/>
  <c r="G715" i="4"/>
  <c r="G714" i="4"/>
  <c r="F714" i="4"/>
  <c r="G713" i="4"/>
  <c r="G712" i="4"/>
  <c r="F712" i="4"/>
  <c r="G711" i="4"/>
  <c r="G710" i="4"/>
  <c r="F710" i="4"/>
  <c r="G709" i="4"/>
  <c r="G708" i="4"/>
  <c r="F708" i="4"/>
  <c r="G707" i="4"/>
  <c r="G706" i="4"/>
  <c r="F706" i="4"/>
  <c r="G705" i="4"/>
  <c r="G704" i="4"/>
  <c r="F704" i="4"/>
  <c r="G703" i="4"/>
  <c r="G702" i="4"/>
  <c r="F702" i="4"/>
  <c r="G701" i="4"/>
  <c r="G700" i="4"/>
  <c r="F700" i="4"/>
  <c r="G699" i="4"/>
  <c r="G698" i="4"/>
  <c r="F698" i="4"/>
  <c r="G697" i="4"/>
  <c r="G696" i="4"/>
  <c r="F696" i="4"/>
  <c r="G695" i="4"/>
  <c r="G694" i="4"/>
  <c r="F694" i="4"/>
  <c r="G693" i="4"/>
  <c r="G692" i="4"/>
  <c r="F692" i="4"/>
  <c r="G691" i="4"/>
  <c r="G690" i="4"/>
  <c r="F690" i="4"/>
  <c r="G689" i="4"/>
  <c r="G688" i="4"/>
  <c r="F688" i="4"/>
  <c r="G687" i="4"/>
  <c r="G686" i="4"/>
  <c r="F686" i="4"/>
  <c r="G685" i="4"/>
  <c r="G684" i="4"/>
  <c r="F684" i="4"/>
  <c r="G683" i="4"/>
  <c r="G682" i="4"/>
  <c r="F682" i="4"/>
  <c r="G681" i="4"/>
  <c r="G680" i="4"/>
  <c r="F680" i="4"/>
  <c r="G679" i="4"/>
  <c r="G678" i="4"/>
  <c r="F678" i="4"/>
  <c r="G677" i="4"/>
  <c r="G676" i="4"/>
  <c r="F676" i="4"/>
  <c r="G675" i="4"/>
  <c r="G674" i="4"/>
  <c r="F674" i="4"/>
  <c r="G673" i="4"/>
  <c r="G672" i="4"/>
  <c r="F672" i="4"/>
  <c r="G671" i="4"/>
  <c r="G670" i="4"/>
  <c r="F670" i="4"/>
  <c r="G669" i="4"/>
  <c r="G668" i="4"/>
  <c r="F668" i="4"/>
  <c r="G667" i="4"/>
  <c r="G666" i="4"/>
  <c r="F666" i="4"/>
  <c r="G665" i="4"/>
  <c r="G664" i="4"/>
  <c r="F664" i="4"/>
  <c r="G663" i="4"/>
  <c r="G662" i="4"/>
  <c r="F662" i="4"/>
  <c r="G661" i="4"/>
  <c r="G660" i="4"/>
  <c r="F660" i="4"/>
  <c r="G659" i="4"/>
  <c r="G658" i="4"/>
  <c r="F658" i="4"/>
  <c r="G657" i="4"/>
  <c r="G656" i="4"/>
  <c r="F656" i="4"/>
  <c r="G655" i="4"/>
  <c r="G654" i="4"/>
  <c r="F654" i="4"/>
  <c r="G653" i="4"/>
  <c r="G652" i="4"/>
  <c r="F652" i="4"/>
  <c r="G651" i="4"/>
  <c r="G650" i="4"/>
  <c r="F650" i="4"/>
  <c r="G649" i="4"/>
  <c r="G648" i="4"/>
  <c r="F648" i="4"/>
  <c r="G647" i="4"/>
  <c r="G646" i="4"/>
  <c r="F646" i="4"/>
  <c r="G645" i="4"/>
  <c r="G644" i="4"/>
  <c r="F644" i="4"/>
  <c r="G643" i="4"/>
  <c r="G642" i="4"/>
  <c r="F642" i="4"/>
  <c r="G641" i="4"/>
  <c r="G640" i="4"/>
  <c r="F640" i="4"/>
  <c r="G639" i="4"/>
  <c r="G638" i="4"/>
  <c r="F638" i="4"/>
  <c r="G637" i="4"/>
  <c r="G636" i="4"/>
  <c r="F636" i="4"/>
  <c r="G635" i="4"/>
  <c r="G634" i="4"/>
  <c r="F634" i="4"/>
  <c r="G633" i="4"/>
  <c r="G632" i="4"/>
  <c r="F632" i="4"/>
  <c r="G631" i="4"/>
  <c r="G630" i="4"/>
  <c r="F630" i="4"/>
  <c r="G629" i="4"/>
  <c r="G628" i="4"/>
  <c r="F628" i="4"/>
  <c r="G627" i="4"/>
  <c r="G626" i="4"/>
  <c r="F626" i="4"/>
  <c r="G625" i="4"/>
  <c r="G624" i="4"/>
  <c r="F624" i="4"/>
  <c r="G623" i="4"/>
  <c r="G622" i="4"/>
  <c r="F622" i="4"/>
  <c r="G621" i="4"/>
  <c r="G620" i="4"/>
  <c r="F620" i="4"/>
  <c r="G619" i="4"/>
  <c r="G618" i="4"/>
  <c r="F618" i="4"/>
  <c r="G617" i="4"/>
  <c r="G616" i="4"/>
  <c r="F616" i="4"/>
  <c r="G615" i="4"/>
  <c r="G614" i="4"/>
  <c r="F614" i="4"/>
  <c r="G613" i="4"/>
  <c r="G612" i="4"/>
  <c r="F612" i="4"/>
  <c r="G611" i="4"/>
  <c r="G610" i="4"/>
  <c r="F610" i="4"/>
  <c r="G609" i="4"/>
  <c r="G608" i="4"/>
  <c r="F608" i="4"/>
  <c r="G607" i="4"/>
  <c r="G606" i="4"/>
  <c r="F606" i="4"/>
  <c r="G605" i="4"/>
  <c r="G604" i="4"/>
  <c r="F604" i="4"/>
  <c r="G603" i="4"/>
  <c r="G602" i="4"/>
  <c r="F602" i="4"/>
  <c r="G601" i="4"/>
  <c r="G600" i="4"/>
  <c r="F600" i="4"/>
  <c r="G599" i="4"/>
  <c r="G598" i="4"/>
  <c r="F598" i="4"/>
  <c r="G597" i="4"/>
  <c r="G596" i="4"/>
  <c r="F596" i="4"/>
  <c r="G595" i="4"/>
  <c r="G594" i="4"/>
  <c r="F594" i="4"/>
  <c r="G593" i="4"/>
  <c r="G592" i="4"/>
  <c r="F592" i="4"/>
  <c r="G591" i="4"/>
  <c r="G590" i="4"/>
  <c r="F590" i="4"/>
  <c r="G589" i="4"/>
  <c r="G588" i="4"/>
  <c r="F588" i="4"/>
  <c r="G587" i="4"/>
  <c r="G586" i="4"/>
  <c r="F586" i="4"/>
  <c r="G585" i="4"/>
  <c r="G584" i="4"/>
  <c r="F584" i="4"/>
  <c r="G583" i="4"/>
  <c r="G582" i="4"/>
  <c r="F582" i="4"/>
  <c r="G581" i="4"/>
  <c r="G580" i="4"/>
  <c r="F580" i="4"/>
  <c r="G579" i="4"/>
  <c r="G578" i="4"/>
  <c r="F578" i="4"/>
  <c r="G577" i="4"/>
  <c r="G576" i="4"/>
  <c r="F576" i="4"/>
  <c r="G575" i="4"/>
  <c r="G574" i="4"/>
  <c r="F574" i="4"/>
  <c r="G573" i="4"/>
  <c r="G572" i="4"/>
  <c r="F572" i="4"/>
  <c r="G571" i="4"/>
  <c r="G570" i="4"/>
  <c r="F570" i="4"/>
  <c r="G569" i="4"/>
  <c r="G568" i="4"/>
  <c r="F568" i="4"/>
  <c r="G567" i="4"/>
  <c r="G566" i="4"/>
  <c r="F566" i="4"/>
  <c r="G565" i="4"/>
  <c r="G564" i="4"/>
  <c r="F564" i="4"/>
  <c r="G563" i="4"/>
  <c r="G562" i="4"/>
  <c r="F562" i="4"/>
  <c r="G561" i="4"/>
  <c r="G560" i="4"/>
  <c r="F560" i="4"/>
  <c r="G559" i="4"/>
  <c r="G558" i="4"/>
  <c r="F558" i="4"/>
  <c r="G557" i="4"/>
  <c r="G556" i="4"/>
  <c r="F556" i="4"/>
  <c r="G555" i="4"/>
  <c r="G554" i="4"/>
  <c r="F554" i="4"/>
  <c r="G553" i="4"/>
  <c r="G552" i="4"/>
  <c r="F552" i="4"/>
  <c r="G551" i="4"/>
  <c r="G550" i="4"/>
  <c r="F550" i="4"/>
  <c r="G549" i="4"/>
  <c r="G548" i="4"/>
  <c r="F548" i="4"/>
  <c r="G547" i="4"/>
  <c r="G546" i="4"/>
  <c r="F546" i="4"/>
  <c r="G545" i="4"/>
  <c r="G544" i="4"/>
  <c r="F544" i="4"/>
  <c r="G543" i="4"/>
  <c r="G542" i="4"/>
  <c r="F542" i="4"/>
  <c r="G541" i="4"/>
  <c r="G540" i="4"/>
  <c r="F540" i="4"/>
  <c r="G539" i="4"/>
  <c r="G538" i="4"/>
  <c r="F538" i="4"/>
  <c r="G537" i="4"/>
  <c r="G536" i="4"/>
  <c r="F536" i="4"/>
  <c r="G535" i="4"/>
  <c r="G534" i="4"/>
  <c r="F534" i="4"/>
  <c r="G533" i="4"/>
  <c r="G532" i="4"/>
  <c r="F532" i="4"/>
  <c r="G531" i="4"/>
  <c r="G530" i="4"/>
  <c r="F530" i="4"/>
  <c r="G529" i="4"/>
  <c r="G528" i="4"/>
  <c r="F528" i="4"/>
  <c r="G527" i="4"/>
  <c r="G526" i="4"/>
  <c r="F526" i="4"/>
  <c r="G525" i="4"/>
  <c r="G524" i="4"/>
  <c r="F524" i="4"/>
  <c r="G523" i="4"/>
  <c r="G522" i="4"/>
  <c r="F522" i="4"/>
  <c r="G521" i="4"/>
  <c r="G520" i="4"/>
  <c r="F520" i="4"/>
  <c r="G519" i="4"/>
  <c r="G518" i="4"/>
  <c r="F518" i="4"/>
  <c r="G517" i="4"/>
  <c r="G516" i="4"/>
  <c r="F516" i="4"/>
  <c r="G515" i="4"/>
  <c r="G514" i="4"/>
  <c r="F514" i="4"/>
  <c r="G513" i="4"/>
  <c r="G512" i="4"/>
  <c r="F512" i="4"/>
  <c r="G511" i="4"/>
  <c r="G510" i="4"/>
  <c r="F510" i="4"/>
  <c r="G509" i="4"/>
  <c r="G508" i="4"/>
  <c r="F508" i="4"/>
  <c r="G507" i="4"/>
  <c r="G506" i="4"/>
  <c r="F506" i="4"/>
  <c r="G505" i="4"/>
  <c r="G504" i="4"/>
  <c r="F504" i="4"/>
  <c r="G503" i="4"/>
  <c r="G502" i="4"/>
  <c r="F502" i="4"/>
  <c r="G501" i="4"/>
  <c r="G500" i="4"/>
  <c r="F500" i="4"/>
  <c r="G499" i="4"/>
  <c r="G498" i="4"/>
  <c r="F498" i="4"/>
  <c r="G497" i="4"/>
  <c r="G496" i="4"/>
  <c r="F496" i="4"/>
  <c r="G495" i="4"/>
  <c r="G494" i="4"/>
  <c r="F494" i="4"/>
  <c r="G493" i="4"/>
  <c r="G492" i="4"/>
  <c r="F492" i="4"/>
  <c r="G491" i="4"/>
  <c r="G490" i="4"/>
  <c r="F490" i="4"/>
  <c r="G489" i="4"/>
  <c r="G488" i="4"/>
  <c r="F488" i="4"/>
  <c r="G487" i="4"/>
  <c r="G486" i="4"/>
  <c r="F486" i="4"/>
  <c r="G485" i="4"/>
  <c r="G484" i="4"/>
  <c r="F484" i="4"/>
  <c r="G483" i="4"/>
  <c r="G482" i="4"/>
  <c r="F482" i="4"/>
  <c r="G481" i="4"/>
  <c r="G480" i="4"/>
  <c r="F480" i="4"/>
  <c r="G479" i="4"/>
  <c r="G478" i="4"/>
  <c r="F478" i="4"/>
  <c r="G477" i="4"/>
  <c r="G476" i="4"/>
  <c r="F476" i="4"/>
  <c r="G475" i="4"/>
  <c r="G474" i="4"/>
  <c r="F474" i="4"/>
  <c r="G473" i="4"/>
  <c r="G472" i="4"/>
  <c r="F472" i="4"/>
  <c r="G471" i="4"/>
  <c r="G470" i="4"/>
  <c r="F470" i="4"/>
  <c r="G469" i="4"/>
  <c r="G468" i="4"/>
  <c r="F468" i="4"/>
  <c r="G467" i="4"/>
  <c r="G466" i="4"/>
  <c r="F466" i="4"/>
  <c r="G465" i="4"/>
  <c r="G464" i="4"/>
  <c r="F464" i="4"/>
  <c r="G463" i="4"/>
  <c r="G462" i="4"/>
  <c r="F462" i="4"/>
  <c r="G461" i="4"/>
  <c r="G460" i="4"/>
  <c r="F460" i="4"/>
  <c r="G459" i="4"/>
  <c r="G458" i="4"/>
  <c r="F458" i="4"/>
  <c r="G457" i="4"/>
  <c r="G456" i="4"/>
  <c r="F456" i="4"/>
  <c r="G455" i="4"/>
  <c r="G454" i="4"/>
  <c r="F454" i="4"/>
  <c r="G453" i="4"/>
  <c r="G452" i="4"/>
  <c r="F452" i="4"/>
  <c r="G451" i="4"/>
  <c r="G450" i="4"/>
  <c r="F450" i="4"/>
  <c r="G449" i="4"/>
  <c r="G448" i="4"/>
  <c r="F448" i="4"/>
  <c r="G447" i="4"/>
  <c r="G446" i="4"/>
  <c r="F446" i="4"/>
  <c r="G445" i="4"/>
  <c r="G444" i="4"/>
  <c r="F444" i="4"/>
  <c r="G443" i="4"/>
  <c r="G442" i="4"/>
  <c r="F442" i="4"/>
  <c r="G441" i="4"/>
  <c r="G440" i="4"/>
  <c r="F440" i="4"/>
  <c r="G439" i="4"/>
  <c r="G438" i="4"/>
  <c r="F438" i="4"/>
  <c r="G437" i="4"/>
  <c r="G436" i="4"/>
  <c r="F436" i="4"/>
  <c r="G435" i="4"/>
  <c r="G434" i="4"/>
  <c r="F434" i="4"/>
  <c r="G433" i="4"/>
  <c r="G432" i="4"/>
  <c r="F432" i="4"/>
  <c r="G431" i="4"/>
  <c r="G430" i="4"/>
  <c r="F430" i="4"/>
  <c r="G429" i="4"/>
  <c r="G428" i="4"/>
  <c r="F428" i="4"/>
  <c r="G427" i="4"/>
  <c r="G426" i="4"/>
  <c r="F426" i="4"/>
  <c r="G425" i="4"/>
  <c r="G424" i="4"/>
  <c r="F424" i="4"/>
  <c r="G423" i="4"/>
  <c r="G422" i="4"/>
  <c r="F422" i="4"/>
  <c r="G421" i="4"/>
  <c r="G420" i="4"/>
  <c r="F420" i="4"/>
  <c r="G419" i="4"/>
  <c r="G418" i="4"/>
  <c r="F418" i="4"/>
  <c r="G417" i="4"/>
  <c r="G416" i="4"/>
  <c r="F416" i="4"/>
  <c r="G415" i="4"/>
  <c r="G414" i="4"/>
  <c r="F414" i="4"/>
  <c r="G413" i="4"/>
  <c r="G412" i="4"/>
  <c r="F412" i="4"/>
  <c r="G411" i="4"/>
  <c r="G410" i="4"/>
  <c r="F410" i="4"/>
  <c r="G409" i="4"/>
  <c r="G408" i="4"/>
  <c r="F408" i="4"/>
  <c r="G407" i="4"/>
  <c r="G406" i="4"/>
  <c r="F406" i="4"/>
  <c r="G405" i="4"/>
  <c r="G404" i="4"/>
  <c r="F404" i="4"/>
  <c r="G403" i="4"/>
  <c r="G402" i="4"/>
  <c r="F402" i="4"/>
  <c r="G401" i="4"/>
  <c r="G400" i="4"/>
  <c r="F400" i="4"/>
  <c r="G399" i="4"/>
  <c r="G398" i="4"/>
  <c r="F398" i="4"/>
  <c r="G397" i="4"/>
  <c r="G396" i="4"/>
  <c r="F396" i="4"/>
  <c r="G395" i="4"/>
  <c r="G394" i="4"/>
  <c r="F394" i="4"/>
  <c r="G393" i="4"/>
  <c r="G392" i="4"/>
  <c r="F392" i="4"/>
  <c r="G391" i="4"/>
  <c r="G390" i="4"/>
  <c r="F390" i="4"/>
  <c r="G389" i="4"/>
  <c r="G388" i="4"/>
  <c r="F388" i="4"/>
  <c r="G387" i="4"/>
  <c r="G386" i="4"/>
  <c r="F386" i="4"/>
  <c r="G385" i="4"/>
  <c r="G384" i="4"/>
  <c r="F384" i="4"/>
  <c r="G383" i="4"/>
  <c r="G382" i="4"/>
  <c r="F382" i="4"/>
  <c r="G381" i="4"/>
  <c r="G380" i="4"/>
  <c r="F380" i="4"/>
  <c r="G379" i="4"/>
  <c r="G378" i="4"/>
  <c r="F378" i="4"/>
  <c r="G377" i="4"/>
  <c r="G376" i="4"/>
  <c r="F376" i="4"/>
  <c r="G375" i="4"/>
  <c r="G374" i="4"/>
  <c r="F374" i="4"/>
  <c r="G373" i="4"/>
  <c r="G372" i="4"/>
  <c r="F372" i="4"/>
  <c r="G371" i="4"/>
  <c r="G370" i="4"/>
  <c r="F370" i="4"/>
  <c r="G369" i="4"/>
  <c r="G368" i="4"/>
  <c r="F368" i="4"/>
  <c r="G367" i="4"/>
  <c r="G366" i="4"/>
  <c r="F366" i="4"/>
  <c r="G365" i="4"/>
  <c r="G364" i="4"/>
  <c r="F364" i="4"/>
  <c r="G363" i="4"/>
  <c r="G362" i="4"/>
  <c r="F362" i="4"/>
  <c r="G361" i="4"/>
  <c r="G360" i="4"/>
  <c r="F360" i="4"/>
  <c r="G359" i="4"/>
  <c r="G358" i="4"/>
  <c r="F358" i="4"/>
  <c r="G357" i="4"/>
  <c r="G356" i="4"/>
  <c r="F356" i="4"/>
  <c r="G355" i="4"/>
  <c r="G354" i="4"/>
  <c r="F354" i="4"/>
  <c r="G353" i="4"/>
  <c r="G352" i="4"/>
  <c r="F352" i="4"/>
  <c r="G351" i="4"/>
  <c r="G350" i="4"/>
  <c r="F350" i="4"/>
  <c r="G349" i="4"/>
  <c r="G348" i="4"/>
  <c r="F348" i="4"/>
  <c r="G347" i="4"/>
  <c r="G346" i="4"/>
  <c r="F346" i="4"/>
  <c r="G345" i="4"/>
  <c r="G344" i="4"/>
  <c r="F344" i="4"/>
  <c r="G343" i="4"/>
  <c r="G342" i="4"/>
  <c r="F342" i="4"/>
  <c r="G341" i="4"/>
  <c r="G340" i="4"/>
  <c r="F340" i="4"/>
  <c r="G339" i="4"/>
  <c r="G338" i="4"/>
  <c r="F338" i="4"/>
  <c r="G337" i="4"/>
  <c r="G336" i="4"/>
  <c r="F336" i="4"/>
  <c r="G335" i="4"/>
  <c r="F142" i="4"/>
  <c r="G142" i="4"/>
  <c r="F149" i="4"/>
  <c r="G149" i="4"/>
  <c r="F156" i="4"/>
  <c r="G156" i="4"/>
  <c r="F163" i="4"/>
  <c r="G163" i="4"/>
  <c r="F170" i="4"/>
  <c r="G170" i="4"/>
  <c r="F177" i="4"/>
  <c r="G177" i="4"/>
  <c r="F184" i="4"/>
  <c r="G184" i="4"/>
  <c r="F191" i="4"/>
  <c r="G191" i="4"/>
  <c r="F198" i="4"/>
  <c r="G198" i="4"/>
  <c r="F205" i="4"/>
  <c r="G205" i="4"/>
  <c r="F212" i="4"/>
  <c r="G212" i="4"/>
  <c r="F219" i="4"/>
  <c r="G219" i="4"/>
  <c r="G225" i="4"/>
  <c r="G232" i="4"/>
  <c r="G334" i="4"/>
  <c r="F334" i="4"/>
  <c r="G333" i="4"/>
  <c r="G332" i="4"/>
  <c r="F332" i="4"/>
  <c r="G331" i="4"/>
  <c r="G330" i="4"/>
  <c r="F330" i="4"/>
  <c r="G329" i="4"/>
  <c r="G328" i="4"/>
  <c r="F328" i="4"/>
  <c r="G327" i="4"/>
  <c r="G326" i="4"/>
  <c r="F326" i="4"/>
  <c r="G325" i="4"/>
  <c r="G324" i="4"/>
  <c r="F324" i="4"/>
  <c r="G323" i="4"/>
  <c r="G322" i="4"/>
  <c r="F322" i="4"/>
  <c r="G321" i="4"/>
  <c r="G320" i="4"/>
  <c r="F320" i="4"/>
  <c r="G319" i="4"/>
  <c r="G318" i="4"/>
  <c r="F318" i="4"/>
  <c r="G317" i="4"/>
  <c r="G316" i="4"/>
  <c r="F316" i="4"/>
  <c r="G315" i="4"/>
  <c r="G314" i="4"/>
  <c r="F314" i="4"/>
  <c r="G313" i="4"/>
  <c r="G312" i="4"/>
  <c r="F312" i="4"/>
  <c r="G311" i="4"/>
  <c r="G310" i="4"/>
  <c r="F310" i="4"/>
  <c r="G309" i="4"/>
  <c r="G308" i="4"/>
  <c r="F308" i="4"/>
  <c r="G307" i="4"/>
  <c r="G306" i="4"/>
  <c r="F306" i="4"/>
  <c r="G305" i="4"/>
  <c r="G304" i="4"/>
  <c r="F304" i="4"/>
  <c r="G303" i="4"/>
  <c r="G302" i="4"/>
  <c r="F302" i="4"/>
  <c r="G301" i="4"/>
  <c r="G300" i="4"/>
  <c r="F300" i="4"/>
  <c r="G299" i="4"/>
  <c r="G298" i="4"/>
  <c r="F298" i="4"/>
  <c r="G297" i="4"/>
  <c r="G296" i="4"/>
  <c r="F296" i="4"/>
  <c r="G295" i="4"/>
  <c r="G294" i="4"/>
  <c r="F294" i="4"/>
  <c r="G293" i="4"/>
  <c r="G292" i="4"/>
  <c r="F292" i="4"/>
  <c r="G291" i="4"/>
  <c r="G290" i="4"/>
  <c r="F290" i="4"/>
  <c r="G289" i="4"/>
  <c r="G288" i="4"/>
  <c r="F288" i="4"/>
  <c r="G287" i="4"/>
  <c r="G286" i="4"/>
  <c r="F286" i="4"/>
  <c r="G285" i="4"/>
  <c r="G284" i="4"/>
  <c r="F284" i="4"/>
  <c r="G283" i="4"/>
  <c r="G282" i="4"/>
  <c r="F282" i="4"/>
  <c r="G281" i="4"/>
  <c r="G280" i="4"/>
  <c r="F280" i="4"/>
  <c r="G279" i="4"/>
  <c r="G278" i="4"/>
  <c r="F278" i="4"/>
  <c r="G277" i="4"/>
  <c r="G276" i="4"/>
  <c r="F276" i="4"/>
  <c r="G275" i="4"/>
  <c r="G274" i="4"/>
  <c r="F274" i="4"/>
  <c r="G273" i="4"/>
  <c r="G272" i="4"/>
  <c r="F272" i="4"/>
  <c r="G271" i="4"/>
  <c r="G270" i="4"/>
  <c r="F270" i="4"/>
  <c r="G269" i="4"/>
  <c r="G268" i="4"/>
  <c r="F268" i="4"/>
  <c r="G267" i="4"/>
  <c r="G266" i="4"/>
  <c r="F266" i="4"/>
  <c r="G265" i="4"/>
  <c r="G264" i="4"/>
  <c r="F264" i="4"/>
  <c r="G263" i="4"/>
  <c r="G262" i="4"/>
  <c r="F262" i="4"/>
  <c r="G261" i="4"/>
  <c r="G260" i="4"/>
  <c r="F260" i="4"/>
  <c r="G259" i="4"/>
  <c r="G258" i="4"/>
  <c r="F258" i="4"/>
  <c r="G257" i="4"/>
  <c r="G256" i="4"/>
  <c r="F256" i="4"/>
  <c r="G255" i="4"/>
  <c r="G254" i="4"/>
  <c r="F254" i="4"/>
  <c r="G253" i="4"/>
  <c r="G252" i="4"/>
  <c r="F252" i="4"/>
  <c r="G251" i="4"/>
  <c r="G250" i="4"/>
  <c r="F250" i="4"/>
  <c r="G249" i="4"/>
  <c r="G248" i="4"/>
  <c r="F248" i="4"/>
  <c r="G247" i="4"/>
  <c r="F244" i="4"/>
  <c r="G244" i="4"/>
  <c r="G240" i="4"/>
  <c r="F240" i="4"/>
  <c r="G246" i="4"/>
  <c r="F246" i="4"/>
  <c r="G245" i="4"/>
  <c r="G243" i="4"/>
  <c r="G242" i="4"/>
  <c r="F242" i="4"/>
  <c r="G241" i="4"/>
  <c r="G239" i="4"/>
  <c r="G238" i="4"/>
  <c r="F238" i="4"/>
  <c r="G237" i="4"/>
  <c r="G236" i="4"/>
  <c r="F236" i="4"/>
  <c r="G235" i="4"/>
  <c r="F235" i="4"/>
  <c r="G234" i="4"/>
  <c r="G233" i="4"/>
  <c r="F233" i="4"/>
  <c r="G231" i="4"/>
  <c r="F231" i="4"/>
  <c r="G230" i="4"/>
  <c r="G229" i="4"/>
  <c r="F229" i="4"/>
  <c r="G228" i="4"/>
  <c r="F228" i="4"/>
  <c r="G227" i="4"/>
  <c r="G226" i="4"/>
  <c r="F226" i="4"/>
  <c r="G224" i="4"/>
  <c r="F224" i="4"/>
  <c r="G223" i="4"/>
  <c r="G222" i="4"/>
  <c r="F222" i="4"/>
  <c r="G221" i="4"/>
  <c r="F221" i="4"/>
  <c r="G220" i="4"/>
  <c r="G218" i="4"/>
  <c r="G217" i="4"/>
  <c r="F217" i="4"/>
  <c r="G216" i="4"/>
  <c r="G215" i="4"/>
  <c r="F215" i="4"/>
  <c r="G214" i="4"/>
  <c r="F214" i="4"/>
  <c r="G213" i="4"/>
  <c r="G211" i="4"/>
  <c r="G210" i="4"/>
  <c r="F210" i="4"/>
  <c r="G209" i="4"/>
  <c r="G208" i="4"/>
  <c r="F208" i="4"/>
  <c r="G207" i="4"/>
  <c r="F207" i="4"/>
  <c r="G206" i="4"/>
  <c r="G204" i="4"/>
  <c r="G203" i="4"/>
  <c r="F203" i="4"/>
  <c r="G202" i="4"/>
  <c r="G201" i="4"/>
  <c r="F201" i="4"/>
  <c r="G200" i="4"/>
  <c r="F200" i="4"/>
  <c r="G199" i="4"/>
  <c r="G197" i="4"/>
  <c r="G196" i="4"/>
  <c r="F196" i="4"/>
  <c r="G195" i="4"/>
  <c r="G194" i="4"/>
  <c r="F194" i="4"/>
  <c r="G193" i="4"/>
  <c r="F193" i="4"/>
  <c r="G192" i="4"/>
  <c r="G190" i="4"/>
  <c r="G189" i="4"/>
  <c r="F189" i="4"/>
  <c r="G188" i="4"/>
  <c r="G187" i="4"/>
  <c r="F187" i="4"/>
  <c r="G186" i="4"/>
  <c r="F186" i="4"/>
  <c r="G185" i="4"/>
  <c r="G183" i="4"/>
  <c r="G182" i="4"/>
  <c r="F182" i="4"/>
  <c r="G181" i="4"/>
  <c r="G180" i="4"/>
  <c r="F180" i="4"/>
  <c r="G179" i="4"/>
  <c r="F179" i="4"/>
  <c r="G178" i="4"/>
  <c r="G176" i="4"/>
  <c r="G175" i="4"/>
  <c r="F175" i="4"/>
  <c r="G174" i="4"/>
  <c r="G173" i="4"/>
  <c r="F173" i="4"/>
  <c r="G172" i="4"/>
  <c r="F172" i="4"/>
  <c r="G171" i="4"/>
  <c r="G169" i="4"/>
  <c r="G168" i="4"/>
  <c r="F168" i="4"/>
  <c r="G167" i="4"/>
  <c r="G166" i="4"/>
  <c r="F166" i="4"/>
  <c r="G165" i="4"/>
  <c r="F165" i="4"/>
  <c r="G164" i="4"/>
  <c r="G162" i="4"/>
  <c r="G161" i="4"/>
  <c r="F161" i="4"/>
  <c r="G160" i="4"/>
  <c r="G159" i="4"/>
  <c r="F159" i="4"/>
  <c r="G158" i="4"/>
  <c r="F158" i="4"/>
  <c r="G157" i="4"/>
  <c r="G155" i="4"/>
  <c r="G154" i="4"/>
  <c r="F154" i="4"/>
  <c r="G153" i="4"/>
  <c r="G152" i="4"/>
  <c r="F152" i="4"/>
  <c r="G147" i="4"/>
  <c r="F147" i="4"/>
  <c r="G146" i="4"/>
  <c r="G145" i="4"/>
  <c r="F145" i="4"/>
  <c r="F140" i="4"/>
  <c r="G138" i="4"/>
  <c r="G139" i="4"/>
  <c r="G140" i="4"/>
  <c r="F138" i="4"/>
  <c r="G137" i="4"/>
  <c r="F137" i="4"/>
  <c r="G136" i="4"/>
  <c r="G144" i="4"/>
  <c r="F144" i="4"/>
  <c r="G143" i="4"/>
  <c r="G141" i="4"/>
  <c r="G151" i="4"/>
  <c r="F151" i="4"/>
  <c r="G150" i="4"/>
  <c r="G148" i="4"/>
  <c r="I24" i="48" l="1"/>
  <c r="H24" i="48"/>
  <c r="H23" i="48"/>
  <c r="I23" i="48"/>
  <c r="Q23" i="48"/>
  <c r="R23" i="48"/>
  <c r="Q22" i="48"/>
  <c r="H22" i="48"/>
  <c r="I22" i="48"/>
  <c r="R22" i="48"/>
  <c r="I21" i="48"/>
  <c r="Q21" i="48"/>
  <c r="H21" i="48"/>
  <c r="R21" i="48"/>
  <c r="H20" i="48"/>
  <c r="I20" i="48"/>
  <c r="R20" i="48"/>
  <c r="Q20" i="48"/>
  <c r="R19" i="48"/>
  <c r="I19" i="48"/>
  <c r="H19" i="48"/>
  <c r="Q19" i="48"/>
  <c r="I18" i="48"/>
  <c r="H18" i="48"/>
  <c r="R18" i="48"/>
  <c r="Q18" i="48"/>
  <c r="P17" i="48"/>
  <c r="N17" i="48"/>
  <c r="G17" i="48"/>
  <c r="M17" i="48"/>
  <c r="O17" i="48"/>
  <c r="F17" i="48"/>
  <c r="D17" i="48"/>
  <c r="E17" i="48"/>
  <c r="M12" i="48"/>
  <c r="F8" i="48"/>
  <c r="O9" i="48"/>
  <c r="M10" i="48"/>
  <c r="D5" i="48"/>
  <c r="D4" i="48"/>
  <c r="F11" i="48"/>
  <c r="O11" i="48"/>
  <c r="M14" i="48"/>
  <c r="M15" i="48"/>
  <c r="O14" i="48"/>
  <c r="M11" i="48"/>
  <c r="F16" i="48"/>
  <c r="F5" i="48"/>
  <c r="O10" i="48"/>
  <c r="D14" i="48"/>
  <c r="M4" i="48"/>
  <c r="O6" i="48"/>
  <c r="F14" i="48"/>
  <c r="O12" i="48"/>
  <c r="D6" i="48"/>
  <c r="O8" i="48"/>
  <c r="M9" i="48"/>
  <c r="D11" i="48"/>
  <c r="F6" i="48"/>
  <c r="M5" i="48"/>
  <c r="O15" i="48"/>
  <c r="F10" i="48"/>
  <c r="O7" i="48"/>
  <c r="O16" i="48"/>
  <c r="F15" i="48"/>
  <c r="O13" i="48"/>
  <c r="D16" i="48"/>
  <c r="M7" i="48"/>
  <c r="D10" i="48"/>
  <c r="D15" i="48"/>
  <c r="D12" i="48"/>
  <c r="M8" i="48"/>
  <c r="F7" i="48"/>
  <c r="O5" i="48"/>
  <c r="D8" i="48"/>
  <c r="M16" i="48"/>
  <c r="F4" i="48"/>
  <c r="M13" i="48"/>
  <c r="M6" i="48"/>
  <c r="F13" i="48"/>
  <c r="D13" i="48"/>
  <c r="D7" i="48"/>
  <c r="F12" i="48"/>
  <c r="O4" i="48"/>
  <c r="F9" i="48"/>
  <c r="D9" i="48"/>
  <c r="P16" i="48"/>
  <c r="G16" i="48"/>
  <c r="E16" i="48"/>
  <c r="N16" i="48"/>
  <c r="N15" i="48"/>
  <c r="P15" i="48"/>
  <c r="G15" i="48"/>
  <c r="E15" i="48"/>
  <c r="G4" i="48"/>
  <c r="P7" i="48"/>
  <c r="G9" i="48"/>
  <c r="N8" i="48"/>
  <c r="P4" i="48"/>
  <c r="N7" i="48"/>
  <c r="P5" i="48"/>
  <c r="G6" i="48"/>
  <c r="G8" i="48"/>
  <c r="G7" i="48"/>
  <c r="G5" i="48"/>
  <c r="N4" i="48"/>
  <c r="P8" i="48"/>
  <c r="N6" i="48"/>
  <c r="N5" i="48"/>
  <c r="E8" i="48"/>
  <c r="P6" i="48"/>
  <c r="E5" i="48"/>
  <c r="E4" i="48"/>
  <c r="E9" i="48"/>
  <c r="E7" i="48"/>
  <c r="E6" i="48"/>
  <c r="G14" i="48"/>
  <c r="C3" i="4"/>
  <c r="C2" i="4"/>
  <c r="C1" i="4"/>
  <c r="F3351" i="4" l="1"/>
  <c r="F3347" i="4"/>
  <c r="F3357" i="4"/>
  <c r="F3343" i="4"/>
  <c r="F3349" i="4"/>
  <c r="F3333" i="4"/>
  <c r="F3323" i="4"/>
  <c r="F3319" i="4"/>
  <c r="F3331" i="4"/>
  <c r="F3335" i="4"/>
  <c r="F3327" i="4"/>
  <c r="F3341" i="4"/>
  <c r="F3325" i="4"/>
  <c r="F3339" i="4"/>
  <c r="F3311" i="4"/>
  <c r="F3317" i="4"/>
  <c r="F3315" i="4"/>
  <c r="F3307" i="4"/>
  <c r="F3303" i="4"/>
  <c r="F3309" i="4"/>
  <c r="F3291" i="4"/>
  <c r="F3277" i="4"/>
  <c r="F3269" i="4"/>
  <c r="F3261" i="4"/>
  <c r="F3287" i="4"/>
  <c r="F3285" i="4"/>
  <c r="F3283" i="4"/>
  <c r="F3271" i="4"/>
  <c r="F3267" i="4"/>
  <c r="F3255" i="4"/>
  <c r="F3279" i="4"/>
  <c r="F3275" i="4"/>
  <c r="F3263" i="4"/>
  <c r="F3301" i="4"/>
  <c r="F3295" i="4"/>
  <c r="F3293" i="4"/>
  <c r="F3259" i="4"/>
  <c r="F3299" i="4"/>
  <c r="F3245" i="4"/>
  <c r="F3251" i="4"/>
  <c r="F3239" i="4"/>
  <c r="F3243" i="4"/>
  <c r="F3237" i="4"/>
  <c r="F3247" i="4"/>
  <c r="F3231" i="4"/>
  <c r="F3253" i="4"/>
  <c r="F3235" i="4"/>
  <c r="F3229" i="4"/>
  <c r="F3227" i="4"/>
  <c r="F3215" i="4"/>
  <c r="F3213" i="4"/>
  <c r="F3211" i="4"/>
  <c r="F3199" i="4"/>
  <c r="F3197" i="4"/>
  <c r="F3195" i="4"/>
  <c r="F3189" i="4"/>
  <c r="F3223" i="4"/>
  <c r="F3221" i="4"/>
  <c r="F3219" i="4"/>
  <c r="F3207" i="4"/>
  <c r="F3205" i="4"/>
  <c r="F3203" i="4"/>
  <c r="F3191" i="4"/>
  <c r="F3179" i="4"/>
  <c r="F3177" i="4"/>
  <c r="F3181" i="4"/>
  <c r="F3190" i="4"/>
  <c r="F3175" i="4"/>
  <c r="F3187" i="4"/>
  <c r="F3183" i="4"/>
  <c r="F3173" i="4"/>
  <c r="F3171" i="4"/>
  <c r="F3169" i="4"/>
  <c r="F3167" i="4"/>
  <c r="F3165" i="4"/>
  <c r="F3163" i="4"/>
  <c r="F3161" i="4"/>
  <c r="F3159" i="4"/>
  <c r="F3157" i="4"/>
  <c r="F3155" i="4"/>
  <c r="F3153" i="4"/>
  <c r="F3151" i="4"/>
  <c r="F3149" i="4"/>
  <c r="F3147" i="4"/>
  <c r="F3145" i="4"/>
  <c r="F3143" i="4"/>
  <c r="F3141" i="4"/>
  <c r="F3139" i="4"/>
  <c r="F3137" i="4"/>
  <c r="F3135" i="4"/>
  <c r="F3133" i="4"/>
  <c r="F3131" i="4"/>
  <c r="F3129" i="4"/>
  <c r="F3127" i="4"/>
  <c r="F3125" i="4"/>
  <c r="F3123" i="4"/>
  <c r="F3121" i="4"/>
  <c r="F3119" i="4"/>
  <c r="F3117" i="4"/>
  <c r="F3115" i="4"/>
  <c r="F3113" i="4"/>
  <c r="F3111" i="4"/>
  <c r="F3109" i="4"/>
  <c r="F3107" i="4"/>
  <c r="F3105" i="4"/>
  <c r="F3103" i="4"/>
  <c r="F3101" i="4"/>
  <c r="F3099" i="4"/>
  <c r="F3097" i="4"/>
  <c r="F3095" i="4"/>
  <c r="F3093" i="4"/>
  <c r="F3091" i="4"/>
  <c r="F3089" i="4"/>
  <c r="F3087" i="4"/>
  <c r="F3085" i="4"/>
  <c r="F3083" i="4"/>
  <c r="F3081" i="4"/>
  <c r="F3079" i="4"/>
  <c r="F3077" i="4"/>
  <c r="F3075" i="4"/>
  <c r="F3073" i="4"/>
  <c r="F3071" i="4"/>
  <c r="F3069" i="4"/>
  <c r="F3067" i="4"/>
  <c r="F3065" i="4"/>
  <c r="F3063" i="4"/>
  <c r="F3061" i="4"/>
  <c r="F3059" i="4"/>
  <c r="F3057" i="4"/>
  <c r="F3055" i="4"/>
  <c r="F3053" i="4"/>
  <c r="F3051" i="4"/>
  <c r="F3049" i="4"/>
  <c r="F3047" i="4"/>
  <c r="F3045" i="4"/>
  <c r="F3043" i="4"/>
  <c r="F3041" i="4"/>
  <c r="F3039" i="4"/>
  <c r="F3037" i="4"/>
  <c r="F3035" i="4"/>
  <c r="F3033" i="4"/>
  <c r="F3031" i="4"/>
  <c r="F3029" i="4"/>
  <c r="F3027" i="4"/>
  <c r="F3025" i="4"/>
  <c r="F3023" i="4"/>
  <c r="F3021" i="4"/>
  <c r="F3019" i="4"/>
  <c r="F3017" i="4"/>
  <c r="F3015" i="4"/>
  <c r="F3013" i="4"/>
  <c r="F3011" i="4"/>
  <c r="F3009" i="4"/>
  <c r="F3007" i="4"/>
  <c r="F3005" i="4"/>
  <c r="F3003" i="4"/>
  <c r="F3001" i="4"/>
  <c r="F2999" i="4"/>
  <c r="F2997" i="4"/>
  <c r="F2995" i="4"/>
  <c r="F2993" i="4"/>
  <c r="F2991" i="4"/>
  <c r="F2989" i="4"/>
  <c r="F2987" i="4"/>
  <c r="F2985" i="4"/>
  <c r="F2983" i="4"/>
  <c r="F2981" i="4"/>
  <c r="F2979" i="4"/>
  <c r="F2977" i="4"/>
  <c r="F2975" i="4"/>
  <c r="F2973" i="4"/>
  <c r="F2971" i="4"/>
  <c r="F2969" i="4"/>
  <c r="F2967" i="4"/>
  <c r="F2963" i="4"/>
  <c r="F2961" i="4"/>
  <c r="F2959" i="4"/>
  <c r="F2965" i="4"/>
  <c r="F2955" i="4"/>
  <c r="F2953" i="4"/>
  <c r="F2957" i="4"/>
  <c r="F2951" i="4"/>
  <c r="F2911" i="4"/>
  <c r="F2919" i="4"/>
  <c r="F2927" i="4"/>
  <c r="F2935" i="4"/>
  <c r="F2943" i="4"/>
  <c r="F2893" i="4"/>
  <c r="F2903" i="4"/>
  <c r="F2897" i="4"/>
  <c r="F2913" i="4"/>
  <c r="F2921" i="4"/>
  <c r="F2929" i="4"/>
  <c r="F2937" i="4"/>
  <c r="F2945" i="4"/>
  <c r="F2895" i="4"/>
  <c r="F2907" i="4"/>
  <c r="F2909" i="4"/>
  <c r="F2899" i="4"/>
  <c r="F2915" i="4"/>
  <c r="F2923" i="4"/>
  <c r="F2931" i="4"/>
  <c r="F2939" i="4"/>
  <c r="F2947" i="4"/>
  <c r="F2901" i="4"/>
  <c r="F2917" i="4"/>
  <c r="F2925" i="4"/>
  <c r="F2933" i="4"/>
  <c r="F2941" i="4"/>
  <c r="F2949" i="4"/>
  <c r="F2905" i="4"/>
  <c r="F2889" i="4"/>
  <c r="F2877" i="4"/>
  <c r="F2871" i="4"/>
  <c r="F2861" i="4"/>
  <c r="F2849" i="4"/>
  <c r="F2881" i="4"/>
  <c r="F2867" i="4"/>
  <c r="F2855" i="4"/>
  <c r="F2843" i="4"/>
  <c r="F2891" i="4"/>
  <c r="F2875" i="4"/>
  <c r="F2863" i="4"/>
  <c r="F2851" i="4"/>
  <c r="F2839" i="4"/>
  <c r="F2887" i="4"/>
  <c r="F2873" i="4"/>
  <c r="F2859" i="4"/>
  <c r="F2845" i="4"/>
  <c r="F2883" i="4"/>
  <c r="F2865" i="4"/>
  <c r="F2853" i="4"/>
  <c r="F2841" i="4"/>
  <c r="F2885" i="4"/>
  <c r="F2879" i="4"/>
  <c r="F2869" i="4"/>
  <c r="F2857" i="4"/>
  <c r="F2847" i="4"/>
  <c r="F2705" i="4"/>
  <c r="F2725" i="4"/>
  <c r="F2723" i="4"/>
  <c r="F2721" i="4"/>
  <c r="F2719" i="4"/>
  <c r="F2717" i="4"/>
  <c r="F2715" i="4"/>
  <c r="F2713" i="4"/>
  <c r="F2711" i="4"/>
  <c r="F2709" i="4"/>
  <c r="F2707" i="4"/>
  <c r="F2797" i="4"/>
  <c r="F2795" i="4"/>
  <c r="F2793" i="4"/>
  <c r="F2791" i="4"/>
  <c r="F2789" i="4"/>
  <c r="F2787" i="4"/>
  <c r="F2785" i="4"/>
  <c r="F2783" i="4"/>
  <c r="F2781" i="4"/>
  <c r="F2779" i="4"/>
  <c r="F2777" i="4"/>
  <c r="F2775" i="4"/>
  <c r="F2773" i="4"/>
  <c r="F2771" i="4"/>
  <c r="F2769" i="4"/>
  <c r="F2767" i="4"/>
  <c r="F2765" i="4"/>
  <c r="F2763" i="4"/>
  <c r="F2761" i="4"/>
  <c r="F2759" i="4"/>
  <c r="F2757" i="4"/>
  <c r="F2755" i="4"/>
  <c r="F2753" i="4"/>
  <c r="F2751" i="4"/>
  <c r="F2749" i="4"/>
  <c r="F2747" i="4"/>
  <c r="F2745" i="4"/>
  <c r="F2743" i="4"/>
  <c r="F2741" i="4"/>
  <c r="F2739" i="4"/>
  <c r="F2737" i="4"/>
  <c r="F2735" i="4"/>
  <c r="F2733" i="4"/>
  <c r="F2731" i="4"/>
  <c r="F2729" i="4"/>
  <c r="F2727" i="4"/>
  <c r="F2697" i="4"/>
  <c r="F2695" i="4"/>
  <c r="F2693" i="4"/>
  <c r="F2691" i="4"/>
  <c r="F2689" i="4"/>
  <c r="F2687" i="4"/>
  <c r="F2685" i="4"/>
  <c r="F2683" i="4"/>
  <c r="F2681" i="4"/>
  <c r="F2679" i="4"/>
  <c r="F2677" i="4"/>
  <c r="F2675" i="4"/>
  <c r="F2673" i="4"/>
  <c r="F2671" i="4"/>
  <c r="F2669" i="4"/>
  <c r="F2667" i="4"/>
  <c r="F2665" i="4"/>
  <c r="F2663" i="4"/>
  <c r="F2661" i="4"/>
  <c r="F2659" i="4"/>
  <c r="F2657" i="4"/>
  <c r="F2655" i="4"/>
  <c r="F2653" i="4"/>
  <c r="F2651" i="4"/>
  <c r="F2649" i="4"/>
  <c r="F2647" i="4"/>
  <c r="F2645" i="4"/>
  <c r="F2643" i="4"/>
  <c r="F2641" i="4"/>
  <c r="F2639" i="4"/>
  <c r="F2637" i="4"/>
  <c r="F2635" i="4"/>
  <c r="F2633" i="4"/>
  <c r="F2631" i="4"/>
  <c r="F2629" i="4"/>
  <c r="F2627" i="4"/>
  <c r="F2625" i="4"/>
  <c r="F2623" i="4"/>
  <c r="F2621" i="4"/>
  <c r="F2619" i="4"/>
  <c r="F2617" i="4"/>
  <c r="F2615" i="4"/>
  <c r="F2613" i="4"/>
  <c r="F2611" i="4"/>
  <c r="F2609" i="4"/>
  <c r="F2607" i="4"/>
  <c r="F2605" i="4"/>
  <c r="F2603" i="4"/>
  <c r="F2601" i="4"/>
  <c r="F2699" i="4"/>
  <c r="F2701" i="4"/>
  <c r="F2703" i="4"/>
  <c r="F2593" i="4"/>
  <c r="F2571" i="4"/>
  <c r="F2559" i="4"/>
  <c r="F2545" i="4"/>
  <c r="F2533" i="4"/>
  <c r="F2837" i="4"/>
  <c r="F2827" i="4"/>
  <c r="F2819" i="4"/>
  <c r="F2807" i="4"/>
  <c r="F2595" i="4"/>
  <c r="F2583" i="4"/>
  <c r="F2573" i="4"/>
  <c r="F2563" i="4"/>
  <c r="F2551" i="4"/>
  <c r="F2539" i="4"/>
  <c r="F2529" i="4"/>
  <c r="F2829" i="4"/>
  <c r="F2817" i="4"/>
  <c r="F2811" i="4"/>
  <c r="F2803" i="4"/>
  <c r="F2589" i="4"/>
  <c r="F2577" i="4"/>
  <c r="F2567" i="4"/>
  <c r="F2555" i="4"/>
  <c r="F2543" i="4"/>
  <c r="F2531" i="4"/>
  <c r="F2835" i="4"/>
  <c r="F2821" i="4"/>
  <c r="F2813" i="4"/>
  <c r="F2805" i="4"/>
  <c r="F2801" i="4"/>
  <c r="F2597" i="4"/>
  <c r="F2585" i="4"/>
  <c r="F2575" i="4"/>
  <c r="F2561" i="4"/>
  <c r="F2549" i="4"/>
  <c r="F2537" i="4"/>
  <c r="F2527" i="4"/>
  <c r="F2825" i="4"/>
  <c r="F2599" i="4"/>
  <c r="F2587" i="4"/>
  <c r="F2579" i="4"/>
  <c r="F2569" i="4"/>
  <c r="F2557" i="4"/>
  <c r="F2547" i="4"/>
  <c r="F2535" i="4"/>
  <c r="F2833" i="4"/>
  <c r="F2591" i="4"/>
  <c r="F2581" i="4"/>
  <c r="F2565" i="4"/>
  <c r="F2553" i="4"/>
  <c r="F2541" i="4"/>
  <c r="F2831" i="4"/>
  <c r="F2823" i="4"/>
  <c r="F2815" i="4"/>
  <c r="F2809" i="4"/>
  <c r="F2799" i="4"/>
  <c r="F9" i="4"/>
  <c r="F2523" i="4"/>
  <c r="F2521" i="4"/>
  <c r="F2517" i="4"/>
  <c r="F2515" i="4"/>
  <c r="F2509" i="4"/>
  <c r="F2507" i="4"/>
  <c r="F2505" i="4"/>
  <c r="F2499" i="4"/>
  <c r="F2497" i="4"/>
  <c r="F2481" i="4"/>
  <c r="F2479" i="4"/>
  <c r="F2525" i="4"/>
  <c r="F2513" i="4"/>
  <c r="F2511" i="4"/>
  <c r="F2503" i="4"/>
  <c r="F2501" i="4"/>
  <c r="F2495" i="4"/>
  <c r="F2493" i="4"/>
  <c r="F2483" i="4"/>
  <c r="F2475" i="4"/>
  <c r="F2469" i="4"/>
  <c r="F2519" i="4"/>
  <c r="F2491" i="4"/>
  <c r="F2489" i="4"/>
  <c r="F2487" i="4"/>
  <c r="F2485" i="4"/>
  <c r="F2477" i="4"/>
  <c r="F2471" i="4"/>
  <c r="F2465" i="4"/>
  <c r="F2437" i="4"/>
  <c r="F2415" i="4"/>
  <c r="F2463" i="4"/>
  <c r="F2461" i="4"/>
  <c r="F2459" i="4"/>
  <c r="F2457" i="4"/>
  <c r="F2455" i="4"/>
  <c r="F2453" i="4"/>
  <c r="F2451" i="4"/>
  <c r="F2449" i="4"/>
  <c r="F2447" i="4"/>
  <c r="F2445" i="4"/>
  <c r="F2443" i="4"/>
  <c r="F2441" i="4"/>
  <c r="F2439" i="4"/>
  <c r="F13" i="4"/>
  <c r="F2435" i="4"/>
  <c r="F2433" i="4"/>
  <c r="F2431" i="4"/>
  <c r="F2429" i="4"/>
  <c r="F2427" i="4"/>
  <c r="F2425" i="4"/>
  <c r="F2423" i="4"/>
  <c r="F2421" i="4"/>
  <c r="F2419" i="4"/>
  <c r="F2417" i="4"/>
  <c r="F11" i="4"/>
  <c r="F2467" i="4"/>
  <c r="F2473" i="4"/>
  <c r="F7" i="4"/>
  <c r="F2409" i="4"/>
  <c r="F2407" i="4"/>
  <c r="F2411" i="4"/>
  <c r="F2413" i="4"/>
  <c r="F2405" i="4"/>
  <c r="F2385" i="4"/>
  <c r="F2377" i="4"/>
  <c r="F2365" i="4"/>
  <c r="F2353" i="4"/>
  <c r="F2403" i="4"/>
  <c r="F2389" i="4"/>
  <c r="F2383" i="4"/>
  <c r="F2373" i="4"/>
  <c r="F2363" i="4"/>
  <c r="F2401" i="4"/>
  <c r="F2391" i="4"/>
  <c r="F2381" i="4"/>
  <c r="F2371" i="4"/>
  <c r="F2355" i="4"/>
  <c r="F2397" i="4"/>
  <c r="F2375" i="4"/>
  <c r="F2361" i="4"/>
  <c r="F2399" i="4"/>
  <c r="F2387" i="4"/>
  <c r="F2379" i="4"/>
  <c r="F2367" i="4"/>
  <c r="F2357" i="4"/>
  <c r="F2395" i="4"/>
  <c r="F2369" i="4"/>
  <c r="F2351" i="4"/>
  <c r="F2393" i="4"/>
  <c r="F2359" i="4"/>
  <c r="F2341" i="4"/>
  <c r="F2339" i="4"/>
  <c r="F2337" i="4"/>
  <c r="F2335" i="4"/>
  <c r="F2333" i="4"/>
  <c r="F2331" i="4"/>
  <c r="F2329" i="4"/>
  <c r="F2327" i="4"/>
  <c r="F2325" i="4"/>
  <c r="F2323" i="4"/>
  <c r="F2321" i="4"/>
  <c r="F2319" i="4"/>
  <c r="F2317" i="4"/>
  <c r="F2315" i="4"/>
  <c r="F2313" i="4"/>
  <c r="F2311" i="4"/>
  <c r="F2309" i="4"/>
  <c r="F2307" i="4"/>
  <c r="F2305" i="4"/>
  <c r="F2303" i="4"/>
  <c r="F2301" i="4"/>
  <c r="F2299" i="4"/>
  <c r="F2297" i="4"/>
  <c r="F2295" i="4"/>
  <c r="F2293" i="4"/>
  <c r="F2291" i="4"/>
  <c r="F2289" i="4"/>
  <c r="F2287" i="4"/>
  <c r="F2285" i="4"/>
  <c r="F2283" i="4"/>
  <c r="F2281" i="4"/>
  <c r="F2279" i="4"/>
  <c r="F2273" i="4"/>
  <c r="F2271" i="4"/>
  <c r="F2277" i="4"/>
  <c r="F2275" i="4"/>
  <c r="F2347" i="4"/>
  <c r="F2345" i="4"/>
  <c r="F2349" i="4"/>
  <c r="F2343" i="4"/>
  <c r="H15" i="48"/>
  <c r="H17" i="48"/>
  <c r="H11" i="48"/>
  <c r="I5" i="48"/>
  <c r="H5" i="48"/>
  <c r="H10" i="48"/>
  <c r="H8" i="48"/>
  <c r="H16" i="48"/>
  <c r="I7" i="48"/>
  <c r="I9" i="48"/>
  <c r="H7" i="48"/>
  <c r="H14" i="48"/>
  <c r="I17" i="48"/>
  <c r="H12" i="48"/>
  <c r="H6" i="48"/>
  <c r="I8" i="48"/>
  <c r="I15" i="48"/>
  <c r="H9" i="48"/>
  <c r="I6" i="48"/>
  <c r="I4" i="48"/>
  <c r="I16" i="48"/>
  <c r="H13" i="48"/>
  <c r="H4" i="48"/>
  <c r="F2265" i="4"/>
  <c r="F2251" i="4"/>
  <c r="F2245" i="4"/>
  <c r="F2233" i="4"/>
  <c r="F2261" i="4"/>
  <c r="F2253" i="4"/>
  <c r="F2247" i="4"/>
  <c r="F2235" i="4"/>
  <c r="F2223" i="4"/>
  <c r="F2263" i="4"/>
  <c r="F2249" i="4"/>
  <c r="F2239" i="4"/>
  <c r="F2229" i="4"/>
  <c r="F2269" i="4"/>
  <c r="F2257" i="4"/>
  <c r="F2241" i="4"/>
  <c r="F2227" i="4"/>
  <c r="F2267" i="4"/>
  <c r="F2255" i="4"/>
  <c r="F2243" i="4"/>
  <c r="F2231" i="4"/>
  <c r="F2259" i="4"/>
  <c r="F2237" i="4"/>
  <c r="F2225" i="4"/>
  <c r="F2141" i="4"/>
  <c r="F2143" i="4"/>
  <c r="F2137" i="4"/>
  <c r="F2221" i="4"/>
  <c r="F2219" i="4"/>
  <c r="F2217" i="4"/>
  <c r="F2215" i="4"/>
  <c r="F2213" i="4"/>
  <c r="F2211" i="4"/>
  <c r="F2209" i="4"/>
  <c r="F2207" i="4"/>
  <c r="F2205" i="4"/>
  <c r="F2203" i="4"/>
  <c r="F2201" i="4"/>
  <c r="F2199" i="4"/>
  <c r="F2197" i="4"/>
  <c r="F2195" i="4"/>
  <c r="F2193" i="4"/>
  <c r="F2191" i="4"/>
  <c r="F2189" i="4"/>
  <c r="F2187" i="4"/>
  <c r="F2185" i="4"/>
  <c r="F2183" i="4"/>
  <c r="F2181" i="4"/>
  <c r="F2179" i="4"/>
  <c r="F2177" i="4"/>
  <c r="F2175" i="4"/>
  <c r="F2173" i="4"/>
  <c r="F2171" i="4"/>
  <c r="F2169" i="4"/>
  <c r="F2167" i="4"/>
  <c r="F2165" i="4"/>
  <c r="F2163" i="4"/>
  <c r="F2161" i="4"/>
  <c r="F2159" i="4"/>
  <c r="F2157" i="4"/>
  <c r="F2155" i="4"/>
  <c r="F2153" i="4"/>
  <c r="F2151" i="4"/>
  <c r="F2149" i="4"/>
  <c r="F2147" i="4"/>
  <c r="F2145" i="4"/>
  <c r="F2139" i="4"/>
  <c r="F2135" i="4"/>
  <c r="F2131" i="4"/>
  <c r="F2129" i="4"/>
  <c r="F2127" i="4"/>
  <c r="F2133" i="4"/>
  <c r="F2077" i="4"/>
  <c r="F2075" i="4"/>
  <c r="F2073" i="4"/>
  <c r="F2071" i="4"/>
  <c r="F2069" i="4"/>
  <c r="F2067" i="4"/>
  <c r="F2065" i="4"/>
  <c r="F2063" i="4"/>
  <c r="F2061" i="4"/>
  <c r="F2059" i="4"/>
  <c r="F2057" i="4"/>
  <c r="F2055" i="4"/>
  <c r="F2053" i="4"/>
  <c r="F2051" i="4"/>
  <c r="F2049" i="4"/>
  <c r="F2047" i="4"/>
  <c r="F2045" i="4"/>
  <c r="F2043" i="4"/>
  <c r="F2041" i="4"/>
  <c r="F2039" i="4"/>
  <c r="F2037" i="4"/>
  <c r="F2035" i="4"/>
  <c r="F2033" i="4"/>
  <c r="F2031" i="4"/>
  <c r="F2029" i="4"/>
  <c r="F2027" i="4"/>
  <c r="F2025" i="4"/>
  <c r="F2023" i="4"/>
  <c r="F2125" i="4"/>
  <c r="F2123" i="4"/>
  <c r="F2121" i="4"/>
  <c r="F2119" i="4"/>
  <c r="F2117" i="4"/>
  <c r="F2115" i="4"/>
  <c r="F2113" i="4"/>
  <c r="F2111" i="4"/>
  <c r="F2109" i="4"/>
  <c r="F2107" i="4"/>
  <c r="F2105" i="4"/>
  <c r="F2103" i="4"/>
  <c r="F2101" i="4"/>
  <c r="F2099" i="4"/>
  <c r="F2097" i="4"/>
  <c r="F2095" i="4"/>
  <c r="F2093" i="4"/>
  <c r="F2091" i="4"/>
  <c r="F2089" i="4"/>
  <c r="F2087" i="4"/>
  <c r="F2085" i="4"/>
  <c r="F2083" i="4"/>
  <c r="F2081" i="4"/>
  <c r="F2079" i="4"/>
  <c r="F2011" i="4"/>
  <c r="F2007" i="4"/>
  <c r="F2021" i="4"/>
  <c r="F2019" i="4"/>
  <c r="F2017" i="4"/>
  <c r="F2015" i="4"/>
  <c r="F2013" i="4"/>
  <c r="F2009" i="4"/>
  <c r="F2005" i="4"/>
  <c r="F2003" i="4"/>
  <c r="F2001" i="4"/>
  <c r="F1999" i="4"/>
  <c r="F1997" i="4"/>
  <c r="F1995" i="4"/>
  <c r="F1993" i="4"/>
  <c r="F1991" i="4"/>
  <c r="F1989" i="4"/>
  <c r="F1987" i="4"/>
  <c r="F1985" i="4"/>
  <c r="F1983" i="4"/>
  <c r="F1981" i="4"/>
  <c r="F1979" i="4"/>
  <c r="F1977" i="4"/>
  <c r="F1975" i="4"/>
  <c r="F1969" i="4"/>
  <c r="F1973" i="4"/>
  <c r="F1971" i="4"/>
  <c r="F1967" i="4"/>
  <c r="F1959" i="4"/>
  <c r="F1963" i="4"/>
  <c r="F1961" i="4"/>
  <c r="F1965" i="4"/>
  <c r="F1957" i="4"/>
  <c r="F1955" i="4"/>
  <c r="F1953" i="4"/>
  <c r="F1951" i="4"/>
  <c r="F1949" i="4"/>
  <c r="F1947" i="4"/>
  <c r="F1945" i="4"/>
  <c r="F1943" i="4"/>
  <c r="F1941" i="4"/>
  <c r="F1939" i="4"/>
  <c r="F1937" i="4"/>
  <c r="F1935" i="4"/>
  <c r="F1933" i="4"/>
  <c r="F1931" i="4"/>
  <c r="F1929" i="4"/>
  <c r="F1927" i="4"/>
  <c r="F1925" i="4"/>
  <c r="F1923" i="4"/>
  <c r="F1921" i="4"/>
  <c r="F1919" i="4"/>
  <c r="F1917" i="4"/>
  <c r="F1915" i="4"/>
  <c r="F1913" i="4"/>
  <c r="F1911" i="4"/>
  <c r="F1909" i="4"/>
  <c r="F1907" i="4"/>
  <c r="F1905" i="4"/>
  <c r="F1903" i="4"/>
  <c r="F1901" i="4"/>
  <c r="F1899" i="4"/>
  <c r="F1897" i="4"/>
  <c r="F1895" i="4"/>
  <c r="F1893" i="4"/>
  <c r="F1891" i="4"/>
  <c r="F1889" i="4"/>
  <c r="F1887" i="4"/>
  <c r="F1885" i="4"/>
  <c r="F1883" i="4"/>
  <c r="F1881" i="4"/>
  <c r="F1879" i="4"/>
  <c r="F1877" i="4"/>
  <c r="F1875" i="4"/>
  <c r="F1873" i="4"/>
  <c r="F1871" i="4"/>
  <c r="F1869" i="4"/>
  <c r="F1867" i="4"/>
  <c r="F1865" i="4"/>
  <c r="F1863" i="4"/>
  <c r="F1861" i="4"/>
  <c r="F1859" i="4"/>
  <c r="F1857" i="4"/>
  <c r="F1855" i="4"/>
  <c r="F1853" i="4"/>
  <c r="F1851" i="4"/>
  <c r="F1849" i="4"/>
  <c r="F1847" i="4"/>
  <c r="F1839" i="4"/>
  <c r="F1843" i="4"/>
  <c r="F1845" i="4"/>
  <c r="F1841" i="4"/>
  <c r="F1831" i="4"/>
  <c r="F1833" i="4"/>
  <c r="F1835" i="4"/>
  <c r="F1837" i="4"/>
  <c r="F1827" i="4"/>
  <c r="F1799" i="4"/>
  <c r="F1803" i="4"/>
  <c r="F1815" i="4"/>
  <c r="F1829" i="4"/>
  <c r="F1825" i="4"/>
  <c r="F1821" i="4"/>
  <c r="F1817" i="4"/>
  <c r="F1813" i="4"/>
  <c r="F1809" i="4"/>
  <c r="F1805" i="4"/>
  <c r="F1801" i="4"/>
  <c r="F1797" i="4"/>
  <c r="F1793" i="4"/>
  <c r="F1807" i="4"/>
  <c r="F1795" i="4"/>
  <c r="F1811" i="4"/>
  <c r="F1819" i="4"/>
  <c r="F1823" i="4"/>
  <c r="F1791" i="4"/>
  <c r="F1767" i="4"/>
  <c r="F1735" i="4"/>
  <c r="F1711" i="4"/>
  <c r="F1719" i="4"/>
  <c r="F1775" i="4"/>
  <c r="F1751" i="4"/>
  <c r="F1717" i="4"/>
  <c r="F1787" i="4"/>
  <c r="F1747" i="4"/>
  <c r="F1725" i="4"/>
  <c r="F1789" i="4"/>
  <c r="F1785" i="4"/>
  <c r="F1781" i="4"/>
  <c r="F1777" i="4"/>
  <c r="F1773" i="4"/>
  <c r="F1769" i="4"/>
  <c r="F1765" i="4"/>
  <c r="F1761" i="4"/>
  <c r="F1757" i="4"/>
  <c r="F1753" i="4"/>
  <c r="F1749" i="4"/>
  <c r="F1745" i="4"/>
  <c r="F1741" i="4"/>
  <c r="F1737" i="4"/>
  <c r="F1733" i="4"/>
  <c r="F1729" i="4"/>
  <c r="F1713" i="4"/>
  <c r="F1721" i="4"/>
  <c r="F1715" i="4"/>
  <c r="F1783" i="4"/>
  <c r="F1759" i="4"/>
  <c r="F1739" i="4"/>
  <c r="F1779" i="4"/>
  <c r="F1743" i="4"/>
  <c r="F1723" i="4"/>
  <c r="F1771" i="4"/>
  <c r="F1755" i="4"/>
  <c r="F1727" i="4"/>
  <c r="F1763" i="4"/>
  <c r="F1731" i="4"/>
  <c r="F1709" i="4"/>
  <c r="F1705" i="4"/>
  <c r="F1701" i="4"/>
  <c r="F1697" i="4"/>
  <c r="F1693" i="4"/>
  <c r="F1689" i="4"/>
  <c r="F1685" i="4"/>
  <c r="F1681" i="4"/>
  <c r="F1677" i="4"/>
  <c r="F1673" i="4"/>
  <c r="F1669" i="4"/>
  <c r="F1665" i="4"/>
  <c r="F1661" i="4"/>
  <c r="F1657" i="4"/>
  <c r="F1653" i="4"/>
  <c r="F1649" i="4"/>
  <c r="F1645" i="4"/>
  <c r="F1641" i="4"/>
  <c r="F1707" i="4"/>
  <c r="F1703" i="4"/>
  <c r="F1699" i="4"/>
  <c r="F1695" i="4"/>
  <c r="F1691" i="4"/>
  <c r="F1687" i="4"/>
  <c r="F1683" i="4"/>
  <c r="F1679" i="4"/>
  <c r="F1675" i="4"/>
  <c r="F1671" i="4"/>
  <c r="F1667" i="4"/>
  <c r="F1663" i="4"/>
  <c r="F1659" i="4"/>
  <c r="F1655" i="4"/>
  <c r="F1651" i="4"/>
  <c r="F1647" i="4"/>
  <c r="F1643" i="4"/>
  <c r="F1639" i="4"/>
  <c r="R17" i="48"/>
  <c r="F132" i="4"/>
  <c r="F1637" i="4"/>
  <c r="F1621" i="4"/>
  <c r="F1635" i="4"/>
  <c r="F1617" i="4"/>
  <c r="F1633" i="4"/>
  <c r="F1615" i="4"/>
  <c r="F1631" i="4"/>
  <c r="F1625" i="4"/>
  <c r="F1629" i="4"/>
  <c r="F1619" i="4"/>
  <c r="F1627" i="4"/>
  <c r="F1623" i="4"/>
  <c r="F1613" i="4"/>
  <c r="F1611" i="4"/>
  <c r="F1609" i="4"/>
  <c r="F1607" i="4"/>
  <c r="F1603" i="4"/>
  <c r="F1599" i="4"/>
  <c r="F1595" i="4"/>
  <c r="F1589" i="4"/>
  <c r="F1583" i="4"/>
  <c r="F1605" i="4"/>
  <c r="F1597" i="4"/>
  <c r="F1591" i="4"/>
  <c r="F1585" i="4"/>
  <c r="F1601" i="4"/>
  <c r="F1593" i="4"/>
  <c r="F1587" i="4"/>
  <c r="Q17" i="48"/>
  <c r="F1551" i="4"/>
  <c r="F1539" i="4"/>
  <c r="F1535" i="4"/>
  <c r="F1527" i="4"/>
  <c r="F1525" i="4"/>
  <c r="F1517" i="4"/>
  <c r="F1509" i="4"/>
  <c r="F1503" i="4"/>
  <c r="F1497" i="4"/>
  <c r="F1493" i="4"/>
  <c r="F1487" i="4"/>
  <c r="F1481" i="4"/>
  <c r="F1475" i="4"/>
  <c r="F1467" i="4"/>
  <c r="F1549" i="4"/>
  <c r="F1533" i="4"/>
  <c r="F1521" i="4"/>
  <c r="F1507" i="4"/>
  <c r="F1499" i="4"/>
  <c r="F1491" i="4"/>
  <c r="F1483" i="4"/>
  <c r="F1477" i="4"/>
  <c r="F1463" i="4"/>
  <c r="F1547" i="4"/>
  <c r="F1529" i="4"/>
  <c r="F1519" i="4"/>
  <c r="F1511" i="4"/>
  <c r="F1501" i="4"/>
  <c r="F1495" i="4"/>
  <c r="F1489" i="4"/>
  <c r="F1485" i="4"/>
  <c r="F1479" i="4"/>
  <c r="F1473" i="4"/>
  <c r="F1469" i="4"/>
  <c r="F1581" i="4"/>
  <c r="F1579" i="4"/>
  <c r="F1577" i="4"/>
  <c r="F1575" i="4"/>
  <c r="F1573" i="4"/>
  <c r="F1571" i="4"/>
  <c r="F1569" i="4"/>
  <c r="F1567" i="4"/>
  <c r="F1565" i="4"/>
  <c r="F1563" i="4"/>
  <c r="F1561" i="4"/>
  <c r="F1559" i="4"/>
  <c r="F1557" i="4"/>
  <c r="F1555" i="4"/>
  <c r="F1553" i="4"/>
  <c r="F1545" i="4"/>
  <c r="F1543" i="4"/>
  <c r="F1541" i="4"/>
  <c r="F1537" i="4"/>
  <c r="F1531" i="4"/>
  <c r="F1523" i="4"/>
  <c r="F1515" i="4"/>
  <c r="F1513" i="4"/>
  <c r="F1471" i="4"/>
  <c r="F1465" i="4"/>
  <c r="F1505" i="4"/>
  <c r="F1457" i="4"/>
  <c r="F1455" i="4"/>
  <c r="F1461" i="4"/>
  <c r="F1459" i="4"/>
  <c r="F1445" i="4"/>
  <c r="F1443" i="4"/>
  <c r="F1441" i="4"/>
  <c r="F1439" i="4"/>
  <c r="F1451" i="4"/>
  <c r="F1449" i="4"/>
  <c r="F1447" i="4"/>
  <c r="F1453" i="4"/>
  <c r="F1433" i="4"/>
  <c r="F1419" i="4"/>
  <c r="F1407" i="4"/>
  <c r="F1395" i="4"/>
  <c r="F1435" i="4"/>
  <c r="F1425" i="4"/>
  <c r="F1415" i="4"/>
  <c r="F1403" i="4"/>
  <c r="F1391" i="4"/>
  <c r="F1431" i="4"/>
  <c r="F1423" i="4"/>
  <c r="F1417" i="4"/>
  <c r="F1405" i="4"/>
  <c r="F1393" i="4"/>
  <c r="F1429" i="4"/>
  <c r="F1421" i="4"/>
  <c r="F1413" i="4"/>
  <c r="F1401" i="4"/>
  <c r="F1427" i="4"/>
  <c r="F1411" i="4"/>
  <c r="F1399" i="4"/>
  <c r="F1437" i="4"/>
  <c r="F1409" i="4"/>
  <c r="F1397" i="4"/>
  <c r="F1381" i="4"/>
  <c r="F1373" i="4"/>
  <c r="F1361" i="4"/>
  <c r="F1347" i="4"/>
  <c r="F1335" i="4"/>
  <c r="F1323" i="4"/>
  <c r="F1307" i="4"/>
  <c r="F1297" i="4"/>
  <c r="F1285" i="4"/>
  <c r="F1271" i="4"/>
  <c r="F1261" i="4"/>
  <c r="F1249" i="4"/>
  <c r="F1237" i="4"/>
  <c r="F1383" i="4"/>
  <c r="F1375" i="4"/>
  <c r="F1363" i="4"/>
  <c r="F1349" i="4"/>
  <c r="F1337" i="4"/>
  <c r="F1325" i="4"/>
  <c r="F1309" i="4"/>
  <c r="F1295" i="4"/>
  <c r="F1283" i="4"/>
  <c r="F1273" i="4"/>
  <c r="F1259" i="4"/>
  <c r="F1245" i="4"/>
  <c r="F1231" i="4"/>
  <c r="F1387" i="4"/>
  <c r="F1377" i="4"/>
  <c r="F1367" i="4"/>
  <c r="F1357" i="4"/>
  <c r="F1345" i="4"/>
  <c r="F1333" i="4"/>
  <c r="F1321" i="4"/>
  <c r="F1313" i="4"/>
  <c r="F1301" i="4"/>
  <c r="F1289" i="4"/>
  <c r="F1277" i="4"/>
  <c r="F1267" i="4"/>
  <c r="F1257" i="4"/>
  <c r="F1247" i="4"/>
  <c r="F1235" i="4"/>
  <c r="F1379" i="4"/>
  <c r="F1365" i="4"/>
  <c r="F1351" i="4"/>
  <c r="F1339" i="4"/>
  <c r="F1327" i="4"/>
  <c r="F1315" i="4"/>
  <c r="F1303" i="4"/>
  <c r="F1291" i="4"/>
  <c r="F1279" i="4"/>
  <c r="F1263" i="4"/>
  <c r="F1251" i="4"/>
  <c r="F1239" i="4"/>
  <c r="F1385" i="4"/>
  <c r="F1369" i="4"/>
  <c r="F1355" i="4"/>
  <c r="F1343" i="4"/>
  <c r="F1329" i="4"/>
  <c r="F1317" i="4"/>
  <c r="F1305" i="4"/>
  <c r="F1293" i="4"/>
  <c r="F1281" i="4"/>
  <c r="F1269" i="4"/>
  <c r="F1255" i="4"/>
  <c r="F1243" i="4"/>
  <c r="F1389" i="4"/>
  <c r="F1371" i="4"/>
  <c r="F1359" i="4"/>
  <c r="F1353" i="4"/>
  <c r="F1341" i="4"/>
  <c r="F1331" i="4"/>
  <c r="F1319" i="4"/>
  <c r="F1311" i="4"/>
  <c r="F1299" i="4"/>
  <c r="F1287" i="4"/>
  <c r="F1275" i="4"/>
  <c r="F1265" i="4"/>
  <c r="F1253" i="4"/>
  <c r="F1241" i="4"/>
  <c r="F1233" i="4"/>
  <c r="F1201" i="4"/>
  <c r="F1193" i="4"/>
  <c r="F1185" i="4"/>
  <c r="F1177" i="4"/>
  <c r="F1169" i="4"/>
  <c r="F1199" i="4"/>
  <c r="F1189" i="4"/>
  <c r="F1179" i="4"/>
  <c r="F1173" i="4"/>
  <c r="F1197" i="4"/>
  <c r="F1191" i="4"/>
  <c r="F1181" i="4"/>
  <c r="F1171" i="4"/>
  <c r="F1195" i="4"/>
  <c r="F1187" i="4"/>
  <c r="F1183" i="4"/>
  <c r="F1175" i="4"/>
  <c r="F1167" i="4"/>
  <c r="F1229" i="4"/>
  <c r="F1227" i="4"/>
  <c r="F1225" i="4"/>
  <c r="F1223" i="4"/>
  <c r="F1221" i="4"/>
  <c r="F1219" i="4"/>
  <c r="F1217" i="4"/>
  <c r="F1215" i="4"/>
  <c r="F1213" i="4"/>
  <c r="F1211" i="4"/>
  <c r="F1209" i="4"/>
  <c r="F1207" i="4"/>
  <c r="F1205" i="4"/>
  <c r="F1203" i="4"/>
  <c r="R16" i="48"/>
  <c r="Q16" i="48"/>
  <c r="F1119" i="4"/>
  <c r="F1121" i="4"/>
  <c r="F1123" i="4"/>
  <c r="F1125" i="4"/>
  <c r="F1161" i="4"/>
  <c r="F1157" i="4"/>
  <c r="F1153" i="4"/>
  <c r="F1147" i="4"/>
  <c r="F1141" i="4"/>
  <c r="F1133" i="4"/>
  <c r="F1127" i="4"/>
  <c r="F1165" i="4"/>
  <c r="F1145" i="4"/>
  <c r="F1137" i="4"/>
  <c r="F1131" i="4"/>
  <c r="F134" i="4"/>
  <c r="F1139" i="4"/>
  <c r="F1163" i="4"/>
  <c r="F1155" i="4"/>
  <c r="F1151" i="4"/>
  <c r="F1149" i="4"/>
  <c r="F1143" i="4"/>
  <c r="F1135" i="4"/>
  <c r="F1129" i="4"/>
  <c r="F1159" i="4"/>
  <c r="R15" i="48"/>
  <c r="Q15" i="48"/>
  <c r="Q6" i="48"/>
  <c r="Q7" i="48"/>
  <c r="R7" i="48"/>
  <c r="Q4" i="48"/>
  <c r="R4" i="48"/>
  <c r="R5" i="48"/>
  <c r="R6" i="48"/>
  <c r="Q8" i="48"/>
  <c r="R8" i="48"/>
  <c r="F14" i="4"/>
  <c r="F16" i="4"/>
  <c r="F24" i="4"/>
  <c r="F32" i="4"/>
  <c r="F40" i="4"/>
  <c r="F48" i="4"/>
  <c r="F56" i="4"/>
  <c r="F64" i="4"/>
  <c r="F72" i="4"/>
  <c r="F80" i="4"/>
  <c r="F88" i="4"/>
  <c r="F96" i="4"/>
  <c r="F104" i="4"/>
  <c r="F112" i="4"/>
  <c r="F120" i="4"/>
  <c r="F128" i="4"/>
  <c r="F18" i="4"/>
  <c r="F26" i="4"/>
  <c r="F34" i="4"/>
  <c r="F42" i="4"/>
  <c r="F50" i="4"/>
  <c r="F58" i="4"/>
  <c r="F66" i="4"/>
  <c r="F74" i="4"/>
  <c r="F82" i="4"/>
  <c r="F90" i="4"/>
  <c r="F98" i="4"/>
  <c r="F106" i="4"/>
  <c r="F114" i="4"/>
  <c r="F122" i="4"/>
  <c r="F130" i="4"/>
  <c r="F36" i="4"/>
  <c r="F60" i="4"/>
  <c r="F84" i="4"/>
  <c r="F108" i="4"/>
  <c r="F28" i="4"/>
  <c r="F44" i="4"/>
  <c r="F68" i="4"/>
  <c r="F100" i="4"/>
  <c r="F124" i="4"/>
  <c r="F22" i="4"/>
  <c r="F30" i="4"/>
  <c r="F38" i="4"/>
  <c r="F46" i="4"/>
  <c r="F54" i="4"/>
  <c r="F62" i="4"/>
  <c r="F70" i="4"/>
  <c r="F78" i="4"/>
  <c r="F86" i="4"/>
  <c r="F94" i="4"/>
  <c r="F102" i="4"/>
  <c r="F110" i="4"/>
  <c r="F118" i="4"/>
  <c r="F126" i="4"/>
  <c r="F20" i="4"/>
  <c r="F52" i="4"/>
  <c r="F76" i="4"/>
  <c r="F92" i="4"/>
  <c r="F116" i="4"/>
  <c r="Q5" i="48"/>
  <c r="F1115" i="4"/>
  <c r="F1105" i="4"/>
  <c r="F1101" i="4"/>
  <c r="F1093" i="4"/>
  <c r="F1085" i="4"/>
  <c r="F1079" i="4"/>
  <c r="F1071" i="4"/>
  <c r="F1063" i="4"/>
  <c r="F1111" i="4"/>
  <c r="F1097" i="4"/>
  <c r="F1089" i="4"/>
  <c r="F1081" i="4"/>
  <c r="F1073" i="4"/>
  <c r="F1113" i="4"/>
  <c r="F1103" i="4"/>
  <c r="F1095" i="4"/>
  <c r="F1087" i="4"/>
  <c r="F1077" i="4"/>
  <c r="F1069" i="4"/>
  <c r="F1117" i="4"/>
  <c r="F1107" i="4"/>
  <c r="F1099" i="4"/>
  <c r="F1091" i="4"/>
  <c r="F1083" i="4"/>
  <c r="F1075" i="4"/>
  <c r="F1065" i="4"/>
  <c r="F1109" i="4"/>
  <c r="F1067" i="4"/>
  <c r="F1061" i="4"/>
  <c r="F1059" i="4"/>
  <c r="F1057" i="4"/>
  <c r="F1055" i="4"/>
  <c r="F1053" i="4"/>
  <c r="F1051" i="4"/>
  <c r="F1049" i="4"/>
  <c r="F1047" i="4"/>
  <c r="F1045" i="4"/>
  <c r="F1043" i="4"/>
  <c r="F1041" i="4"/>
  <c r="F1039" i="4"/>
  <c r="F1037" i="4"/>
  <c r="F1035" i="4"/>
  <c r="F1033" i="4"/>
  <c r="F1031" i="4"/>
  <c r="F1029" i="4"/>
  <c r="F1027" i="4"/>
  <c r="F1025" i="4"/>
  <c r="F1023" i="4"/>
  <c r="F1021" i="4"/>
  <c r="F1019" i="4"/>
  <c r="F1017" i="4"/>
  <c r="F1015" i="4"/>
  <c r="F1013" i="4"/>
  <c r="F1011" i="4"/>
  <c r="F1009" i="4"/>
  <c r="F1007" i="4"/>
  <c r="F1005" i="4"/>
  <c r="F1003" i="4"/>
  <c r="F1001" i="4"/>
  <c r="F999" i="4"/>
  <c r="F997" i="4"/>
  <c r="F995" i="4"/>
  <c r="F993" i="4"/>
  <c r="F991" i="4"/>
  <c r="F989" i="4"/>
  <c r="F987" i="4"/>
  <c r="F985" i="4"/>
  <c r="F983" i="4"/>
  <c r="F981" i="4"/>
  <c r="F979" i="4"/>
  <c r="F977" i="4"/>
  <c r="F975" i="4"/>
  <c r="F973" i="4"/>
  <c r="F971" i="4"/>
  <c r="F969" i="4"/>
  <c r="F967" i="4"/>
  <c r="F965" i="4"/>
  <c r="F963" i="4"/>
  <c r="F961" i="4"/>
  <c r="F959" i="4"/>
  <c r="F957" i="4"/>
  <c r="F955" i="4"/>
  <c r="F953" i="4"/>
  <c r="F951" i="4"/>
  <c r="F949" i="4"/>
  <c r="F947" i="4"/>
  <c r="F945" i="4"/>
  <c r="F943" i="4"/>
  <c r="F941" i="4"/>
  <c r="F939" i="4"/>
  <c r="F937" i="4"/>
  <c r="F935" i="4"/>
  <c r="F933" i="4"/>
  <c r="F931" i="4"/>
  <c r="F929" i="4"/>
  <c r="F927" i="4"/>
  <c r="F925" i="4"/>
  <c r="F923" i="4"/>
  <c r="F921" i="4"/>
  <c r="F919" i="4"/>
  <c r="F917" i="4"/>
  <c r="F915" i="4"/>
  <c r="F913" i="4"/>
  <c r="F911" i="4"/>
  <c r="F909" i="4"/>
  <c r="F907" i="4"/>
  <c r="F905" i="4"/>
  <c r="F903" i="4"/>
  <c r="F901" i="4"/>
  <c r="F899" i="4"/>
  <c r="F897" i="4"/>
  <c r="F895" i="4"/>
  <c r="F893" i="4"/>
  <c r="F891" i="4"/>
  <c r="F889" i="4"/>
  <c r="F887" i="4"/>
  <c r="F885" i="4"/>
  <c r="F839" i="4"/>
  <c r="F699" i="4"/>
  <c r="F673" i="4"/>
  <c r="F661" i="4"/>
  <c r="F649" i="4"/>
  <c r="F637" i="4"/>
  <c r="F837" i="4"/>
  <c r="F835" i="4"/>
  <c r="F755" i="4"/>
  <c r="F743" i="4"/>
  <c r="F737" i="4"/>
  <c r="F729" i="4"/>
  <c r="F719" i="4"/>
  <c r="F711" i="4"/>
  <c r="F707" i="4"/>
  <c r="F693" i="4"/>
  <c r="F685" i="4"/>
  <c r="F677" i="4"/>
  <c r="F667" i="4"/>
  <c r="F653" i="4"/>
  <c r="F647" i="4"/>
  <c r="F633" i="4"/>
  <c r="F629" i="4"/>
  <c r="F625" i="4"/>
  <c r="F883" i="4"/>
  <c r="F879" i="4"/>
  <c r="F877" i="4"/>
  <c r="F873" i="4"/>
  <c r="F867" i="4"/>
  <c r="F863" i="4"/>
  <c r="F859" i="4"/>
  <c r="F855" i="4"/>
  <c r="F851" i="4"/>
  <c r="F847" i="4"/>
  <c r="F843" i="4"/>
  <c r="F833" i="4"/>
  <c r="F823" i="4"/>
  <c r="F819" i="4"/>
  <c r="F815" i="4"/>
  <c r="F811" i="4"/>
  <c r="F807" i="4"/>
  <c r="F803" i="4"/>
  <c r="F799" i="4"/>
  <c r="F793" i="4"/>
  <c r="F787" i="4"/>
  <c r="F783" i="4"/>
  <c r="F779" i="4"/>
  <c r="F775" i="4"/>
  <c r="F771" i="4"/>
  <c r="F767" i="4"/>
  <c r="F763" i="4"/>
  <c r="F759" i="4"/>
  <c r="F751" i="4"/>
  <c r="F747" i="4"/>
  <c r="F739" i="4"/>
  <c r="F731" i="4"/>
  <c r="F725" i="4"/>
  <c r="F717" i="4"/>
  <c r="F709" i="4"/>
  <c r="F701" i="4"/>
  <c r="F689" i="4"/>
  <c r="F681" i="4"/>
  <c r="F669" i="4"/>
  <c r="F657" i="4"/>
  <c r="F643" i="4"/>
  <c r="F631" i="4"/>
  <c r="F881" i="4"/>
  <c r="F875" i="4"/>
  <c r="F871" i="4"/>
  <c r="F869" i="4"/>
  <c r="F865" i="4"/>
  <c r="F861" i="4"/>
  <c r="F857" i="4"/>
  <c r="F853" i="4"/>
  <c r="F849" i="4"/>
  <c r="F845" i="4"/>
  <c r="F841" i="4"/>
  <c r="F829" i="4"/>
  <c r="F825" i="4"/>
  <c r="F821" i="4"/>
  <c r="F817" i="4"/>
  <c r="F813" i="4"/>
  <c r="F809" i="4"/>
  <c r="F805" i="4"/>
  <c r="F801" i="4"/>
  <c r="F797" i="4"/>
  <c r="F795" i="4"/>
  <c r="F791" i="4"/>
  <c r="F789" i="4"/>
  <c r="F785" i="4"/>
  <c r="F781" i="4"/>
  <c r="F777" i="4"/>
  <c r="F773" i="4"/>
  <c r="F769" i="4"/>
  <c r="F765" i="4"/>
  <c r="F761" i="4"/>
  <c r="F753" i="4"/>
  <c r="F749" i="4"/>
  <c r="F741" i="4"/>
  <c r="F733" i="4"/>
  <c r="F727" i="4"/>
  <c r="F721" i="4"/>
  <c r="F713" i="4"/>
  <c r="F703" i="4"/>
  <c r="F691" i="4"/>
  <c r="F683" i="4"/>
  <c r="F675" i="4"/>
  <c r="F663" i="4"/>
  <c r="F651" i="4"/>
  <c r="F641" i="4"/>
  <c r="F831" i="4"/>
  <c r="F695" i="4"/>
  <c r="F671" i="4"/>
  <c r="F659" i="4"/>
  <c r="F645" i="4"/>
  <c r="F635" i="4"/>
  <c r="F627" i="4"/>
  <c r="F623" i="4"/>
  <c r="F827" i="4"/>
  <c r="F757" i="4"/>
  <c r="F745" i="4"/>
  <c r="F735" i="4"/>
  <c r="F723" i="4"/>
  <c r="F715" i="4"/>
  <c r="F705" i="4"/>
  <c r="F697" i="4"/>
  <c r="F687" i="4"/>
  <c r="F679" i="4"/>
  <c r="F665" i="4"/>
  <c r="F655" i="4"/>
  <c r="F639" i="4"/>
  <c r="F617" i="4"/>
  <c r="F619" i="4"/>
  <c r="F621" i="4"/>
  <c r="F615" i="4"/>
  <c r="F599" i="4"/>
  <c r="F583" i="4"/>
  <c r="F567" i="4"/>
  <c r="F609" i="4"/>
  <c r="F601" i="4"/>
  <c r="F593" i="4"/>
  <c r="F585" i="4"/>
  <c r="F577" i="4"/>
  <c r="F569" i="4"/>
  <c r="F561" i="4"/>
  <c r="F553" i="4"/>
  <c r="F545" i="4"/>
  <c r="F607" i="4"/>
  <c r="F559" i="4"/>
  <c r="F611" i="4"/>
  <c r="F603" i="4"/>
  <c r="F595" i="4"/>
  <c r="F587" i="4"/>
  <c r="F579" i="4"/>
  <c r="F571" i="4"/>
  <c r="F563" i="4"/>
  <c r="F555" i="4"/>
  <c r="F547" i="4"/>
  <c r="F543" i="4"/>
  <c r="F551" i="4"/>
  <c r="F613" i="4"/>
  <c r="F605" i="4"/>
  <c r="F597" i="4"/>
  <c r="F589" i="4"/>
  <c r="F581" i="4"/>
  <c r="F573" i="4"/>
  <c r="F565" i="4"/>
  <c r="F557" i="4"/>
  <c r="F549" i="4"/>
  <c r="F575" i="4"/>
  <c r="F591" i="4"/>
  <c r="F527" i="4"/>
  <c r="F517" i="4"/>
  <c r="F499" i="4"/>
  <c r="F537" i="4"/>
  <c r="F519" i="4"/>
  <c r="F509" i="4"/>
  <c r="F485" i="4"/>
  <c r="F483" i="4"/>
  <c r="F481" i="4"/>
  <c r="F479" i="4"/>
  <c r="F469" i="4"/>
  <c r="F467" i="4"/>
  <c r="F465" i="4"/>
  <c r="F463" i="4"/>
  <c r="F453" i="4"/>
  <c r="F451" i="4"/>
  <c r="F449" i="4"/>
  <c r="F447" i="4"/>
  <c r="F437" i="4"/>
  <c r="F435" i="4"/>
  <c r="F433" i="4"/>
  <c r="F431" i="4"/>
  <c r="F529" i="4"/>
  <c r="F511" i="4"/>
  <c r="F501" i="4"/>
  <c r="F521" i="4"/>
  <c r="F503" i="4"/>
  <c r="F539" i="4"/>
  <c r="F531" i="4"/>
  <c r="F513" i="4"/>
  <c r="F495" i="4"/>
  <c r="F541" i="4"/>
  <c r="F523" i="4"/>
  <c r="F505" i="4"/>
  <c r="F493" i="4"/>
  <c r="F491" i="4"/>
  <c r="F489" i="4"/>
  <c r="F487" i="4"/>
  <c r="F477" i="4"/>
  <c r="F475" i="4"/>
  <c r="F473" i="4"/>
  <c r="F471" i="4"/>
  <c r="F461" i="4"/>
  <c r="F459" i="4"/>
  <c r="F457" i="4"/>
  <c r="F455" i="4"/>
  <c r="F445" i="4"/>
  <c r="F443" i="4"/>
  <c r="F441" i="4"/>
  <c r="F439" i="4"/>
  <c r="F533" i="4"/>
  <c r="F515" i="4"/>
  <c r="F497" i="4"/>
  <c r="F535" i="4"/>
  <c r="F525" i="4"/>
  <c r="F507" i="4"/>
  <c r="F421" i="4"/>
  <c r="F419" i="4"/>
  <c r="F417" i="4"/>
  <c r="F415" i="4"/>
  <c r="F405" i="4"/>
  <c r="F403" i="4"/>
  <c r="F401" i="4"/>
  <c r="F399" i="4"/>
  <c r="F389" i="4"/>
  <c r="F387" i="4"/>
  <c r="F385" i="4"/>
  <c r="F383" i="4"/>
  <c r="F373" i="4"/>
  <c r="F371" i="4"/>
  <c r="F369" i="4"/>
  <c r="F367" i="4"/>
  <c r="F357" i="4"/>
  <c r="F355" i="4"/>
  <c r="F353" i="4"/>
  <c r="F351" i="4"/>
  <c r="F341" i="4"/>
  <c r="F339" i="4"/>
  <c r="F337" i="4"/>
  <c r="F335" i="4"/>
  <c r="F429" i="4"/>
  <c r="F427" i="4"/>
  <c r="F425" i="4"/>
  <c r="F423" i="4"/>
  <c r="F413" i="4"/>
  <c r="F411" i="4"/>
  <c r="F409" i="4"/>
  <c r="F407" i="4"/>
  <c r="F397" i="4"/>
  <c r="F395" i="4"/>
  <c r="F393" i="4"/>
  <c r="F391" i="4"/>
  <c r="F381" i="4"/>
  <c r="F379" i="4"/>
  <c r="F377" i="4"/>
  <c r="F375" i="4"/>
  <c r="F365" i="4"/>
  <c r="F363" i="4"/>
  <c r="F361" i="4"/>
  <c r="F359" i="4"/>
  <c r="F349" i="4"/>
  <c r="F347" i="4"/>
  <c r="F345" i="4"/>
  <c r="F343" i="4"/>
  <c r="F148" i="4"/>
  <c r="F141" i="4"/>
  <c r="F162" i="4"/>
  <c r="F155" i="4"/>
  <c r="F176" i="4"/>
  <c r="F169" i="4"/>
  <c r="F190" i="4"/>
  <c r="F183" i="4"/>
  <c r="F204" i="4"/>
  <c r="F197" i="4"/>
  <c r="F218" i="4"/>
  <c r="F211" i="4"/>
  <c r="F232" i="4"/>
  <c r="F225" i="4"/>
  <c r="F239" i="4"/>
  <c r="F333" i="4"/>
  <c r="F319" i="4"/>
  <c r="F311" i="4"/>
  <c r="F307" i="4"/>
  <c r="F295" i="4"/>
  <c r="F259" i="4"/>
  <c r="F327" i="4"/>
  <c r="F317" i="4"/>
  <c r="F301" i="4"/>
  <c r="F289" i="4"/>
  <c r="F279" i="4"/>
  <c r="F271" i="4"/>
  <c r="F257" i="4"/>
  <c r="F243" i="4"/>
  <c r="F331" i="4"/>
  <c r="F323" i="4"/>
  <c r="F309" i="4"/>
  <c r="F285" i="4"/>
  <c r="F277" i="4"/>
  <c r="F269" i="4"/>
  <c r="F267" i="4"/>
  <c r="F265" i="4"/>
  <c r="F263" i="4"/>
  <c r="F253" i="4"/>
  <c r="F251" i="4"/>
  <c r="F249" i="4"/>
  <c r="F247" i="4"/>
  <c r="F325" i="4"/>
  <c r="F315" i="4"/>
  <c r="F305" i="4"/>
  <c r="F293" i="4"/>
  <c r="F281" i="4"/>
  <c r="F273" i="4"/>
  <c r="F255" i="4"/>
  <c r="F321" i="4"/>
  <c r="F299" i="4"/>
  <c r="F291" i="4"/>
  <c r="F283" i="4"/>
  <c r="F275" i="4"/>
  <c r="F261" i="4"/>
  <c r="F329" i="4"/>
  <c r="F313" i="4"/>
  <c r="F303" i="4"/>
  <c r="F297" i="4"/>
  <c r="F287" i="4"/>
  <c r="F139" i="4"/>
  <c r="F237" i="4"/>
  <c r="F213" i="4"/>
  <c r="F202" i="4"/>
  <c r="F178" i="4"/>
  <c r="F167" i="4"/>
  <c r="F245" i="4"/>
  <c r="F220" i="4"/>
  <c r="F209" i="4"/>
  <c r="F185" i="4"/>
  <c r="F174" i="4"/>
  <c r="F146" i="4"/>
  <c r="F227" i="4"/>
  <c r="F216" i="4"/>
  <c r="F192" i="4"/>
  <c r="F181" i="4"/>
  <c r="F157" i="4"/>
  <c r="F234" i="4"/>
  <c r="F223" i="4"/>
  <c r="F199" i="4"/>
  <c r="F188" i="4"/>
  <c r="F164" i="4"/>
  <c r="F153" i="4"/>
  <c r="F241" i="4"/>
  <c r="F230" i="4"/>
  <c r="F206" i="4"/>
  <c r="F195" i="4"/>
  <c r="F171" i="4"/>
  <c r="F160" i="4"/>
  <c r="F150" i="4"/>
  <c r="F143" i="4"/>
  <c r="F136" i="4"/>
  <c r="D196" i="49" l="1" a="1"/>
  <c r="D196" i="49" s="1"/>
  <c r="D208" i="49" a="1"/>
  <c r="D208" i="49" s="1"/>
  <c r="D216" i="49" a="1"/>
  <c r="D216" i="49" s="1"/>
  <c r="D225" i="49" a="1"/>
  <c r="D225" i="49" s="1"/>
  <c r="D231" i="49" a="1"/>
  <c r="D231" i="49" s="1"/>
  <c r="D239" i="49" a="1"/>
  <c r="D239" i="49" s="1"/>
  <c r="D253" i="49" a="1"/>
  <c r="D253" i="49" s="1"/>
  <c r="D260" i="49" a="1"/>
  <c r="D260" i="49" s="1"/>
  <c r="D267" i="49" a="1"/>
  <c r="D267" i="49" s="1"/>
  <c r="D274" i="49" a="1"/>
  <c r="D274" i="49" s="1"/>
  <c r="D281" i="49" a="1"/>
  <c r="D281" i="49" s="1"/>
  <c r="D289" i="49" a="1"/>
  <c r="D289" i="49" s="1"/>
  <c r="D295" i="49" a="1"/>
  <c r="D295" i="49" s="1"/>
  <c r="D303" i="49" a="1"/>
  <c r="D303" i="49" s="1"/>
  <c r="D317" i="49" a="1"/>
  <c r="D317" i="49" s="1"/>
  <c r="D324" i="49" a="1"/>
  <c r="D324" i="49" s="1"/>
  <c r="D331" i="49" a="1"/>
  <c r="D331" i="49" s="1"/>
  <c r="D338" i="49" a="1"/>
  <c r="D338" i="49" s="1"/>
  <c r="D345" i="49" a="1"/>
  <c r="D345" i="49" s="1"/>
  <c r="D356" i="49" a="1"/>
  <c r="D356" i="49" s="1"/>
  <c r="D363" i="49" a="1"/>
  <c r="D363" i="49" s="1"/>
  <c r="D369" i="49" a="1"/>
  <c r="D369" i="49" s="1"/>
  <c r="D375" i="49" a="1"/>
  <c r="D375" i="49" s="1"/>
  <c r="D381" i="49" a="1"/>
  <c r="D381" i="49" s="1"/>
  <c r="D400" i="49" a="1"/>
  <c r="D400" i="49" s="1"/>
  <c r="D406" i="49" a="1"/>
  <c r="D406" i="49" s="1"/>
  <c r="D419" i="49" a="1"/>
  <c r="D419" i="49" s="1"/>
  <c r="D426" i="49" a="1"/>
  <c r="D426" i="49" s="1"/>
  <c r="D431" i="49" a="1"/>
  <c r="D431" i="49" s="1"/>
  <c r="D437" i="49" a="1"/>
  <c r="D437" i="49" s="1"/>
  <c r="D444" i="49" a="1"/>
  <c r="D444" i="49" s="1"/>
  <c r="D457" i="49" a="1"/>
  <c r="D457" i="49" s="1"/>
  <c r="D462" i="49" a="1"/>
  <c r="D462" i="49" s="1"/>
  <c r="D475" i="49" a="1"/>
  <c r="D475" i="49" s="1"/>
  <c r="D482" i="49" a="1"/>
  <c r="D482" i="49" s="1"/>
  <c r="D488" i="49" a="1"/>
  <c r="D488" i="49" s="1"/>
  <c r="D493" i="49" a="1"/>
  <c r="D493" i="49" s="1"/>
  <c r="D500" i="49" a="1"/>
  <c r="D500" i="49" s="1"/>
  <c r="D514" i="49" a="1"/>
  <c r="D514" i="49" s="1"/>
  <c r="D521" i="49" a="1"/>
  <c r="D521" i="49" s="1"/>
  <c r="D528" i="49" a="1"/>
  <c r="D528" i="49" s="1"/>
  <c r="D536" i="49" a="1"/>
  <c r="D536" i="49" s="1"/>
  <c r="D543" i="49" a="1"/>
  <c r="D543" i="49" s="1"/>
  <c r="D550" i="49" a="1"/>
  <c r="D550" i="49" s="1"/>
  <c r="D577" i="49" a="1"/>
  <c r="D577" i="49" s="1"/>
  <c r="D584" i="49" a="1"/>
  <c r="D584" i="49" s="1"/>
  <c r="D598" i="49" a="1"/>
  <c r="D598" i="49" s="1"/>
  <c r="D604" i="49" a="1"/>
  <c r="D604" i="49" s="1"/>
  <c r="D611" i="49" a="1"/>
  <c r="D611" i="49" s="1"/>
  <c r="D618" i="49" a="1"/>
  <c r="D618" i="49" s="1"/>
  <c r="D624" i="49" a="1"/>
  <c r="D624" i="49" s="1"/>
  <c r="D638" i="49" a="1"/>
  <c r="D638" i="49" s="1"/>
  <c r="D644" i="49" a="1"/>
  <c r="D644" i="49" s="1"/>
  <c r="D651" i="49" a="1"/>
  <c r="D651" i="49" s="1"/>
  <c r="D657" i="49" a="1"/>
  <c r="D657" i="49" s="1"/>
  <c r="D664" i="49" a="1"/>
  <c r="D664" i="49" s="1"/>
  <c r="D672" i="49" a="1"/>
  <c r="D672" i="49" s="1"/>
  <c r="D680" i="49" a="1"/>
  <c r="D680" i="49" s="1"/>
  <c r="D688" i="49" a="1"/>
  <c r="D688" i="49" s="1"/>
  <c r="D696" i="49" a="1"/>
  <c r="D696" i="49" s="1"/>
  <c r="D704" i="49" a="1"/>
  <c r="D704" i="49" s="1"/>
  <c r="D712" i="49" a="1"/>
  <c r="D712" i="49" s="1"/>
  <c r="D720" i="49" a="1"/>
  <c r="D720" i="49" s="1"/>
  <c r="D728" i="49" a="1"/>
  <c r="D728" i="49" s="1"/>
  <c r="D736" i="49" a="1"/>
  <c r="D736" i="49" s="1"/>
  <c r="D744" i="49" a="1"/>
  <c r="D744" i="49" s="1"/>
  <c r="D752" i="49" a="1"/>
  <c r="D752" i="49" s="1"/>
  <c r="D760" i="49" a="1"/>
  <c r="D760" i="49" s="1"/>
  <c r="D768" i="49" a="1"/>
  <c r="D768" i="49" s="1"/>
  <c r="D776" i="49" a="1"/>
  <c r="D776" i="49" s="1"/>
  <c r="D784" i="49" a="1"/>
  <c r="D784" i="49" s="1"/>
  <c r="D197" i="49" a="1"/>
  <c r="D197" i="49" s="1"/>
  <c r="D209" i="49" a="1"/>
  <c r="D209" i="49" s="1"/>
  <c r="D217" i="49" a="1"/>
  <c r="D217" i="49" s="1"/>
  <c r="D232" i="49" a="1"/>
  <c r="D232" i="49" s="1"/>
  <c r="D240" i="49" a="1"/>
  <c r="D240" i="49" s="1"/>
  <c r="D246" i="49" a="1"/>
  <c r="D246" i="49" s="1"/>
  <c r="D254" i="49" a="1"/>
  <c r="D254" i="49" s="1"/>
  <c r="D261" i="49" a="1"/>
  <c r="D261" i="49" s="1"/>
  <c r="D268" i="49" a="1"/>
  <c r="D268" i="49" s="1"/>
  <c r="D275" i="49" a="1"/>
  <c r="D275" i="49" s="1"/>
  <c r="D282" i="49" a="1"/>
  <c r="D282" i="49" s="1"/>
  <c r="D296" i="49" a="1"/>
  <c r="D296" i="49" s="1"/>
  <c r="D304" i="49" a="1"/>
  <c r="D304" i="49" s="1"/>
  <c r="D310" i="49" a="1"/>
  <c r="D310" i="49" s="1"/>
  <c r="D318" i="49" a="1"/>
  <c r="D318" i="49" s="1"/>
  <c r="D325" i="49" a="1"/>
  <c r="D325" i="49" s="1"/>
  <c r="D332" i="49" a="1"/>
  <c r="D332" i="49" s="1"/>
  <c r="D339" i="49" a="1"/>
  <c r="D339" i="49" s="1"/>
  <c r="D346" i="49" a="1"/>
  <c r="D346" i="49" s="1"/>
  <c r="D351" i="49" a="1"/>
  <c r="D351" i="49" s="1"/>
  <c r="D357" i="49" a="1"/>
  <c r="D357" i="49" s="1"/>
  <c r="D370" i="49" a="1"/>
  <c r="D370" i="49" s="1"/>
  <c r="D376" i="49" a="1"/>
  <c r="D376" i="49" s="1"/>
  <c r="D382" i="49" a="1"/>
  <c r="D382" i="49" s="1"/>
  <c r="D388" i="49" a="1"/>
  <c r="D388" i="49" s="1"/>
  <c r="D395" i="49" a="1"/>
  <c r="D395" i="49" s="1"/>
  <c r="D401" i="49" a="1"/>
  <c r="D401" i="49" s="1"/>
  <c r="D407" i="49" a="1"/>
  <c r="D407" i="49" s="1"/>
  <c r="D413" i="49" a="1"/>
  <c r="D413" i="49" s="1"/>
  <c r="D432" i="49" a="1"/>
  <c r="D432" i="49" s="1"/>
  <c r="D438" i="49" a="1"/>
  <c r="D438" i="49" s="1"/>
  <c r="D451" i="49" a="1"/>
  <c r="D451" i="49" s="1"/>
  <c r="D458" i="49" a="1"/>
  <c r="D458" i="49" s="1"/>
  <c r="D463" i="49" a="1"/>
  <c r="D463" i="49" s="1"/>
  <c r="D469" i="49" a="1"/>
  <c r="D469" i="49" s="1"/>
  <c r="D476" i="49" a="1"/>
  <c r="D476" i="49" s="1"/>
  <c r="D489" i="49" a="1"/>
  <c r="D489" i="49" s="1"/>
  <c r="D494" i="49" a="1"/>
  <c r="D494" i="49" s="1"/>
  <c r="D507" i="49" a="1"/>
  <c r="D507" i="49" s="1"/>
  <c r="D515" i="49" a="1"/>
  <c r="D515" i="49" s="1"/>
  <c r="D522" i="49" a="1"/>
  <c r="D522" i="49" s="1"/>
  <c r="D529" i="49" a="1"/>
  <c r="D529" i="49" s="1"/>
  <c r="D537" i="49" a="1"/>
  <c r="D537" i="49" s="1"/>
  <c r="D544" i="49" a="1"/>
  <c r="D544" i="49" s="1"/>
  <c r="D551" i="49" a="1"/>
  <c r="D551" i="49" s="1"/>
  <c r="D557" i="49" a="1"/>
  <c r="D557" i="49" s="1"/>
  <c r="D564" i="49" a="1"/>
  <c r="D564" i="49" s="1"/>
  <c r="D571" i="49" a="1"/>
  <c r="D571" i="49" s="1"/>
  <c r="D578" i="49" a="1"/>
  <c r="D578" i="49" s="1"/>
  <c r="D585" i="49" a="1"/>
  <c r="D585" i="49" s="1"/>
  <c r="D591" i="49" a="1"/>
  <c r="D591" i="49" s="1"/>
  <c r="D599" i="49" a="1"/>
  <c r="D599" i="49" s="1"/>
  <c r="D605" i="49" a="1"/>
  <c r="D605" i="49" s="1"/>
  <c r="D619" i="49" a="1"/>
  <c r="D619" i="49" s="1"/>
  <c r="D625" i="49" a="1"/>
  <c r="D625" i="49" s="1"/>
  <c r="D632" i="49" a="1"/>
  <c r="D632" i="49" s="1"/>
  <c r="D639" i="49" a="1"/>
  <c r="D639" i="49" s="1"/>
  <c r="D645" i="49" a="1"/>
  <c r="D645" i="49" s="1"/>
  <c r="D658" i="49" a="1"/>
  <c r="D658" i="49" s="1"/>
  <c r="D665" i="49" a="1"/>
  <c r="D665" i="49" s="1"/>
  <c r="D673" i="49" a="1"/>
  <c r="D673" i="49" s="1"/>
  <c r="D681" i="49" a="1"/>
  <c r="D681" i="49" s="1"/>
  <c r="D689" i="49" a="1"/>
  <c r="D689" i="49" s="1"/>
  <c r="D697" i="49" a="1"/>
  <c r="D697" i="49" s="1"/>
  <c r="D705" i="49" a="1"/>
  <c r="D705" i="49" s="1"/>
  <c r="D713" i="49" a="1"/>
  <c r="D713" i="49" s="1"/>
  <c r="D721" i="49" a="1"/>
  <c r="D721" i="49" s="1"/>
  <c r="D729" i="49" a="1"/>
  <c r="D729" i="49" s="1"/>
  <c r="D737" i="49" a="1"/>
  <c r="D737" i="49" s="1"/>
  <c r="D745" i="49" a="1"/>
  <c r="D745" i="49" s="1"/>
  <c r="D753" i="49" a="1"/>
  <c r="D753" i="49" s="1"/>
  <c r="D761" i="49" a="1"/>
  <c r="D761" i="49" s="1"/>
  <c r="D198" i="49" a="1"/>
  <c r="D198" i="49" s="1"/>
  <c r="D218" i="49" a="1"/>
  <c r="D218" i="49" s="1"/>
  <c r="D226" i="49" a="1"/>
  <c r="D226" i="49" s="1"/>
  <c r="D233" i="49" a="1"/>
  <c r="D233" i="49" s="1"/>
  <c r="D241" i="49" a="1"/>
  <c r="D241" i="49" s="1"/>
  <c r="D247" i="49" a="1"/>
  <c r="D247" i="49" s="1"/>
  <c r="D255" i="49" a="1"/>
  <c r="D255" i="49" s="1"/>
  <c r="D269" i="49" a="1"/>
  <c r="D269" i="49" s="1"/>
  <c r="D276" i="49" a="1"/>
  <c r="D276" i="49" s="1"/>
  <c r="D283" i="49" a="1"/>
  <c r="D283" i="49" s="1"/>
  <c r="D290" i="49" a="1"/>
  <c r="D290" i="49" s="1"/>
  <c r="D297" i="49" a="1"/>
  <c r="D297" i="49" s="1"/>
  <c r="D305" i="49" a="1"/>
  <c r="D305" i="49" s="1"/>
  <c r="D311" i="49" a="1"/>
  <c r="D311" i="49" s="1"/>
  <c r="D319" i="49" a="1"/>
  <c r="D319" i="49" s="1"/>
  <c r="D333" i="49" a="1"/>
  <c r="D333" i="49" s="1"/>
  <c r="D340" i="49" a="1"/>
  <c r="D340" i="49" s="1"/>
  <c r="D352" i="49" a="1"/>
  <c r="D352" i="49" s="1"/>
  <c r="D358" i="49" a="1"/>
  <c r="D358" i="49" s="1"/>
  <c r="D364" i="49" a="1"/>
  <c r="D364" i="49" s="1"/>
  <c r="D371" i="49" a="1"/>
  <c r="D371" i="49" s="1"/>
  <c r="D377" i="49" a="1"/>
  <c r="D377" i="49" s="1"/>
  <c r="D383" i="49" a="1"/>
  <c r="D383" i="49" s="1"/>
  <c r="D389" i="49" a="1"/>
  <c r="D389" i="49" s="1"/>
  <c r="D402" i="49" a="1"/>
  <c r="D402" i="49" s="1"/>
  <c r="D408" i="49" a="1"/>
  <c r="D408" i="49" s="1"/>
  <c r="D414" i="49" a="1"/>
  <c r="D414" i="49" s="1"/>
  <c r="D420" i="49" a="1"/>
  <c r="D420" i="49" s="1"/>
  <c r="D427" i="49" a="1"/>
  <c r="D427" i="49" s="1"/>
  <c r="D433" i="49" a="1"/>
  <c r="D433" i="49" s="1"/>
  <c r="D439" i="49" a="1"/>
  <c r="D439" i="49" s="1"/>
  <c r="D445" i="49" a="1"/>
  <c r="D445" i="49" s="1"/>
  <c r="D464" i="49" a="1"/>
  <c r="D464" i="49" s="1"/>
  <c r="D470" i="49" a="1"/>
  <c r="D470" i="49" s="1"/>
  <c r="D483" i="49" a="1"/>
  <c r="D483" i="49" s="1"/>
  <c r="D490" i="49" a="1"/>
  <c r="D490" i="49" s="1"/>
  <c r="D495" i="49" a="1"/>
  <c r="D495" i="49" s="1"/>
  <c r="D501" i="49" a="1"/>
  <c r="D501" i="49" s="1"/>
  <c r="D508" i="49" a="1"/>
  <c r="D508" i="49" s="1"/>
  <c r="D523" i="49" a="1"/>
  <c r="D523" i="49" s="1"/>
  <c r="D530" i="49" a="1"/>
  <c r="D530" i="49" s="1"/>
  <c r="D538" i="49" a="1"/>
  <c r="D538" i="49" s="1"/>
  <c r="D545" i="49" a="1"/>
  <c r="D545" i="49" s="1"/>
  <c r="D552" i="49" a="1"/>
  <c r="D552" i="49" s="1"/>
  <c r="D558" i="49" a="1"/>
  <c r="D558" i="49" s="1"/>
  <c r="D565" i="49" a="1"/>
  <c r="D565" i="49" s="1"/>
  <c r="D572" i="49" a="1"/>
  <c r="D572" i="49" s="1"/>
  <c r="D579" i="49" a="1"/>
  <c r="D579" i="49" s="1"/>
  <c r="D586" i="49" a="1"/>
  <c r="D586" i="49" s="1"/>
  <c r="D592" i="49" a="1"/>
  <c r="D592" i="49" s="1"/>
  <c r="D606" i="49" a="1"/>
  <c r="D606" i="49" s="1"/>
  <c r="D612" i="49" a="1"/>
  <c r="D612" i="49" s="1"/>
  <c r="D620" i="49" a="1"/>
  <c r="D620" i="49" s="1"/>
  <c r="D626" i="49" a="1"/>
  <c r="D626" i="49" s="1"/>
  <c r="D633" i="49" a="1"/>
  <c r="D633" i="49" s="1"/>
  <c r="D640" i="49" a="1"/>
  <c r="D640" i="49" s="1"/>
  <c r="D646" i="49" a="1"/>
  <c r="D646" i="49" s="1"/>
  <c r="D652" i="49" a="1"/>
  <c r="D652" i="49" s="1"/>
  <c r="D659" i="49" a="1"/>
  <c r="D659" i="49" s="1"/>
  <c r="D666" i="49" a="1"/>
  <c r="D666" i="49" s="1"/>
  <c r="D674" i="49" a="1"/>
  <c r="D674" i="49" s="1"/>
  <c r="D682" i="49" a="1"/>
  <c r="D682" i="49" s="1"/>
  <c r="D690" i="49" a="1"/>
  <c r="D690" i="49" s="1"/>
  <c r="D698" i="49" a="1"/>
  <c r="D698" i="49" s="1"/>
  <c r="D706" i="49" a="1"/>
  <c r="D706" i="49" s="1"/>
  <c r="D714" i="49" a="1"/>
  <c r="D714" i="49" s="1"/>
  <c r="D722" i="49" a="1"/>
  <c r="D722" i="49" s="1"/>
  <c r="D730" i="49" a="1"/>
  <c r="D730" i="49" s="1"/>
  <c r="D738" i="49" a="1"/>
  <c r="D738" i="49" s="1"/>
  <c r="D200" i="49" a="1"/>
  <c r="D200" i="49" s="1"/>
  <c r="D210" i="49" a="1"/>
  <c r="D210" i="49" s="1"/>
  <c r="D219" i="49" a="1"/>
  <c r="D219" i="49" s="1"/>
  <c r="D227" i="49" a="1"/>
  <c r="D227" i="49" s="1"/>
  <c r="D234" i="49" a="1"/>
  <c r="D234" i="49" s="1"/>
  <c r="D248" i="49" a="1"/>
  <c r="D248" i="49" s="1"/>
  <c r="D256" i="49" a="1"/>
  <c r="D256" i="49" s="1"/>
  <c r="D262" i="49" a="1"/>
  <c r="D262" i="49" s="1"/>
  <c r="D270" i="49" a="1"/>
  <c r="D270" i="49" s="1"/>
  <c r="D277" i="49" a="1"/>
  <c r="D277" i="49" s="1"/>
  <c r="D284" i="49" a="1"/>
  <c r="D284" i="49" s="1"/>
  <c r="D291" i="49" a="1"/>
  <c r="D291" i="49" s="1"/>
  <c r="D298" i="49" a="1"/>
  <c r="D298" i="49" s="1"/>
  <c r="D312" i="49" a="1"/>
  <c r="D312" i="49" s="1"/>
  <c r="D320" i="49" a="1"/>
  <c r="D320" i="49" s="1"/>
  <c r="D326" i="49" a="1"/>
  <c r="D326" i="49" s="1"/>
  <c r="D334" i="49" a="1"/>
  <c r="D334" i="49" s="1"/>
  <c r="D341" i="49" a="1"/>
  <c r="D341" i="49" s="1"/>
  <c r="D347" i="49" a="1"/>
  <c r="D347" i="49" s="1"/>
  <c r="D353" i="49" a="1"/>
  <c r="D353" i="49" s="1"/>
  <c r="D359" i="49" a="1"/>
  <c r="D359" i="49" s="1"/>
  <c r="D378" i="49" a="1"/>
  <c r="D378" i="49" s="1"/>
  <c r="D384" i="49" a="1"/>
  <c r="D384" i="49" s="1"/>
  <c r="D390" i="49" a="1"/>
  <c r="D390" i="49" s="1"/>
  <c r="D396" i="49" a="1"/>
  <c r="D396" i="49" s="1"/>
  <c r="D403" i="49" a="1"/>
  <c r="D403" i="49" s="1"/>
  <c r="D409" i="49" a="1"/>
  <c r="D409" i="49" s="1"/>
  <c r="D415" i="49" a="1"/>
  <c r="D415" i="49" s="1"/>
  <c r="D421" i="49" a="1"/>
  <c r="D421" i="49" s="1"/>
  <c r="D434" i="49" a="1"/>
  <c r="D434" i="49" s="1"/>
  <c r="D440" i="49" a="1"/>
  <c r="D440" i="49" s="1"/>
  <c r="D446" i="49" a="1"/>
  <c r="D446" i="49" s="1"/>
  <c r="D452" i="49" a="1"/>
  <c r="D452" i="49" s="1"/>
  <c r="D459" i="49" a="1"/>
  <c r="D459" i="49" s="1"/>
  <c r="D465" i="49" a="1"/>
  <c r="D465" i="49" s="1"/>
  <c r="D471" i="49" a="1"/>
  <c r="D471" i="49" s="1"/>
  <c r="D477" i="49" a="1"/>
  <c r="D477" i="49" s="1"/>
  <c r="D496" i="49" a="1"/>
  <c r="D496" i="49" s="1"/>
  <c r="D502" i="49" a="1"/>
  <c r="D502" i="49" s="1"/>
  <c r="D509" i="49" a="1"/>
  <c r="D509" i="49" s="1"/>
  <c r="D516" i="49" a="1"/>
  <c r="D516" i="49" s="1"/>
  <c r="D524" i="49" a="1"/>
  <c r="D524" i="49" s="1"/>
  <c r="D531" i="49" a="1"/>
  <c r="D531" i="49" s="1"/>
  <c r="D546" i="49" a="1"/>
  <c r="D546" i="49" s="1"/>
  <c r="D553" i="49" a="1"/>
  <c r="D553" i="49" s="1"/>
  <c r="D559" i="49" a="1"/>
  <c r="D559" i="49" s="1"/>
  <c r="D566" i="49" a="1"/>
  <c r="D566" i="49" s="1"/>
  <c r="D587" i="49" a="1"/>
  <c r="D587" i="49" s="1"/>
  <c r="D593" i="49" a="1"/>
  <c r="D593" i="49" s="1"/>
  <c r="D600" i="49" a="1"/>
  <c r="D600" i="49" s="1"/>
  <c r="D607" i="49" a="1"/>
  <c r="D607" i="49" s="1"/>
  <c r="D613" i="49" a="1"/>
  <c r="D613" i="49" s="1"/>
  <c r="D627" i="49" a="1"/>
  <c r="D627" i="49" s="1"/>
  <c r="D634" i="49" a="1"/>
  <c r="D634" i="49" s="1"/>
  <c r="D647" i="49" a="1"/>
  <c r="D647" i="49" s="1"/>
  <c r="D653" i="49" a="1"/>
  <c r="D653" i="49" s="1"/>
  <c r="D667" i="49" a="1"/>
  <c r="D667" i="49" s="1"/>
  <c r="D675" i="49" a="1"/>
  <c r="D675" i="49" s="1"/>
  <c r="D683" i="49" a="1"/>
  <c r="D683" i="49" s="1"/>
  <c r="D691" i="49" a="1"/>
  <c r="D691" i="49" s="1"/>
  <c r="D699" i="49" a="1"/>
  <c r="D699" i="49" s="1"/>
  <c r="D707" i="49" a="1"/>
  <c r="D707" i="49" s="1"/>
  <c r="D715" i="49" a="1"/>
  <c r="D715" i="49" s="1"/>
  <c r="D723" i="49" a="1"/>
  <c r="D723" i="49" s="1"/>
  <c r="D731" i="49" a="1"/>
  <c r="D731" i="49" s="1"/>
  <c r="D739" i="49" a="1"/>
  <c r="D739" i="49" s="1"/>
  <c r="D747" i="49" a="1"/>
  <c r="D747" i="49" s="1"/>
  <c r="D755" i="49" a="1"/>
  <c r="D755" i="49" s="1"/>
  <c r="D763" i="49" a="1"/>
  <c r="D763" i="49" s="1"/>
  <c r="D201" i="49" a="1"/>
  <c r="D201" i="49" s="1"/>
  <c r="D211" i="49" a="1"/>
  <c r="D211" i="49" s="1"/>
  <c r="D220" i="49" a="1"/>
  <c r="D220" i="49" s="1"/>
  <c r="D228" i="49" a="1"/>
  <c r="D228" i="49" s="1"/>
  <c r="D235" i="49" a="1"/>
  <c r="D235" i="49" s="1"/>
  <c r="D242" i="49" a="1"/>
  <c r="D242" i="49" s="1"/>
  <c r="D249" i="49" a="1"/>
  <c r="D249" i="49" s="1"/>
  <c r="D257" i="49" a="1"/>
  <c r="D257" i="49" s="1"/>
  <c r="D263" i="49" a="1"/>
  <c r="D263" i="49" s="1"/>
  <c r="D271" i="49" a="1"/>
  <c r="D271" i="49" s="1"/>
  <c r="D285" i="49" a="1"/>
  <c r="D285" i="49" s="1"/>
  <c r="D292" i="49" a="1"/>
  <c r="D292" i="49" s="1"/>
  <c r="D299" i="49" a="1"/>
  <c r="D299" i="49" s="1"/>
  <c r="D306" i="49" a="1"/>
  <c r="D306" i="49" s="1"/>
  <c r="D313" i="49" a="1"/>
  <c r="D313" i="49" s="1"/>
  <c r="D321" i="49" a="1"/>
  <c r="D321" i="49" s="1"/>
  <c r="D327" i="49" a="1"/>
  <c r="D327" i="49" s="1"/>
  <c r="D335" i="49" a="1"/>
  <c r="D335" i="49" s="1"/>
  <c r="D348" i="49" a="1"/>
  <c r="D348" i="49" s="1"/>
  <c r="D354" i="49" a="1"/>
  <c r="D354" i="49" s="1"/>
  <c r="D360" i="49" a="1"/>
  <c r="D360" i="49" s="1"/>
  <c r="D365" i="49" a="1"/>
  <c r="D365" i="49" s="1"/>
  <c r="D372" i="49" a="1"/>
  <c r="D372" i="49" s="1"/>
  <c r="D385" i="49" a="1"/>
  <c r="D385" i="49" s="1"/>
  <c r="D391" i="49" a="1"/>
  <c r="D391" i="49" s="1"/>
  <c r="D410" i="49" a="1"/>
  <c r="D410" i="49" s="1"/>
  <c r="D416" i="49" a="1"/>
  <c r="D416" i="49" s="1"/>
  <c r="D422" i="49" a="1"/>
  <c r="D422" i="49" s="1"/>
  <c r="D428" i="49" a="1"/>
  <c r="D428" i="49" s="1"/>
  <c r="D435" i="49" a="1"/>
  <c r="D435" i="49" s="1"/>
  <c r="D441" i="49" a="1"/>
  <c r="D441" i="49" s="1"/>
  <c r="D447" i="49" a="1"/>
  <c r="D447" i="49" s="1"/>
  <c r="D453" i="49" a="1"/>
  <c r="D453" i="49" s="1"/>
  <c r="D466" i="49" a="1"/>
  <c r="D466" i="49" s="1"/>
  <c r="D472" i="49" a="1"/>
  <c r="D472" i="49" s="1"/>
  <c r="D478" i="49" a="1"/>
  <c r="D478" i="49" s="1"/>
  <c r="D484" i="49" a="1"/>
  <c r="D484" i="49" s="1"/>
  <c r="D491" i="49" a="1"/>
  <c r="D491" i="49" s="1"/>
  <c r="D497" i="49" a="1"/>
  <c r="D497" i="49" s="1"/>
  <c r="D503" i="49" a="1"/>
  <c r="D503" i="49" s="1"/>
  <c r="D510" i="49" a="1"/>
  <c r="D510" i="49" s="1"/>
  <c r="D517" i="49" a="1"/>
  <c r="D517" i="49" s="1"/>
  <c r="D532" i="49" a="1"/>
  <c r="D532" i="49" s="1"/>
  <c r="D539" i="49" a="1"/>
  <c r="D539" i="49" s="1"/>
  <c r="D547" i="49" a="1"/>
  <c r="D547" i="49" s="1"/>
  <c r="D554" i="49" a="1"/>
  <c r="D554" i="49" s="1"/>
  <c r="D560" i="49" a="1"/>
  <c r="D560" i="49" s="1"/>
  <c r="D567" i="49" a="1"/>
  <c r="D567" i="49" s="1"/>
  <c r="D573" i="49" a="1"/>
  <c r="D573" i="49" s="1"/>
  <c r="D580" i="49" a="1"/>
  <c r="D580" i="49" s="1"/>
  <c r="D588" i="49" a="1"/>
  <c r="D588" i="49" s="1"/>
  <c r="D594" i="49" a="1"/>
  <c r="D594" i="49" s="1"/>
  <c r="D601" i="49" a="1"/>
  <c r="D601" i="49" s="1"/>
  <c r="D608" i="49" a="1"/>
  <c r="D608" i="49" s="1"/>
  <c r="D614" i="49" a="1"/>
  <c r="D614" i="49" s="1"/>
  <c r="D621" i="49" a="1"/>
  <c r="D621" i="49" s="1"/>
  <c r="D628" i="49" a="1"/>
  <c r="D628" i="49" s="1"/>
  <c r="D641" i="49" a="1"/>
  <c r="D641" i="49" s="1"/>
  <c r="D654" i="49" a="1"/>
  <c r="D654" i="49" s="1"/>
  <c r="D660" i="49" a="1"/>
  <c r="D660" i="49" s="1"/>
  <c r="D668" i="49" a="1"/>
  <c r="D668" i="49" s="1"/>
  <c r="D676" i="49" a="1"/>
  <c r="D676" i="49" s="1"/>
  <c r="D684" i="49" a="1"/>
  <c r="D684" i="49" s="1"/>
  <c r="D692" i="49" a="1"/>
  <c r="D692" i="49" s="1"/>
  <c r="D700" i="49" a="1"/>
  <c r="D700" i="49" s="1"/>
  <c r="D708" i="49" a="1"/>
  <c r="D708" i="49" s="1"/>
  <c r="D716" i="49" a="1"/>
  <c r="D716" i="49" s="1"/>
  <c r="D724" i="49" a="1"/>
  <c r="D724" i="49" s="1"/>
  <c r="D732" i="49" a="1"/>
  <c r="D732" i="49" s="1"/>
  <c r="D740" i="49" a="1"/>
  <c r="D740" i="49" s="1"/>
  <c r="D748" i="49" a="1"/>
  <c r="D748" i="49" s="1"/>
  <c r="D186" i="49" a="1"/>
  <c r="D186" i="49" s="1"/>
  <c r="D203" i="49" a="1"/>
  <c r="D203" i="49" s="1"/>
  <c r="D213" i="49" a="1"/>
  <c r="D213" i="49" s="1"/>
  <c r="D222" i="49" a="1"/>
  <c r="D222" i="49" s="1"/>
  <c r="D229" i="49" a="1"/>
  <c r="D229" i="49" s="1"/>
  <c r="D236" i="49" a="1"/>
  <c r="D236" i="49" s="1"/>
  <c r="D243" i="49" a="1"/>
  <c r="D243" i="49" s="1"/>
  <c r="D250" i="49" a="1"/>
  <c r="D250" i="49" s="1"/>
  <c r="D264" i="49" a="1"/>
  <c r="D264" i="49" s="1"/>
  <c r="D272" i="49" a="1"/>
  <c r="D272" i="49" s="1"/>
  <c r="D278" i="49" a="1"/>
  <c r="D278" i="49" s="1"/>
  <c r="D286" i="49" a="1"/>
  <c r="D286" i="49" s="1"/>
  <c r="D293" i="49" a="1"/>
  <c r="D293" i="49" s="1"/>
  <c r="D300" i="49" a="1"/>
  <c r="D300" i="49" s="1"/>
  <c r="D307" i="49" a="1"/>
  <c r="D307" i="49" s="1"/>
  <c r="D314" i="49" a="1"/>
  <c r="D314" i="49" s="1"/>
  <c r="D328" i="49" a="1"/>
  <c r="D328" i="49" s="1"/>
  <c r="D336" i="49" a="1"/>
  <c r="D336" i="49" s="1"/>
  <c r="D342" i="49" a="1"/>
  <c r="D342" i="49" s="1"/>
  <c r="D361" i="49" a="1"/>
  <c r="D361" i="49" s="1"/>
  <c r="D366" i="49" a="1"/>
  <c r="D366" i="49" s="1"/>
  <c r="D379" i="49" a="1"/>
  <c r="D379" i="49" s="1"/>
  <c r="D386" i="49" a="1"/>
  <c r="D386" i="49" s="1"/>
  <c r="D392" i="49" a="1"/>
  <c r="D392" i="49" s="1"/>
  <c r="D397" i="49" a="1"/>
  <c r="D397" i="49" s="1"/>
  <c r="D404" i="49" a="1"/>
  <c r="D404" i="49" s="1"/>
  <c r="D417" i="49" a="1"/>
  <c r="D417" i="49" s="1"/>
  <c r="D423" i="49" a="1"/>
  <c r="D423" i="49" s="1"/>
  <c r="D442" i="49" a="1"/>
  <c r="D442" i="49" s="1"/>
  <c r="D448" i="49" a="1"/>
  <c r="D448" i="49" s="1"/>
  <c r="D454" i="49" a="1"/>
  <c r="D454" i="49" s="1"/>
  <c r="D460" i="49" a="1"/>
  <c r="D460" i="49" s="1"/>
  <c r="D467" i="49" a="1"/>
  <c r="D467" i="49" s="1"/>
  <c r="D473" i="49" a="1"/>
  <c r="D473" i="49" s="1"/>
  <c r="D479" i="49" a="1"/>
  <c r="D479" i="49" s="1"/>
  <c r="D485" i="49" a="1"/>
  <c r="D485" i="49" s="1"/>
  <c r="D498" i="49" a="1"/>
  <c r="D498" i="49" s="1"/>
  <c r="D504" i="49" a="1"/>
  <c r="D504" i="49" s="1"/>
  <c r="D511" i="49" a="1"/>
  <c r="D511" i="49" s="1"/>
  <c r="D518" i="49" a="1"/>
  <c r="D518" i="49" s="1"/>
  <c r="D525" i="49" a="1"/>
  <c r="D525" i="49" s="1"/>
  <c r="D533" i="49" a="1"/>
  <c r="D533" i="49" s="1"/>
  <c r="D540" i="49" a="1"/>
  <c r="D540" i="49" s="1"/>
  <c r="D561" i="49" a="1"/>
  <c r="D561" i="49" s="1"/>
  <c r="D568" i="49" a="1"/>
  <c r="D568" i="49" s="1"/>
  <c r="D574" i="49" a="1"/>
  <c r="D574" i="49" s="1"/>
  <c r="D581" i="49" a="1"/>
  <c r="D581" i="49" s="1"/>
  <c r="D595" i="49" a="1"/>
  <c r="D595" i="49" s="1"/>
  <c r="D602" i="49" a="1"/>
  <c r="D602" i="49" s="1"/>
  <c r="D615" i="49" a="1"/>
  <c r="D615" i="49" s="1"/>
  <c r="D622" i="49" a="1"/>
  <c r="D622" i="49" s="1"/>
  <c r="D629" i="49" a="1"/>
  <c r="D629" i="49" s="1"/>
  <c r="D635" i="49" a="1"/>
  <c r="D635" i="49" s="1"/>
  <c r="D642" i="49" a="1"/>
  <c r="D642" i="49" s="1"/>
  <c r="D648" i="49" a="1"/>
  <c r="D648" i="49" s="1"/>
  <c r="D655" i="49" a="1"/>
  <c r="D655" i="49" s="1"/>
  <c r="D661" i="49" a="1"/>
  <c r="D661" i="49" s="1"/>
  <c r="D669" i="49" a="1"/>
  <c r="D669" i="49" s="1"/>
  <c r="D677" i="49" a="1"/>
  <c r="D677" i="49" s="1"/>
  <c r="D685" i="49" a="1"/>
  <c r="D685" i="49" s="1"/>
  <c r="D693" i="49" a="1"/>
  <c r="D693" i="49" s="1"/>
  <c r="D701" i="49" a="1"/>
  <c r="D701" i="49" s="1"/>
  <c r="D709" i="49" a="1"/>
  <c r="D709" i="49" s="1"/>
  <c r="D717" i="49" a="1"/>
  <c r="D717" i="49" s="1"/>
  <c r="D725" i="49" a="1"/>
  <c r="D725" i="49" s="1"/>
  <c r="D733" i="49" a="1"/>
  <c r="D733" i="49" s="1"/>
  <c r="D741" i="49" a="1"/>
  <c r="D741" i="49" s="1"/>
  <c r="D749" i="49" a="1"/>
  <c r="D749" i="49" s="1"/>
  <c r="D757" i="49" a="1"/>
  <c r="D757" i="49" s="1"/>
  <c r="D765" i="49" a="1"/>
  <c r="D765" i="49" s="1"/>
  <c r="D189" i="49" a="1"/>
  <c r="D189" i="49" s="1"/>
  <c r="D204" i="49" a="1"/>
  <c r="D204" i="49" s="1"/>
  <c r="D214" i="49" a="1"/>
  <c r="D214" i="49" s="1"/>
  <c r="D223" i="49" a="1"/>
  <c r="D223" i="49" s="1"/>
  <c r="D237" i="49" a="1"/>
  <c r="D237" i="49" s="1"/>
  <c r="D244" i="49" a="1"/>
  <c r="D244" i="49" s="1"/>
  <c r="D251" i="49" a="1"/>
  <c r="D251" i="49" s="1"/>
  <c r="D258" i="49" a="1"/>
  <c r="D258" i="49" s="1"/>
  <c r="D265" i="49" a="1"/>
  <c r="D265" i="49" s="1"/>
  <c r="D273" i="49" a="1"/>
  <c r="D273" i="49" s="1"/>
  <c r="D279" i="49" a="1"/>
  <c r="D279" i="49" s="1"/>
  <c r="D287" i="49" a="1"/>
  <c r="D287" i="49" s="1"/>
  <c r="D301" i="49" a="1"/>
  <c r="D301" i="49" s="1"/>
  <c r="D308" i="49" a="1"/>
  <c r="D308" i="49" s="1"/>
  <c r="D315" i="49" a="1"/>
  <c r="D315" i="49" s="1"/>
  <c r="D322" i="49" a="1"/>
  <c r="D322" i="49" s="1"/>
  <c r="D329" i="49" a="1"/>
  <c r="D329" i="49" s="1"/>
  <c r="D337" i="49" a="1"/>
  <c r="D337" i="49" s="1"/>
  <c r="D343" i="49" a="1"/>
  <c r="D343" i="49" s="1"/>
  <c r="D349" i="49" a="1"/>
  <c r="D349" i="49" s="1"/>
  <c r="D355" i="49" a="1"/>
  <c r="D355" i="49" s="1"/>
  <c r="D362" i="49" a="1"/>
  <c r="D362" i="49" s="1"/>
  <c r="D367" i="49" a="1"/>
  <c r="D367" i="49" s="1"/>
  <c r="D373" i="49" a="1"/>
  <c r="D373" i="49" s="1"/>
  <c r="D380" i="49" a="1"/>
  <c r="D380" i="49" s="1"/>
  <c r="D393" i="49" a="1"/>
  <c r="D393" i="49" s="1"/>
  <c r="D398" i="49" a="1"/>
  <c r="D398" i="49" s="1"/>
  <c r="D411" i="49" a="1"/>
  <c r="D411" i="49" s="1"/>
  <c r="D418" i="49" a="1"/>
  <c r="D418" i="49" s="1"/>
  <c r="D424" i="49" a="1"/>
  <c r="D424" i="49" s="1"/>
  <c r="D429" i="49" a="1"/>
  <c r="D429" i="49" s="1"/>
  <c r="D436" i="49" a="1"/>
  <c r="D436" i="49" s="1"/>
  <c r="D449" i="49" a="1"/>
  <c r="D449" i="49" s="1"/>
  <c r="D455" i="49" a="1"/>
  <c r="D455" i="49" s="1"/>
  <c r="D474" i="49" a="1"/>
  <c r="D474" i="49" s="1"/>
  <c r="D480" i="49" a="1"/>
  <c r="D480" i="49" s="1"/>
  <c r="D486" i="49" a="1"/>
  <c r="D486" i="49" s="1"/>
  <c r="D492" i="49" a="1"/>
  <c r="D492" i="49" s="1"/>
  <c r="D499" i="49" a="1"/>
  <c r="D499" i="49" s="1"/>
  <c r="D505" i="49" a="1"/>
  <c r="D505" i="49" s="1"/>
  <c r="D512" i="49" a="1"/>
  <c r="D512" i="49" s="1"/>
  <c r="D519" i="49" a="1"/>
  <c r="D519" i="49" s="1"/>
  <c r="D526" i="49" a="1"/>
  <c r="D526" i="49" s="1"/>
  <c r="D534" i="49" a="1"/>
  <c r="D534" i="49" s="1"/>
  <c r="D541" i="49" a="1"/>
  <c r="D541" i="49" s="1"/>
  <c r="D548" i="49" a="1"/>
  <c r="D548" i="49" s="1"/>
  <c r="D555" i="49" a="1"/>
  <c r="D555" i="49" s="1"/>
  <c r="D562" i="49" a="1"/>
  <c r="D562" i="49" s="1"/>
  <c r="D569" i="49" a="1"/>
  <c r="D569" i="49" s="1"/>
  <c r="D575" i="49" a="1"/>
  <c r="D575" i="49" s="1"/>
  <c r="D582" i="49" a="1"/>
  <c r="D582" i="49" s="1"/>
  <c r="D589" i="49" a="1"/>
  <c r="D589" i="49" s="1"/>
  <c r="D596" i="49" a="1"/>
  <c r="D596" i="49" s="1"/>
  <c r="D609" i="49" a="1"/>
  <c r="D609" i="49" s="1"/>
  <c r="D616" i="49" a="1"/>
  <c r="D616" i="49" s="1"/>
  <c r="D630" i="49" a="1"/>
  <c r="D630" i="49" s="1"/>
  <c r="D636" i="49" a="1"/>
  <c r="D636" i="49" s="1"/>
  <c r="D643" i="49" a="1"/>
  <c r="D643" i="49" s="1"/>
  <c r="D649" i="49" a="1"/>
  <c r="D649" i="49" s="1"/>
  <c r="D662" i="49" a="1"/>
  <c r="D662" i="49" s="1"/>
  <c r="D670" i="49" a="1"/>
  <c r="D670" i="49" s="1"/>
  <c r="D678" i="49" a="1"/>
  <c r="D678" i="49" s="1"/>
  <c r="D686" i="49" a="1"/>
  <c r="D686" i="49" s="1"/>
  <c r="D694" i="49" a="1"/>
  <c r="D694" i="49" s="1"/>
  <c r="D702" i="49" a="1"/>
  <c r="D702" i="49" s="1"/>
  <c r="D710" i="49" a="1"/>
  <c r="D710" i="49" s="1"/>
  <c r="D718" i="49" a="1"/>
  <c r="D718" i="49" s="1"/>
  <c r="D726" i="49" a="1"/>
  <c r="D726" i="49" s="1"/>
  <c r="D734" i="49" a="1"/>
  <c r="D734" i="49" s="1"/>
  <c r="D206" i="49" a="1"/>
  <c r="D206" i="49" s="1"/>
  <c r="D215" i="49" a="1"/>
  <c r="D215" i="49" s="1"/>
  <c r="D224" i="49" a="1"/>
  <c r="D224" i="49" s="1"/>
  <c r="D230" i="49" a="1"/>
  <c r="D230" i="49" s="1"/>
  <c r="D238" i="49" a="1"/>
  <c r="D238" i="49" s="1"/>
  <c r="D245" i="49" a="1"/>
  <c r="D245" i="49" s="1"/>
  <c r="D252" i="49" a="1"/>
  <c r="D252" i="49" s="1"/>
  <c r="D259" i="49" a="1"/>
  <c r="D259" i="49" s="1"/>
  <c r="D266" i="49" a="1"/>
  <c r="D266" i="49" s="1"/>
  <c r="D280" i="49" a="1"/>
  <c r="D280" i="49" s="1"/>
  <c r="D288" i="49" a="1"/>
  <c r="D288" i="49" s="1"/>
  <c r="D294" i="49" a="1"/>
  <c r="D294" i="49" s="1"/>
  <c r="D302" i="49" a="1"/>
  <c r="D302" i="49" s="1"/>
  <c r="D309" i="49" a="1"/>
  <c r="D309" i="49" s="1"/>
  <c r="D316" i="49" a="1"/>
  <c r="D316" i="49" s="1"/>
  <c r="D323" i="49" a="1"/>
  <c r="D323" i="49" s="1"/>
  <c r="D330" i="49" a="1"/>
  <c r="D330" i="49" s="1"/>
  <c r="D344" i="49" a="1"/>
  <c r="D344" i="49" s="1"/>
  <c r="D350" i="49" a="1"/>
  <c r="D350" i="49" s="1"/>
  <c r="D368" i="49" a="1"/>
  <c r="D368" i="49" s="1"/>
  <c r="D374" i="49" a="1"/>
  <c r="D374" i="49" s="1"/>
  <c r="D387" i="49" a="1"/>
  <c r="D387" i="49" s="1"/>
  <c r="D394" i="49" a="1"/>
  <c r="D394" i="49" s="1"/>
  <c r="D399" i="49" a="1"/>
  <c r="D399" i="49" s="1"/>
  <c r="D405" i="49" a="1"/>
  <c r="D405" i="49" s="1"/>
  <c r="D412" i="49" a="1"/>
  <c r="D412" i="49" s="1"/>
  <c r="D425" i="49" a="1"/>
  <c r="D425" i="49" s="1"/>
  <c r="D430" i="49" a="1"/>
  <c r="D430" i="49" s="1"/>
  <c r="D443" i="49" a="1"/>
  <c r="D443" i="49" s="1"/>
  <c r="D450" i="49" a="1"/>
  <c r="D450" i="49" s="1"/>
  <c r="D456" i="49" a="1"/>
  <c r="D456" i="49" s="1"/>
  <c r="D461" i="49" a="1"/>
  <c r="D461" i="49" s="1"/>
  <c r="D468" i="49" a="1"/>
  <c r="D468" i="49" s="1"/>
  <c r="D481" i="49" a="1"/>
  <c r="D481" i="49" s="1"/>
  <c r="D487" i="49" a="1"/>
  <c r="D487" i="49" s="1"/>
  <c r="D506" i="49" a="1"/>
  <c r="D506" i="49" s="1"/>
  <c r="D513" i="49" a="1"/>
  <c r="D513" i="49" s="1"/>
  <c r="D520" i="49" a="1"/>
  <c r="D520" i="49" s="1"/>
  <c r="D527" i="49" a="1"/>
  <c r="D527" i="49" s="1"/>
  <c r="D535" i="49" a="1"/>
  <c r="D535" i="49" s="1"/>
  <c r="D542" i="49" a="1"/>
  <c r="D542" i="49" s="1"/>
  <c r="D549" i="49" a="1"/>
  <c r="D549" i="49" s="1"/>
  <c r="D556" i="49" a="1"/>
  <c r="D556" i="49" s="1"/>
  <c r="D563" i="49" a="1"/>
  <c r="D563" i="49" s="1"/>
  <c r="D570" i="49" a="1"/>
  <c r="D570" i="49" s="1"/>
  <c r="D576" i="49" a="1"/>
  <c r="D576" i="49" s="1"/>
  <c r="D583" i="49" a="1"/>
  <c r="D583" i="49" s="1"/>
  <c r="D590" i="49" a="1"/>
  <c r="D590" i="49" s="1"/>
  <c r="D597" i="49" a="1"/>
  <c r="D597" i="49" s="1"/>
  <c r="D603" i="49" a="1"/>
  <c r="D603" i="49" s="1"/>
  <c r="D610" i="49" a="1"/>
  <c r="D610" i="49" s="1"/>
  <c r="D617" i="49" a="1"/>
  <c r="D617" i="49" s="1"/>
  <c r="D623" i="49" a="1"/>
  <c r="D623" i="49" s="1"/>
  <c r="D631" i="49" a="1"/>
  <c r="D631" i="49" s="1"/>
  <c r="D637" i="49" a="1"/>
  <c r="D637" i="49" s="1"/>
  <c r="D650" i="49" a="1"/>
  <c r="D650" i="49" s="1"/>
  <c r="D656" i="49" a="1"/>
  <c r="D656" i="49" s="1"/>
  <c r="D663" i="49" a="1"/>
  <c r="D663" i="49" s="1"/>
  <c r="D671" i="49" a="1"/>
  <c r="D671" i="49" s="1"/>
  <c r="D679" i="49" a="1"/>
  <c r="D679" i="49" s="1"/>
  <c r="D687" i="49" a="1"/>
  <c r="D687" i="49" s="1"/>
  <c r="D695" i="49" a="1"/>
  <c r="D695" i="49" s="1"/>
  <c r="D703" i="49" a="1"/>
  <c r="D703" i="49" s="1"/>
  <c r="D711" i="49" a="1"/>
  <c r="D711" i="49" s="1"/>
  <c r="D719" i="49" a="1"/>
  <c r="D719" i="49" s="1"/>
  <c r="D727" i="49" a="1"/>
  <c r="D727" i="49" s="1"/>
  <c r="D735" i="49" a="1"/>
  <c r="D735" i="49" s="1"/>
  <c r="D743" i="49" a="1"/>
  <c r="D743" i="49" s="1"/>
  <c r="D751" i="49" a="1"/>
  <c r="D751" i="49" s="1"/>
  <c r="D756" i="49" a="1"/>
  <c r="D756" i="49" s="1"/>
  <c r="D770" i="49" a="1"/>
  <c r="D770" i="49" s="1"/>
  <c r="D779" i="49" a="1"/>
  <c r="D779" i="49" s="1"/>
  <c r="D788" i="49" a="1"/>
  <c r="D788" i="49" s="1"/>
  <c r="D796" i="49" a="1"/>
  <c r="D796" i="49" s="1"/>
  <c r="D804" i="49" a="1"/>
  <c r="D804" i="49" s="1"/>
  <c r="D812" i="49" a="1"/>
  <c r="D812" i="49" s="1"/>
  <c r="D820" i="49" a="1"/>
  <c r="D820" i="49" s="1"/>
  <c r="D828" i="49" a="1"/>
  <c r="D828" i="49" s="1"/>
  <c r="D836" i="49" a="1"/>
  <c r="D836" i="49" s="1"/>
  <c r="D844" i="49" a="1"/>
  <c r="D844" i="49" s="1"/>
  <c r="D852" i="49" a="1"/>
  <c r="D852" i="49" s="1"/>
  <c r="D860" i="49" a="1"/>
  <c r="D860" i="49" s="1"/>
  <c r="D868" i="49" a="1"/>
  <c r="D868" i="49" s="1"/>
  <c r="C6" i="49" a="1"/>
  <c r="C6" i="49" s="1"/>
  <c r="I6" i="49" s="1" a="1"/>
  <c r="I6" i="49" s="1"/>
  <c r="C13" i="49" a="1"/>
  <c r="C13" i="49" s="1"/>
  <c r="I13" i="49" s="1" a="1"/>
  <c r="I13" i="49" s="1"/>
  <c r="C20" i="49" a="1"/>
  <c r="C20" i="49" s="1"/>
  <c r="I20" i="49" s="1" a="1"/>
  <c r="I20" i="49" s="1"/>
  <c r="C28" i="49" a="1"/>
  <c r="C28" i="49" s="1"/>
  <c r="I28" i="49" s="1" a="1"/>
  <c r="I28" i="49" s="1"/>
  <c r="C35" i="49" a="1"/>
  <c r="C35" i="49" s="1"/>
  <c r="I35" i="49" s="1" a="1"/>
  <c r="I35" i="49" s="1"/>
  <c r="C43" i="49" a="1"/>
  <c r="C43" i="49" s="1"/>
  <c r="I43" i="49" s="1" a="1"/>
  <c r="I43" i="49" s="1"/>
  <c r="C50" i="49" a="1"/>
  <c r="C50" i="49" s="1"/>
  <c r="I50" i="49" s="1" a="1"/>
  <c r="I50" i="49" s="1"/>
  <c r="C58" i="49" a="1"/>
  <c r="C58" i="49" s="1"/>
  <c r="I58" i="49" s="1" a="1"/>
  <c r="I58" i="49" s="1"/>
  <c r="C65" i="49" a="1"/>
  <c r="C65" i="49" s="1"/>
  <c r="I65" i="49" s="1" a="1"/>
  <c r="I65" i="49" s="1"/>
  <c r="C80" i="49" a="1"/>
  <c r="C80" i="49" s="1"/>
  <c r="I80" i="49" s="1" a="1"/>
  <c r="I80" i="49" s="1"/>
  <c r="C87" i="49" a="1"/>
  <c r="C87" i="49" s="1"/>
  <c r="I87" i="49" s="1" a="1"/>
  <c r="I87" i="49" s="1"/>
  <c r="C95" i="49" a="1"/>
  <c r="C95" i="49" s="1"/>
  <c r="C102" i="49" a="1"/>
  <c r="C102" i="49" s="1"/>
  <c r="I102" i="49" s="1" a="1"/>
  <c r="I102" i="49" s="1"/>
  <c r="C109" i="49" a="1"/>
  <c r="C109" i="49" s="1"/>
  <c r="I109" i="49" s="1" a="1"/>
  <c r="I109" i="49" s="1"/>
  <c r="C116" i="49" a="1"/>
  <c r="C116" i="49" s="1"/>
  <c r="I116" i="49" s="1" a="1"/>
  <c r="I116" i="49" s="1"/>
  <c r="C124" i="49" a="1"/>
  <c r="C124" i="49" s="1"/>
  <c r="I124" i="49" s="1" a="1"/>
  <c r="I124" i="49" s="1"/>
  <c r="C131" i="49" a="1"/>
  <c r="C131" i="49" s="1"/>
  <c r="I131" i="49" s="1" a="1"/>
  <c r="I131" i="49" s="1"/>
  <c r="C138" i="49" a="1"/>
  <c r="C138" i="49" s="1"/>
  <c r="I138" i="49" s="1" a="1"/>
  <c r="I138" i="49" s="1"/>
  <c r="C145" i="49" a="1"/>
  <c r="C145" i="49" s="1"/>
  <c r="I145" i="49" s="1" a="1"/>
  <c r="I145" i="49" s="1"/>
  <c r="C153" i="49" a="1"/>
  <c r="C153" i="49" s="1"/>
  <c r="I153" i="49" s="1" a="1"/>
  <c r="I153" i="49" s="1"/>
  <c r="C168" i="49" a="1"/>
  <c r="C168" i="49" s="1"/>
  <c r="I168" i="49" s="1" a="1"/>
  <c r="I168" i="49" s="1"/>
  <c r="C174" i="49" a="1"/>
  <c r="C174" i="49" s="1"/>
  <c r="I174" i="49" s="1" a="1"/>
  <c r="I174" i="49" s="1"/>
  <c r="C181" i="49" a="1"/>
  <c r="C181" i="49" s="1"/>
  <c r="I181" i="49" s="1" a="1"/>
  <c r="I181" i="49" s="1"/>
  <c r="C189" i="49" a="1"/>
  <c r="C189" i="49" s="1"/>
  <c r="I189" i="49" s="1" a="1"/>
  <c r="I189" i="49" s="1"/>
  <c r="C196" i="49" a="1"/>
  <c r="C196" i="49" s="1"/>
  <c r="I196" i="49" s="1" a="1"/>
  <c r="I196" i="49" s="1"/>
  <c r="C203" i="49" a="1"/>
  <c r="C203" i="49" s="1"/>
  <c r="I203" i="49" s="1" a="1"/>
  <c r="I203" i="49" s="1"/>
  <c r="C209" i="49" a="1"/>
  <c r="C209" i="49" s="1"/>
  <c r="I209" i="49" s="1" a="1"/>
  <c r="I209" i="49" s="1"/>
  <c r="C217" i="49" a="1"/>
  <c r="C217" i="49" s="1"/>
  <c r="I217" i="49" s="1" a="1"/>
  <c r="I217" i="49" s="1"/>
  <c r="C232" i="49" a="1"/>
  <c r="C232" i="49" s="1"/>
  <c r="I232" i="49" s="1" a="1"/>
  <c r="I232" i="49" s="1"/>
  <c r="C238" i="49" a="1"/>
  <c r="C238" i="49" s="1"/>
  <c r="C245" i="49" a="1"/>
  <c r="C245" i="49" s="1"/>
  <c r="I245" i="49" s="1" a="1"/>
  <c r="I245" i="49" s="1"/>
  <c r="C253" i="49" a="1"/>
  <c r="C253" i="49" s="1"/>
  <c r="I253" i="49" s="1" a="1"/>
  <c r="I253" i="49" s="1"/>
  <c r="C261" i="49" a="1"/>
  <c r="C261" i="49" s="1"/>
  <c r="I261" i="49" s="1" a="1"/>
  <c r="I261" i="49" s="1"/>
  <c r="C268" i="49" a="1"/>
  <c r="C268" i="49" s="1"/>
  <c r="I268" i="49" s="1" a="1"/>
  <c r="I268" i="49" s="1"/>
  <c r="C274" i="49" a="1"/>
  <c r="C274" i="49" s="1"/>
  <c r="I274" i="49" s="1" a="1"/>
  <c r="I274" i="49" s="1"/>
  <c r="C282" i="49" a="1"/>
  <c r="C282" i="49" s="1"/>
  <c r="I282" i="49" s="1" a="1"/>
  <c r="I282" i="49" s="1"/>
  <c r="C290" i="49" a="1"/>
  <c r="C290" i="49" s="1"/>
  <c r="C297" i="49" a="1"/>
  <c r="C297" i="49" s="1"/>
  <c r="I297" i="49" s="1" a="1"/>
  <c r="I297" i="49" s="1"/>
  <c r="C304" i="49" a="1"/>
  <c r="C304" i="49" s="1"/>
  <c r="I304" i="49" s="1" a="1"/>
  <c r="I304" i="49" s="1"/>
  <c r="C311" i="49" a="1"/>
  <c r="C311" i="49" s="1"/>
  <c r="I311" i="49" s="1" a="1"/>
  <c r="I311" i="49" s="1"/>
  <c r="C319" i="49" a="1"/>
  <c r="C319" i="49" s="1"/>
  <c r="I319" i="49" s="1" a="1"/>
  <c r="I319" i="49" s="1"/>
  <c r="C327" i="49" a="1"/>
  <c r="C327" i="49" s="1"/>
  <c r="I327" i="49" s="1" a="1"/>
  <c r="I327" i="49" s="1"/>
  <c r="C335" i="49" a="1"/>
  <c r="C335" i="49" s="1"/>
  <c r="I335" i="49" s="1" a="1"/>
  <c r="I335" i="49" s="1"/>
  <c r="C343" i="49" a="1"/>
  <c r="C343" i="49" s="1"/>
  <c r="I343" i="49" s="1" a="1"/>
  <c r="I343" i="49" s="1"/>
  <c r="C350" i="49" a="1"/>
  <c r="C350" i="49" s="1"/>
  <c r="I350" i="49" s="1" a="1"/>
  <c r="I350" i="49" s="1"/>
  <c r="C364" i="49" a="1"/>
  <c r="C364" i="49" s="1"/>
  <c r="I364" i="49" s="1" a="1"/>
  <c r="I364" i="49" s="1"/>
  <c r="C370" i="49" a="1"/>
  <c r="C370" i="49" s="1"/>
  <c r="I370" i="49" s="1" a="1"/>
  <c r="I370" i="49" s="1"/>
  <c r="C378" i="49" a="1"/>
  <c r="C378" i="49" s="1"/>
  <c r="C384" i="49" a="1"/>
  <c r="C384" i="49" s="1"/>
  <c r="I384" i="49" s="1" a="1"/>
  <c r="I384" i="49" s="1"/>
  <c r="C390" i="49" a="1"/>
  <c r="C390" i="49" s="1"/>
  <c r="I390" i="49" s="1" a="1"/>
  <c r="I390" i="49" s="1"/>
  <c r="C404" i="49" a="1"/>
  <c r="C404" i="49" s="1"/>
  <c r="I404" i="49" s="1" a="1"/>
  <c r="I404" i="49" s="1"/>
  <c r="C411" i="49" a="1"/>
  <c r="C411" i="49" s="1"/>
  <c r="I411" i="49" s="1" a="1"/>
  <c r="I411" i="49" s="1"/>
  <c r="C424" i="49" a="1"/>
  <c r="C424" i="49" s="1"/>
  <c r="I424" i="49" s="1" a="1"/>
  <c r="I424" i="49" s="1"/>
  <c r="C431" i="49" a="1"/>
  <c r="C431" i="49" s="1"/>
  <c r="I431" i="49" s="1" a="1"/>
  <c r="I431" i="49" s="1"/>
  <c r="C438" i="49" a="1"/>
  <c r="C438" i="49" s="1"/>
  <c r="I438" i="49" s="1" a="1"/>
  <c r="I438" i="49" s="1"/>
  <c r="C451" i="49" a="1"/>
  <c r="C451" i="49" s="1"/>
  <c r="I451" i="49" s="1" a="1"/>
  <c r="I451" i="49" s="1"/>
  <c r="C458" i="49" a="1"/>
  <c r="C458" i="49" s="1"/>
  <c r="I458" i="49" s="1" a="1"/>
  <c r="I458" i="49" s="1"/>
  <c r="C465" i="49" a="1"/>
  <c r="C465" i="49" s="1"/>
  <c r="I465" i="49" s="1" a="1"/>
  <c r="I465" i="49" s="1"/>
  <c r="C472" i="49" a="1"/>
  <c r="C472" i="49" s="1"/>
  <c r="I472" i="49" s="1" a="1"/>
  <c r="I472" i="49" s="1"/>
  <c r="C479" i="49" a="1"/>
  <c r="C479" i="49" s="1"/>
  <c r="I479" i="49" s="1" a="1"/>
  <c r="I479" i="49" s="1"/>
  <c r="C492" i="49" a="1"/>
  <c r="C492" i="49" s="1"/>
  <c r="I492" i="49" s="1" a="1"/>
  <c r="I492" i="49" s="1"/>
  <c r="C498" i="49" a="1"/>
  <c r="C498" i="49" s="1"/>
  <c r="C506" i="49" a="1"/>
  <c r="C506" i="49" s="1"/>
  <c r="I506" i="49" s="1" a="1"/>
  <c r="I506" i="49" s="1"/>
  <c r="D758" i="49" a="1"/>
  <c r="D758" i="49" s="1"/>
  <c r="D771" i="49" a="1"/>
  <c r="D771" i="49" s="1"/>
  <c r="D780" i="49" a="1"/>
  <c r="D780" i="49" s="1"/>
  <c r="D789" i="49" a="1"/>
  <c r="D789" i="49" s="1"/>
  <c r="D797" i="49" a="1"/>
  <c r="D797" i="49" s="1"/>
  <c r="D805" i="49" a="1"/>
  <c r="D805" i="49" s="1"/>
  <c r="D813" i="49" a="1"/>
  <c r="D813" i="49" s="1"/>
  <c r="D821" i="49" a="1"/>
  <c r="D821" i="49" s="1"/>
  <c r="D829" i="49" a="1"/>
  <c r="D829" i="49" s="1"/>
  <c r="D837" i="49" a="1"/>
  <c r="D837" i="49" s="1"/>
  <c r="D845" i="49" a="1"/>
  <c r="D845" i="49" s="1"/>
  <c r="D853" i="49" a="1"/>
  <c r="D853" i="49" s="1"/>
  <c r="D861" i="49" a="1"/>
  <c r="D861" i="49" s="1"/>
  <c r="D869" i="49" a="1"/>
  <c r="D869" i="49" s="1"/>
  <c r="C7" i="49" a="1"/>
  <c r="C7" i="49" s="1"/>
  <c r="I7" i="49" s="1" a="1"/>
  <c r="I7" i="49" s="1"/>
  <c r="C14" i="49" a="1"/>
  <c r="C14" i="49" s="1"/>
  <c r="I14" i="49" s="1" a="1"/>
  <c r="I14" i="49" s="1"/>
  <c r="C21" i="49" a="1"/>
  <c r="C21" i="49" s="1"/>
  <c r="I21" i="49" s="1" a="1"/>
  <c r="I21" i="49" s="1"/>
  <c r="C29" i="49" a="1"/>
  <c r="C29" i="49" s="1"/>
  <c r="I29" i="49" s="1" a="1"/>
  <c r="I29" i="49" s="1"/>
  <c r="C36" i="49" a="1"/>
  <c r="C36" i="49" s="1"/>
  <c r="I36" i="49" s="1" a="1"/>
  <c r="I36" i="49" s="1"/>
  <c r="C44" i="49" a="1"/>
  <c r="C44" i="49" s="1"/>
  <c r="I44" i="49" s="1" a="1"/>
  <c r="I44" i="49" s="1"/>
  <c r="C51" i="49" a="1"/>
  <c r="C51" i="49" s="1"/>
  <c r="I51" i="49" s="1" a="1"/>
  <c r="I51" i="49" s="1"/>
  <c r="C59" i="49" a="1"/>
  <c r="C59" i="49" s="1"/>
  <c r="I59" i="49" s="1" a="1"/>
  <c r="I59" i="49" s="1"/>
  <c r="C66" i="49" a="1"/>
  <c r="C66" i="49" s="1"/>
  <c r="I66" i="49" s="1" a="1"/>
  <c r="I66" i="49" s="1"/>
  <c r="C73" i="49" a="1"/>
  <c r="C73" i="49" s="1"/>
  <c r="I73" i="49" s="1" a="1"/>
  <c r="I73" i="49" s="1"/>
  <c r="C88" i="49" a="1"/>
  <c r="C88" i="49" s="1"/>
  <c r="I88" i="49" s="1" a="1"/>
  <c r="I88" i="49" s="1"/>
  <c r="C96" i="49" a="1"/>
  <c r="C96" i="49" s="1"/>
  <c r="I96" i="49" s="1" a="1"/>
  <c r="I96" i="49" s="1"/>
  <c r="C103" i="49" a="1"/>
  <c r="C103" i="49" s="1"/>
  <c r="I103" i="49" s="1" a="1"/>
  <c r="I103" i="49" s="1"/>
  <c r="C110" i="49" a="1"/>
  <c r="C110" i="49" s="1"/>
  <c r="I110" i="49" s="1" a="1"/>
  <c r="I110" i="49" s="1"/>
  <c r="C117" i="49" a="1"/>
  <c r="C117" i="49" s="1"/>
  <c r="I117" i="49" s="1" a="1"/>
  <c r="I117" i="49" s="1"/>
  <c r="C125" i="49" a="1"/>
  <c r="C125" i="49" s="1"/>
  <c r="I125" i="49" s="1" a="1"/>
  <c r="I125" i="49" s="1"/>
  <c r="C132" i="49" a="1"/>
  <c r="C132" i="49" s="1"/>
  <c r="I132" i="49" s="1" a="1"/>
  <c r="I132" i="49" s="1"/>
  <c r="C139" i="49" a="1"/>
  <c r="C139" i="49" s="1"/>
  <c r="I139" i="49" s="1" a="1"/>
  <c r="I139" i="49" s="1"/>
  <c r="C146" i="49" a="1"/>
  <c r="C146" i="49" s="1"/>
  <c r="I146" i="49" s="1" a="1"/>
  <c r="I146" i="49" s="1"/>
  <c r="C154" i="49" a="1"/>
  <c r="C154" i="49" s="1"/>
  <c r="I154" i="49" s="1" a="1"/>
  <c r="I154" i="49" s="1"/>
  <c r="C161" i="49" a="1"/>
  <c r="C161" i="49" s="1"/>
  <c r="I161" i="49" s="1" a="1"/>
  <c r="I161" i="49" s="1"/>
  <c r="C175" i="49" a="1"/>
  <c r="C175" i="49" s="1"/>
  <c r="I175" i="49" s="1" a="1"/>
  <c r="I175" i="49" s="1"/>
  <c r="C182" i="49" a="1"/>
  <c r="C182" i="49" s="1"/>
  <c r="I182" i="49" s="1" a="1"/>
  <c r="I182" i="49" s="1"/>
  <c r="C190" i="49" a="1"/>
  <c r="C190" i="49" s="1"/>
  <c r="I190" i="49" s="1" a="1"/>
  <c r="I190" i="49" s="1"/>
  <c r="C197" i="49" a="1"/>
  <c r="C197" i="49" s="1"/>
  <c r="I197" i="49" s="1" a="1"/>
  <c r="I197" i="49" s="1"/>
  <c r="C204" i="49" a="1"/>
  <c r="C204" i="49" s="1"/>
  <c r="I204" i="49" s="1" a="1"/>
  <c r="I204" i="49" s="1"/>
  <c r="C210" i="49" a="1"/>
  <c r="C210" i="49" s="1"/>
  <c r="I210" i="49" s="1" a="1"/>
  <c r="I210" i="49" s="1"/>
  <c r="C218" i="49" a="1"/>
  <c r="C218" i="49" s="1"/>
  <c r="I218" i="49" s="1" a="1"/>
  <c r="I218" i="49" s="1"/>
  <c r="C225" i="49" a="1"/>
  <c r="C225" i="49" s="1"/>
  <c r="I225" i="49" s="1" a="1"/>
  <c r="I225" i="49" s="1"/>
  <c r="C239" i="49" a="1"/>
  <c r="C239" i="49" s="1"/>
  <c r="I239" i="49" s="1" a="1"/>
  <c r="I239" i="49" s="1"/>
  <c r="C246" i="49" a="1"/>
  <c r="C246" i="49" s="1"/>
  <c r="I246" i="49" s="1" a="1"/>
  <c r="I246" i="49" s="1"/>
  <c r="C254" i="49" a="1"/>
  <c r="C254" i="49" s="1"/>
  <c r="I254" i="49" s="1" a="1"/>
  <c r="I254" i="49" s="1"/>
  <c r="C262" i="49" a="1"/>
  <c r="C262" i="49" s="1"/>
  <c r="I262" i="49" s="1" a="1"/>
  <c r="I262" i="49" s="1"/>
  <c r="C275" i="49" a="1"/>
  <c r="C275" i="49" s="1"/>
  <c r="I275" i="49" s="1" a="1"/>
  <c r="I275" i="49" s="1"/>
  <c r="C283" i="49" a="1"/>
  <c r="C283" i="49" s="1"/>
  <c r="I283" i="49" s="1" a="1"/>
  <c r="I283" i="49" s="1"/>
  <c r="C291" i="49" a="1"/>
  <c r="C291" i="49" s="1"/>
  <c r="I291" i="49" s="1" a="1"/>
  <c r="I291" i="49" s="1"/>
  <c r="C298" i="49" a="1"/>
  <c r="C298" i="49" s="1"/>
  <c r="I298" i="49" s="1" a="1"/>
  <c r="I298" i="49" s="1"/>
  <c r="C312" i="49" a="1"/>
  <c r="C312" i="49" s="1"/>
  <c r="I312" i="49" s="1" a="1"/>
  <c r="I312" i="49" s="1"/>
  <c r="C320" i="49" a="1"/>
  <c r="C320" i="49" s="1"/>
  <c r="I320" i="49" s="1" a="1"/>
  <c r="I320" i="49" s="1"/>
  <c r="C328" i="49" a="1"/>
  <c r="C328" i="49" s="1"/>
  <c r="I328" i="49" s="1" a="1"/>
  <c r="I328" i="49" s="1"/>
  <c r="C336" i="49" a="1"/>
  <c r="C336" i="49" s="1"/>
  <c r="I336" i="49" s="1" a="1"/>
  <c r="I336" i="49" s="1"/>
  <c r="C344" i="49" a="1"/>
  <c r="C344" i="49" s="1"/>
  <c r="I344" i="49" s="1" a="1"/>
  <c r="I344" i="49" s="1"/>
  <c r="C351" i="49" a="1"/>
  <c r="C351" i="49" s="1"/>
  <c r="I351" i="49" s="1" a="1"/>
  <c r="I351" i="49" s="1"/>
  <c r="C357" i="49" a="1"/>
  <c r="C357" i="49" s="1"/>
  <c r="I357" i="49" s="1" a="1"/>
  <c r="I357" i="49" s="1"/>
  <c r="C365" i="49" a="1"/>
  <c r="C365" i="49" s="1"/>
  <c r="I365" i="49" s="1" a="1"/>
  <c r="I365" i="49" s="1"/>
  <c r="C371" i="49" a="1"/>
  <c r="C371" i="49" s="1"/>
  <c r="I371" i="49" s="1" a="1"/>
  <c r="I371" i="49" s="1"/>
  <c r="C379" i="49" a="1"/>
  <c r="C379" i="49" s="1"/>
  <c r="I379" i="49" s="1" a="1"/>
  <c r="I379" i="49" s="1"/>
  <c r="C385" i="49" a="1"/>
  <c r="C385" i="49" s="1"/>
  <c r="I385" i="49" s="1" a="1"/>
  <c r="I385" i="49" s="1"/>
  <c r="C391" i="49" a="1"/>
  <c r="C391" i="49" s="1"/>
  <c r="I391" i="49" s="1" a="1"/>
  <c r="I391" i="49" s="1"/>
  <c r="C398" i="49" a="1"/>
  <c r="C398" i="49" s="1"/>
  <c r="I398" i="49" s="1" a="1"/>
  <c r="I398" i="49" s="1"/>
  <c r="C405" i="49" a="1"/>
  <c r="C405" i="49" s="1"/>
  <c r="I405" i="49" s="1" a="1"/>
  <c r="I405" i="49" s="1"/>
  <c r="C412" i="49" a="1"/>
  <c r="C412" i="49" s="1"/>
  <c r="I412" i="49" s="1" a="1"/>
  <c r="I412" i="49" s="1"/>
  <c r="C418" i="49" a="1"/>
  <c r="C418" i="49" s="1"/>
  <c r="I418" i="49" s="1" a="1"/>
  <c r="I418" i="49" s="1"/>
  <c r="C425" i="49" a="1"/>
  <c r="C425" i="49" s="1"/>
  <c r="I425" i="49" s="1" a="1"/>
  <c r="I425" i="49" s="1"/>
  <c r="C439" i="49" a="1"/>
  <c r="C439" i="49" s="1"/>
  <c r="I439" i="49" s="1" a="1"/>
  <c r="I439" i="49" s="1"/>
  <c r="C445" i="49" a="1"/>
  <c r="C445" i="49" s="1"/>
  <c r="I445" i="49" s="1" a="1"/>
  <c r="I445" i="49" s="1"/>
  <c r="C452" i="49" a="1"/>
  <c r="C452" i="49" s="1"/>
  <c r="I452" i="49" s="1" a="1"/>
  <c r="I452" i="49" s="1"/>
  <c r="C459" i="49" a="1"/>
  <c r="C459" i="49" s="1"/>
  <c r="I459" i="49" s="1" a="1"/>
  <c r="I459" i="49" s="1"/>
  <c r="C466" i="49" a="1"/>
  <c r="C466" i="49" s="1"/>
  <c r="I466" i="49" s="1" a="1"/>
  <c r="I466" i="49" s="1"/>
  <c r="C485" i="49" a="1"/>
  <c r="C485" i="49" s="1"/>
  <c r="I485" i="49" s="1" a="1"/>
  <c r="I485" i="49" s="1"/>
  <c r="C493" i="49" a="1"/>
  <c r="C493" i="49" s="1"/>
  <c r="I493" i="49" s="1" a="1"/>
  <c r="I493" i="49" s="1"/>
  <c r="D759" i="49" a="1"/>
  <c r="D759" i="49" s="1"/>
  <c r="D772" i="49" a="1"/>
  <c r="D772" i="49" s="1"/>
  <c r="D781" i="49" a="1"/>
  <c r="D781" i="49" s="1"/>
  <c r="D790" i="49" a="1"/>
  <c r="D790" i="49" s="1"/>
  <c r="D798" i="49" a="1"/>
  <c r="D798" i="49" s="1"/>
  <c r="D806" i="49" a="1"/>
  <c r="D806" i="49" s="1"/>
  <c r="D814" i="49" a="1"/>
  <c r="D814" i="49" s="1"/>
  <c r="D822" i="49" a="1"/>
  <c r="D822" i="49" s="1"/>
  <c r="D830" i="49" a="1"/>
  <c r="D830" i="49" s="1"/>
  <c r="D838" i="49" a="1"/>
  <c r="D838" i="49" s="1"/>
  <c r="D846" i="49" a="1"/>
  <c r="D846" i="49" s="1"/>
  <c r="D854" i="49" a="1"/>
  <c r="D854" i="49" s="1"/>
  <c r="D862" i="49" a="1"/>
  <c r="D862" i="49" s="1"/>
  <c r="D870" i="49" a="1"/>
  <c r="D870" i="49" s="1"/>
  <c r="C8" i="49" a="1"/>
  <c r="C8" i="49" s="1"/>
  <c r="I8" i="49" s="1" a="1"/>
  <c r="I8" i="49" s="1"/>
  <c r="C15" i="49" a="1"/>
  <c r="C15" i="49" s="1"/>
  <c r="I15" i="49" s="1" a="1"/>
  <c r="I15" i="49" s="1"/>
  <c r="C22" i="49" a="1"/>
  <c r="C22" i="49" s="1"/>
  <c r="I22" i="49" s="1" a="1"/>
  <c r="I22" i="49" s="1"/>
  <c r="C30" i="49" a="1"/>
  <c r="C30" i="49" s="1"/>
  <c r="I30" i="49" s="1" a="1"/>
  <c r="I30" i="49" s="1"/>
  <c r="C37" i="49" a="1"/>
  <c r="C37" i="49" s="1"/>
  <c r="I37" i="49" s="1" a="1"/>
  <c r="I37" i="49" s="1"/>
  <c r="C45" i="49" a="1"/>
  <c r="C45" i="49" s="1"/>
  <c r="I45" i="49" s="1" a="1"/>
  <c r="I45" i="49" s="1"/>
  <c r="C52" i="49" a="1"/>
  <c r="C52" i="49" s="1"/>
  <c r="I52" i="49" s="1" a="1"/>
  <c r="I52" i="49" s="1"/>
  <c r="C60" i="49" a="1"/>
  <c r="C60" i="49" s="1"/>
  <c r="I60" i="49" s="1" a="1"/>
  <c r="I60" i="49" s="1"/>
  <c r="C67" i="49" a="1"/>
  <c r="C67" i="49" s="1"/>
  <c r="I67" i="49" s="1" a="1"/>
  <c r="I67" i="49" s="1"/>
  <c r="C74" i="49" a="1"/>
  <c r="C74" i="49" s="1"/>
  <c r="I74" i="49" s="1" a="1"/>
  <c r="I74" i="49" s="1"/>
  <c r="C81" i="49" a="1"/>
  <c r="C81" i="49" s="1"/>
  <c r="I81" i="49" s="1" a="1"/>
  <c r="I81" i="49" s="1"/>
  <c r="C89" i="49" a="1"/>
  <c r="C89" i="49" s="1"/>
  <c r="I89" i="49" s="1" a="1"/>
  <c r="I89" i="49" s="1"/>
  <c r="C104" i="49" a="1"/>
  <c r="C104" i="49" s="1"/>
  <c r="I104" i="49" s="1" a="1"/>
  <c r="I104" i="49" s="1"/>
  <c r="C111" i="49" a="1"/>
  <c r="C111" i="49" s="1"/>
  <c r="I111" i="49" s="1" a="1"/>
  <c r="I111" i="49" s="1"/>
  <c r="C118" i="49" a="1"/>
  <c r="C118" i="49" s="1"/>
  <c r="I118" i="49" s="1" a="1"/>
  <c r="I118" i="49" s="1"/>
  <c r="C126" i="49" a="1"/>
  <c r="C126" i="49" s="1"/>
  <c r="I126" i="49" s="1" a="1"/>
  <c r="I126" i="49" s="1"/>
  <c r="C133" i="49" a="1"/>
  <c r="C133" i="49" s="1"/>
  <c r="I133" i="49" s="1" a="1"/>
  <c r="I133" i="49" s="1"/>
  <c r="C140" i="49" a="1"/>
  <c r="C140" i="49" s="1"/>
  <c r="I140" i="49" s="1" a="1"/>
  <c r="I140" i="49" s="1"/>
  <c r="C147" i="49" a="1"/>
  <c r="C147" i="49" s="1"/>
  <c r="I147" i="49" s="1" a="1"/>
  <c r="I147" i="49" s="1"/>
  <c r="C155" i="49" a="1"/>
  <c r="C155" i="49" s="1"/>
  <c r="I155" i="49" s="1" a="1"/>
  <c r="I155" i="49" s="1"/>
  <c r="C162" i="49" a="1"/>
  <c r="C162" i="49" s="1"/>
  <c r="I162" i="49" s="1" a="1"/>
  <c r="I162" i="49" s="1"/>
  <c r="C169" i="49" a="1"/>
  <c r="C169" i="49" s="1"/>
  <c r="I169" i="49" s="1" a="1"/>
  <c r="I169" i="49" s="1"/>
  <c r="C176" i="49" a="1"/>
  <c r="C176" i="49" s="1"/>
  <c r="I176" i="49" s="1" a="1"/>
  <c r="I176" i="49" s="1"/>
  <c r="C183" i="49" a="1"/>
  <c r="C183" i="49" s="1"/>
  <c r="I183" i="49" s="1" a="1"/>
  <c r="I183" i="49" s="1"/>
  <c r="C191" i="49" a="1"/>
  <c r="C191" i="49" s="1"/>
  <c r="I191" i="49" s="1" a="1"/>
  <c r="I191" i="49" s="1"/>
  <c r="C198" i="49" a="1"/>
  <c r="C198" i="49" s="1"/>
  <c r="I198" i="49" s="1" a="1"/>
  <c r="I198" i="49" s="1"/>
  <c r="C211" i="49" a="1"/>
  <c r="C211" i="49" s="1"/>
  <c r="I211" i="49" s="1" a="1"/>
  <c r="I211" i="49" s="1"/>
  <c r="C219" i="49" a="1"/>
  <c r="C219" i="49" s="1"/>
  <c r="I219" i="49" s="1" a="1"/>
  <c r="I219" i="49" s="1"/>
  <c r="C226" i="49" a="1"/>
  <c r="C226" i="49" s="1"/>
  <c r="I226" i="49" s="1" a="1"/>
  <c r="I226" i="49" s="1"/>
  <c r="C233" i="49" a="1"/>
  <c r="C233" i="49" s="1"/>
  <c r="I233" i="49" s="1" a="1"/>
  <c r="I233" i="49" s="1"/>
  <c r="C240" i="49" a="1"/>
  <c r="C240" i="49" s="1"/>
  <c r="I240" i="49" s="1" a="1"/>
  <c r="I240" i="49" s="1"/>
  <c r="C247" i="49" a="1"/>
  <c r="C247" i="49" s="1"/>
  <c r="I247" i="49" s="1" a="1"/>
  <c r="I247" i="49" s="1"/>
  <c r="C255" i="49" a="1"/>
  <c r="C255" i="49" s="1"/>
  <c r="I255" i="49" s="1" a="1"/>
  <c r="I255" i="49" s="1"/>
  <c r="C263" i="49" a="1"/>
  <c r="C263" i="49" s="1"/>
  <c r="I263" i="49" s="1" a="1"/>
  <c r="I263" i="49" s="1"/>
  <c r="C269" i="49" a="1"/>
  <c r="C269" i="49" s="1"/>
  <c r="I269" i="49" s="1" a="1"/>
  <c r="I269" i="49" s="1"/>
  <c r="C276" i="49" a="1"/>
  <c r="C276" i="49" s="1"/>
  <c r="I276" i="49" s="1" a="1"/>
  <c r="I276" i="49" s="1"/>
  <c r="C284" i="49" a="1"/>
  <c r="C284" i="49" s="1"/>
  <c r="I284" i="49" s="1" a="1"/>
  <c r="I284" i="49" s="1"/>
  <c r="C292" i="49" a="1"/>
  <c r="C292" i="49" s="1"/>
  <c r="C299" i="49" a="1"/>
  <c r="C299" i="49" s="1"/>
  <c r="I299" i="49" s="1" a="1"/>
  <c r="I299" i="49" s="1"/>
  <c r="C305" i="49" a="1"/>
  <c r="C305" i="49" s="1"/>
  <c r="I305" i="49" s="1" a="1"/>
  <c r="I305" i="49" s="1"/>
  <c r="C313" i="49" a="1"/>
  <c r="C313" i="49" s="1"/>
  <c r="I313" i="49" s="1" a="1"/>
  <c r="I313" i="49" s="1"/>
  <c r="C321" i="49" a="1"/>
  <c r="C321" i="49" s="1"/>
  <c r="I321" i="49" s="1" a="1"/>
  <c r="I321" i="49" s="1"/>
  <c r="C329" i="49" a="1"/>
  <c r="C329" i="49" s="1"/>
  <c r="I329" i="49" s="1" a="1"/>
  <c r="I329" i="49" s="1"/>
  <c r="C337" i="49" a="1"/>
  <c r="C337" i="49" s="1"/>
  <c r="I337" i="49" s="1" a="1"/>
  <c r="I337" i="49" s="1"/>
  <c r="C345" i="49" a="1"/>
  <c r="C345" i="49" s="1"/>
  <c r="I345" i="49" s="1" a="1"/>
  <c r="I345" i="49" s="1"/>
  <c r="C352" i="49" a="1"/>
  <c r="C352" i="49" s="1"/>
  <c r="I352" i="49" s="1" a="1"/>
  <c r="I352" i="49" s="1"/>
  <c r="C358" i="49" a="1"/>
  <c r="C358" i="49" s="1"/>
  <c r="C372" i="49" a="1"/>
  <c r="C372" i="49" s="1"/>
  <c r="I372" i="49" s="1" a="1"/>
  <c r="I372" i="49" s="1"/>
  <c r="C392" i="49" a="1"/>
  <c r="C392" i="49" s="1"/>
  <c r="I392" i="49" s="1" a="1"/>
  <c r="I392" i="49" s="1"/>
  <c r="C399" i="49" a="1"/>
  <c r="C399" i="49" s="1"/>
  <c r="I399" i="49" s="1" a="1"/>
  <c r="I399" i="49" s="1"/>
  <c r="C406" i="49" a="1"/>
  <c r="C406" i="49" s="1"/>
  <c r="I406" i="49" s="1" a="1"/>
  <c r="I406" i="49" s="1"/>
  <c r="C413" i="49" a="1"/>
  <c r="C413" i="49" s="1"/>
  <c r="I413" i="49" s="1" a="1"/>
  <c r="I413" i="49" s="1"/>
  <c r="C419" i="49" a="1"/>
  <c r="C419" i="49" s="1"/>
  <c r="I419" i="49" s="1" a="1"/>
  <c r="I419" i="49" s="1"/>
  <c r="C426" i="49" a="1"/>
  <c r="C426" i="49" s="1"/>
  <c r="I426" i="49" s="1" a="1"/>
  <c r="I426" i="49" s="1"/>
  <c r="C432" i="49" a="1"/>
  <c r="C432" i="49" s="1"/>
  <c r="I432" i="49" s="1" a="1"/>
  <c r="I432" i="49" s="1"/>
  <c r="C440" i="49" a="1"/>
  <c r="C440" i="49" s="1"/>
  <c r="I440" i="49" s="1" a="1"/>
  <c r="I440" i="49" s="1"/>
  <c r="C446" i="49" a="1"/>
  <c r="C446" i="49" s="1"/>
  <c r="I446" i="49" s="1" a="1"/>
  <c r="I446" i="49" s="1"/>
  <c r="C460" i="49" a="1"/>
  <c r="C460" i="49" s="1"/>
  <c r="I460" i="49" s="1" a="1"/>
  <c r="I460" i="49" s="1"/>
  <c r="C467" i="49" a="1"/>
  <c r="C467" i="49" s="1"/>
  <c r="I467" i="49" s="1" a="1"/>
  <c r="I467" i="49" s="1"/>
  <c r="C473" i="49" a="1"/>
  <c r="C473" i="49" s="1"/>
  <c r="I473" i="49" s="1" a="1"/>
  <c r="I473" i="49" s="1"/>
  <c r="C480" i="49" a="1"/>
  <c r="C480" i="49" s="1"/>
  <c r="I480" i="49" s="1" a="1"/>
  <c r="I480" i="49" s="1"/>
  <c r="C486" i="49" a="1"/>
  <c r="C486" i="49" s="1"/>
  <c r="I486" i="49" s="1" a="1"/>
  <c r="I486" i="49" s="1"/>
  <c r="C500" i="49" a="1"/>
  <c r="C500" i="49" s="1"/>
  <c r="I500" i="49" s="1" a="1"/>
  <c r="I500" i="49" s="1"/>
  <c r="D762" i="49" a="1"/>
  <c r="D762" i="49" s="1"/>
  <c r="D773" i="49" a="1"/>
  <c r="D773" i="49" s="1"/>
  <c r="D782" i="49" a="1"/>
  <c r="D782" i="49" s="1"/>
  <c r="D791" i="49" a="1"/>
  <c r="D791" i="49" s="1"/>
  <c r="D799" i="49" a="1"/>
  <c r="D799" i="49" s="1"/>
  <c r="D807" i="49" a="1"/>
  <c r="D807" i="49" s="1"/>
  <c r="D815" i="49" a="1"/>
  <c r="D815" i="49" s="1"/>
  <c r="D823" i="49" a="1"/>
  <c r="D823" i="49" s="1"/>
  <c r="D831" i="49" a="1"/>
  <c r="D831" i="49" s="1"/>
  <c r="D839" i="49" a="1"/>
  <c r="D839" i="49" s="1"/>
  <c r="D847" i="49" a="1"/>
  <c r="D847" i="49" s="1"/>
  <c r="D855" i="49" a="1"/>
  <c r="D855" i="49" s="1"/>
  <c r="D863" i="49" a="1"/>
  <c r="D863" i="49" s="1"/>
  <c r="D871" i="49" a="1"/>
  <c r="D871" i="49" s="1"/>
  <c r="C16" i="49" a="1"/>
  <c r="C16" i="49" s="1"/>
  <c r="I16" i="49" s="1" a="1"/>
  <c r="I16" i="49" s="1"/>
  <c r="C23" i="49" a="1"/>
  <c r="C23" i="49" s="1"/>
  <c r="I23" i="49" s="1" a="1"/>
  <c r="I23" i="49" s="1"/>
  <c r="C31" i="49" a="1"/>
  <c r="C31" i="49" s="1"/>
  <c r="I31" i="49" s="1" a="1"/>
  <c r="I31" i="49" s="1"/>
  <c r="C38" i="49" a="1"/>
  <c r="C38" i="49" s="1"/>
  <c r="I38" i="49" s="1" a="1"/>
  <c r="I38" i="49" s="1"/>
  <c r="C46" i="49" a="1"/>
  <c r="C46" i="49" s="1"/>
  <c r="I46" i="49" s="1" a="1"/>
  <c r="I46" i="49" s="1"/>
  <c r="C53" i="49" a="1"/>
  <c r="C53" i="49" s="1"/>
  <c r="I53" i="49" s="1" a="1"/>
  <c r="I53" i="49" s="1"/>
  <c r="C61" i="49" a="1"/>
  <c r="C61" i="49" s="1"/>
  <c r="I61" i="49" s="1" a="1"/>
  <c r="I61" i="49" s="1"/>
  <c r="C68" i="49" a="1"/>
  <c r="C68" i="49" s="1"/>
  <c r="I68" i="49" s="1" a="1"/>
  <c r="I68" i="49" s="1"/>
  <c r="C75" i="49" a="1"/>
  <c r="C75" i="49" s="1"/>
  <c r="I75" i="49" s="1" a="1"/>
  <c r="I75" i="49" s="1"/>
  <c r="C82" i="49" a="1"/>
  <c r="C82" i="49" s="1"/>
  <c r="I82" i="49" s="1" a="1"/>
  <c r="I82" i="49" s="1"/>
  <c r="C90" i="49" a="1"/>
  <c r="C90" i="49" s="1"/>
  <c r="I90" i="49" s="1" a="1"/>
  <c r="I90" i="49" s="1"/>
  <c r="C97" i="49" a="1"/>
  <c r="C97" i="49" s="1"/>
  <c r="I97" i="49" s="1" a="1"/>
  <c r="I97" i="49" s="1"/>
  <c r="C112" i="49" a="1"/>
  <c r="C112" i="49" s="1"/>
  <c r="I112" i="49" s="1" a="1"/>
  <c r="I112" i="49" s="1"/>
  <c r="C119" i="49" a="1"/>
  <c r="C119" i="49" s="1"/>
  <c r="I119" i="49" s="1" a="1"/>
  <c r="I119" i="49" s="1"/>
  <c r="C127" i="49" a="1"/>
  <c r="C127" i="49" s="1"/>
  <c r="I127" i="49" s="1" a="1"/>
  <c r="I127" i="49" s="1"/>
  <c r="C134" i="49" a="1"/>
  <c r="C134" i="49" s="1"/>
  <c r="I134" i="49" s="1" a="1"/>
  <c r="I134" i="49" s="1"/>
  <c r="C141" i="49" a="1"/>
  <c r="C141" i="49" s="1"/>
  <c r="I141" i="49" s="1" a="1"/>
  <c r="I141" i="49" s="1"/>
  <c r="C148" i="49" a="1"/>
  <c r="C148" i="49" s="1"/>
  <c r="I148" i="49" s="1" a="1"/>
  <c r="I148" i="49" s="1"/>
  <c r="C156" i="49" a="1"/>
  <c r="C156" i="49" s="1"/>
  <c r="I156" i="49" s="1" a="1"/>
  <c r="I156" i="49" s="1"/>
  <c r="C163" i="49" a="1"/>
  <c r="C163" i="49" s="1"/>
  <c r="I163" i="49" s="1" a="1"/>
  <c r="I163" i="49" s="1"/>
  <c r="C170" i="49" a="1"/>
  <c r="C170" i="49" s="1"/>
  <c r="I170" i="49" s="1" a="1"/>
  <c r="I170" i="49" s="1"/>
  <c r="C184" i="49" a="1"/>
  <c r="C184" i="49" s="1"/>
  <c r="I184" i="49" s="1" a="1"/>
  <c r="I184" i="49" s="1"/>
  <c r="C192" i="49" a="1"/>
  <c r="C192" i="49" s="1"/>
  <c r="I192" i="49" s="1" a="1"/>
  <c r="I192" i="49" s="1"/>
  <c r="C199" i="49" a="1"/>
  <c r="C199" i="49" s="1"/>
  <c r="I199" i="49" s="1" a="1"/>
  <c r="I199" i="49" s="1"/>
  <c r="C205" i="49" a="1"/>
  <c r="C205" i="49" s="1"/>
  <c r="I205" i="49" s="1" a="1"/>
  <c r="I205" i="49" s="1"/>
  <c r="C212" i="49" a="1"/>
  <c r="C212" i="49" s="1"/>
  <c r="I212" i="49" s="1" a="1"/>
  <c r="I212" i="49" s="1"/>
  <c r="C220" i="49" a="1"/>
  <c r="C220" i="49" s="1"/>
  <c r="I220" i="49" s="1" a="1"/>
  <c r="I220" i="49" s="1"/>
  <c r="C227" i="49" a="1"/>
  <c r="C227" i="49" s="1"/>
  <c r="I227" i="49" s="1" a="1"/>
  <c r="I227" i="49" s="1"/>
  <c r="C234" i="49" a="1"/>
  <c r="C234" i="49" s="1"/>
  <c r="I234" i="49" s="1" a="1"/>
  <c r="I234" i="49" s="1"/>
  <c r="C248" i="49" a="1"/>
  <c r="C248" i="49" s="1"/>
  <c r="I248" i="49" s="1" a="1"/>
  <c r="I248" i="49" s="1"/>
  <c r="C256" i="49" a="1"/>
  <c r="C256" i="49" s="1"/>
  <c r="I256" i="49" s="1" a="1"/>
  <c r="I256" i="49" s="1"/>
  <c r="C264" i="49" a="1"/>
  <c r="C264" i="49" s="1"/>
  <c r="I264" i="49" s="1" a="1"/>
  <c r="I264" i="49" s="1"/>
  <c r="C270" i="49" a="1"/>
  <c r="C270" i="49" s="1"/>
  <c r="C277" i="49" a="1"/>
  <c r="C277" i="49" s="1"/>
  <c r="I277" i="49" s="1" a="1"/>
  <c r="I277" i="49" s="1"/>
  <c r="C285" i="49" a="1"/>
  <c r="C285" i="49" s="1"/>
  <c r="I285" i="49" s="1" a="1"/>
  <c r="I285" i="49" s="1"/>
  <c r="C293" i="49" a="1"/>
  <c r="C293" i="49" s="1"/>
  <c r="I293" i="49" s="1" a="1"/>
  <c r="I293" i="49" s="1"/>
  <c r="C300" i="49" a="1"/>
  <c r="C300" i="49" s="1"/>
  <c r="I300" i="49" s="1" a="1"/>
  <c r="I300" i="49" s="1"/>
  <c r="C306" i="49" a="1"/>
  <c r="C306" i="49" s="1"/>
  <c r="I306" i="49" s="1" a="1"/>
  <c r="I306" i="49" s="1"/>
  <c r="C314" i="49" a="1"/>
  <c r="C314" i="49" s="1"/>
  <c r="I314" i="49" s="1" a="1"/>
  <c r="I314" i="49" s="1"/>
  <c r="C322" i="49" a="1"/>
  <c r="C322" i="49" s="1"/>
  <c r="I322" i="49" s="1" a="1"/>
  <c r="I322" i="49" s="1"/>
  <c r="C330" i="49" a="1"/>
  <c r="C330" i="49" s="1"/>
  <c r="I330" i="49" s="1" a="1"/>
  <c r="I330" i="49" s="1"/>
  <c r="C338" i="49" a="1"/>
  <c r="C338" i="49" s="1"/>
  <c r="I338" i="49" s="1" a="1"/>
  <c r="I338" i="49" s="1"/>
  <c r="C346" i="49" a="1"/>
  <c r="C346" i="49" s="1"/>
  <c r="I346" i="49" s="1" a="1"/>
  <c r="I346" i="49" s="1"/>
  <c r="C353" i="49" a="1"/>
  <c r="C353" i="49" s="1"/>
  <c r="I353" i="49" s="1" a="1"/>
  <c r="I353" i="49" s="1"/>
  <c r="C359" i="49" a="1"/>
  <c r="C359" i="49" s="1"/>
  <c r="I359" i="49" s="1" a="1"/>
  <c r="I359" i="49" s="1"/>
  <c r="C366" i="49" a="1"/>
  <c r="C366" i="49" s="1"/>
  <c r="I366" i="49" s="1" a="1"/>
  <c r="I366" i="49" s="1"/>
  <c r="C373" i="49" a="1"/>
  <c r="C373" i="49" s="1"/>
  <c r="I373" i="49" s="1" a="1"/>
  <c r="I373" i="49" s="1"/>
  <c r="C380" i="49" a="1"/>
  <c r="C380" i="49" s="1"/>
  <c r="I380" i="49" s="1" a="1"/>
  <c r="I380" i="49" s="1"/>
  <c r="C386" i="49" a="1"/>
  <c r="C386" i="49" s="1"/>
  <c r="I386" i="49" s="1" a="1"/>
  <c r="I386" i="49" s="1"/>
  <c r="C393" i="49" a="1"/>
  <c r="C393" i="49" s="1"/>
  <c r="I393" i="49" s="1" a="1"/>
  <c r="I393" i="49" s="1"/>
  <c r="C400" i="49" a="1"/>
  <c r="C400" i="49" s="1"/>
  <c r="I400" i="49" s="1" a="1"/>
  <c r="I400" i="49" s="1"/>
  <c r="C407" i="49" a="1"/>
  <c r="C407" i="49" s="1"/>
  <c r="I407" i="49" s="1" a="1"/>
  <c r="I407" i="49" s="1"/>
  <c r="C414" i="49" a="1"/>
  <c r="C414" i="49" s="1"/>
  <c r="I414" i="49" s="1" a="1"/>
  <c r="I414" i="49" s="1"/>
  <c r="C420" i="49" a="1"/>
  <c r="C420" i="49" s="1"/>
  <c r="I420" i="49" s="1" a="1"/>
  <c r="I420" i="49" s="1"/>
  <c r="C427" i="49" a="1"/>
  <c r="C427" i="49" s="1"/>
  <c r="I427" i="49" s="1" a="1"/>
  <c r="I427" i="49" s="1"/>
  <c r="C433" i="49" a="1"/>
  <c r="C433" i="49" s="1"/>
  <c r="I433" i="49" s="1" a="1"/>
  <c r="I433" i="49" s="1"/>
  <c r="C441" i="49" a="1"/>
  <c r="C441" i="49" s="1"/>
  <c r="I441" i="49" s="1" a="1"/>
  <c r="I441" i="49" s="1"/>
  <c r="C447" i="49" a="1"/>
  <c r="C447" i="49" s="1"/>
  <c r="I447" i="49" s="1" a="1"/>
  <c r="I447" i="49" s="1"/>
  <c r="C453" i="49" a="1"/>
  <c r="C453" i="49" s="1"/>
  <c r="I453" i="49" s="1" a="1"/>
  <c r="I453" i="49" s="1"/>
  <c r="C461" i="49" a="1"/>
  <c r="C461" i="49" s="1"/>
  <c r="I461" i="49" s="1" a="1"/>
  <c r="I461" i="49" s="1"/>
  <c r="C474" i="49" a="1"/>
  <c r="C474" i="49" s="1"/>
  <c r="I474" i="49" s="1" a="1"/>
  <c r="I474" i="49" s="1"/>
  <c r="D742" i="49" a="1"/>
  <c r="D742" i="49" s="1"/>
  <c r="D764" i="49" a="1"/>
  <c r="D764" i="49" s="1"/>
  <c r="D774" i="49" a="1"/>
  <c r="D774" i="49" s="1"/>
  <c r="D783" i="49" a="1"/>
  <c r="D783" i="49" s="1"/>
  <c r="D792" i="49" a="1"/>
  <c r="D792" i="49" s="1"/>
  <c r="D800" i="49" a="1"/>
  <c r="D800" i="49" s="1"/>
  <c r="D808" i="49" a="1"/>
  <c r="D808" i="49" s="1"/>
  <c r="D816" i="49" a="1"/>
  <c r="D816" i="49" s="1"/>
  <c r="D824" i="49" a="1"/>
  <c r="D824" i="49" s="1"/>
  <c r="D832" i="49" a="1"/>
  <c r="D832" i="49" s="1"/>
  <c r="D840" i="49" a="1"/>
  <c r="D840" i="49" s="1"/>
  <c r="D848" i="49" a="1"/>
  <c r="D848" i="49" s="1"/>
  <c r="D856" i="49" a="1"/>
  <c r="D856" i="49" s="1"/>
  <c r="D864" i="49" a="1"/>
  <c r="D864" i="49" s="1"/>
  <c r="D872" i="49" a="1"/>
  <c r="D872" i="49" s="1"/>
  <c r="C9" i="49" a="1"/>
  <c r="C9" i="49" s="1"/>
  <c r="I9" i="49" s="1" a="1"/>
  <c r="I9" i="49" s="1"/>
  <c r="C24" i="49" a="1"/>
  <c r="C24" i="49" s="1"/>
  <c r="I24" i="49" s="1" a="1"/>
  <c r="I24" i="49" s="1"/>
  <c r="C32" i="49" a="1"/>
  <c r="C32" i="49" s="1"/>
  <c r="I32" i="49" s="1" a="1"/>
  <c r="I32" i="49" s="1"/>
  <c r="C39" i="49" a="1"/>
  <c r="C39" i="49" s="1"/>
  <c r="I39" i="49" s="1" a="1"/>
  <c r="I39" i="49" s="1"/>
  <c r="C47" i="49" a="1"/>
  <c r="C47" i="49" s="1"/>
  <c r="I47" i="49" s="1" a="1"/>
  <c r="I47" i="49" s="1"/>
  <c r="C54" i="49" a="1"/>
  <c r="C54" i="49" s="1"/>
  <c r="I54" i="49" s="1" a="1"/>
  <c r="I54" i="49" s="1"/>
  <c r="C62" i="49" a="1"/>
  <c r="C62" i="49" s="1"/>
  <c r="I62" i="49" s="1" a="1"/>
  <c r="I62" i="49" s="1"/>
  <c r="C69" i="49" a="1"/>
  <c r="C69" i="49" s="1"/>
  <c r="I69" i="49" s="1" a="1"/>
  <c r="I69" i="49" s="1"/>
  <c r="C76" i="49" a="1"/>
  <c r="C76" i="49" s="1"/>
  <c r="I76" i="49" s="1" a="1"/>
  <c r="I76" i="49" s="1"/>
  <c r="C83" i="49" a="1"/>
  <c r="C83" i="49" s="1"/>
  <c r="I83" i="49" s="1" a="1"/>
  <c r="I83" i="49" s="1"/>
  <c r="C91" i="49" a="1"/>
  <c r="C91" i="49" s="1"/>
  <c r="I91" i="49" s="1" a="1"/>
  <c r="I91" i="49" s="1"/>
  <c r="C98" i="49" a="1"/>
  <c r="C98" i="49" s="1"/>
  <c r="I98" i="49" s="1" a="1"/>
  <c r="I98" i="49" s="1"/>
  <c r="C105" i="49" a="1"/>
  <c r="C105" i="49" s="1"/>
  <c r="I105" i="49" s="1" a="1"/>
  <c r="I105" i="49" s="1"/>
  <c r="C120" i="49" a="1"/>
  <c r="C120" i="49" s="1"/>
  <c r="I120" i="49" s="1" a="1"/>
  <c r="I120" i="49" s="1"/>
  <c r="C128" i="49" a="1"/>
  <c r="C128" i="49" s="1"/>
  <c r="I128" i="49" s="1" a="1"/>
  <c r="I128" i="49" s="1"/>
  <c r="C135" i="49" a="1"/>
  <c r="C135" i="49" s="1"/>
  <c r="I135" i="49" s="1" a="1"/>
  <c r="I135" i="49" s="1"/>
  <c r="C142" i="49" a="1"/>
  <c r="C142" i="49" s="1"/>
  <c r="I142" i="49" s="1" a="1"/>
  <c r="I142" i="49" s="1"/>
  <c r="C149" i="49" a="1"/>
  <c r="C149" i="49" s="1"/>
  <c r="I149" i="49" s="1" a="1"/>
  <c r="I149" i="49" s="1"/>
  <c r="C157" i="49" a="1"/>
  <c r="C157" i="49" s="1"/>
  <c r="I157" i="49" s="1" a="1"/>
  <c r="I157" i="49" s="1"/>
  <c r="C164" i="49" a="1"/>
  <c r="C164" i="49" s="1"/>
  <c r="I164" i="49" s="1" a="1"/>
  <c r="I164" i="49" s="1"/>
  <c r="C171" i="49" a="1"/>
  <c r="C171" i="49" s="1"/>
  <c r="I171" i="49" s="1" a="1"/>
  <c r="I171" i="49" s="1"/>
  <c r="C177" i="49" a="1"/>
  <c r="C177" i="49" s="1"/>
  <c r="I177" i="49" s="1" a="1"/>
  <c r="I177" i="49" s="1"/>
  <c r="C185" i="49" a="1"/>
  <c r="C185" i="49" s="1"/>
  <c r="I185" i="49" s="1" a="1"/>
  <c r="I185" i="49" s="1"/>
  <c r="C200" i="49" a="1"/>
  <c r="C200" i="49" s="1"/>
  <c r="I200" i="49" s="1" a="1"/>
  <c r="I200" i="49" s="1"/>
  <c r="C206" i="49" a="1"/>
  <c r="C206" i="49" s="1"/>
  <c r="I206" i="49" s="1" a="1"/>
  <c r="I206" i="49" s="1"/>
  <c r="C213" i="49" a="1"/>
  <c r="C213" i="49" s="1"/>
  <c r="I213" i="49" s="1" a="1"/>
  <c r="I213" i="49" s="1"/>
  <c r="C221" i="49" a="1"/>
  <c r="C221" i="49" s="1"/>
  <c r="I221" i="49" s="1" a="1"/>
  <c r="I221" i="49" s="1"/>
  <c r="C228" i="49" a="1"/>
  <c r="C228" i="49" s="1"/>
  <c r="I228" i="49" s="1" a="1"/>
  <c r="I228" i="49" s="1"/>
  <c r="C235" i="49" a="1"/>
  <c r="C235" i="49" s="1"/>
  <c r="I235" i="49" s="1" a="1"/>
  <c r="I235" i="49" s="1"/>
  <c r="C241" i="49" a="1"/>
  <c r="C241" i="49" s="1"/>
  <c r="I241" i="49" s="1" a="1"/>
  <c r="I241" i="49" s="1"/>
  <c r="C249" i="49" a="1"/>
  <c r="C249" i="49" s="1"/>
  <c r="I249" i="49" s="1" a="1"/>
  <c r="I249" i="49" s="1"/>
  <c r="C257" i="49" a="1"/>
  <c r="C257" i="49" s="1"/>
  <c r="I257" i="49" s="1" a="1"/>
  <c r="I257" i="49" s="1"/>
  <c r="C271" i="49" a="1"/>
  <c r="C271" i="49" s="1"/>
  <c r="I271" i="49" s="1" a="1"/>
  <c r="I271" i="49" s="1"/>
  <c r="C278" i="49" a="1"/>
  <c r="C278" i="49" s="1"/>
  <c r="I278" i="49" s="1" a="1"/>
  <c r="I278" i="49" s="1"/>
  <c r="C286" i="49" a="1"/>
  <c r="C286" i="49" s="1"/>
  <c r="I286" i="49" s="1" a="1"/>
  <c r="I286" i="49" s="1"/>
  <c r="C294" i="49" a="1"/>
  <c r="C294" i="49" s="1"/>
  <c r="I294" i="49" s="1" a="1"/>
  <c r="I294" i="49" s="1"/>
  <c r="C307" i="49" a="1"/>
  <c r="C307" i="49" s="1"/>
  <c r="I307" i="49" s="1" a="1"/>
  <c r="I307" i="49" s="1"/>
  <c r="C315" i="49" a="1"/>
  <c r="C315" i="49" s="1"/>
  <c r="I315" i="49" s="1" a="1"/>
  <c r="I315" i="49" s="1"/>
  <c r="C323" i="49" a="1"/>
  <c r="C323" i="49" s="1"/>
  <c r="I323" i="49" s="1" a="1"/>
  <c r="I323" i="49" s="1"/>
  <c r="C331" i="49" a="1"/>
  <c r="C331" i="49" s="1"/>
  <c r="I331" i="49" s="1" a="1"/>
  <c r="I331" i="49" s="1"/>
  <c r="C339" i="49" a="1"/>
  <c r="C339" i="49" s="1"/>
  <c r="I339" i="49" s="1" a="1"/>
  <c r="I339" i="49" s="1"/>
  <c r="C347" i="49" a="1"/>
  <c r="C347" i="49" s="1"/>
  <c r="I347" i="49" s="1" a="1"/>
  <c r="I347" i="49" s="1"/>
  <c r="C360" i="49" a="1"/>
  <c r="C360" i="49" s="1"/>
  <c r="I360" i="49" s="1" a="1"/>
  <c r="I360" i="49" s="1"/>
  <c r="C367" i="49" a="1"/>
  <c r="C367" i="49" s="1"/>
  <c r="I367" i="49" s="1" a="1"/>
  <c r="I367" i="49" s="1"/>
  <c r="C374" i="49" a="1"/>
  <c r="C374" i="49" s="1"/>
  <c r="I374" i="49" s="1" a="1"/>
  <c r="I374" i="49" s="1"/>
  <c r="C387" i="49" a="1"/>
  <c r="C387" i="49" s="1"/>
  <c r="I387" i="49" s="1" a="1"/>
  <c r="I387" i="49" s="1"/>
  <c r="C394" i="49" a="1"/>
  <c r="C394" i="49" s="1"/>
  <c r="I394" i="49" s="1" a="1"/>
  <c r="I394" i="49" s="1"/>
  <c r="C401" i="49" a="1"/>
  <c r="C401" i="49" s="1"/>
  <c r="I401" i="49" s="1" a="1"/>
  <c r="I401" i="49" s="1"/>
  <c r="C408" i="49" a="1"/>
  <c r="C408" i="49" s="1"/>
  <c r="I408" i="49" s="1" a="1"/>
  <c r="I408" i="49" s="1"/>
  <c r="C415" i="49" a="1"/>
  <c r="C415" i="49" s="1"/>
  <c r="I415" i="49" s="1" a="1"/>
  <c r="I415" i="49" s="1"/>
  <c r="C428" i="49" a="1"/>
  <c r="C428" i="49" s="1"/>
  <c r="I428" i="49" s="1" a="1"/>
  <c r="I428" i="49" s="1"/>
  <c r="C434" i="49" a="1"/>
  <c r="C434" i="49" s="1"/>
  <c r="I434" i="49" s="1" a="1"/>
  <c r="I434" i="49" s="1"/>
  <c r="C442" i="49" a="1"/>
  <c r="C442" i="49" s="1"/>
  <c r="I442" i="49" s="1" a="1"/>
  <c r="I442" i="49" s="1"/>
  <c r="C448" i="49" a="1"/>
  <c r="C448" i="49" s="1"/>
  <c r="I448" i="49" s="1" a="1"/>
  <c r="I448" i="49" s="1"/>
  <c r="C454" i="49" a="1"/>
  <c r="C454" i="49" s="1"/>
  <c r="I454" i="49" s="1" a="1"/>
  <c r="I454" i="49" s="1"/>
  <c r="C468" i="49" a="1"/>
  <c r="C468" i="49" s="1"/>
  <c r="I468" i="49" s="1" a="1"/>
  <c r="I468" i="49" s="1"/>
  <c r="C475" i="49" a="1"/>
  <c r="C475" i="49" s="1"/>
  <c r="I475" i="49" s="1" a="1"/>
  <c r="I475" i="49" s="1"/>
  <c r="C488" i="49" a="1"/>
  <c r="C488" i="49" s="1"/>
  <c r="I488" i="49" s="1" a="1"/>
  <c r="I488" i="49" s="1"/>
  <c r="C495" i="49" a="1"/>
  <c r="C495" i="49" s="1"/>
  <c r="I495" i="49" s="1" a="1"/>
  <c r="I495" i="49" s="1"/>
  <c r="C502" i="49" a="1"/>
  <c r="C502" i="49" s="1"/>
  <c r="I502" i="49" s="1" a="1"/>
  <c r="I502" i="49" s="1"/>
  <c r="D746" i="49" a="1"/>
  <c r="D746" i="49" s="1"/>
  <c r="D766" i="49" a="1"/>
  <c r="D766" i="49" s="1"/>
  <c r="D775" i="49" a="1"/>
  <c r="D775" i="49" s="1"/>
  <c r="D785" i="49" a="1"/>
  <c r="D785" i="49" s="1"/>
  <c r="D793" i="49" a="1"/>
  <c r="D793" i="49" s="1"/>
  <c r="D801" i="49" a="1"/>
  <c r="D801" i="49" s="1"/>
  <c r="D809" i="49" a="1"/>
  <c r="D809" i="49" s="1"/>
  <c r="D817" i="49" a="1"/>
  <c r="D817" i="49" s="1"/>
  <c r="D825" i="49" a="1"/>
  <c r="D825" i="49" s="1"/>
  <c r="D833" i="49" a="1"/>
  <c r="D833" i="49" s="1"/>
  <c r="D841" i="49" a="1"/>
  <c r="D841" i="49" s="1"/>
  <c r="D849" i="49" a="1"/>
  <c r="D849" i="49" s="1"/>
  <c r="D857" i="49" a="1"/>
  <c r="D857" i="49" s="1"/>
  <c r="D865" i="49" a="1"/>
  <c r="D865" i="49" s="1"/>
  <c r="D873" i="49" a="1"/>
  <c r="D873" i="49" s="1"/>
  <c r="C10" i="49" a="1"/>
  <c r="C10" i="49" s="1"/>
  <c r="I10" i="49" s="1" a="1"/>
  <c r="I10" i="49" s="1"/>
  <c r="C17" i="49" a="1"/>
  <c r="C17" i="49" s="1"/>
  <c r="I17" i="49" s="1" a="1"/>
  <c r="I17" i="49" s="1"/>
  <c r="C25" i="49" a="1"/>
  <c r="C25" i="49" s="1"/>
  <c r="I25" i="49" s="1" a="1"/>
  <c r="I25" i="49" s="1"/>
  <c r="C40" i="49" a="1"/>
  <c r="C40" i="49" s="1"/>
  <c r="I40" i="49" s="1" a="1"/>
  <c r="I40" i="49" s="1"/>
  <c r="C48" i="49" a="1"/>
  <c r="C48" i="49" s="1"/>
  <c r="I48" i="49" s="1" a="1"/>
  <c r="I48" i="49" s="1"/>
  <c r="C55" i="49" a="1"/>
  <c r="C55" i="49" s="1"/>
  <c r="I55" i="49" s="1" a="1"/>
  <c r="I55" i="49" s="1"/>
  <c r="C63" i="49" a="1"/>
  <c r="C63" i="49" s="1"/>
  <c r="I63" i="49" s="1" a="1"/>
  <c r="I63" i="49" s="1"/>
  <c r="C70" i="49" a="1"/>
  <c r="C70" i="49" s="1"/>
  <c r="I70" i="49" s="1" a="1"/>
  <c r="I70" i="49" s="1"/>
  <c r="C77" i="49" a="1"/>
  <c r="C77" i="49" s="1"/>
  <c r="I77" i="49" s="1" a="1"/>
  <c r="I77" i="49" s="1"/>
  <c r="C84" i="49" a="1"/>
  <c r="C84" i="49" s="1"/>
  <c r="I84" i="49" s="1" a="1"/>
  <c r="I84" i="49" s="1"/>
  <c r="C92" i="49" a="1"/>
  <c r="C92" i="49" s="1"/>
  <c r="I92" i="49" s="1" a="1"/>
  <c r="I92" i="49" s="1"/>
  <c r="C99" i="49" a="1"/>
  <c r="C99" i="49" s="1"/>
  <c r="I99" i="49" s="1" a="1"/>
  <c r="I99" i="49" s="1"/>
  <c r="C106" i="49" a="1"/>
  <c r="C106" i="49" s="1"/>
  <c r="I106" i="49" s="1" a="1"/>
  <c r="I106" i="49" s="1"/>
  <c r="C113" i="49" a="1"/>
  <c r="C113" i="49" s="1"/>
  <c r="I113" i="49" s="1" a="1"/>
  <c r="I113" i="49" s="1"/>
  <c r="C121" i="49" a="1"/>
  <c r="C121" i="49" s="1"/>
  <c r="I121" i="49" s="1" a="1"/>
  <c r="I121" i="49" s="1"/>
  <c r="C136" i="49" a="1"/>
  <c r="C136" i="49" s="1"/>
  <c r="I136" i="49" s="1" a="1"/>
  <c r="I136" i="49" s="1"/>
  <c r="C143" i="49" a="1"/>
  <c r="C143" i="49" s="1"/>
  <c r="I143" i="49" s="1" a="1"/>
  <c r="I143" i="49" s="1"/>
  <c r="C150" i="49" a="1"/>
  <c r="C150" i="49" s="1"/>
  <c r="I150" i="49" s="1" a="1"/>
  <c r="I150" i="49" s="1"/>
  <c r="C158" i="49" a="1"/>
  <c r="C158" i="49" s="1"/>
  <c r="I158" i="49" s="1" a="1"/>
  <c r="I158" i="49" s="1"/>
  <c r="C165" i="49" a="1"/>
  <c r="C165" i="49" s="1"/>
  <c r="I165" i="49" s="1" a="1"/>
  <c r="I165" i="49" s="1"/>
  <c r="C172" i="49" a="1"/>
  <c r="C172" i="49" s="1"/>
  <c r="I172" i="49" s="1" a="1"/>
  <c r="I172" i="49" s="1"/>
  <c r="C178" i="49" a="1"/>
  <c r="C178" i="49" s="1"/>
  <c r="I178" i="49" s="1" a="1"/>
  <c r="I178" i="49" s="1"/>
  <c r="C186" i="49" a="1"/>
  <c r="C186" i="49" s="1"/>
  <c r="I186" i="49" s="1" a="1"/>
  <c r="I186" i="49" s="1"/>
  <c r="C193" i="49" a="1"/>
  <c r="C193" i="49" s="1"/>
  <c r="C207" i="49" a="1"/>
  <c r="C207" i="49" s="1"/>
  <c r="I207" i="49" s="1" a="1"/>
  <c r="I207" i="49" s="1"/>
  <c r="C214" i="49" a="1"/>
  <c r="C214" i="49" s="1"/>
  <c r="I214" i="49" s="1" a="1"/>
  <c r="I214" i="49" s="1"/>
  <c r="C222" i="49" a="1"/>
  <c r="C222" i="49" s="1"/>
  <c r="I222" i="49" s="1" a="1"/>
  <c r="I222" i="49" s="1"/>
  <c r="C229" i="49" a="1"/>
  <c r="C229" i="49" s="1"/>
  <c r="I229" i="49" s="1" a="1"/>
  <c r="I229" i="49" s="1"/>
  <c r="C236" i="49" a="1"/>
  <c r="C236" i="49" s="1"/>
  <c r="I236" i="49" s="1" a="1"/>
  <c r="I236" i="49" s="1"/>
  <c r="C242" i="49" a="1"/>
  <c r="C242" i="49" s="1"/>
  <c r="I242" i="49" s="1" a="1"/>
  <c r="I242" i="49" s="1"/>
  <c r="C250" i="49" a="1"/>
  <c r="C250" i="49" s="1"/>
  <c r="I250" i="49" s="1" a="1"/>
  <c r="I250" i="49" s="1"/>
  <c r="C258" i="49" a="1"/>
  <c r="C258" i="49" s="1"/>
  <c r="I258" i="49" s="1" a="1"/>
  <c r="I258" i="49" s="1"/>
  <c r="C265" i="49" a="1"/>
  <c r="C265" i="49" s="1"/>
  <c r="I265" i="49" s="1" a="1"/>
  <c r="I265" i="49" s="1"/>
  <c r="C272" i="49" a="1"/>
  <c r="C272" i="49" s="1"/>
  <c r="I272" i="49" s="1" a="1"/>
  <c r="I272" i="49" s="1"/>
  <c r="C279" i="49" a="1"/>
  <c r="C279" i="49" s="1"/>
  <c r="I279" i="49" s="1" a="1"/>
  <c r="I279" i="49" s="1"/>
  <c r="C287" i="49" a="1"/>
  <c r="C287" i="49" s="1"/>
  <c r="I287" i="49" s="1" a="1"/>
  <c r="I287" i="49" s="1"/>
  <c r="C295" i="49" a="1"/>
  <c r="C295" i="49" s="1"/>
  <c r="I295" i="49" s="1" a="1"/>
  <c r="I295" i="49" s="1"/>
  <c r="C301" i="49" a="1"/>
  <c r="C301" i="49" s="1"/>
  <c r="I301" i="49" s="1" a="1"/>
  <c r="I301" i="49" s="1"/>
  <c r="C308" i="49" a="1"/>
  <c r="C308" i="49" s="1"/>
  <c r="I308" i="49" s="1" a="1"/>
  <c r="I308" i="49" s="1"/>
  <c r="C316" i="49" a="1"/>
  <c r="C316" i="49" s="1"/>
  <c r="I316" i="49" s="1" a="1"/>
  <c r="I316" i="49" s="1"/>
  <c r="C324" i="49" a="1"/>
  <c r="C324" i="49" s="1"/>
  <c r="I324" i="49" s="1" a="1"/>
  <c r="I324" i="49" s="1"/>
  <c r="C332" i="49" a="1"/>
  <c r="C332" i="49" s="1"/>
  <c r="I332" i="49" s="1" a="1"/>
  <c r="I332" i="49" s="1"/>
  <c r="C340" i="49" a="1"/>
  <c r="C340" i="49" s="1"/>
  <c r="I340" i="49" s="1" a="1"/>
  <c r="I340" i="49" s="1"/>
  <c r="C348" i="49" a="1"/>
  <c r="C348" i="49" s="1"/>
  <c r="I348" i="49" s="1" a="1"/>
  <c r="I348" i="49" s="1"/>
  <c r="C354" i="49" a="1"/>
  <c r="C354" i="49" s="1"/>
  <c r="I354" i="49" s="1" a="1"/>
  <c r="I354" i="49" s="1"/>
  <c r="C361" i="49" a="1"/>
  <c r="C361" i="49" s="1"/>
  <c r="I361" i="49" s="1" a="1"/>
  <c r="I361" i="49" s="1"/>
  <c r="C375" i="49" a="1"/>
  <c r="C375" i="49" s="1"/>
  <c r="I375" i="49" s="1" a="1"/>
  <c r="I375" i="49" s="1"/>
  <c r="C381" i="49" a="1"/>
  <c r="C381" i="49" s="1"/>
  <c r="I381" i="49" s="1" a="1"/>
  <c r="I381" i="49" s="1"/>
  <c r="C388" i="49" a="1"/>
  <c r="C388" i="49" s="1"/>
  <c r="I388" i="49" s="1" a="1"/>
  <c r="I388" i="49" s="1"/>
  <c r="C395" i="49" a="1"/>
  <c r="C395" i="49" s="1"/>
  <c r="I395" i="49" s="1" a="1"/>
  <c r="I395" i="49" s="1"/>
  <c r="C402" i="49" a="1"/>
  <c r="C402" i="49" s="1"/>
  <c r="I402" i="49" s="1" a="1"/>
  <c r="I402" i="49" s="1"/>
  <c r="C421" i="49" a="1"/>
  <c r="C421" i="49" s="1"/>
  <c r="I421" i="49" s="1" a="1"/>
  <c r="I421" i="49" s="1"/>
  <c r="C429" i="49" a="1"/>
  <c r="C429" i="49" s="1"/>
  <c r="I429" i="49" s="1" a="1"/>
  <c r="I429" i="49" s="1"/>
  <c r="C435" i="49" a="1"/>
  <c r="C435" i="49" s="1"/>
  <c r="I435" i="49" s="1" a="1"/>
  <c r="I435" i="49" s="1"/>
  <c r="C443" i="49" a="1"/>
  <c r="C443" i="49" s="1"/>
  <c r="I443" i="49" s="1" a="1"/>
  <c r="I443" i="49" s="1"/>
  <c r="C449" i="49" a="1"/>
  <c r="C449" i="49" s="1"/>
  <c r="I449" i="49" s="1" a="1"/>
  <c r="I449" i="49" s="1"/>
  <c r="C455" i="49" a="1"/>
  <c r="C455" i="49" s="1"/>
  <c r="I455" i="49" s="1" a="1"/>
  <c r="I455" i="49" s="1"/>
  <c r="C462" i="49" a="1"/>
  <c r="C462" i="49" s="1"/>
  <c r="I462" i="49" s="1" a="1"/>
  <c r="I462" i="49" s="1"/>
  <c r="C469" i="49" a="1"/>
  <c r="C469" i="49" s="1"/>
  <c r="I469" i="49" s="1" a="1"/>
  <c r="I469" i="49" s="1"/>
  <c r="C476" i="49" a="1"/>
  <c r="C476" i="49" s="1"/>
  <c r="I476" i="49" s="1" a="1"/>
  <c r="I476" i="49" s="1"/>
  <c r="C482" i="49" a="1"/>
  <c r="C482" i="49" s="1"/>
  <c r="I482" i="49" s="1" a="1"/>
  <c r="I482" i="49" s="1"/>
  <c r="D750" i="49" a="1"/>
  <c r="D750" i="49" s="1"/>
  <c r="D767" i="49" a="1"/>
  <c r="D767" i="49" s="1"/>
  <c r="D777" i="49" a="1"/>
  <c r="D777" i="49" s="1"/>
  <c r="D786" i="49" a="1"/>
  <c r="D786" i="49" s="1"/>
  <c r="D794" i="49" a="1"/>
  <c r="D794" i="49" s="1"/>
  <c r="D802" i="49" a="1"/>
  <c r="D802" i="49" s="1"/>
  <c r="D810" i="49" a="1"/>
  <c r="D810" i="49" s="1"/>
  <c r="D818" i="49" a="1"/>
  <c r="D818" i="49" s="1"/>
  <c r="D826" i="49" a="1"/>
  <c r="D826" i="49" s="1"/>
  <c r="D834" i="49" a="1"/>
  <c r="D834" i="49" s="1"/>
  <c r="D842" i="49" a="1"/>
  <c r="D842" i="49" s="1"/>
  <c r="D850" i="49" a="1"/>
  <c r="D850" i="49" s="1"/>
  <c r="D858" i="49" a="1"/>
  <c r="D858" i="49" s="1"/>
  <c r="D866" i="49" a="1"/>
  <c r="D866" i="49" s="1"/>
  <c r="D874" i="49" a="1"/>
  <c r="D874" i="49" s="1"/>
  <c r="C11" i="49" a="1"/>
  <c r="C11" i="49" s="1"/>
  <c r="I11" i="49" s="1" a="1"/>
  <c r="I11" i="49" s="1"/>
  <c r="C18" i="49" a="1"/>
  <c r="C18" i="49" s="1"/>
  <c r="I18" i="49" s="1" a="1"/>
  <c r="I18" i="49" s="1"/>
  <c r="C26" i="49" a="1"/>
  <c r="C26" i="49" s="1"/>
  <c r="I26" i="49" s="1" a="1"/>
  <c r="I26" i="49" s="1"/>
  <c r="C33" i="49" a="1"/>
  <c r="C33" i="49" s="1"/>
  <c r="I33" i="49" s="1" a="1"/>
  <c r="I33" i="49" s="1"/>
  <c r="C41" i="49" a="1"/>
  <c r="C41" i="49" s="1"/>
  <c r="I41" i="49" s="1" a="1"/>
  <c r="I41" i="49" s="1"/>
  <c r="C56" i="49" a="1"/>
  <c r="C56" i="49" s="1"/>
  <c r="I56" i="49" s="1" a="1"/>
  <c r="I56" i="49" s="1"/>
  <c r="C64" i="49" a="1"/>
  <c r="C64" i="49" s="1"/>
  <c r="I64" i="49" s="1" a="1"/>
  <c r="I64" i="49" s="1"/>
  <c r="C71" i="49" a="1"/>
  <c r="C71" i="49" s="1"/>
  <c r="I71" i="49" s="1" a="1"/>
  <c r="I71" i="49" s="1"/>
  <c r="C78" i="49" a="1"/>
  <c r="C78" i="49" s="1"/>
  <c r="I78" i="49" s="1" a="1"/>
  <c r="I78" i="49" s="1"/>
  <c r="C85" i="49" a="1"/>
  <c r="C85" i="49" s="1"/>
  <c r="I85" i="49" s="1" a="1"/>
  <c r="I85" i="49" s="1"/>
  <c r="C93" i="49" a="1"/>
  <c r="C93" i="49" s="1"/>
  <c r="I93" i="49" s="1" a="1"/>
  <c r="I93" i="49" s="1"/>
  <c r="C100" i="49" a="1"/>
  <c r="C100" i="49" s="1"/>
  <c r="I100" i="49" s="1" a="1"/>
  <c r="I100" i="49" s="1"/>
  <c r="C107" i="49" a="1"/>
  <c r="C107" i="49" s="1"/>
  <c r="I107" i="49" s="1" a="1"/>
  <c r="I107" i="49" s="1"/>
  <c r="C114" i="49" a="1"/>
  <c r="C114" i="49" s="1"/>
  <c r="I114" i="49" s="1" a="1"/>
  <c r="I114" i="49" s="1"/>
  <c r="C122" i="49" a="1"/>
  <c r="C122" i="49" s="1"/>
  <c r="I122" i="49" s="1" a="1"/>
  <c r="I122" i="49" s="1"/>
  <c r="C129" i="49" a="1"/>
  <c r="C129" i="49" s="1"/>
  <c r="I129" i="49" s="1" a="1"/>
  <c r="I129" i="49" s="1"/>
  <c r="C144" i="49" a="1"/>
  <c r="C144" i="49" s="1"/>
  <c r="I144" i="49" s="1" a="1"/>
  <c r="I144" i="49" s="1"/>
  <c r="C151" i="49" a="1"/>
  <c r="C151" i="49" s="1"/>
  <c r="I151" i="49" s="1" a="1"/>
  <c r="I151" i="49" s="1"/>
  <c r="C159" i="49" a="1"/>
  <c r="C159" i="49" s="1"/>
  <c r="I159" i="49" s="1" a="1"/>
  <c r="I159" i="49" s="1"/>
  <c r="C166" i="49" a="1"/>
  <c r="C166" i="49" s="1"/>
  <c r="I166" i="49" s="1" a="1"/>
  <c r="I166" i="49" s="1"/>
  <c r="C179" i="49" a="1"/>
  <c r="C179" i="49" s="1"/>
  <c r="I179" i="49" s="1" a="1"/>
  <c r="I179" i="49" s="1"/>
  <c r="C187" i="49" a="1"/>
  <c r="C187" i="49" s="1"/>
  <c r="I187" i="49" s="1" a="1"/>
  <c r="I187" i="49" s="1"/>
  <c r="C194" i="49" a="1"/>
  <c r="C194" i="49" s="1"/>
  <c r="I194" i="49" s="1" a="1"/>
  <c r="I194" i="49" s="1"/>
  <c r="C201" i="49" a="1"/>
  <c r="C201" i="49" s="1"/>
  <c r="I201" i="49" s="1" a="1"/>
  <c r="I201" i="49" s="1"/>
  <c r="C208" i="49" a="1"/>
  <c r="C208" i="49" s="1"/>
  <c r="I208" i="49" s="1" a="1"/>
  <c r="I208" i="49" s="1"/>
  <c r="C215" i="49" a="1"/>
  <c r="C215" i="49" s="1"/>
  <c r="I215" i="49" s="1" a="1"/>
  <c r="I215" i="49" s="1"/>
  <c r="C223" i="49" a="1"/>
  <c r="C223" i="49" s="1"/>
  <c r="I223" i="49" s="1" a="1"/>
  <c r="I223" i="49" s="1"/>
  <c r="C230" i="49" a="1"/>
  <c r="C230" i="49" s="1"/>
  <c r="I230" i="49" s="1" a="1"/>
  <c r="I230" i="49" s="1"/>
  <c r="C243" i="49" a="1"/>
  <c r="C243" i="49" s="1"/>
  <c r="I243" i="49" s="1" a="1"/>
  <c r="I243" i="49" s="1"/>
  <c r="C251" i="49" a="1"/>
  <c r="C251" i="49" s="1"/>
  <c r="I251" i="49" s="1" a="1"/>
  <c r="I251" i="49" s="1"/>
  <c r="C259" i="49" a="1"/>
  <c r="C259" i="49" s="1"/>
  <c r="I259" i="49" s="1" a="1"/>
  <c r="I259" i="49" s="1"/>
  <c r="C266" i="49" a="1"/>
  <c r="C266" i="49" s="1"/>
  <c r="I266" i="49" s="1" a="1"/>
  <c r="I266" i="49" s="1"/>
  <c r="C280" i="49" a="1"/>
  <c r="C280" i="49" s="1"/>
  <c r="I280" i="49" s="1" a="1"/>
  <c r="I280" i="49" s="1"/>
  <c r="C288" i="49" a="1"/>
  <c r="C288" i="49" s="1"/>
  <c r="I288" i="49" s="1" a="1"/>
  <c r="I288" i="49" s="1"/>
  <c r="C296" i="49" a="1"/>
  <c r="C296" i="49" s="1"/>
  <c r="I296" i="49" s="1" a="1"/>
  <c r="I296" i="49" s="1"/>
  <c r="C302" i="49" a="1"/>
  <c r="C302" i="49" s="1"/>
  <c r="I302" i="49" s="1" a="1"/>
  <c r="I302" i="49" s="1"/>
  <c r="C309" i="49" a="1"/>
  <c r="C309" i="49" s="1"/>
  <c r="I309" i="49" s="1" a="1"/>
  <c r="I309" i="49" s="1"/>
  <c r="C317" i="49" a="1"/>
  <c r="C317" i="49" s="1"/>
  <c r="I317" i="49" s="1" a="1"/>
  <c r="I317" i="49" s="1"/>
  <c r="C325" i="49" a="1"/>
  <c r="C325" i="49" s="1"/>
  <c r="I325" i="49" s="1" a="1"/>
  <c r="I325" i="49" s="1"/>
  <c r="C333" i="49" a="1"/>
  <c r="C333" i="49" s="1"/>
  <c r="I333" i="49" s="1" a="1"/>
  <c r="I333" i="49" s="1"/>
  <c r="C341" i="49" a="1"/>
  <c r="C341" i="49" s="1"/>
  <c r="I341" i="49" s="1" a="1"/>
  <c r="I341" i="49" s="1"/>
  <c r="C349" i="49" a="1"/>
  <c r="C349" i="49" s="1"/>
  <c r="I349" i="49" s="1" a="1"/>
  <c r="I349" i="49" s="1"/>
  <c r="C355" i="49" a="1"/>
  <c r="C355" i="49" s="1"/>
  <c r="I355" i="49" s="1" a="1"/>
  <c r="I355" i="49" s="1"/>
  <c r="C362" i="49" a="1"/>
  <c r="C362" i="49" s="1"/>
  <c r="I362" i="49" s="1" a="1"/>
  <c r="I362" i="49" s="1"/>
  <c r="C368" i="49" a="1"/>
  <c r="C368" i="49" s="1"/>
  <c r="I368" i="49" s="1" a="1"/>
  <c r="I368" i="49" s="1"/>
  <c r="C376" i="49" a="1"/>
  <c r="C376" i="49" s="1"/>
  <c r="I376" i="49" s="1" a="1"/>
  <c r="I376" i="49" s="1"/>
  <c r="C382" i="49" a="1"/>
  <c r="C382" i="49" s="1"/>
  <c r="I382" i="49" s="1" a="1"/>
  <c r="I382" i="49" s="1"/>
  <c r="C396" i="49" a="1"/>
  <c r="C396" i="49" s="1"/>
  <c r="I396" i="49" s="1" a="1"/>
  <c r="I396" i="49" s="1"/>
  <c r="C403" i="49" a="1"/>
  <c r="C403" i="49" s="1"/>
  <c r="I403" i="49" s="1" a="1"/>
  <c r="I403" i="49" s="1"/>
  <c r="C409" i="49" a="1"/>
  <c r="C409" i="49" s="1"/>
  <c r="I409" i="49" s="1" a="1"/>
  <c r="I409" i="49" s="1"/>
  <c r="C416" i="49" a="1"/>
  <c r="C416" i="49" s="1"/>
  <c r="I416" i="49" s="1" a="1"/>
  <c r="I416" i="49" s="1"/>
  <c r="C422" i="49" a="1"/>
  <c r="C422" i="49" s="1"/>
  <c r="I422" i="49" s="1" a="1"/>
  <c r="I422" i="49" s="1"/>
  <c r="C436" i="49" a="1"/>
  <c r="C436" i="49" s="1"/>
  <c r="I436" i="49" s="1" a="1"/>
  <c r="I436" i="49" s="1"/>
  <c r="C456" i="49" a="1"/>
  <c r="C456" i="49" s="1"/>
  <c r="I456" i="49" s="1" a="1"/>
  <c r="I456" i="49" s="1"/>
  <c r="C463" i="49" a="1"/>
  <c r="C463" i="49" s="1"/>
  <c r="I463" i="49" s="1" a="1"/>
  <c r="I463" i="49" s="1"/>
  <c r="C470" i="49" a="1"/>
  <c r="C470" i="49" s="1"/>
  <c r="I470" i="49" s="1" a="1"/>
  <c r="I470" i="49" s="1"/>
  <c r="C477" i="49" a="1"/>
  <c r="C477" i="49" s="1"/>
  <c r="I477" i="49" s="1" a="1"/>
  <c r="I477" i="49" s="1"/>
  <c r="C483" i="49" a="1"/>
  <c r="C483" i="49" s="1"/>
  <c r="I483" i="49" s="1" a="1"/>
  <c r="I483" i="49" s="1"/>
  <c r="C490" i="49" a="1"/>
  <c r="C490" i="49" s="1"/>
  <c r="I490" i="49" s="1" a="1"/>
  <c r="I490" i="49" s="1"/>
  <c r="C496" i="49" a="1"/>
  <c r="C496" i="49" s="1"/>
  <c r="I496" i="49" s="1" a="1"/>
  <c r="I496" i="49" s="1"/>
  <c r="C504" i="49" a="1"/>
  <c r="C504" i="49" s="1"/>
  <c r="I504" i="49" s="1" a="1"/>
  <c r="I504" i="49" s="1"/>
  <c r="D754" i="49" a="1"/>
  <c r="D754" i="49" s="1"/>
  <c r="D769" i="49" a="1"/>
  <c r="D769" i="49" s="1"/>
  <c r="D778" i="49" a="1"/>
  <c r="D778" i="49" s="1"/>
  <c r="D787" i="49" a="1"/>
  <c r="D787" i="49" s="1"/>
  <c r="D795" i="49" a="1"/>
  <c r="D795" i="49" s="1"/>
  <c r="D803" i="49" a="1"/>
  <c r="D803" i="49" s="1"/>
  <c r="D811" i="49" a="1"/>
  <c r="D811" i="49" s="1"/>
  <c r="D819" i="49" a="1"/>
  <c r="D819" i="49" s="1"/>
  <c r="D827" i="49" a="1"/>
  <c r="D827" i="49" s="1"/>
  <c r="D835" i="49" a="1"/>
  <c r="D835" i="49" s="1"/>
  <c r="D843" i="49" a="1"/>
  <c r="D843" i="49" s="1"/>
  <c r="D851" i="49" a="1"/>
  <c r="D851" i="49" s="1"/>
  <c r="D859" i="49" a="1"/>
  <c r="D859" i="49" s="1"/>
  <c r="D867" i="49" a="1"/>
  <c r="D867" i="49" s="1"/>
  <c r="D5" i="49" a="1"/>
  <c r="D5" i="49" s="1"/>
  <c r="C12" i="49" a="1"/>
  <c r="C12" i="49" s="1"/>
  <c r="I12" i="49" s="1" a="1"/>
  <c r="I12" i="49" s="1"/>
  <c r="C19" i="49" a="1"/>
  <c r="C19" i="49" s="1"/>
  <c r="I19" i="49" s="1" a="1"/>
  <c r="I19" i="49" s="1"/>
  <c r="C27" i="49" a="1"/>
  <c r="C27" i="49" s="1"/>
  <c r="I27" i="49" s="1" a="1"/>
  <c r="I27" i="49" s="1"/>
  <c r="C34" i="49" a="1"/>
  <c r="C34" i="49" s="1"/>
  <c r="I34" i="49" s="1" a="1"/>
  <c r="I34" i="49" s="1"/>
  <c r="C42" i="49" a="1"/>
  <c r="C42" i="49" s="1"/>
  <c r="I42" i="49" s="1" a="1"/>
  <c r="I42" i="49" s="1"/>
  <c r="C49" i="49" a="1"/>
  <c r="C49" i="49" s="1"/>
  <c r="I49" i="49" s="1" a="1"/>
  <c r="I49" i="49" s="1"/>
  <c r="C57" i="49" a="1"/>
  <c r="C57" i="49" s="1"/>
  <c r="I57" i="49" s="1" a="1"/>
  <c r="I57" i="49" s="1"/>
  <c r="C72" i="49" a="1"/>
  <c r="C72" i="49" s="1"/>
  <c r="I72" i="49" s="1" a="1"/>
  <c r="I72" i="49" s="1"/>
  <c r="C79" i="49" a="1"/>
  <c r="C79" i="49" s="1"/>
  <c r="I79" i="49" s="1" a="1"/>
  <c r="I79" i="49" s="1"/>
  <c r="C86" i="49" a="1"/>
  <c r="C86" i="49" s="1"/>
  <c r="I86" i="49" s="1" a="1"/>
  <c r="I86" i="49" s="1"/>
  <c r="C94" i="49" a="1"/>
  <c r="C94" i="49" s="1"/>
  <c r="I94" i="49" s="1" a="1"/>
  <c r="I94" i="49" s="1"/>
  <c r="C101" i="49" a="1"/>
  <c r="C101" i="49" s="1"/>
  <c r="I101" i="49" s="1" a="1"/>
  <c r="I101" i="49" s="1"/>
  <c r="C108" i="49" a="1"/>
  <c r="C108" i="49" s="1"/>
  <c r="I108" i="49" s="1" a="1"/>
  <c r="I108" i="49" s="1"/>
  <c r="C115" i="49" a="1"/>
  <c r="C115" i="49" s="1"/>
  <c r="I115" i="49" s="1" a="1"/>
  <c r="I115" i="49" s="1"/>
  <c r="C123" i="49" a="1"/>
  <c r="C123" i="49" s="1"/>
  <c r="I123" i="49" s="1" a="1"/>
  <c r="I123" i="49" s="1"/>
  <c r="C130" i="49" a="1"/>
  <c r="C130" i="49" s="1"/>
  <c r="I130" i="49" s="1" a="1"/>
  <c r="I130" i="49" s="1"/>
  <c r="C137" i="49" a="1"/>
  <c r="C137" i="49" s="1"/>
  <c r="I137" i="49" s="1" a="1"/>
  <c r="I137" i="49" s="1"/>
  <c r="C152" i="49" a="1"/>
  <c r="C152" i="49" s="1"/>
  <c r="I152" i="49" s="1" a="1"/>
  <c r="I152" i="49" s="1"/>
  <c r="C160" i="49" a="1"/>
  <c r="C160" i="49" s="1"/>
  <c r="I160" i="49" s="1" a="1"/>
  <c r="I160" i="49" s="1"/>
  <c r="C167" i="49" a="1"/>
  <c r="C167" i="49" s="1"/>
  <c r="I167" i="49" s="1" a="1"/>
  <c r="I167" i="49" s="1"/>
  <c r="C173" i="49" a="1"/>
  <c r="C173" i="49" s="1"/>
  <c r="I173" i="49" s="1" a="1"/>
  <c r="I173" i="49" s="1"/>
  <c r="C180" i="49" a="1"/>
  <c r="C180" i="49" s="1"/>
  <c r="I180" i="49" s="1" a="1"/>
  <c r="I180" i="49" s="1"/>
  <c r="C188" i="49" a="1"/>
  <c r="C188" i="49" s="1"/>
  <c r="I188" i="49" s="1" a="1"/>
  <c r="I188" i="49" s="1"/>
  <c r="C195" i="49" a="1"/>
  <c r="C195" i="49" s="1"/>
  <c r="I195" i="49" s="1" a="1"/>
  <c r="I195" i="49" s="1"/>
  <c r="C202" i="49" a="1"/>
  <c r="C202" i="49" s="1"/>
  <c r="I202" i="49" s="1" a="1"/>
  <c r="I202" i="49" s="1"/>
  <c r="C216" i="49" a="1"/>
  <c r="C216" i="49" s="1"/>
  <c r="I216" i="49" s="1" a="1"/>
  <c r="I216" i="49" s="1"/>
  <c r="C224" i="49" a="1"/>
  <c r="C224" i="49" s="1"/>
  <c r="I224" i="49" s="1" a="1"/>
  <c r="I224" i="49" s="1"/>
  <c r="C231" i="49" a="1"/>
  <c r="C231" i="49" s="1"/>
  <c r="I231" i="49" s="1" a="1"/>
  <c r="I231" i="49" s="1"/>
  <c r="C237" i="49" a="1"/>
  <c r="C237" i="49" s="1"/>
  <c r="I237" i="49" s="1" a="1"/>
  <c r="I237" i="49" s="1"/>
  <c r="C244" i="49" a="1"/>
  <c r="C244" i="49" s="1"/>
  <c r="I244" i="49" s="1" a="1"/>
  <c r="I244" i="49" s="1"/>
  <c r="C252" i="49" a="1"/>
  <c r="C252" i="49" s="1"/>
  <c r="I252" i="49" s="1" a="1"/>
  <c r="I252" i="49" s="1"/>
  <c r="C260" i="49" a="1"/>
  <c r="C260" i="49" s="1"/>
  <c r="I260" i="49" s="1" a="1"/>
  <c r="I260" i="49" s="1"/>
  <c r="C267" i="49" a="1"/>
  <c r="C267" i="49" s="1"/>
  <c r="I267" i="49" s="1" a="1"/>
  <c r="I267" i="49" s="1"/>
  <c r="C273" i="49" a="1"/>
  <c r="C273" i="49" s="1"/>
  <c r="I273" i="49" s="1" a="1"/>
  <c r="I273" i="49" s="1"/>
  <c r="C281" i="49" a="1"/>
  <c r="C281" i="49" s="1"/>
  <c r="I281" i="49" s="1" a="1"/>
  <c r="I281" i="49" s="1"/>
  <c r="C289" i="49" a="1"/>
  <c r="C289" i="49" s="1"/>
  <c r="I289" i="49" s="1" a="1"/>
  <c r="I289" i="49" s="1"/>
  <c r="C303" i="49" a="1"/>
  <c r="C303" i="49" s="1"/>
  <c r="I303" i="49" s="1" a="1"/>
  <c r="I303" i="49" s="1"/>
  <c r="C310" i="49" a="1"/>
  <c r="C310" i="49" s="1"/>
  <c r="I310" i="49" s="1" a="1"/>
  <c r="I310" i="49" s="1"/>
  <c r="C318" i="49" a="1"/>
  <c r="C318" i="49" s="1"/>
  <c r="I318" i="49" s="1" a="1"/>
  <c r="I318" i="49" s="1"/>
  <c r="C326" i="49" a="1"/>
  <c r="C326" i="49" s="1"/>
  <c r="C334" i="49" a="1"/>
  <c r="C334" i="49" s="1"/>
  <c r="I334" i="49" s="1" a="1"/>
  <c r="I334" i="49" s="1"/>
  <c r="C342" i="49" a="1"/>
  <c r="C342" i="49" s="1"/>
  <c r="I342" i="49" s="1" a="1"/>
  <c r="I342" i="49" s="1"/>
  <c r="C356" i="49" a="1"/>
  <c r="C356" i="49" s="1"/>
  <c r="I356" i="49" s="1" a="1"/>
  <c r="I356" i="49" s="1"/>
  <c r="C363" i="49" a="1"/>
  <c r="C363" i="49" s="1"/>
  <c r="I363" i="49" s="1" a="1"/>
  <c r="I363" i="49" s="1"/>
  <c r="C369" i="49" a="1"/>
  <c r="C369" i="49" s="1"/>
  <c r="I369" i="49" s="1" a="1"/>
  <c r="I369" i="49" s="1"/>
  <c r="C377" i="49" a="1"/>
  <c r="C377" i="49" s="1"/>
  <c r="I377" i="49" s="1" a="1"/>
  <c r="I377" i="49" s="1"/>
  <c r="C383" i="49" a="1"/>
  <c r="C383" i="49" s="1"/>
  <c r="I383" i="49" s="1" a="1"/>
  <c r="I383" i="49" s="1"/>
  <c r="C389" i="49" a="1"/>
  <c r="C389" i="49" s="1"/>
  <c r="I389" i="49" s="1" a="1"/>
  <c r="I389" i="49" s="1"/>
  <c r="C397" i="49" a="1"/>
  <c r="C397" i="49" s="1"/>
  <c r="I397" i="49" s="1" a="1"/>
  <c r="I397" i="49" s="1"/>
  <c r="C410" i="49" a="1"/>
  <c r="C410" i="49" s="1"/>
  <c r="I410" i="49" s="1" a="1"/>
  <c r="I410" i="49" s="1"/>
  <c r="C417" i="49" a="1"/>
  <c r="C417" i="49" s="1"/>
  <c r="I417" i="49" s="1" a="1"/>
  <c r="I417" i="49" s="1"/>
  <c r="C423" i="49" a="1"/>
  <c r="C423" i="49" s="1"/>
  <c r="I423" i="49" s="1" a="1"/>
  <c r="I423" i="49" s="1"/>
  <c r="C430" i="49" a="1"/>
  <c r="C430" i="49" s="1"/>
  <c r="I430" i="49" s="1" a="1"/>
  <c r="I430" i="49" s="1"/>
  <c r="C437" i="49" a="1"/>
  <c r="C437" i="49" s="1"/>
  <c r="I437" i="49" s="1" a="1"/>
  <c r="I437" i="49" s="1"/>
  <c r="C444" i="49" a="1"/>
  <c r="C444" i="49" s="1"/>
  <c r="I444" i="49" s="1" a="1"/>
  <c r="I444" i="49" s="1"/>
  <c r="C450" i="49" a="1"/>
  <c r="C450" i="49" s="1"/>
  <c r="I450" i="49" s="1" a="1"/>
  <c r="I450" i="49" s="1"/>
  <c r="C457" i="49" a="1"/>
  <c r="C457" i="49" s="1"/>
  <c r="I457" i="49" s="1" a="1"/>
  <c r="I457" i="49" s="1"/>
  <c r="C464" i="49" a="1"/>
  <c r="C464" i="49" s="1"/>
  <c r="I464" i="49" s="1" a="1"/>
  <c r="I464" i="49" s="1"/>
  <c r="C471" i="49" a="1"/>
  <c r="C471" i="49" s="1"/>
  <c r="I471" i="49" s="1" a="1"/>
  <c r="I471" i="49" s="1"/>
  <c r="C489" i="49" a="1"/>
  <c r="C489" i="49" s="1"/>
  <c r="I489" i="49" s="1" a="1"/>
  <c r="I489" i="49" s="1"/>
  <c r="C505" i="49" a="1"/>
  <c r="C505" i="49" s="1"/>
  <c r="I505" i="49" s="1" a="1"/>
  <c r="I505" i="49" s="1"/>
  <c r="C512" i="49" a="1"/>
  <c r="C512" i="49" s="1"/>
  <c r="I512" i="49" s="1" a="1"/>
  <c r="I512" i="49" s="1"/>
  <c r="C518" i="49" a="1"/>
  <c r="C518" i="49" s="1"/>
  <c r="I518" i="49" s="1" a="1"/>
  <c r="I518" i="49" s="1"/>
  <c r="C532" i="49" a="1"/>
  <c r="C532" i="49" s="1"/>
  <c r="I532" i="49" s="1" a="1"/>
  <c r="I532" i="49" s="1"/>
  <c r="C539" i="49" a="1"/>
  <c r="C539" i="49" s="1"/>
  <c r="I539" i="49" s="1" a="1"/>
  <c r="I539" i="49" s="1"/>
  <c r="C552" i="49" a="1"/>
  <c r="C552" i="49" s="1"/>
  <c r="I552" i="49" s="1" a="1"/>
  <c r="I552" i="49" s="1"/>
  <c r="C559" i="49" a="1"/>
  <c r="C559" i="49" s="1"/>
  <c r="I559" i="49" s="1" a="1"/>
  <c r="I559" i="49" s="1"/>
  <c r="C566" i="49" a="1"/>
  <c r="C566" i="49" s="1"/>
  <c r="I566" i="49" s="1" a="1"/>
  <c r="I566" i="49" s="1"/>
  <c r="C579" i="49" a="1"/>
  <c r="C579" i="49" s="1"/>
  <c r="I579" i="49" s="1" a="1"/>
  <c r="I579" i="49" s="1"/>
  <c r="C586" i="49" a="1"/>
  <c r="C586" i="49" s="1"/>
  <c r="I586" i="49" s="1" a="1"/>
  <c r="I586" i="49" s="1"/>
  <c r="C592" i="49" a="1"/>
  <c r="C592" i="49" s="1"/>
  <c r="I592" i="49" s="1" a="1"/>
  <c r="I592" i="49" s="1"/>
  <c r="C598" i="49" a="1"/>
  <c r="C598" i="49" s="1"/>
  <c r="I598" i="49" s="1" a="1"/>
  <c r="I598" i="49" s="1"/>
  <c r="C604" i="49" a="1"/>
  <c r="C604" i="49" s="1"/>
  <c r="I604" i="49" s="1" a="1"/>
  <c r="I604" i="49" s="1"/>
  <c r="C609" i="49" a="1"/>
  <c r="C609" i="49" s="1"/>
  <c r="I609" i="49" s="1" a="1"/>
  <c r="I609" i="49" s="1"/>
  <c r="C615" i="49" a="1"/>
  <c r="C615" i="49" s="1"/>
  <c r="I615" i="49" s="1" a="1"/>
  <c r="I615" i="49" s="1"/>
  <c r="C627" i="49" a="1"/>
  <c r="C627" i="49" s="1"/>
  <c r="I627" i="49" s="1" a="1"/>
  <c r="I627" i="49" s="1"/>
  <c r="C639" i="49" a="1"/>
  <c r="C639" i="49" s="1"/>
  <c r="I639" i="49" s="1" a="1"/>
  <c r="I639" i="49" s="1"/>
  <c r="C645" i="49" a="1"/>
  <c r="C645" i="49" s="1"/>
  <c r="I645" i="49" s="1" a="1"/>
  <c r="I645" i="49" s="1"/>
  <c r="C650" i="49" a="1"/>
  <c r="C650" i="49" s="1"/>
  <c r="I650" i="49" s="1" a="1"/>
  <c r="I650" i="49" s="1"/>
  <c r="C656" i="49" a="1"/>
  <c r="C656" i="49" s="1"/>
  <c r="I656" i="49" s="1" a="1"/>
  <c r="I656" i="49" s="1"/>
  <c r="C661" i="49" a="1"/>
  <c r="C661" i="49" s="1"/>
  <c r="I661" i="49" s="1" a="1"/>
  <c r="I661" i="49" s="1"/>
  <c r="C672" i="49" a="1"/>
  <c r="C672" i="49" s="1"/>
  <c r="I672" i="49" s="1" a="1"/>
  <c r="I672" i="49" s="1"/>
  <c r="C689" i="49" a="1"/>
  <c r="C689" i="49" s="1"/>
  <c r="I689" i="49" s="1" a="1"/>
  <c r="I689" i="49" s="1"/>
  <c r="C699" i="49" a="1"/>
  <c r="C699" i="49" s="1"/>
  <c r="I699" i="49" s="1" a="1"/>
  <c r="I699" i="49" s="1"/>
  <c r="C705" i="49" a="1"/>
  <c r="C705" i="49" s="1"/>
  <c r="I705" i="49" s="1" a="1"/>
  <c r="I705" i="49" s="1"/>
  <c r="C710" i="49" a="1"/>
  <c r="C710" i="49" s="1"/>
  <c r="I710" i="49" s="1" a="1"/>
  <c r="I710" i="49" s="1"/>
  <c r="C715" i="49" a="1"/>
  <c r="C715" i="49" s="1"/>
  <c r="I715" i="49" s="1" a="1"/>
  <c r="I715" i="49" s="1"/>
  <c r="C726" i="49" a="1"/>
  <c r="C726" i="49" s="1"/>
  <c r="I726" i="49" s="1" a="1"/>
  <c r="I726" i="49" s="1"/>
  <c r="C743" i="49" a="1"/>
  <c r="C743" i="49" s="1"/>
  <c r="I743" i="49" s="1" a="1"/>
  <c r="I743" i="49" s="1"/>
  <c r="C748" i="49" a="1"/>
  <c r="C748" i="49" s="1"/>
  <c r="I748" i="49" s="1" a="1"/>
  <c r="I748" i="49" s="1"/>
  <c r="C754" i="49" a="1"/>
  <c r="C754" i="49" s="1"/>
  <c r="I754" i="49" s="1" a="1"/>
  <c r="I754" i="49" s="1"/>
  <c r="C759" i="49" a="1"/>
  <c r="C759" i="49" s="1"/>
  <c r="I759" i="49" s="1" a="1"/>
  <c r="I759" i="49" s="1"/>
  <c r="C764" i="49" a="1"/>
  <c r="C764" i="49" s="1"/>
  <c r="I764" i="49" s="1" a="1"/>
  <c r="I764" i="49" s="1"/>
  <c r="C770" i="49" a="1"/>
  <c r="C770" i="49" s="1"/>
  <c r="I770" i="49" s="1" a="1"/>
  <c r="I770" i="49" s="1"/>
  <c r="C781" i="49" a="1"/>
  <c r="C781" i="49" s="1"/>
  <c r="I781" i="49" s="1" a="1"/>
  <c r="I781" i="49" s="1"/>
  <c r="C797" i="49" a="1"/>
  <c r="C797" i="49" s="1"/>
  <c r="I797" i="49" s="1" a="1"/>
  <c r="I797" i="49" s="1"/>
  <c r="C803" i="49" a="1"/>
  <c r="C803" i="49" s="1"/>
  <c r="I803" i="49" s="1" a="1"/>
  <c r="I803" i="49" s="1"/>
  <c r="C808" i="49" a="1"/>
  <c r="C808" i="49" s="1"/>
  <c r="I808" i="49" s="1" a="1"/>
  <c r="I808" i="49" s="1"/>
  <c r="C814" i="49" a="1"/>
  <c r="C814" i="49" s="1"/>
  <c r="I814" i="49" s="1" a="1"/>
  <c r="I814" i="49" s="1"/>
  <c r="C819" i="49" a="1"/>
  <c r="C819" i="49" s="1"/>
  <c r="I819" i="49" s="1" a="1"/>
  <c r="I819" i="49" s="1"/>
  <c r="C824" i="49" a="1"/>
  <c r="C824" i="49" s="1"/>
  <c r="I824" i="49" s="1" a="1"/>
  <c r="I824" i="49" s="1"/>
  <c r="C830" i="49" a="1"/>
  <c r="C830" i="49" s="1"/>
  <c r="I830" i="49" s="1" a="1"/>
  <c r="I830" i="49" s="1"/>
  <c r="C841" i="49" a="1"/>
  <c r="C841" i="49" s="1"/>
  <c r="I841" i="49" s="1" a="1"/>
  <c r="I841" i="49" s="1"/>
  <c r="C857" i="49" a="1"/>
  <c r="C857" i="49" s="1"/>
  <c r="I857" i="49" s="1" a="1"/>
  <c r="I857" i="49" s="1"/>
  <c r="C868" i="49" a="1"/>
  <c r="C868" i="49" s="1"/>
  <c r="I868" i="49" s="1" a="1"/>
  <c r="I868" i="49" s="1"/>
  <c r="C873" i="49" a="1"/>
  <c r="C873" i="49" s="1"/>
  <c r="I873" i="49" s="1" a="1"/>
  <c r="I873" i="49" s="1"/>
  <c r="B10" i="49" a="1"/>
  <c r="B10" i="49" s="1"/>
  <c r="B18" i="49" a="1"/>
  <c r="B18" i="49" s="1"/>
  <c r="B33" i="49" a="1"/>
  <c r="B33" i="49" s="1"/>
  <c r="B39" i="49" a="1"/>
  <c r="B39" i="49" s="1"/>
  <c r="B46" i="49" a="1"/>
  <c r="B46" i="49" s="1"/>
  <c r="B54" i="49" a="1"/>
  <c r="B54" i="49" s="1"/>
  <c r="B62" i="49" a="1"/>
  <c r="B62" i="49" s="1"/>
  <c r="B69" i="49" a="1"/>
  <c r="B69" i="49" s="1"/>
  <c r="B76" i="49" a="1"/>
  <c r="B76" i="49" s="1"/>
  <c r="B84" i="49" a="1"/>
  <c r="B84" i="49" s="1"/>
  <c r="B92" i="49" a="1"/>
  <c r="B92" i="49" s="1"/>
  <c r="B100" i="49" a="1"/>
  <c r="B100" i="49" s="1"/>
  <c r="B107" i="49" a="1"/>
  <c r="B107" i="49" s="1"/>
  <c r="B115" i="49" a="1"/>
  <c r="B115" i="49" s="1"/>
  <c r="B122" i="49" a="1"/>
  <c r="B122" i="49" s="1"/>
  <c r="B130" i="49" a="1"/>
  <c r="B130" i="49" s="1"/>
  <c r="B137" i="49" a="1"/>
  <c r="B137" i="49" s="1"/>
  <c r="C491" i="49" a="1"/>
  <c r="C491" i="49" s="1"/>
  <c r="I491" i="49" s="1" a="1"/>
  <c r="I491" i="49" s="1"/>
  <c r="C507" i="49" a="1"/>
  <c r="C507" i="49" s="1"/>
  <c r="I507" i="49" s="1" a="1"/>
  <c r="I507" i="49" s="1"/>
  <c r="C513" i="49" a="1"/>
  <c r="C513" i="49" s="1"/>
  <c r="I513" i="49" s="1" a="1"/>
  <c r="I513" i="49" s="1"/>
  <c r="C519" i="49" a="1"/>
  <c r="C519" i="49" s="1"/>
  <c r="I519" i="49" s="1" a="1"/>
  <c r="I519" i="49" s="1"/>
  <c r="C526" i="49" a="1"/>
  <c r="C526" i="49" s="1"/>
  <c r="C533" i="49" a="1"/>
  <c r="C533" i="49" s="1"/>
  <c r="I533" i="49" s="1" a="1"/>
  <c r="I533" i="49" s="1"/>
  <c r="C540" i="49" a="1"/>
  <c r="C540" i="49" s="1"/>
  <c r="I540" i="49" s="1" a="1"/>
  <c r="I540" i="49" s="1"/>
  <c r="C546" i="49" a="1"/>
  <c r="C546" i="49" s="1"/>
  <c r="I546" i="49" s="1" a="1"/>
  <c r="I546" i="49" s="1"/>
  <c r="C553" i="49" a="1"/>
  <c r="C553" i="49" s="1"/>
  <c r="I553" i="49" s="1" a="1"/>
  <c r="I553" i="49" s="1"/>
  <c r="C567" i="49" a="1"/>
  <c r="C567" i="49" s="1"/>
  <c r="I567" i="49" s="1" a="1"/>
  <c r="I567" i="49" s="1"/>
  <c r="C573" i="49" a="1"/>
  <c r="C573" i="49" s="1"/>
  <c r="I573" i="49" s="1" a="1"/>
  <c r="I573" i="49" s="1"/>
  <c r="C580" i="49" a="1"/>
  <c r="C580" i="49" s="1"/>
  <c r="I580" i="49" s="1" a="1"/>
  <c r="I580" i="49" s="1"/>
  <c r="C587" i="49" a="1"/>
  <c r="C587" i="49" s="1"/>
  <c r="I587" i="49" s="1" a="1"/>
  <c r="I587" i="49" s="1"/>
  <c r="C593" i="49" a="1"/>
  <c r="C593" i="49" s="1"/>
  <c r="I593" i="49" s="1" a="1"/>
  <c r="I593" i="49" s="1"/>
  <c r="C599" i="49" a="1"/>
  <c r="C599" i="49" s="1"/>
  <c r="I599" i="49" s="1" a="1"/>
  <c r="I599" i="49" s="1"/>
  <c r="C622" i="49" a="1"/>
  <c r="C622" i="49" s="1"/>
  <c r="I622" i="49" s="1" a="1"/>
  <c r="I622" i="49" s="1"/>
  <c r="C628" i="49" a="1"/>
  <c r="C628" i="49" s="1"/>
  <c r="I628" i="49" s="1" a="1"/>
  <c r="I628" i="49" s="1"/>
  <c r="C634" i="49" a="1"/>
  <c r="C634" i="49" s="1"/>
  <c r="I634" i="49" s="1" a="1"/>
  <c r="I634" i="49" s="1"/>
  <c r="C640" i="49" a="1"/>
  <c r="C640" i="49" s="1"/>
  <c r="I640" i="49" s="1" a="1"/>
  <c r="I640" i="49" s="1"/>
  <c r="C657" i="49" a="1"/>
  <c r="C657" i="49" s="1"/>
  <c r="I657" i="49" s="1" a="1"/>
  <c r="I657" i="49" s="1"/>
  <c r="C667" i="49" a="1"/>
  <c r="C667" i="49" s="1"/>
  <c r="I667" i="49" s="1" a="1"/>
  <c r="I667" i="49" s="1"/>
  <c r="C673" i="49" a="1"/>
  <c r="C673" i="49" s="1"/>
  <c r="I673" i="49" s="1" a="1"/>
  <c r="I673" i="49" s="1"/>
  <c r="C678" i="49" a="1"/>
  <c r="C678" i="49" s="1"/>
  <c r="C683" i="49" a="1"/>
  <c r="C683" i="49" s="1"/>
  <c r="I683" i="49" s="1" a="1"/>
  <c r="I683" i="49" s="1"/>
  <c r="C694" i="49" a="1"/>
  <c r="C694" i="49" s="1"/>
  <c r="I694" i="49" s="1" a="1"/>
  <c r="I694" i="49" s="1"/>
  <c r="C711" i="49" a="1"/>
  <c r="C711" i="49" s="1"/>
  <c r="I711" i="49" s="1" a="1"/>
  <c r="I711" i="49" s="1"/>
  <c r="C716" i="49" a="1"/>
  <c r="C716" i="49" s="1"/>
  <c r="I716" i="49" s="1" a="1"/>
  <c r="I716" i="49" s="1"/>
  <c r="C722" i="49" a="1"/>
  <c r="C722" i="49" s="1"/>
  <c r="I722" i="49" s="1" a="1"/>
  <c r="I722" i="49" s="1"/>
  <c r="C727" i="49" a="1"/>
  <c r="C727" i="49" s="1"/>
  <c r="I727" i="49" s="1" a="1"/>
  <c r="I727" i="49" s="1"/>
  <c r="C732" i="49" a="1"/>
  <c r="C732" i="49" s="1"/>
  <c r="I732" i="49" s="1" a="1"/>
  <c r="I732" i="49" s="1"/>
  <c r="C738" i="49" a="1"/>
  <c r="C738" i="49" s="1"/>
  <c r="C749" i="49" a="1"/>
  <c r="C749" i="49" s="1"/>
  <c r="I749" i="49" s="1" a="1"/>
  <c r="I749" i="49" s="1"/>
  <c r="C765" i="49" a="1"/>
  <c r="C765" i="49" s="1"/>
  <c r="I765" i="49" s="1" a="1"/>
  <c r="I765" i="49" s="1"/>
  <c r="C771" i="49" a="1"/>
  <c r="C771" i="49" s="1"/>
  <c r="I771" i="49" s="1" a="1"/>
  <c r="I771" i="49" s="1"/>
  <c r="C776" i="49" a="1"/>
  <c r="C776" i="49" s="1"/>
  <c r="I776" i="49" s="1" a="1"/>
  <c r="I776" i="49" s="1"/>
  <c r="C782" i="49" a="1"/>
  <c r="C782" i="49" s="1"/>
  <c r="I782" i="49" s="1" a="1"/>
  <c r="I782" i="49" s="1"/>
  <c r="C787" i="49" a="1"/>
  <c r="C787" i="49" s="1"/>
  <c r="I787" i="49" s="1" a="1"/>
  <c r="I787" i="49" s="1"/>
  <c r="C792" i="49" a="1"/>
  <c r="C792" i="49" s="1"/>
  <c r="I792" i="49" s="1" a="1"/>
  <c r="I792" i="49" s="1"/>
  <c r="C798" i="49" a="1"/>
  <c r="C798" i="49" s="1"/>
  <c r="I798" i="49" s="1" a="1"/>
  <c r="I798" i="49" s="1"/>
  <c r="C809" i="49" a="1"/>
  <c r="C809" i="49" s="1"/>
  <c r="I809" i="49" s="1" a="1"/>
  <c r="I809" i="49" s="1"/>
  <c r="C825" i="49" a="1"/>
  <c r="C825" i="49" s="1"/>
  <c r="I825" i="49" s="1" a="1"/>
  <c r="I825" i="49" s="1"/>
  <c r="C836" i="49" a="1"/>
  <c r="C836" i="49" s="1"/>
  <c r="I836" i="49" s="1" a="1"/>
  <c r="I836" i="49" s="1"/>
  <c r="C847" i="49" a="1"/>
  <c r="C847" i="49" s="1"/>
  <c r="I847" i="49" s="1" a="1"/>
  <c r="I847" i="49" s="1"/>
  <c r="C852" i="49" a="1"/>
  <c r="C852" i="49" s="1"/>
  <c r="I852" i="49" s="1" a="1"/>
  <c r="I852" i="49" s="1"/>
  <c r="C858" i="49" a="1"/>
  <c r="C858" i="49" s="1"/>
  <c r="I858" i="49" s="1" a="1"/>
  <c r="I858" i="49" s="1"/>
  <c r="C863" i="49" a="1"/>
  <c r="C863" i="49" s="1"/>
  <c r="I863" i="49" s="1" a="1"/>
  <c r="I863" i="49" s="1"/>
  <c r="B11" i="49" a="1"/>
  <c r="B11" i="49" s="1"/>
  <c r="B19" i="49" a="1"/>
  <c r="B19" i="49" s="1"/>
  <c r="B26" i="49" a="1"/>
  <c r="B26" i="49" s="1"/>
  <c r="B40" i="49" a="1"/>
  <c r="B40" i="49" s="1"/>
  <c r="B47" i="49" a="1"/>
  <c r="B47" i="49" s="1"/>
  <c r="B55" i="49" a="1"/>
  <c r="B55" i="49" s="1"/>
  <c r="B63" i="49" a="1"/>
  <c r="B63" i="49" s="1"/>
  <c r="B77" i="49" a="1"/>
  <c r="B77" i="49" s="1"/>
  <c r="B85" i="49" a="1"/>
  <c r="B85" i="49" s="1"/>
  <c r="B93" i="49" a="1"/>
  <c r="B93" i="49" s="1"/>
  <c r="B101" i="49" a="1"/>
  <c r="B101" i="49" s="1"/>
  <c r="B108" i="49" a="1"/>
  <c r="B108" i="49" s="1"/>
  <c r="B116" i="49" a="1"/>
  <c r="B116" i="49" s="1"/>
  <c r="B123" i="49" a="1"/>
  <c r="B123" i="49" s="1"/>
  <c r="B131" i="49" a="1"/>
  <c r="B131" i="49" s="1"/>
  <c r="B138" i="49" a="1"/>
  <c r="B138" i="49" s="1"/>
  <c r="B146" i="49" a="1"/>
  <c r="B146" i="49" s="1"/>
  <c r="C494" i="49" a="1"/>
  <c r="C494" i="49" s="1"/>
  <c r="I494" i="49" s="1" a="1"/>
  <c r="I494" i="49" s="1"/>
  <c r="C520" i="49" a="1"/>
  <c r="C520" i="49" s="1"/>
  <c r="I520" i="49" s="1" a="1"/>
  <c r="I520" i="49" s="1"/>
  <c r="C527" i="49" a="1"/>
  <c r="C527" i="49" s="1"/>
  <c r="I527" i="49" s="1" a="1"/>
  <c r="I527" i="49" s="1"/>
  <c r="C534" i="49" a="1"/>
  <c r="C534" i="49" s="1"/>
  <c r="I534" i="49" s="1" a="1"/>
  <c r="I534" i="49" s="1"/>
  <c r="C541" i="49" a="1"/>
  <c r="C541" i="49" s="1"/>
  <c r="I541" i="49" s="1" a="1"/>
  <c r="I541" i="49" s="1"/>
  <c r="C547" i="49" a="1"/>
  <c r="C547" i="49" s="1"/>
  <c r="I547" i="49" s="1" a="1"/>
  <c r="I547" i="49" s="1"/>
  <c r="C554" i="49" a="1"/>
  <c r="C554" i="49" s="1"/>
  <c r="I554" i="49" s="1" a="1"/>
  <c r="I554" i="49" s="1"/>
  <c r="C560" i="49" a="1"/>
  <c r="C560" i="49" s="1"/>
  <c r="C568" i="49" a="1"/>
  <c r="C568" i="49" s="1"/>
  <c r="I568" i="49" s="1" a="1"/>
  <c r="I568" i="49" s="1"/>
  <c r="C574" i="49" a="1"/>
  <c r="C574" i="49" s="1"/>
  <c r="I574" i="49" s="1" a="1"/>
  <c r="I574" i="49" s="1"/>
  <c r="C588" i="49" a="1"/>
  <c r="C588" i="49" s="1"/>
  <c r="I588" i="49" s="1" a="1"/>
  <c r="I588" i="49" s="1"/>
  <c r="C600" i="49" a="1"/>
  <c r="C600" i="49" s="1"/>
  <c r="I600" i="49" s="1" a="1"/>
  <c r="I600" i="49" s="1"/>
  <c r="C605" i="49" a="1"/>
  <c r="C605" i="49" s="1"/>
  <c r="I605" i="49" s="1" a="1"/>
  <c r="I605" i="49" s="1"/>
  <c r="C610" i="49" a="1"/>
  <c r="C610" i="49" s="1"/>
  <c r="I610" i="49" s="1" a="1"/>
  <c r="I610" i="49" s="1"/>
  <c r="C616" i="49" a="1"/>
  <c r="C616" i="49" s="1"/>
  <c r="C623" i="49" a="1"/>
  <c r="C623" i="49" s="1"/>
  <c r="I623" i="49" s="1" a="1"/>
  <c r="I623" i="49" s="1"/>
  <c r="C635" i="49" a="1"/>
  <c r="C635" i="49" s="1"/>
  <c r="I635" i="49" s="1" a="1"/>
  <c r="I635" i="49" s="1"/>
  <c r="C641" i="49" a="1"/>
  <c r="C641" i="49" s="1"/>
  <c r="I641" i="49" s="1" a="1"/>
  <c r="I641" i="49" s="1"/>
  <c r="C646" i="49" a="1"/>
  <c r="C646" i="49" s="1"/>
  <c r="I646" i="49" s="1" a="1"/>
  <c r="I646" i="49" s="1"/>
  <c r="C651" i="49" a="1"/>
  <c r="C651" i="49" s="1"/>
  <c r="I651" i="49" s="1" a="1"/>
  <c r="I651" i="49" s="1"/>
  <c r="C662" i="49" a="1"/>
  <c r="C662" i="49" s="1"/>
  <c r="I662" i="49" s="1" a="1"/>
  <c r="I662" i="49" s="1"/>
  <c r="C679" i="49" a="1"/>
  <c r="C679" i="49" s="1"/>
  <c r="I679" i="49" s="1" a="1"/>
  <c r="I679" i="49" s="1"/>
  <c r="C684" i="49" a="1"/>
  <c r="C684" i="49" s="1"/>
  <c r="I684" i="49" s="1" a="1"/>
  <c r="I684" i="49" s="1"/>
  <c r="C690" i="49" a="1"/>
  <c r="C690" i="49" s="1"/>
  <c r="I690" i="49" s="1" a="1"/>
  <c r="I690" i="49" s="1"/>
  <c r="C695" i="49" a="1"/>
  <c r="C695" i="49" s="1"/>
  <c r="I695" i="49" s="1" a="1"/>
  <c r="I695" i="49" s="1"/>
  <c r="C700" i="49" a="1"/>
  <c r="C700" i="49" s="1"/>
  <c r="I700" i="49" s="1" a="1"/>
  <c r="I700" i="49" s="1"/>
  <c r="C706" i="49" a="1"/>
  <c r="C706" i="49" s="1"/>
  <c r="I706" i="49" s="1" a="1"/>
  <c r="I706" i="49" s="1"/>
  <c r="C717" i="49" a="1"/>
  <c r="C717" i="49" s="1"/>
  <c r="I717" i="49" s="1" a="1"/>
  <c r="I717" i="49" s="1"/>
  <c r="C733" i="49" a="1"/>
  <c r="C733" i="49" s="1"/>
  <c r="I733" i="49" s="1" a="1"/>
  <c r="I733" i="49" s="1"/>
  <c r="C739" i="49" a="1"/>
  <c r="C739" i="49" s="1"/>
  <c r="I739" i="49" s="1" a="1"/>
  <c r="I739" i="49" s="1"/>
  <c r="C744" i="49" a="1"/>
  <c r="C744" i="49" s="1"/>
  <c r="C750" i="49" a="1"/>
  <c r="C750" i="49" s="1"/>
  <c r="I750" i="49" s="1" a="1"/>
  <c r="I750" i="49" s="1"/>
  <c r="C755" i="49" a="1"/>
  <c r="C755" i="49" s="1"/>
  <c r="I755" i="49" s="1" a="1"/>
  <c r="I755" i="49" s="1"/>
  <c r="C760" i="49" a="1"/>
  <c r="C760" i="49" s="1"/>
  <c r="I760" i="49" s="1" a="1"/>
  <c r="I760" i="49" s="1"/>
  <c r="C766" i="49" a="1"/>
  <c r="C766" i="49" s="1"/>
  <c r="I766" i="49" s="1" a="1"/>
  <c r="I766" i="49" s="1"/>
  <c r="C777" i="49" a="1"/>
  <c r="C777" i="49" s="1"/>
  <c r="I777" i="49" s="1" a="1"/>
  <c r="I777" i="49" s="1"/>
  <c r="C793" i="49" a="1"/>
  <c r="C793" i="49" s="1"/>
  <c r="I793" i="49" s="1" a="1"/>
  <c r="I793" i="49" s="1"/>
  <c r="C804" i="49" a="1"/>
  <c r="C804" i="49" s="1"/>
  <c r="I804" i="49" s="1" a="1"/>
  <c r="I804" i="49" s="1"/>
  <c r="C815" i="49" a="1"/>
  <c r="C815" i="49" s="1"/>
  <c r="I815" i="49" s="1" a="1"/>
  <c r="I815" i="49" s="1"/>
  <c r="C820" i="49" a="1"/>
  <c r="C820" i="49" s="1"/>
  <c r="I820" i="49" s="1" a="1"/>
  <c r="I820" i="49" s="1"/>
  <c r="C826" i="49" a="1"/>
  <c r="C826" i="49" s="1"/>
  <c r="I826" i="49" s="1" a="1"/>
  <c r="I826" i="49" s="1"/>
  <c r="C831" i="49" a="1"/>
  <c r="C831" i="49" s="1"/>
  <c r="I831" i="49" s="1" a="1"/>
  <c r="I831" i="49" s="1"/>
  <c r="C837" i="49" a="1"/>
  <c r="C837" i="49" s="1"/>
  <c r="I837" i="49" s="1" a="1"/>
  <c r="I837" i="49" s="1"/>
  <c r="C842" i="49" a="1"/>
  <c r="C842" i="49" s="1"/>
  <c r="I842" i="49" s="1" a="1"/>
  <c r="I842" i="49" s="1"/>
  <c r="C848" i="49" a="1"/>
  <c r="C848" i="49" s="1"/>
  <c r="I848" i="49" s="1" a="1"/>
  <c r="I848" i="49" s="1"/>
  <c r="C853" i="49" a="1"/>
  <c r="C853" i="49" s="1"/>
  <c r="I853" i="49" s="1" a="1"/>
  <c r="I853" i="49" s="1"/>
  <c r="C864" i="49" a="1"/>
  <c r="C864" i="49" s="1"/>
  <c r="I864" i="49" s="1" a="1"/>
  <c r="I864" i="49" s="1"/>
  <c r="C869" i="49" a="1"/>
  <c r="C869" i="49" s="1"/>
  <c r="I869" i="49" s="1" a="1"/>
  <c r="I869" i="49" s="1"/>
  <c r="C874" i="49" a="1"/>
  <c r="C874" i="49" s="1"/>
  <c r="I874" i="49" s="1" a="1"/>
  <c r="I874" i="49" s="1"/>
  <c r="B12" i="49" a="1"/>
  <c r="B12" i="49" s="1"/>
  <c r="B20" i="49" a="1"/>
  <c r="B20" i="49" s="1"/>
  <c r="B27" i="49" a="1"/>
  <c r="B27" i="49" s="1"/>
  <c r="B34" i="49" a="1"/>
  <c r="B34" i="49" s="1"/>
  <c r="B41" i="49" a="1"/>
  <c r="B41" i="49" s="1"/>
  <c r="B48" i="49" a="1"/>
  <c r="B48" i="49" s="1"/>
  <c r="B56" i="49" a="1"/>
  <c r="B56" i="49" s="1"/>
  <c r="B64" i="49" a="1"/>
  <c r="B64" i="49" s="1"/>
  <c r="B70" i="49" a="1"/>
  <c r="B70" i="49" s="1"/>
  <c r="B78" i="49" a="1"/>
  <c r="B78" i="49" s="1"/>
  <c r="B86" i="49" a="1"/>
  <c r="B86" i="49" s="1"/>
  <c r="B94" i="49" a="1"/>
  <c r="B94" i="49" s="1"/>
  <c r="C508" i="49" a="1"/>
  <c r="C508" i="49" s="1"/>
  <c r="I508" i="49" s="1" a="1"/>
  <c r="I508" i="49" s="1"/>
  <c r="C514" i="49" a="1"/>
  <c r="C514" i="49" s="1"/>
  <c r="I514" i="49" s="1" a="1"/>
  <c r="I514" i="49" s="1"/>
  <c r="C521" i="49" a="1"/>
  <c r="C521" i="49" s="1"/>
  <c r="I521" i="49" s="1" a="1"/>
  <c r="I521" i="49" s="1"/>
  <c r="C528" i="49" a="1"/>
  <c r="C528" i="49" s="1"/>
  <c r="I528" i="49" s="1" a="1"/>
  <c r="I528" i="49" s="1"/>
  <c r="C535" i="49" a="1"/>
  <c r="C535" i="49" s="1"/>
  <c r="I535" i="49" s="1" a="1"/>
  <c r="I535" i="49" s="1"/>
  <c r="C542" i="49" a="1"/>
  <c r="C542" i="49" s="1"/>
  <c r="I542" i="49" s="1" a="1"/>
  <c r="I542" i="49" s="1"/>
  <c r="C548" i="49" a="1"/>
  <c r="C548" i="49" s="1"/>
  <c r="I548" i="49" s="1" a="1"/>
  <c r="I548" i="49" s="1"/>
  <c r="C555" i="49" a="1"/>
  <c r="C555" i="49" s="1"/>
  <c r="I555" i="49" s="1" a="1"/>
  <c r="I555" i="49" s="1"/>
  <c r="C561" i="49" a="1"/>
  <c r="C561" i="49" s="1"/>
  <c r="I561" i="49" s="1" a="1"/>
  <c r="I561" i="49" s="1"/>
  <c r="C569" i="49" a="1"/>
  <c r="C569" i="49" s="1"/>
  <c r="I569" i="49" s="1" a="1"/>
  <c r="I569" i="49" s="1"/>
  <c r="C575" i="49" a="1"/>
  <c r="C575" i="49" s="1"/>
  <c r="I575" i="49" s="1" a="1"/>
  <c r="I575" i="49" s="1"/>
  <c r="C581" i="49" a="1"/>
  <c r="C581" i="49" s="1"/>
  <c r="I581" i="49" s="1" a="1"/>
  <c r="I581" i="49" s="1"/>
  <c r="C589" i="49" a="1"/>
  <c r="C589" i="49" s="1"/>
  <c r="I589" i="49" s="1" a="1"/>
  <c r="I589" i="49" s="1"/>
  <c r="C594" i="49" a="1"/>
  <c r="C594" i="49" s="1"/>
  <c r="I594" i="49" s="1" a="1"/>
  <c r="I594" i="49" s="1"/>
  <c r="C611" i="49" a="1"/>
  <c r="C611" i="49" s="1"/>
  <c r="I611" i="49" s="1" a="1"/>
  <c r="I611" i="49" s="1"/>
  <c r="C617" i="49" a="1"/>
  <c r="C617" i="49" s="1"/>
  <c r="I617" i="49" s="1" a="1"/>
  <c r="I617" i="49" s="1"/>
  <c r="C629" i="49" a="1"/>
  <c r="C629" i="49" s="1"/>
  <c r="I629" i="49" s="1" a="1"/>
  <c r="I629" i="49" s="1"/>
  <c r="C647" i="49" a="1"/>
  <c r="C647" i="49" s="1"/>
  <c r="I647" i="49" s="1" a="1"/>
  <c r="I647" i="49" s="1"/>
  <c r="C652" i="49" a="1"/>
  <c r="C652" i="49" s="1"/>
  <c r="I652" i="49" s="1" a="1"/>
  <c r="I652" i="49" s="1"/>
  <c r="C658" i="49" a="1"/>
  <c r="C658" i="49" s="1"/>
  <c r="I658" i="49" s="1" a="1"/>
  <c r="I658" i="49" s="1"/>
  <c r="C663" i="49" a="1"/>
  <c r="C663" i="49" s="1"/>
  <c r="I663" i="49" s="1" a="1"/>
  <c r="I663" i="49" s="1"/>
  <c r="C668" i="49" a="1"/>
  <c r="C668" i="49" s="1"/>
  <c r="I668" i="49" s="1" a="1"/>
  <c r="I668" i="49" s="1"/>
  <c r="C674" i="49" a="1"/>
  <c r="C674" i="49" s="1"/>
  <c r="I674" i="49" s="1" a="1"/>
  <c r="I674" i="49" s="1"/>
  <c r="C685" i="49" a="1"/>
  <c r="C685" i="49" s="1"/>
  <c r="I685" i="49" s="1" a="1"/>
  <c r="I685" i="49" s="1"/>
  <c r="C701" i="49" a="1"/>
  <c r="C701" i="49" s="1"/>
  <c r="I701" i="49" s="1" a="1"/>
  <c r="I701" i="49" s="1"/>
  <c r="C707" i="49" a="1"/>
  <c r="C707" i="49" s="1"/>
  <c r="I707" i="49" s="1" a="1"/>
  <c r="I707" i="49" s="1"/>
  <c r="C712" i="49" a="1"/>
  <c r="C712" i="49" s="1"/>
  <c r="C718" i="49" a="1"/>
  <c r="C718" i="49" s="1"/>
  <c r="I718" i="49" s="1" a="1"/>
  <c r="I718" i="49" s="1"/>
  <c r="C723" i="49" a="1"/>
  <c r="C723" i="49" s="1"/>
  <c r="I723" i="49" s="1" a="1"/>
  <c r="I723" i="49" s="1"/>
  <c r="C728" i="49" a="1"/>
  <c r="C728" i="49" s="1"/>
  <c r="I728" i="49" s="1" a="1"/>
  <c r="I728" i="49" s="1"/>
  <c r="C734" i="49" a="1"/>
  <c r="C734" i="49" s="1"/>
  <c r="I734" i="49" s="1" a="1"/>
  <c r="I734" i="49" s="1"/>
  <c r="C745" i="49" a="1"/>
  <c r="C745" i="49" s="1"/>
  <c r="I745" i="49" s="1" a="1"/>
  <c r="I745" i="49" s="1"/>
  <c r="C761" i="49" a="1"/>
  <c r="C761" i="49" s="1"/>
  <c r="I761" i="49" s="1" a="1"/>
  <c r="I761" i="49" s="1"/>
  <c r="C772" i="49" a="1"/>
  <c r="C772" i="49" s="1"/>
  <c r="I772" i="49" s="1" a="1"/>
  <c r="I772" i="49" s="1"/>
  <c r="C783" i="49" a="1"/>
  <c r="C783" i="49" s="1"/>
  <c r="I783" i="49" s="1" a="1"/>
  <c r="I783" i="49" s="1"/>
  <c r="C788" i="49" a="1"/>
  <c r="C788" i="49" s="1"/>
  <c r="I788" i="49" s="1" a="1"/>
  <c r="I788" i="49" s="1"/>
  <c r="C794" i="49" a="1"/>
  <c r="C794" i="49" s="1"/>
  <c r="I794" i="49" s="1" a="1"/>
  <c r="I794" i="49" s="1"/>
  <c r="C799" i="49" a="1"/>
  <c r="C799" i="49" s="1"/>
  <c r="I799" i="49" s="1" a="1"/>
  <c r="I799" i="49" s="1"/>
  <c r="C805" i="49" a="1"/>
  <c r="C805" i="49" s="1"/>
  <c r="I805" i="49" s="1" a="1"/>
  <c r="I805" i="49" s="1"/>
  <c r="C810" i="49" a="1"/>
  <c r="C810" i="49" s="1"/>
  <c r="I810" i="49" s="1" a="1"/>
  <c r="I810" i="49" s="1"/>
  <c r="C816" i="49" a="1"/>
  <c r="C816" i="49" s="1"/>
  <c r="I816" i="49" s="1" a="1"/>
  <c r="I816" i="49" s="1"/>
  <c r="C821" i="49" a="1"/>
  <c r="C821" i="49" s="1"/>
  <c r="I821" i="49" s="1" a="1"/>
  <c r="I821" i="49" s="1"/>
  <c r="C832" i="49" a="1"/>
  <c r="C832" i="49" s="1"/>
  <c r="I832" i="49" s="1" a="1"/>
  <c r="I832" i="49" s="1"/>
  <c r="C849" i="49" a="1"/>
  <c r="C849" i="49" s="1"/>
  <c r="I849" i="49" s="1" a="1"/>
  <c r="I849" i="49" s="1"/>
  <c r="C859" i="49" a="1"/>
  <c r="C859" i="49" s="1"/>
  <c r="I859" i="49" s="1" a="1"/>
  <c r="I859" i="49" s="1"/>
  <c r="C865" i="49" a="1"/>
  <c r="C865" i="49" s="1"/>
  <c r="I865" i="49" s="1" a="1"/>
  <c r="I865" i="49" s="1"/>
  <c r="C5" i="49" a="1"/>
  <c r="C5" i="49" s="1"/>
  <c r="I5" i="49" s="1" a="1"/>
  <c r="I5" i="49" s="1"/>
  <c r="B13" i="49" a="1"/>
  <c r="B13" i="49" s="1"/>
  <c r="B21" i="49" a="1"/>
  <c r="B21" i="49" s="1"/>
  <c r="B28" i="49" a="1"/>
  <c r="B28" i="49" s="1"/>
  <c r="B35" i="49" a="1"/>
  <c r="B35" i="49" s="1"/>
  <c r="B49" i="49" a="1"/>
  <c r="B49" i="49" s="1"/>
  <c r="B57" i="49" a="1"/>
  <c r="B57" i="49" s="1"/>
  <c r="B65" i="49" a="1"/>
  <c r="B65" i="49" s="1"/>
  <c r="B71" i="49" a="1"/>
  <c r="B71" i="49" s="1"/>
  <c r="B79" i="49" a="1"/>
  <c r="B79" i="49" s="1"/>
  <c r="B87" i="49" a="1"/>
  <c r="B87" i="49" s="1"/>
  <c r="B95" i="49" a="1"/>
  <c r="B95" i="49" s="1"/>
  <c r="B102" i="49" a="1"/>
  <c r="B102" i="49" s="1"/>
  <c r="B110" i="49" a="1"/>
  <c r="B110" i="49" s="1"/>
  <c r="B125" i="49" a="1"/>
  <c r="B125" i="49" s="1"/>
  <c r="B133" i="49" a="1"/>
  <c r="B133" i="49" s="1"/>
  <c r="B140" i="49" a="1"/>
  <c r="B140" i="49" s="1"/>
  <c r="B148" i="49" a="1"/>
  <c r="B148" i="49" s="1"/>
  <c r="C478" i="49" a="1"/>
  <c r="C478" i="49" s="1"/>
  <c r="I478" i="49" s="1" a="1"/>
  <c r="I478" i="49" s="1"/>
  <c r="C497" i="49" a="1"/>
  <c r="C497" i="49" s="1"/>
  <c r="I497" i="49" s="1" a="1"/>
  <c r="I497" i="49" s="1"/>
  <c r="C515" i="49" a="1"/>
  <c r="C515" i="49" s="1"/>
  <c r="I515" i="49" s="1" a="1"/>
  <c r="I515" i="49" s="1"/>
  <c r="C522" i="49" a="1"/>
  <c r="C522" i="49" s="1"/>
  <c r="I522" i="49" s="1" a="1"/>
  <c r="I522" i="49" s="1"/>
  <c r="C529" i="49" a="1"/>
  <c r="C529" i="49" s="1"/>
  <c r="I529" i="49" s="1" a="1"/>
  <c r="I529" i="49" s="1"/>
  <c r="C536" i="49" a="1"/>
  <c r="C536" i="49" s="1"/>
  <c r="I536" i="49" s="1" a="1"/>
  <c r="I536" i="49" s="1"/>
  <c r="C543" i="49" a="1"/>
  <c r="C543" i="49" s="1"/>
  <c r="I543" i="49" s="1" a="1"/>
  <c r="I543" i="49" s="1"/>
  <c r="C556" i="49" a="1"/>
  <c r="C556" i="49" s="1"/>
  <c r="I556" i="49" s="1" a="1"/>
  <c r="I556" i="49" s="1"/>
  <c r="C562" i="49" a="1"/>
  <c r="C562" i="49" s="1"/>
  <c r="I562" i="49" s="1" a="1"/>
  <c r="I562" i="49" s="1"/>
  <c r="C570" i="49" a="1"/>
  <c r="C570" i="49" s="1"/>
  <c r="I570" i="49" s="1" a="1"/>
  <c r="I570" i="49" s="1"/>
  <c r="C576" i="49" a="1"/>
  <c r="C576" i="49" s="1"/>
  <c r="I576" i="49" s="1" a="1"/>
  <c r="I576" i="49" s="1"/>
  <c r="C582" i="49" a="1"/>
  <c r="C582" i="49" s="1"/>
  <c r="I582" i="49" s="1" a="1"/>
  <c r="I582" i="49" s="1"/>
  <c r="C595" i="49" a="1"/>
  <c r="C595" i="49" s="1"/>
  <c r="I595" i="49" s="1" a="1"/>
  <c r="I595" i="49" s="1"/>
  <c r="C601" i="49" a="1"/>
  <c r="C601" i="49" s="1"/>
  <c r="I601" i="49" s="1" a="1"/>
  <c r="I601" i="49" s="1"/>
  <c r="C606" i="49" a="1"/>
  <c r="C606" i="49" s="1"/>
  <c r="I606" i="49" s="1" a="1"/>
  <c r="I606" i="49" s="1"/>
  <c r="C612" i="49" a="1"/>
  <c r="C612" i="49" s="1"/>
  <c r="I612" i="49" s="1" a="1"/>
  <c r="I612" i="49" s="1"/>
  <c r="C618" i="49" a="1"/>
  <c r="C618" i="49" s="1"/>
  <c r="I618" i="49" s="1" a="1"/>
  <c r="I618" i="49" s="1"/>
  <c r="C624" i="49" a="1"/>
  <c r="C624" i="49" s="1"/>
  <c r="I624" i="49" s="1" a="1"/>
  <c r="I624" i="49" s="1"/>
  <c r="C630" i="49" a="1"/>
  <c r="C630" i="49" s="1"/>
  <c r="I630" i="49" s="1" a="1"/>
  <c r="I630" i="49" s="1"/>
  <c r="C636" i="49" a="1"/>
  <c r="C636" i="49" s="1"/>
  <c r="I636" i="49" s="1" a="1"/>
  <c r="I636" i="49" s="1"/>
  <c r="C642" i="49" a="1"/>
  <c r="C642" i="49" s="1"/>
  <c r="I642" i="49" s="1" a="1"/>
  <c r="I642" i="49" s="1"/>
  <c r="C653" i="49" a="1"/>
  <c r="C653" i="49" s="1"/>
  <c r="I653" i="49" s="1" a="1"/>
  <c r="I653" i="49" s="1"/>
  <c r="C669" i="49" a="1"/>
  <c r="C669" i="49" s="1"/>
  <c r="I669" i="49" s="1" a="1"/>
  <c r="I669" i="49" s="1"/>
  <c r="C675" i="49" a="1"/>
  <c r="C675" i="49" s="1"/>
  <c r="I675" i="49" s="1" a="1"/>
  <c r="I675" i="49" s="1"/>
  <c r="C680" i="49" a="1"/>
  <c r="C680" i="49" s="1"/>
  <c r="I680" i="49" s="1" a="1"/>
  <c r="I680" i="49" s="1"/>
  <c r="C686" i="49" a="1"/>
  <c r="C686" i="49" s="1"/>
  <c r="I686" i="49" s="1" a="1"/>
  <c r="I686" i="49" s="1"/>
  <c r="C691" i="49" a="1"/>
  <c r="C691" i="49" s="1"/>
  <c r="I691" i="49" s="1" a="1"/>
  <c r="I691" i="49" s="1"/>
  <c r="C696" i="49" a="1"/>
  <c r="C696" i="49" s="1"/>
  <c r="I696" i="49" s="1" a="1"/>
  <c r="I696" i="49" s="1"/>
  <c r="C702" i="49" a="1"/>
  <c r="C702" i="49" s="1"/>
  <c r="I702" i="49" s="1" a="1"/>
  <c r="I702" i="49" s="1"/>
  <c r="C713" i="49" a="1"/>
  <c r="C713" i="49" s="1"/>
  <c r="I713" i="49" s="1" a="1"/>
  <c r="I713" i="49" s="1"/>
  <c r="C729" i="49" a="1"/>
  <c r="C729" i="49" s="1"/>
  <c r="I729" i="49" s="1" a="1"/>
  <c r="I729" i="49" s="1"/>
  <c r="C740" i="49" a="1"/>
  <c r="C740" i="49" s="1"/>
  <c r="I740" i="49" s="1" a="1"/>
  <c r="I740" i="49" s="1"/>
  <c r="C751" i="49" a="1"/>
  <c r="C751" i="49" s="1"/>
  <c r="I751" i="49" s="1" a="1"/>
  <c r="I751" i="49" s="1"/>
  <c r="C756" i="49" a="1"/>
  <c r="C756" i="49" s="1"/>
  <c r="I756" i="49" s="1" a="1"/>
  <c r="I756" i="49" s="1"/>
  <c r="C762" i="49" a="1"/>
  <c r="C762" i="49" s="1"/>
  <c r="I762" i="49" s="1" a="1"/>
  <c r="I762" i="49" s="1"/>
  <c r="C767" i="49" a="1"/>
  <c r="C767" i="49" s="1"/>
  <c r="I767" i="49" s="1" a="1"/>
  <c r="I767" i="49" s="1"/>
  <c r="C773" i="49" a="1"/>
  <c r="C773" i="49" s="1"/>
  <c r="I773" i="49" s="1" a="1"/>
  <c r="I773" i="49" s="1"/>
  <c r="C778" i="49" a="1"/>
  <c r="C778" i="49" s="1"/>
  <c r="I778" i="49" s="1" a="1"/>
  <c r="I778" i="49" s="1"/>
  <c r="C784" i="49" a="1"/>
  <c r="C784" i="49" s="1"/>
  <c r="I784" i="49" s="1" a="1"/>
  <c r="I784" i="49" s="1"/>
  <c r="C789" i="49" a="1"/>
  <c r="C789" i="49" s="1"/>
  <c r="I789" i="49" s="1" a="1"/>
  <c r="I789" i="49" s="1"/>
  <c r="C800" i="49" a="1"/>
  <c r="C800" i="49" s="1"/>
  <c r="I800" i="49" s="1" a="1"/>
  <c r="I800" i="49" s="1"/>
  <c r="C817" i="49" a="1"/>
  <c r="C817" i="49" s="1"/>
  <c r="I817" i="49" s="1" a="1"/>
  <c r="I817" i="49" s="1"/>
  <c r="C827" i="49" a="1"/>
  <c r="C827" i="49" s="1"/>
  <c r="I827" i="49" s="1" a="1"/>
  <c r="I827" i="49" s="1"/>
  <c r="C833" i="49" a="1"/>
  <c r="C833" i="49" s="1"/>
  <c r="I833" i="49" s="1" a="1"/>
  <c r="I833" i="49" s="1"/>
  <c r="C838" i="49" a="1"/>
  <c r="C838" i="49" s="1"/>
  <c r="I838" i="49" s="1" a="1"/>
  <c r="I838" i="49" s="1"/>
  <c r="C843" i="49" a="1"/>
  <c r="C843" i="49" s="1"/>
  <c r="I843" i="49" s="1" a="1"/>
  <c r="I843" i="49" s="1"/>
  <c r="C854" i="49" a="1"/>
  <c r="C854" i="49" s="1"/>
  <c r="I854" i="49" s="1" a="1"/>
  <c r="I854" i="49" s="1"/>
  <c r="C870" i="49" a="1"/>
  <c r="C870" i="49" s="1"/>
  <c r="I870" i="49" s="1" a="1"/>
  <c r="I870" i="49" s="1"/>
  <c r="B6" i="49" a="1"/>
  <c r="B6" i="49" s="1"/>
  <c r="B14" i="49" a="1"/>
  <c r="B14" i="49" s="1"/>
  <c r="B22" i="49" a="1"/>
  <c r="B22" i="49" s="1"/>
  <c r="B29" i="49" a="1"/>
  <c r="B29" i="49" s="1"/>
  <c r="B36" i="49" a="1"/>
  <c r="B36" i="49" s="1"/>
  <c r="B42" i="49" a="1"/>
  <c r="B42" i="49" s="1"/>
  <c r="B50" i="49" a="1"/>
  <c r="B50" i="49" s="1"/>
  <c r="B58" i="49" a="1"/>
  <c r="B58" i="49" s="1"/>
  <c r="B72" i="49" a="1"/>
  <c r="B72" i="49" s="1"/>
  <c r="B80" i="49" a="1"/>
  <c r="B80" i="49" s="1"/>
  <c r="B88" i="49" a="1"/>
  <c r="B88" i="49" s="1"/>
  <c r="B96" i="49" a="1"/>
  <c r="B96" i="49" s="1"/>
  <c r="B103" i="49" a="1"/>
  <c r="B103" i="49" s="1"/>
  <c r="B111" i="49" a="1"/>
  <c r="B111" i="49" s="1"/>
  <c r="C481" i="49" a="1"/>
  <c r="C481" i="49" s="1"/>
  <c r="I481" i="49" s="1" a="1"/>
  <c r="I481" i="49" s="1"/>
  <c r="C499" i="49" a="1"/>
  <c r="C499" i="49" s="1"/>
  <c r="I499" i="49" s="1" a="1"/>
  <c r="I499" i="49" s="1"/>
  <c r="C509" i="49" a="1"/>
  <c r="C509" i="49" s="1"/>
  <c r="I509" i="49" s="1" a="1"/>
  <c r="I509" i="49" s="1"/>
  <c r="C516" i="49" a="1"/>
  <c r="C516" i="49" s="1"/>
  <c r="I516" i="49" s="1" a="1"/>
  <c r="I516" i="49" s="1"/>
  <c r="C523" i="49" a="1"/>
  <c r="C523" i="49" s="1"/>
  <c r="I523" i="49" s="1" a="1"/>
  <c r="I523" i="49" s="1"/>
  <c r="C530" i="49" a="1"/>
  <c r="C530" i="49" s="1"/>
  <c r="I530" i="49" s="1" a="1"/>
  <c r="I530" i="49" s="1"/>
  <c r="C549" i="49" a="1"/>
  <c r="C549" i="49" s="1"/>
  <c r="I549" i="49" s="1" a="1"/>
  <c r="I549" i="49" s="1"/>
  <c r="C557" i="49" a="1"/>
  <c r="C557" i="49" s="1"/>
  <c r="I557" i="49" s="1" a="1"/>
  <c r="I557" i="49" s="1"/>
  <c r="C563" i="49" a="1"/>
  <c r="C563" i="49" s="1"/>
  <c r="I563" i="49" s="1" a="1"/>
  <c r="I563" i="49" s="1"/>
  <c r="C571" i="49" a="1"/>
  <c r="C571" i="49" s="1"/>
  <c r="I571" i="49" s="1" a="1"/>
  <c r="I571" i="49" s="1"/>
  <c r="C577" i="49" a="1"/>
  <c r="C577" i="49" s="1"/>
  <c r="I577" i="49" s="1" a="1"/>
  <c r="I577" i="49" s="1"/>
  <c r="C583" i="49" a="1"/>
  <c r="C583" i="49" s="1"/>
  <c r="I583" i="49" s="1" a="1"/>
  <c r="I583" i="49" s="1"/>
  <c r="C590" i="49" a="1"/>
  <c r="C590" i="49" s="1"/>
  <c r="I590" i="49" s="1" a="1"/>
  <c r="I590" i="49" s="1"/>
  <c r="C596" i="49" a="1"/>
  <c r="C596" i="49" s="1"/>
  <c r="I596" i="49" s="1" a="1"/>
  <c r="I596" i="49" s="1"/>
  <c r="C602" i="49" a="1"/>
  <c r="C602" i="49" s="1"/>
  <c r="I602" i="49" s="1" a="1"/>
  <c r="I602" i="49" s="1"/>
  <c r="C607" i="49" a="1"/>
  <c r="C607" i="49" s="1"/>
  <c r="I607" i="49" s="1" a="1"/>
  <c r="I607" i="49" s="1"/>
  <c r="C613" i="49" a="1"/>
  <c r="C613" i="49" s="1"/>
  <c r="I613" i="49" s="1" a="1"/>
  <c r="I613" i="49" s="1"/>
  <c r="C619" i="49" a="1"/>
  <c r="C619" i="49" s="1"/>
  <c r="I619" i="49" s="1" a="1"/>
  <c r="I619" i="49" s="1"/>
  <c r="C625" i="49" a="1"/>
  <c r="C625" i="49" s="1"/>
  <c r="I625" i="49" s="1" a="1"/>
  <c r="I625" i="49" s="1"/>
  <c r="C631" i="49" a="1"/>
  <c r="C631" i="49" s="1"/>
  <c r="I631" i="49" s="1" a="1"/>
  <c r="I631" i="49" s="1"/>
  <c r="C643" i="49" a="1"/>
  <c r="C643" i="49" s="1"/>
  <c r="I643" i="49" s="1" a="1"/>
  <c r="I643" i="49" s="1"/>
  <c r="C648" i="49" a="1"/>
  <c r="C648" i="49" s="1"/>
  <c r="I648" i="49" s="1" a="1"/>
  <c r="I648" i="49" s="1"/>
  <c r="C654" i="49" a="1"/>
  <c r="C654" i="49" s="1"/>
  <c r="I654" i="49" s="1" a="1"/>
  <c r="I654" i="49" s="1"/>
  <c r="C659" i="49" a="1"/>
  <c r="C659" i="49" s="1"/>
  <c r="I659" i="49" s="1" a="1"/>
  <c r="I659" i="49" s="1"/>
  <c r="C664" i="49" a="1"/>
  <c r="C664" i="49" s="1"/>
  <c r="I664" i="49" s="1" a="1"/>
  <c r="I664" i="49" s="1"/>
  <c r="C670" i="49" a="1"/>
  <c r="C670" i="49" s="1"/>
  <c r="I670" i="49" s="1" a="1"/>
  <c r="I670" i="49" s="1"/>
  <c r="C681" i="49" a="1"/>
  <c r="C681" i="49" s="1"/>
  <c r="I681" i="49" s="1" a="1"/>
  <c r="I681" i="49" s="1"/>
  <c r="C697" i="49" a="1"/>
  <c r="C697" i="49" s="1"/>
  <c r="I697" i="49" s="1" a="1"/>
  <c r="I697" i="49" s="1"/>
  <c r="C708" i="49" a="1"/>
  <c r="C708" i="49" s="1"/>
  <c r="I708" i="49" s="1" a="1"/>
  <c r="I708" i="49" s="1"/>
  <c r="C719" i="49" a="1"/>
  <c r="C719" i="49" s="1"/>
  <c r="I719" i="49" s="1" a="1"/>
  <c r="I719" i="49" s="1"/>
  <c r="C724" i="49" a="1"/>
  <c r="C724" i="49" s="1"/>
  <c r="I724" i="49" s="1" a="1"/>
  <c r="I724" i="49" s="1"/>
  <c r="C730" i="49" a="1"/>
  <c r="C730" i="49" s="1"/>
  <c r="C735" i="49" a="1"/>
  <c r="C735" i="49" s="1"/>
  <c r="I735" i="49" s="1" a="1"/>
  <c r="I735" i="49" s="1"/>
  <c r="C741" i="49" a="1"/>
  <c r="C741" i="49" s="1"/>
  <c r="I741" i="49" s="1" a="1"/>
  <c r="I741" i="49" s="1"/>
  <c r="C746" i="49" a="1"/>
  <c r="C746" i="49" s="1"/>
  <c r="I746" i="49" s="1" a="1"/>
  <c r="I746" i="49" s="1"/>
  <c r="C752" i="49" a="1"/>
  <c r="C752" i="49" s="1"/>
  <c r="I752" i="49" s="1" a="1"/>
  <c r="I752" i="49" s="1"/>
  <c r="C757" i="49" a="1"/>
  <c r="C757" i="49" s="1"/>
  <c r="I757" i="49" s="1" a="1"/>
  <c r="I757" i="49" s="1"/>
  <c r="C768" i="49" a="1"/>
  <c r="C768" i="49" s="1"/>
  <c r="I768" i="49" s="1" a="1"/>
  <c r="I768" i="49" s="1"/>
  <c r="C785" i="49" a="1"/>
  <c r="C785" i="49" s="1"/>
  <c r="I785" i="49" s="1" a="1"/>
  <c r="I785" i="49" s="1"/>
  <c r="C795" i="49" a="1"/>
  <c r="C795" i="49" s="1"/>
  <c r="I795" i="49" s="1" a="1"/>
  <c r="I795" i="49" s="1"/>
  <c r="C801" i="49" a="1"/>
  <c r="C801" i="49" s="1"/>
  <c r="I801" i="49" s="1" a="1"/>
  <c r="I801" i="49" s="1"/>
  <c r="C806" i="49" a="1"/>
  <c r="C806" i="49" s="1"/>
  <c r="I806" i="49" s="1" a="1"/>
  <c r="I806" i="49" s="1"/>
  <c r="C811" i="49" a="1"/>
  <c r="C811" i="49" s="1"/>
  <c r="I811" i="49" s="1" a="1"/>
  <c r="I811" i="49" s="1"/>
  <c r="C822" i="49" a="1"/>
  <c r="C822" i="49" s="1"/>
  <c r="I822" i="49" s="1" a="1"/>
  <c r="I822" i="49" s="1"/>
  <c r="C839" i="49" a="1"/>
  <c r="C839" i="49" s="1"/>
  <c r="I839" i="49" s="1" a="1"/>
  <c r="I839" i="49" s="1"/>
  <c r="C844" i="49" a="1"/>
  <c r="C844" i="49" s="1"/>
  <c r="I844" i="49" s="1" a="1"/>
  <c r="I844" i="49" s="1"/>
  <c r="C850" i="49" a="1"/>
  <c r="C850" i="49" s="1"/>
  <c r="I850" i="49" s="1" a="1"/>
  <c r="I850" i="49" s="1"/>
  <c r="C855" i="49" a="1"/>
  <c r="C855" i="49" s="1"/>
  <c r="I855" i="49" s="1" a="1"/>
  <c r="I855" i="49" s="1"/>
  <c r="C860" i="49" a="1"/>
  <c r="C860" i="49" s="1"/>
  <c r="I860" i="49" s="1" a="1"/>
  <c r="I860" i="49" s="1"/>
  <c r="C866" i="49" a="1"/>
  <c r="C866" i="49" s="1"/>
  <c r="I866" i="49" s="1" a="1"/>
  <c r="I866" i="49" s="1"/>
  <c r="C871" i="49" a="1"/>
  <c r="C871" i="49" s="1"/>
  <c r="I871" i="49" s="1" a="1"/>
  <c r="I871" i="49" s="1"/>
  <c r="B7" i="49" a="1"/>
  <c r="B7" i="49" s="1"/>
  <c r="B15" i="49" a="1"/>
  <c r="B15" i="49" s="1"/>
  <c r="B23" i="49" a="1"/>
  <c r="B23" i="49" s="1"/>
  <c r="B30" i="49" a="1"/>
  <c r="B30" i="49" s="1"/>
  <c r="B37" i="49" a="1"/>
  <c r="B37" i="49" s="1"/>
  <c r="B43" i="49" a="1"/>
  <c r="B43" i="49" s="1"/>
  <c r="B51" i="49" a="1"/>
  <c r="B51" i="49" s="1"/>
  <c r="B59" i="49" a="1"/>
  <c r="B59" i="49" s="1"/>
  <c r="B66" i="49" a="1"/>
  <c r="B66" i="49" s="1"/>
  <c r="B73" i="49" a="1"/>
  <c r="B73" i="49" s="1"/>
  <c r="B81" i="49" a="1"/>
  <c r="B81" i="49" s="1"/>
  <c r="B89" i="49" a="1"/>
  <c r="B89" i="49" s="1"/>
  <c r="C484" i="49" a="1"/>
  <c r="C484" i="49" s="1"/>
  <c r="I484" i="49" s="1" a="1"/>
  <c r="I484" i="49" s="1"/>
  <c r="C501" i="49" a="1"/>
  <c r="C501" i="49" s="1"/>
  <c r="I501" i="49" s="1" a="1"/>
  <c r="I501" i="49" s="1"/>
  <c r="C510" i="49" a="1"/>
  <c r="C510" i="49" s="1"/>
  <c r="I510" i="49" s="1" a="1"/>
  <c r="I510" i="49" s="1"/>
  <c r="C524" i="49" a="1"/>
  <c r="C524" i="49" s="1"/>
  <c r="I524" i="49" s="1" a="1"/>
  <c r="I524" i="49" s="1"/>
  <c r="C531" i="49" a="1"/>
  <c r="C531" i="49" s="1"/>
  <c r="I531" i="49" s="1" a="1"/>
  <c r="I531" i="49" s="1"/>
  <c r="C537" i="49" a="1"/>
  <c r="C537" i="49" s="1"/>
  <c r="I537" i="49" s="1" a="1"/>
  <c r="I537" i="49" s="1"/>
  <c r="C544" i="49" a="1"/>
  <c r="C544" i="49" s="1"/>
  <c r="I544" i="49" s="1" a="1"/>
  <c r="I544" i="49" s="1"/>
  <c r="C550" i="49" a="1"/>
  <c r="C550" i="49" s="1"/>
  <c r="I550" i="49" s="1" a="1"/>
  <c r="I550" i="49" s="1"/>
  <c r="C564" i="49" a="1"/>
  <c r="C564" i="49" s="1"/>
  <c r="I564" i="49" s="1" a="1"/>
  <c r="I564" i="49" s="1"/>
  <c r="C584" i="49" a="1"/>
  <c r="C584" i="49" s="1"/>
  <c r="I584" i="49" s="1" a="1"/>
  <c r="I584" i="49" s="1"/>
  <c r="C591" i="49" a="1"/>
  <c r="C591" i="49" s="1"/>
  <c r="I591" i="49" s="1" a="1"/>
  <c r="I591" i="49" s="1"/>
  <c r="C603" i="49" a="1"/>
  <c r="C603" i="49" s="1"/>
  <c r="I603" i="49" s="1" a="1"/>
  <c r="I603" i="49" s="1"/>
  <c r="C620" i="49" a="1"/>
  <c r="C620" i="49" s="1"/>
  <c r="I620" i="49" s="1" a="1"/>
  <c r="I620" i="49" s="1"/>
  <c r="C632" i="49" a="1"/>
  <c r="C632" i="49" s="1"/>
  <c r="I632" i="49" s="1" a="1"/>
  <c r="I632" i="49" s="1"/>
  <c r="C637" i="49" a="1"/>
  <c r="C637" i="49" s="1"/>
  <c r="I637" i="49" s="1" a="1"/>
  <c r="I637" i="49" s="1"/>
  <c r="C649" i="49" a="1"/>
  <c r="C649" i="49" s="1"/>
  <c r="I649" i="49" s="1" a="1"/>
  <c r="I649" i="49" s="1"/>
  <c r="C665" i="49" a="1"/>
  <c r="C665" i="49" s="1"/>
  <c r="I665" i="49" s="1" a="1"/>
  <c r="I665" i="49" s="1"/>
  <c r="C676" i="49" a="1"/>
  <c r="C676" i="49" s="1"/>
  <c r="I676" i="49" s="1" a="1"/>
  <c r="I676" i="49" s="1"/>
  <c r="C687" i="49" a="1"/>
  <c r="C687" i="49" s="1"/>
  <c r="I687" i="49" s="1" a="1"/>
  <c r="I687" i="49" s="1"/>
  <c r="C692" i="49" a="1"/>
  <c r="C692" i="49" s="1"/>
  <c r="I692" i="49" s="1" a="1"/>
  <c r="I692" i="49" s="1"/>
  <c r="C698" i="49" a="1"/>
  <c r="C698" i="49" s="1"/>
  <c r="I698" i="49" s="1" a="1"/>
  <c r="I698" i="49" s="1"/>
  <c r="C703" i="49" a="1"/>
  <c r="C703" i="49" s="1"/>
  <c r="I703" i="49" s="1" a="1"/>
  <c r="I703" i="49" s="1"/>
  <c r="C709" i="49" a="1"/>
  <c r="C709" i="49" s="1"/>
  <c r="I709" i="49" s="1" a="1"/>
  <c r="I709" i="49" s="1"/>
  <c r="C714" i="49" a="1"/>
  <c r="C714" i="49" s="1"/>
  <c r="I714" i="49" s="1" a="1"/>
  <c r="I714" i="49" s="1"/>
  <c r="C720" i="49" a="1"/>
  <c r="C720" i="49" s="1"/>
  <c r="I720" i="49" s="1" a="1"/>
  <c r="I720" i="49" s="1"/>
  <c r="C725" i="49" a="1"/>
  <c r="C725" i="49" s="1"/>
  <c r="I725" i="49" s="1" a="1"/>
  <c r="I725" i="49" s="1"/>
  <c r="C736" i="49" a="1"/>
  <c r="C736" i="49" s="1"/>
  <c r="I736" i="49" s="1" a="1"/>
  <c r="I736" i="49" s="1"/>
  <c r="C753" i="49" a="1"/>
  <c r="C753" i="49" s="1"/>
  <c r="I753" i="49" s="1" a="1"/>
  <c r="I753" i="49" s="1"/>
  <c r="C763" i="49" a="1"/>
  <c r="C763" i="49" s="1"/>
  <c r="I763" i="49" s="1" a="1"/>
  <c r="I763" i="49" s="1"/>
  <c r="C769" i="49" a="1"/>
  <c r="C769" i="49" s="1"/>
  <c r="I769" i="49" s="1" a="1"/>
  <c r="I769" i="49" s="1"/>
  <c r="C774" i="49" a="1"/>
  <c r="C774" i="49" s="1"/>
  <c r="I774" i="49" s="1" a="1"/>
  <c r="I774" i="49" s="1"/>
  <c r="C779" i="49" a="1"/>
  <c r="C779" i="49" s="1"/>
  <c r="I779" i="49" s="1" a="1"/>
  <c r="I779" i="49" s="1"/>
  <c r="C790" i="49" a="1"/>
  <c r="C790" i="49" s="1"/>
  <c r="I790" i="49" s="1" a="1"/>
  <c r="I790" i="49" s="1"/>
  <c r="C807" i="49" a="1"/>
  <c r="C807" i="49" s="1"/>
  <c r="I807" i="49" s="1" a="1"/>
  <c r="I807" i="49" s="1"/>
  <c r="C812" i="49" a="1"/>
  <c r="C812" i="49" s="1"/>
  <c r="I812" i="49" s="1" a="1"/>
  <c r="I812" i="49" s="1"/>
  <c r="C818" i="49" a="1"/>
  <c r="C818" i="49" s="1"/>
  <c r="I818" i="49" s="1" a="1"/>
  <c r="I818" i="49" s="1"/>
  <c r="C823" i="49" a="1"/>
  <c r="C823" i="49" s="1"/>
  <c r="I823" i="49" s="1" a="1"/>
  <c r="I823" i="49" s="1"/>
  <c r="C828" i="49" a="1"/>
  <c r="C828" i="49" s="1"/>
  <c r="I828" i="49" s="1" a="1"/>
  <c r="I828" i="49" s="1"/>
  <c r="C834" i="49" a="1"/>
  <c r="C834" i="49" s="1"/>
  <c r="I834" i="49" s="1" a="1"/>
  <c r="I834" i="49" s="1"/>
  <c r="C845" i="49" a="1"/>
  <c r="C845" i="49" s="1"/>
  <c r="I845" i="49" s="1" a="1"/>
  <c r="I845" i="49" s="1"/>
  <c r="C861" i="49" a="1"/>
  <c r="C861" i="49" s="1"/>
  <c r="I861" i="49" s="1" a="1"/>
  <c r="I861" i="49" s="1"/>
  <c r="C867" i="49" a="1"/>
  <c r="C867" i="49" s="1"/>
  <c r="I867" i="49" s="1" a="1"/>
  <c r="I867" i="49" s="1"/>
  <c r="C872" i="49" a="1"/>
  <c r="C872" i="49" s="1"/>
  <c r="I872" i="49" s="1" a="1"/>
  <c r="I872" i="49" s="1"/>
  <c r="B8" i="49" a="1"/>
  <c r="B8" i="49" s="1"/>
  <c r="B16" i="49" a="1"/>
  <c r="B16" i="49" s="1"/>
  <c r="B24" i="49" a="1"/>
  <c r="B24" i="49" s="1"/>
  <c r="B31" i="49" a="1"/>
  <c r="B31" i="49" s="1"/>
  <c r="B44" i="49" a="1"/>
  <c r="B44" i="49" s="1"/>
  <c r="B52" i="49" a="1"/>
  <c r="B52" i="49" s="1"/>
  <c r="B60" i="49" a="1"/>
  <c r="B60" i="49" s="1"/>
  <c r="B67" i="49" a="1"/>
  <c r="B67" i="49" s="1"/>
  <c r="B74" i="49" a="1"/>
  <c r="B74" i="49" s="1"/>
  <c r="B82" i="49" a="1"/>
  <c r="B82" i="49" s="1"/>
  <c r="B90" i="49" a="1"/>
  <c r="B90" i="49" s="1"/>
  <c r="B98" i="49" a="1"/>
  <c r="B98" i="49" s="1"/>
  <c r="B105" i="49" a="1"/>
  <c r="B105" i="49" s="1"/>
  <c r="B113" i="49" a="1"/>
  <c r="B113" i="49" s="1"/>
  <c r="B120" i="49" a="1"/>
  <c r="B120" i="49" s="1"/>
  <c r="B128" i="49" a="1"/>
  <c r="B128" i="49" s="1"/>
  <c r="B135" i="49" a="1"/>
  <c r="B135" i="49" s="1"/>
  <c r="B143" i="49" a="1"/>
  <c r="B143" i="49" s="1"/>
  <c r="C487" i="49" a="1"/>
  <c r="C487" i="49" s="1"/>
  <c r="I487" i="49" s="1" a="1"/>
  <c r="I487" i="49" s="1"/>
  <c r="C503" i="49" a="1"/>
  <c r="C503" i="49" s="1"/>
  <c r="I503" i="49" s="1" a="1"/>
  <c r="I503" i="49" s="1"/>
  <c r="C511" i="49" a="1"/>
  <c r="C511" i="49" s="1"/>
  <c r="I511" i="49" s="1" a="1"/>
  <c r="I511" i="49" s="1"/>
  <c r="C517" i="49" a="1"/>
  <c r="C517" i="49" s="1"/>
  <c r="I517" i="49" s="1" a="1"/>
  <c r="I517" i="49" s="1"/>
  <c r="C525" i="49" a="1"/>
  <c r="C525" i="49" s="1"/>
  <c r="I525" i="49" s="1" a="1"/>
  <c r="I525" i="49" s="1"/>
  <c r="C538" i="49" a="1"/>
  <c r="C538" i="49" s="1"/>
  <c r="I538" i="49" s="1" a="1"/>
  <c r="I538" i="49" s="1"/>
  <c r="C545" i="49" a="1"/>
  <c r="C545" i="49" s="1"/>
  <c r="I545" i="49" s="1" a="1"/>
  <c r="I545" i="49" s="1"/>
  <c r="C551" i="49" a="1"/>
  <c r="C551" i="49" s="1"/>
  <c r="I551" i="49" s="1" a="1"/>
  <c r="I551" i="49" s="1"/>
  <c r="C558" i="49" a="1"/>
  <c r="C558" i="49" s="1"/>
  <c r="C565" i="49" a="1"/>
  <c r="C565" i="49" s="1"/>
  <c r="I565" i="49" s="1" a="1"/>
  <c r="I565" i="49" s="1"/>
  <c r="C572" i="49" a="1"/>
  <c r="C572" i="49" s="1"/>
  <c r="I572" i="49" s="1" a="1"/>
  <c r="I572" i="49" s="1"/>
  <c r="C578" i="49" a="1"/>
  <c r="C578" i="49" s="1"/>
  <c r="I578" i="49" s="1" a="1"/>
  <c r="I578" i="49" s="1"/>
  <c r="C585" i="49" a="1"/>
  <c r="C585" i="49" s="1"/>
  <c r="I585" i="49" s="1" a="1"/>
  <c r="I585" i="49" s="1"/>
  <c r="C597" i="49" a="1"/>
  <c r="C597" i="49" s="1"/>
  <c r="I597" i="49" s="1" a="1"/>
  <c r="I597" i="49" s="1"/>
  <c r="C608" i="49" a="1"/>
  <c r="C608" i="49" s="1"/>
  <c r="I608" i="49" s="1" a="1"/>
  <c r="I608" i="49" s="1"/>
  <c r="C614" i="49" a="1"/>
  <c r="C614" i="49" s="1"/>
  <c r="I614" i="49" s="1" a="1"/>
  <c r="I614" i="49" s="1"/>
  <c r="C621" i="49" a="1"/>
  <c r="C621" i="49" s="1"/>
  <c r="I621" i="49" s="1" a="1"/>
  <c r="I621" i="49" s="1"/>
  <c r="C626" i="49" a="1"/>
  <c r="C626" i="49" s="1"/>
  <c r="I626" i="49" s="1" a="1"/>
  <c r="I626" i="49" s="1"/>
  <c r="C633" i="49" a="1"/>
  <c r="C633" i="49" s="1"/>
  <c r="I633" i="49" s="1" a="1"/>
  <c r="I633" i="49" s="1"/>
  <c r="C638" i="49" a="1"/>
  <c r="C638" i="49" s="1"/>
  <c r="I638" i="49" s="1" a="1"/>
  <c r="I638" i="49" s="1"/>
  <c r="C644" i="49" a="1"/>
  <c r="C644" i="49" s="1"/>
  <c r="I644" i="49" s="1" a="1"/>
  <c r="I644" i="49" s="1"/>
  <c r="C655" i="49" a="1"/>
  <c r="C655" i="49" s="1"/>
  <c r="I655" i="49" s="1" a="1"/>
  <c r="I655" i="49" s="1"/>
  <c r="C660" i="49" a="1"/>
  <c r="C660" i="49" s="1"/>
  <c r="I660" i="49" s="1" a="1"/>
  <c r="I660" i="49" s="1"/>
  <c r="C666" i="49" a="1"/>
  <c r="C666" i="49" s="1"/>
  <c r="I666" i="49" s="1" a="1"/>
  <c r="I666" i="49" s="1"/>
  <c r="C671" i="49" a="1"/>
  <c r="C671" i="49" s="1"/>
  <c r="I671" i="49" s="1" a="1"/>
  <c r="I671" i="49" s="1"/>
  <c r="C677" i="49" a="1"/>
  <c r="C677" i="49" s="1"/>
  <c r="I677" i="49" s="1" a="1"/>
  <c r="I677" i="49" s="1"/>
  <c r="C682" i="49" a="1"/>
  <c r="C682" i="49" s="1"/>
  <c r="I682" i="49" s="1" a="1"/>
  <c r="I682" i="49" s="1"/>
  <c r="C688" i="49" a="1"/>
  <c r="C688" i="49" s="1"/>
  <c r="I688" i="49" s="1" a="1"/>
  <c r="I688" i="49" s="1"/>
  <c r="C693" i="49" a="1"/>
  <c r="C693" i="49" s="1"/>
  <c r="I693" i="49" s="1" a="1"/>
  <c r="I693" i="49" s="1"/>
  <c r="C704" i="49" a="1"/>
  <c r="C704" i="49" s="1"/>
  <c r="I704" i="49" s="1" a="1"/>
  <c r="I704" i="49" s="1"/>
  <c r="C721" i="49" a="1"/>
  <c r="C721" i="49" s="1"/>
  <c r="I721" i="49" s="1" a="1"/>
  <c r="I721" i="49" s="1"/>
  <c r="C731" i="49" a="1"/>
  <c r="C731" i="49" s="1"/>
  <c r="I731" i="49" s="1" a="1"/>
  <c r="I731" i="49" s="1"/>
  <c r="C737" i="49" a="1"/>
  <c r="C737" i="49" s="1"/>
  <c r="I737" i="49" s="1" a="1"/>
  <c r="I737" i="49" s="1"/>
  <c r="C742" i="49" a="1"/>
  <c r="C742" i="49" s="1"/>
  <c r="I742" i="49" s="1" a="1"/>
  <c r="I742" i="49" s="1"/>
  <c r="C747" i="49" a="1"/>
  <c r="C747" i="49" s="1"/>
  <c r="I747" i="49" s="1" a="1"/>
  <c r="I747" i="49" s="1"/>
  <c r="C758" i="49" a="1"/>
  <c r="C758" i="49" s="1"/>
  <c r="I758" i="49" s="1" a="1"/>
  <c r="I758" i="49" s="1"/>
  <c r="C775" i="49" a="1"/>
  <c r="C775" i="49" s="1"/>
  <c r="I775" i="49" s="1" a="1"/>
  <c r="I775" i="49" s="1"/>
  <c r="C780" i="49" a="1"/>
  <c r="C780" i="49" s="1"/>
  <c r="I780" i="49" s="1" a="1"/>
  <c r="I780" i="49" s="1"/>
  <c r="C786" i="49" a="1"/>
  <c r="C786" i="49" s="1"/>
  <c r="I786" i="49" s="1" a="1"/>
  <c r="I786" i="49" s="1"/>
  <c r="C791" i="49" a="1"/>
  <c r="C791" i="49" s="1"/>
  <c r="I791" i="49" s="1" a="1"/>
  <c r="I791" i="49" s="1"/>
  <c r="C796" i="49" a="1"/>
  <c r="C796" i="49" s="1"/>
  <c r="I796" i="49" s="1" a="1"/>
  <c r="I796" i="49" s="1"/>
  <c r="C802" i="49" a="1"/>
  <c r="C802" i="49" s="1"/>
  <c r="I802" i="49" s="1" a="1"/>
  <c r="I802" i="49" s="1"/>
  <c r="C813" i="49" a="1"/>
  <c r="C813" i="49" s="1"/>
  <c r="I813" i="49" s="1" a="1"/>
  <c r="I813" i="49" s="1"/>
  <c r="C829" i="49" a="1"/>
  <c r="C829" i="49" s="1"/>
  <c r="I829" i="49" s="1" a="1"/>
  <c r="I829" i="49" s="1"/>
  <c r="C835" i="49" a="1"/>
  <c r="C835" i="49" s="1"/>
  <c r="I835" i="49" s="1" a="1"/>
  <c r="I835" i="49" s="1"/>
  <c r="C840" i="49" a="1"/>
  <c r="C840" i="49" s="1"/>
  <c r="I840" i="49" s="1" a="1"/>
  <c r="I840" i="49" s="1"/>
  <c r="C846" i="49" a="1"/>
  <c r="C846" i="49" s="1"/>
  <c r="I846" i="49" s="1" a="1"/>
  <c r="I846" i="49" s="1"/>
  <c r="C851" i="49" a="1"/>
  <c r="C851" i="49" s="1"/>
  <c r="I851" i="49" s="1" a="1"/>
  <c r="I851" i="49" s="1"/>
  <c r="C856" i="49" a="1"/>
  <c r="C856" i="49" s="1"/>
  <c r="I856" i="49" s="1" a="1"/>
  <c r="I856" i="49" s="1"/>
  <c r="C862" i="49" a="1"/>
  <c r="C862" i="49" s="1"/>
  <c r="I862" i="49" s="1" a="1"/>
  <c r="I862" i="49" s="1"/>
  <c r="B9" i="49" a="1"/>
  <c r="B9" i="49" s="1"/>
  <c r="B17" i="49" a="1"/>
  <c r="B17" i="49" s="1"/>
  <c r="B25" i="49" a="1"/>
  <c r="B25" i="49" s="1"/>
  <c r="B32" i="49" a="1"/>
  <c r="B32" i="49" s="1"/>
  <c r="B38" i="49" a="1"/>
  <c r="B38" i="49" s="1"/>
  <c r="B45" i="49" a="1"/>
  <c r="B45" i="49" s="1"/>
  <c r="B53" i="49" a="1"/>
  <c r="B53" i="49" s="1"/>
  <c r="B61" i="49" a="1"/>
  <c r="B61" i="49" s="1"/>
  <c r="B68" i="49" a="1"/>
  <c r="B68" i="49" s="1"/>
  <c r="B75" i="49" a="1"/>
  <c r="B75" i="49" s="1"/>
  <c r="B83" i="49" a="1"/>
  <c r="B83" i="49" s="1"/>
  <c r="B91" i="49" a="1"/>
  <c r="B91" i="49" s="1"/>
  <c r="B106" i="49" a="1"/>
  <c r="B106" i="49" s="1"/>
  <c r="B124" i="49" a="1"/>
  <c r="B124" i="49" s="1"/>
  <c r="B139" i="49" a="1"/>
  <c r="B139" i="49" s="1"/>
  <c r="B150" i="49" a="1"/>
  <c r="B150" i="49" s="1"/>
  <c r="B165" i="49" a="1"/>
  <c r="B165" i="49" s="1"/>
  <c r="B172" i="49" a="1"/>
  <c r="B172" i="49" s="1"/>
  <c r="B180" i="49" a="1"/>
  <c r="B180" i="49" s="1"/>
  <c r="B187" i="49" a="1"/>
  <c r="B187" i="49" s="1"/>
  <c r="B195" i="49" a="1"/>
  <c r="B195" i="49" s="1"/>
  <c r="B202" i="49" a="1"/>
  <c r="B202" i="49" s="1"/>
  <c r="B210" i="49" a="1"/>
  <c r="B210" i="49" s="1"/>
  <c r="B217" i="49" a="1"/>
  <c r="B217" i="49" s="1"/>
  <c r="B225" i="49" a="1"/>
  <c r="B225" i="49" s="1"/>
  <c r="B232" i="49" a="1"/>
  <c r="B232" i="49" s="1"/>
  <c r="B240" i="49" a="1"/>
  <c r="B240" i="49" s="1"/>
  <c r="B247" i="49" a="1"/>
  <c r="B247" i="49" s="1"/>
  <c r="B255" i="49" a="1"/>
  <c r="B255" i="49" s="1"/>
  <c r="B262" i="49" a="1"/>
  <c r="B262" i="49" s="1"/>
  <c r="B270" i="49" a="1"/>
  <c r="B270" i="49" s="1"/>
  <c r="B285" i="49" a="1"/>
  <c r="B285" i="49" s="1"/>
  <c r="B293" i="49" a="1"/>
  <c r="B293" i="49" s="1"/>
  <c r="B301" i="49" a="1"/>
  <c r="B301" i="49" s="1"/>
  <c r="B309" i="49" a="1"/>
  <c r="B309" i="49" s="1"/>
  <c r="B317" i="49" a="1"/>
  <c r="B317" i="49" s="1"/>
  <c r="B324" i="49" a="1"/>
  <c r="B324" i="49" s="1"/>
  <c r="B332" i="49" a="1"/>
  <c r="B332" i="49" s="1"/>
  <c r="B340" i="49" a="1"/>
  <c r="B340" i="49" s="1"/>
  <c r="B347" i="49" a="1"/>
  <c r="B347" i="49" s="1"/>
  <c r="B355" i="49" a="1"/>
  <c r="B355" i="49" s="1"/>
  <c r="B368" i="49" a="1"/>
  <c r="B368" i="49" s="1"/>
  <c r="B375" i="49" a="1"/>
  <c r="B375" i="49" s="1"/>
  <c r="B381" i="49" a="1"/>
  <c r="B381" i="49" s="1"/>
  <c r="B388" i="49" a="1"/>
  <c r="B388" i="49" s="1"/>
  <c r="B395" i="49" a="1"/>
  <c r="B395" i="49" s="1"/>
  <c r="B402" i="49" a="1"/>
  <c r="B402" i="49" s="1"/>
  <c r="B408" i="49" a="1"/>
  <c r="B408" i="49" s="1"/>
  <c r="B415" i="49" a="1"/>
  <c r="B415" i="49" s="1"/>
  <c r="B422" i="49" a="1"/>
  <c r="B422" i="49" s="1"/>
  <c r="B429" i="49" a="1"/>
  <c r="B429" i="49" s="1"/>
  <c r="B436" i="49" a="1"/>
  <c r="B436" i="49" s="1"/>
  <c r="B442" i="49" a="1"/>
  <c r="B442" i="49" s="1"/>
  <c r="B449" i="49" a="1"/>
  <c r="B449" i="49" s="1"/>
  <c r="B455" i="49" a="1"/>
  <c r="B455" i="49" s="1"/>
  <c r="B463" i="49" a="1"/>
  <c r="B463" i="49" s="1"/>
  <c r="B476" i="49" a="1"/>
  <c r="B476" i="49" s="1"/>
  <c r="B483" i="49" a="1"/>
  <c r="B483" i="49" s="1"/>
  <c r="B491" i="49" a="1"/>
  <c r="B491" i="49" s="1"/>
  <c r="B498" i="49" a="1"/>
  <c r="B498" i="49" s="1"/>
  <c r="B505" i="49" a="1"/>
  <c r="B505" i="49" s="1"/>
  <c r="B512" i="49" a="1"/>
  <c r="B512" i="49" s="1"/>
  <c r="B519" i="49" a="1"/>
  <c r="B519" i="49" s="1"/>
  <c r="B526" i="49" a="1"/>
  <c r="B526" i="49" s="1"/>
  <c r="B533" i="49" a="1"/>
  <c r="B533" i="49" s="1"/>
  <c r="B540" i="49" a="1"/>
  <c r="B540" i="49" s="1"/>
  <c r="B548" i="49" a="1"/>
  <c r="B548" i="49" s="1"/>
  <c r="B555" i="49" a="1"/>
  <c r="B555" i="49" s="1"/>
  <c r="B562" i="49" a="1"/>
  <c r="B562" i="49" s="1"/>
  <c r="B569" i="49" a="1"/>
  <c r="B569" i="49" s="1"/>
  <c r="B576" i="49" a="1"/>
  <c r="B576" i="49" s="1"/>
  <c r="B583" i="49" a="1"/>
  <c r="B583" i="49" s="1"/>
  <c r="B590" i="49" a="1"/>
  <c r="B590" i="49" s="1"/>
  <c r="B597" i="49" a="1"/>
  <c r="B597" i="49" s="1"/>
  <c r="B604" i="49" a="1"/>
  <c r="B604" i="49" s="1"/>
  <c r="B612" i="49" a="1"/>
  <c r="B612" i="49" s="1"/>
  <c r="B619" i="49" a="1"/>
  <c r="B619" i="49" s="1"/>
  <c r="B626" i="49" a="1"/>
  <c r="B626" i="49" s="1"/>
  <c r="B633" i="49" a="1"/>
  <c r="B633" i="49" s="1"/>
  <c r="B640" i="49" a="1"/>
  <c r="B640" i="49" s="1"/>
  <c r="B647" i="49" a="1"/>
  <c r="B647" i="49" s="1"/>
  <c r="B665" i="49" a="1"/>
  <c r="B665" i="49" s="1"/>
  <c r="B672" i="49" a="1"/>
  <c r="B672" i="49" s="1"/>
  <c r="B680" i="49" a="1"/>
  <c r="B680" i="49" s="1"/>
  <c r="B688" i="49" a="1"/>
  <c r="B688" i="49" s="1"/>
  <c r="B109" i="49" a="1"/>
  <c r="B109" i="49" s="1"/>
  <c r="B126" i="49" a="1"/>
  <c r="B126" i="49" s="1"/>
  <c r="B141" i="49" a="1"/>
  <c r="B141" i="49" s="1"/>
  <c r="B151" i="49" a="1"/>
  <c r="B151" i="49" s="1"/>
  <c r="B158" i="49" a="1"/>
  <c r="B158" i="49" s="1"/>
  <c r="B173" i="49" a="1"/>
  <c r="B173" i="49" s="1"/>
  <c r="B181" i="49" a="1"/>
  <c r="B181" i="49" s="1"/>
  <c r="B188" i="49" a="1"/>
  <c r="B188" i="49" s="1"/>
  <c r="B196" i="49" a="1"/>
  <c r="B196" i="49" s="1"/>
  <c r="B203" i="49" a="1"/>
  <c r="B203" i="49" s="1"/>
  <c r="B211" i="49" a="1"/>
  <c r="B211" i="49" s="1"/>
  <c r="B218" i="49" a="1"/>
  <c r="B218" i="49" s="1"/>
  <c r="B226" i="49" a="1"/>
  <c r="B226" i="49" s="1"/>
  <c r="B233" i="49" a="1"/>
  <c r="B233" i="49" s="1"/>
  <c r="B241" i="49" a="1"/>
  <c r="B241" i="49" s="1"/>
  <c r="B248" i="49" a="1"/>
  <c r="B248" i="49" s="1"/>
  <c r="B256" i="49" a="1"/>
  <c r="B256" i="49" s="1"/>
  <c r="B263" i="49" a="1"/>
  <c r="B263" i="49" s="1"/>
  <c r="B271" i="49" a="1"/>
  <c r="B271" i="49" s="1"/>
  <c r="B278" i="49" a="1"/>
  <c r="B278" i="49" s="1"/>
  <c r="B286" i="49" a="1"/>
  <c r="B286" i="49" s="1"/>
  <c r="B294" i="49" a="1"/>
  <c r="B294" i="49" s="1"/>
  <c r="B302" i="49" a="1"/>
  <c r="B302" i="49" s="1"/>
  <c r="B310" i="49" a="1"/>
  <c r="B310" i="49" s="1"/>
  <c r="B318" i="49" a="1"/>
  <c r="B318" i="49" s="1"/>
  <c r="B325" i="49" a="1"/>
  <c r="B325" i="49" s="1"/>
  <c r="B333" i="49" a="1"/>
  <c r="B333" i="49" s="1"/>
  <c r="B341" i="49" a="1"/>
  <c r="B341" i="49" s="1"/>
  <c r="B348" i="49" a="1"/>
  <c r="B348" i="49" s="1"/>
  <c r="B362" i="49" a="1"/>
  <c r="B362" i="49" s="1"/>
  <c r="B369" i="49" a="1"/>
  <c r="B369" i="49" s="1"/>
  <c r="B382" i="49" a="1"/>
  <c r="B382" i="49" s="1"/>
  <c r="B389" i="49" a="1"/>
  <c r="B389" i="49" s="1"/>
  <c r="B396" i="49" a="1"/>
  <c r="B396" i="49" s="1"/>
  <c r="B409" i="49" a="1"/>
  <c r="B409" i="49" s="1"/>
  <c r="B416" i="49" a="1"/>
  <c r="B416" i="49" s="1"/>
  <c r="B423" i="49" a="1"/>
  <c r="B423" i="49" s="1"/>
  <c r="B430" i="49" a="1"/>
  <c r="B430" i="49" s="1"/>
  <c r="B437" i="49" a="1"/>
  <c r="B437" i="49" s="1"/>
  <c r="B450" i="49" a="1"/>
  <c r="B450" i="49" s="1"/>
  <c r="B456" i="49" a="1"/>
  <c r="B456" i="49" s="1"/>
  <c r="B464" i="49" a="1"/>
  <c r="B464" i="49" s="1"/>
  <c r="B470" i="49" a="1"/>
  <c r="B470" i="49" s="1"/>
  <c r="B477" i="49" a="1"/>
  <c r="B477" i="49" s="1"/>
  <c r="B484" i="49" a="1"/>
  <c r="B484" i="49" s="1"/>
  <c r="B492" i="49" a="1"/>
  <c r="B492" i="49" s="1"/>
  <c r="B506" i="49" a="1"/>
  <c r="B506" i="49" s="1"/>
  <c r="B513" i="49" a="1"/>
  <c r="B513" i="49" s="1"/>
  <c r="B520" i="49" a="1"/>
  <c r="B520" i="49" s="1"/>
  <c r="B527" i="49" a="1"/>
  <c r="B527" i="49" s="1"/>
  <c r="B534" i="49" a="1"/>
  <c r="B534" i="49" s="1"/>
  <c r="B541" i="49" a="1"/>
  <c r="B541" i="49" s="1"/>
  <c r="B549" i="49" a="1"/>
  <c r="B549" i="49" s="1"/>
  <c r="B556" i="49" a="1"/>
  <c r="B556" i="49" s="1"/>
  <c r="B570" i="49" a="1"/>
  <c r="B570" i="49" s="1"/>
  <c r="B577" i="49" a="1"/>
  <c r="B577" i="49" s="1"/>
  <c r="B584" i="49" a="1"/>
  <c r="B584" i="49" s="1"/>
  <c r="B591" i="49" a="1"/>
  <c r="B591" i="49" s="1"/>
  <c r="B598" i="49" a="1"/>
  <c r="B598" i="49" s="1"/>
  <c r="B605" i="49" a="1"/>
  <c r="B605" i="49" s="1"/>
  <c r="B613" i="49" a="1"/>
  <c r="B613" i="49" s="1"/>
  <c r="B620" i="49" a="1"/>
  <c r="B620" i="49" s="1"/>
  <c r="B634" i="49" a="1"/>
  <c r="B634" i="49" s="1"/>
  <c r="B641" i="49" a="1"/>
  <c r="B641" i="49" s="1"/>
  <c r="B653" i="49" a="1"/>
  <c r="B653" i="49" s="1"/>
  <c r="B660" i="49" a="1"/>
  <c r="B660" i="49" s="1"/>
  <c r="B666" i="49" a="1"/>
  <c r="B666" i="49" s="1"/>
  <c r="B673" i="49" a="1"/>
  <c r="B673" i="49" s="1"/>
  <c r="B681" i="49" a="1"/>
  <c r="B681" i="49" s="1"/>
  <c r="B689" i="49" a="1"/>
  <c r="B689" i="49" s="1"/>
  <c r="B697" i="49" a="1"/>
  <c r="B697" i="49" s="1"/>
  <c r="B705" i="49" a="1"/>
  <c r="B705" i="49" s="1"/>
  <c r="B713" i="49" a="1"/>
  <c r="B713" i="49" s="1"/>
  <c r="B721" i="49" a="1"/>
  <c r="B721" i="49" s="1"/>
  <c r="B112" i="49" a="1"/>
  <c r="B112" i="49" s="1"/>
  <c r="B127" i="49" a="1"/>
  <c r="B127" i="49" s="1"/>
  <c r="B142" i="49" a="1"/>
  <c r="B142" i="49" s="1"/>
  <c r="B152" i="49" a="1"/>
  <c r="B152" i="49" s="1"/>
  <c r="B159" i="49" a="1"/>
  <c r="B159" i="49" s="1"/>
  <c r="B166" i="49" a="1"/>
  <c r="B166" i="49" s="1"/>
  <c r="B174" i="49" a="1"/>
  <c r="B174" i="49" s="1"/>
  <c r="B189" i="49" a="1"/>
  <c r="B189" i="49" s="1"/>
  <c r="B197" i="49" a="1"/>
  <c r="B197" i="49" s="1"/>
  <c r="B204" i="49" a="1"/>
  <c r="B204" i="49" s="1"/>
  <c r="B212" i="49" a="1"/>
  <c r="B212" i="49" s="1"/>
  <c r="B219" i="49" a="1"/>
  <c r="B219" i="49" s="1"/>
  <c r="B227" i="49" a="1"/>
  <c r="B227" i="49" s="1"/>
  <c r="B234" i="49" a="1"/>
  <c r="B234" i="49" s="1"/>
  <c r="B242" i="49" a="1"/>
  <c r="B242" i="49" s="1"/>
  <c r="B249" i="49" a="1"/>
  <c r="B249" i="49" s="1"/>
  <c r="B257" i="49" a="1"/>
  <c r="B257" i="49" s="1"/>
  <c r="B264" i="49" a="1"/>
  <c r="B264" i="49" s="1"/>
  <c r="B272" i="49" a="1"/>
  <c r="B272" i="49" s="1"/>
  <c r="B279" i="49" a="1"/>
  <c r="B279" i="49" s="1"/>
  <c r="B287" i="49" a="1"/>
  <c r="B287" i="49" s="1"/>
  <c r="B295" i="49" a="1"/>
  <c r="B295" i="49" s="1"/>
  <c r="B303" i="49" a="1"/>
  <c r="B303" i="49" s="1"/>
  <c r="B311" i="49" a="1"/>
  <c r="B311" i="49" s="1"/>
  <c r="B319" i="49" a="1"/>
  <c r="B319" i="49" s="1"/>
  <c r="B326" i="49" a="1"/>
  <c r="B326" i="49" s="1"/>
  <c r="B334" i="49" a="1"/>
  <c r="B334" i="49" s="1"/>
  <c r="B342" i="49" a="1"/>
  <c r="B342" i="49" s="1"/>
  <c r="B349" i="49" a="1"/>
  <c r="B349" i="49" s="1"/>
  <c r="B356" i="49" a="1"/>
  <c r="B356" i="49" s="1"/>
  <c r="B363" i="49" a="1"/>
  <c r="B363" i="49" s="1"/>
  <c r="B370" i="49" a="1"/>
  <c r="B370" i="49" s="1"/>
  <c r="B376" i="49" a="1"/>
  <c r="B376" i="49" s="1"/>
  <c r="B383" i="49" a="1"/>
  <c r="B383" i="49" s="1"/>
  <c r="B397" i="49" a="1"/>
  <c r="B397" i="49" s="1"/>
  <c r="B403" i="49" a="1"/>
  <c r="B403" i="49" s="1"/>
  <c r="B410" i="49" a="1"/>
  <c r="B410" i="49" s="1"/>
  <c r="B417" i="49" a="1"/>
  <c r="B417" i="49" s="1"/>
  <c r="B424" i="49" a="1"/>
  <c r="B424" i="49" s="1"/>
  <c r="B443" i="49" a="1"/>
  <c r="B443" i="49" s="1"/>
  <c r="B451" i="49" a="1"/>
  <c r="B451" i="49" s="1"/>
  <c r="B457" i="49" a="1"/>
  <c r="B457" i="49" s="1"/>
  <c r="B465" i="49" a="1"/>
  <c r="B465" i="49" s="1"/>
  <c r="B471" i="49" a="1"/>
  <c r="B471" i="49" s="1"/>
  <c r="B478" i="49" a="1"/>
  <c r="B478" i="49" s="1"/>
  <c r="B485" i="49" a="1"/>
  <c r="B485" i="49" s="1"/>
  <c r="B493" i="49" a="1"/>
  <c r="B493" i="49" s="1"/>
  <c r="B499" i="49" a="1"/>
  <c r="B499" i="49" s="1"/>
  <c r="B514" i="49" a="1"/>
  <c r="B514" i="49" s="1"/>
  <c r="B521" i="49" a="1"/>
  <c r="B521" i="49" s="1"/>
  <c r="B528" i="49" a="1"/>
  <c r="B528" i="49" s="1"/>
  <c r="B535" i="49" a="1"/>
  <c r="B535" i="49" s="1"/>
  <c r="B542" i="49" a="1"/>
  <c r="B542" i="49" s="1"/>
  <c r="B550" i="49" a="1"/>
  <c r="B550" i="49" s="1"/>
  <c r="B557" i="49" a="1"/>
  <c r="B557" i="49" s="1"/>
  <c r="B563" i="49" a="1"/>
  <c r="B563" i="49" s="1"/>
  <c r="B578" i="49" a="1"/>
  <c r="B578" i="49" s="1"/>
  <c r="B585" i="49" a="1"/>
  <c r="B585" i="49" s="1"/>
  <c r="B592" i="49" a="1"/>
  <c r="B592" i="49" s="1"/>
  <c r="B599" i="49" a="1"/>
  <c r="B599" i="49" s="1"/>
  <c r="B606" i="49" a="1"/>
  <c r="B606" i="49" s="1"/>
  <c r="B614" i="49" a="1"/>
  <c r="B614" i="49" s="1"/>
  <c r="B621" i="49" a="1"/>
  <c r="B621" i="49" s="1"/>
  <c r="B627" i="49" a="1"/>
  <c r="B627" i="49" s="1"/>
  <c r="B642" i="49" a="1"/>
  <c r="B642" i="49" s="1"/>
  <c r="B648" i="49" a="1"/>
  <c r="B648" i="49" s="1"/>
  <c r="B654" i="49" a="1"/>
  <c r="B654" i="49" s="1"/>
  <c r="B661" i="49" a="1"/>
  <c r="B661" i="49" s="1"/>
  <c r="B667" i="49" a="1"/>
  <c r="B667" i="49" s="1"/>
  <c r="B674" i="49" a="1"/>
  <c r="B674" i="49" s="1"/>
  <c r="B682" i="49" a="1"/>
  <c r="B682" i="49" s="1"/>
  <c r="B690" i="49" a="1"/>
  <c r="B690" i="49" s="1"/>
  <c r="B698" i="49" a="1"/>
  <c r="B698" i="49" s="1"/>
  <c r="B114" i="49" a="1"/>
  <c r="B114" i="49" s="1"/>
  <c r="B129" i="49" a="1"/>
  <c r="B129" i="49" s="1"/>
  <c r="B144" i="49" a="1"/>
  <c r="B144" i="49" s="1"/>
  <c r="B153" i="49" a="1"/>
  <c r="B153" i="49" s="1"/>
  <c r="B160" i="49" a="1"/>
  <c r="B160" i="49" s="1"/>
  <c r="B167" i="49" a="1"/>
  <c r="B167" i="49" s="1"/>
  <c r="B175" i="49" a="1"/>
  <c r="B175" i="49" s="1"/>
  <c r="B182" i="49" a="1"/>
  <c r="B182" i="49" s="1"/>
  <c r="B190" i="49" a="1"/>
  <c r="B190" i="49" s="1"/>
  <c r="B205" i="49" a="1"/>
  <c r="B205" i="49" s="1"/>
  <c r="B213" i="49" a="1"/>
  <c r="B213" i="49" s="1"/>
  <c r="B220" i="49" a="1"/>
  <c r="B220" i="49" s="1"/>
  <c r="B228" i="49" a="1"/>
  <c r="B228" i="49" s="1"/>
  <c r="B235" i="49" a="1"/>
  <c r="B235" i="49" s="1"/>
  <c r="B243" i="49" a="1"/>
  <c r="B243" i="49" s="1"/>
  <c r="B250" i="49" a="1"/>
  <c r="B250" i="49" s="1"/>
  <c r="B258" i="49" a="1"/>
  <c r="B258" i="49" s="1"/>
  <c r="B265" i="49" a="1"/>
  <c r="B265" i="49" s="1"/>
  <c r="B273" i="49" a="1"/>
  <c r="B273" i="49" s="1"/>
  <c r="B280" i="49" a="1"/>
  <c r="B280" i="49" s="1"/>
  <c r="B288" i="49" a="1"/>
  <c r="B288" i="49" s="1"/>
  <c r="B296" i="49" a="1"/>
  <c r="B296" i="49" s="1"/>
  <c r="B304" i="49" a="1"/>
  <c r="B304" i="49" s="1"/>
  <c r="B312" i="49" a="1"/>
  <c r="B312" i="49" s="1"/>
  <c r="B320" i="49" a="1"/>
  <c r="B320" i="49" s="1"/>
  <c r="B327" i="49" a="1"/>
  <c r="B327" i="49" s="1"/>
  <c r="B335" i="49" a="1"/>
  <c r="B335" i="49" s="1"/>
  <c r="B343" i="49" a="1"/>
  <c r="B343" i="49" s="1"/>
  <c r="B350" i="49" a="1"/>
  <c r="B350" i="49" s="1"/>
  <c r="B357" i="49" a="1"/>
  <c r="B357" i="49" s="1"/>
  <c r="B364" i="49" a="1"/>
  <c r="B364" i="49" s="1"/>
  <c r="B371" i="49" a="1"/>
  <c r="B371" i="49" s="1"/>
  <c r="B377" i="49" a="1"/>
  <c r="B377" i="49" s="1"/>
  <c r="B384" i="49" a="1"/>
  <c r="B384" i="49" s="1"/>
  <c r="B390" i="49" a="1"/>
  <c r="B390" i="49" s="1"/>
  <c r="B398" i="49" a="1"/>
  <c r="B398" i="49" s="1"/>
  <c r="B404" i="49" a="1"/>
  <c r="B404" i="49" s="1"/>
  <c r="B418" i="49" a="1"/>
  <c r="B418" i="49" s="1"/>
  <c r="B425" i="49" a="1"/>
  <c r="B425" i="49" s="1"/>
  <c r="B431" i="49" a="1"/>
  <c r="B431" i="49" s="1"/>
  <c r="B438" i="49" a="1"/>
  <c r="B438" i="49" s="1"/>
  <c r="B444" i="49" a="1"/>
  <c r="B444" i="49" s="1"/>
  <c r="B458" i="49" a="1"/>
  <c r="B458" i="49" s="1"/>
  <c r="B466" i="49" a="1"/>
  <c r="B466" i="49" s="1"/>
  <c r="B472" i="49" a="1"/>
  <c r="B472" i="49" s="1"/>
  <c r="B486" i="49" a="1"/>
  <c r="B486" i="49" s="1"/>
  <c r="B494" i="49" a="1"/>
  <c r="B494" i="49" s="1"/>
  <c r="B500" i="49" a="1"/>
  <c r="B500" i="49" s="1"/>
  <c r="B507" i="49" a="1"/>
  <c r="B507" i="49" s="1"/>
  <c r="B515" i="49" a="1"/>
  <c r="B515" i="49" s="1"/>
  <c r="B529" i="49" a="1"/>
  <c r="B529" i="49" s="1"/>
  <c r="B536" i="49" a="1"/>
  <c r="B536" i="49" s="1"/>
  <c r="B543" i="49" a="1"/>
  <c r="B543" i="49" s="1"/>
  <c r="B551" i="49" a="1"/>
  <c r="B551" i="49" s="1"/>
  <c r="B558" i="49" a="1"/>
  <c r="B558" i="49" s="1"/>
  <c r="B564" i="49" a="1"/>
  <c r="B564" i="49" s="1"/>
  <c r="B571" i="49" a="1"/>
  <c r="B571" i="49" s="1"/>
  <c r="B579" i="49" a="1"/>
  <c r="B579" i="49" s="1"/>
  <c r="B593" i="49" a="1"/>
  <c r="B593" i="49" s="1"/>
  <c r="B600" i="49" a="1"/>
  <c r="B600" i="49" s="1"/>
  <c r="B607" i="49" a="1"/>
  <c r="B607" i="49" s="1"/>
  <c r="B615" i="49" a="1"/>
  <c r="B615" i="49" s="1"/>
  <c r="B622" i="49" a="1"/>
  <c r="B622" i="49" s="1"/>
  <c r="B628" i="49" a="1"/>
  <c r="B628" i="49" s="1"/>
  <c r="B635" i="49" a="1"/>
  <c r="B635" i="49" s="1"/>
  <c r="B643" i="49" a="1"/>
  <c r="B643" i="49" s="1"/>
  <c r="B655" i="49" a="1"/>
  <c r="B655" i="49" s="1"/>
  <c r="B662" i="49" a="1"/>
  <c r="B662" i="49" s="1"/>
  <c r="B97" i="49" a="1"/>
  <c r="B97" i="49" s="1"/>
  <c r="B117" i="49" a="1"/>
  <c r="B117" i="49" s="1"/>
  <c r="B132" i="49" a="1"/>
  <c r="B132" i="49" s="1"/>
  <c r="B145" i="49" a="1"/>
  <c r="B145" i="49" s="1"/>
  <c r="B154" i="49" a="1"/>
  <c r="B154" i="49" s="1"/>
  <c r="B161" i="49" a="1"/>
  <c r="B161" i="49" s="1"/>
  <c r="B168" i="49" a="1"/>
  <c r="B168" i="49" s="1"/>
  <c r="B176" i="49" a="1"/>
  <c r="B176" i="49" s="1"/>
  <c r="B183" i="49" a="1"/>
  <c r="B183" i="49" s="1"/>
  <c r="B191" i="49" a="1"/>
  <c r="B191" i="49" s="1"/>
  <c r="B198" i="49" a="1"/>
  <c r="B198" i="49" s="1"/>
  <c r="B206" i="49" a="1"/>
  <c r="B206" i="49" s="1"/>
  <c r="B221" i="49" a="1"/>
  <c r="B221" i="49" s="1"/>
  <c r="B229" i="49" a="1"/>
  <c r="B229" i="49" s="1"/>
  <c r="B236" i="49" a="1"/>
  <c r="B236" i="49" s="1"/>
  <c r="B244" i="49" a="1"/>
  <c r="B244" i="49" s="1"/>
  <c r="B251" i="49" a="1"/>
  <c r="B251" i="49" s="1"/>
  <c r="B259" i="49" a="1"/>
  <c r="B259" i="49" s="1"/>
  <c r="B266" i="49" a="1"/>
  <c r="B266" i="49" s="1"/>
  <c r="B274" i="49" a="1"/>
  <c r="B274" i="49" s="1"/>
  <c r="B281" i="49" a="1"/>
  <c r="B281" i="49" s="1"/>
  <c r="B289" i="49" a="1"/>
  <c r="B289" i="49" s="1"/>
  <c r="B297" i="49" a="1"/>
  <c r="B297" i="49" s="1"/>
  <c r="B305" i="49" a="1"/>
  <c r="B305" i="49" s="1"/>
  <c r="B313" i="49" a="1"/>
  <c r="B313" i="49" s="1"/>
  <c r="B321" i="49" a="1"/>
  <c r="B321" i="49" s="1"/>
  <c r="B328" i="49" a="1"/>
  <c r="B328" i="49" s="1"/>
  <c r="B336" i="49" a="1"/>
  <c r="B336" i="49" s="1"/>
  <c r="B344" i="49" a="1"/>
  <c r="B344" i="49" s="1"/>
  <c r="B351" i="49" a="1"/>
  <c r="B351" i="49" s="1"/>
  <c r="B358" i="49" a="1"/>
  <c r="B358" i="49" s="1"/>
  <c r="B365" i="49" a="1"/>
  <c r="B365" i="49" s="1"/>
  <c r="B372" i="49" a="1"/>
  <c r="B372" i="49" s="1"/>
  <c r="B378" i="49" a="1"/>
  <c r="B378" i="49" s="1"/>
  <c r="B385" i="49" a="1"/>
  <c r="B385" i="49" s="1"/>
  <c r="B391" i="49" a="1"/>
  <c r="B391" i="49" s="1"/>
  <c r="B399" i="49" a="1"/>
  <c r="B399" i="49" s="1"/>
  <c r="B405" i="49" a="1"/>
  <c r="B405" i="49" s="1"/>
  <c r="B411" i="49" a="1"/>
  <c r="B411" i="49" s="1"/>
  <c r="B419" i="49" a="1"/>
  <c r="B419" i="49" s="1"/>
  <c r="B432" i="49" a="1"/>
  <c r="B432" i="49" s="1"/>
  <c r="B439" i="49" a="1"/>
  <c r="B439" i="49" s="1"/>
  <c r="B445" i="49" a="1"/>
  <c r="B445" i="49" s="1"/>
  <c r="B452" i="49" a="1"/>
  <c r="B452" i="49" s="1"/>
  <c r="B459" i="49" a="1"/>
  <c r="B459" i="49" s="1"/>
  <c r="B473" i="49" a="1"/>
  <c r="B473" i="49" s="1"/>
  <c r="B479" i="49" a="1"/>
  <c r="B479" i="49" s="1"/>
  <c r="B487" i="49" a="1"/>
  <c r="B487" i="49" s="1"/>
  <c r="B495" i="49" a="1"/>
  <c r="B495" i="49" s="1"/>
  <c r="B501" i="49" a="1"/>
  <c r="B501" i="49" s="1"/>
  <c r="B508" i="49" a="1"/>
  <c r="B508" i="49" s="1"/>
  <c r="B522" i="49" a="1"/>
  <c r="B522" i="49" s="1"/>
  <c r="B530" i="49" a="1"/>
  <c r="B530" i="49" s="1"/>
  <c r="B537" i="49" a="1"/>
  <c r="B537" i="49" s="1"/>
  <c r="B544" i="49" a="1"/>
  <c r="B544" i="49" s="1"/>
  <c r="B552" i="49" a="1"/>
  <c r="B552" i="49" s="1"/>
  <c r="B559" i="49" a="1"/>
  <c r="B559" i="49" s="1"/>
  <c r="B565" i="49" a="1"/>
  <c r="B565" i="49" s="1"/>
  <c r="B572" i="49" a="1"/>
  <c r="B572" i="49" s="1"/>
  <c r="B586" i="49" a="1"/>
  <c r="B586" i="49" s="1"/>
  <c r="B594" i="49" a="1"/>
  <c r="B594" i="49" s="1"/>
  <c r="B601" i="49" a="1"/>
  <c r="B601" i="49" s="1"/>
  <c r="B608" i="49" a="1"/>
  <c r="B608" i="49" s="1"/>
  <c r="B616" i="49" a="1"/>
  <c r="B616" i="49" s="1"/>
  <c r="B623" i="49" a="1"/>
  <c r="B623" i="49" s="1"/>
  <c r="B629" i="49" a="1"/>
  <c r="B629" i="49" s="1"/>
  <c r="B636" i="49" a="1"/>
  <c r="B636" i="49" s="1"/>
  <c r="B649" i="49" a="1"/>
  <c r="B649" i="49" s="1"/>
  <c r="B656" i="49" a="1"/>
  <c r="B656" i="49" s="1"/>
  <c r="B663" i="49" a="1"/>
  <c r="B663" i="49" s="1"/>
  <c r="B676" i="49" a="1"/>
  <c r="B676" i="49" s="1"/>
  <c r="B684" i="49" a="1"/>
  <c r="B684" i="49" s="1"/>
  <c r="B692" i="49" a="1"/>
  <c r="B692" i="49" s="1"/>
  <c r="B700" i="49" a="1"/>
  <c r="B700" i="49" s="1"/>
  <c r="B708" i="49" a="1"/>
  <c r="B708" i="49" s="1"/>
  <c r="B99" i="49" a="1"/>
  <c r="B99" i="49" s="1"/>
  <c r="B118" i="49" a="1"/>
  <c r="B118" i="49" s="1"/>
  <c r="B147" i="49" a="1"/>
  <c r="B147" i="49" s="1"/>
  <c r="B155" i="49" a="1"/>
  <c r="B155" i="49" s="1"/>
  <c r="B162" i="49" a="1"/>
  <c r="B162" i="49" s="1"/>
  <c r="B169" i="49" a="1"/>
  <c r="B169" i="49" s="1"/>
  <c r="B177" i="49" a="1"/>
  <c r="B177" i="49" s="1"/>
  <c r="B184" i="49" a="1"/>
  <c r="B184" i="49" s="1"/>
  <c r="B192" i="49" a="1"/>
  <c r="B192" i="49" s="1"/>
  <c r="B199" i="49" a="1"/>
  <c r="B199" i="49" s="1"/>
  <c r="B207" i="49" a="1"/>
  <c r="B207" i="49" s="1"/>
  <c r="B214" i="49" a="1"/>
  <c r="B214" i="49" s="1"/>
  <c r="B222" i="49" a="1"/>
  <c r="B222" i="49" s="1"/>
  <c r="B237" i="49" a="1"/>
  <c r="B237" i="49" s="1"/>
  <c r="B245" i="49" a="1"/>
  <c r="B245" i="49" s="1"/>
  <c r="B252" i="49" a="1"/>
  <c r="B252" i="49" s="1"/>
  <c r="B260" i="49" a="1"/>
  <c r="B260" i="49" s="1"/>
  <c r="B267" i="49" a="1"/>
  <c r="B267" i="49" s="1"/>
  <c r="B275" i="49" a="1"/>
  <c r="B275" i="49" s="1"/>
  <c r="B282" i="49" a="1"/>
  <c r="B282" i="49" s="1"/>
  <c r="B290" i="49" a="1"/>
  <c r="B290" i="49" s="1"/>
  <c r="B298" i="49" a="1"/>
  <c r="B298" i="49" s="1"/>
  <c r="B306" i="49" a="1"/>
  <c r="B306" i="49" s="1"/>
  <c r="B314" i="49" a="1"/>
  <c r="B314" i="49" s="1"/>
  <c r="B329" i="49" a="1"/>
  <c r="B329" i="49" s="1"/>
  <c r="B337" i="49" a="1"/>
  <c r="B337" i="49" s="1"/>
  <c r="B345" i="49" a="1"/>
  <c r="B345" i="49" s="1"/>
  <c r="B352" i="49" a="1"/>
  <c r="B352" i="49" s="1"/>
  <c r="B359" i="49" a="1"/>
  <c r="B359" i="49" s="1"/>
  <c r="B366" i="49" a="1"/>
  <c r="B366" i="49" s="1"/>
  <c r="B373" i="49" a="1"/>
  <c r="B373" i="49" s="1"/>
  <c r="B386" i="49" a="1"/>
  <c r="B386" i="49" s="1"/>
  <c r="B392" i="49" a="1"/>
  <c r="B392" i="49" s="1"/>
  <c r="B400" i="49" a="1"/>
  <c r="B400" i="49" s="1"/>
  <c r="B406" i="49" a="1"/>
  <c r="B406" i="49" s="1"/>
  <c r="B412" i="49" a="1"/>
  <c r="B412" i="49" s="1"/>
  <c r="B426" i="49" a="1"/>
  <c r="B426" i="49" s="1"/>
  <c r="B433" i="49" a="1"/>
  <c r="B433" i="49" s="1"/>
  <c r="B446" i="49" a="1"/>
  <c r="B446" i="49" s="1"/>
  <c r="B453" i="49" a="1"/>
  <c r="B453" i="49" s="1"/>
  <c r="B460" i="49" a="1"/>
  <c r="B460" i="49" s="1"/>
  <c r="B467" i="49" a="1"/>
  <c r="B467" i="49" s="1"/>
  <c r="B474" i="49" a="1"/>
  <c r="B474" i="49" s="1"/>
  <c r="B480" i="49" a="1"/>
  <c r="B480" i="49" s="1"/>
  <c r="B488" i="49" a="1"/>
  <c r="B488" i="49" s="1"/>
  <c r="B496" i="49" a="1"/>
  <c r="B496" i="49" s="1"/>
  <c r="B502" i="49" a="1"/>
  <c r="B502" i="49" s="1"/>
  <c r="B509" i="49" a="1"/>
  <c r="B509" i="49" s="1"/>
  <c r="B516" i="49" a="1"/>
  <c r="B516" i="49" s="1"/>
  <c r="B523" i="49" a="1"/>
  <c r="B523" i="49" s="1"/>
  <c r="B531" i="49" a="1"/>
  <c r="B531" i="49" s="1"/>
  <c r="B538" i="49" a="1"/>
  <c r="B538" i="49" s="1"/>
  <c r="B545" i="49" a="1"/>
  <c r="B545" i="49" s="1"/>
  <c r="B553" i="49" a="1"/>
  <c r="B553" i="49" s="1"/>
  <c r="B560" i="49" a="1"/>
  <c r="B560" i="49" s="1"/>
  <c r="B566" i="49" a="1"/>
  <c r="B566" i="49" s="1"/>
  <c r="B573" i="49" a="1"/>
  <c r="B573" i="49" s="1"/>
  <c r="B580" i="49" a="1"/>
  <c r="B580" i="49" s="1"/>
  <c r="B587" i="49" a="1"/>
  <c r="B587" i="49" s="1"/>
  <c r="B595" i="49" a="1"/>
  <c r="B595" i="49" s="1"/>
  <c r="B602" i="49" a="1"/>
  <c r="B602" i="49" s="1"/>
  <c r="B609" i="49" a="1"/>
  <c r="B609" i="49" s="1"/>
  <c r="B617" i="49" a="1"/>
  <c r="B617" i="49" s="1"/>
  <c r="B624" i="49" a="1"/>
  <c r="B624" i="49" s="1"/>
  <c r="B630" i="49" a="1"/>
  <c r="B630" i="49" s="1"/>
  <c r="B637" i="49" a="1"/>
  <c r="B637" i="49" s="1"/>
  <c r="B644" i="49" a="1"/>
  <c r="B644" i="49" s="1"/>
  <c r="B650" i="49" a="1"/>
  <c r="B650" i="49" s="1"/>
  <c r="B657" i="49" a="1"/>
  <c r="B657" i="49" s="1"/>
  <c r="B669" i="49" a="1"/>
  <c r="B669" i="49" s="1"/>
  <c r="B677" i="49" a="1"/>
  <c r="B677" i="49" s="1"/>
  <c r="B685" i="49" a="1"/>
  <c r="B685" i="49" s="1"/>
  <c r="B693" i="49" a="1"/>
  <c r="B693" i="49" s="1"/>
  <c r="B119" i="49" a="1"/>
  <c r="B119" i="49" s="1"/>
  <c r="B134" i="49" a="1"/>
  <c r="B134" i="49" s="1"/>
  <c r="B149" i="49" a="1"/>
  <c r="B149" i="49" s="1"/>
  <c r="B156" i="49" a="1"/>
  <c r="B156" i="49" s="1"/>
  <c r="B163" i="49" a="1"/>
  <c r="B163" i="49" s="1"/>
  <c r="B170" i="49" a="1"/>
  <c r="B170" i="49" s="1"/>
  <c r="B178" i="49" a="1"/>
  <c r="B178" i="49" s="1"/>
  <c r="B185" i="49" a="1"/>
  <c r="B185" i="49" s="1"/>
  <c r="B193" i="49" a="1"/>
  <c r="B193" i="49" s="1"/>
  <c r="B200" i="49" a="1"/>
  <c r="B200" i="49" s="1"/>
  <c r="B208" i="49" a="1"/>
  <c r="B208" i="49" s="1"/>
  <c r="B215" i="49" a="1"/>
  <c r="B215" i="49" s="1"/>
  <c r="B223" i="49" a="1"/>
  <c r="B223" i="49" s="1"/>
  <c r="B230" i="49" a="1"/>
  <c r="B230" i="49" s="1"/>
  <c r="B238" i="49" a="1"/>
  <c r="B238" i="49" s="1"/>
  <c r="B253" i="49" a="1"/>
  <c r="B253" i="49" s="1"/>
  <c r="B261" i="49" a="1"/>
  <c r="B261" i="49" s="1"/>
  <c r="B268" i="49" a="1"/>
  <c r="B268" i="49" s="1"/>
  <c r="B276" i="49" a="1"/>
  <c r="B276" i="49" s="1"/>
  <c r="B283" i="49" a="1"/>
  <c r="B283" i="49" s="1"/>
  <c r="B291" i="49" a="1"/>
  <c r="B291" i="49" s="1"/>
  <c r="B299" i="49" a="1"/>
  <c r="B299" i="49" s="1"/>
  <c r="B307" i="49" a="1"/>
  <c r="B307" i="49" s="1"/>
  <c r="B315" i="49" a="1"/>
  <c r="B315" i="49" s="1"/>
  <c r="B322" i="49" a="1"/>
  <c r="B322" i="49" s="1"/>
  <c r="B330" i="49" a="1"/>
  <c r="B330" i="49" s="1"/>
  <c r="B338" i="49" a="1"/>
  <c r="B338" i="49" s="1"/>
  <c r="B346" i="49" a="1"/>
  <c r="B346" i="49" s="1"/>
  <c r="B353" i="49" a="1"/>
  <c r="B353" i="49" s="1"/>
  <c r="B360" i="49" a="1"/>
  <c r="B360" i="49" s="1"/>
  <c r="B379" i="49" a="1"/>
  <c r="B379" i="49" s="1"/>
  <c r="B387" i="49" a="1"/>
  <c r="B387" i="49" s="1"/>
  <c r="B393" i="49" a="1"/>
  <c r="B393" i="49" s="1"/>
  <c r="B401" i="49" a="1"/>
  <c r="B401" i="49" s="1"/>
  <c r="B407" i="49" a="1"/>
  <c r="B407" i="49" s="1"/>
  <c r="B413" i="49" a="1"/>
  <c r="B413" i="49" s="1"/>
  <c r="B420" i="49" a="1"/>
  <c r="B420" i="49" s="1"/>
  <c r="B427" i="49" a="1"/>
  <c r="B427" i="49" s="1"/>
  <c r="B434" i="49" a="1"/>
  <c r="B434" i="49" s="1"/>
  <c r="B440" i="49" a="1"/>
  <c r="B440" i="49" s="1"/>
  <c r="B447" i="49" a="1"/>
  <c r="B447" i="49" s="1"/>
  <c r="B461" i="49" a="1"/>
  <c r="B461" i="49" s="1"/>
  <c r="B468" i="49" a="1"/>
  <c r="B468" i="49" s="1"/>
  <c r="B475" i="49" a="1"/>
  <c r="B475" i="49" s="1"/>
  <c r="B481" i="49" a="1"/>
  <c r="B481" i="49" s="1"/>
  <c r="B489" i="49" a="1"/>
  <c r="B489" i="49" s="1"/>
  <c r="B497" i="49" a="1"/>
  <c r="B497" i="49" s="1"/>
  <c r="B503" i="49" a="1"/>
  <c r="B503" i="49" s="1"/>
  <c r="B510" i="49" a="1"/>
  <c r="B510" i="49" s="1"/>
  <c r="B517" i="49" a="1"/>
  <c r="B517" i="49" s="1"/>
  <c r="B524" i="49" a="1"/>
  <c r="B524" i="49" s="1"/>
  <c r="B546" i="49" a="1"/>
  <c r="B546" i="49" s="1"/>
  <c r="B554" i="49" a="1"/>
  <c r="B554" i="49" s="1"/>
  <c r="B561" i="49" a="1"/>
  <c r="B561" i="49" s="1"/>
  <c r="B567" i="49" a="1"/>
  <c r="B567" i="49" s="1"/>
  <c r="B574" i="49" a="1"/>
  <c r="B574" i="49" s="1"/>
  <c r="B581" i="49" a="1"/>
  <c r="B581" i="49" s="1"/>
  <c r="B588" i="49" a="1"/>
  <c r="B588" i="49" s="1"/>
  <c r="B610" i="49" a="1"/>
  <c r="B610" i="49" s="1"/>
  <c r="B618" i="49" a="1"/>
  <c r="B618" i="49" s="1"/>
  <c r="B625" i="49" a="1"/>
  <c r="B625" i="49" s="1"/>
  <c r="B631" i="49" a="1"/>
  <c r="B631" i="49" s="1"/>
  <c r="B638" i="49" a="1"/>
  <c r="B638" i="49" s="1"/>
  <c r="B645" i="49" a="1"/>
  <c r="B645" i="49" s="1"/>
  <c r="B651" i="49" a="1"/>
  <c r="B651" i="49" s="1"/>
  <c r="B658" i="49" a="1"/>
  <c r="B658" i="49" s="1"/>
  <c r="B664" i="49" a="1"/>
  <c r="B664" i="49" s="1"/>
  <c r="B670" i="49" a="1"/>
  <c r="B670" i="49" s="1"/>
  <c r="B678" i="49" a="1"/>
  <c r="B678" i="49" s="1"/>
  <c r="B686" i="49" a="1"/>
  <c r="B686" i="49" s="1"/>
  <c r="B104" i="49" a="1"/>
  <c r="B104" i="49" s="1"/>
  <c r="B121" i="49" a="1"/>
  <c r="B121" i="49" s="1"/>
  <c r="B136" i="49" a="1"/>
  <c r="B136" i="49" s="1"/>
  <c r="B157" i="49" a="1"/>
  <c r="B157" i="49" s="1"/>
  <c r="B164" i="49" a="1"/>
  <c r="B164" i="49" s="1"/>
  <c r="B171" i="49" a="1"/>
  <c r="B171" i="49" s="1"/>
  <c r="B179" i="49" a="1"/>
  <c r="B179" i="49" s="1"/>
  <c r="B186" i="49" a="1"/>
  <c r="B186" i="49" s="1"/>
  <c r="B194" i="49" a="1"/>
  <c r="B194" i="49" s="1"/>
  <c r="B201" i="49" a="1"/>
  <c r="B201" i="49" s="1"/>
  <c r="B209" i="49" a="1"/>
  <c r="B209" i="49" s="1"/>
  <c r="B216" i="49" a="1"/>
  <c r="B216" i="49" s="1"/>
  <c r="B224" i="49" a="1"/>
  <c r="B224" i="49" s="1"/>
  <c r="B231" i="49" a="1"/>
  <c r="B231" i="49" s="1"/>
  <c r="B239" i="49" a="1"/>
  <c r="B239" i="49" s="1"/>
  <c r="B246" i="49" a="1"/>
  <c r="B246" i="49" s="1"/>
  <c r="B254" i="49" a="1"/>
  <c r="B254" i="49" s="1"/>
  <c r="B269" i="49" a="1"/>
  <c r="B269" i="49" s="1"/>
  <c r="B277" i="49" a="1"/>
  <c r="B277" i="49" s="1"/>
  <c r="B284" i="49" a="1"/>
  <c r="B284" i="49" s="1"/>
  <c r="B292" i="49" a="1"/>
  <c r="B292" i="49" s="1"/>
  <c r="B300" i="49" a="1"/>
  <c r="B300" i="49" s="1"/>
  <c r="B308" i="49" a="1"/>
  <c r="B308" i="49" s="1"/>
  <c r="B316" i="49" a="1"/>
  <c r="B316" i="49" s="1"/>
  <c r="B323" i="49" a="1"/>
  <c r="B323" i="49" s="1"/>
  <c r="B331" i="49" a="1"/>
  <c r="B331" i="49" s="1"/>
  <c r="B339" i="49" a="1"/>
  <c r="B339" i="49" s="1"/>
  <c r="B354" i="49" a="1"/>
  <c r="B354" i="49" s="1"/>
  <c r="B361" i="49" a="1"/>
  <c r="B361" i="49" s="1"/>
  <c r="B367" i="49" a="1"/>
  <c r="B367" i="49" s="1"/>
  <c r="B374" i="49" a="1"/>
  <c r="B374" i="49" s="1"/>
  <c r="B380" i="49" a="1"/>
  <c r="B380" i="49" s="1"/>
  <c r="B394" i="49" a="1"/>
  <c r="B394" i="49" s="1"/>
  <c r="B414" i="49" a="1"/>
  <c r="B414" i="49" s="1"/>
  <c r="B421" i="49" a="1"/>
  <c r="B421" i="49" s="1"/>
  <c r="B428" i="49" a="1"/>
  <c r="B428" i="49" s="1"/>
  <c r="B435" i="49" a="1"/>
  <c r="B435" i="49" s="1"/>
  <c r="B441" i="49" a="1"/>
  <c r="B441" i="49" s="1"/>
  <c r="B448" i="49" a="1"/>
  <c r="B448" i="49" s="1"/>
  <c r="B454" i="49" a="1"/>
  <c r="B454" i="49" s="1"/>
  <c r="B462" i="49" a="1"/>
  <c r="B462" i="49" s="1"/>
  <c r="B469" i="49" a="1"/>
  <c r="B469" i="49" s="1"/>
  <c r="B482" i="49" a="1"/>
  <c r="B482" i="49" s="1"/>
  <c r="B490" i="49" a="1"/>
  <c r="B490" i="49" s="1"/>
  <c r="B504" i="49" a="1"/>
  <c r="B504" i="49" s="1"/>
  <c r="B511" i="49" a="1"/>
  <c r="B511" i="49" s="1"/>
  <c r="B518" i="49" a="1"/>
  <c r="B518" i="49" s="1"/>
  <c r="B525" i="49" a="1"/>
  <c r="B525" i="49" s="1"/>
  <c r="B532" i="49" a="1"/>
  <c r="B532" i="49" s="1"/>
  <c r="B539" i="49" a="1"/>
  <c r="B539" i="49" s="1"/>
  <c r="B547" i="49" a="1"/>
  <c r="B547" i="49" s="1"/>
  <c r="B568" i="49" a="1"/>
  <c r="B568" i="49" s="1"/>
  <c r="B575" i="49" a="1"/>
  <c r="B575" i="49" s="1"/>
  <c r="B582" i="49" a="1"/>
  <c r="B582" i="49" s="1"/>
  <c r="B589" i="49" a="1"/>
  <c r="B589" i="49" s="1"/>
  <c r="B596" i="49" a="1"/>
  <c r="B596" i="49" s="1"/>
  <c r="B603" i="49" a="1"/>
  <c r="B603" i="49" s="1"/>
  <c r="B611" i="49" a="1"/>
  <c r="B611" i="49" s="1"/>
  <c r="B632" i="49" a="1"/>
  <c r="B632" i="49" s="1"/>
  <c r="B639" i="49" a="1"/>
  <c r="B639" i="49" s="1"/>
  <c r="B646" i="49" a="1"/>
  <c r="B646" i="49" s="1"/>
  <c r="B652" i="49" a="1"/>
  <c r="B652" i="49" s="1"/>
  <c r="B659" i="49" a="1"/>
  <c r="B659" i="49" s="1"/>
  <c r="B671" i="49" a="1"/>
  <c r="B671" i="49" s="1"/>
  <c r="B679" i="49" a="1"/>
  <c r="B679" i="49" s="1"/>
  <c r="B687" i="49" a="1"/>
  <c r="B687" i="49" s="1"/>
  <c r="B695" i="49" a="1"/>
  <c r="B695" i="49" s="1"/>
  <c r="B703" i="49" a="1"/>
  <c r="B703" i="49" s="1"/>
  <c r="B711" i="49" a="1"/>
  <c r="B711" i="49" s="1"/>
  <c r="B719" i="49" a="1"/>
  <c r="B719" i="49" s="1"/>
  <c r="B727" i="49" a="1"/>
  <c r="B727" i="49" s="1"/>
  <c r="B735" i="49" a="1"/>
  <c r="B735" i="49" s="1"/>
  <c r="B694" i="49" a="1"/>
  <c r="B694" i="49" s="1"/>
  <c r="B709" i="49" a="1"/>
  <c r="B709" i="49" s="1"/>
  <c r="B720" i="49" a="1"/>
  <c r="B720" i="49" s="1"/>
  <c r="B730" i="49" a="1"/>
  <c r="B730" i="49" s="1"/>
  <c r="B739" i="49" a="1"/>
  <c r="B739" i="49" s="1"/>
  <c r="B747" i="49" a="1"/>
  <c r="B747" i="49" s="1"/>
  <c r="B755" i="49" a="1"/>
  <c r="B755" i="49" s="1"/>
  <c r="B763" i="49" a="1"/>
  <c r="B763" i="49" s="1"/>
  <c r="B771" i="49" a="1"/>
  <c r="B771" i="49" s="1"/>
  <c r="B779" i="49" a="1"/>
  <c r="B779" i="49" s="1"/>
  <c r="B787" i="49" a="1"/>
  <c r="B787" i="49" s="1"/>
  <c r="B795" i="49" a="1"/>
  <c r="B795" i="49" s="1"/>
  <c r="B803" i="49" a="1"/>
  <c r="B803" i="49" s="1"/>
  <c r="B811" i="49" a="1"/>
  <c r="B811" i="49" s="1"/>
  <c r="B819" i="49" a="1"/>
  <c r="B819" i="49" s="1"/>
  <c r="B827" i="49" a="1"/>
  <c r="B827" i="49" s="1"/>
  <c r="B835" i="49" a="1"/>
  <c r="B835" i="49" s="1"/>
  <c r="B843" i="49" a="1"/>
  <c r="B843" i="49" s="1"/>
  <c r="B851" i="49" a="1"/>
  <c r="B851" i="49" s="1"/>
  <c r="B859" i="49" a="1"/>
  <c r="B859" i="49" s="1"/>
  <c r="B867" i="49" a="1"/>
  <c r="B867" i="49" s="1"/>
  <c r="B696" i="49" a="1"/>
  <c r="B696" i="49" s="1"/>
  <c r="B710" i="49" a="1"/>
  <c r="B710" i="49" s="1"/>
  <c r="B722" i="49" a="1"/>
  <c r="B722" i="49" s="1"/>
  <c r="B731" i="49" a="1"/>
  <c r="B731" i="49" s="1"/>
  <c r="B740" i="49" a="1"/>
  <c r="B740" i="49" s="1"/>
  <c r="B748" i="49" a="1"/>
  <c r="B748" i="49" s="1"/>
  <c r="B756" i="49" a="1"/>
  <c r="B756" i="49" s="1"/>
  <c r="B764" i="49" a="1"/>
  <c r="B764" i="49" s="1"/>
  <c r="B772" i="49" a="1"/>
  <c r="B772" i="49" s="1"/>
  <c r="B780" i="49" a="1"/>
  <c r="B780" i="49" s="1"/>
  <c r="B788" i="49" a="1"/>
  <c r="B788" i="49" s="1"/>
  <c r="B796" i="49" a="1"/>
  <c r="B796" i="49" s="1"/>
  <c r="B804" i="49" a="1"/>
  <c r="B804" i="49" s="1"/>
  <c r="B812" i="49" a="1"/>
  <c r="B812" i="49" s="1"/>
  <c r="B820" i="49" a="1"/>
  <c r="B820" i="49" s="1"/>
  <c r="B828" i="49" a="1"/>
  <c r="B828" i="49" s="1"/>
  <c r="B836" i="49" a="1"/>
  <c r="B836" i="49" s="1"/>
  <c r="B844" i="49" a="1"/>
  <c r="B844" i="49" s="1"/>
  <c r="B852" i="49" a="1"/>
  <c r="B852" i="49" s="1"/>
  <c r="B860" i="49" a="1"/>
  <c r="B860" i="49" s="1"/>
  <c r="B868" i="49" a="1"/>
  <c r="B868" i="49" s="1"/>
  <c r="B870" i="49" a="1"/>
  <c r="B870" i="49" s="1"/>
  <c r="B872" i="49" a="1"/>
  <c r="B872" i="49" s="1"/>
  <c r="B699" i="49" a="1"/>
  <c r="B699" i="49" s="1"/>
  <c r="B712" i="49" a="1"/>
  <c r="B712" i="49" s="1"/>
  <c r="B723" i="49" a="1"/>
  <c r="B723" i="49" s="1"/>
  <c r="B732" i="49" a="1"/>
  <c r="B732" i="49" s="1"/>
  <c r="B741" i="49" a="1"/>
  <c r="B741" i="49" s="1"/>
  <c r="B749" i="49" a="1"/>
  <c r="B749" i="49" s="1"/>
  <c r="B757" i="49" a="1"/>
  <c r="B757" i="49" s="1"/>
  <c r="B765" i="49" a="1"/>
  <c r="B765" i="49" s="1"/>
  <c r="B773" i="49" a="1"/>
  <c r="B773" i="49" s="1"/>
  <c r="B781" i="49" a="1"/>
  <c r="B781" i="49" s="1"/>
  <c r="B789" i="49" a="1"/>
  <c r="B789" i="49" s="1"/>
  <c r="B797" i="49" a="1"/>
  <c r="B797" i="49" s="1"/>
  <c r="B805" i="49" a="1"/>
  <c r="B805" i="49" s="1"/>
  <c r="B813" i="49" a="1"/>
  <c r="B813" i="49" s="1"/>
  <c r="B821" i="49" a="1"/>
  <c r="B821" i="49" s="1"/>
  <c r="B829" i="49" a="1"/>
  <c r="B829" i="49" s="1"/>
  <c r="B837" i="49" a="1"/>
  <c r="B837" i="49" s="1"/>
  <c r="B845" i="49" a="1"/>
  <c r="B845" i="49" s="1"/>
  <c r="B853" i="49" a="1"/>
  <c r="B853" i="49" s="1"/>
  <c r="B861" i="49" a="1"/>
  <c r="B861" i="49" s="1"/>
  <c r="B869" i="49" a="1"/>
  <c r="B869" i="49" s="1"/>
  <c r="B864" i="49" a="1"/>
  <c r="B864" i="49" s="1"/>
  <c r="B701" i="49" a="1"/>
  <c r="B701" i="49" s="1"/>
  <c r="B714" i="49" a="1"/>
  <c r="B714" i="49" s="1"/>
  <c r="B724" i="49" a="1"/>
  <c r="B724" i="49" s="1"/>
  <c r="B733" i="49" a="1"/>
  <c r="B733" i="49" s="1"/>
  <c r="B742" i="49" a="1"/>
  <c r="B742" i="49" s="1"/>
  <c r="B750" i="49" a="1"/>
  <c r="B750" i="49" s="1"/>
  <c r="B758" i="49" a="1"/>
  <c r="B758" i="49" s="1"/>
  <c r="B766" i="49" a="1"/>
  <c r="B766" i="49" s="1"/>
  <c r="B774" i="49" a="1"/>
  <c r="B774" i="49" s="1"/>
  <c r="B782" i="49" a="1"/>
  <c r="B782" i="49" s="1"/>
  <c r="B790" i="49" a="1"/>
  <c r="B790" i="49" s="1"/>
  <c r="B798" i="49" a="1"/>
  <c r="B798" i="49" s="1"/>
  <c r="B806" i="49" a="1"/>
  <c r="B806" i="49" s="1"/>
  <c r="B814" i="49" a="1"/>
  <c r="B814" i="49" s="1"/>
  <c r="B822" i="49" a="1"/>
  <c r="B822" i="49" s="1"/>
  <c r="B830" i="49" a="1"/>
  <c r="B830" i="49" s="1"/>
  <c r="B838" i="49" a="1"/>
  <c r="B838" i="49" s="1"/>
  <c r="B846" i="49" a="1"/>
  <c r="B846" i="49" s="1"/>
  <c r="B854" i="49" a="1"/>
  <c r="B854" i="49" s="1"/>
  <c r="B862" i="49" a="1"/>
  <c r="B862" i="49" s="1"/>
  <c r="B871" i="49" a="1"/>
  <c r="B871" i="49" s="1"/>
  <c r="B5" i="49" a="1"/>
  <c r="B5" i="49" s="1"/>
  <c r="B668" i="49" a="1"/>
  <c r="B668" i="49" s="1"/>
  <c r="B702" i="49" a="1"/>
  <c r="B702" i="49" s="1"/>
  <c r="B715" i="49" a="1"/>
  <c r="B715" i="49" s="1"/>
  <c r="B725" i="49" a="1"/>
  <c r="B725" i="49" s="1"/>
  <c r="B734" i="49" a="1"/>
  <c r="B734" i="49" s="1"/>
  <c r="B743" i="49" a="1"/>
  <c r="B743" i="49" s="1"/>
  <c r="B751" i="49" a="1"/>
  <c r="B751" i="49" s="1"/>
  <c r="B759" i="49" a="1"/>
  <c r="B759" i="49" s="1"/>
  <c r="B767" i="49" a="1"/>
  <c r="B767" i="49" s="1"/>
  <c r="B775" i="49" a="1"/>
  <c r="B775" i="49" s="1"/>
  <c r="B783" i="49" a="1"/>
  <c r="B783" i="49" s="1"/>
  <c r="B791" i="49" a="1"/>
  <c r="B791" i="49" s="1"/>
  <c r="B799" i="49" a="1"/>
  <c r="B799" i="49" s="1"/>
  <c r="B807" i="49" a="1"/>
  <c r="B807" i="49" s="1"/>
  <c r="B815" i="49" a="1"/>
  <c r="B815" i="49" s="1"/>
  <c r="B823" i="49" a="1"/>
  <c r="B823" i="49" s="1"/>
  <c r="B831" i="49" a="1"/>
  <c r="B831" i="49" s="1"/>
  <c r="B839" i="49" a="1"/>
  <c r="B839" i="49" s="1"/>
  <c r="B847" i="49" a="1"/>
  <c r="B847" i="49" s="1"/>
  <c r="B855" i="49" a="1"/>
  <c r="B855" i="49" s="1"/>
  <c r="B863" i="49" a="1"/>
  <c r="B863" i="49" s="1"/>
  <c r="B874" i="49" a="1"/>
  <c r="B874" i="49" s="1"/>
  <c r="B675" i="49" a="1"/>
  <c r="B675" i="49" s="1"/>
  <c r="B704" i="49" a="1"/>
  <c r="B704" i="49" s="1"/>
  <c r="B716" i="49" a="1"/>
  <c r="B716" i="49" s="1"/>
  <c r="B726" i="49" a="1"/>
  <c r="B726" i="49" s="1"/>
  <c r="B736" i="49" a="1"/>
  <c r="B736" i="49" s="1"/>
  <c r="B744" i="49" a="1"/>
  <c r="B744" i="49" s="1"/>
  <c r="B752" i="49" a="1"/>
  <c r="B752" i="49" s="1"/>
  <c r="B760" i="49" a="1"/>
  <c r="B760" i="49" s="1"/>
  <c r="B768" i="49" a="1"/>
  <c r="B768" i="49" s="1"/>
  <c r="B776" i="49" a="1"/>
  <c r="B776" i="49" s="1"/>
  <c r="B784" i="49" a="1"/>
  <c r="B784" i="49" s="1"/>
  <c r="B792" i="49" a="1"/>
  <c r="B792" i="49" s="1"/>
  <c r="B800" i="49" a="1"/>
  <c r="B800" i="49" s="1"/>
  <c r="B808" i="49" a="1"/>
  <c r="B808" i="49" s="1"/>
  <c r="B816" i="49" a="1"/>
  <c r="B816" i="49" s="1"/>
  <c r="B824" i="49" a="1"/>
  <c r="B824" i="49" s="1"/>
  <c r="B832" i="49" a="1"/>
  <c r="B832" i="49" s="1"/>
  <c r="B840" i="49" a="1"/>
  <c r="B840" i="49" s="1"/>
  <c r="B848" i="49" a="1"/>
  <c r="B848" i="49" s="1"/>
  <c r="B856" i="49" a="1"/>
  <c r="B856" i="49" s="1"/>
  <c r="B866" i="49" a="1"/>
  <c r="B866" i="49" s="1"/>
  <c r="B683" i="49" a="1"/>
  <c r="B683" i="49" s="1"/>
  <c r="B706" i="49" a="1"/>
  <c r="B706" i="49" s="1"/>
  <c r="B717" i="49" a="1"/>
  <c r="B717" i="49" s="1"/>
  <c r="B728" i="49" a="1"/>
  <c r="B728" i="49" s="1"/>
  <c r="B737" i="49" a="1"/>
  <c r="B737" i="49" s="1"/>
  <c r="B745" i="49" a="1"/>
  <c r="B745" i="49" s="1"/>
  <c r="B753" i="49" a="1"/>
  <c r="B753" i="49" s="1"/>
  <c r="B761" i="49" a="1"/>
  <c r="B761" i="49" s="1"/>
  <c r="B769" i="49" a="1"/>
  <c r="B769" i="49" s="1"/>
  <c r="B777" i="49" a="1"/>
  <c r="B777" i="49" s="1"/>
  <c r="B785" i="49" a="1"/>
  <c r="B785" i="49" s="1"/>
  <c r="B793" i="49" a="1"/>
  <c r="B793" i="49" s="1"/>
  <c r="B801" i="49" a="1"/>
  <c r="B801" i="49" s="1"/>
  <c r="B809" i="49" a="1"/>
  <c r="B809" i="49" s="1"/>
  <c r="B817" i="49" a="1"/>
  <c r="B817" i="49" s="1"/>
  <c r="B825" i="49" a="1"/>
  <c r="B825" i="49" s="1"/>
  <c r="B833" i="49" a="1"/>
  <c r="B833" i="49" s="1"/>
  <c r="B841" i="49" a="1"/>
  <c r="B841" i="49" s="1"/>
  <c r="B849" i="49" a="1"/>
  <c r="B849" i="49" s="1"/>
  <c r="B857" i="49" a="1"/>
  <c r="B857" i="49" s="1"/>
  <c r="B865" i="49" a="1"/>
  <c r="B865" i="49" s="1"/>
  <c r="B873" i="49" a="1"/>
  <c r="B873" i="49" s="1"/>
  <c r="B691" i="49" a="1"/>
  <c r="B691" i="49" s="1"/>
  <c r="B707" i="49" a="1"/>
  <c r="B707" i="49" s="1"/>
  <c r="B718" i="49" a="1"/>
  <c r="B718" i="49" s="1"/>
  <c r="B729" i="49" a="1"/>
  <c r="B729" i="49" s="1"/>
  <c r="B738" i="49" a="1"/>
  <c r="B738" i="49" s="1"/>
  <c r="B746" i="49" a="1"/>
  <c r="B746" i="49" s="1"/>
  <c r="B754" i="49" a="1"/>
  <c r="B754" i="49" s="1"/>
  <c r="B762" i="49" a="1"/>
  <c r="B762" i="49" s="1"/>
  <c r="B770" i="49" a="1"/>
  <c r="B770" i="49" s="1"/>
  <c r="B778" i="49" a="1"/>
  <c r="B778" i="49" s="1"/>
  <c r="B786" i="49" a="1"/>
  <c r="B786" i="49" s="1"/>
  <c r="B794" i="49" a="1"/>
  <c r="B794" i="49" s="1"/>
  <c r="B802" i="49" a="1"/>
  <c r="B802" i="49" s="1"/>
  <c r="B810" i="49" a="1"/>
  <c r="B810" i="49" s="1"/>
  <c r="B818" i="49" a="1"/>
  <c r="B818" i="49" s="1"/>
  <c r="B826" i="49" a="1"/>
  <c r="B826" i="49" s="1"/>
  <c r="B834" i="49" a="1"/>
  <c r="B834" i="49" s="1"/>
  <c r="B842" i="49" a="1"/>
  <c r="B842" i="49" s="1"/>
  <c r="B850" i="49" a="1"/>
  <c r="B850" i="49" s="1"/>
  <c r="B858" i="49" a="1"/>
  <c r="B858" i="49" s="1"/>
  <c r="H17" i="49" a="1"/>
  <c r="H17" i="49" s="1"/>
  <c r="H25" i="49" a="1"/>
  <c r="H25" i="49" s="1"/>
  <c r="H32" i="49" a="1"/>
  <c r="H32" i="49" s="1"/>
  <c r="H38" i="49" a="1"/>
  <c r="H38" i="49" s="1"/>
  <c r="H46" i="49" a="1"/>
  <c r="H46" i="49" s="1"/>
  <c r="H54" i="49" a="1"/>
  <c r="H54" i="49" s="1"/>
  <c r="H68" i="49" a="1"/>
  <c r="H68" i="49" s="1"/>
  <c r="H75" i="49" a="1"/>
  <c r="H75" i="49" s="1"/>
  <c r="H83" i="49" a="1"/>
  <c r="H83" i="49" s="1"/>
  <c r="H91" i="49" a="1"/>
  <c r="H91" i="49" s="1"/>
  <c r="H98" i="49" a="1"/>
  <c r="H98" i="49" s="1"/>
  <c r="H105" i="49" a="1"/>
  <c r="H105" i="49" s="1"/>
  <c r="H113" i="49" a="1"/>
  <c r="H113" i="49" s="1"/>
  <c r="H120" i="49" a="1"/>
  <c r="H120" i="49" s="1"/>
  <c r="H128" i="49" a="1"/>
  <c r="H128" i="49" s="1"/>
  <c r="H134" i="49" a="1"/>
  <c r="H134" i="49" s="1"/>
  <c r="H142" i="49" a="1"/>
  <c r="H142" i="49" s="1"/>
  <c r="H149" i="49" a="1"/>
  <c r="H149" i="49" s="1"/>
  <c r="H157" i="49" a="1"/>
  <c r="H157" i="49" s="1"/>
  <c r="H164" i="49" a="1"/>
  <c r="H164" i="49" s="1"/>
  <c r="H171" i="49" a="1"/>
  <c r="H171" i="49" s="1"/>
  <c r="H178" i="49" a="1"/>
  <c r="H178" i="49" s="1"/>
  <c r="H186" i="49" a="1"/>
  <c r="H186" i="49" s="1"/>
  <c r="H201" i="49" a="1"/>
  <c r="H201" i="49" s="1"/>
  <c r="H209" i="49" a="1"/>
  <c r="H209" i="49" s="1"/>
  <c r="H216" i="49" a="1"/>
  <c r="H216" i="49" s="1"/>
  <c r="H224" i="49" a="1"/>
  <c r="H224" i="49" s="1"/>
  <c r="H231" i="49" a="1"/>
  <c r="H231" i="49" s="1"/>
  <c r="H239" i="49" a="1"/>
  <c r="H239" i="49" s="1"/>
  <c r="H246" i="49" a="1"/>
  <c r="H246" i="49" s="1"/>
  <c r="H254" i="49" a="1"/>
  <c r="H254" i="49" s="1"/>
  <c r="H261" i="49" a="1"/>
  <c r="H261" i="49" s="1"/>
  <c r="H269" i="49" a="1"/>
  <c r="H269" i="49" s="1"/>
  <c r="H276" i="49" a="1"/>
  <c r="H276" i="49" s="1"/>
  <c r="H284" i="49" a="1"/>
  <c r="H284" i="49" s="1"/>
  <c r="H291" i="49" a="1"/>
  <c r="H291" i="49" s="1"/>
  <c r="H299" i="49" a="1"/>
  <c r="H299" i="49" s="1"/>
  <c r="H306" i="49" a="1"/>
  <c r="H306" i="49" s="1"/>
  <c r="H314" i="49" a="1"/>
  <c r="H314" i="49" s="1"/>
  <c r="H328" i="49" a="1"/>
  <c r="H328" i="49" s="1"/>
  <c r="H335" i="49" a="1"/>
  <c r="H335" i="49" s="1"/>
  <c r="H342" i="49" a="1"/>
  <c r="H342" i="49" s="1"/>
  <c r="H349" i="49" a="1"/>
  <c r="H349" i="49" s="1"/>
  <c r="H360" i="49" a="1"/>
  <c r="H360" i="49" s="1"/>
  <c r="H366" i="49" a="1"/>
  <c r="H366" i="49" s="1"/>
  <c r="H372" i="49" a="1"/>
  <c r="H372" i="49" s="1"/>
  <c r="H389" i="49" a="1"/>
  <c r="H389" i="49" s="1"/>
  <c r="H395" i="49" a="1"/>
  <c r="H395" i="49" s="1"/>
  <c r="H400" i="49" a="1"/>
  <c r="H400" i="49" s="1"/>
  <c r="H412" i="49" a="1"/>
  <c r="H412" i="49" s="1"/>
  <c r="H418" i="49" a="1"/>
  <c r="H418" i="49" s="1"/>
  <c r="H424" i="49" a="1"/>
  <c r="H424" i="49" s="1"/>
  <c r="H430" i="49" a="1"/>
  <c r="H430" i="49" s="1"/>
  <c r="H436" i="49" a="1"/>
  <c r="H436" i="49" s="1"/>
  <c r="H453" i="49" a="1"/>
  <c r="H453" i="49" s="1"/>
  <c r="H459" i="49" a="1"/>
  <c r="H459" i="49" s="1"/>
  <c r="H464" i="49" a="1"/>
  <c r="H464" i="49" s="1"/>
  <c r="H476" i="49" a="1"/>
  <c r="H476" i="49" s="1"/>
  <c r="H482" i="49" a="1"/>
  <c r="H482" i="49" s="1"/>
  <c r="H488" i="49" a="1"/>
  <c r="H488" i="49" s="1"/>
  <c r="H494" i="49" a="1"/>
  <c r="H494" i="49" s="1"/>
  <c r="H500" i="49" a="1"/>
  <c r="H500" i="49" s="1"/>
  <c r="H517" i="49" a="1"/>
  <c r="H517" i="49" s="1"/>
  <c r="H10" i="49" a="1"/>
  <c r="H10" i="49" s="1"/>
  <c r="H18" i="49" a="1"/>
  <c r="H18" i="49" s="1"/>
  <c r="H26" i="49" a="1"/>
  <c r="H26" i="49" s="1"/>
  <c r="H33" i="49" a="1"/>
  <c r="H33" i="49" s="1"/>
  <c r="H39" i="49" a="1"/>
  <c r="H39" i="49" s="1"/>
  <c r="H47" i="49" a="1"/>
  <c r="H47" i="49" s="1"/>
  <c r="H55" i="49" a="1"/>
  <c r="H55" i="49" s="1"/>
  <c r="H62" i="49" a="1"/>
  <c r="H62" i="49" s="1"/>
  <c r="H69" i="49" a="1"/>
  <c r="H69" i="49" s="1"/>
  <c r="H76" i="49" a="1"/>
  <c r="H76" i="49" s="1"/>
  <c r="H84" i="49" a="1"/>
  <c r="H84" i="49" s="1"/>
  <c r="H92" i="49" a="1"/>
  <c r="H92" i="49" s="1"/>
  <c r="H99" i="49" a="1"/>
  <c r="H99" i="49" s="1"/>
  <c r="H106" i="49" a="1"/>
  <c r="H106" i="49" s="1"/>
  <c r="H121" i="49" a="1"/>
  <c r="H121" i="49" s="1"/>
  <c r="H129" i="49" a="1"/>
  <c r="H129" i="49" s="1"/>
  <c r="H135" i="49" a="1"/>
  <c r="H135" i="49" s="1"/>
  <c r="H143" i="49" a="1"/>
  <c r="H143" i="49" s="1"/>
  <c r="H150" i="49" a="1"/>
  <c r="H150" i="49" s="1"/>
  <c r="H158" i="49" a="1"/>
  <c r="H158" i="49" s="1"/>
  <c r="H165" i="49" a="1"/>
  <c r="H165" i="49" s="1"/>
  <c r="H172" i="49" a="1"/>
  <c r="H172" i="49" s="1"/>
  <c r="H179" i="49" a="1"/>
  <c r="H179" i="49" s="1"/>
  <c r="H187" i="49" a="1"/>
  <c r="H187" i="49" s="1"/>
  <c r="H194" i="49" a="1"/>
  <c r="H194" i="49" s="1"/>
  <c r="H202" i="49" a="1"/>
  <c r="H202" i="49" s="1"/>
  <c r="H217" i="49" a="1"/>
  <c r="H217" i="49" s="1"/>
  <c r="H225" i="49" a="1"/>
  <c r="H225" i="49" s="1"/>
  <c r="H232" i="49" a="1"/>
  <c r="H232" i="49" s="1"/>
  <c r="H240" i="49" a="1"/>
  <c r="H240" i="49" s="1"/>
  <c r="H247" i="49" a="1"/>
  <c r="H247" i="49" s="1"/>
  <c r="H255" i="49" a="1"/>
  <c r="H255" i="49" s="1"/>
  <c r="H262" i="49" a="1"/>
  <c r="H262" i="49" s="1"/>
  <c r="H270" i="49" a="1"/>
  <c r="H270" i="49" s="1"/>
  <c r="H277" i="49" a="1"/>
  <c r="H277" i="49" s="1"/>
  <c r="H285" i="49" a="1"/>
  <c r="H285" i="49" s="1"/>
  <c r="H292" i="49" a="1"/>
  <c r="H292" i="49" s="1"/>
  <c r="H300" i="49" a="1"/>
  <c r="H300" i="49" s="1"/>
  <c r="H307" i="49" a="1"/>
  <c r="H307" i="49" s="1"/>
  <c r="H315" i="49" a="1"/>
  <c r="H315" i="49" s="1"/>
  <c r="H322" i="49" a="1"/>
  <c r="H322" i="49" s="1"/>
  <c r="H329" i="49" a="1"/>
  <c r="H329" i="49" s="1"/>
  <c r="H336" i="49" a="1"/>
  <c r="H336" i="49" s="1"/>
  <c r="H343" i="49" a="1"/>
  <c r="H343" i="49" s="1"/>
  <c r="H350" i="49" a="1"/>
  <c r="H350" i="49" s="1"/>
  <c r="H355" i="49" a="1"/>
  <c r="H355" i="49" s="1"/>
  <c r="H377" i="49" a="1"/>
  <c r="H377" i="49" s="1"/>
  <c r="H384" i="49" a="1"/>
  <c r="H384" i="49" s="1"/>
  <c r="H390" i="49" a="1"/>
  <c r="H390" i="49" s="1"/>
  <c r="H401" i="49" a="1"/>
  <c r="H401" i="49" s="1"/>
  <c r="H407" i="49" a="1"/>
  <c r="H407" i="49" s="1"/>
  <c r="H413" i="49" a="1"/>
  <c r="H413" i="49" s="1"/>
  <c r="H441" i="49" a="1"/>
  <c r="H441" i="49" s="1"/>
  <c r="H448" i="49" a="1"/>
  <c r="H448" i="49" s="1"/>
  <c r="H454" i="49" a="1"/>
  <c r="H454" i="49" s="1"/>
  <c r="H465" i="49" a="1"/>
  <c r="H465" i="49" s="1"/>
  <c r="H471" i="49" a="1"/>
  <c r="H471" i="49" s="1"/>
  <c r="H477" i="49" a="1"/>
  <c r="H477" i="49" s="1"/>
  <c r="H505" i="49" a="1"/>
  <c r="H505" i="49" s="1"/>
  <c r="H512" i="49" a="1"/>
  <c r="H512" i="49" s="1"/>
  <c r="H518" i="49" a="1"/>
  <c r="H518" i="49" s="1"/>
  <c r="H524" i="49" a="1"/>
  <c r="H524" i="49" s="1"/>
  <c r="H531" i="49" a="1"/>
  <c r="H531" i="49" s="1"/>
  <c r="H536" i="49" a="1"/>
  <c r="H536" i="49" s="1"/>
  <c r="H11" i="49" a="1"/>
  <c r="H11" i="49" s="1"/>
  <c r="H19" i="49" a="1"/>
  <c r="H19" i="49" s="1"/>
  <c r="H27" i="49" a="1"/>
  <c r="H27" i="49" s="1"/>
  <c r="H40" i="49" a="1"/>
  <c r="H40" i="49" s="1"/>
  <c r="H48" i="49" a="1"/>
  <c r="H48" i="49" s="1"/>
  <c r="H56" i="49" a="1"/>
  <c r="H56" i="49" s="1"/>
  <c r="H63" i="49" a="1"/>
  <c r="H63" i="49" s="1"/>
  <c r="H77" i="49" a="1"/>
  <c r="H77" i="49" s="1"/>
  <c r="H85" i="49" a="1"/>
  <c r="H85" i="49" s="1"/>
  <c r="H93" i="49" a="1"/>
  <c r="H93" i="49" s="1"/>
  <c r="H100" i="49" a="1"/>
  <c r="H100" i="49" s="1"/>
  <c r="H107" i="49" a="1"/>
  <c r="H107" i="49" s="1"/>
  <c r="H114" i="49" a="1"/>
  <c r="H114" i="49" s="1"/>
  <c r="H122" i="49" a="1"/>
  <c r="H122" i="49" s="1"/>
  <c r="H136" i="49" a="1"/>
  <c r="H136" i="49" s="1"/>
  <c r="H144" i="49" a="1"/>
  <c r="H144" i="49" s="1"/>
  <c r="H151" i="49" a="1"/>
  <c r="H151" i="49" s="1"/>
  <c r="H159" i="49" a="1"/>
  <c r="H159" i="49" s="1"/>
  <c r="H173" i="49" a="1"/>
  <c r="H173" i="49" s="1"/>
  <c r="H180" i="49" a="1"/>
  <c r="H180" i="49" s="1"/>
  <c r="H188" i="49" a="1"/>
  <c r="H188" i="49" s="1"/>
  <c r="H195" i="49" a="1"/>
  <c r="H195" i="49" s="1"/>
  <c r="H203" i="49" a="1"/>
  <c r="H203" i="49" s="1"/>
  <c r="H210" i="49" a="1"/>
  <c r="H210" i="49" s="1"/>
  <c r="H218" i="49" a="1"/>
  <c r="H218" i="49" s="1"/>
  <c r="H233" i="49" a="1"/>
  <c r="H233" i="49" s="1"/>
  <c r="H241" i="49" a="1"/>
  <c r="H241" i="49" s="1"/>
  <c r="H248" i="49" a="1"/>
  <c r="H248" i="49" s="1"/>
  <c r="H256" i="49" a="1"/>
  <c r="H256" i="49" s="1"/>
  <c r="H263" i="49" a="1"/>
  <c r="H263" i="49" s="1"/>
  <c r="H271" i="49" a="1"/>
  <c r="H271" i="49" s="1"/>
  <c r="H278" i="49" a="1"/>
  <c r="H278" i="49" s="1"/>
  <c r="H286" i="49" a="1"/>
  <c r="H286" i="49" s="1"/>
  <c r="H293" i="49" a="1"/>
  <c r="H293" i="49" s="1"/>
  <c r="H301" i="49" a="1"/>
  <c r="H301" i="49" s="1"/>
  <c r="H308" i="49" a="1"/>
  <c r="H308" i="49" s="1"/>
  <c r="H316" i="49" a="1"/>
  <c r="H316" i="49" s="1"/>
  <c r="H323" i="49" a="1"/>
  <c r="H323" i="49" s="1"/>
  <c r="H337" i="49" a="1"/>
  <c r="H337" i="49" s="1"/>
  <c r="H344" i="49" a="1"/>
  <c r="H344" i="49" s="1"/>
  <c r="H351" i="49" a="1"/>
  <c r="H351" i="49" s="1"/>
  <c r="H361" i="49" a="1"/>
  <c r="H361" i="49" s="1"/>
  <c r="H367" i="49" a="1"/>
  <c r="H367" i="49" s="1"/>
  <c r="H373" i="49" a="1"/>
  <c r="H373" i="49" s="1"/>
  <c r="H378" i="49" a="1"/>
  <c r="H378" i="49" s="1"/>
  <c r="H396" i="49" a="1"/>
  <c r="H396" i="49" s="1"/>
  <c r="H402" i="49" a="1"/>
  <c r="H402" i="49" s="1"/>
  <c r="H414" i="49" a="1"/>
  <c r="H414" i="49" s="1"/>
  <c r="H419" i="49" a="1"/>
  <c r="H419" i="49" s="1"/>
  <c r="H425" i="49" a="1"/>
  <c r="H425" i="49" s="1"/>
  <c r="H431" i="49" a="1"/>
  <c r="H431" i="49" s="1"/>
  <c r="H437" i="49" a="1"/>
  <c r="H437" i="49" s="1"/>
  <c r="H442" i="49" a="1"/>
  <c r="H442" i="49" s="1"/>
  <c r="H460" i="49" a="1"/>
  <c r="H460" i="49" s="1"/>
  <c r="H466" i="49" a="1"/>
  <c r="H466" i="49" s="1"/>
  <c r="H478" i="49" a="1"/>
  <c r="H478" i="49" s="1"/>
  <c r="H483" i="49" a="1"/>
  <c r="H483" i="49" s="1"/>
  <c r="H489" i="49" a="1"/>
  <c r="H489" i="49" s="1"/>
  <c r="H12" i="49" a="1"/>
  <c r="H12" i="49" s="1"/>
  <c r="H20" i="49" a="1"/>
  <c r="H20" i="49" s="1"/>
  <c r="H28" i="49" a="1"/>
  <c r="H28" i="49" s="1"/>
  <c r="H34" i="49" a="1"/>
  <c r="H34" i="49" s="1"/>
  <c r="H41" i="49" a="1"/>
  <c r="H41" i="49" s="1"/>
  <c r="H49" i="49" a="1"/>
  <c r="H49" i="49" s="1"/>
  <c r="H57" i="49" a="1"/>
  <c r="H57" i="49" s="1"/>
  <c r="H64" i="49" a="1"/>
  <c r="H64" i="49" s="1"/>
  <c r="H70" i="49" a="1"/>
  <c r="H70" i="49" s="1"/>
  <c r="H78" i="49" a="1"/>
  <c r="H78" i="49" s="1"/>
  <c r="H86" i="49" a="1"/>
  <c r="H86" i="49" s="1"/>
  <c r="H94" i="49" a="1"/>
  <c r="H94" i="49" s="1"/>
  <c r="H101" i="49" a="1"/>
  <c r="H101" i="49" s="1"/>
  <c r="H108" i="49" a="1"/>
  <c r="H108" i="49" s="1"/>
  <c r="H115" i="49" a="1"/>
  <c r="H115" i="49" s="1"/>
  <c r="H123" i="49" a="1"/>
  <c r="H123" i="49" s="1"/>
  <c r="H130" i="49" a="1"/>
  <c r="H130" i="49" s="1"/>
  <c r="H137" i="49" a="1"/>
  <c r="H137" i="49" s="1"/>
  <c r="H145" i="49" a="1"/>
  <c r="H145" i="49" s="1"/>
  <c r="H152" i="49" a="1"/>
  <c r="H152" i="49" s="1"/>
  <c r="H160" i="49" a="1"/>
  <c r="H160" i="49" s="1"/>
  <c r="H166" i="49" a="1"/>
  <c r="H166" i="49" s="1"/>
  <c r="H174" i="49" a="1"/>
  <c r="H174" i="49" s="1"/>
  <c r="H181" i="49" a="1"/>
  <c r="H181" i="49" s="1"/>
  <c r="H189" i="49" a="1"/>
  <c r="H189" i="49" s="1"/>
  <c r="H196" i="49" a="1"/>
  <c r="H196" i="49" s="1"/>
  <c r="H204" i="49" a="1"/>
  <c r="H204" i="49" s="1"/>
  <c r="H211" i="49" a="1"/>
  <c r="H211" i="49" s="1"/>
  <c r="H219" i="49" a="1"/>
  <c r="H219" i="49" s="1"/>
  <c r="H226" i="49" a="1"/>
  <c r="H226" i="49" s="1"/>
  <c r="H234" i="49" a="1"/>
  <c r="H234" i="49" s="1"/>
  <c r="H249" i="49" a="1"/>
  <c r="H249" i="49" s="1"/>
  <c r="H257" i="49" a="1"/>
  <c r="H257" i="49" s="1"/>
  <c r="H264" i="49" a="1"/>
  <c r="H264" i="49" s="1"/>
  <c r="H272" i="49" a="1"/>
  <c r="H272" i="49" s="1"/>
  <c r="H279" i="49" a="1"/>
  <c r="H279" i="49" s="1"/>
  <c r="H287" i="49" a="1"/>
  <c r="H287" i="49" s="1"/>
  <c r="H294" i="49" a="1"/>
  <c r="H294" i="49" s="1"/>
  <c r="H302" i="49" a="1"/>
  <c r="H302" i="49" s="1"/>
  <c r="H309" i="49" a="1"/>
  <c r="H309" i="49" s="1"/>
  <c r="H317" i="49" a="1"/>
  <c r="H317" i="49" s="1"/>
  <c r="H324" i="49" a="1"/>
  <c r="H324" i="49" s="1"/>
  <c r="H330" i="49" a="1"/>
  <c r="H330" i="49" s="1"/>
  <c r="H345" i="49" a="1"/>
  <c r="H345" i="49" s="1"/>
  <c r="H356" i="49" a="1"/>
  <c r="H356" i="49" s="1"/>
  <c r="H362" i="49" a="1"/>
  <c r="H362" i="49" s="1"/>
  <c r="H374" i="49" a="1"/>
  <c r="H374" i="49" s="1"/>
  <c r="H379" i="49" a="1"/>
  <c r="H379" i="49" s="1"/>
  <c r="H385" i="49" a="1"/>
  <c r="H385" i="49" s="1"/>
  <c r="H391" i="49" a="1"/>
  <c r="H391" i="49" s="1"/>
  <c r="H397" i="49" a="1"/>
  <c r="H397" i="49" s="1"/>
  <c r="H403" i="49" a="1"/>
  <c r="H403" i="49" s="1"/>
  <c r="H408" i="49" a="1"/>
  <c r="H408" i="49" s="1"/>
  <c r="H415" i="49" a="1"/>
  <c r="H415" i="49" s="1"/>
  <c r="H420" i="49" a="1"/>
  <c r="H420" i="49" s="1"/>
  <c r="H426" i="49" a="1"/>
  <c r="H426" i="49" s="1"/>
  <c r="H438" i="49" a="1"/>
  <c r="H438" i="49" s="1"/>
  <c r="H443" i="49" a="1"/>
  <c r="H443" i="49" s="1"/>
  <c r="H449" i="49" a="1"/>
  <c r="H449" i="49" s="1"/>
  <c r="H455" i="49" a="1"/>
  <c r="H455" i="49" s="1"/>
  <c r="H6" i="49" a="1"/>
  <c r="H6" i="49" s="1"/>
  <c r="H13" i="49" a="1"/>
  <c r="H13" i="49" s="1"/>
  <c r="H21" i="49" a="1"/>
  <c r="H21" i="49" s="1"/>
  <c r="H29" i="49" a="1"/>
  <c r="H29" i="49" s="1"/>
  <c r="H35" i="49" a="1"/>
  <c r="H35" i="49" s="1"/>
  <c r="H42" i="49" a="1"/>
  <c r="H42" i="49" s="1"/>
  <c r="H50" i="49" a="1"/>
  <c r="H50" i="49" s="1"/>
  <c r="H58" i="49" a="1"/>
  <c r="H58" i="49" s="1"/>
  <c r="H65" i="49" a="1"/>
  <c r="H65" i="49" s="1"/>
  <c r="H71" i="49" a="1"/>
  <c r="H71" i="49" s="1"/>
  <c r="H79" i="49" a="1"/>
  <c r="H79" i="49" s="1"/>
  <c r="H87" i="49" a="1"/>
  <c r="H87" i="49" s="1"/>
  <c r="H95" i="49" a="1"/>
  <c r="H95" i="49" s="1"/>
  <c r="H109" i="49" a="1"/>
  <c r="H109" i="49" s="1"/>
  <c r="H116" i="49" a="1"/>
  <c r="H116" i="49" s="1"/>
  <c r="H124" i="49" a="1"/>
  <c r="H124" i="49" s="1"/>
  <c r="H131" i="49" a="1"/>
  <c r="H131" i="49" s="1"/>
  <c r="H138" i="49" a="1"/>
  <c r="H138" i="49" s="1"/>
  <c r="H153" i="49" a="1"/>
  <c r="H153" i="49" s="1"/>
  <c r="H161" i="49" a="1"/>
  <c r="H161" i="49" s="1"/>
  <c r="H167" i="49" a="1"/>
  <c r="H167" i="49" s="1"/>
  <c r="H175" i="49" a="1"/>
  <c r="H175" i="49" s="1"/>
  <c r="H182" i="49" a="1"/>
  <c r="H182" i="49" s="1"/>
  <c r="H190" i="49" a="1"/>
  <c r="H190" i="49" s="1"/>
  <c r="H197" i="49" a="1"/>
  <c r="H197" i="49" s="1"/>
  <c r="H205" i="49" a="1"/>
  <c r="H205" i="49" s="1"/>
  <c r="H212" i="49" a="1"/>
  <c r="H212" i="49" s="1"/>
  <c r="H220" i="49" a="1"/>
  <c r="H220" i="49" s="1"/>
  <c r="H227" i="49" a="1"/>
  <c r="H227" i="49" s="1"/>
  <c r="H235" i="49" a="1"/>
  <c r="H235" i="49" s="1"/>
  <c r="H242" i="49" a="1"/>
  <c r="H242" i="49" s="1"/>
  <c r="H250" i="49" a="1"/>
  <c r="H250" i="49" s="1"/>
  <c r="H265" i="49" a="1"/>
  <c r="H265" i="49" s="1"/>
  <c r="H273" i="49" a="1"/>
  <c r="H273" i="49" s="1"/>
  <c r="H280" i="49" a="1"/>
  <c r="H280" i="49" s="1"/>
  <c r="H288" i="49" a="1"/>
  <c r="H288" i="49" s="1"/>
  <c r="H295" i="49" a="1"/>
  <c r="H295" i="49" s="1"/>
  <c r="H303" i="49" a="1"/>
  <c r="H303" i="49" s="1"/>
  <c r="H310" i="49" a="1"/>
  <c r="H310" i="49" s="1"/>
  <c r="H318" i="49" a="1"/>
  <c r="H318" i="49" s="1"/>
  <c r="H325" i="49" a="1"/>
  <c r="H325" i="49" s="1"/>
  <c r="H331" i="49" a="1"/>
  <c r="H331" i="49" s="1"/>
  <c r="H338" i="49" a="1"/>
  <c r="H338" i="49" s="1"/>
  <c r="H346" i="49" a="1"/>
  <c r="H346" i="49" s="1"/>
  <c r="H352" i="49" a="1"/>
  <c r="H352" i="49" s="1"/>
  <c r="H357" i="49" a="1"/>
  <c r="H357" i="49" s="1"/>
  <c r="H363" i="49" a="1"/>
  <c r="H363" i="49" s="1"/>
  <c r="H368" i="49" a="1"/>
  <c r="H368" i="49" s="1"/>
  <c r="H380" i="49" a="1"/>
  <c r="H380" i="49" s="1"/>
  <c r="H386" i="49" a="1"/>
  <c r="H386" i="49" s="1"/>
  <c r="H392" i="49" a="1"/>
  <c r="H392" i="49" s="1"/>
  <c r="H398" i="49" a="1"/>
  <c r="H398" i="49" s="1"/>
  <c r="H404" i="49" a="1"/>
  <c r="H404" i="49" s="1"/>
  <c r="H421" i="49" a="1"/>
  <c r="H421" i="49" s="1"/>
  <c r="H427" i="49" a="1"/>
  <c r="H427" i="49" s="1"/>
  <c r="H432" i="49" a="1"/>
  <c r="H432" i="49" s="1"/>
  <c r="H444" i="49" a="1"/>
  <c r="H444" i="49" s="1"/>
  <c r="H450" i="49" a="1"/>
  <c r="H450" i="49" s="1"/>
  <c r="H456" i="49" a="1"/>
  <c r="H456" i="49" s="1"/>
  <c r="H462" i="49" a="1"/>
  <c r="H462" i="49" s="1"/>
  <c r="H7" i="49" a="1"/>
  <c r="H7" i="49" s="1"/>
  <c r="H14" i="49" a="1"/>
  <c r="H14" i="49" s="1"/>
  <c r="H22" i="49" a="1"/>
  <c r="H22" i="49" s="1"/>
  <c r="H36" i="49" a="1"/>
  <c r="H36" i="49" s="1"/>
  <c r="H43" i="49" a="1"/>
  <c r="H43" i="49" s="1"/>
  <c r="H51" i="49" a="1"/>
  <c r="H51" i="49" s="1"/>
  <c r="H59" i="49" a="1"/>
  <c r="H59" i="49" s="1"/>
  <c r="H72" i="49" a="1"/>
  <c r="H72" i="49" s="1"/>
  <c r="H80" i="49" a="1"/>
  <c r="H80" i="49" s="1"/>
  <c r="H88" i="49" a="1"/>
  <c r="H88" i="49" s="1"/>
  <c r="H96" i="49" a="1"/>
  <c r="H96" i="49" s="1"/>
  <c r="H102" i="49" a="1"/>
  <c r="H102" i="49" s="1"/>
  <c r="H110" i="49" a="1"/>
  <c r="H110" i="49" s="1"/>
  <c r="H117" i="49" a="1"/>
  <c r="H117" i="49" s="1"/>
  <c r="H125" i="49" a="1"/>
  <c r="H125" i="49" s="1"/>
  <c r="H132" i="49" a="1"/>
  <c r="H132" i="49" s="1"/>
  <c r="H139" i="49" a="1"/>
  <c r="H139" i="49" s="1"/>
  <c r="H146" i="49" a="1"/>
  <c r="H146" i="49" s="1"/>
  <c r="H154" i="49" a="1"/>
  <c r="H154" i="49" s="1"/>
  <c r="H168" i="49" a="1"/>
  <c r="H168" i="49" s="1"/>
  <c r="H176" i="49" a="1"/>
  <c r="H176" i="49" s="1"/>
  <c r="H183" i="49" a="1"/>
  <c r="H183" i="49" s="1"/>
  <c r="H191" i="49" a="1"/>
  <c r="H191" i="49" s="1"/>
  <c r="H198" i="49" a="1"/>
  <c r="H198" i="49" s="1"/>
  <c r="H206" i="49" a="1"/>
  <c r="H206" i="49" s="1"/>
  <c r="H213" i="49" a="1"/>
  <c r="H213" i="49" s="1"/>
  <c r="H221" i="49" a="1"/>
  <c r="H221" i="49" s="1"/>
  <c r="H228" i="49" a="1"/>
  <c r="H228" i="49" s="1"/>
  <c r="H236" i="49" a="1"/>
  <c r="H236" i="49" s="1"/>
  <c r="H243" i="49" a="1"/>
  <c r="H243" i="49" s="1"/>
  <c r="H251" i="49" a="1"/>
  <c r="H251" i="49" s="1"/>
  <c r="H258" i="49" a="1"/>
  <c r="H258" i="49" s="1"/>
  <c r="H266" i="49" a="1"/>
  <c r="H266" i="49" s="1"/>
  <c r="H281" i="49" a="1"/>
  <c r="H281" i="49" s="1"/>
  <c r="H289" i="49" a="1"/>
  <c r="H289" i="49" s="1"/>
  <c r="H296" i="49" a="1"/>
  <c r="H296" i="49" s="1"/>
  <c r="H304" i="49" a="1"/>
  <c r="H304" i="49" s="1"/>
  <c r="H311" i="49" a="1"/>
  <c r="H311" i="49" s="1"/>
  <c r="H319" i="49" a="1"/>
  <c r="H319" i="49" s="1"/>
  <c r="H332" i="49" a="1"/>
  <c r="H332" i="49" s="1"/>
  <c r="H339" i="49" a="1"/>
  <c r="H339" i="49" s="1"/>
  <c r="H358" i="49" a="1"/>
  <c r="H358" i="49" s="1"/>
  <c r="H369" i="49" a="1"/>
  <c r="H369" i="49" s="1"/>
  <c r="H375" i="49" a="1"/>
  <c r="H375" i="49" s="1"/>
  <c r="H381" i="49" a="1"/>
  <c r="H381" i="49" s="1"/>
  <c r="H409" i="49" a="1"/>
  <c r="H409" i="49" s="1"/>
  <c r="H416" i="49" a="1"/>
  <c r="H416" i="49" s="1"/>
  <c r="H422" i="49" a="1"/>
  <c r="H422" i="49" s="1"/>
  <c r="H433" i="49" a="1"/>
  <c r="H433" i="49" s="1"/>
  <c r="H439" i="49" a="1"/>
  <c r="H439" i="49" s="1"/>
  <c r="H445" i="49" a="1"/>
  <c r="H445" i="49" s="1"/>
  <c r="H473" i="49" a="1"/>
  <c r="H473" i="49" s="1"/>
  <c r="H480" i="49" a="1"/>
  <c r="H480" i="49" s="1"/>
  <c r="H486" i="49" a="1"/>
  <c r="H486" i="49" s="1"/>
  <c r="H497" i="49" a="1"/>
  <c r="H497" i="49" s="1"/>
  <c r="H503" i="49" a="1"/>
  <c r="H503" i="49" s="1"/>
  <c r="H509" i="49" a="1"/>
  <c r="H509" i="49" s="1"/>
  <c r="H521" i="49" a="1"/>
  <c r="H521" i="49" s="1"/>
  <c r="H527" i="49" a="1"/>
  <c r="H527" i="49" s="1"/>
  <c r="H534" i="49" a="1"/>
  <c r="H534" i="49" s="1"/>
  <c r="H540" i="49" a="1"/>
  <c r="H540" i="49" s="1"/>
  <c r="H546" i="49" a="1"/>
  <c r="H546" i="49" s="1"/>
  <c r="H565" i="49" a="1"/>
  <c r="H565" i="49" s="1"/>
  <c r="H571" i="49" a="1"/>
  <c r="H571" i="49" s="1"/>
  <c r="H8" i="49" a="1"/>
  <c r="H8" i="49" s="1"/>
  <c r="H15" i="49" a="1"/>
  <c r="H15" i="49" s="1"/>
  <c r="H23" i="49" a="1"/>
  <c r="H23" i="49" s="1"/>
  <c r="H30" i="49" a="1"/>
  <c r="H30" i="49" s="1"/>
  <c r="H37" i="49" a="1"/>
  <c r="H37" i="49" s="1"/>
  <c r="H44" i="49" a="1"/>
  <c r="H44" i="49" s="1"/>
  <c r="H52" i="49" a="1"/>
  <c r="H52" i="49" s="1"/>
  <c r="H60" i="49" a="1"/>
  <c r="H60" i="49" s="1"/>
  <c r="H66" i="49" a="1"/>
  <c r="H66" i="49" s="1"/>
  <c r="H73" i="49" a="1"/>
  <c r="H73" i="49" s="1"/>
  <c r="H81" i="49" a="1"/>
  <c r="H81" i="49" s="1"/>
  <c r="H89" i="49" a="1"/>
  <c r="H89" i="49" s="1"/>
  <c r="H97" i="49" a="1"/>
  <c r="H97" i="49" s="1"/>
  <c r="H103" i="49" a="1"/>
  <c r="H103" i="49" s="1"/>
  <c r="H111" i="49" a="1"/>
  <c r="H111" i="49" s="1"/>
  <c r="H118" i="49" a="1"/>
  <c r="H118" i="49" s="1"/>
  <c r="H126" i="49" a="1"/>
  <c r="H126" i="49" s="1"/>
  <c r="H133" i="49" a="1"/>
  <c r="H133" i="49" s="1"/>
  <c r="H140" i="49" a="1"/>
  <c r="H140" i="49" s="1"/>
  <c r="H147" i="49" a="1"/>
  <c r="H147" i="49" s="1"/>
  <c r="H155" i="49" a="1"/>
  <c r="H155" i="49" s="1"/>
  <c r="H162" i="49" a="1"/>
  <c r="H162" i="49" s="1"/>
  <c r="H169" i="49" a="1"/>
  <c r="H169" i="49" s="1"/>
  <c r="H177" i="49" a="1"/>
  <c r="H177" i="49" s="1"/>
  <c r="H184" i="49" a="1"/>
  <c r="H184" i="49" s="1"/>
  <c r="H192" i="49" a="1"/>
  <c r="H192" i="49" s="1"/>
  <c r="H199" i="49" a="1"/>
  <c r="H199" i="49" s="1"/>
  <c r="H207" i="49" a="1"/>
  <c r="H207" i="49" s="1"/>
  <c r="H214" i="49" a="1"/>
  <c r="H214" i="49" s="1"/>
  <c r="H222" i="49" a="1"/>
  <c r="H222" i="49" s="1"/>
  <c r="H229" i="49" a="1"/>
  <c r="H229" i="49" s="1"/>
  <c r="H237" i="49" a="1"/>
  <c r="H237" i="49" s="1"/>
  <c r="H244" i="49" a="1"/>
  <c r="H244" i="49" s="1"/>
  <c r="H252" i="49" a="1"/>
  <c r="H252" i="49" s="1"/>
  <c r="H259" i="49" a="1"/>
  <c r="H259" i="49" s="1"/>
  <c r="H267" i="49" a="1"/>
  <c r="H267" i="49" s="1"/>
  <c r="H274" i="49" a="1"/>
  <c r="H274" i="49" s="1"/>
  <c r="H282" i="49" a="1"/>
  <c r="H282" i="49" s="1"/>
  <c r="H297" i="49" a="1"/>
  <c r="H297" i="49" s="1"/>
  <c r="H305" i="49" a="1"/>
  <c r="H305" i="49" s="1"/>
  <c r="H312" i="49" a="1"/>
  <c r="H312" i="49" s="1"/>
  <c r="H320" i="49" a="1"/>
  <c r="H320" i="49" s="1"/>
  <c r="H326" i="49" a="1"/>
  <c r="H326" i="49" s="1"/>
  <c r="H333" i="49" a="1"/>
  <c r="H333" i="49" s="1"/>
  <c r="H340" i="49" a="1"/>
  <c r="H340" i="49" s="1"/>
  <c r="H347" i="49" a="1"/>
  <c r="H347" i="49" s="1"/>
  <c r="H353" i="49" a="1"/>
  <c r="H353" i="49" s="1"/>
  <c r="H364" i="49" a="1"/>
  <c r="H364" i="49" s="1"/>
  <c r="H370" i="49" a="1"/>
  <c r="H370" i="49" s="1"/>
  <c r="H382" i="49" a="1"/>
  <c r="H382" i="49" s="1"/>
  <c r="H387" i="49" a="1"/>
  <c r="H387" i="49" s="1"/>
  <c r="H393" i="49" a="1"/>
  <c r="H393" i="49" s="1"/>
  <c r="H399" i="49" a="1"/>
  <c r="H399" i="49" s="1"/>
  <c r="H405" i="49" a="1"/>
  <c r="H405" i="49" s="1"/>
  <c r="H410" i="49" a="1"/>
  <c r="H410" i="49" s="1"/>
  <c r="H428" i="49" a="1"/>
  <c r="H428" i="49" s="1"/>
  <c r="H434" i="49" a="1"/>
  <c r="H434" i="49" s="1"/>
  <c r="H446" i="49" a="1"/>
  <c r="H446" i="49" s="1"/>
  <c r="H451" i="49" a="1"/>
  <c r="H451" i="49" s="1"/>
  <c r="H457" i="49" a="1"/>
  <c r="H457" i="49" s="1"/>
  <c r="H463" i="49" a="1"/>
  <c r="H463" i="49" s="1"/>
  <c r="H9" i="49" a="1"/>
  <c r="H9" i="49" s="1"/>
  <c r="H16" i="49" a="1"/>
  <c r="H16" i="49" s="1"/>
  <c r="H24" i="49" a="1"/>
  <c r="H24" i="49" s="1"/>
  <c r="H31" i="49" a="1"/>
  <c r="H31" i="49" s="1"/>
  <c r="H45" i="49" a="1"/>
  <c r="H45" i="49" s="1"/>
  <c r="H53" i="49" a="1"/>
  <c r="H53" i="49" s="1"/>
  <c r="H61" i="49" a="1"/>
  <c r="H61" i="49" s="1"/>
  <c r="H67" i="49" a="1"/>
  <c r="H67" i="49" s="1"/>
  <c r="H74" i="49" a="1"/>
  <c r="H74" i="49" s="1"/>
  <c r="H82" i="49" a="1"/>
  <c r="H82" i="49" s="1"/>
  <c r="H90" i="49" a="1"/>
  <c r="H90" i="49" s="1"/>
  <c r="H104" i="49" a="1"/>
  <c r="H104" i="49" s="1"/>
  <c r="H112" i="49" a="1"/>
  <c r="H112" i="49" s="1"/>
  <c r="H119" i="49" a="1"/>
  <c r="H119" i="49" s="1"/>
  <c r="H127" i="49" a="1"/>
  <c r="H127" i="49" s="1"/>
  <c r="H141" i="49" a="1"/>
  <c r="H141" i="49" s="1"/>
  <c r="H148" i="49" a="1"/>
  <c r="H148" i="49" s="1"/>
  <c r="H156" i="49" a="1"/>
  <c r="H156" i="49" s="1"/>
  <c r="H163" i="49" a="1"/>
  <c r="H163" i="49" s="1"/>
  <c r="H170" i="49" a="1"/>
  <c r="H170" i="49" s="1"/>
  <c r="H185" i="49" a="1"/>
  <c r="H185" i="49" s="1"/>
  <c r="H193" i="49" a="1"/>
  <c r="H193" i="49" s="1"/>
  <c r="H200" i="49" a="1"/>
  <c r="H200" i="49" s="1"/>
  <c r="H208" i="49" a="1"/>
  <c r="H208" i="49" s="1"/>
  <c r="H215" i="49" a="1"/>
  <c r="H215" i="49" s="1"/>
  <c r="H223" i="49" a="1"/>
  <c r="H223" i="49" s="1"/>
  <c r="H230" i="49" a="1"/>
  <c r="H230" i="49" s="1"/>
  <c r="H238" i="49" a="1"/>
  <c r="H238" i="49" s="1"/>
  <c r="H245" i="49" a="1"/>
  <c r="H245" i="49" s="1"/>
  <c r="H253" i="49" a="1"/>
  <c r="H253" i="49" s="1"/>
  <c r="H260" i="49" a="1"/>
  <c r="H260" i="49" s="1"/>
  <c r="H268" i="49" a="1"/>
  <c r="H268" i="49" s="1"/>
  <c r="H275" i="49" a="1"/>
  <c r="H275" i="49" s="1"/>
  <c r="H283" i="49" a="1"/>
  <c r="H283" i="49" s="1"/>
  <c r="H290" i="49" a="1"/>
  <c r="H290" i="49" s="1"/>
  <c r="H298" i="49" a="1"/>
  <c r="H298" i="49" s="1"/>
  <c r="H313" i="49" a="1"/>
  <c r="H313" i="49" s="1"/>
  <c r="H321" i="49" a="1"/>
  <c r="H321" i="49" s="1"/>
  <c r="H327" i="49" a="1"/>
  <c r="H327" i="49" s="1"/>
  <c r="H334" i="49" a="1"/>
  <c r="H334" i="49" s="1"/>
  <c r="H341" i="49" a="1"/>
  <c r="H341" i="49" s="1"/>
  <c r="H348" i="49" a="1"/>
  <c r="H348" i="49" s="1"/>
  <c r="H354" i="49" a="1"/>
  <c r="H354" i="49" s="1"/>
  <c r="H359" i="49" a="1"/>
  <c r="H359" i="49" s="1"/>
  <c r="H365" i="49" a="1"/>
  <c r="H365" i="49" s="1"/>
  <c r="H371" i="49" a="1"/>
  <c r="H371" i="49" s="1"/>
  <c r="H376" i="49" a="1"/>
  <c r="H376" i="49" s="1"/>
  <c r="H383" i="49" a="1"/>
  <c r="H383" i="49" s="1"/>
  <c r="H388" i="49" a="1"/>
  <c r="H388" i="49" s="1"/>
  <c r="H394" i="49" a="1"/>
  <c r="H394" i="49" s="1"/>
  <c r="H406" i="49" a="1"/>
  <c r="H406" i="49" s="1"/>
  <c r="H411" i="49" a="1"/>
  <c r="H411" i="49" s="1"/>
  <c r="H417" i="49" a="1"/>
  <c r="H417" i="49" s="1"/>
  <c r="H423" i="49" a="1"/>
  <c r="H423" i="49" s="1"/>
  <c r="H429" i="49" a="1"/>
  <c r="H429" i="49" s="1"/>
  <c r="H435" i="49" a="1"/>
  <c r="H435" i="49" s="1"/>
  <c r="H440" i="49" a="1"/>
  <c r="H440" i="49" s="1"/>
  <c r="H447" i="49" a="1"/>
  <c r="H447" i="49" s="1"/>
  <c r="H452" i="49" a="1"/>
  <c r="H452" i="49" s="1"/>
  <c r="H458" i="49" a="1"/>
  <c r="H458" i="49" s="1"/>
  <c r="H470" i="49" a="1"/>
  <c r="H470" i="49" s="1"/>
  <c r="H475" i="49" a="1"/>
  <c r="H475" i="49" s="1"/>
  <c r="H472" i="49" a="1"/>
  <c r="H472" i="49" s="1"/>
  <c r="H485" i="49" a="1"/>
  <c r="H485" i="49" s="1"/>
  <c r="H504" i="49" a="1"/>
  <c r="H504" i="49" s="1"/>
  <c r="H514" i="49" a="1"/>
  <c r="H514" i="49" s="1"/>
  <c r="H541" i="49" a="1"/>
  <c r="H541" i="49" s="1"/>
  <c r="H547" i="49" a="1"/>
  <c r="H547" i="49" s="1"/>
  <c r="H555" i="49" a="1"/>
  <c r="H555" i="49" s="1"/>
  <c r="H562" i="49" a="1"/>
  <c r="H562" i="49" s="1"/>
  <c r="H568" i="49" a="1"/>
  <c r="H568" i="49" s="1"/>
  <c r="H576" i="49" a="1"/>
  <c r="H576" i="49" s="1"/>
  <c r="H582" i="49" a="1"/>
  <c r="H582" i="49" s="1"/>
  <c r="H588" i="49" a="1"/>
  <c r="H588" i="49" s="1"/>
  <c r="H595" i="49" a="1"/>
  <c r="H595" i="49" s="1"/>
  <c r="H600" i="49" a="1"/>
  <c r="H600" i="49" s="1"/>
  <c r="H613" i="49" a="1"/>
  <c r="H613" i="49" s="1"/>
  <c r="H619" i="49" a="1"/>
  <c r="H619" i="49" s="1"/>
  <c r="H630" i="49" a="1"/>
  <c r="H630" i="49" s="1"/>
  <c r="H644" i="49" a="1"/>
  <c r="H644" i="49" s="1"/>
  <c r="H649" i="49" a="1"/>
  <c r="H649" i="49" s="1"/>
  <c r="H658" i="49" a="1"/>
  <c r="H658" i="49" s="1"/>
  <c r="H667" i="49" a="1"/>
  <c r="H667" i="49" s="1"/>
  <c r="H676" i="49" a="1"/>
  <c r="H676" i="49" s="1"/>
  <c r="H681" i="49" a="1"/>
  <c r="H681" i="49" s="1"/>
  <c r="H690" i="49" a="1"/>
  <c r="H690" i="49" s="1"/>
  <c r="H699" i="49" a="1"/>
  <c r="H699" i="49" s="1"/>
  <c r="H708" i="49" a="1"/>
  <c r="H708" i="49" s="1"/>
  <c r="H713" i="49" a="1"/>
  <c r="H713" i="49" s="1"/>
  <c r="H722" i="49" a="1"/>
  <c r="H722" i="49" s="1"/>
  <c r="H731" i="49" a="1"/>
  <c r="H731" i="49" s="1"/>
  <c r="H740" i="49" a="1"/>
  <c r="H740" i="49" s="1"/>
  <c r="H745" i="49" a="1"/>
  <c r="H745" i="49" s="1"/>
  <c r="H754" i="49" a="1"/>
  <c r="H754" i="49" s="1"/>
  <c r="H763" i="49" a="1"/>
  <c r="H763" i="49" s="1"/>
  <c r="H772" i="49" a="1"/>
  <c r="H772" i="49" s="1"/>
  <c r="H777" i="49" a="1"/>
  <c r="H777" i="49" s="1"/>
  <c r="H786" i="49" a="1"/>
  <c r="H786" i="49" s="1"/>
  <c r="H795" i="49" a="1"/>
  <c r="H795" i="49" s="1"/>
  <c r="H804" i="49" a="1"/>
  <c r="H804" i="49" s="1"/>
  <c r="H809" i="49" a="1"/>
  <c r="H809" i="49" s="1"/>
  <c r="H818" i="49" a="1"/>
  <c r="H818" i="49" s="1"/>
  <c r="H827" i="49" a="1"/>
  <c r="H827" i="49" s="1"/>
  <c r="H836" i="49" a="1"/>
  <c r="H836" i="49" s="1"/>
  <c r="H841" i="49" a="1"/>
  <c r="H841" i="49" s="1"/>
  <c r="H850" i="49" a="1"/>
  <c r="H850" i="49" s="1"/>
  <c r="H859" i="49" a="1"/>
  <c r="H859" i="49" s="1"/>
  <c r="H868" i="49" a="1"/>
  <c r="H868" i="49" s="1"/>
  <c r="H872" i="49" a="1"/>
  <c r="H872" i="49" s="1"/>
  <c r="G7" i="49" a="1"/>
  <c r="G7" i="49" s="1"/>
  <c r="G14" i="49" a="1"/>
  <c r="G14" i="49" s="1"/>
  <c r="G20" i="49" a="1"/>
  <c r="G20" i="49" s="1"/>
  <c r="G27" i="49" a="1"/>
  <c r="G27" i="49" s="1"/>
  <c r="G34" i="49" a="1"/>
  <c r="G34" i="49" s="1"/>
  <c r="G40" i="49" a="1"/>
  <c r="G40" i="49" s="1"/>
  <c r="G61" i="49" a="1"/>
  <c r="G61" i="49" s="1"/>
  <c r="G67" i="49" a="1"/>
  <c r="G67" i="49" s="1"/>
  <c r="H496" i="49" a="1"/>
  <c r="H496" i="49" s="1"/>
  <c r="H506" i="49" a="1"/>
  <c r="H506" i="49" s="1"/>
  <c r="H515" i="49" a="1"/>
  <c r="H515" i="49" s="1"/>
  <c r="H525" i="49" a="1"/>
  <c r="H525" i="49" s="1"/>
  <c r="H533" i="49" a="1"/>
  <c r="H533" i="49" s="1"/>
  <c r="H542" i="49" a="1"/>
  <c r="H542" i="49" s="1"/>
  <c r="H548" i="49" a="1"/>
  <c r="H548" i="49" s="1"/>
  <c r="H563" i="49" a="1"/>
  <c r="H563" i="49" s="1"/>
  <c r="H569" i="49" a="1"/>
  <c r="H569" i="49" s="1"/>
  <c r="H583" i="49" a="1"/>
  <c r="H583" i="49" s="1"/>
  <c r="H589" i="49" a="1"/>
  <c r="H589" i="49" s="1"/>
  <c r="H596" i="49" a="1"/>
  <c r="H596" i="49" s="1"/>
  <c r="H601" i="49" a="1"/>
  <c r="H601" i="49" s="1"/>
  <c r="H608" i="49" a="1"/>
  <c r="H608" i="49" s="1"/>
  <c r="H614" i="49" a="1"/>
  <c r="H614" i="49" s="1"/>
  <c r="H625" i="49" a="1"/>
  <c r="H625" i="49" s="1"/>
  <c r="H635" i="49" a="1"/>
  <c r="H635" i="49" s="1"/>
  <c r="H640" i="49" a="1"/>
  <c r="H640" i="49" s="1"/>
  <c r="H645" i="49" a="1"/>
  <c r="H645" i="49" s="1"/>
  <c r="H654" i="49" a="1"/>
  <c r="H654" i="49" s="1"/>
  <c r="H663" i="49" a="1"/>
  <c r="H663" i="49" s="1"/>
  <c r="H672" i="49" a="1"/>
  <c r="H672" i="49" s="1"/>
  <c r="H677" i="49" a="1"/>
  <c r="H677" i="49" s="1"/>
  <c r="H686" i="49" a="1"/>
  <c r="H686" i="49" s="1"/>
  <c r="H695" i="49" a="1"/>
  <c r="H695" i="49" s="1"/>
  <c r="H704" i="49" a="1"/>
  <c r="H704" i="49" s="1"/>
  <c r="H709" i="49" a="1"/>
  <c r="H709" i="49" s="1"/>
  <c r="H718" i="49" a="1"/>
  <c r="H718" i="49" s="1"/>
  <c r="H727" i="49" a="1"/>
  <c r="H727" i="49" s="1"/>
  <c r="H736" i="49" a="1"/>
  <c r="H736" i="49" s="1"/>
  <c r="H741" i="49" a="1"/>
  <c r="H741" i="49" s="1"/>
  <c r="H750" i="49" a="1"/>
  <c r="H750" i="49" s="1"/>
  <c r="H759" i="49" a="1"/>
  <c r="H759" i="49" s="1"/>
  <c r="H768" i="49" a="1"/>
  <c r="H768" i="49" s="1"/>
  <c r="H773" i="49" a="1"/>
  <c r="H773" i="49" s="1"/>
  <c r="H782" i="49" a="1"/>
  <c r="H782" i="49" s="1"/>
  <c r="H791" i="49" a="1"/>
  <c r="H791" i="49" s="1"/>
  <c r="H800" i="49" a="1"/>
  <c r="H800" i="49" s="1"/>
  <c r="H805" i="49" a="1"/>
  <c r="H805" i="49" s="1"/>
  <c r="H814" i="49" a="1"/>
  <c r="H814" i="49" s="1"/>
  <c r="H823" i="49" a="1"/>
  <c r="H823" i="49" s="1"/>
  <c r="H832" i="49" a="1"/>
  <c r="H832" i="49" s="1"/>
  <c r="H837" i="49" a="1"/>
  <c r="H837" i="49" s="1"/>
  <c r="H846" i="49" a="1"/>
  <c r="H846" i="49" s="1"/>
  <c r="H855" i="49" a="1"/>
  <c r="H855" i="49" s="1"/>
  <c r="H864" i="49" a="1"/>
  <c r="H864" i="49" s="1"/>
  <c r="G15" i="49" a="1"/>
  <c r="G15" i="49" s="1"/>
  <c r="G21" i="49" a="1"/>
  <c r="G21" i="49" s="1"/>
  <c r="G28" i="49" a="1"/>
  <c r="G28" i="49" s="1"/>
  <c r="G35" i="49" a="1"/>
  <c r="G35" i="49" s="1"/>
  <c r="G41" i="49" a="1"/>
  <c r="G41" i="49" s="1"/>
  <c r="G48" i="49" a="1"/>
  <c r="G48" i="49" s="1"/>
  <c r="G54" i="49" a="1"/>
  <c r="G54" i="49" s="1"/>
  <c r="H474" i="49" a="1"/>
  <c r="H474" i="49" s="1"/>
  <c r="H487" i="49" a="1"/>
  <c r="H487" i="49" s="1"/>
  <c r="H498" i="49" a="1"/>
  <c r="H498" i="49" s="1"/>
  <c r="H507" i="49" a="1"/>
  <c r="H507" i="49" s="1"/>
  <c r="H516" i="49" a="1"/>
  <c r="H516" i="49" s="1"/>
  <c r="H526" i="49" a="1"/>
  <c r="H526" i="49" s="1"/>
  <c r="H543" i="49" a="1"/>
  <c r="H543" i="49" s="1"/>
  <c r="H549" i="49" a="1"/>
  <c r="H549" i="49" s="1"/>
  <c r="H556" i="49" a="1"/>
  <c r="H556" i="49" s="1"/>
  <c r="H564" i="49" a="1"/>
  <c r="H564" i="49" s="1"/>
  <c r="H570" i="49" a="1"/>
  <c r="H570" i="49" s="1"/>
  <c r="H577" i="49" a="1"/>
  <c r="H577" i="49" s="1"/>
  <c r="H584" i="49" a="1"/>
  <c r="H584" i="49" s="1"/>
  <c r="H590" i="49" a="1"/>
  <c r="H590" i="49" s="1"/>
  <c r="H602" i="49" a="1"/>
  <c r="H602" i="49" s="1"/>
  <c r="H615" i="49" a="1"/>
  <c r="H615" i="49" s="1"/>
  <c r="H620" i="49" a="1"/>
  <c r="H620" i="49" s="1"/>
  <c r="H626" i="49" a="1"/>
  <c r="H626" i="49" s="1"/>
  <c r="H631" i="49" a="1"/>
  <c r="H631" i="49" s="1"/>
  <c r="H636" i="49" a="1"/>
  <c r="H636" i="49" s="1"/>
  <c r="H650" i="49" a="1"/>
  <c r="H650" i="49" s="1"/>
  <c r="H659" i="49" a="1"/>
  <c r="H659" i="49" s="1"/>
  <c r="H668" i="49" a="1"/>
  <c r="H668" i="49" s="1"/>
  <c r="H673" i="49" a="1"/>
  <c r="H673" i="49" s="1"/>
  <c r="H682" i="49" a="1"/>
  <c r="H682" i="49" s="1"/>
  <c r="H691" i="49" a="1"/>
  <c r="H691" i="49" s="1"/>
  <c r="H700" i="49" a="1"/>
  <c r="H700" i="49" s="1"/>
  <c r="H705" i="49" a="1"/>
  <c r="H705" i="49" s="1"/>
  <c r="H714" i="49" a="1"/>
  <c r="H714" i="49" s="1"/>
  <c r="H723" i="49" a="1"/>
  <c r="H723" i="49" s="1"/>
  <c r="H732" i="49" a="1"/>
  <c r="H732" i="49" s="1"/>
  <c r="H737" i="49" a="1"/>
  <c r="H737" i="49" s="1"/>
  <c r="H746" i="49" a="1"/>
  <c r="H746" i="49" s="1"/>
  <c r="H755" i="49" a="1"/>
  <c r="H755" i="49" s="1"/>
  <c r="H764" i="49" a="1"/>
  <c r="H764" i="49" s="1"/>
  <c r="H769" i="49" a="1"/>
  <c r="H769" i="49" s="1"/>
  <c r="H778" i="49" a="1"/>
  <c r="H778" i="49" s="1"/>
  <c r="H787" i="49" a="1"/>
  <c r="H787" i="49" s="1"/>
  <c r="H796" i="49" a="1"/>
  <c r="H796" i="49" s="1"/>
  <c r="H801" i="49" a="1"/>
  <c r="H801" i="49" s="1"/>
  <c r="H810" i="49" a="1"/>
  <c r="H810" i="49" s="1"/>
  <c r="H819" i="49" a="1"/>
  <c r="H819" i="49" s="1"/>
  <c r="H828" i="49" a="1"/>
  <c r="H828" i="49" s="1"/>
  <c r="H833" i="49" a="1"/>
  <c r="H833" i="49" s="1"/>
  <c r="H842" i="49" a="1"/>
  <c r="H842" i="49" s="1"/>
  <c r="H851" i="49" a="1"/>
  <c r="H851" i="49" s="1"/>
  <c r="H860" i="49" a="1"/>
  <c r="H860" i="49" s="1"/>
  <c r="H865" i="49" a="1"/>
  <c r="H865" i="49" s="1"/>
  <c r="H869" i="49" a="1"/>
  <c r="H869" i="49" s="1"/>
  <c r="H873" i="49" a="1"/>
  <c r="H873" i="49" s="1"/>
  <c r="G8" i="49" a="1"/>
  <c r="G8" i="49" s="1"/>
  <c r="G29" i="49" a="1"/>
  <c r="G29" i="49" s="1"/>
  <c r="G42" i="49" a="1"/>
  <c r="G42" i="49" s="1"/>
  <c r="G49" i="49" a="1"/>
  <c r="G49" i="49" s="1"/>
  <c r="H479" i="49" a="1"/>
  <c r="H479" i="49" s="1"/>
  <c r="H490" i="49" a="1"/>
  <c r="H490" i="49" s="1"/>
  <c r="H499" i="49" a="1"/>
  <c r="H499" i="49" s="1"/>
  <c r="H508" i="49" a="1"/>
  <c r="H508" i="49" s="1"/>
  <c r="H519" i="49" a="1"/>
  <c r="H519" i="49" s="1"/>
  <c r="H535" i="49" a="1"/>
  <c r="H535" i="49" s="1"/>
  <c r="H550" i="49" a="1"/>
  <c r="H550" i="49" s="1"/>
  <c r="H557" i="49" a="1"/>
  <c r="H557" i="49" s="1"/>
  <c r="H572" i="49" a="1"/>
  <c r="H572" i="49" s="1"/>
  <c r="H578" i="49" a="1"/>
  <c r="H578" i="49" s="1"/>
  <c r="H597" i="49" a="1"/>
  <c r="H597" i="49" s="1"/>
  <c r="H603" i="49" a="1"/>
  <c r="H603" i="49" s="1"/>
  <c r="H609" i="49" a="1"/>
  <c r="H609" i="49" s="1"/>
  <c r="H621" i="49" a="1"/>
  <c r="H621" i="49" s="1"/>
  <c r="H627" i="49" a="1"/>
  <c r="H627" i="49" s="1"/>
  <c r="H641" i="49" a="1"/>
  <c r="H641" i="49" s="1"/>
  <c r="H646" i="49" a="1"/>
  <c r="H646" i="49" s="1"/>
  <c r="H655" i="49" a="1"/>
  <c r="H655" i="49" s="1"/>
  <c r="H664" i="49" a="1"/>
  <c r="H664" i="49" s="1"/>
  <c r="H669" i="49" a="1"/>
  <c r="H669" i="49" s="1"/>
  <c r="H678" i="49" a="1"/>
  <c r="H678" i="49" s="1"/>
  <c r="H687" i="49" a="1"/>
  <c r="H687" i="49" s="1"/>
  <c r="H696" i="49" a="1"/>
  <c r="H696" i="49" s="1"/>
  <c r="H701" i="49" a="1"/>
  <c r="H701" i="49" s="1"/>
  <c r="H710" i="49" a="1"/>
  <c r="H710" i="49" s="1"/>
  <c r="H719" i="49" a="1"/>
  <c r="H719" i="49" s="1"/>
  <c r="H728" i="49" a="1"/>
  <c r="H728" i="49" s="1"/>
  <c r="H733" i="49" a="1"/>
  <c r="H733" i="49" s="1"/>
  <c r="H742" i="49" a="1"/>
  <c r="H742" i="49" s="1"/>
  <c r="H751" i="49" a="1"/>
  <c r="H751" i="49" s="1"/>
  <c r="H760" i="49" a="1"/>
  <c r="H760" i="49" s="1"/>
  <c r="H765" i="49" a="1"/>
  <c r="H765" i="49" s="1"/>
  <c r="H774" i="49" a="1"/>
  <c r="H774" i="49" s="1"/>
  <c r="H783" i="49" a="1"/>
  <c r="H783" i="49" s="1"/>
  <c r="H792" i="49" a="1"/>
  <c r="H792" i="49" s="1"/>
  <c r="H797" i="49" a="1"/>
  <c r="H797" i="49" s="1"/>
  <c r="H806" i="49" a="1"/>
  <c r="H806" i="49" s="1"/>
  <c r="H815" i="49" a="1"/>
  <c r="H815" i="49" s="1"/>
  <c r="H824" i="49" a="1"/>
  <c r="H824" i="49" s="1"/>
  <c r="H829" i="49" a="1"/>
  <c r="H829" i="49" s="1"/>
  <c r="H838" i="49" a="1"/>
  <c r="H838" i="49" s="1"/>
  <c r="H847" i="49" a="1"/>
  <c r="H847" i="49" s="1"/>
  <c r="H856" i="49" a="1"/>
  <c r="H856" i="49" s="1"/>
  <c r="H861" i="49" a="1"/>
  <c r="H861" i="49" s="1"/>
  <c r="G9" i="49" a="1"/>
  <c r="G9" i="49" s="1"/>
  <c r="G16" i="49" a="1"/>
  <c r="G16" i="49" s="1"/>
  <c r="G22" i="49" a="1"/>
  <c r="G22" i="49" s="1"/>
  <c r="G30" i="49" a="1"/>
  <c r="G30" i="49" s="1"/>
  <c r="G36" i="49" a="1"/>
  <c r="G36" i="49" s="1"/>
  <c r="G43" i="49" a="1"/>
  <c r="G43" i="49" s="1"/>
  <c r="H461" i="49" a="1"/>
  <c r="H461" i="49" s="1"/>
  <c r="H491" i="49" a="1"/>
  <c r="H491" i="49" s="1"/>
  <c r="H501" i="49" a="1"/>
  <c r="H501" i="49" s="1"/>
  <c r="H510" i="49" a="1"/>
  <c r="H510" i="49" s="1"/>
  <c r="H520" i="49" a="1"/>
  <c r="H520" i="49" s="1"/>
  <c r="H528" i="49" a="1"/>
  <c r="H528" i="49" s="1"/>
  <c r="H544" i="49" a="1"/>
  <c r="H544" i="49" s="1"/>
  <c r="H551" i="49" a="1"/>
  <c r="H551" i="49" s="1"/>
  <c r="H558" i="49" a="1"/>
  <c r="H558" i="49" s="1"/>
  <c r="H566" i="49" a="1"/>
  <c r="H566" i="49" s="1"/>
  <c r="H573" i="49" a="1"/>
  <c r="H573" i="49" s="1"/>
  <c r="H585" i="49" a="1"/>
  <c r="H585" i="49" s="1"/>
  <c r="H591" i="49" a="1"/>
  <c r="H591" i="49" s="1"/>
  <c r="H598" i="49" a="1"/>
  <c r="H598" i="49" s="1"/>
  <c r="H604" i="49" a="1"/>
  <c r="H604" i="49" s="1"/>
  <c r="H610" i="49" a="1"/>
  <c r="H610" i="49" s="1"/>
  <c r="H616" i="49" a="1"/>
  <c r="H616" i="49" s="1"/>
  <c r="H622" i="49" a="1"/>
  <c r="H622" i="49" s="1"/>
  <c r="H632" i="49" a="1"/>
  <c r="H632" i="49" s="1"/>
  <c r="H637" i="49" a="1"/>
  <c r="H637" i="49" s="1"/>
  <c r="H642" i="49" a="1"/>
  <c r="H642" i="49" s="1"/>
  <c r="H651" i="49" a="1"/>
  <c r="H651" i="49" s="1"/>
  <c r="H660" i="49" a="1"/>
  <c r="H660" i="49" s="1"/>
  <c r="H665" i="49" a="1"/>
  <c r="H665" i="49" s="1"/>
  <c r="H674" i="49" a="1"/>
  <c r="H674" i="49" s="1"/>
  <c r="H683" i="49" a="1"/>
  <c r="H683" i="49" s="1"/>
  <c r="H692" i="49" a="1"/>
  <c r="H692" i="49" s="1"/>
  <c r="H697" i="49" a="1"/>
  <c r="H697" i="49" s="1"/>
  <c r="H706" i="49" a="1"/>
  <c r="H706" i="49" s="1"/>
  <c r="H715" i="49" a="1"/>
  <c r="H715" i="49" s="1"/>
  <c r="H724" i="49" a="1"/>
  <c r="H724" i="49" s="1"/>
  <c r="H729" i="49" a="1"/>
  <c r="H729" i="49" s="1"/>
  <c r="H738" i="49" a="1"/>
  <c r="H738" i="49" s="1"/>
  <c r="H747" i="49" a="1"/>
  <c r="H747" i="49" s="1"/>
  <c r="H756" i="49" a="1"/>
  <c r="H756" i="49" s="1"/>
  <c r="H761" i="49" a="1"/>
  <c r="H761" i="49" s="1"/>
  <c r="H770" i="49" a="1"/>
  <c r="H770" i="49" s="1"/>
  <c r="H779" i="49" a="1"/>
  <c r="H779" i="49" s="1"/>
  <c r="H788" i="49" a="1"/>
  <c r="H788" i="49" s="1"/>
  <c r="H793" i="49" a="1"/>
  <c r="H793" i="49" s="1"/>
  <c r="H802" i="49" a="1"/>
  <c r="H802" i="49" s="1"/>
  <c r="H811" i="49" a="1"/>
  <c r="H811" i="49" s="1"/>
  <c r="H820" i="49" a="1"/>
  <c r="H820" i="49" s="1"/>
  <c r="H825" i="49" a="1"/>
  <c r="H825" i="49" s="1"/>
  <c r="H834" i="49" a="1"/>
  <c r="H834" i="49" s="1"/>
  <c r="H843" i="49" a="1"/>
  <c r="H843" i="49" s="1"/>
  <c r="H852" i="49" a="1"/>
  <c r="H852" i="49" s="1"/>
  <c r="H857" i="49" a="1"/>
  <c r="H857" i="49" s="1"/>
  <c r="H866" i="49" a="1"/>
  <c r="H866" i="49" s="1"/>
  <c r="H870" i="49" a="1"/>
  <c r="H870" i="49" s="1"/>
  <c r="H874" i="49" a="1"/>
  <c r="H874" i="49" s="1"/>
  <c r="G10" i="49" a="1"/>
  <c r="G10" i="49" s="1"/>
  <c r="G17" i="49" a="1"/>
  <c r="G17" i="49" s="1"/>
  <c r="G23" i="49" a="1"/>
  <c r="G23" i="49" s="1"/>
  <c r="H467" i="49" a="1"/>
  <c r="H467" i="49" s="1"/>
  <c r="H492" i="49" a="1"/>
  <c r="H492" i="49" s="1"/>
  <c r="H502" i="49" a="1"/>
  <c r="H502" i="49" s="1"/>
  <c r="H511" i="49" a="1"/>
  <c r="H511" i="49" s="1"/>
  <c r="H529" i="49" a="1"/>
  <c r="H529" i="49" s="1"/>
  <c r="H537" i="49" a="1"/>
  <c r="H537" i="49" s="1"/>
  <c r="H552" i="49" a="1"/>
  <c r="H552" i="49" s="1"/>
  <c r="H559" i="49" a="1"/>
  <c r="H559" i="49" s="1"/>
  <c r="H574" i="49" a="1"/>
  <c r="H574" i="49" s="1"/>
  <c r="H579" i="49" a="1"/>
  <c r="H579" i="49" s="1"/>
  <c r="H586" i="49" a="1"/>
  <c r="H586" i="49" s="1"/>
  <c r="H592" i="49" a="1"/>
  <c r="H592" i="49" s="1"/>
  <c r="H605" i="49" a="1"/>
  <c r="H605" i="49" s="1"/>
  <c r="H628" i="49" a="1"/>
  <c r="H628" i="49" s="1"/>
  <c r="H638" i="49" a="1"/>
  <c r="H638" i="49" s="1"/>
  <c r="H647" i="49" a="1"/>
  <c r="H647" i="49" s="1"/>
  <c r="H656" i="49" a="1"/>
  <c r="H656" i="49" s="1"/>
  <c r="H661" i="49" a="1"/>
  <c r="H661" i="49" s="1"/>
  <c r="H670" i="49" a="1"/>
  <c r="H670" i="49" s="1"/>
  <c r="H679" i="49" a="1"/>
  <c r="H679" i="49" s="1"/>
  <c r="H688" i="49" a="1"/>
  <c r="H688" i="49" s="1"/>
  <c r="H693" i="49" a="1"/>
  <c r="H693" i="49" s="1"/>
  <c r="H702" i="49" a="1"/>
  <c r="H702" i="49" s="1"/>
  <c r="H711" i="49" a="1"/>
  <c r="H711" i="49" s="1"/>
  <c r="H720" i="49" a="1"/>
  <c r="H720" i="49" s="1"/>
  <c r="H725" i="49" a="1"/>
  <c r="H725" i="49" s="1"/>
  <c r="H734" i="49" a="1"/>
  <c r="H734" i="49" s="1"/>
  <c r="H743" i="49" a="1"/>
  <c r="H743" i="49" s="1"/>
  <c r="H752" i="49" a="1"/>
  <c r="H752" i="49" s="1"/>
  <c r="H757" i="49" a="1"/>
  <c r="H757" i="49" s="1"/>
  <c r="H766" i="49" a="1"/>
  <c r="H766" i="49" s="1"/>
  <c r="H775" i="49" a="1"/>
  <c r="H775" i="49" s="1"/>
  <c r="H784" i="49" a="1"/>
  <c r="H784" i="49" s="1"/>
  <c r="H789" i="49" a="1"/>
  <c r="H789" i="49" s="1"/>
  <c r="H798" i="49" a="1"/>
  <c r="H798" i="49" s="1"/>
  <c r="H807" i="49" a="1"/>
  <c r="H807" i="49" s="1"/>
  <c r="H816" i="49" a="1"/>
  <c r="H816" i="49" s="1"/>
  <c r="H821" i="49" a="1"/>
  <c r="H821" i="49" s="1"/>
  <c r="H830" i="49" a="1"/>
  <c r="H830" i="49" s="1"/>
  <c r="H839" i="49" a="1"/>
  <c r="H839" i="49" s="1"/>
  <c r="H848" i="49" a="1"/>
  <c r="H848" i="49" s="1"/>
  <c r="H853" i="49" a="1"/>
  <c r="H853" i="49" s="1"/>
  <c r="H862" i="49" a="1"/>
  <c r="H862" i="49" s="1"/>
  <c r="G11" i="49" a="1"/>
  <c r="G11" i="49" s="1"/>
  <c r="G18" i="49" a="1"/>
  <c r="G18" i="49" s="1"/>
  <c r="G24" i="49" a="1"/>
  <c r="G24" i="49" s="1"/>
  <c r="G45" i="49" a="1"/>
  <c r="G45" i="49" s="1"/>
  <c r="G58" i="49" a="1"/>
  <c r="G58" i="49" s="1"/>
  <c r="G65" i="49" a="1"/>
  <c r="G65" i="49" s="1"/>
  <c r="G70" i="49" a="1"/>
  <c r="G70" i="49" s="1"/>
  <c r="G77" i="49" a="1"/>
  <c r="G77" i="49" s="1"/>
  <c r="G83" i="49" a="1"/>
  <c r="G83" i="49" s="1"/>
  <c r="G88" i="49" a="1"/>
  <c r="G88" i="49" s="1"/>
  <c r="H468" i="49" a="1"/>
  <c r="H468" i="49" s="1"/>
  <c r="H481" i="49" a="1"/>
  <c r="H481" i="49" s="1"/>
  <c r="H493" i="49" a="1"/>
  <c r="H493" i="49" s="1"/>
  <c r="H522" i="49" a="1"/>
  <c r="H522" i="49" s="1"/>
  <c r="H530" i="49" a="1"/>
  <c r="H530" i="49" s="1"/>
  <c r="H538" i="49" a="1"/>
  <c r="H538" i="49" s="1"/>
  <c r="H545" i="49" a="1"/>
  <c r="H545" i="49" s="1"/>
  <c r="H553" i="49" a="1"/>
  <c r="H553" i="49" s="1"/>
  <c r="H560" i="49" a="1"/>
  <c r="H560" i="49" s="1"/>
  <c r="H567" i="49" a="1"/>
  <c r="H567" i="49" s="1"/>
  <c r="H575" i="49" a="1"/>
  <c r="H575" i="49" s="1"/>
  <c r="H580" i="49" a="1"/>
  <c r="H580" i="49" s="1"/>
  <c r="H587" i="49" a="1"/>
  <c r="H587" i="49" s="1"/>
  <c r="H593" i="49" a="1"/>
  <c r="H593" i="49" s="1"/>
  <c r="H599" i="49" a="1"/>
  <c r="H599" i="49" s="1"/>
  <c r="H606" i="49" a="1"/>
  <c r="H606" i="49" s="1"/>
  <c r="H611" i="49" a="1"/>
  <c r="H611" i="49" s="1"/>
  <c r="H617" i="49" a="1"/>
  <c r="H617" i="49" s="1"/>
  <c r="H623" i="49" a="1"/>
  <c r="H623" i="49" s="1"/>
  <c r="H633" i="49" a="1"/>
  <c r="H633" i="49" s="1"/>
  <c r="H643" i="49" a="1"/>
  <c r="H643" i="49" s="1"/>
  <c r="H652" i="49" a="1"/>
  <c r="H652" i="49" s="1"/>
  <c r="H657" i="49" a="1"/>
  <c r="H657" i="49" s="1"/>
  <c r="H666" i="49" a="1"/>
  <c r="H666" i="49" s="1"/>
  <c r="H675" i="49" a="1"/>
  <c r="H675" i="49" s="1"/>
  <c r="H684" i="49" a="1"/>
  <c r="H684" i="49" s="1"/>
  <c r="H689" i="49" a="1"/>
  <c r="H689" i="49" s="1"/>
  <c r="H698" i="49" a="1"/>
  <c r="H698" i="49" s="1"/>
  <c r="H707" i="49" a="1"/>
  <c r="H707" i="49" s="1"/>
  <c r="H716" i="49" a="1"/>
  <c r="H716" i="49" s="1"/>
  <c r="H721" i="49" a="1"/>
  <c r="H721" i="49" s="1"/>
  <c r="H730" i="49" a="1"/>
  <c r="H730" i="49" s="1"/>
  <c r="H739" i="49" a="1"/>
  <c r="H739" i="49" s="1"/>
  <c r="H748" i="49" a="1"/>
  <c r="H748" i="49" s="1"/>
  <c r="H753" i="49" a="1"/>
  <c r="H753" i="49" s="1"/>
  <c r="H762" i="49" a="1"/>
  <c r="H762" i="49" s="1"/>
  <c r="H771" i="49" a="1"/>
  <c r="H771" i="49" s="1"/>
  <c r="H780" i="49" a="1"/>
  <c r="H780" i="49" s="1"/>
  <c r="H785" i="49" a="1"/>
  <c r="H785" i="49" s="1"/>
  <c r="H794" i="49" a="1"/>
  <c r="H794" i="49" s="1"/>
  <c r="H803" i="49" a="1"/>
  <c r="H803" i="49" s="1"/>
  <c r="H812" i="49" a="1"/>
  <c r="H812" i="49" s="1"/>
  <c r="H817" i="49" a="1"/>
  <c r="H817" i="49" s="1"/>
  <c r="H826" i="49" a="1"/>
  <c r="H826" i="49" s="1"/>
  <c r="H835" i="49" a="1"/>
  <c r="H835" i="49" s="1"/>
  <c r="H844" i="49" a="1"/>
  <c r="H844" i="49" s="1"/>
  <c r="H849" i="49" a="1"/>
  <c r="H849" i="49" s="1"/>
  <c r="H858" i="49" a="1"/>
  <c r="H858" i="49" s="1"/>
  <c r="H867" i="49" a="1"/>
  <c r="H867" i="49" s="1"/>
  <c r="H871" i="49" a="1"/>
  <c r="H871" i="49" s="1"/>
  <c r="H5" i="49" a="1"/>
  <c r="H5" i="49" s="1"/>
  <c r="G12" i="49" a="1"/>
  <c r="G12" i="49" s="1"/>
  <c r="G19" i="49" a="1"/>
  <c r="G19" i="49" s="1"/>
  <c r="H469" i="49" a="1"/>
  <c r="H469" i="49" s="1"/>
  <c r="H484" i="49" a="1"/>
  <c r="H484" i="49" s="1"/>
  <c r="H495" i="49" a="1"/>
  <c r="H495" i="49" s="1"/>
  <c r="H513" i="49" a="1"/>
  <c r="H513" i="49" s="1"/>
  <c r="H523" i="49" a="1"/>
  <c r="H523" i="49" s="1"/>
  <c r="H532" i="49" a="1"/>
  <c r="H532" i="49" s="1"/>
  <c r="H539" i="49" a="1"/>
  <c r="H539" i="49" s="1"/>
  <c r="H554" i="49" a="1"/>
  <c r="H554" i="49" s="1"/>
  <c r="H561" i="49" a="1"/>
  <c r="H561" i="49" s="1"/>
  <c r="H581" i="49" a="1"/>
  <c r="H581" i="49" s="1"/>
  <c r="H594" i="49" a="1"/>
  <c r="H594" i="49" s="1"/>
  <c r="H607" i="49" a="1"/>
  <c r="H607" i="49" s="1"/>
  <c r="H612" i="49" a="1"/>
  <c r="H612" i="49" s="1"/>
  <c r="H618" i="49" a="1"/>
  <c r="H618" i="49" s="1"/>
  <c r="H624" i="49" a="1"/>
  <c r="H624" i="49" s="1"/>
  <c r="H629" i="49" a="1"/>
  <c r="H629" i="49" s="1"/>
  <c r="H634" i="49" a="1"/>
  <c r="H634" i="49" s="1"/>
  <c r="H639" i="49" a="1"/>
  <c r="H639" i="49" s="1"/>
  <c r="H648" i="49" a="1"/>
  <c r="H648" i="49" s="1"/>
  <c r="H653" i="49" a="1"/>
  <c r="H653" i="49" s="1"/>
  <c r="H662" i="49" a="1"/>
  <c r="H662" i="49" s="1"/>
  <c r="H671" i="49" a="1"/>
  <c r="H671" i="49" s="1"/>
  <c r="H680" i="49" a="1"/>
  <c r="H680" i="49" s="1"/>
  <c r="H685" i="49" a="1"/>
  <c r="H685" i="49" s="1"/>
  <c r="H694" i="49" a="1"/>
  <c r="H694" i="49" s="1"/>
  <c r="H703" i="49" a="1"/>
  <c r="H703" i="49" s="1"/>
  <c r="H712" i="49" a="1"/>
  <c r="H712" i="49" s="1"/>
  <c r="H717" i="49" a="1"/>
  <c r="H717" i="49" s="1"/>
  <c r="H726" i="49" a="1"/>
  <c r="H726" i="49" s="1"/>
  <c r="H735" i="49" a="1"/>
  <c r="H735" i="49" s="1"/>
  <c r="H744" i="49" a="1"/>
  <c r="H744" i="49" s="1"/>
  <c r="H749" i="49" a="1"/>
  <c r="H749" i="49" s="1"/>
  <c r="H758" i="49" a="1"/>
  <c r="H758" i="49" s="1"/>
  <c r="H767" i="49" a="1"/>
  <c r="H767" i="49" s="1"/>
  <c r="H776" i="49" a="1"/>
  <c r="H776" i="49" s="1"/>
  <c r="H781" i="49" a="1"/>
  <c r="H781" i="49" s="1"/>
  <c r="H790" i="49" a="1"/>
  <c r="H790" i="49" s="1"/>
  <c r="H799" i="49" a="1"/>
  <c r="H799" i="49" s="1"/>
  <c r="H808" i="49" a="1"/>
  <c r="H808" i="49" s="1"/>
  <c r="H813" i="49" a="1"/>
  <c r="H813" i="49" s="1"/>
  <c r="H822" i="49" a="1"/>
  <c r="H822" i="49" s="1"/>
  <c r="H831" i="49" a="1"/>
  <c r="H831" i="49" s="1"/>
  <c r="H840" i="49" a="1"/>
  <c r="H840" i="49" s="1"/>
  <c r="H845" i="49" a="1"/>
  <c r="H845" i="49" s="1"/>
  <c r="H854" i="49" a="1"/>
  <c r="H854" i="49" s="1"/>
  <c r="H863" i="49" a="1"/>
  <c r="H863" i="49" s="1"/>
  <c r="G6" i="49" a="1"/>
  <c r="G6" i="49" s="1"/>
  <c r="G13" i="49" a="1"/>
  <c r="G13" i="49" s="1"/>
  <c r="G26" i="49" a="1"/>
  <c r="G26" i="49" s="1"/>
  <c r="G33" i="49" a="1"/>
  <c r="G33" i="49" s="1"/>
  <c r="G39" i="49" a="1"/>
  <c r="G39" i="49" s="1"/>
  <c r="G47" i="49" a="1"/>
  <c r="G47" i="49" s="1"/>
  <c r="G53" i="49" a="1"/>
  <c r="G53" i="49" s="1"/>
  <c r="G38" i="49" a="1"/>
  <c r="G38" i="49" s="1"/>
  <c r="G57" i="49" a="1"/>
  <c r="G57" i="49" s="1"/>
  <c r="G66" i="49" a="1"/>
  <c r="G66" i="49" s="1"/>
  <c r="G73" i="49" a="1"/>
  <c r="G73" i="49" s="1"/>
  <c r="G81" i="49" a="1"/>
  <c r="G81" i="49" s="1"/>
  <c r="G87" i="49" a="1"/>
  <c r="G87" i="49" s="1"/>
  <c r="G95" i="49" a="1"/>
  <c r="G95" i="49" s="1"/>
  <c r="G101" i="49" a="1"/>
  <c r="G101" i="49" s="1"/>
  <c r="G107" i="49" a="1"/>
  <c r="G107" i="49" s="1"/>
  <c r="G114" i="49" a="1"/>
  <c r="G114" i="49" s="1"/>
  <c r="G120" i="49" a="1"/>
  <c r="G120" i="49" s="1"/>
  <c r="G134" i="49" a="1"/>
  <c r="G134" i="49" s="1"/>
  <c r="G141" i="49" a="1"/>
  <c r="G141" i="49" s="1"/>
  <c r="G154" i="49" a="1"/>
  <c r="G154" i="49" s="1"/>
  <c r="G161" i="49" a="1"/>
  <c r="G161" i="49" s="1"/>
  <c r="G175" i="49" a="1"/>
  <c r="G175" i="49" s="1"/>
  <c r="G181" i="49" a="1"/>
  <c r="G181" i="49" s="1"/>
  <c r="G188" i="49" a="1"/>
  <c r="G188" i="49" s="1"/>
  <c r="G195" i="49" a="1"/>
  <c r="G195" i="49" s="1"/>
  <c r="G200" i="49" a="1"/>
  <c r="G200" i="49" s="1"/>
  <c r="G207" i="49" a="1"/>
  <c r="G207" i="49" s="1"/>
  <c r="G213" i="49" a="1"/>
  <c r="G213" i="49" s="1"/>
  <c r="G219" i="49" a="1"/>
  <c r="G219" i="49" s="1"/>
  <c r="G225" i="49" a="1"/>
  <c r="G225" i="49" s="1"/>
  <c r="G231" i="49" a="1"/>
  <c r="G231" i="49" s="1"/>
  <c r="G237" i="49" a="1"/>
  <c r="G237" i="49" s="1"/>
  <c r="G249" i="49" a="1"/>
  <c r="G249" i="49" s="1"/>
  <c r="G274" i="49" a="1"/>
  <c r="G274" i="49" s="1"/>
  <c r="G286" i="49" a="1"/>
  <c r="G286" i="49" s="1"/>
  <c r="G292" i="49" a="1"/>
  <c r="G292" i="49" s="1"/>
  <c r="G298" i="49" a="1"/>
  <c r="G298" i="49" s="1"/>
  <c r="G304" i="49" a="1"/>
  <c r="G304" i="49" s="1"/>
  <c r="G310" i="49" a="1"/>
  <c r="G310" i="49" s="1"/>
  <c r="G316" i="49" a="1"/>
  <c r="G316" i="49" s="1"/>
  <c r="G323" i="49" a="1"/>
  <c r="G323" i="49" s="1"/>
  <c r="G328" i="49" a="1"/>
  <c r="G328" i="49" s="1"/>
  <c r="G335" i="49" a="1"/>
  <c r="G335" i="49" s="1"/>
  <c r="G341" i="49" a="1"/>
  <c r="G341" i="49" s="1"/>
  <c r="G352" i="49" a="1"/>
  <c r="G352" i="49" s="1"/>
  <c r="G358" i="49" a="1"/>
  <c r="G358" i="49" s="1"/>
  <c r="G371" i="49" a="1"/>
  <c r="G371" i="49" s="1"/>
  <c r="G377" i="49" a="1"/>
  <c r="G377" i="49" s="1"/>
  <c r="G384" i="49" a="1"/>
  <c r="G384" i="49" s="1"/>
  <c r="G390" i="49" a="1"/>
  <c r="G390" i="49" s="1"/>
  <c r="G403" i="49" a="1"/>
  <c r="G403" i="49" s="1"/>
  <c r="G409" i="49" a="1"/>
  <c r="G409" i="49" s="1"/>
  <c r="G416" i="49" a="1"/>
  <c r="G416" i="49" s="1"/>
  <c r="G422" i="49" a="1"/>
  <c r="G422" i="49" s="1"/>
  <c r="G435" i="49" a="1"/>
  <c r="G435" i="49" s="1"/>
  <c r="G441" i="49" a="1"/>
  <c r="G441" i="49" s="1"/>
  <c r="G448" i="49" a="1"/>
  <c r="G448" i="49" s="1"/>
  <c r="G454" i="49" a="1"/>
  <c r="G454" i="49" s="1"/>
  <c r="G467" i="49" a="1"/>
  <c r="G467" i="49" s="1"/>
  <c r="G473" i="49" a="1"/>
  <c r="G473" i="49" s="1"/>
  <c r="G480" i="49" a="1"/>
  <c r="G480" i="49" s="1"/>
  <c r="G486" i="49" a="1"/>
  <c r="G486" i="49" s="1"/>
  <c r="G499" i="49" a="1"/>
  <c r="G499" i="49" s="1"/>
  <c r="G505" i="49" a="1"/>
  <c r="G505" i="49" s="1"/>
  <c r="G512" i="49" a="1"/>
  <c r="G512" i="49" s="1"/>
  <c r="G518" i="49" a="1"/>
  <c r="G518" i="49" s="1"/>
  <c r="G531" i="49" a="1"/>
  <c r="G531" i="49" s="1"/>
  <c r="G537" i="49" a="1"/>
  <c r="G537" i="49" s="1"/>
  <c r="G544" i="49" a="1"/>
  <c r="G544" i="49" s="1"/>
  <c r="G44" i="49" a="1"/>
  <c r="G44" i="49" s="1"/>
  <c r="G59" i="49" a="1"/>
  <c r="G59" i="49" s="1"/>
  <c r="G74" i="49" a="1"/>
  <c r="G74" i="49" s="1"/>
  <c r="G108" i="49" a="1"/>
  <c r="G108" i="49" s="1"/>
  <c r="G115" i="49" a="1"/>
  <c r="G115" i="49" s="1"/>
  <c r="G121" i="49" a="1"/>
  <c r="G121" i="49" s="1"/>
  <c r="G128" i="49" a="1"/>
  <c r="G128" i="49" s="1"/>
  <c r="G135" i="49" a="1"/>
  <c r="G135" i="49" s="1"/>
  <c r="G142" i="49" a="1"/>
  <c r="G142" i="49" s="1"/>
  <c r="G148" i="49" a="1"/>
  <c r="G148" i="49" s="1"/>
  <c r="G155" i="49" a="1"/>
  <c r="G155" i="49" s="1"/>
  <c r="G162" i="49" a="1"/>
  <c r="G162" i="49" s="1"/>
  <c r="G168" i="49" a="1"/>
  <c r="G168" i="49" s="1"/>
  <c r="G182" i="49" a="1"/>
  <c r="G182" i="49" s="1"/>
  <c r="G189" i="49" a="1"/>
  <c r="G189" i="49" s="1"/>
  <c r="G201" i="49" a="1"/>
  <c r="G201" i="49" s="1"/>
  <c r="G226" i="49" a="1"/>
  <c r="G226" i="49" s="1"/>
  <c r="G238" i="49" a="1"/>
  <c r="G238" i="49" s="1"/>
  <c r="G244" i="49" a="1"/>
  <c r="G244" i="49" s="1"/>
  <c r="G250" i="49" a="1"/>
  <c r="G250" i="49" s="1"/>
  <c r="G256" i="49" a="1"/>
  <c r="G256" i="49" s="1"/>
  <c r="G262" i="49" a="1"/>
  <c r="G262" i="49" s="1"/>
  <c r="G268" i="49" a="1"/>
  <c r="G268" i="49" s="1"/>
  <c r="G275" i="49" a="1"/>
  <c r="G275" i="49" s="1"/>
  <c r="G280" i="49" a="1"/>
  <c r="G280" i="49" s="1"/>
  <c r="G287" i="49" a="1"/>
  <c r="G287" i="49" s="1"/>
  <c r="G293" i="49" a="1"/>
  <c r="G293" i="49" s="1"/>
  <c r="G299" i="49" a="1"/>
  <c r="G299" i="49" s="1"/>
  <c r="G305" i="49" a="1"/>
  <c r="G305" i="49" s="1"/>
  <c r="G311" i="49" a="1"/>
  <c r="G311" i="49" s="1"/>
  <c r="G317" i="49" a="1"/>
  <c r="G317" i="49" s="1"/>
  <c r="G329" i="49" a="1"/>
  <c r="G329" i="49" s="1"/>
  <c r="G347" i="49" a="1"/>
  <c r="G347" i="49" s="1"/>
  <c r="G359" i="49" a="1"/>
  <c r="G359" i="49" s="1"/>
  <c r="G365" i="49" a="1"/>
  <c r="G365" i="49" s="1"/>
  <c r="G372" i="49" a="1"/>
  <c r="G372" i="49" s="1"/>
  <c r="G378" i="49" a="1"/>
  <c r="G378" i="49" s="1"/>
  <c r="G391" i="49" a="1"/>
  <c r="G391" i="49" s="1"/>
  <c r="G397" i="49" a="1"/>
  <c r="G397" i="49" s="1"/>
  <c r="G404" i="49" a="1"/>
  <c r="G404" i="49" s="1"/>
  <c r="G410" i="49" a="1"/>
  <c r="G410" i="49" s="1"/>
  <c r="G423" i="49" a="1"/>
  <c r="G423" i="49" s="1"/>
  <c r="G429" i="49" a="1"/>
  <c r="G429" i="49" s="1"/>
  <c r="G436" i="49" a="1"/>
  <c r="G436" i="49" s="1"/>
  <c r="G442" i="49" a="1"/>
  <c r="G442" i="49" s="1"/>
  <c r="G455" i="49" a="1"/>
  <c r="G455" i="49" s="1"/>
  <c r="G461" i="49" a="1"/>
  <c r="G461" i="49" s="1"/>
  <c r="G468" i="49" a="1"/>
  <c r="G468" i="49" s="1"/>
  <c r="G474" i="49" a="1"/>
  <c r="G474" i="49" s="1"/>
  <c r="G487" i="49" a="1"/>
  <c r="G487" i="49" s="1"/>
  <c r="G493" i="49" a="1"/>
  <c r="G493" i="49" s="1"/>
  <c r="G500" i="49" a="1"/>
  <c r="G500" i="49" s="1"/>
  <c r="G506" i="49" a="1"/>
  <c r="G506" i="49" s="1"/>
  <c r="G519" i="49" a="1"/>
  <c r="G519" i="49" s="1"/>
  <c r="G525" i="49" a="1"/>
  <c r="G525" i="49" s="1"/>
  <c r="G532" i="49" a="1"/>
  <c r="G532" i="49" s="1"/>
  <c r="G538" i="49" a="1"/>
  <c r="G538" i="49" s="1"/>
  <c r="G551" i="49" a="1"/>
  <c r="G551" i="49" s="1"/>
  <c r="G557" i="49" a="1"/>
  <c r="G557" i="49" s="1"/>
  <c r="G564" i="49" a="1"/>
  <c r="G564" i="49" s="1"/>
  <c r="G570" i="49" a="1"/>
  <c r="G570" i="49" s="1"/>
  <c r="G583" i="49" a="1"/>
  <c r="G583" i="49" s="1"/>
  <c r="G589" i="49" a="1"/>
  <c r="G589" i="49" s="1"/>
  <c r="G46" i="49" a="1"/>
  <c r="G46" i="49" s="1"/>
  <c r="G60" i="49" a="1"/>
  <c r="G60" i="49" s="1"/>
  <c r="G68" i="49" a="1"/>
  <c r="G68" i="49" s="1"/>
  <c r="G75" i="49" a="1"/>
  <c r="G75" i="49" s="1"/>
  <c r="G82" i="49" a="1"/>
  <c r="G82" i="49" s="1"/>
  <c r="G89" i="49" a="1"/>
  <c r="G89" i="49" s="1"/>
  <c r="G96" i="49" a="1"/>
  <c r="G96" i="49" s="1"/>
  <c r="G102" i="49" a="1"/>
  <c r="G102" i="49" s="1"/>
  <c r="G109" i="49" a="1"/>
  <c r="G109" i="49" s="1"/>
  <c r="G122" i="49" a="1"/>
  <c r="G122" i="49" s="1"/>
  <c r="G129" i="49" a="1"/>
  <c r="G129" i="49" s="1"/>
  <c r="G143" i="49" a="1"/>
  <c r="G143" i="49" s="1"/>
  <c r="G149" i="49" a="1"/>
  <c r="G149" i="49" s="1"/>
  <c r="G156" i="49" a="1"/>
  <c r="G156" i="49" s="1"/>
  <c r="G163" i="49" a="1"/>
  <c r="G163" i="49" s="1"/>
  <c r="G169" i="49" a="1"/>
  <c r="G169" i="49" s="1"/>
  <c r="G176" i="49" a="1"/>
  <c r="G176" i="49" s="1"/>
  <c r="G183" i="49" a="1"/>
  <c r="G183" i="49" s="1"/>
  <c r="G190" i="49" a="1"/>
  <c r="G190" i="49" s="1"/>
  <c r="G196" i="49" a="1"/>
  <c r="G196" i="49" s="1"/>
  <c r="G202" i="49" a="1"/>
  <c r="G202" i="49" s="1"/>
  <c r="G208" i="49" a="1"/>
  <c r="G208" i="49" s="1"/>
  <c r="G214" i="49" a="1"/>
  <c r="G214" i="49" s="1"/>
  <c r="G220" i="49" a="1"/>
  <c r="G220" i="49" s="1"/>
  <c r="G227" i="49" a="1"/>
  <c r="G227" i="49" s="1"/>
  <c r="G232" i="49" a="1"/>
  <c r="G232" i="49" s="1"/>
  <c r="G239" i="49" a="1"/>
  <c r="G239" i="49" s="1"/>
  <c r="G245" i="49" a="1"/>
  <c r="G245" i="49" s="1"/>
  <c r="G251" i="49" a="1"/>
  <c r="G251" i="49" s="1"/>
  <c r="G257" i="49" a="1"/>
  <c r="G257" i="49" s="1"/>
  <c r="G263" i="49" a="1"/>
  <c r="G263" i="49" s="1"/>
  <c r="G269" i="49" a="1"/>
  <c r="G269" i="49" s="1"/>
  <c r="G281" i="49" a="1"/>
  <c r="G281" i="49" s="1"/>
  <c r="G306" i="49" a="1"/>
  <c r="G306" i="49" s="1"/>
  <c r="G318" i="49" a="1"/>
  <c r="G318" i="49" s="1"/>
  <c r="G324" i="49" a="1"/>
  <c r="G324" i="49" s="1"/>
  <c r="G330" i="49" a="1"/>
  <c r="G330" i="49" s="1"/>
  <c r="G336" i="49" a="1"/>
  <c r="G336" i="49" s="1"/>
  <c r="G342" i="49" a="1"/>
  <c r="G342" i="49" s="1"/>
  <c r="G348" i="49" a="1"/>
  <c r="G348" i="49" s="1"/>
  <c r="G353" i="49" a="1"/>
  <c r="G353" i="49" s="1"/>
  <c r="G360" i="49" a="1"/>
  <c r="G360" i="49" s="1"/>
  <c r="G366" i="49" a="1"/>
  <c r="G366" i="49" s="1"/>
  <c r="G379" i="49" a="1"/>
  <c r="G379" i="49" s="1"/>
  <c r="G385" i="49" a="1"/>
  <c r="G385" i="49" s="1"/>
  <c r="G392" i="49" a="1"/>
  <c r="G392" i="49" s="1"/>
  <c r="G398" i="49" a="1"/>
  <c r="G398" i="49" s="1"/>
  <c r="G411" i="49" a="1"/>
  <c r="G411" i="49" s="1"/>
  <c r="G417" i="49" a="1"/>
  <c r="G417" i="49" s="1"/>
  <c r="G424" i="49" a="1"/>
  <c r="G424" i="49" s="1"/>
  <c r="G430" i="49" a="1"/>
  <c r="G430" i="49" s="1"/>
  <c r="G443" i="49" a="1"/>
  <c r="G443" i="49" s="1"/>
  <c r="G449" i="49" a="1"/>
  <c r="G449" i="49" s="1"/>
  <c r="G456" i="49" a="1"/>
  <c r="G456" i="49" s="1"/>
  <c r="G462" i="49" a="1"/>
  <c r="G462" i="49" s="1"/>
  <c r="G475" i="49" a="1"/>
  <c r="G475" i="49" s="1"/>
  <c r="G481" i="49" a="1"/>
  <c r="G481" i="49" s="1"/>
  <c r="G488" i="49" a="1"/>
  <c r="G488" i="49" s="1"/>
  <c r="G494" i="49" a="1"/>
  <c r="G494" i="49" s="1"/>
  <c r="G507" i="49" a="1"/>
  <c r="G507" i="49" s="1"/>
  <c r="G513" i="49" a="1"/>
  <c r="G513" i="49" s="1"/>
  <c r="G520" i="49" a="1"/>
  <c r="G520" i="49" s="1"/>
  <c r="G526" i="49" a="1"/>
  <c r="G526" i="49" s="1"/>
  <c r="G50" i="49" a="1"/>
  <c r="G50" i="49" s="1"/>
  <c r="G62" i="49" a="1"/>
  <c r="G62" i="49" s="1"/>
  <c r="G69" i="49" a="1"/>
  <c r="G69" i="49" s="1"/>
  <c r="G76" i="49" a="1"/>
  <c r="G76" i="49" s="1"/>
  <c r="G90" i="49" a="1"/>
  <c r="G90" i="49" s="1"/>
  <c r="G97" i="49" a="1"/>
  <c r="G97" i="49" s="1"/>
  <c r="G103" i="49" a="1"/>
  <c r="G103" i="49" s="1"/>
  <c r="G110" i="49" a="1"/>
  <c r="G110" i="49" s="1"/>
  <c r="G116" i="49" a="1"/>
  <c r="G116" i="49" s="1"/>
  <c r="G123" i="49" a="1"/>
  <c r="G123" i="49" s="1"/>
  <c r="G130" i="49" a="1"/>
  <c r="G130" i="49" s="1"/>
  <c r="G136" i="49" a="1"/>
  <c r="G136" i="49" s="1"/>
  <c r="G150" i="49" a="1"/>
  <c r="G150" i="49" s="1"/>
  <c r="G157" i="49" a="1"/>
  <c r="G157" i="49" s="1"/>
  <c r="G170" i="49" a="1"/>
  <c r="G170" i="49" s="1"/>
  <c r="G177" i="49" a="1"/>
  <c r="G177" i="49" s="1"/>
  <c r="G191" i="49" a="1"/>
  <c r="G191" i="49" s="1"/>
  <c r="G197" i="49" a="1"/>
  <c r="G197" i="49" s="1"/>
  <c r="G203" i="49" a="1"/>
  <c r="G203" i="49" s="1"/>
  <c r="G209" i="49" a="1"/>
  <c r="G209" i="49" s="1"/>
  <c r="G215" i="49" a="1"/>
  <c r="G215" i="49" s="1"/>
  <c r="G221" i="49" a="1"/>
  <c r="G221" i="49" s="1"/>
  <c r="G233" i="49" a="1"/>
  <c r="G233" i="49" s="1"/>
  <c r="G258" i="49" a="1"/>
  <c r="G258" i="49" s="1"/>
  <c r="G270" i="49" a="1"/>
  <c r="G270" i="49" s="1"/>
  <c r="G276" i="49" a="1"/>
  <c r="G276" i="49" s="1"/>
  <c r="G282" i="49" a="1"/>
  <c r="G282" i="49" s="1"/>
  <c r="G288" i="49" a="1"/>
  <c r="G288" i="49" s="1"/>
  <c r="G294" i="49" a="1"/>
  <c r="G294" i="49" s="1"/>
  <c r="G300" i="49" a="1"/>
  <c r="G300" i="49" s="1"/>
  <c r="G307" i="49" a="1"/>
  <c r="G307" i="49" s="1"/>
  <c r="G312" i="49" a="1"/>
  <c r="G312" i="49" s="1"/>
  <c r="G319" i="49" a="1"/>
  <c r="G319" i="49" s="1"/>
  <c r="G325" i="49" a="1"/>
  <c r="G325" i="49" s="1"/>
  <c r="G331" i="49" a="1"/>
  <c r="G331" i="49" s="1"/>
  <c r="G337" i="49" a="1"/>
  <c r="G337" i="49" s="1"/>
  <c r="G343" i="49" a="1"/>
  <c r="G343" i="49" s="1"/>
  <c r="G354" i="49" a="1"/>
  <c r="G354" i="49" s="1"/>
  <c r="G367" i="49" a="1"/>
  <c r="G367" i="49" s="1"/>
  <c r="G373" i="49" a="1"/>
  <c r="G373" i="49" s="1"/>
  <c r="G380" i="49" a="1"/>
  <c r="G380" i="49" s="1"/>
  <c r="G386" i="49" a="1"/>
  <c r="G386" i="49" s="1"/>
  <c r="G399" i="49" a="1"/>
  <c r="G399" i="49" s="1"/>
  <c r="G405" i="49" a="1"/>
  <c r="G405" i="49" s="1"/>
  <c r="G412" i="49" a="1"/>
  <c r="G412" i="49" s="1"/>
  <c r="G418" i="49" a="1"/>
  <c r="G418" i="49" s="1"/>
  <c r="G431" i="49" a="1"/>
  <c r="G431" i="49" s="1"/>
  <c r="G437" i="49" a="1"/>
  <c r="G437" i="49" s="1"/>
  <c r="G444" i="49" a="1"/>
  <c r="G444" i="49" s="1"/>
  <c r="G450" i="49" a="1"/>
  <c r="G450" i="49" s="1"/>
  <c r="G463" i="49" a="1"/>
  <c r="G463" i="49" s="1"/>
  <c r="G469" i="49" a="1"/>
  <c r="G469" i="49" s="1"/>
  <c r="G476" i="49" a="1"/>
  <c r="G476" i="49" s="1"/>
  <c r="G482" i="49" a="1"/>
  <c r="G482" i="49" s="1"/>
  <c r="G495" i="49" a="1"/>
  <c r="G495" i="49" s="1"/>
  <c r="G501" i="49" a="1"/>
  <c r="G501" i="49" s="1"/>
  <c r="G508" i="49" a="1"/>
  <c r="G508" i="49" s="1"/>
  <c r="G514" i="49" a="1"/>
  <c r="G514" i="49" s="1"/>
  <c r="G527" i="49" a="1"/>
  <c r="G527" i="49" s="1"/>
  <c r="G533" i="49" a="1"/>
  <c r="G533" i="49" s="1"/>
  <c r="G540" i="49" a="1"/>
  <c r="G540" i="49" s="1"/>
  <c r="G546" i="49" a="1"/>
  <c r="G546" i="49" s="1"/>
  <c r="G559" i="49" a="1"/>
  <c r="G559" i="49" s="1"/>
  <c r="G25" i="49" a="1"/>
  <c r="G25" i="49" s="1"/>
  <c r="G51" i="49" a="1"/>
  <c r="G51" i="49" s="1"/>
  <c r="G63" i="49" a="1"/>
  <c r="G63" i="49" s="1"/>
  <c r="G78" i="49" a="1"/>
  <c r="G78" i="49" s="1"/>
  <c r="G84" i="49" a="1"/>
  <c r="G84" i="49" s="1"/>
  <c r="G91" i="49" a="1"/>
  <c r="G91" i="49" s="1"/>
  <c r="G98" i="49" a="1"/>
  <c r="G98" i="49" s="1"/>
  <c r="G111" i="49" a="1"/>
  <c r="G111" i="49" s="1"/>
  <c r="G117" i="49" a="1"/>
  <c r="G117" i="49" s="1"/>
  <c r="G124" i="49" a="1"/>
  <c r="G124" i="49" s="1"/>
  <c r="G131" i="49" a="1"/>
  <c r="G131" i="49" s="1"/>
  <c r="G137" i="49" a="1"/>
  <c r="G137" i="49" s="1"/>
  <c r="G144" i="49" a="1"/>
  <c r="G144" i="49" s="1"/>
  <c r="G151" i="49" a="1"/>
  <c r="G151" i="49" s="1"/>
  <c r="G158" i="49" a="1"/>
  <c r="G158" i="49" s="1"/>
  <c r="G164" i="49" a="1"/>
  <c r="G164" i="49" s="1"/>
  <c r="G171" i="49" a="1"/>
  <c r="G171" i="49" s="1"/>
  <c r="G178" i="49" a="1"/>
  <c r="G178" i="49" s="1"/>
  <c r="G184" i="49" a="1"/>
  <c r="G184" i="49" s="1"/>
  <c r="G210" i="49" a="1"/>
  <c r="G210" i="49" s="1"/>
  <c r="G222" i="49" a="1"/>
  <c r="G222" i="49" s="1"/>
  <c r="G228" i="49" a="1"/>
  <c r="G228" i="49" s="1"/>
  <c r="G234" i="49" a="1"/>
  <c r="G234" i="49" s="1"/>
  <c r="G240" i="49" a="1"/>
  <c r="G240" i="49" s="1"/>
  <c r="G246" i="49" a="1"/>
  <c r="G246" i="49" s="1"/>
  <c r="G252" i="49" a="1"/>
  <c r="G252" i="49" s="1"/>
  <c r="G259" i="49" a="1"/>
  <c r="G259" i="49" s="1"/>
  <c r="G264" i="49" a="1"/>
  <c r="G264" i="49" s="1"/>
  <c r="G271" i="49" a="1"/>
  <c r="G271" i="49" s="1"/>
  <c r="G277" i="49" a="1"/>
  <c r="G277" i="49" s="1"/>
  <c r="G283" i="49" a="1"/>
  <c r="G283" i="49" s="1"/>
  <c r="G289" i="49" a="1"/>
  <c r="G289" i="49" s="1"/>
  <c r="G295" i="49" a="1"/>
  <c r="G295" i="49" s="1"/>
  <c r="G301" i="49" a="1"/>
  <c r="G301" i="49" s="1"/>
  <c r="G313" i="49" a="1"/>
  <c r="G313" i="49" s="1"/>
  <c r="G338" i="49" a="1"/>
  <c r="G338" i="49" s="1"/>
  <c r="G349" i="49" a="1"/>
  <c r="G349" i="49" s="1"/>
  <c r="G355" i="49" a="1"/>
  <c r="G355" i="49" s="1"/>
  <c r="G361" i="49" a="1"/>
  <c r="G361" i="49" s="1"/>
  <c r="G368" i="49" a="1"/>
  <c r="G368" i="49" s="1"/>
  <c r="G374" i="49" a="1"/>
  <c r="G374" i="49" s="1"/>
  <c r="G387" i="49" a="1"/>
  <c r="G387" i="49" s="1"/>
  <c r="G393" i="49" a="1"/>
  <c r="G393" i="49" s="1"/>
  <c r="G400" i="49" a="1"/>
  <c r="G400" i="49" s="1"/>
  <c r="G406" i="49" a="1"/>
  <c r="G406" i="49" s="1"/>
  <c r="G419" i="49" a="1"/>
  <c r="G419" i="49" s="1"/>
  <c r="G425" i="49" a="1"/>
  <c r="G425" i="49" s="1"/>
  <c r="G432" i="49" a="1"/>
  <c r="G432" i="49" s="1"/>
  <c r="G438" i="49" a="1"/>
  <c r="G438" i="49" s="1"/>
  <c r="G451" i="49" a="1"/>
  <c r="G451" i="49" s="1"/>
  <c r="G457" i="49" a="1"/>
  <c r="G457" i="49" s="1"/>
  <c r="G464" i="49" a="1"/>
  <c r="G464" i="49" s="1"/>
  <c r="G470" i="49" a="1"/>
  <c r="G470" i="49" s="1"/>
  <c r="G483" i="49" a="1"/>
  <c r="G483" i="49" s="1"/>
  <c r="G489" i="49" a="1"/>
  <c r="G489" i="49" s="1"/>
  <c r="G496" i="49" a="1"/>
  <c r="G496" i="49" s="1"/>
  <c r="G502" i="49" a="1"/>
  <c r="G502" i="49" s="1"/>
  <c r="G515" i="49" a="1"/>
  <c r="G515" i="49" s="1"/>
  <c r="G521" i="49" a="1"/>
  <c r="G521" i="49" s="1"/>
  <c r="G528" i="49" a="1"/>
  <c r="G528" i="49" s="1"/>
  <c r="G534" i="49" a="1"/>
  <c r="G534" i="49" s="1"/>
  <c r="G547" i="49" a="1"/>
  <c r="G547" i="49" s="1"/>
  <c r="G553" i="49" a="1"/>
  <c r="G553" i="49" s="1"/>
  <c r="G560" i="49" a="1"/>
  <c r="G560" i="49" s="1"/>
  <c r="G566" i="49" a="1"/>
  <c r="G566" i="49" s="1"/>
  <c r="G579" i="49" a="1"/>
  <c r="G579" i="49" s="1"/>
  <c r="G585" i="49" a="1"/>
  <c r="G585" i="49" s="1"/>
  <c r="G31" i="49" a="1"/>
  <c r="G31" i="49" s="1"/>
  <c r="G52" i="49" a="1"/>
  <c r="G52" i="49" s="1"/>
  <c r="G71" i="49" a="1"/>
  <c r="G71" i="49" s="1"/>
  <c r="G79" i="49" a="1"/>
  <c r="G79" i="49" s="1"/>
  <c r="G85" i="49" a="1"/>
  <c r="G85" i="49" s="1"/>
  <c r="G92" i="49" a="1"/>
  <c r="G92" i="49" s="1"/>
  <c r="G99" i="49" a="1"/>
  <c r="G99" i="49" s="1"/>
  <c r="G104" i="49" a="1"/>
  <c r="G104" i="49" s="1"/>
  <c r="G118" i="49" a="1"/>
  <c r="G118" i="49" s="1"/>
  <c r="G125" i="49" a="1"/>
  <c r="G125" i="49" s="1"/>
  <c r="G138" i="49" a="1"/>
  <c r="G138" i="49" s="1"/>
  <c r="G145" i="49" a="1"/>
  <c r="G145" i="49" s="1"/>
  <c r="G159" i="49" a="1"/>
  <c r="G159" i="49" s="1"/>
  <c r="G165" i="49" a="1"/>
  <c r="G165" i="49" s="1"/>
  <c r="G172" i="49" a="1"/>
  <c r="G172" i="49" s="1"/>
  <c r="G179" i="49" a="1"/>
  <c r="G179" i="49" s="1"/>
  <c r="G185" i="49" a="1"/>
  <c r="G185" i="49" s="1"/>
  <c r="G192" i="49" a="1"/>
  <c r="G192" i="49" s="1"/>
  <c r="G198" i="49" a="1"/>
  <c r="G198" i="49" s="1"/>
  <c r="G204" i="49" a="1"/>
  <c r="G204" i="49" s="1"/>
  <c r="G211" i="49" a="1"/>
  <c r="G211" i="49" s="1"/>
  <c r="G216" i="49" a="1"/>
  <c r="G216" i="49" s="1"/>
  <c r="G223" i="49" a="1"/>
  <c r="G223" i="49" s="1"/>
  <c r="G229" i="49" a="1"/>
  <c r="G229" i="49" s="1"/>
  <c r="G235" i="49" a="1"/>
  <c r="G235" i="49" s="1"/>
  <c r="G241" i="49" a="1"/>
  <c r="G241" i="49" s="1"/>
  <c r="G247" i="49" a="1"/>
  <c r="G247" i="49" s="1"/>
  <c r="G253" i="49" a="1"/>
  <c r="G253" i="49" s="1"/>
  <c r="G265" i="49" a="1"/>
  <c r="G265" i="49" s="1"/>
  <c r="G290" i="49" a="1"/>
  <c r="G290" i="49" s="1"/>
  <c r="G302" i="49" a="1"/>
  <c r="G302" i="49" s="1"/>
  <c r="G308" i="49" a="1"/>
  <c r="G308" i="49" s="1"/>
  <c r="G314" i="49" a="1"/>
  <c r="G314" i="49" s="1"/>
  <c r="G320" i="49" a="1"/>
  <c r="G320" i="49" s="1"/>
  <c r="G326" i="49" a="1"/>
  <c r="G326" i="49" s="1"/>
  <c r="G332" i="49" a="1"/>
  <c r="G332" i="49" s="1"/>
  <c r="G339" i="49" a="1"/>
  <c r="G339" i="49" s="1"/>
  <c r="G344" i="49" a="1"/>
  <c r="G344" i="49" s="1"/>
  <c r="G350" i="49" a="1"/>
  <c r="G350" i="49" s="1"/>
  <c r="G356" i="49" a="1"/>
  <c r="G356" i="49" s="1"/>
  <c r="G362" i="49" a="1"/>
  <c r="G362" i="49" s="1"/>
  <c r="G375" i="49" a="1"/>
  <c r="G375" i="49" s="1"/>
  <c r="G381" i="49" a="1"/>
  <c r="G381" i="49" s="1"/>
  <c r="G388" i="49" a="1"/>
  <c r="G388" i="49" s="1"/>
  <c r="G394" i="49" a="1"/>
  <c r="G394" i="49" s="1"/>
  <c r="G407" i="49" a="1"/>
  <c r="G407" i="49" s="1"/>
  <c r="G413" i="49" a="1"/>
  <c r="G413" i="49" s="1"/>
  <c r="G420" i="49" a="1"/>
  <c r="G420" i="49" s="1"/>
  <c r="G426" i="49" a="1"/>
  <c r="G426" i="49" s="1"/>
  <c r="G439" i="49" a="1"/>
  <c r="G439" i="49" s="1"/>
  <c r="G445" i="49" a="1"/>
  <c r="G445" i="49" s="1"/>
  <c r="G452" i="49" a="1"/>
  <c r="G452" i="49" s="1"/>
  <c r="G458" i="49" a="1"/>
  <c r="G458" i="49" s="1"/>
  <c r="G471" i="49" a="1"/>
  <c r="G471" i="49" s="1"/>
  <c r="G477" i="49" a="1"/>
  <c r="G477" i="49" s="1"/>
  <c r="G484" i="49" a="1"/>
  <c r="G484" i="49" s="1"/>
  <c r="G490" i="49" a="1"/>
  <c r="G490" i="49" s="1"/>
  <c r="G503" i="49" a="1"/>
  <c r="G503" i="49" s="1"/>
  <c r="G509" i="49" a="1"/>
  <c r="G509" i="49" s="1"/>
  <c r="G516" i="49" a="1"/>
  <c r="G516" i="49" s="1"/>
  <c r="G522" i="49" a="1"/>
  <c r="G522" i="49" s="1"/>
  <c r="G535" i="49" a="1"/>
  <c r="G535" i="49" s="1"/>
  <c r="G541" i="49" a="1"/>
  <c r="G541" i="49" s="1"/>
  <c r="G548" i="49" a="1"/>
  <c r="G548" i="49" s="1"/>
  <c r="G554" i="49" a="1"/>
  <c r="G554" i="49" s="1"/>
  <c r="G32" i="49" a="1"/>
  <c r="G32" i="49" s="1"/>
  <c r="G55" i="49" a="1"/>
  <c r="G55" i="49" s="1"/>
  <c r="G64" i="49" a="1"/>
  <c r="G64" i="49" s="1"/>
  <c r="G93" i="49" a="1"/>
  <c r="G93" i="49" s="1"/>
  <c r="G105" i="49" a="1"/>
  <c r="G105" i="49" s="1"/>
  <c r="G112" i="49" a="1"/>
  <c r="G112" i="49" s="1"/>
  <c r="G119" i="49" a="1"/>
  <c r="G119" i="49" s="1"/>
  <c r="G126" i="49" a="1"/>
  <c r="G126" i="49" s="1"/>
  <c r="G132" i="49" a="1"/>
  <c r="G132" i="49" s="1"/>
  <c r="G139" i="49" a="1"/>
  <c r="G139" i="49" s="1"/>
  <c r="G146" i="49" a="1"/>
  <c r="G146" i="49" s="1"/>
  <c r="G152" i="49" a="1"/>
  <c r="G152" i="49" s="1"/>
  <c r="G166" i="49" a="1"/>
  <c r="G166" i="49" s="1"/>
  <c r="G173" i="49" a="1"/>
  <c r="G173" i="49" s="1"/>
  <c r="G186" i="49" a="1"/>
  <c r="G186" i="49" s="1"/>
  <c r="G193" i="49" a="1"/>
  <c r="G193" i="49" s="1"/>
  <c r="G199" i="49" a="1"/>
  <c r="G199" i="49" s="1"/>
  <c r="G205" i="49" a="1"/>
  <c r="G205" i="49" s="1"/>
  <c r="G217" i="49" a="1"/>
  <c r="G217" i="49" s="1"/>
  <c r="G242" i="49" a="1"/>
  <c r="G242" i="49" s="1"/>
  <c r="G254" i="49" a="1"/>
  <c r="G254" i="49" s="1"/>
  <c r="G260" i="49" a="1"/>
  <c r="G260" i="49" s="1"/>
  <c r="G266" i="49" a="1"/>
  <c r="G266" i="49" s="1"/>
  <c r="G272" i="49" a="1"/>
  <c r="G272" i="49" s="1"/>
  <c r="G278" i="49" a="1"/>
  <c r="G278" i="49" s="1"/>
  <c r="G284" i="49" a="1"/>
  <c r="G284" i="49" s="1"/>
  <c r="G291" i="49" a="1"/>
  <c r="G291" i="49" s="1"/>
  <c r="G296" i="49" a="1"/>
  <c r="G296" i="49" s="1"/>
  <c r="G303" i="49" a="1"/>
  <c r="G303" i="49" s="1"/>
  <c r="G309" i="49" a="1"/>
  <c r="G309" i="49" s="1"/>
  <c r="G315" i="49" a="1"/>
  <c r="G315" i="49" s="1"/>
  <c r="G321" i="49" a="1"/>
  <c r="G321" i="49" s="1"/>
  <c r="G327" i="49" a="1"/>
  <c r="G327" i="49" s="1"/>
  <c r="G333" i="49" a="1"/>
  <c r="G333" i="49" s="1"/>
  <c r="G345" i="49" a="1"/>
  <c r="G345" i="49" s="1"/>
  <c r="G363" i="49" a="1"/>
  <c r="G363" i="49" s="1"/>
  <c r="G369" i="49" a="1"/>
  <c r="G369" i="49" s="1"/>
  <c r="G376" i="49" a="1"/>
  <c r="G376" i="49" s="1"/>
  <c r="G382" i="49" a="1"/>
  <c r="G382" i="49" s="1"/>
  <c r="G395" i="49" a="1"/>
  <c r="G395" i="49" s="1"/>
  <c r="G401" i="49" a="1"/>
  <c r="G401" i="49" s="1"/>
  <c r="G408" i="49" a="1"/>
  <c r="G408" i="49" s="1"/>
  <c r="G414" i="49" a="1"/>
  <c r="G414" i="49" s="1"/>
  <c r="G427" i="49" a="1"/>
  <c r="G427" i="49" s="1"/>
  <c r="G433" i="49" a="1"/>
  <c r="G433" i="49" s="1"/>
  <c r="G440" i="49" a="1"/>
  <c r="G440" i="49" s="1"/>
  <c r="G446" i="49" a="1"/>
  <c r="G446" i="49" s="1"/>
  <c r="G459" i="49" a="1"/>
  <c r="G459" i="49" s="1"/>
  <c r="G465" i="49" a="1"/>
  <c r="G465" i="49" s="1"/>
  <c r="G472" i="49" a="1"/>
  <c r="G472" i="49" s="1"/>
  <c r="G478" i="49" a="1"/>
  <c r="G478" i="49" s="1"/>
  <c r="G491" i="49" a="1"/>
  <c r="G491" i="49" s="1"/>
  <c r="G497" i="49" a="1"/>
  <c r="G497" i="49" s="1"/>
  <c r="G504" i="49" a="1"/>
  <c r="G504" i="49" s="1"/>
  <c r="G510" i="49" a="1"/>
  <c r="G510" i="49" s="1"/>
  <c r="G523" i="49" a="1"/>
  <c r="G523" i="49" s="1"/>
  <c r="G529" i="49" a="1"/>
  <c r="G529" i="49" s="1"/>
  <c r="G536" i="49" a="1"/>
  <c r="G536" i="49" s="1"/>
  <c r="G542" i="49" a="1"/>
  <c r="G542" i="49" s="1"/>
  <c r="G555" i="49" a="1"/>
  <c r="G555" i="49" s="1"/>
  <c r="G561" i="49" a="1"/>
  <c r="G561" i="49" s="1"/>
  <c r="G37" i="49" a="1"/>
  <c r="G37" i="49" s="1"/>
  <c r="G56" i="49" a="1"/>
  <c r="G56" i="49" s="1"/>
  <c r="G72" i="49" a="1"/>
  <c r="G72" i="49" s="1"/>
  <c r="G80" i="49" a="1"/>
  <c r="G80" i="49" s="1"/>
  <c r="G86" i="49" a="1"/>
  <c r="G86" i="49" s="1"/>
  <c r="G94" i="49" a="1"/>
  <c r="G94" i="49" s="1"/>
  <c r="G100" i="49" a="1"/>
  <c r="G100" i="49" s="1"/>
  <c r="G106" i="49" a="1"/>
  <c r="G106" i="49" s="1"/>
  <c r="G113" i="49" a="1"/>
  <c r="G113" i="49" s="1"/>
  <c r="G127" i="49" a="1"/>
  <c r="G127" i="49" s="1"/>
  <c r="G133" i="49" a="1"/>
  <c r="G133" i="49" s="1"/>
  <c r="G140" i="49" a="1"/>
  <c r="G140" i="49" s="1"/>
  <c r="G147" i="49" a="1"/>
  <c r="G147" i="49" s="1"/>
  <c r="G153" i="49" a="1"/>
  <c r="G153" i="49" s="1"/>
  <c r="G160" i="49" a="1"/>
  <c r="G160" i="49" s="1"/>
  <c r="G167" i="49" a="1"/>
  <c r="G167" i="49" s="1"/>
  <c r="G174" i="49" a="1"/>
  <c r="G174" i="49" s="1"/>
  <c r="G180" i="49" a="1"/>
  <c r="G180" i="49" s="1"/>
  <c r="G187" i="49" a="1"/>
  <c r="G187" i="49" s="1"/>
  <c r="G194" i="49" a="1"/>
  <c r="G194" i="49" s="1"/>
  <c r="G206" i="49" a="1"/>
  <c r="G206" i="49" s="1"/>
  <c r="G212" i="49" a="1"/>
  <c r="G212" i="49" s="1"/>
  <c r="G218" i="49" a="1"/>
  <c r="G218" i="49" s="1"/>
  <c r="G224" i="49" a="1"/>
  <c r="G224" i="49" s="1"/>
  <c r="G230" i="49" a="1"/>
  <c r="G230" i="49" s="1"/>
  <c r="G236" i="49" a="1"/>
  <c r="G236" i="49" s="1"/>
  <c r="G243" i="49" a="1"/>
  <c r="G243" i="49" s="1"/>
  <c r="G248" i="49" a="1"/>
  <c r="G248" i="49" s="1"/>
  <c r="G255" i="49" a="1"/>
  <c r="G255" i="49" s="1"/>
  <c r="G261" i="49" a="1"/>
  <c r="G261" i="49" s="1"/>
  <c r="G267" i="49" a="1"/>
  <c r="G267" i="49" s="1"/>
  <c r="G273" i="49" a="1"/>
  <c r="G273" i="49" s="1"/>
  <c r="G279" i="49" a="1"/>
  <c r="G279" i="49" s="1"/>
  <c r="G285" i="49" a="1"/>
  <c r="G285" i="49" s="1"/>
  <c r="G297" i="49" a="1"/>
  <c r="G297" i="49" s="1"/>
  <c r="G322" i="49" a="1"/>
  <c r="G322" i="49" s="1"/>
  <c r="G334" i="49" a="1"/>
  <c r="G334" i="49" s="1"/>
  <c r="G340" i="49" a="1"/>
  <c r="G340" i="49" s="1"/>
  <c r="G346" i="49" a="1"/>
  <c r="G346" i="49" s="1"/>
  <c r="G351" i="49" a="1"/>
  <c r="G351" i="49" s="1"/>
  <c r="G357" i="49" a="1"/>
  <c r="G357" i="49" s="1"/>
  <c r="G364" i="49" a="1"/>
  <c r="G364" i="49" s="1"/>
  <c r="G370" i="49" a="1"/>
  <c r="G370" i="49" s="1"/>
  <c r="G383" i="49" a="1"/>
  <c r="G383" i="49" s="1"/>
  <c r="G389" i="49" a="1"/>
  <c r="G389" i="49" s="1"/>
  <c r="G396" i="49" a="1"/>
  <c r="G396" i="49" s="1"/>
  <c r="G402" i="49" a="1"/>
  <c r="G402" i="49" s="1"/>
  <c r="G415" i="49" a="1"/>
  <c r="G415" i="49" s="1"/>
  <c r="G421" i="49" a="1"/>
  <c r="G421" i="49" s="1"/>
  <c r="G428" i="49" a="1"/>
  <c r="G428" i="49" s="1"/>
  <c r="G434" i="49" a="1"/>
  <c r="G434" i="49" s="1"/>
  <c r="G447" i="49" a="1"/>
  <c r="G447" i="49" s="1"/>
  <c r="G453" i="49" a="1"/>
  <c r="G453" i="49" s="1"/>
  <c r="G460" i="49" a="1"/>
  <c r="G460" i="49" s="1"/>
  <c r="G466" i="49" a="1"/>
  <c r="G466" i="49" s="1"/>
  <c r="G479" i="49" a="1"/>
  <c r="G479" i="49" s="1"/>
  <c r="G485" i="49" a="1"/>
  <c r="G485" i="49" s="1"/>
  <c r="G492" i="49" a="1"/>
  <c r="G492" i="49" s="1"/>
  <c r="G498" i="49" a="1"/>
  <c r="G498" i="49" s="1"/>
  <c r="G511" i="49" a="1"/>
  <c r="G511" i="49" s="1"/>
  <c r="G517" i="49" a="1"/>
  <c r="G517" i="49" s="1"/>
  <c r="G539" i="49" a="1"/>
  <c r="G539" i="49" s="1"/>
  <c r="G558" i="49" a="1"/>
  <c r="G558" i="49" s="1"/>
  <c r="G577" i="49" a="1"/>
  <c r="G577" i="49" s="1"/>
  <c r="G586" i="49" a="1"/>
  <c r="G586" i="49" s="1"/>
  <c r="G593" i="49" a="1"/>
  <c r="G593" i="49" s="1"/>
  <c r="G600" i="49" a="1"/>
  <c r="G600" i="49" s="1"/>
  <c r="G606" i="49" a="1"/>
  <c r="G606" i="49" s="1"/>
  <c r="G619" i="49" a="1"/>
  <c r="G619" i="49" s="1"/>
  <c r="G625" i="49" a="1"/>
  <c r="G625" i="49" s="1"/>
  <c r="G632" i="49" a="1"/>
  <c r="G632" i="49" s="1"/>
  <c r="G638" i="49" a="1"/>
  <c r="G638" i="49" s="1"/>
  <c r="G651" i="49" a="1"/>
  <c r="G651" i="49" s="1"/>
  <c r="G657" i="49" a="1"/>
  <c r="G657" i="49" s="1"/>
  <c r="G664" i="49" a="1"/>
  <c r="G664" i="49" s="1"/>
  <c r="G670" i="49" a="1"/>
  <c r="G670" i="49" s="1"/>
  <c r="G676" i="49" a="1"/>
  <c r="G676" i="49" s="1"/>
  <c r="G681" i="49" a="1"/>
  <c r="G681" i="49" s="1"/>
  <c r="G692" i="49" a="1"/>
  <c r="G692" i="49" s="1"/>
  <c r="G697" i="49" a="1"/>
  <c r="G697" i="49" s="1"/>
  <c r="G708" i="49" a="1"/>
  <c r="G708" i="49" s="1"/>
  <c r="G713" i="49" a="1"/>
  <c r="G713" i="49" s="1"/>
  <c r="G724" i="49" a="1"/>
  <c r="G724" i="49" s="1"/>
  <c r="G729" i="49" a="1"/>
  <c r="G729" i="49" s="1"/>
  <c r="G740" i="49" a="1"/>
  <c r="G740" i="49" s="1"/>
  <c r="G745" i="49" a="1"/>
  <c r="G745" i="49" s="1"/>
  <c r="G756" i="49" a="1"/>
  <c r="G756" i="49" s="1"/>
  <c r="G761" i="49" a="1"/>
  <c r="G761" i="49" s="1"/>
  <c r="G772" i="49" a="1"/>
  <c r="G772" i="49" s="1"/>
  <c r="G777" i="49" a="1"/>
  <c r="G777" i="49" s="1"/>
  <c r="G788" i="49" a="1"/>
  <c r="G788" i="49" s="1"/>
  <c r="G793" i="49" a="1"/>
  <c r="G793" i="49" s="1"/>
  <c r="G804" i="49" a="1"/>
  <c r="G804" i="49" s="1"/>
  <c r="G809" i="49" a="1"/>
  <c r="G809" i="49" s="1"/>
  <c r="G820" i="49" a="1"/>
  <c r="G820" i="49" s="1"/>
  <c r="G825" i="49" a="1"/>
  <c r="G825" i="49" s="1"/>
  <c r="G836" i="49" a="1"/>
  <c r="G836" i="49" s="1"/>
  <c r="G841" i="49" a="1"/>
  <c r="G841" i="49" s="1"/>
  <c r="G852" i="49" a="1"/>
  <c r="G852" i="49" s="1"/>
  <c r="G857" i="49" a="1"/>
  <c r="G857" i="49" s="1"/>
  <c r="G868" i="49" a="1"/>
  <c r="G868" i="49" s="1"/>
  <c r="G873" i="49" a="1"/>
  <c r="G873" i="49" s="1"/>
  <c r="D17" i="49" a="1"/>
  <c r="D17" i="49" s="1"/>
  <c r="D25" i="49" a="1"/>
  <c r="D25" i="49" s="1"/>
  <c r="D33" i="49" a="1"/>
  <c r="D33" i="49" s="1"/>
  <c r="D39" i="49" a="1"/>
  <c r="D39" i="49" s="1"/>
  <c r="D47" i="49" a="1"/>
  <c r="D47" i="49" s="1"/>
  <c r="D55" i="49" a="1"/>
  <c r="D55" i="49" s="1"/>
  <c r="D62" i="49" a="1"/>
  <c r="D62" i="49" s="1"/>
  <c r="D69" i="49" a="1"/>
  <c r="D69" i="49" s="1"/>
  <c r="D76" i="49" a="1"/>
  <c r="D76" i="49" s="1"/>
  <c r="D84" i="49" a="1"/>
  <c r="D84" i="49" s="1"/>
  <c r="D91" i="49" a="1"/>
  <c r="D91" i="49" s="1"/>
  <c r="D98" i="49" a="1"/>
  <c r="D98" i="49" s="1"/>
  <c r="D105" i="49" a="1"/>
  <c r="D105" i="49" s="1"/>
  <c r="D113" i="49" a="1"/>
  <c r="D113" i="49" s="1"/>
  <c r="D120" i="49" a="1"/>
  <c r="D120" i="49" s="1"/>
  <c r="D128" i="49" a="1"/>
  <c r="D128" i="49" s="1"/>
  <c r="D134" i="49" a="1"/>
  <c r="D134" i="49" s="1"/>
  <c r="D142" i="49" a="1"/>
  <c r="D142" i="49" s="1"/>
  <c r="D149" i="49" a="1"/>
  <c r="D149" i="49" s="1"/>
  <c r="D156" i="49" a="1"/>
  <c r="D156" i="49" s="1"/>
  <c r="D163" i="49" a="1"/>
  <c r="D163" i="49" s="1"/>
  <c r="D170" i="49" a="1"/>
  <c r="D170" i="49" s="1"/>
  <c r="D184" i="49" a="1"/>
  <c r="D184" i="49" s="1"/>
  <c r="D192" i="49" a="1"/>
  <c r="D192" i="49" s="1"/>
  <c r="G543" i="49" a="1"/>
  <c r="G543" i="49" s="1"/>
  <c r="G569" i="49" a="1"/>
  <c r="G569" i="49" s="1"/>
  <c r="G578" i="49" a="1"/>
  <c r="G578" i="49" s="1"/>
  <c r="G587" i="49" a="1"/>
  <c r="G587" i="49" s="1"/>
  <c r="G594" i="49" a="1"/>
  <c r="G594" i="49" s="1"/>
  <c r="G607" i="49" a="1"/>
  <c r="G607" i="49" s="1"/>
  <c r="G613" i="49" a="1"/>
  <c r="G613" i="49" s="1"/>
  <c r="G620" i="49" a="1"/>
  <c r="G620" i="49" s="1"/>
  <c r="G626" i="49" a="1"/>
  <c r="G626" i="49" s="1"/>
  <c r="G639" i="49" a="1"/>
  <c r="G639" i="49" s="1"/>
  <c r="G645" i="49" a="1"/>
  <c r="G645" i="49" s="1"/>
  <c r="G652" i="49" a="1"/>
  <c r="G652" i="49" s="1"/>
  <c r="G658" i="49" a="1"/>
  <c r="G658" i="49" s="1"/>
  <c r="G671" i="49" a="1"/>
  <c r="G671" i="49" s="1"/>
  <c r="G682" i="49" a="1"/>
  <c r="G682" i="49" s="1"/>
  <c r="G687" i="49" a="1"/>
  <c r="G687" i="49" s="1"/>
  <c r="G698" i="49" a="1"/>
  <c r="G698" i="49" s="1"/>
  <c r="G703" i="49" a="1"/>
  <c r="G703" i="49" s="1"/>
  <c r="G714" i="49" a="1"/>
  <c r="G714" i="49" s="1"/>
  <c r="G719" i="49" a="1"/>
  <c r="G719" i="49" s="1"/>
  <c r="G730" i="49" a="1"/>
  <c r="G730" i="49" s="1"/>
  <c r="G735" i="49" a="1"/>
  <c r="G735" i="49" s="1"/>
  <c r="G746" i="49" a="1"/>
  <c r="G746" i="49" s="1"/>
  <c r="G751" i="49" a="1"/>
  <c r="G751" i="49" s="1"/>
  <c r="G762" i="49" a="1"/>
  <c r="G762" i="49" s="1"/>
  <c r="G767" i="49" a="1"/>
  <c r="G767" i="49" s="1"/>
  <c r="G778" i="49" a="1"/>
  <c r="G778" i="49" s="1"/>
  <c r="G783" i="49" a="1"/>
  <c r="G783" i="49" s="1"/>
  <c r="G794" i="49" a="1"/>
  <c r="G794" i="49" s="1"/>
  <c r="G799" i="49" a="1"/>
  <c r="G799" i="49" s="1"/>
  <c r="G810" i="49" a="1"/>
  <c r="G810" i="49" s="1"/>
  <c r="G815" i="49" a="1"/>
  <c r="G815" i="49" s="1"/>
  <c r="G826" i="49" a="1"/>
  <c r="G826" i="49" s="1"/>
  <c r="G831" i="49" a="1"/>
  <c r="G831" i="49" s="1"/>
  <c r="G842" i="49" a="1"/>
  <c r="G842" i="49" s="1"/>
  <c r="G847" i="49" a="1"/>
  <c r="G847" i="49" s="1"/>
  <c r="G858" i="49" a="1"/>
  <c r="G858" i="49" s="1"/>
  <c r="G863" i="49" a="1"/>
  <c r="G863" i="49" s="1"/>
  <c r="G874" i="49" a="1"/>
  <c r="G874" i="49" s="1"/>
  <c r="D10" i="49" a="1"/>
  <c r="D10" i="49" s="1"/>
  <c r="D18" i="49" a="1"/>
  <c r="D18" i="49" s="1"/>
  <c r="D26" i="49" a="1"/>
  <c r="D26" i="49" s="1"/>
  <c r="D40" i="49" a="1"/>
  <c r="D40" i="49" s="1"/>
  <c r="D48" i="49" a="1"/>
  <c r="D48" i="49" s="1"/>
  <c r="D56" i="49" a="1"/>
  <c r="D56" i="49" s="1"/>
  <c r="D63" i="49" a="1"/>
  <c r="D63" i="49" s="1"/>
  <c r="D77" i="49" a="1"/>
  <c r="D77" i="49" s="1"/>
  <c r="D85" i="49" a="1"/>
  <c r="D85" i="49" s="1"/>
  <c r="D92" i="49" a="1"/>
  <c r="D92" i="49" s="1"/>
  <c r="D99" i="49" a="1"/>
  <c r="D99" i="49" s="1"/>
  <c r="D106" i="49" a="1"/>
  <c r="D106" i="49" s="1"/>
  <c r="D114" i="49" a="1"/>
  <c r="D114" i="49" s="1"/>
  <c r="D121" i="49" a="1"/>
  <c r="D121" i="49" s="1"/>
  <c r="D129" i="49" a="1"/>
  <c r="D129" i="49" s="1"/>
  <c r="D135" i="49" a="1"/>
  <c r="D135" i="49" s="1"/>
  <c r="D143" i="49" a="1"/>
  <c r="D143" i="49" s="1"/>
  <c r="D157" i="49" a="1"/>
  <c r="D157" i="49" s="1"/>
  <c r="D164" i="49" a="1"/>
  <c r="D164" i="49" s="1"/>
  <c r="D171" i="49" a="1"/>
  <c r="D171" i="49" s="1"/>
  <c r="D178" i="49" a="1"/>
  <c r="D178" i="49" s="1"/>
  <c r="D185" i="49" a="1"/>
  <c r="D185" i="49" s="1"/>
  <c r="D193" i="49" a="1"/>
  <c r="D193" i="49" s="1"/>
  <c r="D199" i="49" a="1"/>
  <c r="D199" i="49" s="1"/>
  <c r="D207" i="49" a="1"/>
  <c r="D207" i="49" s="1"/>
  <c r="D221" i="49" a="1"/>
  <c r="D221" i="49" s="1"/>
  <c r="G545" i="49" a="1"/>
  <c r="G545" i="49" s="1"/>
  <c r="G562" i="49" a="1"/>
  <c r="G562" i="49" s="1"/>
  <c r="G571" i="49" a="1"/>
  <c r="G571" i="49" s="1"/>
  <c r="G580" i="49" a="1"/>
  <c r="G580" i="49" s="1"/>
  <c r="G588" i="49" a="1"/>
  <c r="G588" i="49" s="1"/>
  <c r="G595" i="49" a="1"/>
  <c r="G595" i="49" s="1"/>
  <c r="G601" i="49" a="1"/>
  <c r="G601" i="49" s="1"/>
  <c r="G608" i="49" a="1"/>
  <c r="G608" i="49" s="1"/>
  <c r="G614" i="49" a="1"/>
  <c r="G614" i="49" s="1"/>
  <c r="G627" i="49" a="1"/>
  <c r="G627" i="49" s="1"/>
  <c r="G633" i="49" a="1"/>
  <c r="G633" i="49" s="1"/>
  <c r="G640" i="49" a="1"/>
  <c r="G640" i="49" s="1"/>
  <c r="G646" i="49" a="1"/>
  <c r="G646" i="49" s="1"/>
  <c r="G659" i="49" a="1"/>
  <c r="G659" i="49" s="1"/>
  <c r="G665" i="49" a="1"/>
  <c r="G665" i="49" s="1"/>
  <c r="G672" i="49" a="1"/>
  <c r="G672" i="49" s="1"/>
  <c r="G677" i="49" a="1"/>
  <c r="G677" i="49" s="1"/>
  <c r="G688" i="49" a="1"/>
  <c r="G688" i="49" s="1"/>
  <c r="G693" i="49" a="1"/>
  <c r="G693" i="49" s="1"/>
  <c r="G704" i="49" a="1"/>
  <c r="G704" i="49" s="1"/>
  <c r="G709" i="49" a="1"/>
  <c r="G709" i="49" s="1"/>
  <c r="G720" i="49" a="1"/>
  <c r="G720" i="49" s="1"/>
  <c r="G725" i="49" a="1"/>
  <c r="G725" i="49" s="1"/>
  <c r="G736" i="49" a="1"/>
  <c r="G736" i="49" s="1"/>
  <c r="G741" i="49" a="1"/>
  <c r="G741" i="49" s="1"/>
  <c r="G752" i="49" a="1"/>
  <c r="G752" i="49" s="1"/>
  <c r="G757" i="49" a="1"/>
  <c r="G757" i="49" s="1"/>
  <c r="G768" i="49" a="1"/>
  <c r="G768" i="49" s="1"/>
  <c r="G773" i="49" a="1"/>
  <c r="G773" i="49" s="1"/>
  <c r="G784" i="49" a="1"/>
  <c r="G784" i="49" s="1"/>
  <c r="G789" i="49" a="1"/>
  <c r="G789" i="49" s="1"/>
  <c r="G800" i="49" a="1"/>
  <c r="G800" i="49" s="1"/>
  <c r="G805" i="49" a="1"/>
  <c r="G805" i="49" s="1"/>
  <c r="G816" i="49" a="1"/>
  <c r="G816" i="49" s="1"/>
  <c r="G821" i="49" a="1"/>
  <c r="G821" i="49" s="1"/>
  <c r="G832" i="49" a="1"/>
  <c r="G832" i="49" s="1"/>
  <c r="G837" i="49" a="1"/>
  <c r="G837" i="49" s="1"/>
  <c r="G848" i="49" a="1"/>
  <c r="G848" i="49" s="1"/>
  <c r="G853" i="49" a="1"/>
  <c r="G853" i="49" s="1"/>
  <c r="G864" i="49" a="1"/>
  <c r="G864" i="49" s="1"/>
  <c r="G869" i="49" a="1"/>
  <c r="G869" i="49" s="1"/>
  <c r="D11" i="49" a="1"/>
  <c r="D11" i="49" s="1"/>
  <c r="D19" i="49" a="1"/>
  <c r="D19" i="49" s="1"/>
  <c r="D27" i="49" a="1"/>
  <c r="D27" i="49" s="1"/>
  <c r="D34" i="49" a="1"/>
  <c r="D34" i="49" s="1"/>
  <c r="D41" i="49" a="1"/>
  <c r="D41" i="49" s="1"/>
  <c r="D49" i="49" a="1"/>
  <c r="D49" i="49" s="1"/>
  <c r="D57" i="49" a="1"/>
  <c r="D57" i="49" s="1"/>
  <c r="D64" i="49" a="1"/>
  <c r="D64" i="49" s="1"/>
  <c r="D70" i="49" a="1"/>
  <c r="D70" i="49" s="1"/>
  <c r="D78" i="49" a="1"/>
  <c r="D78" i="49" s="1"/>
  <c r="D93" i="49" a="1"/>
  <c r="D93" i="49" s="1"/>
  <c r="D100" i="49" a="1"/>
  <c r="D100" i="49" s="1"/>
  <c r="D107" i="49" a="1"/>
  <c r="D107" i="49" s="1"/>
  <c r="D115" i="49" a="1"/>
  <c r="D115" i="49" s="1"/>
  <c r="D122" i="49" a="1"/>
  <c r="D122" i="49" s="1"/>
  <c r="D136" i="49" a="1"/>
  <c r="D136" i="49" s="1"/>
  <c r="D144" i="49" a="1"/>
  <c r="D144" i="49" s="1"/>
  <c r="D150" i="49" a="1"/>
  <c r="D150" i="49" s="1"/>
  <c r="D158" i="49" a="1"/>
  <c r="D158" i="49" s="1"/>
  <c r="D165" i="49" a="1"/>
  <c r="D165" i="49" s="1"/>
  <c r="D172" i="49" a="1"/>
  <c r="D172" i="49" s="1"/>
  <c r="D179" i="49" a="1"/>
  <c r="D179" i="49" s="1"/>
  <c r="G549" i="49" a="1"/>
  <c r="G549" i="49" s="1"/>
  <c r="G563" i="49" a="1"/>
  <c r="G563" i="49" s="1"/>
  <c r="G572" i="49" a="1"/>
  <c r="G572" i="49" s="1"/>
  <c r="G596" i="49" a="1"/>
  <c r="G596" i="49" s="1"/>
  <c r="G602" i="49" a="1"/>
  <c r="G602" i="49" s="1"/>
  <c r="G615" i="49" a="1"/>
  <c r="G615" i="49" s="1"/>
  <c r="G621" i="49" a="1"/>
  <c r="G621" i="49" s="1"/>
  <c r="G628" i="49" a="1"/>
  <c r="G628" i="49" s="1"/>
  <c r="G634" i="49" a="1"/>
  <c r="G634" i="49" s="1"/>
  <c r="G647" i="49" a="1"/>
  <c r="G647" i="49" s="1"/>
  <c r="G653" i="49" a="1"/>
  <c r="G653" i="49" s="1"/>
  <c r="G660" i="49" a="1"/>
  <c r="G660" i="49" s="1"/>
  <c r="G666" i="49" a="1"/>
  <c r="G666" i="49" s="1"/>
  <c r="G678" i="49" a="1"/>
  <c r="G678" i="49" s="1"/>
  <c r="G683" i="49" a="1"/>
  <c r="G683" i="49" s="1"/>
  <c r="G694" i="49" a="1"/>
  <c r="G694" i="49" s="1"/>
  <c r="G699" i="49" a="1"/>
  <c r="G699" i="49" s="1"/>
  <c r="G710" i="49" a="1"/>
  <c r="G710" i="49" s="1"/>
  <c r="G715" i="49" a="1"/>
  <c r="G715" i="49" s="1"/>
  <c r="G726" i="49" a="1"/>
  <c r="G726" i="49" s="1"/>
  <c r="G731" i="49" a="1"/>
  <c r="G731" i="49" s="1"/>
  <c r="G742" i="49" a="1"/>
  <c r="G742" i="49" s="1"/>
  <c r="G747" i="49" a="1"/>
  <c r="G747" i="49" s="1"/>
  <c r="G758" i="49" a="1"/>
  <c r="G758" i="49" s="1"/>
  <c r="G763" i="49" a="1"/>
  <c r="G763" i="49" s="1"/>
  <c r="G774" i="49" a="1"/>
  <c r="G774" i="49" s="1"/>
  <c r="G779" i="49" a="1"/>
  <c r="G779" i="49" s="1"/>
  <c r="G790" i="49" a="1"/>
  <c r="G790" i="49" s="1"/>
  <c r="G795" i="49" a="1"/>
  <c r="G795" i="49" s="1"/>
  <c r="G806" i="49" a="1"/>
  <c r="G806" i="49" s="1"/>
  <c r="G811" i="49" a="1"/>
  <c r="G811" i="49" s="1"/>
  <c r="G822" i="49" a="1"/>
  <c r="G822" i="49" s="1"/>
  <c r="G827" i="49" a="1"/>
  <c r="G827" i="49" s="1"/>
  <c r="G838" i="49" a="1"/>
  <c r="G838" i="49" s="1"/>
  <c r="G843" i="49" a="1"/>
  <c r="G843" i="49" s="1"/>
  <c r="G854" i="49" a="1"/>
  <c r="G854" i="49" s="1"/>
  <c r="G859" i="49" a="1"/>
  <c r="G859" i="49" s="1"/>
  <c r="G870" i="49" a="1"/>
  <c r="G870" i="49" s="1"/>
  <c r="G5" i="49" a="1"/>
  <c r="G5" i="49" s="1"/>
  <c r="D12" i="49" a="1"/>
  <c r="D12" i="49" s="1"/>
  <c r="D20" i="49" a="1"/>
  <c r="D20" i="49" s="1"/>
  <c r="D28" i="49" a="1"/>
  <c r="D28" i="49" s="1"/>
  <c r="D35" i="49" a="1"/>
  <c r="D35" i="49" s="1"/>
  <c r="D42" i="49" a="1"/>
  <c r="D42" i="49" s="1"/>
  <c r="D50" i="49" a="1"/>
  <c r="D50" i="49" s="1"/>
  <c r="D58" i="49" a="1"/>
  <c r="D58" i="49" s="1"/>
  <c r="D65" i="49" a="1"/>
  <c r="D65" i="49" s="1"/>
  <c r="D71" i="49" a="1"/>
  <c r="D71" i="49" s="1"/>
  <c r="D79" i="49" a="1"/>
  <c r="D79" i="49" s="1"/>
  <c r="D86" i="49" a="1"/>
  <c r="D86" i="49" s="1"/>
  <c r="D94" i="49" a="1"/>
  <c r="D94" i="49" s="1"/>
  <c r="D101" i="49" a="1"/>
  <c r="D101" i="49" s="1"/>
  <c r="D108" i="49" a="1"/>
  <c r="D108" i="49" s="1"/>
  <c r="D116" i="49" a="1"/>
  <c r="D116" i="49" s="1"/>
  <c r="D123" i="49" a="1"/>
  <c r="D123" i="49" s="1"/>
  <c r="D130" i="49" a="1"/>
  <c r="D130" i="49" s="1"/>
  <c r="D137" i="49" a="1"/>
  <c r="D137" i="49" s="1"/>
  <c r="D145" i="49" a="1"/>
  <c r="D145" i="49" s="1"/>
  <c r="D151" i="49" a="1"/>
  <c r="D151" i="49" s="1"/>
  <c r="D159" i="49" a="1"/>
  <c r="D159" i="49" s="1"/>
  <c r="D173" i="49" a="1"/>
  <c r="D173" i="49" s="1"/>
  <c r="D180" i="49" a="1"/>
  <c r="D180" i="49" s="1"/>
  <c r="D187" i="49" a="1"/>
  <c r="D187" i="49" s="1"/>
  <c r="D194" i="49" a="1"/>
  <c r="D194" i="49" s="1"/>
  <c r="G524" i="49" a="1"/>
  <c r="G524" i="49" s="1"/>
  <c r="G550" i="49" a="1"/>
  <c r="G550" i="49" s="1"/>
  <c r="G573" i="49" a="1"/>
  <c r="G573" i="49" s="1"/>
  <c r="G581" i="49" a="1"/>
  <c r="G581" i="49" s="1"/>
  <c r="G590" i="49" a="1"/>
  <c r="G590" i="49" s="1"/>
  <c r="G603" i="49" a="1"/>
  <c r="G603" i="49" s="1"/>
  <c r="G609" i="49" a="1"/>
  <c r="G609" i="49" s="1"/>
  <c r="G616" i="49" a="1"/>
  <c r="G616" i="49" s="1"/>
  <c r="G622" i="49" a="1"/>
  <c r="G622" i="49" s="1"/>
  <c r="G635" i="49" a="1"/>
  <c r="G635" i="49" s="1"/>
  <c r="G641" i="49" a="1"/>
  <c r="G641" i="49" s="1"/>
  <c r="G648" i="49" a="1"/>
  <c r="G648" i="49" s="1"/>
  <c r="G654" i="49" a="1"/>
  <c r="G654" i="49" s="1"/>
  <c r="G667" i="49" a="1"/>
  <c r="G667" i="49" s="1"/>
  <c r="G673" i="49" a="1"/>
  <c r="G673" i="49" s="1"/>
  <c r="G684" i="49" a="1"/>
  <c r="G684" i="49" s="1"/>
  <c r="G689" i="49" a="1"/>
  <c r="G689" i="49" s="1"/>
  <c r="G700" i="49" a="1"/>
  <c r="G700" i="49" s="1"/>
  <c r="G705" i="49" a="1"/>
  <c r="G705" i="49" s="1"/>
  <c r="G716" i="49" a="1"/>
  <c r="G716" i="49" s="1"/>
  <c r="G721" i="49" a="1"/>
  <c r="G721" i="49" s="1"/>
  <c r="G732" i="49" a="1"/>
  <c r="G732" i="49" s="1"/>
  <c r="G737" i="49" a="1"/>
  <c r="G737" i="49" s="1"/>
  <c r="G748" i="49" a="1"/>
  <c r="G748" i="49" s="1"/>
  <c r="G753" i="49" a="1"/>
  <c r="G753" i="49" s="1"/>
  <c r="G764" i="49" a="1"/>
  <c r="G764" i="49" s="1"/>
  <c r="G769" i="49" a="1"/>
  <c r="G769" i="49" s="1"/>
  <c r="G780" i="49" a="1"/>
  <c r="G780" i="49" s="1"/>
  <c r="G785" i="49" a="1"/>
  <c r="G785" i="49" s="1"/>
  <c r="G796" i="49" a="1"/>
  <c r="G796" i="49" s="1"/>
  <c r="G801" i="49" a="1"/>
  <c r="G801" i="49" s="1"/>
  <c r="G812" i="49" a="1"/>
  <c r="G812" i="49" s="1"/>
  <c r="G817" i="49" a="1"/>
  <c r="G817" i="49" s="1"/>
  <c r="G828" i="49" a="1"/>
  <c r="G828" i="49" s="1"/>
  <c r="G833" i="49" a="1"/>
  <c r="G833" i="49" s="1"/>
  <c r="G844" i="49" a="1"/>
  <c r="G844" i="49" s="1"/>
  <c r="G849" i="49" a="1"/>
  <c r="G849" i="49" s="1"/>
  <c r="G860" i="49" a="1"/>
  <c r="G860" i="49" s="1"/>
  <c r="G865" i="49" a="1"/>
  <c r="G865" i="49" s="1"/>
  <c r="D6" i="49" a="1"/>
  <c r="D6" i="49" s="1"/>
  <c r="D13" i="49" a="1"/>
  <c r="D13" i="49" s="1"/>
  <c r="D21" i="49" a="1"/>
  <c r="D21" i="49" s="1"/>
  <c r="D29" i="49" a="1"/>
  <c r="D29" i="49" s="1"/>
  <c r="D36" i="49" a="1"/>
  <c r="D36" i="49" s="1"/>
  <c r="D43" i="49" a="1"/>
  <c r="D43" i="49" s="1"/>
  <c r="D51" i="49" a="1"/>
  <c r="D51" i="49" s="1"/>
  <c r="D59" i="49" a="1"/>
  <c r="D59" i="49" s="1"/>
  <c r="D72" i="49" a="1"/>
  <c r="D72" i="49" s="1"/>
  <c r="D80" i="49" a="1"/>
  <c r="D80" i="49" s="1"/>
  <c r="D87" i="49" a="1"/>
  <c r="D87" i="49" s="1"/>
  <c r="D95" i="49" a="1"/>
  <c r="D95" i="49" s="1"/>
  <c r="D109" i="49" a="1"/>
  <c r="D109" i="49" s="1"/>
  <c r="D117" i="49" a="1"/>
  <c r="D117" i="49" s="1"/>
  <c r="D124" i="49" a="1"/>
  <c r="D124" i="49" s="1"/>
  <c r="D131" i="49" a="1"/>
  <c r="D131" i="49" s="1"/>
  <c r="D138" i="49" a="1"/>
  <c r="D138" i="49" s="1"/>
  <c r="D152" i="49" a="1"/>
  <c r="D152" i="49" s="1"/>
  <c r="D160" i="49" a="1"/>
  <c r="D160" i="49" s="1"/>
  <c r="D166" i="49" a="1"/>
  <c r="D166" i="49" s="1"/>
  <c r="D174" i="49" a="1"/>
  <c r="D174" i="49" s="1"/>
  <c r="D181" i="49" a="1"/>
  <c r="D181" i="49" s="1"/>
  <c r="D188" i="49" a="1"/>
  <c r="D188" i="49" s="1"/>
  <c r="D195" i="49" a="1"/>
  <c r="D195" i="49" s="1"/>
  <c r="D202" i="49" a="1"/>
  <c r="D202" i="49" s="1"/>
  <c r="G530" i="49" a="1"/>
  <c r="G530" i="49" s="1"/>
  <c r="G552" i="49" a="1"/>
  <c r="G552" i="49" s="1"/>
  <c r="G565" i="49" a="1"/>
  <c r="G565" i="49" s="1"/>
  <c r="G574" i="49" a="1"/>
  <c r="G574" i="49" s="1"/>
  <c r="G582" i="49" a="1"/>
  <c r="G582" i="49" s="1"/>
  <c r="G591" i="49" a="1"/>
  <c r="G591" i="49" s="1"/>
  <c r="G597" i="49" a="1"/>
  <c r="G597" i="49" s="1"/>
  <c r="G604" i="49" a="1"/>
  <c r="G604" i="49" s="1"/>
  <c r="G610" i="49" a="1"/>
  <c r="G610" i="49" s="1"/>
  <c r="G623" i="49" a="1"/>
  <c r="G623" i="49" s="1"/>
  <c r="G629" i="49" a="1"/>
  <c r="G629" i="49" s="1"/>
  <c r="G636" i="49" a="1"/>
  <c r="G636" i="49" s="1"/>
  <c r="G642" i="49" a="1"/>
  <c r="G642" i="49" s="1"/>
  <c r="G655" i="49" a="1"/>
  <c r="G655" i="49" s="1"/>
  <c r="G661" i="49" a="1"/>
  <c r="G661" i="49" s="1"/>
  <c r="G668" i="49" a="1"/>
  <c r="G668" i="49" s="1"/>
  <c r="G674" i="49" a="1"/>
  <c r="G674" i="49" s="1"/>
  <c r="G679" i="49" a="1"/>
  <c r="G679" i="49" s="1"/>
  <c r="G690" i="49" a="1"/>
  <c r="G690" i="49" s="1"/>
  <c r="G695" i="49" a="1"/>
  <c r="G695" i="49" s="1"/>
  <c r="G706" i="49" a="1"/>
  <c r="G706" i="49" s="1"/>
  <c r="G711" i="49" a="1"/>
  <c r="G711" i="49" s="1"/>
  <c r="G722" i="49" a="1"/>
  <c r="G722" i="49" s="1"/>
  <c r="G727" i="49" a="1"/>
  <c r="G727" i="49" s="1"/>
  <c r="G738" i="49" a="1"/>
  <c r="G738" i="49" s="1"/>
  <c r="G743" i="49" a="1"/>
  <c r="G743" i="49" s="1"/>
  <c r="G754" i="49" a="1"/>
  <c r="G754" i="49" s="1"/>
  <c r="G759" i="49" a="1"/>
  <c r="G759" i="49" s="1"/>
  <c r="G770" i="49" a="1"/>
  <c r="G770" i="49" s="1"/>
  <c r="G775" i="49" a="1"/>
  <c r="G775" i="49" s="1"/>
  <c r="G786" i="49" a="1"/>
  <c r="G786" i="49" s="1"/>
  <c r="G791" i="49" a="1"/>
  <c r="G791" i="49" s="1"/>
  <c r="G802" i="49" a="1"/>
  <c r="G802" i="49" s="1"/>
  <c r="G807" i="49" a="1"/>
  <c r="G807" i="49" s="1"/>
  <c r="G818" i="49" a="1"/>
  <c r="G818" i="49" s="1"/>
  <c r="G823" i="49" a="1"/>
  <c r="G823" i="49" s="1"/>
  <c r="G834" i="49" a="1"/>
  <c r="G834" i="49" s="1"/>
  <c r="G839" i="49" a="1"/>
  <c r="G839" i="49" s="1"/>
  <c r="G850" i="49" a="1"/>
  <c r="G850" i="49" s="1"/>
  <c r="G855" i="49" a="1"/>
  <c r="G855" i="49" s="1"/>
  <c r="G866" i="49" a="1"/>
  <c r="G866" i="49" s="1"/>
  <c r="G871" i="49" a="1"/>
  <c r="G871" i="49" s="1"/>
  <c r="D7" i="49" a="1"/>
  <c r="D7" i="49" s="1"/>
  <c r="D14" i="49" a="1"/>
  <c r="D14" i="49" s="1"/>
  <c r="D22" i="49" a="1"/>
  <c r="D22" i="49" s="1"/>
  <c r="D30" i="49" a="1"/>
  <c r="D30" i="49" s="1"/>
  <c r="D37" i="49" a="1"/>
  <c r="D37" i="49" s="1"/>
  <c r="D44" i="49" a="1"/>
  <c r="D44" i="49" s="1"/>
  <c r="D52" i="49" a="1"/>
  <c r="D52" i="49" s="1"/>
  <c r="D60" i="49" a="1"/>
  <c r="D60" i="49" s="1"/>
  <c r="D66" i="49" a="1"/>
  <c r="D66" i="49" s="1"/>
  <c r="D73" i="49" a="1"/>
  <c r="D73" i="49" s="1"/>
  <c r="D81" i="49" a="1"/>
  <c r="D81" i="49" s="1"/>
  <c r="D88" i="49" a="1"/>
  <c r="D88" i="49" s="1"/>
  <c r="D96" i="49" a="1"/>
  <c r="D96" i="49" s="1"/>
  <c r="D102" i="49" a="1"/>
  <c r="D102" i="49" s="1"/>
  <c r="D110" i="49" a="1"/>
  <c r="D110" i="49" s="1"/>
  <c r="D125" i="49" a="1"/>
  <c r="D125" i="49" s="1"/>
  <c r="D132" i="49" a="1"/>
  <c r="D132" i="49" s="1"/>
  <c r="D139" i="49" a="1"/>
  <c r="D139" i="49" s="1"/>
  <c r="D146" i="49" a="1"/>
  <c r="D146" i="49" s="1"/>
  <c r="D153" i="49" a="1"/>
  <c r="D153" i="49" s="1"/>
  <c r="D161" i="49" a="1"/>
  <c r="D161" i="49" s="1"/>
  <c r="D167" i="49" a="1"/>
  <c r="D167" i="49" s="1"/>
  <c r="D175" i="49" a="1"/>
  <c r="D175" i="49" s="1"/>
  <c r="G556" i="49" a="1"/>
  <c r="G556" i="49" s="1"/>
  <c r="G567" i="49" a="1"/>
  <c r="G567" i="49" s="1"/>
  <c r="G575" i="49" a="1"/>
  <c r="G575" i="49" s="1"/>
  <c r="G584" i="49" a="1"/>
  <c r="G584" i="49" s="1"/>
  <c r="G592" i="49" a="1"/>
  <c r="G592" i="49" s="1"/>
  <c r="G598" i="49" a="1"/>
  <c r="G598" i="49" s="1"/>
  <c r="G611" i="49" a="1"/>
  <c r="G611" i="49" s="1"/>
  <c r="G617" i="49" a="1"/>
  <c r="G617" i="49" s="1"/>
  <c r="G624" i="49" a="1"/>
  <c r="G624" i="49" s="1"/>
  <c r="G630" i="49" a="1"/>
  <c r="G630" i="49" s="1"/>
  <c r="G643" i="49" a="1"/>
  <c r="G643" i="49" s="1"/>
  <c r="G649" i="49" a="1"/>
  <c r="G649" i="49" s="1"/>
  <c r="G656" i="49" a="1"/>
  <c r="G656" i="49" s="1"/>
  <c r="G662" i="49" a="1"/>
  <c r="G662" i="49" s="1"/>
  <c r="G680" i="49" a="1"/>
  <c r="G680" i="49" s="1"/>
  <c r="G685" i="49" a="1"/>
  <c r="G685" i="49" s="1"/>
  <c r="G696" i="49" a="1"/>
  <c r="G696" i="49" s="1"/>
  <c r="G701" i="49" a="1"/>
  <c r="G701" i="49" s="1"/>
  <c r="G712" i="49" a="1"/>
  <c r="G712" i="49" s="1"/>
  <c r="G717" i="49" a="1"/>
  <c r="G717" i="49" s="1"/>
  <c r="G728" i="49" a="1"/>
  <c r="G728" i="49" s="1"/>
  <c r="G733" i="49" a="1"/>
  <c r="G733" i="49" s="1"/>
  <c r="G744" i="49" a="1"/>
  <c r="G744" i="49" s="1"/>
  <c r="G749" i="49" a="1"/>
  <c r="G749" i="49" s="1"/>
  <c r="G760" i="49" a="1"/>
  <c r="G760" i="49" s="1"/>
  <c r="G765" i="49" a="1"/>
  <c r="G765" i="49" s="1"/>
  <c r="G776" i="49" a="1"/>
  <c r="G776" i="49" s="1"/>
  <c r="G781" i="49" a="1"/>
  <c r="G781" i="49" s="1"/>
  <c r="G792" i="49" a="1"/>
  <c r="G792" i="49" s="1"/>
  <c r="G797" i="49" a="1"/>
  <c r="G797" i="49" s="1"/>
  <c r="G808" i="49" a="1"/>
  <c r="G808" i="49" s="1"/>
  <c r="G813" i="49" a="1"/>
  <c r="G813" i="49" s="1"/>
  <c r="G824" i="49" a="1"/>
  <c r="G824" i="49" s="1"/>
  <c r="G829" i="49" a="1"/>
  <c r="G829" i="49" s="1"/>
  <c r="G840" i="49" a="1"/>
  <c r="G840" i="49" s="1"/>
  <c r="G845" i="49" a="1"/>
  <c r="G845" i="49" s="1"/>
  <c r="G856" i="49" a="1"/>
  <c r="G856" i="49" s="1"/>
  <c r="G861" i="49" a="1"/>
  <c r="G861" i="49" s="1"/>
  <c r="G872" i="49" a="1"/>
  <c r="G872" i="49" s="1"/>
  <c r="D8" i="49" a="1"/>
  <c r="D8" i="49" s="1"/>
  <c r="D15" i="49" a="1"/>
  <c r="D15" i="49" s="1"/>
  <c r="D23" i="49" a="1"/>
  <c r="D23" i="49" s="1"/>
  <c r="D31" i="49" a="1"/>
  <c r="D31" i="49" s="1"/>
  <c r="D45" i="49" a="1"/>
  <c r="D45" i="49" s="1"/>
  <c r="D53" i="49" a="1"/>
  <c r="D53" i="49" s="1"/>
  <c r="D61" i="49" a="1"/>
  <c r="D61" i="49" s="1"/>
  <c r="D67" i="49" a="1"/>
  <c r="D67" i="49" s="1"/>
  <c r="D74" i="49" a="1"/>
  <c r="D74" i="49" s="1"/>
  <c r="D82" i="49" a="1"/>
  <c r="D82" i="49" s="1"/>
  <c r="D89" i="49" a="1"/>
  <c r="D89" i="49" s="1"/>
  <c r="D97" i="49" a="1"/>
  <c r="D97" i="49" s="1"/>
  <c r="D103" i="49" a="1"/>
  <c r="D103" i="49" s="1"/>
  <c r="D111" i="49" a="1"/>
  <c r="D111" i="49" s="1"/>
  <c r="D118" i="49" a="1"/>
  <c r="D118" i="49" s="1"/>
  <c r="D126" i="49" a="1"/>
  <c r="D126" i="49" s="1"/>
  <c r="D133" i="49" a="1"/>
  <c r="D133" i="49" s="1"/>
  <c r="D140" i="49" a="1"/>
  <c r="D140" i="49" s="1"/>
  <c r="D147" i="49" a="1"/>
  <c r="D147" i="49" s="1"/>
  <c r="D154" i="49" a="1"/>
  <c r="D154" i="49" s="1"/>
  <c r="D168" i="49" a="1"/>
  <c r="D168" i="49" s="1"/>
  <c r="D176" i="49" a="1"/>
  <c r="D176" i="49" s="1"/>
  <c r="D182" i="49" a="1"/>
  <c r="D182" i="49" s="1"/>
  <c r="D190" i="49" a="1"/>
  <c r="D190" i="49" s="1"/>
  <c r="G568" i="49" a="1"/>
  <c r="G568" i="49" s="1"/>
  <c r="G576" i="49" a="1"/>
  <c r="G576" i="49" s="1"/>
  <c r="G599" i="49" a="1"/>
  <c r="G599" i="49" s="1"/>
  <c r="G605" i="49" a="1"/>
  <c r="G605" i="49" s="1"/>
  <c r="G612" i="49" a="1"/>
  <c r="G612" i="49" s="1"/>
  <c r="G618" i="49" a="1"/>
  <c r="G618" i="49" s="1"/>
  <c r="G631" i="49" a="1"/>
  <c r="G631" i="49" s="1"/>
  <c r="G637" i="49" a="1"/>
  <c r="G637" i="49" s="1"/>
  <c r="G644" i="49" a="1"/>
  <c r="G644" i="49" s="1"/>
  <c r="G650" i="49" a="1"/>
  <c r="G650" i="49" s="1"/>
  <c r="G663" i="49" a="1"/>
  <c r="G663" i="49" s="1"/>
  <c r="G669" i="49" a="1"/>
  <c r="G669" i="49" s="1"/>
  <c r="G675" i="49" a="1"/>
  <c r="G675" i="49" s="1"/>
  <c r="G686" i="49" a="1"/>
  <c r="G686" i="49" s="1"/>
  <c r="G691" i="49" a="1"/>
  <c r="G691" i="49" s="1"/>
  <c r="G702" i="49" a="1"/>
  <c r="G702" i="49" s="1"/>
  <c r="G707" i="49" a="1"/>
  <c r="G707" i="49" s="1"/>
  <c r="G718" i="49" a="1"/>
  <c r="G718" i="49" s="1"/>
  <c r="G723" i="49" a="1"/>
  <c r="G723" i="49" s="1"/>
  <c r="G734" i="49" a="1"/>
  <c r="G734" i="49" s="1"/>
  <c r="G739" i="49" a="1"/>
  <c r="G739" i="49" s="1"/>
  <c r="G750" i="49" a="1"/>
  <c r="G750" i="49" s="1"/>
  <c r="G755" i="49" a="1"/>
  <c r="G755" i="49" s="1"/>
  <c r="G766" i="49" a="1"/>
  <c r="G766" i="49" s="1"/>
  <c r="G771" i="49" a="1"/>
  <c r="G771" i="49" s="1"/>
  <c r="G782" i="49" a="1"/>
  <c r="G782" i="49" s="1"/>
  <c r="G787" i="49" a="1"/>
  <c r="G787" i="49" s="1"/>
  <c r="G798" i="49" a="1"/>
  <c r="G798" i="49" s="1"/>
  <c r="G803" i="49" a="1"/>
  <c r="G803" i="49" s="1"/>
  <c r="G814" i="49" a="1"/>
  <c r="G814" i="49" s="1"/>
  <c r="G819" i="49" a="1"/>
  <c r="G819" i="49" s="1"/>
  <c r="G830" i="49" a="1"/>
  <c r="G830" i="49" s="1"/>
  <c r="G835" i="49" a="1"/>
  <c r="G835" i="49" s="1"/>
  <c r="G846" i="49" a="1"/>
  <c r="G846" i="49" s="1"/>
  <c r="G851" i="49" a="1"/>
  <c r="G851" i="49" s="1"/>
  <c r="G862" i="49" a="1"/>
  <c r="G862" i="49" s="1"/>
  <c r="G867" i="49" a="1"/>
  <c r="G867" i="49" s="1"/>
  <c r="D9" i="49" a="1"/>
  <c r="D9" i="49" s="1"/>
  <c r="D16" i="49" a="1"/>
  <c r="D16" i="49" s="1"/>
  <c r="D24" i="49" a="1"/>
  <c r="D24" i="49" s="1"/>
  <c r="D32" i="49" a="1"/>
  <c r="D32" i="49" s="1"/>
  <c r="D38" i="49" a="1"/>
  <c r="D38" i="49" s="1"/>
  <c r="D46" i="49" a="1"/>
  <c r="D46" i="49" s="1"/>
  <c r="D54" i="49" a="1"/>
  <c r="D54" i="49" s="1"/>
  <c r="D68" i="49" a="1"/>
  <c r="D68" i="49" s="1"/>
  <c r="D75" i="49" a="1"/>
  <c r="D75" i="49" s="1"/>
  <c r="D83" i="49" a="1"/>
  <c r="D83" i="49" s="1"/>
  <c r="D90" i="49" a="1"/>
  <c r="D90" i="49" s="1"/>
  <c r="D104" i="49" a="1"/>
  <c r="D104" i="49" s="1"/>
  <c r="D112" i="49" a="1"/>
  <c r="D112" i="49" s="1"/>
  <c r="D119" i="49" a="1"/>
  <c r="D119" i="49" s="1"/>
  <c r="D127" i="49" a="1"/>
  <c r="D127" i="49" s="1"/>
  <c r="D141" i="49" a="1"/>
  <c r="D141" i="49" s="1"/>
  <c r="D148" i="49" a="1"/>
  <c r="D148" i="49" s="1"/>
  <c r="D155" i="49" a="1"/>
  <c r="D155" i="49" s="1"/>
  <c r="D162" i="49" a="1"/>
  <c r="D162" i="49" s="1"/>
  <c r="D169" i="49" a="1"/>
  <c r="D169" i="49" s="1"/>
  <c r="D177" i="49" a="1"/>
  <c r="D177" i="49" s="1"/>
  <c r="D183" i="49" a="1"/>
  <c r="D183" i="49" s="1"/>
  <c r="D191" i="49" a="1"/>
  <c r="D191" i="49" s="1"/>
  <c r="D205" i="49" a="1"/>
  <c r="D205" i="49" s="1"/>
  <c r="D212" i="49" a="1"/>
  <c r="D212" i="49" s="1"/>
  <c r="G11" i="48"/>
  <c r="E12" i="48"/>
  <c r="P9" i="48"/>
  <c r="P13" i="48"/>
  <c r="G10" i="48"/>
  <c r="P12" i="48"/>
  <c r="G13" i="48"/>
  <c r="P10" i="48"/>
  <c r="E14" i="48"/>
  <c r="I14" i="48" s="1"/>
  <c r="E11" i="48"/>
  <c r="P14" i="48"/>
  <c r="E10" i="48"/>
  <c r="P11" i="48"/>
  <c r="G12" i="48"/>
  <c r="E13" i="48"/>
  <c r="E318" i="49" l="1"/>
  <c r="E624" i="49"/>
  <c r="I712" i="49" a="1"/>
  <c r="I712" i="49" s="1"/>
  <c r="J712" i="49" s="1"/>
  <c r="E712" i="49"/>
  <c r="E558" i="49"/>
  <c r="I558" i="49" a="1"/>
  <c r="I558" i="49" s="1"/>
  <c r="J558" i="49" s="1"/>
  <c r="I744" i="49" a="1"/>
  <c r="I744" i="49" s="1"/>
  <c r="J744" i="49" s="1"/>
  <c r="E744" i="49"/>
  <c r="E842" i="49"/>
  <c r="I326" i="49" a="1"/>
  <c r="I326" i="49" s="1"/>
  <c r="J326" i="49" s="1"/>
  <c r="E326" i="49"/>
  <c r="E300" i="49"/>
  <c r="E219" i="49"/>
  <c r="E370" i="49"/>
  <c r="E312" i="49"/>
  <c r="E431" i="49"/>
  <c r="E394" i="49"/>
  <c r="I292" i="49" a="1"/>
  <c r="I292" i="49" s="1"/>
  <c r="J292" i="49" s="1"/>
  <c r="E292" i="49"/>
  <c r="I358" i="49" a="1"/>
  <c r="I358" i="49" s="1"/>
  <c r="J358" i="49" s="1"/>
  <c r="E358" i="49"/>
  <c r="I270" i="49" a="1"/>
  <c r="I270" i="49" s="1"/>
  <c r="J270" i="49" s="1"/>
  <c r="E270" i="49"/>
  <c r="J179" i="49"/>
  <c r="E125" i="49"/>
  <c r="E569" i="49"/>
  <c r="E576" i="49"/>
  <c r="J205" i="49"/>
  <c r="J227" i="49"/>
  <c r="J380" i="49"/>
  <c r="J400" i="49"/>
  <c r="J105" i="49"/>
  <c r="J187" i="49"/>
  <c r="J325" i="49"/>
  <c r="J463" i="49"/>
  <c r="J630" i="49"/>
  <c r="J596" i="49"/>
  <c r="E161" i="49"/>
  <c r="E572" i="49"/>
  <c r="E207" i="49"/>
  <c r="E407" i="49"/>
  <c r="J191" i="49"/>
  <c r="J320" i="49"/>
  <c r="J371" i="49"/>
  <c r="J446" i="49"/>
  <c r="E322" i="49"/>
  <c r="E330" i="49"/>
  <c r="J259" i="49"/>
  <c r="J296" i="49"/>
  <c r="J21" i="49"/>
  <c r="J59" i="49"/>
  <c r="J300" i="49"/>
  <c r="J339" i="49"/>
  <c r="J375" i="49"/>
  <c r="J421" i="49"/>
  <c r="J251" i="49"/>
  <c r="J237" i="49"/>
  <c r="J430" i="49"/>
  <c r="J471" i="49"/>
  <c r="J566" i="49"/>
  <c r="J622" i="49"/>
  <c r="J588" i="49"/>
  <c r="J600" i="49"/>
  <c r="J654" i="49"/>
  <c r="J503" i="49"/>
  <c r="E548" i="49"/>
  <c r="E294" i="49"/>
  <c r="E302" i="49"/>
  <c r="E341" i="49"/>
  <c r="E382" i="49"/>
  <c r="E556" i="49"/>
  <c r="E620" i="49"/>
  <c r="E234" i="49"/>
  <c r="E242" i="49"/>
  <c r="E258" i="49"/>
  <c r="E327" i="49"/>
  <c r="E564" i="49"/>
  <c r="E251" i="49"/>
  <c r="E266" i="49"/>
  <c r="J276" i="49"/>
  <c r="J418" i="49"/>
  <c r="J436" i="49"/>
  <c r="J293" i="49"/>
  <c r="J642" i="49"/>
  <c r="J537" i="49"/>
  <c r="J561" i="49"/>
  <c r="J756" i="49"/>
  <c r="E113" i="49"/>
  <c r="E163" i="49"/>
  <c r="J842" i="49"/>
  <c r="J608" i="49"/>
  <c r="E631" i="49"/>
  <c r="J304" i="49"/>
  <c r="J243" i="49"/>
  <c r="I730" i="49" a="1"/>
  <c r="I730" i="49" s="1"/>
  <c r="J730" i="49" s="1"/>
  <c r="E730" i="49"/>
  <c r="J638" i="49"/>
  <c r="J330" i="49"/>
  <c r="J570" i="49"/>
  <c r="J740" i="49"/>
  <c r="J263" i="49"/>
  <c r="J284" i="49"/>
  <c r="E95" i="49"/>
  <c r="I95" i="49" a="1"/>
  <c r="I95" i="49" s="1"/>
  <c r="J95" i="49" s="1"/>
  <c r="E238" i="49"/>
  <c r="I238" i="49" a="1"/>
  <c r="I238" i="49" s="1"/>
  <c r="J238" i="49" s="1"/>
  <c r="I290" i="49" a="1"/>
  <c r="I290" i="49" s="1"/>
  <c r="J290" i="49" s="1"/>
  <c r="E290" i="49"/>
  <c r="E378" i="49"/>
  <c r="I378" i="49" a="1"/>
  <c r="I378" i="49" s="1"/>
  <c r="J378" i="49" s="1"/>
  <c r="K378" i="49" s="1"/>
  <c r="I498" i="49" a="1"/>
  <c r="I498" i="49" s="1"/>
  <c r="J498" i="49" s="1"/>
  <c r="E498" i="49"/>
  <c r="E193" i="49"/>
  <c r="I193" i="49" a="1"/>
  <c r="I193" i="49" s="1"/>
  <c r="J193" i="49" s="1"/>
  <c r="E526" i="49"/>
  <c r="I526" i="49" a="1"/>
  <c r="I526" i="49" s="1"/>
  <c r="J526" i="49" s="1"/>
  <c r="I678" i="49" a="1"/>
  <c r="I678" i="49" s="1"/>
  <c r="J678" i="49" s="1"/>
  <c r="E678" i="49"/>
  <c r="I738" i="49" a="1"/>
  <c r="I738" i="49" s="1"/>
  <c r="J738" i="49" s="1"/>
  <c r="E738" i="49"/>
  <c r="I560" i="49" a="1"/>
  <c r="I560" i="49" s="1"/>
  <c r="J560" i="49" s="1"/>
  <c r="E560" i="49"/>
  <c r="I616" i="49" a="1"/>
  <c r="I616" i="49" s="1"/>
  <c r="J616" i="49" s="1"/>
  <c r="E616" i="49"/>
  <c r="J231" i="49"/>
  <c r="J343" i="49"/>
  <c r="J203" i="49"/>
  <c r="J308" i="49"/>
  <c r="J316" i="49"/>
  <c r="J367" i="49"/>
  <c r="J442" i="49"/>
  <c r="J324" i="49"/>
  <c r="J520" i="49"/>
  <c r="J604" i="49"/>
  <c r="J545" i="49"/>
  <c r="J532" i="49"/>
  <c r="J634" i="49"/>
  <c r="J167" i="49"/>
  <c r="J383" i="49"/>
  <c r="J626" i="49"/>
  <c r="J592" i="49"/>
  <c r="J584" i="49"/>
  <c r="J718" i="49"/>
  <c r="J760" i="49"/>
  <c r="I13" i="48"/>
  <c r="I11" i="48"/>
  <c r="I10" i="48"/>
  <c r="I12" i="48"/>
  <c r="J23" i="49"/>
  <c r="J57" i="49"/>
  <c r="E591" i="49"/>
  <c r="E495" i="49"/>
  <c r="J43" i="49"/>
  <c r="J35" i="49"/>
  <c r="E423" i="49"/>
  <c r="E99" i="49"/>
  <c r="E503" i="49"/>
  <c r="E353" i="49"/>
  <c r="E457" i="49"/>
  <c r="J76" i="49"/>
  <c r="E443" i="49"/>
  <c r="E501" i="49"/>
  <c r="J557" i="49"/>
  <c r="J683" i="49"/>
  <c r="E483" i="49"/>
  <c r="J515" i="49"/>
  <c r="J547" i="49"/>
  <c r="E481" i="49"/>
  <c r="J158" i="49"/>
  <c r="E469" i="49"/>
  <c r="J359" i="49"/>
  <c r="J483" i="49"/>
  <c r="J351" i="49"/>
  <c r="J613" i="49"/>
  <c r="J118" i="49"/>
  <c r="E837" i="49"/>
  <c r="J84" i="49"/>
  <c r="E373" i="49"/>
  <c r="E691" i="49"/>
  <c r="E411" i="49"/>
  <c r="J705" i="49"/>
  <c r="E657" i="49"/>
  <c r="J491" i="49"/>
  <c r="E687" i="49"/>
  <c r="E649" i="49"/>
  <c r="E665" i="49"/>
  <c r="E537" i="49"/>
  <c r="E463" i="49"/>
  <c r="J68" i="49"/>
  <c r="J579" i="49"/>
  <c r="E254" i="49"/>
  <c r="J254" i="49"/>
  <c r="E531" i="49"/>
  <c r="E653" i="49"/>
  <c r="J459" i="49"/>
  <c r="E202" i="49"/>
  <c r="E673" i="49"/>
  <c r="E611" i="49"/>
  <c r="E485" i="49"/>
  <c r="E643" i="49"/>
  <c r="J723" i="49"/>
  <c r="J525" i="49"/>
  <c r="E567" i="49"/>
  <c r="E210" i="49"/>
  <c r="E222" i="49"/>
  <c r="E122" i="49"/>
  <c r="E15" i="49"/>
  <c r="E108" i="49"/>
  <c r="E609" i="49"/>
  <c r="E17" i="49"/>
  <c r="E24" i="49"/>
  <c r="E11" i="49"/>
  <c r="J49" i="49"/>
  <c r="J80" i="49"/>
  <c r="E25" i="49"/>
  <c r="E44" i="49"/>
  <c r="E36" i="49"/>
  <c r="E14" i="49"/>
  <c r="E6" i="49"/>
  <c r="E33" i="49"/>
  <c r="E45" i="49"/>
  <c r="E55" i="49"/>
  <c r="E49" i="49"/>
  <c r="E23" i="49"/>
  <c r="J64" i="49"/>
  <c r="E58" i="49"/>
  <c r="E60" i="49"/>
  <c r="E22" i="49"/>
  <c r="E29" i="49"/>
  <c r="E9" i="49"/>
  <c r="E61" i="49"/>
  <c r="E43" i="49"/>
  <c r="E16" i="49"/>
  <c r="E50" i="49"/>
  <c r="J36" i="49"/>
  <c r="J28" i="49"/>
  <c r="J31" i="49"/>
  <c r="J34" i="49"/>
  <c r="J26" i="49"/>
  <c r="J7" i="49"/>
  <c r="E40" i="49"/>
  <c r="E10" i="49"/>
  <c r="E38" i="49"/>
  <c r="E12" i="49"/>
  <c r="E31" i="49"/>
  <c r="E7" i="49"/>
  <c r="E27" i="49"/>
  <c r="J32" i="49"/>
  <c r="J24" i="49"/>
  <c r="J60" i="49"/>
  <c r="J20" i="49"/>
  <c r="J30" i="49"/>
  <c r="J11" i="49"/>
  <c r="J51" i="49"/>
  <c r="E35" i="49"/>
  <c r="E34" i="49"/>
  <c r="E62" i="49"/>
  <c r="E63" i="49"/>
  <c r="J13" i="49"/>
  <c r="J53" i="49"/>
  <c r="J16" i="49"/>
  <c r="J15" i="49"/>
  <c r="J8" i="49"/>
  <c r="J47" i="49"/>
  <c r="E37" i="49"/>
  <c r="E47" i="49"/>
  <c r="J17" i="49"/>
  <c r="J9" i="49"/>
  <c r="J12" i="49"/>
  <c r="J55" i="49"/>
  <c r="J40" i="49"/>
  <c r="E48" i="49"/>
  <c r="E18" i="49"/>
  <c r="E46" i="49"/>
  <c r="E28" i="49"/>
  <c r="E51" i="49"/>
  <c r="J14" i="49"/>
  <c r="J46" i="49"/>
  <c r="J63" i="49"/>
  <c r="J52" i="49"/>
  <c r="J44" i="49"/>
  <c r="J18" i="49"/>
  <c r="E57" i="49"/>
  <c r="E59" i="49"/>
  <c r="E8" i="49"/>
  <c r="E42" i="49"/>
  <c r="E20" i="49"/>
  <c r="J5" i="49"/>
  <c r="E39" i="49"/>
  <c r="E41" i="49"/>
  <c r="E53" i="49"/>
  <c r="J61" i="49"/>
  <c r="J54" i="49"/>
  <c r="J42" i="49"/>
  <c r="J56" i="49"/>
  <c r="J48" i="49"/>
  <c r="J29" i="49"/>
  <c r="J10" i="49"/>
  <c r="E32" i="49"/>
  <c r="E30" i="49"/>
  <c r="J62" i="49"/>
  <c r="J58" i="49"/>
  <c r="J50" i="49"/>
  <c r="J38" i="49"/>
  <c r="J45" i="49"/>
  <c r="J37" i="49"/>
  <c r="J25" i="49"/>
  <c r="J19" i="49"/>
  <c r="E13" i="49"/>
  <c r="E21" i="49"/>
  <c r="E56" i="49"/>
  <c r="E26" i="49"/>
  <c r="E54" i="49"/>
  <c r="E52" i="49"/>
  <c r="E19" i="49"/>
  <c r="J39" i="49"/>
  <c r="J27" i="49"/>
  <c r="J41" i="49"/>
  <c r="J33" i="49"/>
  <c r="J22" i="49"/>
  <c r="J6" i="49"/>
  <c r="J413" i="49"/>
  <c r="E386" i="49"/>
  <c r="E478" i="49"/>
  <c r="J433" i="49"/>
  <c r="J519" i="49"/>
  <c r="E285" i="49"/>
  <c r="J312" i="49"/>
  <c r="J223" i="49"/>
  <c r="J404" i="49"/>
  <c r="E540" i="49"/>
  <c r="J467" i="49"/>
  <c r="J475" i="49"/>
  <c r="J541" i="49"/>
  <c r="J523" i="49"/>
  <c r="E632" i="49"/>
  <c r="E517" i="49"/>
  <c r="J620" i="49"/>
  <c r="E510" i="49"/>
  <c r="E458" i="49"/>
  <c r="E543" i="49"/>
  <c r="J499" i="49"/>
  <c r="J564" i="49"/>
  <c r="E865" i="49"/>
  <c r="E874" i="49"/>
  <c r="E280" i="49"/>
  <c r="E810" i="49"/>
  <c r="J72" i="49"/>
  <c r="J155" i="49"/>
  <c r="J147" i="49"/>
  <c r="E286" i="49"/>
  <c r="J280" i="49"/>
  <c r="E419" i="49"/>
  <c r="J395" i="49"/>
  <c r="E471" i="49"/>
  <c r="E628" i="49"/>
  <c r="E746" i="49"/>
  <c r="E716" i="49"/>
  <c r="J727" i="49"/>
  <c r="E103" i="49"/>
  <c r="J88" i="49"/>
  <c r="J135" i="49"/>
  <c r="J268" i="49"/>
  <c r="E355" i="49"/>
  <c r="E390" i="49"/>
  <c r="J528" i="49"/>
  <c r="J701" i="49"/>
  <c r="J667" i="49"/>
  <c r="E751" i="49"/>
  <c r="J196" i="49"/>
  <c r="E262" i="49"/>
  <c r="J353" i="49"/>
  <c r="J134" i="49"/>
  <c r="J219" i="49"/>
  <c r="E298" i="49"/>
  <c r="E250" i="49"/>
  <c r="E101" i="49"/>
  <c r="E273" i="49"/>
  <c r="J871" i="49"/>
  <c r="E742" i="49"/>
  <c r="E151" i="49"/>
  <c r="E293" i="49"/>
  <c r="E156" i="49"/>
  <c r="E136" i="49"/>
  <c r="E669" i="49"/>
  <c r="J159" i="49"/>
  <c r="J164" i="49"/>
  <c r="J109" i="49"/>
  <c r="E158" i="49"/>
  <c r="E305" i="49"/>
  <c r="E148" i="49"/>
  <c r="E861" i="49"/>
  <c r="E686" i="49"/>
  <c r="E239" i="49"/>
  <c r="E195" i="49"/>
  <c r="E246" i="49"/>
  <c r="J679" i="49"/>
  <c r="E324" i="49"/>
  <c r="E325" i="49"/>
  <c r="E188" i="49"/>
  <c r="J830" i="49"/>
  <c r="E313" i="49"/>
  <c r="E176" i="49"/>
  <c r="E117" i="49"/>
  <c r="J288" i="49"/>
  <c r="J222" i="49"/>
  <c r="E138" i="49"/>
  <c r="J752" i="49"/>
  <c r="J799" i="49"/>
  <c r="J781" i="49"/>
  <c r="E813" i="49"/>
  <c r="E184" i="49"/>
  <c r="E269" i="49"/>
  <c r="J245" i="49"/>
  <c r="E189" i="49"/>
  <c r="E301" i="49"/>
  <c r="E169" i="49"/>
  <c r="J507" i="49"/>
  <c r="E800" i="49"/>
  <c r="J731" i="49"/>
  <c r="J733" i="49"/>
  <c r="E164" i="49"/>
  <c r="J225" i="49"/>
  <c r="J127" i="49"/>
  <c r="J230" i="49"/>
  <c r="J125" i="49"/>
  <c r="J210" i="49"/>
  <c r="J773" i="49"/>
  <c r="J742" i="49"/>
  <c r="J121" i="49"/>
  <c r="J206" i="49"/>
  <c r="E183" i="49"/>
  <c r="E170" i="49"/>
  <c r="E168" i="49"/>
  <c r="J769" i="49"/>
  <c r="E320" i="49"/>
  <c r="J778" i="49"/>
  <c r="E849" i="49"/>
  <c r="J710" i="49"/>
  <c r="E700" i="49"/>
  <c r="E789" i="49"/>
  <c r="E439" i="49"/>
  <c r="J796" i="49"/>
  <c r="J856" i="49"/>
  <c r="E805" i="49"/>
  <c r="J232" i="49"/>
  <c r="E585" i="49"/>
  <c r="E644" i="49"/>
  <c r="E446" i="49"/>
  <c r="J224" i="49"/>
  <c r="E271" i="49"/>
  <c r="E605" i="49"/>
  <c r="J650" i="49"/>
  <c r="E398" i="49"/>
  <c r="J614" i="49"/>
  <c r="J670" i="49"/>
  <c r="J647" i="49"/>
  <c r="J226" i="49"/>
  <c r="J116" i="49"/>
  <c r="E288" i="49"/>
  <c r="E190" i="49"/>
  <c r="E185" i="49"/>
  <c r="J133" i="49"/>
  <c r="J218" i="49"/>
  <c r="E317" i="49"/>
  <c r="E180" i="49"/>
  <c r="E265" i="49"/>
  <c r="J255" i="49"/>
  <c r="J272" i="49"/>
  <c r="J397" i="49"/>
  <c r="E346" i="49"/>
  <c r="E338" i="49"/>
  <c r="J425" i="49"/>
  <c r="J347" i="49"/>
  <c r="J473" i="49"/>
  <c r="E486" i="49"/>
  <c r="E528" i="49"/>
  <c r="E435" i="49"/>
  <c r="J455" i="49"/>
  <c r="E490" i="49"/>
  <c r="J213" i="49"/>
  <c r="J257" i="49"/>
  <c r="E144" i="49"/>
  <c r="J262" i="49"/>
  <c r="E157" i="49"/>
  <c r="J242" i="49"/>
  <c r="E291" i="49"/>
  <c r="J275" i="49"/>
  <c r="E315" i="49"/>
  <c r="J355" i="49"/>
  <c r="E337" i="49"/>
  <c r="E515" i="49"/>
  <c r="E466" i="49"/>
  <c r="J487" i="49"/>
  <c r="E384" i="49"/>
  <c r="J416" i="49"/>
  <c r="J517" i="49"/>
  <c r="J327" i="49"/>
  <c r="J488" i="49"/>
  <c r="J485" i="49"/>
  <c r="J649" i="49"/>
  <c r="J468" i="49"/>
  <c r="E597" i="49"/>
  <c r="J824" i="49"/>
  <c r="J341" i="49"/>
  <c r="E440" i="49"/>
  <c r="J790" i="49"/>
  <c r="E857" i="49"/>
  <c r="E145" i="49"/>
  <c r="E627" i="49"/>
  <c r="E797" i="49"/>
  <c r="E645" i="49"/>
  <c r="E637" i="49"/>
  <c r="E303" i="49"/>
  <c r="J329" i="49"/>
  <c r="E449" i="49"/>
  <c r="E453" i="49"/>
  <c r="J447" i="49"/>
  <c r="E603" i="49"/>
  <c r="E753" i="49"/>
  <c r="J258" i="49"/>
  <c r="E299" i="49"/>
  <c r="J126" i="49"/>
  <c r="J379" i="49"/>
  <c r="E518" i="49"/>
  <c r="J653" i="49"/>
  <c r="J250" i="49"/>
  <c r="J113" i="49"/>
  <c r="J198" i="49"/>
  <c r="E297" i="49"/>
  <c r="J114" i="49"/>
  <c r="J199" i="49"/>
  <c r="J248" i="49"/>
  <c r="J862" i="49"/>
  <c r="E732" i="49"/>
  <c r="E196" i="49"/>
  <c r="E281" i="49"/>
  <c r="E177" i="49"/>
  <c r="E329" i="49"/>
  <c r="J818" i="49"/>
  <c r="E152" i="49"/>
  <c r="J115" i="49"/>
  <c r="E171" i="49"/>
  <c r="E153" i="49"/>
  <c r="E287" i="49"/>
  <c r="E131" i="49"/>
  <c r="J768" i="49"/>
  <c r="E279" i="49"/>
  <c r="J508" i="49"/>
  <c r="E417" i="49"/>
  <c r="J798" i="49"/>
  <c r="E405" i="49"/>
  <c r="J200" i="49"/>
  <c r="J495" i="49"/>
  <c r="J110" i="49"/>
  <c r="J77" i="49"/>
  <c r="J228" i="49"/>
  <c r="E323" i="49"/>
  <c r="E68" i="49"/>
  <c r="E851" i="49"/>
  <c r="E839" i="49"/>
  <c r="E822" i="49"/>
  <c r="E834" i="49"/>
  <c r="E767" i="49"/>
  <c r="J854" i="49"/>
  <c r="J609" i="49"/>
  <c r="E633" i="49"/>
  <c r="J700" i="49"/>
  <c r="E275" i="49"/>
  <c r="E319" i="49"/>
  <c r="E66" i="49"/>
  <c r="E765" i="49"/>
  <c r="E819" i="49"/>
  <c r="J802" i="49"/>
  <c r="E763" i="49"/>
  <c r="E846" i="49"/>
  <c r="J819" i="49"/>
  <c r="J794" i="49"/>
  <c r="J806" i="49"/>
  <c r="J810" i="49"/>
  <c r="E833" i="49"/>
  <c r="E698" i="49"/>
  <c r="J713" i="49"/>
  <c r="E779" i="49"/>
  <c r="E825" i="49"/>
  <c r="J689" i="49"/>
  <c r="E869" i="49"/>
  <c r="E845" i="49"/>
  <c r="E602" i="49"/>
  <c r="E589" i="49"/>
  <c r="J505" i="49"/>
  <c r="E640" i="49"/>
  <c r="E639" i="49"/>
  <c r="E396" i="49"/>
  <c r="J437" i="49"/>
  <c r="J361" i="49"/>
  <c r="E424" i="49"/>
  <c r="E332" i="49"/>
  <c r="J684" i="49"/>
  <c r="E436" i="49"/>
  <c r="E728" i="49"/>
  <c r="J687" i="49"/>
  <c r="J260" i="49"/>
  <c r="E681" i="49"/>
  <c r="J120" i="49"/>
  <c r="E283" i="49"/>
  <c r="J348" i="49"/>
  <c r="E119" i="49"/>
  <c r="J256" i="49"/>
  <c r="J373" i="49"/>
  <c r="E256" i="49"/>
  <c r="E425" i="49"/>
  <c r="E615" i="49"/>
  <c r="J81" i="49"/>
  <c r="J328" i="49"/>
  <c r="J500" i="49"/>
  <c r="E647" i="49"/>
  <c r="J443" i="49"/>
  <c r="J688" i="49"/>
  <c r="J298" i="49"/>
  <c r="J552" i="49"/>
  <c r="E594" i="49"/>
  <c r="J573" i="49"/>
  <c r="J607" i="49"/>
  <c r="E562" i="49"/>
  <c r="E610" i="49"/>
  <c r="J625" i="49"/>
  <c r="J641" i="49"/>
  <c r="J529" i="49"/>
  <c r="E590" i="49"/>
  <c r="E582" i="49"/>
  <c r="E437" i="49"/>
  <c r="E311" i="49"/>
  <c r="J617" i="49"/>
  <c r="J595" i="49"/>
  <c r="J587" i="49"/>
  <c r="E391" i="49"/>
  <c r="J550" i="49"/>
  <c r="E619" i="49"/>
  <c r="E74" i="49"/>
  <c r="J847" i="49"/>
  <c r="J583" i="49"/>
  <c r="E606" i="49"/>
  <c r="J572" i="49"/>
  <c r="E598" i="49"/>
  <c r="J599" i="49"/>
  <c r="J621" i="49"/>
  <c r="E866" i="49"/>
  <c r="E703" i="49"/>
  <c r="E415" i="49"/>
  <c r="J479" i="49"/>
  <c r="E586" i="49"/>
  <c r="E798" i="49"/>
  <c r="J694" i="49"/>
  <c r="E699" i="49"/>
  <c r="E224" i="49"/>
  <c r="E268" i="49"/>
  <c r="E216" i="49"/>
  <c r="J476" i="49"/>
  <c r="J828" i="49"/>
  <c r="J803" i="49"/>
  <c r="J840" i="49"/>
  <c r="E786" i="49"/>
  <c r="E871" i="49"/>
  <c r="E307" i="49"/>
  <c r="E792" i="49"/>
  <c r="E106" i="49"/>
  <c r="E720" i="49"/>
  <c r="J98" i="49"/>
  <c r="E667" i="49"/>
  <c r="E625" i="49"/>
  <c r="J310" i="49"/>
  <c r="J244" i="49"/>
  <c r="J173" i="49"/>
  <c r="E784" i="49"/>
  <c r="E741" i="49"/>
  <c r="E107" i="49"/>
  <c r="E139" i="49"/>
  <c r="J827" i="49"/>
  <c r="J751" i="49"/>
  <c r="J815" i="49"/>
  <c r="J822" i="49"/>
  <c r="J657" i="49"/>
  <c r="J708" i="49"/>
  <c r="E583" i="49"/>
  <c r="E90" i="49"/>
  <c r="J128" i="49"/>
  <c r="E78" i="49"/>
  <c r="E817" i="49"/>
  <c r="J709" i="49"/>
  <c r="E719" i="49"/>
  <c r="J212" i="49"/>
  <c r="J777" i="49"/>
  <c r="E711" i="49"/>
  <c r="J181" i="49"/>
  <c r="E88" i="49"/>
  <c r="J100" i="49"/>
  <c r="J69" i="49"/>
  <c r="E761" i="49"/>
  <c r="J692" i="49"/>
  <c r="E674" i="49"/>
  <c r="E854" i="49"/>
  <c r="J839" i="49"/>
  <c r="J89" i="49"/>
  <c r="E762" i="49"/>
  <c r="E721" i="49"/>
  <c r="J743" i="49"/>
  <c r="J747" i="49"/>
  <c r="E776" i="49"/>
  <c r="J635" i="49"/>
  <c r="E695" i="49"/>
  <c r="J851" i="49"/>
  <c r="J874" i="49"/>
  <c r="J264" i="49"/>
  <c r="E743" i="49"/>
  <c r="J774" i="49"/>
  <c r="E726" i="49"/>
  <c r="J804" i="49"/>
  <c r="J864" i="49"/>
  <c r="E788" i="49"/>
  <c r="J702" i="49"/>
  <c r="E772" i="49"/>
  <c r="E828" i="49"/>
  <c r="J70" i="49"/>
  <c r="J776" i="49"/>
  <c r="E773" i="49"/>
  <c r="E785" i="49"/>
  <c r="J779" i="49"/>
  <c r="E814" i="49"/>
  <c r="E826" i="49"/>
  <c r="E835" i="49"/>
  <c r="E870" i="49"/>
  <c r="J843" i="49"/>
  <c r="J736" i="49"/>
  <c r="E815" i="49"/>
  <c r="E790" i="49"/>
  <c r="E850" i="49"/>
  <c r="J823" i="49"/>
  <c r="E696" i="49"/>
  <c r="E859" i="49"/>
  <c r="J867" i="49"/>
  <c r="J813" i="49"/>
  <c r="J753" i="49"/>
  <c r="J868" i="49"/>
  <c r="J770" i="49"/>
  <c r="E808" i="49"/>
  <c r="E777" i="49"/>
  <c r="J785" i="49"/>
  <c r="J820" i="49"/>
  <c r="J795" i="49"/>
  <c r="E809" i="49"/>
  <c r="J844" i="49"/>
  <c r="E793" i="49"/>
  <c r="J728" i="49"/>
  <c r="E794" i="49"/>
  <c r="E831" i="49"/>
  <c r="E806" i="49"/>
  <c r="J800" i="49"/>
  <c r="J860" i="49"/>
  <c r="E734" i="49"/>
  <c r="J787" i="49"/>
  <c r="J872" i="49"/>
  <c r="E780" i="49"/>
  <c r="E739" i="49"/>
  <c r="E717" i="49"/>
  <c r="E830" i="49"/>
  <c r="E860" i="49"/>
  <c r="J764" i="49"/>
  <c r="J816" i="49"/>
  <c r="J791" i="49"/>
  <c r="J765" i="49"/>
  <c r="E811" i="49"/>
  <c r="E823" i="49"/>
  <c r="E858" i="49"/>
  <c r="J831" i="49"/>
  <c r="E867" i="49"/>
  <c r="E847" i="49"/>
  <c r="J855" i="49"/>
  <c r="E781" i="49"/>
  <c r="J845" i="49"/>
  <c r="E755" i="49"/>
  <c r="J808" i="49"/>
  <c r="J792" i="49"/>
  <c r="J852" i="49"/>
  <c r="E801" i="49"/>
  <c r="E713" i="49"/>
  <c r="J832" i="49"/>
  <c r="J807" i="49"/>
  <c r="J761" i="49"/>
  <c r="J766" i="49"/>
  <c r="E770" i="49"/>
  <c r="E803" i="49"/>
  <c r="J859" i="49"/>
  <c r="J719" i="49"/>
  <c r="E863" i="49"/>
  <c r="J786" i="49"/>
  <c r="J782" i="49"/>
  <c r="J775" i="49"/>
  <c r="E768" i="49"/>
  <c r="E829" i="49"/>
  <c r="E838" i="49"/>
  <c r="J811" i="49"/>
  <c r="E775" i="49"/>
  <c r="J783" i="49"/>
  <c r="E818" i="49"/>
  <c r="J748" i="49"/>
  <c r="E827" i="49"/>
  <c r="E802" i="49"/>
  <c r="E862" i="49"/>
  <c r="J835" i="49"/>
  <c r="J836" i="49"/>
  <c r="J848" i="49"/>
  <c r="E766" i="49"/>
  <c r="E843" i="49"/>
  <c r="E855" i="49"/>
  <c r="J863" i="49"/>
  <c r="E841" i="49"/>
  <c r="E769" i="49"/>
  <c r="E692" i="49"/>
  <c r="J675" i="49"/>
  <c r="E759" i="49"/>
  <c r="J812" i="49"/>
  <c r="E791" i="49"/>
  <c r="J789" i="49"/>
  <c r="J849" i="49"/>
  <c r="J814" i="49"/>
  <c r="J94" i="49"/>
  <c r="J841" i="49"/>
  <c r="J85" i="49"/>
  <c r="J838" i="49"/>
  <c r="J788" i="49"/>
  <c r="J805" i="49"/>
  <c r="J865" i="49"/>
  <c r="E80" i="49"/>
  <c r="E93" i="49"/>
  <c r="J754" i="49"/>
  <c r="E714" i="49"/>
  <c r="E656" i="49"/>
  <c r="E736" i="49"/>
  <c r="E718" i="49"/>
  <c r="E745" i="49"/>
  <c r="J695" i="49"/>
  <c r="J666" i="49"/>
  <c r="J562" i="49"/>
  <c r="J575" i="49"/>
  <c r="J704" i="49"/>
  <c r="E740" i="49"/>
  <c r="J627" i="49"/>
  <c r="E664" i="49"/>
  <c r="J651" i="49"/>
  <c r="J696" i="49"/>
  <c r="E69" i="49"/>
  <c r="J130" i="49"/>
  <c r="J215" i="49"/>
  <c r="E248" i="49"/>
  <c r="J108" i="49"/>
  <c r="E231" i="49"/>
  <c r="J317" i="49"/>
  <c r="E182" i="49"/>
  <c r="E111" i="49"/>
  <c r="E143" i="49"/>
  <c r="J139" i="49"/>
  <c r="E226" i="49"/>
  <c r="J87" i="49"/>
  <c r="J294" i="49"/>
  <c r="J241" i="49"/>
  <c r="J192" i="49"/>
  <c r="E115" i="49"/>
  <c r="E200" i="49"/>
  <c r="E147" i="49"/>
  <c r="J269" i="49"/>
  <c r="J163" i="49"/>
  <c r="E91" i="49"/>
  <c r="J137" i="49"/>
  <c r="E257" i="49"/>
  <c r="E249" i="49"/>
  <c r="J389" i="49"/>
  <c r="J333" i="49"/>
  <c r="J283" i="49"/>
  <c r="E339" i="49"/>
  <c r="E282" i="49"/>
  <c r="J146" i="49"/>
  <c r="E400" i="49"/>
  <c r="J344" i="49"/>
  <c r="E116" i="49"/>
  <c r="E201" i="49"/>
  <c r="J369" i="49"/>
  <c r="J426" i="49"/>
  <c r="E399" i="49"/>
  <c r="J319" i="49"/>
  <c r="J402" i="49"/>
  <c r="E375" i="49"/>
  <c r="J409" i="49"/>
  <c r="J439" i="49"/>
  <c r="E356" i="49"/>
  <c r="J440" i="49"/>
  <c r="J477" i="49"/>
  <c r="J512" i="49"/>
  <c r="E447" i="49"/>
  <c r="E369" i="49"/>
  <c r="E426" i="49"/>
  <c r="E467" i="49"/>
  <c r="J391" i="49"/>
  <c r="E340" i="49"/>
  <c r="J513" i="49"/>
  <c r="J424" i="49"/>
  <c r="E397" i="49"/>
  <c r="J461" i="49"/>
  <c r="J496" i="49"/>
  <c r="E474" i="49"/>
  <c r="E456" i="49"/>
  <c r="J540" i="49"/>
  <c r="J624" i="49"/>
  <c r="E604" i="49"/>
  <c r="E550" i="49"/>
  <c r="E473" i="49"/>
  <c r="E448" i="49"/>
  <c r="E596" i="49"/>
  <c r="J470" i="49"/>
  <c r="E601" i="49"/>
  <c r="E554" i="49"/>
  <c r="E500" i="49"/>
  <c r="E593" i="49"/>
  <c r="J568" i="49"/>
  <c r="E787" i="49"/>
  <c r="E872" i="49"/>
  <c r="E774" i="49"/>
  <c r="J801" i="49"/>
  <c r="J861" i="49"/>
  <c r="J65" i="49"/>
  <c r="E84" i="49"/>
  <c r="E97" i="49"/>
  <c r="E799" i="49"/>
  <c r="E816" i="49"/>
  <c r="J82" i="49"/>
  <c r="J771" i="49"/>
  <c r="J693" i="49"/>
  <c r="J601" i="49"/>
  <c r="J755" i="49"/>
  <c r="J663" i="49"/>
  <c r="J593" i="49"/>
  <c r="J720" i="49"/>
  <c r="J732" i="49"/>
  <c r="E715" i="49"/>
  <c r="J750" i="49"/>
  <c r="J618" i="49"/>
  <c r="J674" i="49"/>
  <c r="E749" i="49"/>
  <c r="J699" i="49"/>
  <c r="J697" i="49"/>
  <c r="E578" i="49"/>
  <c r="E658" i="49"/>
  <c r="J71" i="49"/>
  <c r="E141" i="49"/>
  <c r="J156" i="49"/>
  <c r="E328" i="49"/>
  <c r="E77" i="49"/>
  <c r="E109" i="49"/>
  <c r="J122" i="49"/>
  <c r="J207" i="49"/>
  <c r="J132" i="49"/>
  <c r="E304" i="49"/>
  <c r="E255" i="49"/>
  <c r="J93" i="49"/>
  <c r="E135" i="49"/>
  <c r="E220" i="49"/>
  <c r="E167" i="49"/>
  <c r="E118" i="49"/>
  <c r="E203" i="49"/>
  <c r="J289" i="49"/>
  <c r="E154" i="49"/>
  <c r="J183" i="49"/>
  <c r="J266" i="49"/>
  <c r="J211" i="49"/>
  <c r="E289" i="49"/>
  <c r="J318" i="49"/>
  <c r="J265" i="49"/>
  <c r="J252" i="49"/>
  <c r="E198" i="49"/>
  <c r="E149" i="49"/>
  <c r="J182" i="49"/>
  <c r="J311" i="49"/>
  <c r="E367" i="49"/>
  <c r="E310" i="49"/>
  <c r="J174" i="49"/>
  <c r="J372" i="49"/>
  <c r="E261" i="49"/>
  <c r="E429" i="49"/>
  <c r="J401" i="49"/>
  <c r="E350" i="49"/>
  <c r="E124" i="49"/>
  <c r="E209" i="49"/>
  <c r="J377" i="49"/>
  <c r="J434" i="49"/>
  <c r="E408" i="49"/>
  <c r="J384" i="49"/>
  <c r="J417" i="49"/>
  <c r="E245" i="49"/>
  <c r="E413" i="49"/>
  <c r="J385" i="49"/>
  <c r="E334" i="49"/>
  <c r="J334" i="49"/>
  <c r="E389" i="49"/>
  <c r="J539" i="49"/>
  <c r="E333" i="49"/>
  <c r="E455" i="49"/>
  <c r="E441" i="49"/>
  <c r="J338" i="49"/>
  <c r="E523" i="49"/>
  <c r="J420" i="49"/>
  <c r="E393" i="49"/>
  <c r="J457" i="49"/>
  <c r="J543" i="49"/>
  <c r="E519" i="49"/>
  <c r="J492" i="49"/>
  <c r="E470" i="49"/>
  <c r="J501" i="49"/>
  <c r="E514" i="49"/>
  <c r="E402" i="49"/>
  <c r="J374" i="49"/>
  <c r="J435" i="49"/>
  <c r="E524" i="49"/>
  <c r="J448" i="49"/>
  <c r="J659" i="49"/>
  <c r="E613" i="49"/>
  <c r="J466" i="49"/>
  <c r="J582" i="49"/>
  <c r="J458" i="49"/>
  <c r="E651" i="49"/>
  <c r="E568" i="49"/>
  <c r="J656" i="49"/>
  <c r="J611" i="49"/>
  <c r="J586" i="49"/>
  <c r="E477" i="49"/>
  <c r="E452" i="49"/>
  <c r="J536" i="49"/>
  <c r="E581" i="49"/>
  <c r="E600" i="49"/>
  <c r="J797" i="49"/>
  <c r="J857" i="49"/>
  <c r="E852" i="49"/>
  <c r="J834" i="49"/>
  <c r="E812" i="49"/>
  <c r="J86" i="49"/>
  <c r="J826" i="49"/>
  <c r="E836" i="49"/>
  <c r="J850" i="49"/>
  <c r="E612" i="49"/>
  <c r="E733" i="49"/>
  <c r="J722" i="49"/>
  <c r="E725" i="49"/>
  <c r="J691" i="49"/>
  <c r="J664" i="49"/>
  <c r="E731" i="49"/>
  <c r="J658" i="49"/>
  <c r="J726" i="49"/>
  <c r="E629" i="49"/>
  <c r="J759" i="49"/>
  <c r="E710" i="49"/>
  <c r="E729" i="49"/>
  <c r="J717" i="49"/>
  <c r="E735" i="49"/>
  <c r="E236" i="49"/>
  <c r="E134" i="49"/>
  <c r="J305" i="49"/>
  <c r="J99" i="49"/>
  <c r="J79" i="49"/>
  <c r="J96" i="49"/>
  <c r="J302" i="49"/>
  <c r="J249" i="49"/>
  <c r="J236" i="49"/>
  <c r="J282" i="49"/>
  <c r="J229" i="49"/>
  <c r="J180" i="49"/>
  <c r="J131" i="49"/>
  <c r="J216" i="49"/>
  <c r="E83" i="49"/>
  <c r="J145" i="49"/>
  <c r="J247" i="49"/>
  <c r="J75" i="49"/>
  <c r="J92" i="49"/>
  <c r="E192" i="49"/>
  <c r="E277" i="49"/>
  <c r="J306" i="49"/>
  <c r="J253" i="49"/>
  <c r="J240" i="49"/>
  <c r="E137" i="49"/>
  <c r="E70" i="49"/>
  <c r="J129" i="49"/>
  <c r="J214" i="49"/>
  <c r="E244" i="49"/>
  <c r="J104" i="49"/>
  <c r="E191" i="49"/>
  <c r="E276" i="49"/>
  <c r="E227" i="49"/>
  <c r="J313" i="49"/>
  <c r="E178" i="49"/>
  <c r="E237" i="49"/>
  <c r="J235" i="49"/>
  <c r="J410" i="49"/>
  <c r="E383" i="49"/>
  <c r="J331" i="49"/>
  <c r="J186" i="49"/>
  <c r="J271" i="49"/>
  <c r="E388" i="49"/>
  <c r="J332" i="49"/>
  <c r="E253" i="49"/>
  <c r="E421" i="49"/>
  <c r="J393" i="49"/>
  <c r="E342" i="49"/>
  <c r="J307" i="49"/>
  <c r="E363" i="49"/>
  <c r="E306" i="49"/>
  <c r="J170" i="49"/>
  <c r="J368" i="49"/>
  <c r="E430" i="49"/>
  <c r="E376" i="49"/>
  <c r="J428" i="49"/>
  <c r="E401" i="49"/>
  <c r="J465" i="49"/>
  <c r="E377" i="49"/>
  <c r="E434" i="49"/>
  <c r="E475" i="49"/>
  <c r="J403" i="49"/>
  <c r="E380" i="49"/>
  <c r="J444" i="49"/>
  <c r="J362" i="49"/>
  <c r="J423" i="49"/>
  <c r="J524" i="49"/>
  <c r="J412" i="49"/>
  <c r="E385" i="49"/>
  <c r="J535" i="49"/>
  <c r="E511" i="49"/>
  <c r="J484" i="49"/>
  <c r="E462" i="49"/>
  <c r="E361" i="49"/>
  <c r="E418" i="49"/>
  <c r="J394" i="49"/>
  <c r="E459" i="49"/>
  <c r="E545" i="49"/>
  <c r="J449" i="49"/>
  <c r="J559" i="49"/>
  <c r="J644" i="49"/>
  <c r="J450" i="49"/>
  <c r="E535" i="49"/>
  <c r="J510" i="49"/>
  <c r="E484" i="49"/>
  <c r="J574" i="49"/>
  <c r="E553" i="49"/>
  <c r="J605" i="49"/>
  <c r="E575" i="49"/>
  <c r="J454" i="49"/>
  <c r="E539" i="49"/>
  <c r="J514" i="49"/>
  <c r="E488" i="49"/>
  <c r="E552" i="49"/>
  <c r="J462" i="49"/>
  <c r="E547" i="49"/>
  <c r="J522" i="49"/>
  <c r="J612" i="49"/>
  <c r="J591" i="49"/>
  <c r="E571" i="49"/>
  <c r="E655" i="49"/>
  <c r="J506" i="49"/>
  <c r="E480" i="49"/>
  <c r="E662" i="49"/>
  <c r="E782" i="49"/>
  <c r="J90" i="49"/>
  <c r="J837" i="49"/>
  <c r="E795" i="49"/>
  <c r="E64" i="49"/>
  <c r="J846" i="49"/>
  <c r="J873" i="49"/>
  <c r="E72" i="49"/>
  <c r="E783" i="49"/>
  <c r="J870" i="49"/>
  <c r="J821" i="49"/>
  <c r="E727" i="49"/>
  <c r="E747" i="49"/>
  <c r="E666" i="49"/>
  <c r="J749" i="49"/>
  <c r="E704" i="49"/>
  <c r="J669" i="49"/>
  <c r="J698" i="49"/>
  <c r="E595" i="49"/>
  <c r="J735" i="49"/>
  <c r="E702" i="49"/>
  <c r="E675" i="49"/>
  <c r="J741" i="49"/>
  <c r="E682" i="49"/>
  <c r="E607" i="49"/>
  <c r="E737" i="49"/>
  <c r="J686" i="49"/>
  <c r="E722" i="49"/>
  <c r="J553" i="49"/>
  <c r="E663" i="49"/>
  <c r="J746" i="49"/>
  <c r="E599" i="49"/>
  <c r="J665" i="49"/>
  <c r="J739" i="49"/>
  <c r="E706" i="49"/>
  <c r="J745" i="49"/>
  <c r="E81" i="49"/>
  <c r="E94" i="49"/>
  <c r="E67" i="49"/>
  <c r="J161" i="49"/>
  <c r="J144" i="49"/>
  <c r="E89" i="49"/>
  <c r="E102" i="49"/>
  <c r="E263" i="49"/>
  <c r="E86" i="49"/>
  <c r="E228" i="49"/>
  <c r="E175" i="49"/>
  <c r="E126" i="49"/>
  <c r="E211" i="49"/>
  <c r="J297" i="49"/>
  <c r="E162" i="49"/>
  <c r="J106" i="49"/>
  <c r="E123" i="49"/>
  <c r="E208" i="49"/>
  <c r="E155" i="49"/>
  <c r="J277" i="49"/>
  <c r="E142" i="49"/>
  <c r="J171" i="49"/>
  <c r="E206" i="49"/>
  <c r="E82" i="49"/>
  <c r="J117" i="49"/>
  <c r="J202" i="49"/>
  <c r="E232" i="49"/>
  <c r="E179" i="49"/>
  <c r="E130" i="49"/>
  <c r="E215" i="49"/>
  <c r="J301" i="49"/>
  <c r="E166" i="49"/>
  <c r="J195" i="49"/>
  <c r="E140" i="49"/>
  <c r="J169" i="49"/>
  <c r="J201" i="49"/>
  <c r="J152" i="49"/>
  <c r="E133" i="49"/>
  <c r="J162" i="49"/>
  <c r="J360" i="49"/>
  <c r="E112" i="49"/>
  <c r="E197" i="49"/>
  <c r="J365" i="49"/>
  <c r="J422" i="49"/>
  <c r="E395" i="49"/>
  <c r="J315" i="49"/>
  <c r="E371" i="49"/>
  <c r="J405" i="49"/>
  <c r="E314" i="49"/>
  <c r="J178" i="49"/>
  <c r="E404" i="49"/>
  <c r="J376" i="49"/>
  <c r="E233" i="49"/>
  <c r="E432" i="49"/>
  <c r="J349" i="49"/>
  <c r="J406" i="49"/>
  <c r="E410" i="49"/>
  <c r="J386" i="49"/>
  <c r="J452" i="49"/>
  <c r="J387" i="49"/>
  <c r="E336" i="49"/>
  <c r="J509" i="49"/>
  <c r="E357" i="49"/>
  <c r="E414" i="49"/>
  <c r="J390" i="49"/>
  <c r="E541" i="49"/>
  <c r="E499" i="49"/>
  <c r="J472" i="49"/>
  <c r="E536" i="49"/>
  <c r="E372" i="49"/>
  <c r="E546" i="49"/>
  <c r="J521" i="49"/>
  <c r="J493" i="49"/>
  <c r="E506" i="49"/>
  <c r="J486" i="49"/>
  <c r="E460" i="49"/>
  <c r="E634" i="49"/>
  <c r="E513" i="49"/>
  <c r="J548" i="49"/>
  <c r="E660" i="49"/>
  <c r="E461" i="49"/>
  <c r="E521" i="49"/>
  <c r="E584" i="49"/>
  <c r="E505" i="49"/>
  <c r="J453" i="49"/>
  <c r="J527" i="49"/>
  <c r="J502" i="49"/>
  <c r="E476" i="49"/>
  <c r="E465" i="49"/>
  <c r="J549" i="49"/>
  <c r="E525" i="49"/>
  <c r="J569" i="49"/>
  <c r="E588" i="49"/>
  <c r="J645" i="49"/>
  <c r="E579" i="49"/>
  <c r="J554" i="49"/>
  <c r="E832" i="49"/>
  <c r="J66" i="49"/>
  <c r="E807" i="49"/>
  <c r="E873" i="49"/>
  <c r="E824" i="49"/>
  <c r="J74" i="49"/>
  <c r="E821" i="49"/>
  <c r="E796" i="49"/>
  <c r="J772" i="49"/>
  <c r="E96" i="49"/>
  <c r="E848" i="49"/>
  <c r="E671" i="49"/>
  <c r="J737" i="49"/>
  <c r="J671" i="49"/>
  <c r="E754" i="49"/>
  <c r="E693" i="49"/>
  <c r="J676" i="49"/>
  <c r="E760" i="49"/>
  <c r="E573" i="49"/>
  <c r="E680" i="49"/>
  <c r="E764" i="49"/>
  <c r="J724" i="49"/>
  <c r="J668" i="49"/>
  <c r="E752" i="49"/>
  <c r="J714" i="49"/>
  <c r="E758" i="49"/>
  <c r="E724" i="49"/>
  <c r="E707" i="49"/>
  <c r="J673" i="49"/>
  <c r="E757" i="49"/>
  <c r="E709" i="49"/>
  <c r="E750" i="49"/>
  <c r="J716" i="49"/>
  <c r="E689" i="49"/>
  <c r="J672" i="49"/>
  <c r="E756" i="49"/>
  <c r="J83" i="49"/>
  <c r="E173" i="49"/>
  <c r="J91" i="49"/>
  <c r="J188" i="49"/>
  <c r="E75" i="49"/>
  <c r="J153" i="49"/>
  <c r="J136" i="49"/>
  <c r="E65" i="49"/>
  <c r="E252" i="49"/>
  <c r="J112" i="49"/>
  <c r="E284" i="49"/>
  <c r="E235" i="49"/>
  <c r="J321" i="49"/>
  <c r="E186" i="49"/>
  <c r="E71" i="49"/>
  <c r="J157" i="49"/>
  <c r="J140" i="49"/>
  <c r="E121" i="49"/>
  <c r="J103" i="49"/>
  <c r="E321" i="49"/>
  <c r="J143" i="49"/>
  <c r="E230" i="49"/>
  <c r="E181" i="49"/>
  <c r="J299" i="49"/>
  <c r="J291" i="49"/>
  <c r="E347" i="49"/>
  <c r="E241" i="49"/>
  <c r="E409" i="49"/>
  <c r="J381" i="49"/>
  <c r="J239" i="49"/>
  <c r="J357" i="49"/>
  <c r="J414" i="49"/>
  <c r="E387" i="49"/>
  <c r="J335" i="49"/>
  <c r="J356" i="49"/>
  <c r="E366" i="49"/>
  <c r="E427" i="49"/>
  <c r="J366" i="49"/>
  <c r="J427" i="49"/>
  <c r="E365" i="49"/>
  <c r="E422" i="49"/>
  <c r="J398" i="49"/>
  <c r="J370" i="49"/>
  <c r="J431" i="49"/>
  <c r="E520" i="49"/>
  <c r="J533" i="49"/>
  <c r="J489" i="49"/>
  <c r="E502" i="49"/>
  <c r="E360" i="49"/>
  <c r="E533" i="49"/>
  <c r="J546" i="49"/>
  <c r="E349" i="49"/>
  <c r="E406" i="49"/>
  <c r="J382" i="49"/>
  <c r="J354" i="49"/>
  <c r="J415" i="49"/>
  <c r="E454" i="49"/>
  <c r="J538" i="49"/>
  <c r="E472" i="49"/>
  <c r="J490" i="49"/>
  <c r="E464" i="49"/>
  <c r="J551" i="49"/>
  <c r="E638" i="49"/>
  <c r="E509" i="49"/>
  <c r="E636" i="49"/>
  <c r="E635" i="49"/>
  <c r="J610" i="49"/>
  <c r="E565" i="49"/>
  <c r="J866" i="49"/>
  <c r="J817" i="49"/>
  <c r="E844" i="49"/>
  <c r="E771" i="49"/>
  <c r="J858" i="49"/>
  <c r="J809" i="49"/>
  <c r="E868" i="49"/>
  <c r="J102" i="49"/>
  <c r="J833" i="49"/>
  <c r="E705" i="49"/>
  <c r="E621" i="49"/>
  <c r="J681" i="49"/>
  <c r="J643" i="49"/>
  <c r="J767" i="49"/>
  <c r="E748" i="49"/>
  <c r="J757" i="49"/>
  <c r="E679" i="49"/>
  <c r="E677" i="49"/>
  <c r="E685" i="49"/>
  <c r="J690" i="49"/>
  <c r="E684" i="49"/>
  <c r="E723" i="49"/>
  <c r="J639" i="49"/>
  <c r="E683" i="49"/>
  <c r="E708" i="49"/>
  <c r="J107" i="49"/>
  <c r="J97" i="49"/>
  <c r="E114" i="49"/>
  <c r="E199" i="49"/>
  <c r="J285" i="49"/>
  <c r="E150" i="49"/>
  <c r="E214" i="49"/>
  <c r="E165" i="49"/>
  <c r="J67" i="49"/>
  <c r="J314" i="49"/>
  <c r="J261" i="49"/>
  <c r="J177" i="49"/>
  <c r="J209" i="49"/>
  <c r="J160" i="49"/>
  <c r="J111" i="49"/>
  <c r="E309" i="49"/>
  <c r="E218" i="49"/>
  <c r="J246" i="49"/>
  <c r="E308" i="49"/>
  <c r="E259" i="49"/>
  <c r="E295" i="49"/>
  <c r="E225" i="49"/>
  <c r="J267" i="49"/>
  <c r="E132" i="49"/>
  <c r="E217" i="49"/>
  <c r="E416" i="49"/>
  <c r="J392" i="49"/>
  <c r="J363" i="49"/>
  <c r="J303" i="49"/>
  <c r="E359" i="49"/>
  <c r="J166" i="49"/>
  <c r="J364" i="49"/>
  <c r="E374" i="49"/>
  <c r="J337" i="49"/>
  <c r="J429" i="49"/>
  <c r="J287" i="49"/>
  <c r="E343" i="49"/>
  <c r="J346" i="49"/>
  <c r="J407" i="49"/>
  <c r="J497" i="49"/>
  <c r="E532" i="49"/>
  <c r="J408" i="49"/>
  <c r="E381" i="49"/>
  <c r="J530" i="49"/>
  <c r="E507" i="49"/>
  <c r="J480" i="49"/>
  <c r="E544" i="49"/>
  <c r="J350" i="49"/>
  <c r="J411" i="49"/>
  <c r="E450" i="49"/>
  <c r="J534" i="49"/>
  <c r="E445" i="49"/>
  <c r="J481" i="49"/>
  <c r="J516" i="49"/>
  <c r="E494" i="49"/>
  <c r="E491" i="49"/>
  <c r="J464" i="49"/>
  <c r="E549" i="49"/>
  <c r="J590" i="49"/>
  <c r="E570" i="49"/>
  <c r="J655" i="49"/>
  <c r="J637" i="49"/>
  <c r="E516" i="49"/>
  <c r="J581" i="49"/>
  <c r="J565" i="49"/>
  <c r="J629" i="49"/>
  <c r="J563" i="49"/>
  <c r="J648" i="49"/>
  <c r="E652" i="49"/>
  <c r="J606" i="49"/>
  <c r="E561" i="49"/>
  <c r="J585" i="49"/>
  <c r="J494" i="49"/>
  <c r="E468" i="49"/>
  <c r="E559" i="49"/>
  <c r="J646" i="49"/>
  <c r="J577" i="49"/>
  <c r="E557" i="49"/>
  <c r="E642" i="49"/>
  <c r="E512" i="49"/>
  <c r="J576" i="49"/>
  <c r="E840" i="49"/>
  <c r="J869" i="49"/>
  <c r="E76" i="49"/>
  <c r="E100" i="49"/>
  <c r="J829" i="49"/>
  <c r="J793" i="49"/>
  <c r="J853" i="49"/>
  <c r="J73" i="49"/>
  <c r="E92" i="49"/>
  <c r="J784" i="49"/>
  <c r="J715" i="49"/>
  <c r="J631" i="49"/>
  <c r="E654" i="49"/>
  <c r="E676" i="49"/>
  <c r="E697" i="49"/>
  <c r="J758" i="49"/>
  <c r="E646" i="49"/>
  <c r="E668" i="49"/>
  <c r="J707" i="49"/>
  <c r="E701" i="49"/>
  <c r="E587" i="49"/>
  <c r="E661" i="49"/>
  <c r="E650" i="49"/>
  <c r="E672" i="49"/>
  <c r="E670" i="49"/>
  <c r="E73" i="49"/>
  <c r="E79" i="49"/>
  <c r="J149" i="49"/>
  <c r="J278" i="49"/>
  <c r="J176" i="49"/>
  <c r="E87" i="49"/>
  <c r="J141" i="49"/>
  <c r="E105" i="49"/>
  <c r="E260" i="49"/>
  <c r="E243" i="49"/>
  <c r="E194" i="49"/>
  <c r="E240" i="49"/>
  <c r="E187" i="49"/>
  <c r="E272" i="49"/>
  <c r="E223" i="49"/>
  <c r="J309" i="49"/>
  <c r="E174" i="49"/>
  <c r="J151" i="49"/>
  <c r="J234" i="49"/>
  <c r="E264" i="49"/>
  <c r="J124" i="49"/>
  <c r="E296" i="49"/>
  <c r="E247" i="49"/>
  <c r="E172" i="49"/>
  <c r="J286" i="49"/>
  <c r="J233" i="49"/>
  <c r="J184" i="49"/>
  <c r="J220" i="49"/>
  <c r="J150" i="49"/>
  <c r="J194" i="49"/>
  <c r="J279" i="49"/>
  <c r="E335" i="49"/>
  <c r="E278" i="49"/>
  <c r="J142" i="49"/>
  <c r="J340" i="49"/>
  <c r="E403" i="49"/>
  <c r="E229" i="49"/>
  <c r="E428" i="49"/>
  <c r="J345" i="49"/>
  <c r="J295" i="49"/>
  <c r="E351" i="49"/>
  <c r="E433" i="49"/>
  <c r="E354" i="49"/>
  <c r="E128" i="49"/>
  <c r="E213" i="49"/>
  <c r="J438" i="49"/>
  <c r="E412" i="49"/>
  <c r="J388" i="49"/>
  <c r="E364" i="49"/>
  <c r="J419" i="49"/>
  <c r="J542" i="49"/>
  <c r="E368" i="49"/>
  <c r="E487" i="49"/>
  <c r="J460" i="49"/>
  <c r="J432" i="49"/>
  <c r="J469" i="49"/>
  <c r="J504" i="49"/>
  <c r="E482" i="49"/>
  <c r="J342" i="49"/>
  <c r="E442" i="49"/>
  <c r="E527" i="49"/>
  <c r="E352" i="49"/>
  <c r="J451" i="49"/>
  <c r="J511" i="49"/>
  <c r="J518" i="49"/>
  <c r="E492" i="49"/>
  <c r="E563" i="49"/>
  <c r="E648" i="49"/>
  <c r="J602" i="49"/>
  <c r="E493" i="49"/>
  <c r="E555" i="49"/>
  <c r="J636" i="49"/>
  <c r="J615" i="49"/>
  <c r="J597" i="49"/>
  <c r="E577" i="49"/>
  <c r="J556" i="49"/>
  <c r="J594" i="49"/>
  <c r="E574" i="49"/>
  <c r="E534" i="49"/>
  <c r="E508" i="49"/>
  <c r="J578" i="49"/>
  <c r="E618" i="49"/>
  <c r="J571" i="49"/>
  <c r="E497" i="49"/>
  <c r="J445" i="49"/>
  <c r="J531" i="49"/>
  <c r="E580" i="49"/>
  <c r="J555" i="49"/>
  <c r="J640" i="49"/>
  <c r="J619" i="49"/>
  <c r="E530" i="49"/>
  <c r="J633" i="49"/>
  <c r="J652" i="49"/>
  <c r="E489" i="49"/>
  <c r="J632" i="49"/>
  <c r="J589" i="49"/>
  <c r="J825" i="49"/>
  <c r="E820" i="49"/>
  <c r="J78" i="49"/>
  <c r="E864" i="49"/>
  <c r="E804" i="49"/>
  <c r="J780" i="49"/>
  <c r="E856" i="49"/>
  <c r="E853" i="49"/>
  <c r="E778" i="49"/>
  <c r="J763" i="49"/>
  <c r="J703" i="49"/>
  <c r="J685" i="49"/>
  <c r="J580" i="49"/>
  <c r="E690" i="49"/>
  <c r="J725" i="49"/>
  <c r="J623" i="49"/>
  <c r="J734" i="49"/>
  <c r="J660" i="49"/>
  <c r="J680" i="49"/>
  <c r="E694" i="49"/>
  <c r="J729" i="49"/>
  <c r="J711" i="49"/>
  <c r="J706" i="49"/>
  <c r="E617" i="49"/>
  <c r="J661" i="49"/>
  <c r="J677" i="49"/>
  <c r="J762" i="49"/>
  <c r="E641" i="49"/>
  <c r="J682" i="49"/>
  <c r="J721" i="49"/>
  <c r="E688" i="49"/>
  <c r="E204" i="49"/>
  <c r="J273" i="49"/>
  <c r="J322" i="49"/>
  <c r="J185" i="49"/>
  <c r="J217" i="49"/>
  <c r="J168" i="49"/>
  <c r="J119" i="49"/>
  <c r="J204" i="49"/>
  <c r="J165" i="49"/>
  <c r="J197" i="49"/>
  <c r="J148" i="49"/>
  <c r="E129" i="49"/>
  <c r="E85" i="49"/>
  <c r="E98" i="49"/>
  <c r="E316" i="49"/>
  <c r="E267" i="49"/>
  <c r="E110" i="49"/>
  <c r="E160" i="49"/>
  <c r="E104" i="49"/>
  <c r="J189" i="49"/>
  <c r="J274" i="49"/>
  <c r="J221" i="49"/>
  <c r="J172" i="49"/>
  <c r="J123" i="49"/>
  <c r="J208" i="49"/>
  <c r="J101" i="49"/>
  <c r="E127" i="49"/>
  <c r="E212" i="49"/>
  <c r="E159" i="49"/>
  <c r="J281" i="49"/>
  <c r="E146" i="49"/>
  <c r="J175" i="49"/>
  <c r="E120" i="49"/>
  <c r="E205" i="49"/>
  <c r="J323" i="49"/>
  <c r="E379" i="49"/>
  <c r="J154" i="49"/>
  <c r="J352" i="49"/>
  <c r="J441" i="49"/>
  <c r="E362" i="49"/>
  <c r="E221" i="49"/>
  <c r="E420" i="49"/>
  <c r="J396" i="49"/>
  <c r="J190" i="49"/>
  <c r="E331" i="49"/>
  <c r="E274" i="49"/>
  <c r="J138" i="49"/>
  <c r="E392" i="49"/>
  <c r="J336" i="49"/>
  <c r="E344" i="49"/>
  <c r="E345" i="49"/>
  <c r="J399" i="49"/>
  <c r="E348" i="49"/>
  <c r="J456" i="49"/>
  <c r="E551" i="49"/>
  <c r="E438" i="49"/>
  <c r="E479" i="49"/>
  <c r="E451" i="49"/>
  <c r="E522" i="49"/>
  <c r="E444" i="49"/>
  <c r="E529" i="49"/>
  <c r="E659" i="49"/>
  <c r="E592" i="49"/>
  <c r="E504" i="49"/>
  <c r="J662" i="49"/>
  <c r="E614" i="49"/>
  <c r="J567" i="49"/>
  <c r="J478" i="49"/>
  <c r="E538" i="49"/>
  <c r="E626" i="49"/>
  <c r="E496" i="49"/>
  <c r="J544" i="49"/>
  <c r="J628" i="49"/>
  <c r="E608" i="49"/>
  <c r="J482" i="49"/>
  <c r="E542" i="49"/>
  <c r="E566" i="49"/>
  <c r="E630" i="49"/>
  <c r="E623" i="49"/>
  <c r="J598" i="49"/>
  <c r="J474" i="49"/>
  <c r="J603" i="49"/>
  <c r="E622" i="49"/>
  <c r="E3" i="29"/>
  <c r="E4" i="29"/>
  <c r="K238" i="49" l="1"/>
  <c r="K558" i="49"/>
  <c r="K193" i="49"/>
  <c r="K290" i="49"/>
  <c r="K300" i="49"/>
  <c r="K503" i="49"/>
  <c r="K842" i="49"/>
  <c r="K738" i="49"/>
  <c r="K498" i="49"/>
  <c r="K358" i="49"/>
  <c r="K330" i="49"/>
  <c r="K730" i="49"/>
  <c r="K744" i="49"/>
  <c r="K95" i="49"/>
  <c r="K526" i="49"/>
  <c r="K292" i="49"/>
  <c r="K326" i="49"/>
  <c r="K560" i="49"/>
  <c r="K616" i="49"/>
  <c r="K678" i="49"/>
  <c r="K712" i="49"/>
  <c r="K624" i="49"/>
  <c r="K318" i="49"/>
  <c r="K537" i="49"/>
  <c r="K463" i="49"/>
  <c r="K312" i="49"/>
  <c r="K219" i="49"/>
  <c r="K394" i="49"/>
  <c r="K370" i="49"/>
  <c r="K431" i="49"/>
  <c r="K270" i="49"/>
  <c r="K179" i="49"/>
  <c r="K125" i="49"/>
  <c r="K251" i="49"/>
  <c r="K620" i="49"/>
  <c r="K564" i="49"/>
  <c r="K471" i="49"/>
  <c r="K293" i="49"/>
  <c r="K325" i="49"/>
  <c r="K572" i="49"/>
  <c r="K163" i="49"/>
  <c r="K302" i="49"/>
  <c r="K436" i="49"/>
  <c r="K294" i="49"/>
  <c r="K276" i="49"/>
  <c r="K596" i="49"/>
  <c r="K207" i="49"/>
  <c r="K266" i="49"/>
  <c r="K600" i="49"/>
  <c r="K191" i="49"/>
  <c r="K227" i="49"/>
  <c r="K161" i="49"/>
  <c r="K371" i="49"/>
  <c r="K548" i="49"/>
  <c r="K569" i="49"/>
  <c r="K588" i="49"/>
  <c r="K259" i="49"/>
  <c r="K407" i="49"/>
  <c r="K561" i="49"/>
  <c r="K642" i="49"/>
  <c r="K576" i="49"/>
  <c r="K631" i="49"/>
  <c r="K654" i="49"/>
  <c r="K322" i="49"/>
  <c r="K205" i="49"/>
  <c r="K608" i="49"/>
  <c r="K566" i="49"/>
  <c r="K630" i="49"/>
  <c r="K622" i="49"/>
  <c r="K320" i="49"/>
  <c r="K446" i="49"/>
  <c r="K339" i="49"/>
  <c r="K400" i="49"/>
  <c r="K237" i="49"/>
  <c r="K380" i="49"/>
  <c r="K382" i="49"/>
  <c r="K105" i="49"/>
  <c r="K187" i="49"/>
  <c r="K242" i="49"/>
  <c r="K327" i="49"/>
  <c r="K341" i="49"/>
  <c r="K258" i="49"/>
  <c r="K113" i="49"/>
  <c r="K375" i="49"/>
  <c r="K304" i="49"/>
  <c r="K421" i="49"/>
  <c r="K430" i="49"/>
  <c r="K418" i="49"/>
  <c r="K263" i="49"/>
  <c r="K756" i="49"/>
  <c r="K284" i="49"/>
  <c r="K638" i="49"/>
  <c r="K570" i="49"/>
  <c r="K243" i="49"/>
  <c r="K234" i="49"/>
  <c r="K296" i="49"/>
  <c r="K556" i="49"/>
  <c r="K324" i="49"/>
  <c r="K634" i="49"/>
  <c r="K584" i="49"/>
  <c r="K520" i="49"/>
  <c r="K718" i="49"/>
  <c r="K740" i="49"/>
  <c r="K231" i="49"/>
  <c r="K604" i="49"/>
  <c r="K167" i="49"/>
  <c r="K203" i="49"/>
  <c r="K367" i="49"/>
  <c r="K383" i="49"/>
  <c r="K545" i="49"/>
  <c r="K760" i="49"/>
  <c r="K308" i="49"/>
  <c r="K343" i="49"/>
  <c r="K532" i="49"/>
  <c r="K442" i="49"/>
  <c r="K316" i="49"/>
  <c r="K592" i="49"/>
  <c r="K626" i="49"/>
  <c r="K705" i="49"/>
  <c r="K653" i="49"/>
  <c r="K48" i="49"/>
  <c r="K591" i="49"/>
  <c r="K495" i="49"/>
  <c r="K457" i="49"/>
  <c r="K99" i="49"/>
  <c r="K423" i="49"/>
  <c r="K353" i="49"/>
  <c r="K76" i="49"/>
  <c r="K687" i="49"/>
  <c r="K469" i="49"/>
  <c r="K649" i="49"/>
  <c r="K557" i="49"/>
  <c r="K359" i="49"/>
  <c r="K483" i="49"/>
  <c r="K84" i="49"/>
  <c r="K411" i="49"/>
  <c r="K683" i="49"/>
  <c r="K443" i="49"/>
  <c r="K351" i="49"/>
  <c r="K501" i="49"/>
  <c r="K515" i="49"/>
  <c r="K158" i="49"/>
  <c r="K613" i="49"/>
  <c r="K547" i="49"/>
  <c r="K481" i="49"/>
  <c r="K837" i="49"/>
  <c r="K118" i="49"/>
  <c r="K691" i="49"/>
  <c r="K459" i="49"/>
  <c r="K373" i="49"/>
  <c r="K611" i="49"/>
  <c r="K657" i="49"/>
  <c r="K491" i="49"/>
  <c r="K254" i="49"/>
  <c r="K531" i="49"/>
  <c r="K665" i="49"/>
  <c r="K579" i="49"/>
  <c r="K68" i="49"/>
  <c r="K202" i="49"/>
  <c r="K673" i="49"/>
  <c r="K567" i="49"/>
  <c r="K222" i="49"/>
  <c r="K643" i="49"/>
  <c r="K485" i="49"/>
  <c r="K723" i="49"/>
  <c r="K525" i="49"/>
  <c r="K210" i="49"/>
  <c r="K108" i="49"/>
  <c r="K865" i="49"/>
  <c r="K32" i="49"/>
  <c r="K52" i="49"/>
  <c r="K609" i="49"/>
  <c r="K122" i="49"/>
  <c r="K404" i="49"/>
  <c r="K433" i="49"/>
  <c r="K467" i="49"/>
  <c r="K478" i="49"/>
  <c r="K28" i="49"/>
  <c r="K540" i="49"/>
  <c r="K510" i="49"/>
  <c r="K386" i="49"/>
  <c r="K413" i="49"/>
  <c r="K475" i="49"/>
  <c r="K44" i="49"/>
  <c r="K16" i="49"/>
  <c r="K20" i="49"/>
  <c r="K519" i="49"/>
  <c r="K80" i="49"/>
  <c r="K60" i="49"/>
  <c r="K56" i="49"/>
  <c r="K40" i="49"/>
  <c r="K26" i="49"/>
  <c r="K223" i="49"/>
  <c r="K64" i="49"/>
  <c r="K419" i="49"/>
  <c r="K517" i="49"/>
  <c r="K88" i="49"/>
  <c r="K285" i="49"/>
  <c r="K499" i="49"/>
  <c r="K632" i="49"/>
  <c r="K541" i="49"/>
  <c r="K523" i="49"/>
  <c r="K458" i="49"/>
  <c r="K395" i="49"/>
  <c r="K286" i="49"/>
  <c r="K727" i="49"/>
  <c r="K543" i="49"/>
  <c r="K103" i="49"/>
  <c r="K528" i="49"/>
  <c r="K874" i="49"/>
  <c r="K751" i="49"/>
  <c r="K810" i="49"/>
  <c r="K8" i="49"/>
  <c r="K135" i="49"/>
  <c r="K155" i="49"/>
  <c r="K781" i="49"/>
  <c r="K628" i="49"/>
  <c r="K72" i="49"/>
  <c r="K390" i="49"/>
  <c r="K147" i="49"/>
  <c r="K268" i="49"/>
  <c r="K24" i="49"/>
  <c r="K280" i="49"/>
  <c r="K746" i="49"/>
  <c r="K355" i="49"/>
  <c r="K507" i="49"/>
  <c r="K716" i="49"/>
  <c r="K12" i="49"/>
  <c r="K701" i="49"/>
  <c r="K262" i="49"/>
  <c r="K871" i="49"/>
  <c r="K667" i="49"/>
  <c r="K196" i="49"/>
  <c r="K109" i="49"/>
  <c r="K769" i="49"/>
  <c r="K134" i="49"/>
  <c r="K101" i="49"/>
  <c r="K298" i="49"/>
  <c r="K273" i="49"/>
  <c r="K799" i="49"/>
  <c r="K169" i="49"/>
  <c r="K239" i="49"/>
  <c r="K313" i="49"/>
  <c r="K288" i="49"/>
  <c r="K164" i="49"/>
  <c r="K151" i="49"/>
  <c r="K176" i="49"/>
  <c r="K742" i="49"/>
  <c r="K250" i="49"/>
  <c r="K856" i="49"/>
  <c r="K36" i="49"/>
  <c r="K305" i="49"/>
  <c r="K156" i="49"/>
  <c r="K830" i="49"/>
  <c r="K800" i="49"/>
  <c r="K138" i="49"/>
  <c r="K669" i="49"/>
  <c r="K861" i="49"/>
  <c r="K189" i="49"/>
  <c r="K188" i="49"/>
  <c r="K301" i="49"/>
  <c r="K686" i="49"/>
  <c r="K159" i="49"/>
  <c r="K752" i="49"/>
  <c r="K195" i="49"/>
  <c r="K37" i="49"/>
  <c r="K148" i="49"/>
  <c r="K136" i="49"/>
  <c r="K679" i="49"/>
  <c r="K246" i="49"/>
  <c r="K117" i="49"/>
  <c r="K184" i="49"/>
  <c r="K813" i="49"/>
  <c r="K778" i="49"/>
  <c r="K269" i="49"/>
  <c r="K733" i="49"/>
  <c r="K849" i="49"/>
  <c r="K121" i="49"/>
  <c r="K245" i="49"/>
  <c r="K805" i="49"/>
  <c r="K710" i="49"/>
  <c r="K225" i="49"/>
  <c r="K206" i="49"/>
  <c r="K731" i="49"/>
  <c r="K773" i="49"/>
  <c r="K127" i="49"/>
  <c r="K585" i="49"/>
  <c r="K183" i="49"/>
  <c r="K700" i="49"/>
  <c r="K230" i="49"/>
  <c r="K789" i="49"/>
  <c r="K168" i="49"/>
  <c r="K170" i="49"/>
  <c r="K796" i="49"/>
  <c r="K439" i="49"/>
  <c r="K232" i="49"/>
  <c r="K384" i="49"/>
  <c r="K644" i="49"/>
  <c r="K213" i="49"/>
  <c r="K291" i="49"/>
  <c r="K605" i="49"/>
  <c r="K315" i="49"/>
  <c r="K271" i="49"/>
  <c r="K180" i="49"/>
  <c r="K614" i="49"/>
  <c r="K650" i="49"/>
  <c r="K398" i="49"/>
  <c r="K337" i="49"/>
  <c r="K144" i="49"/>
  <c r="K486" i="49"/>
  <c r="K425" i="49"/>
  <c r="K200" i="49"/>
  <c r="K226" i="49"/>
  <c r="K317" i="49"/>
  <c r="K224" i="49"/>
  <c r="K272" i="49"/>
  <c r="K190" i="49"/>
  <c r="K670" i="49"/>
  <c r="K255" i="49"/>
  <c r="K185" i="49"/>
  <c r="K346" i="49"/>
  <c r="K133" i="49"/>
  <c r="K157" i="49"/>
  <c r="K455" i="49"/>
  <c r="K647" i="49"/>
  <c r="K218" i="49"/>
  <c r="K338" i="49"/>
  <c r="K487" i="49"/>
  <c r="K490" i="49"/>
  <c r="K397" i="49"/>
  <c r="K435" i="49"/>
  <c r="K347" i="49"/>
  <c r="K275" i="49"/>
  <c r="K116" i="49"/>
  <c r="K768" i="49"/>
  <c r="K466" i="49"/>
  <c r="K265" i="49"/>
  <c r="K473" i="49"/>
  <c r="K257" i="49"/>
  <c r="K34" i="49"/>
  <c r="K416" i="49"/>
  <c r="K303" i="49"/>
  <c r="K488" i="49"/>
  <c r="K42" i="49"/>
  <c r="K379" i="49"/>
  <c r="K597" i="49"/>
  <c r="K862" i="49"/>
  <c r="K603" i="49"/>
  <c r="K440" i="49"/>
  <c r="K824" i="49"/>
  <c r="K447" i="49"/>
  <c r="K627" i="49"/>
  <c r="K468" i="49"/>
  <c r="K790" i="49"/>
  <c r="K453" i="49"/>
  <c r="K518" i="49"/>
  <c r="K449" i="49"/>
  <c r="K145" i="49"/>
  <c r="K857" i="49"/>
  <c r="K797" i="49"/>
  <c r="K329" i="49"/>
  <c r="K126" i="49"/>
  <c r="K637" i="49"/>
  <c r="K753" i="49"/>
  <c r="K299" i="49"/>
  <c r="K645" i="49"/>
  <c r="K198" i="49"/>
  <c r="K297" i="49"/>
  <c r="K199" i="49"/>
  <c r="K114" i="49"/>
  <c r="K612" i="49"/>
  <c r="K115" i="49"/>
  <c r="K732" i="49"/>
  <c r="K171" i="49"/>
  <c r="K417" i="49"/>
  <c r="K153" i="49"/>
  <c r="K248" i="49"/>
  <c r="K281" i="49"/>
  <c r="K508" i="49"/>
  <c r="K177" i="49"/>
  <c r="K279" i="49"/>
  <c r="K818" i="49"/>
  <c r="K152" i="49"/>
  <c r="K287" i="49"/>
  <c r="K131" i="49"/>
  <c r="K54" i="49"/>
  <c r="K798" i="49"/>
  <c r="K633" i="49"/>
  <c r="K110" i="49"/>
  <c r="K405" i="49"/>
  <c r="K846" i="49"/>
  <c r="K505" i="49"/>
  <c r="K77" i="49"/>
  <c r="K228" i="49"/>
  <c r="K713" i="49"/>
  <c r="K851" i="49"/>
  <c r="K833" i="49"/>
  <c r="K10" i="49"/>
  <c r="K323" i="49"/>
  <c r="K602" i="49"/>
  <c r="K845" i="49"/>
  <c r="K819" i="49"/>
  <c r="K319" i="49"/>
  <c r="K794" i="49"/>
  <c r="K825" i="49"/>
  <c r="K763" i="49"/>
  <c r="K869" i="49"/>
  <c r="K767" i="49"/>
  <c r="K14" i="49"/>
  <c r="K698" i="49"/>
  <c r="K58" i="49"/>
  <c r="K822" i="49"/>
  <c r="K589" i="49"/>
  <c r="K779" i="49"/>
  <c r="K834" i="49"/>
  <c r="K529" i="49"/>
  <c r="K806" i="49"/>
  <c r="K839" i="49"/>
  <c r="K802" i="49"/>
  <c r="K854" i="49"/>
  <c r="K66" i="49"/>
  <c r="K765" i="49"/>
  <c r="K689" i="49"/>
  <c r="K332" i="49"/>
  <c r="K396" i="49"/>
  <c r="K74" i="49"/>
  <c r="K81" i="49"/>
  <c r="K21" i="49"/>
  <c r="K437" i="49"/>
  <c r="K256" i="49"/>
  <c r="K639" i="49"/>
  <c r="K424" i="49"/>
  <c r="K640" i="49"/>
  <c r="K361" i="49"/>
  <c r="K728" i="49"/>
  <c r="K641" i="49"/>
  <c r="K615" i="49"/>
  <c r="K120" i="49"/>
  <c r="K684" i="49"/>
  <c r="K476" i="49"/>
  <c r="K391" i="49"/>
  <c r="K479" i="49"/>
  <c r="K260" i="49"/>
  <c r="K552" i="49"/>
  <c r="K283" i="49"/>
  <c r="K119" i="49"/>
  <c r="K681" i="49"/>
  <c r="K328" i="49"/>
  <c r="K590" i="49"/>
  <c r="K817" i="49"/>
  <c r="K348" i="49"/>
  <c r="K594" i="49"/>
  <c r="K607" i="49"/>
  <c r="K500" i="49"/>
  <c r="K154" i="49"/>
  <c r="K573" i="49"/>
  <c r="K803" i="49"/>
  <c r="K7" i="49"/>
  <c r="K582" i="49"/>
  <c r="K610" i="49"/>
  <c r="K562" i="49"/>
  <c r="K688" i="49"/>
  <c r="K715" i="49"/>
  <c r="K132" i="49"/>
  <c r="K22" i="49"/>
  <c r="K703" i="49"/>
  <c r="K480" i="49"/>
  <c r="K415" i="49"/>
  <c r="K625" i="49"/>
  <c r="K51" i="49"/>
  <c r="K721" i="49"/>
  <c r="K745" i="49"/>
  <c r="K128" i="49"/>
  <c r="K595" i="49"/>
  <c r="K90" i="49"/>
  <c r="K201" i="49"/>
  <c r="K847" i="49"/>
  <c r="K233" i="49"/>
  <c r="K866" i="49"/>
  <c r="K311" i="49"/>
  <c r="K50" i="49"/>
  <c r="K617" i="49"/>
  <c r="K734" i="49"/>
  <c r="K111" i="49"/>
  <c r="K583" i="49"/>
  <c r="K244" i="49"/>
  <c r="K587" i="49"/>
  <c r="K216" i="49"/>
  <c r="K606" i="49"/>
  <c r="K441" i="49"/>
  <c r="K599" i="49"/>
  <c r="K550" i="49"/>
  <c r="K586" i="49"/>
  <c r="K357" i="49"/>
  <c r="K106" i="49"/>
  <c r="K94" i="49"/>
  <c r="K598" i="49"/>
  <c r="K694" i="49"/>
  <c r="K619" i="49"/>
  <c r="K55" i="49"/>
  <c r="K621" i="49"/>
  <c r="K708" i="49"/>
  <c r="K25" i="49"/>
  <c r="K828" i="49"/>
  <c r="K62" i="49"/>
  <c r="K699" i="49"/>
  <c r="K142" i="49"/>
  <c r="K786" i="49"/>
  <c r="K295" i="49"/>
  <c r="K840" i="49"/>
  <c r="K755" i="49"/>
  <c r="K814" i="49"/>
  <c r="K445" i="49"/>
  <c r="K192" i="49"/>
  <c r="K307" i="49"/>
  <c r="K850" i="49"/>
  <c r="K310" i="49"/>
  <c r="K173" i="49"/>
  <c r="K660" i="49"/>
  <c r="K827" i="49"/>
  <c r="K399" i="49"/>
  <c r="K456" i="49"/>
  <c r="K729" i="49"/>
  <c r="K580" i="49"/>
  <c r="K150" i="49"/>
  <c r="K801" i="49"/>
  <c r="K124" i="49"/>
  <c r="K17" i="49"/>
  <c r="K98" i="49"/>
  <c r="K350" i="49"/>
  <c r="K107" i="49"/>
  <c r="K658" i="49"/>
  <c r="K555" i="49"/>
  <c r="K511" i="49"/>
  <c r="K635" i="49"/>
  <c r="K709" i="49"/>
  <c r="K758" i="49"/>
  <c r="K139" i="49"/>
  <c r="K792" i="49"/>
  <c r="K741" i="49"/>
  <c r="K452" i="49"/>
  <c r="K720" i="49"/>
  <c r="K726" i="49"/>
  <c r="K743" i="49"/>
  <c r="K655" i="49"/>
  <c r="K100" i="49"/>
  <c r="K181" i="49"/>
  <c r="K711" i="49"/>
  <c r="K772" i="49"/>
  <c r="K747" i="49"/>
  <c r="K826" i="49"/>
  <c r="K352" i="49"/>
  <c r="K78" i="49"/>
  <c r="K674" i="49"/>
  <c r="K692" i="49"/>
  <c r="K143" i="49"/>
  <c r="K777" i="49"/>
  <c r="K749" i="49"/>
  <c r="K719" i="49"/>
  <c r="K815" i="49"/>
  <c r="K784" i="49"/>
  <c r="K264" i="49"/>
  <c r="K356" i="49"/>
  <c r="K282" i="49"/>
  <c r="K554" i="49"/>
  <c r="K212" i="49"/>
  <c r="K762" i="49"/>
  <c r="K460" i="49"/>
  <c r="K759" i="49"/>
  <c r="K69" i="49"/>
  <c r="K629" i="49"/>
  <c r="K289" i="49"/>
  <c r="K785" i="49"/>
  <c r="K706" i="49"/>
  <c r="K49" i="49"/>
  <c r="K553" i="49"/>
  <c r="K204" i="49"/>
  <c r="K677" i="49"/>
  <c r="K757" i="49"/>
  <c r="K737" i="49"/>
  <c r="K549" i="49"/>
  <c r="K406" i="49"/>
  <c r="K182" i="49"/>
  <c r="K130" i="49"/>
  <c r="K123" i="49"/>
  <c r="K366" i="49"/>
  <c r="K45" i="49"/>
  <c r="K714" i="49"/>
  <c r="K484" i="49"/>
  <c r="K402" i="49"/>
  <c r="K831" i="49"/>
  <c r="K646" i="49"/>
  <c r="K149" i="49"/>
  <c r="K166" i="49"/>
  <c r="K546" i="49"/>
  <c r="K86" i="49"/>
  <c r="K29" i="49"/>
  <c r="K695" i="49"/>
  <c r="K811" i="49"/>
  <c r="K832" i="49"/>
  <c r="K780" i="49"/>
  <c r="K578" i="49"/>
  <c r="K220" i="49"/>
  <c r="K261" i="49"/>
  <c r="K448" i="49"/>
  <c r="K137" i="49"/>
  <c r="K340" i="49"/>
  <c r="K178" i="49"/>
  <c r="K46" i="49"/>
  <c r="K432" i="49"/>
  <c r="K408" i="49"/>
  <c r="K67" i="49"/>
  <c r="K89" i="49"/>
  <c r="K544" i="49"/>
  <c r="K662" i="49"/>
  <c r="K165" i="49"/>
  <c r="K725" i="49"/>
  <c r="K464" i="49"/>
  <c r="K858" i="49"/>
  <c r="K427" i="49"/>
  <c r="K724" i="49"/>
  <c r="K873" i="49"/>
  <c r="K93" i="49"/>
  <c r="K71" i="49"/>
  <c r="K409" i="49"/>
  <c r="K835" i="49"/>
  <c r="K843" i="49"/>
  <c r="K776" i="49"/>
  <c r="K104" i="49"/>
  <c r="K306" i="49"/>
  <c r="K33" i="49"/>
  <c r="K160" i="49"/>
  <c r="K680" i="49"/>
  <c r="K516" i="49"/>
  <c r="K364" i="49"/>
  <c r="K354" i="49"/>
  <c r="K387" i="49"/>
  <c r="K349" i="49"/>
  <c r="K162" i="49"/>
  <c r="K462" i="49"/>
  <c r="K401" i="49"/>
  <c r="K63" i="49"/>
  <c r="K859" i="49"/>
  <c r="K770" i="49"/>
  <c r="K388" i="49"/>
  <c r="K494" i="49"/>
  <c r="K38" i="49"/>
  <c r="K241" i="49"/>
  <c r="K870" i="49"/>
  <c r="K722" i="49"/>
  <c r="K211" i="49"/>
  <c r="K461" i="49"/>
  <c r="K696" i="49"/>
  <c r="K666" i="49"/>
  <c r="K838" i="49"/>
  <c r="K652" i="49"/>
  <c r="K707" i="49"/>
  <c r="K565" i="49"/>
  <c r="K676" i="49"/>
  <c r="K70" i="49"/>
  <c r="K19" i="49"/>
  <c r="K420" i="49"/>
  <c r="K855" i="49"/>
  <c r="K853" i="49"/>
  <c r="K534" i="49"/>
  <c r="K47" i="49"/>
  <c r="K690" i="49"/>
  <c r="K422" i="49"/>
  <c r="K208" i="49"/>
  <c r="K697" i="49"/>
  <c r="K369" i="49"/>
  <c r="K11" i="49"/>
  <c r="K848" i="49"/>
  <c r="K820" i="49"/>
  <c r="K474" i="49"/>
  <c r="K221" i="49"/>
  <c r="K59" i="49"/>
  <c r="K793" i="49"/>
  <c r="K363" i="49"/>
  <c r="K314" i="49"/>
  <c r="K414" i="49"/>
  <c r="K140" i="49"/>
  <c r="K112" i="49"/>
  <c r="K9" i="49"/>
  <c r="K365" i="49"/>
  <c r="K524" i="49"/>
  <c r="K27" i="49"/>
  <c r="K61" i="49"/>
  <c r="K761" i="49"/>
  <c r="K808" i="49"/>
  <c r="K867" i="49"/>
  <c r="K217" i="49"/>
  <c r="K472" i="49"/>
  <c r="K509" i="49"/>
  <c r="K102" i="49"/>
  <c r="K514" i="49"/>
  <c r="K539" i="49"/>
  <c r="K496" i="49"/>
  <c r="K651" i="49"/>
  <c r="K274" i="49"/>
  <c r="K412" i="49"/>
  <c r="K30" i="49"/>
  <c r="K623" i="49"/>
  <c r="K571" i="49"/>
  <c r="K342" i="49"/>
  <c r="K438" i="49"/>
  <c r="K345" i="49"/>
  <c r="K581" i="49"/>
  <c r="K530" i="49"/>
  <c r="K267" i="49"/>
  <c r="K381" i="49"/>
  <c r="K91" i="49"/>
  <c r="K197" i="49"/>
  <c r="K454" i="49"/>
  <c r="K450" i="49"/>
  <c r="K393" i="49"/>
  <c r="K331" i="49"/>
  <c r="K536" i="49"/>
  <c r="K659" i="49"/>
  <c r="K334" i="49"/>
  <c r="K593" i="49"/>
  <c r="K65" i="49"/>
  <c r="K333" i="49"/>
  <c r="K748" i="49"/>
  <c r="K775" i="49"/>
  <c r="K764" i="49"/>
  <c r="K736" i="49"/>
  <c r="K774" i="49"/>
  <c r="K682" i="49"/>
  <c r="K542" i="49"/>
  <c r="K278" i="49"/>
  <c r="K668" i="49"/>
  <c r="K502" i="49"/>
  <c r="K493" i="49"/>
  <c r="K821" i="49"/>
  <c r="K522" i="49"/>
  <c r="K368" i="49"/>
  <c r="K214" i="49"/>
  <c r="K717" i="49"/>
  <c r="K664" i="49"/>
  <c r="K434" i="49"/>
  <c r="K372" i="49"/>
  <c r="K18" i="49"/>
  <c r="K663" i="49"/>
  <c r="K470" i="49"/>
  <c r="K344" i="49"/>
  <c r="K389" i="49"/>
  <c r="K35" i="49"/>
  <c r="K836" i="49"/>
  <c r="K782" i="49"/>
  <c r="K852" i="49"/>
  <c r="K482" i="49"/>
  <c r="K504" i="49"/>
  <c r="K194" i="49"/>
  <c r="K57" i="49"/>
  <c r="K577" i="49"/>
  <c r="K309" i="49"/>
  <c r="K489" i="49"/>
  <c r="K321" i="49"/>
  <c r="K186" i="49"/>
  <c r="K527" i="49"/>
  <c r="K521" i="49"/>
  <c r="K360" i="49"/>
  <c r="K739" i="49"/>
  <c r="K735" i="49"/>
  <c r="K559" i="49"/>
  <c r="K362" i="49"/>
  <c r="K465" i="49"/>
  <c r="K253" i="49"/>
  <c r="K410" i="49"/>
  <c r="K129" i="49"/>
  <c r="K236" i="49"/>
  <c r="K492" i="49"/>
  <c r="K385" i="49"/>
  <c r="K377" i="49"/>
  <c r="K174" i="49"/>
  <c r="K252" i="49"/>
  <c r="K568" i="49"/>
  <c r="K249" i="49"/>
  <c r="K704" i="49"/>
  <c r="K788" i="49"/>
  <c r="K812" i="49"/>
  <c r="K863" i="49"/>
  <c r="K783" i="49"/>
  <c r="K872" i="49"/>
  <c r="K702" i="49"/>
  <c r="K175" i="49"/>
  <c r="K636" i="49"/>
  <c r="K23" i="49"/>
  <c r="K829" i="49"/>
  <c r="K43" i="49"/>
  <c r="K97" i="49"/>
  <c r="K551" i="49"/>
  <c r="K533" i="49"/>
  <c r="K335" i="49"/>
  <c r="K31" i="49"/>
  <c r="K83" i="49"/>
  <c r="K444" i="49"/>
  <c r="K92" i="49"/>
  <c r="K209" i="49"/>
  <c r="K618" i="49"/>
  <c r="K601" i="49"/>
  <c r="K41" i="49"/>
  <c r="K513" i="49"/>
  <c r="K512" i="49"/>
  <c r="K146" i="49"/>
  <c r="K754" i="49"/>
  <c r="K766" i="49"/>
  <c r="K787" i="49"/>
  <c r="K844" i="49"/>
  <c r="K336" i="49"/>
  <c r="K685" i="49"/>
  <c r="K451" i="49"/>
  <c r="K648" i="49"/>
  <c r="K429" i="49"/>
  <c r="K392" i="49"/>
  <c r="K538" i="49"/>
  <c r="K39" i="49"/>
  <c r="K671" i="49"/>
  <c r="K506" i="49"/>
  <c r="K574" i="49"/>
  <c r="K428" i="49"/>
  <c r="K235" i="49"/>
  <c r="K75" i="49"/>
  <c r="K229" i="49"/>
  <c r="K96" i="49"/>
  <c r="K6" i="49"/>
  <c r="K374" i="49"/>
  <c r="K141" i="49"/>
  <c r="K750" i="49"/>
  <c r="K693" i="49"/>
  <c r="K477" i="49"/>
  <c r="K575" i="49"/>
  <c r="K85" i="49"/>
  <c r="K675" i="49"/>
  <c r="K791" i="49"/>
  <c r="K809" i="49"/>
  <c r="K868" i="49"/>
  <c r="K823" i="49"/>
  <c r="K864" i="49"/>
  <c r="K172" i="49"/>
  <c r="K661" i="49"/>
  <c r="K73" i="49"/>
  <c r="K13" i="49"/>
  <c r="K563" i="49"/>
  <c r="K497" i="49"/>
  <c r="K672" i="49"/>
  <c r="K376" i="49"/>
  <c r="K82" i="49"/>
  <c r="K277" i="49"/>
  <c r="K53" i="49"/>
  <c r="K535" i="49"/>
  <c r="K403" i="49"/>
  <c r="K240" i="49"/>
  <c r="K247" i="49"/>
  <c r="K79" i="49"/>
  <c r="K656" i="49"/>
  <c r="K771" i="49"/>
  <c r="K426" i="49"/>
  <c r="K87" i="49"/>
  <c r="K15" i="49"/>
  <c r="K215" i="49"/>
  <c r="K841" i="49"/>
  <c r="K807" i="49"/>
  <c r="K816" i="49"/>
  <c r="K860" i="49"/>
  <c r="K795" i="49"/>
  <c r="K804" i="49"/>
  <c r="E2" i="29" l="1"/>
  <c r="A1" i="4" l="1"/>
  <c r="E5" i="49" l="1"/>
  <c r="K5" i="49" s="1"/>
  <c r="N11" i="48" l="1"/>
  <c r="R11" i="48" s="1"/>
  <c r="N13" i="48"/>
  <c r="R13" i="48" s="1"/>
  <c r="N14" i="48"/>
  <c r="R14" i="48" s="1"/>
  <c r="N12" i="48"/>
  <c r="R12" i="48" s="1"/>
  <c r="Q12" i="48"/>
  <c r="Q13" i="48"/>
  <c r="Q14" i="48"/>
  <c r="Q11" i="48"/>
  <c r="N9" i="48"/>
  <c r="R9" i="48" s="1"/>
  <c r="Q9" i="48"/>
  <c r="N10" i="48"/>
  <c r="R10" i="48" s="1"/>
  <c r="Q10" i="4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6A29483-A252-456D-83D3-BCE39F567625}" keepAlive="1" name="Query - Table 1" description="Connection to the 'Table 1' query in the workbook." type="5" refreshedVersion="8" background="1" refreshOnLoad="1" saveData="1">
    <dbPr connection="Provider=Microsoft.Mashup.OleDb.1;Data Source=$Workbook$;Location=&quot;Table 1&quot;;Extended Properties=&quot;&quot;" command="SELECT * FROM [Table 1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<sst xmlns="http://schemas.openxmlformats.org/spreadsheetml/2006/main" count="12155" uniqueCount="39">
  <si>
    <t>FX</t>
  </si>
  <si>
    <t>BALANCE</t>
  </si>
  <si>
    <t>EURTRY=</t>
  </si>
  <si>
    <t>GBP/USD</t>
  </si>
  <si>
    <t>KREDI TURU</t>
  </si>
  <si>
    <t>USD TUTAR</t>
  </si>
  <si>
    <t>%</t>
  </si>
  <si>
    <t>BANKA KONTROL</t>
  </si>
  <si>
    <t>USDTRY=</t>
  </si>
  <si>
    <t>DÖVİZ</t>
  </si>
  <si>
    <t>BANKA</t>
  </si>
  <si>
    <t>TRY</t>
  </si>
  <si>
    <t>SON</t>
  </si>
  <si>
    <t>USD/TRY DOLAR</t>
  </si>
  <si>
    <t>EUR/TRY EURO</t>
  </si>
  <si>
    <t>GBP/TRY STERLİN</t>
  </si>
  <si>
    <t>CHF/TRY İSVİÇRE FRANGI</t>
  </si>
  <si>
    <t>JPY/TRY 100 JAPON YENİ</t>
  </si>
  <si>
    <t>SAR/TRY SUUDİ ARABİSTAN RİYALİ</t>
  </si>
  <si>
    <t>NOK/TRY NORVEÇ KRONU</t>
  </si>
  <si>
    <t>DKK/TRY DANİMARKA KRONU</t>
  </si>
  <si>
    <t>AUD/TRY AVUSTRALYA DOLARI</t>
  </si>
  <si>
    <t>CAD/TRY KANADA DOLARI</t>
  </si>
  <si>
    <t>SEK/TRY İSVEÇ KRONU</t>
  </si>
  <si>
    <t>GLOBAL RETAIL</t>
  </si>
  <si>
    <t>BTCTURK</t>
  </si>
  <si>
    <t>VALUE</t>
  </si>
  <si>
    <t>VALUE  DATE MONTH</t>
  </si>
  <si>
    <t>VALUE  DATE YEAR</t>
  </si>
  <si>
    <t>TURNOVER</t>
  </si>
  <si>
    <t>INCOME</t>
  </si>
  <si>
    <t>TOTAL</t>
  </si>
  <si>
    <t>GLOBAL HFT</t>
  </si>
  <si>
    <t>USDT</t>
  </si>
  <si>
    <t>AY</t>
  </si>
  <si>
    <t>YIL</t>
  </si>
  <si>
    <t>17.02.25 raporunda yapılan revize sonucu 1.246,64TL günlük fee azaltılmıştur</t>
  </si>
  <si>
    <t>17.02.25 raporunda yapılan revize sonucu 24,99USD günlük fee azaltılmıştur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</si>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</sst>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3" formatCode="_-* #,##0.00_-;\-* #,##0.00_-;_-* &quot;-&quot;??_-;_-@_-"/>
    <numFmt numFmtId="164" formatCode="_(* #,##0.00_);_(* \(#,##0.00\);_(* &quot;-&quot;??_);_(@_)"/>
    <numFmt numFmtId="165" formatCode="_-* #,##0.00\ _T_L_-;\-* #,##0.00\ _T_L_-;_-* &quot;-&quot;??\ _T_L_-;_-@_-"/>
    <numFmt numFmtId="166" formatCode="_-* #,##0\ _T_L_-;\-* #,##0\ _T_L_-;_-* &quot;-&quot;??\ _T_L_-;_-@_-"/>
    <numFmt numFmtId="167" formatCode="_-* #,##0.0000\ _T_L_-;\-* #,##0.0000\ _T_L_-;_-* &quot;-&quot;??\ _T_L_-;_-@_-"/>
    <numFmt numFmtId="168" formatCode="_-* #,##0.00000\ _T_L_-;\-* #,##0.00000\ _T_L_-;_-* &quot;-&quot;??\ _T_L_-;_-@_-"/>
    <numFmt numFmtId="169" formatCode="dd/mm/yyyy;@"/>
    <numFmt numFmtId="170" formatCode="_-* #,##0.0000\ _T_L_-;\-* #,##0.0000\ _T_L_-;_-* &quot;-&quot;????\ _T_L_-;_-@_-"/>
    <numFmt numFmtId="171" formatCode="_-* #,##0.00\ [$€-1]_-;\-* #,##0.00\ [$€-1]_-;_-* &quot;-&quot;??\ [$€-1]_-"/>
    <numFmt numFmtId="172" formatCode="_(* #,##0_);_(* \(#,##0\);_(* &quot;-&quot;??_);_(@_)"/>
    <numFmt numFmtId="173" formatCode="#,##0.00\ [$€-1]"/>
    <numFmt numFmtId="174" formatCode="_-* #,##0\ _Y_T_L_-;\-* #,##0\ _Y_T_L_-;_-* &quot;-&quot;\ _Y_T_L_-;_-@_-"/>
    <numFmt numFmtId="175" formatCode="_-* #,##0.00\ _Y_T_L_-;\-* #,##0.00\ _Y_T_L_-;_-* &quot;-&quot;??\ _Y_T_L_-;_-@_-"/>
    <numFmt numFmtId="176" formatCode="_-* #,##0.00\ &quot;TL&quot;_-;\-* #,##0.00\ &quot;TL&quot;_-;_-* &quot;-&quot;??\ &quot;TL&quot;_-;_-@_-"/>
    <numFmt numFmtId="177" formatCode="[$-F800]dddd\,\ mmmm\ dd\,\ yyyy"/>
    <numFmt numFmtId="178" formatCode="0.000%"/>
    <numFmt numFmtId="179" formatCode="_-* #,##0.0000_-;\-* #,##0.0000_-;_-* &quot;-&quot;??_-;_-@_-"/>
    <numFmt numFmtId="180" formatCode="_-* #,##0.00000_-;\-* #,##0.00000_-;_-* &quot;-&quot;??_-;_-@_-"/>
    <numFmt numFmtId="181" formatCode="_-* #,##0.000000_-;\-* #,##0.000000_-;_-* &quot;-&quot;??_-;_-@_-"/>
  </numFmts>
  <fonts count="21" x14ac:knownFonts="1">
    <font>
      <sz val="10"/>
      <name val="Arial"/>
      <charset val="162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0"/>
      <name val="Arial"/>
      <family val="2"/>
      <charset val="162"/>
    </font>
    <font>
      <b/>
      <sz val="12"/>
      <name val="Times New Roman"/>
      <family val="1"/>
      <charset val="162"/>
    </font>
    <font>
      <sz val="8"/>
      <name val="Arial"/>
      <family val="2"/>
      <charset val="162"/>
    </font>
    <font>
      <sz val="12"/>
      <name val="Times New Roman"/>
      <family val="1"/>
      <charset val="162"/>
    </font>
    <font>
      <sz val="12"/>
      <color theme="1"/>
      <name val="Times New Roman"/>
      <family val="1"/>
      <charset val="162"/>
    </font>
    <font>
      <b/>
      <sz val="12"/>
      <color theme="1"/>
      <name val="Times New Roman"/>
      <family val="1"/>
      <charset val="162"/>
    </font>
    <font>
      <sz val="10"/>
      <name val="Arial Tur"/>
      <charset val="162"/>
    </font>
    <font>
      <sz val="10"/>
      <name val="Calibri"/>
      <family val="1"/>
      <scheme val="minor"/>
    </font>
    <font>
      <sz val="11"/>
      <color theme="1"/>
      <name val="Calibri"/>
      <family val="2"/>
      <scheme val="minor"/>
    </font>
    <font>
      <sz val="10"/>
      <name val="Times New Roman"/>
      <family val="1"/>
      <charset val="162"/>
    </font>
    <font>
      <b/>
      <sz val="10"/>
      <name val="Times New Roman"/>
      <family val="1"/>
      <charset val="162"/>
    </font>
    <font>
      <sz val="10"/>
      <name val="Arial"/>
      <family val="2"/>
      <charset val="162"/>
    </font>
    <font>
      <b/>
      <sz val="10"/>
      <color rgb="FFFF0000"/>
      <name val="Times New Roman"/>
      <family val="1"/>
      <charset val="162"/>
    </font>
    <font>
      <sz val="8"/>
      <name val="Arial"/>
      <family val="2"/>
      <charset val="162"/>
    </font>
    <font>
      <sz val="10"/>
      <color theme="1"/>
      <name val="Times New Roman"/>
      <family val="1"/>
      <charset val="162"/>
    </font>
    <font>
      <sz val="12"/>
      <color rgb="FFFF0000"/>
      <name val="Times New Roman"/>
      <family val="1"/>
      <charset val="162"/>
    </font>
    <font>
      <sz val="8"/>
      <color theme="1"/>
      <name val="Calibri"/>
      <family val="2"/>
      <charset val="162"/>
      <scheme val="minor"/>
    </font>
    <font>
      <sz val="9"/>
      <name val="Calibri"/>
      <family val="2"/>
      <charset val="16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</fills>
  <borders count="9">
    <border>
      <left/>
      <right/>
      <top/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 style="thick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medium">
        <color auto="1"/>
      </left>
      <right/>
      <top style="thick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6">
    <xf numFmtId="0" fontId="0" fillId="0" borderId="0"/>
    <xf numFmtId="165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0" borderId="0"/>
    <xf numFmtId="165" fontId="3" fillId="0" borderId="0" applyFont="0" applyFill="0" applyBorder="0" applyAlignment="0" applyProtection="0"/>
    <xf numFmtId="173" fontId="3" fillId="0" borderId="0"/>
    <xf numFmtId="173" fontId="3" fillId="0" borderId="0"/>
    <xf numFmtId="173" fontId="3" fillId="0" borderId="0"/>
    <xf numFmtId="0" fontId="2" fillId="0" borderId="0"/>
    <xf numFmtId="172" fontId="2" fillId="0" borderId="0" applyFont="0" applyFill="0" applyBorder="0" applyAlignment="0" applyProtection="0"/>
    <xf numFmtId="0" fontId="9" fillId="0" borderId="0"/>
    <xf numFmtId="175" fontId="9" fillId="0" borderId="0" applyFont="0" applyFill="0" applyBorder="0" applyAlignment="0" applyProtection="0"/>
    <xf numFmtId="174" fontId="9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5" fontId="9" fillId="0" borderId="0" applyFont="0" applyFill="0" applyBorder="0" applyAlignment="0" applyProtection="0"/>
    <xf numFmtId="175" fontId="9" fillId="0" borderId="0" applyFont="0" applyFill="0" applyBorder="0" applyAlignment="0" applyProtection="0"/>
    <xf numFmtId="0" fontId="10" fillId="0" borderId="0"/>
    <xf numFmtId="172" fontId="1" fillId="0" borderId="0" applyFont="0" applyFill="0" applyBorder="0" applyAlignment="0" applyProtection="0"/>
    <xf numFmtId="0" fontId="1" fillId="0" borderId="0"/>
    <xf numFmtId="164" fontId="11" fillId="0" borderId="0" applyFont="0" applyFill="0" applyBorder="0" applyAlignment="0" applyProtection="0"/>
    <xf numFmtId="176" fontId="3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85">
    <xf numFmtId="0" fontId="0" fillId="0" borderId="0" xfId="0"/>
    <xf numFmtId="0" fontId="6" fillId="0" borderId="0" xfId="0" applyFont="1"/>
    <xf numFmtId="166" fontId="7" fillId="0" borderId="0" xfId="1" applyNumberFormat="1" applyFont="1" applyFill="1" applyBorder="1" applyAlignment="1">
      <alignment horizontal="center"/>
    </xf>
    <xf numFmtId="165" fontId="7" fillId="0" borderId="0" xfId="1" applyFont="1" applyFill="1" applyBorder="1" applyAlignment="1">
      <alignment horizontal="center"/>
    </xf>
    <xf numFmtId="165" fontId="8" fillId="0" borderId="0" xfId="1" applyFont="1" applyFill="1" applyBorder="1" applyAlignment="1">
      <alignment horizontal="center"/>
    </xf>
    <xf numFmtId="165" fontId="8" fillId="0" borderId="0" xfId="1" applyFont="1" applyFill="1" applyBorder="1" applyAlignment="1"/>
    <xf numFmtId="166" fontId="8" fillId="0" borderId="0" xfId="0" applyNumberFormat="1" applyFont="1" applyAlignment="1">
      <alignment horizontal="center" vertical="center" wrapText="1"/>
    </xf>
    <xf numFmtId="0" fontId="8" fillId="0" borderId="0" xfId="0" applyFont="1" applyAlignment="1">
      <alignment horizontal="center" vertical="center" wrapText="1"/>
    </xf>
    <xf numFmtId="0" fontId="7" fillId="0" borderId="0" xfId="0" applyFont="1" applyAlignment="1">
      <alignment horizontal="left"/>
    </xf>
    <xf numFmtId="165" fontId="7" fillId="0" borderId="0" xfId="1" applyFont="1" applyFill="1" applyBorder="1" applyAlignment="1">
      <alignment horizontal="left"/>
    </xf>
    <xf numFmtId="165" fontId="7" fillId="0" borderId="0" xfId="1" applyFont="1" applyFill="1" applyBorder="1" applyAlignment="1"/>
    <xf numFmtId="170" fontId="8" fillId="0" borderId="0" xfId="1" applyNumberFormat="1" applyFont="1" applyFill="1" applyBorder="1" applyAlignment="1">
      <alignment horizontal="left"/>
    </xf>
    <xf numFmtId="166" fontId="7" fillId="0" borderId="0" xfId="1" applyNumberFormat="1" applyFont="1" applyFill="1" applyBorder="1" applyAlignment="1"/>
    <xf numFmtId="172" fontId="8" fillId="0" borderId="0" xfId="1" applyNumberFormat="1" applyFont="1" applyFill="1" applyBorder="1" applyAlignment="1">
      <alignment horizontal="left"/>
    </xf>
    <xf numFmtId="166" fontId="7" fillId="0" borderId="0" xfId="1" applyNumberFormat="1" applyFont="1" applyFill="1" applyBorder="1" applyAlignment="1">
      <alignment horizontal="left"/>
    </xf>
    <xf numFmtId="165" fontId="7" fillId="0" borderId="0" xfId="1" applyFont="1" applyFill="1" applyAlignment="1"/>
    <xf numFmtId="168" fontId="8" fillId="0" borderId="0" xfId="1" applyNumberFormat="1" applyFont="1" applyFill="1" applyBorder="1" applyAlignment="1">
      <alignment horizontal="center"/>
    </xf>
    <xf numFmtId="165" fontId="8" fillId="0" borderId="1" xfId="1" applyFont="1" applyFill="1" applyBorder="1" applyAlignment="1">
      <alignment horizontal="center"/>
    </xf>
    <xf numFmtId="165" fontId="8" fillId="0" borderId="2" xfId="1" applyFont="1" applyFill="1" applyBorder="1" applyAlignment="1">
      <alignment horizontal="center"/>
    </xf>
    <xf numFmtId="165" fontId="8" fillId="0" borderId="3" xfId="1" applyFont="1" applyFill="1" applyBorder="1" applyAlignment="1">
      <alignment horizontal="center"/>
    </xf>
    <xf numFmtId="14" fontId="8" fillId="2" borderId="0" xfId="1" applyNumberFormat="1" applyFont="1" applyFill="1" applyBorder="1" applyAlignment="1">
      <alignment horizontal="center"/>
    </xf>
    <xf numFmtId="167" fontId="8" fillId="0" borderId="4" xfId="1" applyNumberFormat="1" applyFont="1" applyFill="1" applyBorder="1" applyAlignment="1">
      <alignment horizontal="center" vertical="center"/>
    </xf>
    <xf numFmtId="167" fontId="8" fillId="0" borderId="5" xfId="1" applyNumberFormat="1" applyFont="1" applyFill="1" applyBorder="1" applyAlignment="1"/>
    <xf numFmtId="0" fontId="12" fillId="0" borderId="0" xfId="0" applyFont="1"/>
    <xf numFmtId="166" fontId="12" fillId="0" borderId="0" xfId="1" applyNumberFormat="1" applyFont="1"/>
    <xf numFmtId="0" fontId="4" fillId="0" borderId="0" xfId="0" applyFont="1" applyAlignment="1">
      <alignment horizontal="center"/>
    </xf>
    <xf numFmtId="0" fontId="12" fillId="0" borderId="0" xfId="0" applyFont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3" fillId="0" borderId="0" xfId="0" applyFont="1"/>
    <xf numFmtId="177" fontId="12" fillId="0" borderId="0" xfId="0" applyNumberFormat="1" applyFont="1" applyAlignment="1">
      <alignment horizontal="center" vertical="center" wrapText="1"/>
    </xf>
    <xf numFmtId="177" fontId="13" fillId="0" borderId="0" xfId="0" applyNumberFormat="1" applyFont="1"/>
    <xf numFmtId="166" fontId="13" fillId="0" borderId="0" xfId="1" applyNumberFormat="1" applyFont="1"/>
    <xf numFmtId="0" fontId="13" fillId="0" borderId="0" xfId="0" applyFont="1"/>
    <xf numFmtId="178" fontId="15" fillId="0" borderId="0" xfId="25" applyNumberFormat="1" applyFont="1"/>
    <xf numFmtId="178" fontId="15" fillId="0" borderId="0" xfId="25" applyNumberFormat="1" applyFont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4" fillId="0" borderId="6" xfId="0" applyFont="1" applyBorder="1" applyAlignment="1">
      <alignment horizontal="center" vertical="center"/>
    </xf>
    <xf numFmtId="165" fontId="12" fillId="0" borderId="6" xfId="1" applyFont="1" applyBorder="1"/>
    <xf numFmtId="0" fontId="6" fillId="0" borderId="0" xfId="0" applyFont="1" applyAlignment="1">
      <alignment horizontal="center"/>
    </xf>
    <xf numFmtId="43" fontId="12" fillId="0" borderId="0" xfId="0" applyNumberFormat="1" applyFont="1"/>
    <xf numFmtId="165" fontId="12" fillId="0" borderId="6" xfId="1" applyFont="1" applyFill="1" applyBorder="1"/>
    <xf numFmtId="169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49" fontId="7" fillId="0" borderId="0" xfId="0" applyNumberFormat="1" applyFont="1" applyAlignment="1">
      <alignment horizontal="center"/>
    </xf>
    <xf numFmtId="165" fontId="12" fillId="0" borderId="0" xfId="0" applyNumberFormat="1" applyFont="1"/>
    <xf numFmtId="165" fontId="12" fillId="0" borderId="0" xfId="1" applyFont="1"/>
    <xf numFmtId="165" fontId="7" fillId="0" borderId="0" xfId="1" applyFont="1" applyFill="1" applyBorder="1" applyAlignment="1">
      <alignment horizontal="right"/>
    </xf>
    <xf numFmtId="165" fontId="7" fillId="0" borderId="0" xfId="1" applyFont="1" applyFill="1" applyAlignment="1">
      <alignment horizontal="center"/>
    </xf>
    <xf numFmtId="165" fontId="17" fillId="0" borderId="6" xfId="1" applyFont="1" applyBorder="1"/>
    <xf numFmtId="165" fontId="17" fillId="0" borderId="6" xfId="1" applyFont="1" applyFill="1" applyBorder="1"/>
    <xf numFmtId="165" fontId="18" fillId="0" borderId="0" xfId="1" applyFont="1" applyFill="1" applyBorder="1" applyAlignment="1">
      <alignment horizontal="right"/>
    </xf>
    <xf numFmtId="165" fontId="7" fillId="3" borderId="0" xfId="1" applyFont="1" applyFill="1" applyBorder="1" applyAlignment="1">
      <alignment horizontal="right"/>
    </xf>
    <xf numFmtId="169" fontId="7" fillId="4" borderId="0" xfId="0" applyNumberFormat="1" applyFont="1" applyFill="1" applyAlignment="1">
      <alignment horizontal="center"/>
    </xf>
    <xf numFmtId="0" fontId="7" fillId="4" borderId="0" xfId="0" applyFont="1" applyFill="1" applyAlignment="1">
      <alignment horizontal="left"/>
    </xf>
    <xf numFmtId="0" fontId="7" fillId="4" borderId="0" xfId="0" applyFont="1" applyFill="1" applyAlignment="1">
      <alignment horizontal="center"/>
    </xf>
    <xf numFmtId="49" fontId="7" fillId="4" borderId="0" xfId="0" applyNumberFormat="1" applyFont="1" applyFill="1" applyAlignment="1">
      <alignment horizontal="center"/>
    </xf>
    <xf numFmtId="166" fontId="7" fillId="4" borderId="0" xfId="1" applyNumberFormat="1" applyFont="1" applyFill="1" applyBorder="1" applyAlignment="1">
      <alignment horizontal="center"/>
    </xf>
    <xf numFmtId="165" fontId="7" fillId="4" borderId="0" xfId="1" applyFont="1" applyFill="1" applyAlignment="1"/>
    <xf numFmtId="166" fontId="7" fillId="4" borderId="0" xfId="1" applyNumberFormat="1" applyFont="1" applyFill="1" applyBorder="1" applyAlignment="1"/>
    <xf numFmtId="165" fontId="7" fillId="4" borderId="0" xfId="1" applyFont="1" applyFill="1" applyBorder="1" applyAlignment="1">
      <alignment horizontal="center"/>
    </xf>
    <xf numFmtId="0" fontId="19" fillId="0" borderId="0" xfId="0" applyFont="1"/>
    <xf numFmtId="179" fontId="12" fillId="0" borderId="0" xfId="0" applyNumberFormat="1" applyFont="1"/>
    <xf numFmtId="4" fontId="12" fillId="0" borderId="0" xfId="0" applyNumberFormat="1" applyFont="1"/>
    <xf numFmtId="180" fontId="12" fillId="0" borderId="0" xfId="0" applyNumberFormat="1" applyFont="1"/>
    <xf numFmtId="172" fontId="20" fillId="0" borderId="0" xfId="0" applyNumberFormat="1" applyFont="1" applyAlignment="1">
      <alignment horizontal="right"/>
    </xf>
    <xf numFmtId="181" fontId="12" fillId="0" borderId="0" xfId="0" applyNumberFormat="1" applyFont="1"/>
    <xf numFmtId="165" fontId="12" fillId="0" borderId="6" xfId="1" applyFont="1" applyFill="1" applyBorder="1" applyAlignment="1">
      <alignment horizontal="center"/>
    </xf>
    <xf numFmtId="4" fontId="6" fillId="0" borderId="0" xfId="0" applyNumberFormat="1" applyFont="1"/>
    <xf numFmtId="169" fontId="7" fillId="5" borderId="0" xfId="0" applyNumberFormat="1" applyFont="1" applyFill="1" applyAlignment="1">
      <alignment horizontal="center"/>
    </xf>
    <xf numFmtId="0" fontId="7" fillId="5" borderId="0" xfId="0" applyFont="1" applyFill="1" applyAlignment="1">
      <alignment horizontal="left"/>
    </xf>
    <xf numFmtId="0" fontId="7" fillId="5" borderId="0" xfId="0" applyFont="1" applyFill="1" applyAlignment="1">
      <alignment horizontal="center"/>
    </xf>
    <xf numFmtId="49" fontId="7" fillId="5" borderId="0" xfId="0" applyNumberFormat="1" applyFont="1" applyFill="1" applyAlignment="1">
      <alignment horizontal="center"/>
    </xf>
    <xf numFmtId="165" fontId="7" fillId="5" borderId="0" xfId="1" applyFont="1" applyFill="1" applyBorder="1" applyAlignment="1">
      <alignment horizontal="right"/>
    </xf>
    <xf numFmtId="166" fontId="7" fillId="5" borderId="0" xfId="1" applyNumberFormat="1" applyFont="1" applyFill="1" applyBorder="1" applyAlignment="1">
      <alignment horizontal="center"/>
    </xf>
    <xf numFmtId="165" fontId="7" fillId="5" borderId="0" xfId="1" applyFont="1" applyFill="1" applyAlignment="1"/>
    <xf numFmtId="166" fontId="7" fillId="5" borderId="0" xfId="1" applyNumberFormat="1" applyFont="1" applyFill="1" applyBorder="1" applyAlignment="1"/>
    <xf numFmtId="165" fontId="7" fillId="5" borderId="0" xfId="1" applyFont="1" applyFill="1" applyBorder="1" applyAlignment="1">
      <alignment horizontal="center"/>
    </xf>
    <xf numFmtId="165" fontId="8" fillId="0" borderId="0" xfId="1" applyFont="1" applyFill="1" applyAlignment="1">
      <alignment horizontal="center" vertical="center" wrapText="1"/>
    </xf>
    <xf numFmtId="0" fontId="12" fillId="0" borderId="6" xfId="0" applyFont="1" applyBorder="1"/>
    <xf numFmtId="4" fontId="12" fillId="0" borderId="6" xfId="0" applyNumberFormat="1" applyFont="1" applyBorder="1"/>
    <xf numFmtId="43" fontId="12" fillId="0" borderId="6" xfId="0" applyNumberFormat="1" applyFont="1" applyBorder="1"/>
    <xf numFmtId="0" fontId="4" fillId="0" borderId="6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0" xfId="0" applyFont="1" applyAlignment="1">
      <alignment horizontal="center"/>
    </xf>
  </cellXfs>
  <cellStyles count="26">
    <cellStyle name="Comma" xfId="1" builtinId="3"/>
    <cellStyle name="Comma [0] 2" xfId="12" xr:uid="{00000000-0005-0000-0000-000001000000}"/>
    <cellStyle name="Comma 2" xfId="11" xr:uid="{00000000-0005-0000-0000-000002000000}"/>
    <cellStyle name="Comma 2 2" xfId="4" xr:uid="{00000000-0005-0000-0000-000003000000}"/>
    <cellStyle name="Comma 23" xfId="23" xr:uid="{00000000-0005-0000-0000-000004000000}"/>
    <cellStyle name="Comma 3" xfId="18" xr:uid="{00000000-0005-0000-0000-000005000000}"/>
    <cellStyle name="Comma 4" xfId="19" xr:uid="{00000000-0005-0000-0000-000006000000}"/>
    <cellStyle name="Currency 2" xfId="24" xr:uid="{00000000-0005-0000-0000-000007000000}"/>
    <cellStyle name="Euro" xfId="2" xr:uid="{00000000-0005-0000-0000-000008000000}"/>
    <cellStyle name="Normal" xfId="0" builtinId="0"/>
    <cellStyle name="Normal 2" xfId="10" xr:uid="{00000000-0005-0000-0000-00000A000000}"/>
    <cellStyle name="Normal 2 2" xfId="13" xr:uid="{00000000-0005-0000-0000-00000B000000}"/>
    <cellStyle name="Normal 2 2 2" xfId="20" xr:uid="{00000000-0005-0000-0000-00000C000000}"/>
    <cellStyle name="Normal 2 3" xfId="15" xr:uid="{00000000-0005-0000-0000-00000D000000}"/>
    <cellStyle name="Normal 2 4" xfId="17" xr:uid="{00000000-0005-0000-0000-00000E000000}"/>
    <cellStyle name="Normal 2 5" xfId="16" xr:uid="{00000000-0005-0000-0000-00000F000000}"/>
    <cellStyle name="Normal 267" xfId="3" xr:uid="{00000000-0005-0000-0000-000010000000}"/>
    <cellStyle name="Normal 3" xfId="5" xr:uid="{00000000-0005-0000-0000-000011000000}"/>
    <cellStyle name="Normal 3 2" xfId="14" xr:uid="{00000000-0005-0000-0000-000012000000}"/>
    <cellStyle name="Normal 4" xfId="6" xr:uid="{00000000-0005-0000-0000-000013000000}"/>
    <cellStyle name="Normal 4 3" xfId="7" xr:uid="{00000000-0005-0000-0000-000014000000}"/>
    <cellStyle name="Percent" xfId="25" builtinId="5"/>
    <cellStyle name="Обычный 2" xfId="22" xr:uid="{00000000-0005-0000-0000-000017000000}"/>
    <cellStyle name="Обычный 2 2" xfId="8" xr:uid="{00000000-0005-0000-0000-000018000000}"/>
    <cellStyle name="Финансовый 2" xfId="21" xr:uid="{00000000-0005-0000-0000-000019000000}"/>
    <cellStyle name="Финансовый 2 2" xfId="9" xr:uid="{00000000-0005-0000-0000-00001A000000}"/>
  </cellStyles>
  <dxfs count="1">
    <dxf>
      <numFmt numFmtId="0" formatCode="General"/>
    </dxf>
  </dxfs>
  <tableStyles count="0" defaultTableStyle="TableStyleMedium9" defaultPivotStyle="PivotStyleLight16"/>
  <colors>
    <mruColors>
      <color rgb="FF99FF66"/>
      <color rgb="FFD927D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8F43FF8E-F2AC-40DB-B562-05FC2E2D7D82}" autoFormatId="16" applyNumberFormats="0" applyBorderFormats="0" applyFontFormats="0" applyPatternFormats="0" applyAlignmentFormats="0" applyWidthHeightFormats="0">
  <queryTableRefresh nextId="4">
    <queryTableFields count="3">
      <queryTableField id="1" name="DÖVİZ" tableColumnId="1"/>
      <queryTableField id="2" name="SON" tableColumnId="2"/>
      <queryTableField id="3" name="%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79E9300-0B05-434B-AFD3-E907582001A6}" name="Table_1" displayName="Table_1" ref="A1:C12" tableType="queryTable" totalsRowShown="0">
  <autoFilter ref="A1:C12" xr:uid="{F79E9300-0B05-434B-AFD3-E907582001A6}"/>
  <tableColumns count="3">
    <tableColumn id="1" xr3:uid="{052C525A-F163-4691-8BD3-21E5D5ADB33D}" uniqueName="1" name="DÖVİZ" queryTableFieldId="1" dataDxfId="0"/>
    <tableColumn id="2" xr3:uid="{09E14FF1-5D3E-403A-A041-FC780EA6CA8D}" uniqueName="2" name="SON" queryTableFieldId="2"/>
    <tableColumn id="3" xr3:uid="{6906BA3E-4667-4F9E-AD1D-1B2D778A6845}" uniqueName="3" name="%" queryTableFieldId="3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BC0728-174F-4931-91AE-040EDA525AE2}">
  <dimension ref="A1:C12"/>
  <sheetViews>
    <sheetView workbookViewId="0">
      <selection activeCell="B12" sqref="B12"/>
    </sheetView>
  </sheetViews>
  <sheetFormatPr defaultRowHeight="12.5" x14ac:dyDescent="0.25"/>
  <cols>
    <col min="1" max="1" width="32.453125" bestFit="1" customWidth="1"/>
    <col min="2" max="2" width="8" bestFit="1" customWidth="1"/>
    <col min="3" max="3" width="5" bestFit="1" customWidth="1"/>
  </cols>
  <sheetData>
    <row r="1" spans="1:3" x14ac:dyDescent="0.25">
      <c r="A1" s="28" t="s">
        <v>9</v>
      </c>
      <c r="B1" t="s">
        <v>12</v>
      </c>
      <c r="C1" t="s">
        <v>6</v>
      </c>
    </row>
    <row r="2" spans="1:3" x14ac:dyDescent="0.25">
      <c r="A2" t="s">
        <v>13</v>
      </c>
      <c r="B2">
        <v>36.466900000000003</v>
      </c>
      <c r="C2">
        <v>0</v>
      </c>
    </row>
    <row r="3" spans="1:3" x14ac:dyDescent="0.25">
      <c r="A3" t="s">
        <v>14</v>
      </c>
      <c r="B3">
        <v>37.974899999999998</v>
      </c>
      <c r="C3">
        <v>0.39</v>
      </c>
    </row>
    <row r="4" spans="1:3" x14ac:dyDescent="0.25">
      <c r="A4" t="s">
        <v>15</v>
      </c>
      <c r="B4">
        <v>45.978200000000001</v>
      </c>
      <c r="C4">
        <v>0.31</v>
      </c>
    </row>
    <row r="5" spans="1:3" x14ac:dyDescent="0.25">
      <c r="A5" t="s">
        <v>16</v>
      </c>
      <c r="B5">
        <v>40.471699999999998</v>
      </c>
      <c r="C5">
        <v>0.13</v>
      </c>
    </row>
    <row r="6" spans="1:3" x14ac:dyDescent="0.25">
      <c r="A6" t="s">
        <v>17</v>
      </c>
      <c r="B6">
        <v>24.301200000000001</v>
      </c>
      <c r="C6">
        <v>0.28999999999999998</v>
      </c>
    </row>
    <row r="7" spans="1:3" x14ac:dyDescent="0.25">
      <c r="A7" t="s">
        <v>18</v>
      </c>
      <c r="B7">
        <v>9.7308000000000003</v>
      </c>
      <c r="C7">
        <v>0.06</v>
      </c>
    </row>
    <row r="8" spans="1:3" x14ac:dyDescent="0.25">
      <c r="A8" t="s">
        <v>19</v>
      </c>
      <c r="B8">
        <v>3.2473999999999998</v>
      </c>
      <c r="C8">
        <v>0.14000000000000001</v>
      </c>
    </row>
    <row r="9" spans="1:3" x14ac:dyDescent="0.25">
      <c r="A9" t="s">
        <v>20</v>
      </c>
      <c r="B9">
        <v>5.0933999999999999</v>
      </c>
      <c r="C9">
        <v>0.3</v>
      </c>
    </row>
    <row r="10" spans="1:3" x14ac:dyDescent="0.25">
      <c r="A10" t="s">
        <v>21</v>
      </c>
      <c r="B10">
        <v>22.693000000000001</v>
      </c>
      <c r="C10">
        <v>0.15</v>
      </c>
    </row>
    <row r="11" spans="1:3" x14ac:dyDescent="0.25">
      <c r="A11" t="s">
        <v>22</v>
      </c>
      <c r="B11">
        <v>25.252300000000002</v>
      </c>
      <c r="C11">
        <v>0.18</v>
      </c>
    </row>
    <row r="12" spans="1:3" x14ac:dyDescent="0.25">
      <c r="A12" t="s">
        <v>23</v>
      </c>
      <c r="B12">
        <v>3.4087999999999998</v>
      </c>
      <c r="C12">
        <v>0.61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J3860"/>
  <sheetViews>
    <sheetView tabSelected="1" topLeftCell="A5" zoomScaleNormal="100" workbookViewId="0">
      <pane ySplit="1" topLeftCell="A3843" activePane="bottomLeft" state="frozen"/>
      <selection activeCell="A5" sqref="A5"/>
      <selection pane="bottomLeft" activeCell="B3865" sqref="B3865"/>
    </sheetView>
  </sheetViews>
  <sheetFormatPr defaultColWidth="14.81640625" defaultRowHeight="19.5" customHeight="1" x14ac:dyDescent="0.35"/>
  <cols>
    <col min="1" max="1" width="18.54296875" style="10" bestFit="1" customWidth="1"/>
    <col min="2" max="2" width="35" style="14" customWidth="1"/>
    <col min="3" max="3" width="16" style="2" customWidth="1"/>
    <col min="4" max="4" width="24.81640625" style="9" bestFit="1" customWidth="1"/>
    <col min="5" max="5" width="22.54296875" style="46" bestFit="1" customWidth="1"/>
    <col min="6" max="6" width="24" style="3" bestFit="1" customWidth="1"/>
    <col min="7" max="7" width="32" style="10" bestFit="1" customWidth="1"/>
    <col min="8" max="8" width="12.54296875" style="10" customWidth="1"/>
    <col min="9" max="9" width="14.81640625" style="10" customWidth="1"/>
    <col min="10" max="10" width="73" style="3" bestFit="1" customWidth="1"/>
    <col min="11" max="16384" width="14.81640625" style="3"/>
  </cols>
  <sheetData>
    <row r="1" spans="1:9" s="4" customFormat="1" ht="19.5" customHeight="1" thickTop="1" thickBot="1" x14ac:dyDescent="0.35">
      <c r="A1" s="20">
        <f ca="1">TODAY()</f>
        <v>46203</v>
      </c>
      <c r="B1" s="17" t="s">
        <v>8</v>
      </c>
      <c r="C1" s="21">
        <f>+'Table 1'!B2</f>
        <v>36.466900000000003</v>
      </c>
      <c r="E1" s="5"/>
      <c r="G1" s="5"/>
      <c r="H1" s="5"/>
      <c r="I1" s="5"/>
    </row>
    <row r="2" spans="1:9" s="4" customFormat="1" ht="19.5" customHeight="1" thickTop="1" thickBot="1" x14ac:dyDescent="0.35">
      <c r="A2" s="13">
        <v>-1</v>
      </c>
      <c r="B2" s="18" t="s">
        <v>2</v>
      </c>
      <c r="C2" s="21">
        <f>+'Table 1'!B3</f>
        <v>37.974899999999998</v>
      </c>
      <c r="E2" s="5"/>
      <c r="G2" s="5"/>
      <c r="H2" s="5"/>
      <c r="I2" s="5"/>
    </row>
    <row r="3" spans="1:9" s="4" customFormat="1" ht="19.5" customHeight="1" thickBot="1" x14ac:dyDescent="0.35">
      <c r="B3" s="19" t="s">
        <v>3</v>
      </c>
      <c r="C3" s="22">
        <f>+'Table 1'!B4</f>
        <v>45.978200000000001</v>
      </c>
      <c r="G3" s="5"/>
      <c r="H3" s="5"/>
      <c r="I3" s="5"/>
    </row>
    <row r="4" spans="1:9" s="4" customFormat="1" ht="19.5" customHeight="1" thickTop="1" x14ac:dyDescent="0.3">
      <c r="A4" s="16"/>
      <c r="B4" s="11"/>
      <c r="G4" s="5"/>
      <c r="H4" s="5"/>
      <c r="I4" s="5"/>
    </row>
    <row r="5" spans="1:9" s="7" customFormat="1" ht="45" x14ac:dyDescent="0.25">
      <c r="A5" s="7" t="s">
        <v>26</v>
      </c>
      <c r="B5" s="6" t="s">
        <v>10</v>
      </c>
      <c r="C5" s="7" t="s">
        <v>0</v>
      </c>
      <c r="D5" s="7" t="s">
        <v>4</v>
      </c>
      <c r="E5" s="77" t="s">
        <v>1</v>
      </c>
      <c r="F5" s="6" t="s">
        <v>5</v>
      </c>
      <c r="G5" s="7" t="s">
        <v>7</v>
      </c>
      <c r="H5" s="7" t="s">
        <v>27</v>
      </c>
      <c r="I5" s="7" t="s">
        <v>28</v>
      </c>
    </row>
    <row r="6" spans="1:9" s="76" customFormat="1" ht="19.5" customHeight="1" x14ac:dyDescent="0.35">
      <c r="A6" s="68">
        <v>45535</v>
      </c>
      <c r="B6" s="69" t="s">
        <v>32</v>
      </c>
      <c r="C6" s="70" t="s">
        <v>33</v>
      </c>
      <c r="D6" s="71" t="s">
        <v>30</v>
      </c>
      <c r="E6" s="72">
        <v>3180.9828299999999</v>
      </c>
      <c r="F6" s="73">
        <f>IF(C6="GBP",E6*$C$3,IF(C6="TRY",E6/$C$1,IF(C6="EUR",E6*$E$1,IF(C6="RUB",E6/#REF!,IF(C6="EGP",E6/$E$2,E6)))))</f>
        <v>3180.9828299999999</v>
      </c>
      <c r="G6" s="74" t="str">
        <f>VLOOKUP(B6,SPECIFICATIONF!$C$2:$D$65,2,0)</f>
        <v>GLOBAL HFT</v>
      </c>
      <c r="H6" s="75">
        <f t="shared" ref="H6" si="0">MONTH(A6)</f>
        <v>8</v>
      </c>
      <c r="I6" s="75">
        <f t="shared" ref="I6" si="1">YEAR(A6)</f>
        <v>2024</v>
      </c>
    </row>
    <row r="7" spans="1:9" s="76" customFormat="1" ht="19.5" customHeight="1" x14ac:dyDescent="0.35">
      <c r="A7" s="68">
        <v>45535</v>
      </c>
      <c r="B7" s="69" t="s">
        <v>32</v>
      </c>
      <c r="C7" s="70" t="s">
        <v>11</v>
      </c>
      <c r="D7" s="71" t="s">
        <v>30</v>
      </c>
      <c r="E7" s="72">
        <v>5232270.2300000004</v>
      </c>
      <c r="F7" s="73">
        <f>IF(C7="GBP",E7*$C$3,IF(C7="TRY",E7/$C$1,IF(C7="EUR",E7*$E$1,IF(C7="RUB",E7/#REF!,IF(C7="EGP",E7/$E$2,E7)))))</f>
        <v>143479.98404032149</v>
      </c>
      <c r="G7" s="74" t="str">
        <f>VLOOKUP(B7,SPECIFICATIONF!$C$2:$D$65,2,0)</f>
        <v>GLOBAL HFT</v>
      </c>
      <c r="H7" s="75">
        <f t="shared" ref="H7" si="2">MONTH(A7)</f>
        <v>8</v>
      </c>
      <c r="I7" s="75">
        <f t="shared" ref="I7" si="3">YEAR(A7)</f>
        <v>2024</v>
      </c>
    </row>
    <row r="8" spans="1:9" s="76" customFormat="1" ht="19.5" customHeight="1" x14ac:dyDescent="0.35">
      <c r="A8" s="68">
        <v>45565</v>
      </c>
      <c r="B8" s="69" t="s">
        <v>32</v>
      </c>
      <c r="C8" s="70" t="s">
        <v>33</v>
      </c>
      <c r="D8" s="71" t="s">
        <v>30</v>
      </c>
      <c r="E8" s="72">
        <v>58060.886761000002</v>
      </c>
      <c r="F8" s="73">
        <f>IF(C8="GBP",E8*$C$3,IF(C8="TRY",E8/$C$1,IF(C8="EUR",E8*$E$1,IF(C8="RUB",E8/#REF!,IF(C8="EGP",E8/$E$2,E8)))))</f>
        <v>58060.886761000002</v>
      </c>
      <c r="G8" s="74" t="str">
        <f>VLOOKUP(B8,SPECIFICATIONF!$C$2:$D$65,2,0)</f>
        <v>GLOBAL HFT</v>
      </c>
      <c r="H8" s="75">
        <f t="shared" ref="H8:H15" si="4">MONTH(A8)</f>
        <v>9</v>
      </c>
      <c r="I8" s="75">
        <f t="shared" ref="I8:I15" si="5">YEAR(A8)</f>
        <v>2024</v>
      </c>
    </row>
    <row r="9" spans="1:9" s="76" customFormat="1" ht="19.5" customHeight="1" x14ac:dyDescent="0.35">
      <c r="A9" s="68">
        <v>45565</v>
      </c>
      <c r="B9" s="69" t="s">
        <v>32</v>
      </c>
      <c r="C9" s="70" t="s">
        <v>11</v>
      </c>
      <c r="D9" s="71" t="s">
        <v>30</v>
      </c>
      <c r="E9" s="72">
        <v>13446390.899999999</v>
      </c>
      <c r="F9" s="73">
        <f>IF(C9="GBP",E9*$C$3,IF(C9="TRY",E9/$C$1,IF(C9="EUR",E9*$E$1,IF(C9="RUB",E9/#REF!,IF(C9="EGP",E9/$E$2,E9)))))</f>
        <v>368728.65255889582</v>
      </c>
      <c r="G9" s="74" t="str">
        <f>VLOOKUP(B9,SPECIFICATIONF!$C$2:$D$65,2,0)</f>
        <v>GLOBAL HFT</v>
      </c>
      <c r="H9" s="75">
        <f t="shared" ref="H9" si="6">MONTH(A9)</f>
        <v>9</v>
      </c>
      <c r="I9" s="75">
        <f t="shared" ref="I9" si="7">YEAR(A9)</f>
        <v>2024</v>
      </c>
    </row>
    <row r="10" spans="1:9" s="76" customFormat="1" ht="19.5" customHeight="1" x14ac:dyDescent="0.35">
      <c r="A10" s="68">
        <v>45596</v>
      </c>
      <c r="B10" s="69" t="s">
        <v>32</v>
      </c>
      <c r="C10" s="70" t="s">
        <v>33</v>
      </c>
      <c r="D10" s="71" t="s">
        <v>30</v>
      </c>
      <c r="E10" s="72">
        <v>93537.549434</v>
      </c>
      <c r="F10" s="73">
        <f>IF(C10="GBP",E10*$C$3,IF(C10="TRY",E10/$C$1,IF(C10="EUR",E10*$E$1,IF(C10="RUB",E10/#REF!,IF(C10="EGP",E10/$E$2,E10)))))</f>
        <v>93537.549434</v>
      </c>
      <c r="G10" s="74" t="str">
        <f>VLOOKUP(B10,SPECIFICATIONF!$C$2:$D$65,2,0)</f>
        <v>GLOBAL HFT</v>
      </c>
      <c r="H10" s="75">
        <f t="shared" si="4"/>
        <v>10</v>
      </c>
      <c r="I10" s="75">
        <f t="shared" si="5"/>
        <v>2024</v>
      </c>
    </row>
    <row r="11" spans="1:9" s="76" customFormat="1" ht="19.5" customHeight="1" x14ac:dyDescent="0.35">
      <c r="A11" s="68">
        <v>45596</v>
      </c>
      <c r="B11" s="69" t="s">
        <v>32</v>
      </c>
      <c r="C11" s="70" t="s">
        <v>11</v>
      </c>
      <c r="D11" s="71" t="s">
        <v>30</v>
      </c>
      <c r="E11" s="72">
        <v>22568914.199999999</v>
      </c>
      <c r="F11" s="73">
        <f>IF(C11="GBP",E11*$C$3,IF(C11="TRY",E11/$C$1,IF(C11="EUR",E11*$E$1,IF(C11="RUB",E11/#REF!,IF(C11="EGP",E11/$E$2,E11)))))</f>
        <v>618887.65428374766</v>
      </c>
      <c r="G11" s="74" t="str">
        <f>VLOOKUP(B11,SPECIFICATIONF!$C$2:$D$65,2,0)</f>
        <v>GLOBAL HFT</v>
      </c>
      <c r="H11" s="75">
        <f t="shared" ref="H11:H13" si="8">MONTH(A11)</f>
        <v>10</v>
      </c>
      <c r="I11" s="75">
        <f t="shared" ref="I11:I13" si="9">YEAR(A11)</f>
        <v>2024</v>
      </c>
    </row>
    <row r="12" spans="1:9" s="76" customFormat="1" ht="19.5" customHeight="1" x14ac:dyDescent="0.35">
      <c r="A12" s="68">
        <v>45626</v>
      </c>
      <c r="B12" s="69" t="s">
        <v>32</v>
      </c>
      <c r="C12" s="70" t="s">
        <v>33</v>
      </c>
      <c r="D12" s="71" t="s">
        <v>30</v>
      </c>
      <c r="E12" s="72">
        <v>392588.993594</v>
      </c>
      <c r="F12" s="73">
        <f>IF(C12="GBP",E12*$C$3,IF(C12="TRY",E12/$C$1,IF(C12="EUR",E12*$E$1,IF(C12="RUB",E12/#REF!,IF(C12="EGP",E12/$E$2,E12)))))</f>
        <v>392588.993594</v>
      </c>
      <c r="G12" s="74" t="str">
        <f>VLOOKUP(B12,SPECIFICATIONF!$C$2:$D$65,2,0)</f>
        <v>GLOBAL HFT</v>
      </c>
      <c r="H12" s="75">
        <f t="shared" si="8"/>
        <v>11</v>
      </c>
      <c r="I12" s="75">
        <f t="shared" si="9"/>
        <v>2024</v>
      </c>
    </row>
    <row r="13" spans="1:9" s="76" customFormat="1" ht="19.5" customHeight="1" x14ac:dyDescent="0.35">
      <c r="A13" s="68">
        <v>45626</v>
      </c>
      <c r="B13" s="69" t="s">
        <v>32</v>
      </c>
      <c r="C13" s="70" t="s">
        <v>11</v>
      </c>
      <c r="D13" s="71" t="s">
        <v>30</v>
      </c>
      <c r="E13" s="72">
        <v>78810004.367091998</v>
      </c>
      <c r="F13" s="73">
        <f>IF(C13="GBP",E13*$C$3,IF(C13="TRY",E13/$C$1,IF(C13="EUR",E13*$E$1,IF(C13="RUB",E13/#REF!,IF(C13="EGP",E13/$E$2,E13)))))</f>
        <v>2161138.0283789407</v>
      </c>
      <c r="G13" s="74" t="str">
        <f>VLOOKUP(B13,SPECIFICATIONF!$C$2:$D$65,2,0)</f>
        <v>GLOBAL HFT</v>
      </c>
      <c r="H13" s="75">
        <f t="shared" si="8"/>
        <v>11</v>
      </c>
      <c r="I13" s="75">
        <f t="shared" si="9"/>
        <v>2024</v>
      </c>
    </row>
    <row r="14" spans="1:9" s="76" customFormat="1" ht="19.5" customHeight="1" x14ac:dyDescent="0.35">
      <c r="A14" s="68">
        <v>45657</v>
      </c>
      <c r="B14" s="69" t="s">
        <v>32</v>
      </c>
      <c r="C14" s="70" t="s">
        <v>11</v>
      </c>
      <c r="D14" s="71" t="s">
        <v>30</v>
      </c>
      <c r="E14" s="72">
        <v>77362782.342767999</v>
      </c>
      <c r="F14" s="73">
        <f>IF(C14="GBP",E14*$C$3,IF(C14="TRY",E14/$C$1,IF(C14="EUR",E14*$E$1,IF(C14="RUB",E14/#REF!,IF(C14="EGP",E14/$E$2,E14)))))</f>
        <v>2121452.120766174</v>
      </c>
      <c r="G14" s="74" t="str">
        <f>VLOOKUP(B14,SPECIFICATIONF!$C$2:$D$65,2,0)</f>
        <v>GLOBAL HFT</v>
      </c>
      <c r="H14" s="75">
        <f t="shared" si="4"/>
        <v>12</v>
      </c>
      <c r="I14" s="75">
        <f t="shared" si="5"/>
        <v>2024</v>
      </c>
    </row>
    <row r="15" spans="1:9" s="76" customFormat="1" ht="19.5" customHeight="1" x14ac:dyDescent="0.35">
      <c r="A15" s="68">
        <v>45657</v>
      </c>
      <c r="B15" s="69" t="s">
        <v>32</v>
      </c>
      <c r="C15" s="70" t="s">
        <v>33</v>
      </c>
      <c r="D15" s="71" t="s">
        <v>30</v>
      </c>
      <c r="E15" s="72">
        <v>400382.73315599997</v>
      </c>
      <c r="F15" s="73">
        <f>IF(C15="GBP",E15*$C$3,IF(C15="TRY",E15/$C$1,IF(C15="EUR",E15*$E$1,IF(C15="RUB",E15/#REF!,IF(C15="EGP",E15/$E$2,E15)))))</f>
        <v>400382.73315599997</v>
      </c>
      <c r="G15" s="74" t="str">
        <f>VLOOKUP(B15,SPECIFICATIONF!$C$2:$D$65,2,0)</f>
        <v>GLOBAL HFT</v>
      </c>
      <c r="H15" s="75">
        <f t="shared" si="4"/>
        <v>12</v>
      </c>
      <c r="I15" s="75">
        <f t="shared" si="5"/>
        <v>2024</v>
      </c>
    </row>
    <row r="16" spans="1:9" ht="19.5" customHeight="1" x14ac:dyDescent="0.35">
      <c r="A16" s="41">
        <v>45658</v>
      </c>
      <c r="B16" s="8" t="s">
        <v>32</v>
      </c>
      <c r="C16" s="42" t="s">
        <v>11</v>
      </c>
      <c r="D16" s="43" t="s">
        <v>30</v>
      </c>
      <c r="E16" s="46">
        <v>1125005.76</v>
      </c>
      <c r="F16" s="2">
        <f>IF(C16="GBP",E16*$C$3,IF(C16="TRY",E16/$C$1,IF(C16="EUR",E16*$E$1,IF(C16="RUB",E16/#REF!,IF(C16="EGP",E16/$E$2,E16)))))</f>
        <v>30850.05196493258</v>
      </c>
      <c r="G16" s="15" t="str">
        <f>VLOOKUP(B16,SPECIFICATIONF!$C$2:$D$65,2,0)</f>
        <v>GLOBAL HFT</v>
      </c>
      <c r="H16" s="12">
        <f t="shared" ref="H16:H37" si="10">MONTH(A16)</f>
        <v>1</v>
      </c>
      <c r="I16" s="12">
        <f t="shared" ref="I16:I37" si="11">YEAR(A16)</f>
        <v>2025</v>
      </c>
    </row>
    <row r="17" spans="1:9" ht="19.5" customHeight="1" x14ac:dyDescent="0.35">
      <c r="A17" s="41">
        <v>45658</v>
      </c>
      <c r="B17" s="8" t="s">
        <v>32</v>
      </c>
      <c r="C17" s="42" t="s">
        <v>33</v>
      </c>
      <c r="D17" s="43" t="s">
        <v>30</v>
      </c>
      <c r="E17" s="46">
        <v>6142.43</v>
      </c>
      <c r="F17" s="2">
        <f>IF(C17="GBP",E17*$C$3,IF(C17="TRY",E17/$C$1,IF(C17="EUR",E17*$E$1,IF(C17="RUB",E17/#REF!,IF(C17="EGP",E17/$E$2,E17)))))</f>
        <v>6142.43</v>
      </c>
      <c r="G17" s="15" t="str">
        <f>VLOOKUP(B17,SPECIFICATIONF!$C$2:$D$65,2,0)</f>
        <v>GLOBAL HFT</v>
      </c>
      <c r="H17" s="12">
        <f t="shared" si="10"/>
        <v>1</v>
      </c>
      <c r="I17" s="12">
        <f t="shared" si="11"/>
        <v>2025</v>
      </c>
    </row>
    <row r="18" spans="1:9" ht="19.5" customHeight="1" x14ac:dyDescent="0.35">
      <c r="A18" s="41">
        <v>45659</v>
      </c>
      <c r="B18" s="8" t="s">
        <v>32</v>
      </c>
      <c r="C18" s="42" t="s">
        <v>11</v>
      </c>
      <c r="D18" s="43" t="s">
        <v>30</v>
      </c>
      <c r="E18" s="46">
        <v>1574249.76</v>
      </c>
      <c r="F18" s="2">
        <f>IF(C18="GBP",E18*$C$3,IF(C18="TRY",E18/$C$1,IF(C18="EUR",E18*$E$1,IF(C18="RUB",E18/#REF!,IF(C18="EGP",E18/$E$2,E18)))))</f>
        <v>43169.278441545619</v>
      </c>
      <c r="G18" s="15" t="str">
        <f>VLOOKUP(B18,SPECIFICATIONF!$C$2:$D$65,2,0)</f>
        <v>GLOBAL HFT</v>
      </c>
      <c r="H18" s="12">
        <f t="shared" si="10"/>
        <v>1</v>
      </c>
      <c r="I18" s="12">
        <f t="shared" si="11"/>
        <v>2025</v>
      </c>
    </row>
    <row r="19" spans="1:9" ht="19.5" customHeight="1" x14ac:dyDescent="0.35">
      <c r="A19" s="41">
        <v>45659</v>
      </c>
      <c r="B19" s="8" t="s">
        <v>32</v>
      </c>
      <c r="C19" s="42" t="s">
        <v>33</v>
      </c>
      <c r="D19" s="43" t="s">
        <v>30</v>
      </c>
      <c r="E19" s="46">
        <v>8959.48</v>
      </c>
      <c r="F19" s="2">
        <f>IF(C19="GBP",E19*$C$3,IF(C19="TRY",E19/$C$1,IF(C19="EUR",E19*$E$1,IF(C19="RUB",E19/#REF!,IF(C19="EGP",E19/$E$2,E19)))))</f>
        <v>8959.48</v>
      </c>
      <c r="G19" s="15" t="str">
        <f>VLOOKUP(B19,SPECIFICATIONF!$C$2:$D$65,2,0)</f>
        <v>GLOBAL HFT</v>
      </c>
      <c r="H19" s="12">
        <f t="shared" si="10"/>
        <v>1</v>
      </c>
      <c r="I19" s="12">
        <f t="shared" si="11"/>
        <v>2025</v>
      </c>
    </row>
    <row r="20" spans="1:9" ht="19.5" customHeight="1" x14ac:dyDescent="0.35">
      <c r="A20" s="41">
        <v>45660</v>
      </c>
      <c r="B20" s="8" t="s">
        <v>32</v>
      </c>
      <c r="C20" s="42" t="s">
        <v>11</v>
      </c>
      <c r="D20" s="43" t="s">
        <v>30</v>
      </c>
      <c r="E20" s="46">
        <v>1772492.94</v>
      </c>
      <c r="F20" s="2">
        <f>IF(C20="GBP",E20*$C$3,IF(C20="TRY",E20/$C$1,IF(C20="EUR",E20*$E$1,IF(C20="RUB",E20/#REF!,IF(C20="EGP",E20/$E$2,E20)))))</f>
        <v>48605.528301007209</v>
      </c>
      <c r="G20" s="15" t="str">
        <f>VLOOKUP(B20,SPECIFICATIONF!$C$2:$D$65,2,0)</f>
        <v>GLOBAL HFT</v>
      </c>
      <c r="H20" s="12">
        <f t="shared" si="10"/>
        <v>1</v>
      </c>
      <c r="I20" s="12">
        <f t="shared" si="11"/>
        <v>2025</v>
      </c>
    </row>
    <row r="21" spans="1:9" ht="19.5" customHeight="1" x14ac:dyDescent="0.35">
      <c r="A21" s="41">
        <v>45660</v>
      </c>
      <c r="B21" s="8" t="s">
        <v>32</v>
      </c>
      <c r="C21" s="42" t="s">
        <v>33</v>
      </c>
      <c r="D21" s="43" t="s">
        <v>30</v>
      </c>
      <c r="E21" s="46">
        <v>8518.2000000000007</v>
      </c>
      <c r="F21" s="2">
        <f>IF(C21="GBP",E21*$C$3,IF(C21="TRY",E21/$C$1,IF(C21="EUR",E21*$E$1,IF(C21="RUB",E21/#REF!,IF(C21="EGP",E21/$E$2,E21)))))</f>
        <v>8518.2000000000007</v>
      </c>
      <c r="G21" s="15" t="str">
        <f>VLOOKUP(B21,SPECIFICATIONF!$C$2:$D$65,2,0)</f>
        <v>GLOBAL HFT</v>
      </c>
      <c r="H21" s="12">
        <f t="shared" si="10"/>
        <v>1</v>
      </c>
      <c r="I21" s="12">
        <f t="shared" si="11"/>
        <v>2025</v>
      </c>
    </row>
    <row r="22" spans="1:9" ht="19.5" customHeight="1" x14ac:dyDescent="0.35">
      <c r="A22" s="41">
        <v>45661</v>
      </c>
      <c r="B22" s="8" t="s">
        <v>32</v>
      </c>
      <c r="C22" s="42" t="s">
        <v>11</v>
      </c>
      <c r="D22" s="43" t="s">
        <v>30</v>
      </c>
      <c r="E22" s="46">
        <v>1208914.45</v>
      </c>
      <c r="F22" s="2">
        <f>IF(C22="GBP",E22*$C$3,IF(C22="TRY",E22/$C$1,IF(C22="EUR",E22*$E$1,IF(C22="RUB",E22/#REF!,IF(C22="EGP",E22/$E$2,E22)))))</f>
        <v>33151.006803429955</v>
      </c>
      <c r="G22" s="15" t="str">
        <f>VLOOKUP(B22,SPECIFICATIONF!$C$2:$D$65,2,0)</f>
        <v>GLOBAL HFT</v>
      </c>
      <c r="H22" s="12">
        <f t="shared" si="10"/>
        <v>1</v>
      </c>
      <c r="I22" s="12">
        <f t="shared" si="11"/>
        <v>2025</v>
      </c>
    </row>
    <row r="23" spans="1:9" ht="19.5" customHeight="1" x14ac:dyDescent="0.35">
      <c r="A23" s="41">
        <v>45661</v>
      </c>
      <c r="B23" s="8" t="s">
        <v>32</v>
      </c>
      <c r="C23" s="42" t="s">
        <v>33</v>
      </c>
      <c r="D23" s="43" t="s">
        <v>30</v>
      </c>
      <c r="E23" s="46">
        <v>5984.45</v>
      </c>
      <c r="F23" s="2">
        <f>IF(C23="GBP",E23*$C$3,IF(C23="TRY",E23/$C$1,IF(C23="EUR",E23*$E$1,IF(C23="RUB",E23/#REF!,IF(C23="EGP",E23/$E$2,E23)))))</f>
        <v>5984.45</v>
      </c>
      <c r="G23" s="15" t="str">
        <f>VLOOKUP(B23,SPECIFICATIONF!$C$2:$D$65,2,0)</f>
        <v>GLOBAL HFT</v>
      </c>
      <c r="H23" s="12">
        <f t="shared" si="10"/>
        <v>1</v>
      </c>
      <c r="I23" s="12">
        <f t="shared" si="11"/>
        <v>2025</v>
      </c>
    </row>
    <row r="24" spans="1:9" ht="19.5" customHeight="1" x14ac:dyDescent="0.35">
      <c r="A24" s="41">
        <v>45662</v>
      </c>
      <c r="B24" s="8" t="s">
        <v>32</v>
      </c>
      <c r="C24" s="42" t="s">
        <v>11</v>
      </c>
      <c r="D24" s="43" t="s">
        <v>30</v>
      </c>
      <c r="E24" s="46">
        <v>1282918.96</v>
      </c>
      <c r="F24" s="2">
        <f>IF(C24="GBP",E24*$C$3,IF(C24="TRY",E24/$C$1,IF(C24="EUR",E24*$E$1,IF(C24="RUB",E24/#REF!,IF(C24="EGP",E24/$E$2,E24)))))</f>
        <v>35180.367950113665</v>
      </c>
      <c r="G24" s="15" t="str">
        <f>VLOOKUP(B24,SPECIFICATIONF!$C$2:$D$65,2,0)</f>
        <v>GLOBAL HFT</v>
      </c>
      <c r="H24" s="12">
        <f t="shared" si="10"/>
        <v>1</v>
      </c>
      <c r="I24" s="12">
        <f t="shared" si="11"/>
        <v>2025</v>
      </c>
    </row>
    <row r="25" spans="1:9" ht="19.5" customHeight="1" x14ac:dyDescent="0.35">
      <c r="A25" s="41">
        <v>45662</v>
      </c>
      <c r="B25" s="8" t="s">
        <v>32</v>
      </c>
      <c r="C25" s="42" t="s">
        <v>33</v>
      </c>
      <c r="D25" s="43" t="s">
        <v>30</v>
      </c>
      <c r="E25" s="46">
        <v>5179.04</v>
      </c>
      <c r="F25" s="2">
        <f>IF(C25="GBP",E25*$C$3,IF(C25="TRY",E25/$C$1,IF(C25="EUR",E25*$E$1,IF(C25="RUB",E25/#REF!,IF(C25="EGP",E25/$E$2,E25)))))</f>
        <v>5179.04</v>
      </c>
      <c r="G25" s="15" t="str">
        <f>VLOOKUP(B25,SPECIFICATIONF!$C$2:$D$65,2,0)</f>
        <v>GLOBAL HFT</v>
      </c>
      <c r="H25" s="12">
        <f t="shared" si="10"/>
        <v>1</v>
      </c>
      <c r="I25" s="12">
        <f t="shared" si="11"/>
        <v>2025</v>
      </c>
    </row>
    <row r="26" spans="1:9" ht="19.5" customHeight="1" x14ac:dyDescent="0.35">
      <c r="A26" s="41">
        <v>45663</v>
      </c>
      <c r="B26" s="8" t="s">
        <v>32</v>
      </c>
      <c r="C26" s="42" t="s">
        <v>11</v>
      </c>
      <c r="D26" s="43" t="s">
        <v>30</v>
      </c>
      <c r="E26" s="46">
        <v>1485091.21</v>
      </c>
      <c r="F26" s="2">
        <f>IF(C26="GBP",E26*$C$3,IF(C26="TRY",E26/$C$1,IF(C26="EUR",E26*$E$1,IF(C26="RUB",E26/#REF!,IF(C26="EGP",E26/$E$2,E26)))))</f>
        <v>40724.361270083275</v>
      </c>
      <c r="G26" s="15" t="str">
        <f>VLOOKUP(B26,SPECIFICATIONF!$C$2:$D$65,2,0)</f>
        <v>GLOBAL HFT</v>
      </c>
      <c r="H26" s="12">
        <f t="shared" si="10"/>
        <v>1</v>
      </c>
      <c r="I26" s="12">
        <f t="shared" si="11"/>
        <v>2025</v>
      </c>
    </row>
    <row r="27" spans="1:9" ht="19.5" customHeight="1" x14ac:dyDescent="0.35">
      <c r="A27" s="41">
        <v>45663</v>
      </c>
      <c r="B27" s="8" t="s">
        <v>32</v>
      </c>
      <c r="C27" s="42" t="s">
        <v>33</v>
      </c>
      <c r="D27" s="43" t="s">
        <v>30</v>
      </c>
      <c r="E27" s="46">
        <v>7959.68</v>
      </c>
      <c r="F27" s="2">
        <f>IF(C27="GBP",E27*$C$3,IF(C27="TRY",E27/$C$1,IF(C27="EUR",E27*$E$1,IF(C27="RUB",E27/#REF!,IF(C27="EGP",E27/$E$2,E27)))))</f>
        <v>7959.68</v>
      </c>
      <c r="G27" s="15" t="str">
        <f>VLOOKUP(B27,SPECIFICATIONF!$C$2:$D$65,2,0)</f>
        <v>GLOBAL HFT</v>
      </c>
      <c r="H27" s="12">
        <f t="shared" si="10"/>
        <v>1</v>
      </c>
      <c r="I27" s="12">
        <f t="shared" si="11"/>
        <v>2025</v>
      </c>
    </row>
    <row r="28" spans="1:9" ht="19.5" customHeight="1" x14ac:dyDescent="0.35">
      <c r="A28" s="41">
        <v>45664</v>
      </c>
      <c r="B28" s="8" t="s">
        <v>32</v>
      </c>
      <c r="C28" s="42" t="s">
        <v>11</v>
      </c>
      <c r="D28" s="43" t="s">
        <v>30</v>
      </c>
      <c r="E28" s="46">
        <v>1459084.26</v>
      </c>
      <c r="F28" s="2">
        <f>IF(C28="GBP",E28*$C$3,IF(C28="TRY",E28/$C$1,IF(C28="EUR",E28*$E$1,IF(C28="RUB",E28/#REF!,IF(C28="EGP",E28/$E$2,E28)))))</f>
        <v>40011.195357982171</v>
      </c>
      <c r="G28" s="15" t="str">
        <f>VLOOKUP(B28,SPECIFICATIONF!$C$2:$D$65,2,0)</f>
        <v>GLOBAL HFT</v>
      </c>
      <c r="H28" s="12">
        <f t="shared" si="10"/>
        <v>1</v>
      </c>
      <c r="I28" s="12">
        <f t="shared" si="11"/>
        <v>2025</v>
      </c>
    </row>
    <row r="29" spans="1:9" ht="19.5" customHeight="1" x14ac:dyDescent="0.35">
      <c r="A29" s="41">
        <v>45664</v>
      </c>
      <c r="B29" s="8" t="s">
        <v>32</v>
      </c>
      <c r="C29" s="42" t="s">
        <v>33</v>
      </c>
      <c r="D29" s="43" t="s">
        <v>30</v>
      </c>
      <c r="E29" s="46">
        <v>9546.24</v>
      </c>
      <c r="F29" s="2">
        <f>IF(C29="GBP",E29*$C$3,IF(C29="TRY",E29/$C$1,IF(C29="EUR",E29*$E$1,IF(C29="RUB",E29/#REF!,IF(C29="EGP",E29/$E$2,E29)))))</f>
        <v>9546.24</v>
      </c>
      <c r="G29" s="15" t="str">
        <f>VLOOKUP(B29,SPECIFICATIONF!$C$2:$D$65,2,0)</f>
        <v>GLOBAL HFT</v>
      </c>
      <c r="H29" s="12">
        <f t="shared" si="10"/>
        <v>1</v>
      </c>
      <c r="I29" s="12">
        <f t="shared" si="11"/>
        <v>2025</v>
      </c>
    </row>
    <row r="30" spans="1:9" ht="19.5" customHeight="1" x14ac:dyDescent="0.35">
      <c r="A30" s="41">
        <v>45665</v>
      </c>
      <c r="B30" s="8" t="s">
        <v>32</v>
      </c>
      <c r="C30" s="42" t="s">
        <v>11</v>
      </c>
      <c r="D30" s="43" t="s">
        <v>30</v>
      </c>
      <c r="E30" s="46">
        <v>1149530.1200000001</v>
      </c>
      <c r="F30" s="2">
        <f>IF(C30="GBP",E30*$C$3,IF(C30="TRY",E30/$C$1,IF(C30="EUR",E30*$E$1,IF(C30="RUB",E30/#REF!,IF(C30="EGP",E30/$E$2,E30)))))</f>
        <v>31522.562104264416</v>
      </c>
      <c r="G30" s="15" t="str">
        <f>VLOOKUP(B30,SPECIFICATIONF!$C$2:$D$65,2,0)</f>
        <v>GLOBAL HFT</v>
      </c>
      <c r="H30" s="12">
        <f t="shared" si="10"/>
        <v>1</v>
      </c>
      <c r="I30" s="12">
        <f t="shared" si="11"/>
        <v>2025</v>
      </c>
    </row>
    <row r="31" spans="1:9" ht="19.5" customHeight="1" x14ac:dyDescent="0.35">
      <c r="A31" s="41">
        <v>45665</v>
      </c>
      <c r="B31" s="8" t="s">
        <v>32</v>
      </c>
      <c r="C31" s="42" t="s">
        <v>33</v>
      </c>
      <c r="D31" s="43" t="s">
        <v>30</v>
      </c>
      <c r="E31" s="46">
        <v>6300.43</v>
      </c>
      <c r="F31" s="2">
        <f>IF(C31="GBP",E31*$C$3,IF(C31="TRY",E31/$C$1,IF(C31="EUR",E31*$E$1,IF(C31="RUB",E31/#REF!,IF(C31="EGP",E31/$E$2,E31)))))</f>
        <v>6300.43</v>
      </c>
      <c r="G31" s="15" t="str">
        <f>VLOOKUP(B31,SPECIFICATIONF!$C$2:$D$65,2,0)</f>
        <v>GLOBAL HFT</v>
      </c>
      <c r="H31" s="12">
        <f t="shared" si="10"/>
        <v>1</v>
      </c>
      <c r="I31" s="12">
        <f t="shared" si="11"/>
        <v>2025</v>
      </c>
    </row>
    <row r="32" spans="1:9" ht="19.5" customHeight="1" x14ac:dyDescent="0.35">
      <c r="A32" s="41">
        <v>45666</v>
      </c>
      <c r="B32" s="8" t="s">
        <v>32</v>
      </c>
      <c r="C32" s="42" t="s">
        <v>11</v>
      </c>
      <c r="D32" s="43" t="s">
        <v>30</v>
      </c>
      <c r="E32" s="46">
        <v>869385.64</v>
      </c>
      <c r="F32" s="2">
        <f>IF(C32="GBP",E32*$C$3,IF(C32="TRY",E32/$C$1,IF(C32="EUR",E32*$E$1,IF(C32="RUB",E32/#REF!,IF(C32="EGP",E32/$E$2,E32)))))</f>
        <v>23840.404311855407</v>
      </c>
      <c r="G32" s="15" t="str">
        <f>VLOOKUP(B32,SPECIFICATIONF!$C$2:$D$65,2,0)</f>
        <v>GLOBAL HFT</v>
      </c>
      <c r="H32" s="12">
        <f t="shared" si="10"/>
        <v>1</v>
      </c>
      <c r="I32" s="12">
        <f t="shared" si="11"/>
        <v>2025</v>
      </c>
    </row>
    <row r="33" spans="1:9" ht="19.5" customHeight="1" x14ac:dyDescent="0.35">
      <c r="A33" s="41">
        <v>45666</v>
      </c>
      <c r="B33" s="8" t="s">
        <v>32</v>
      </c>
      <c r="C33" s="42" t="s">
        <v>33</v>
      </c>
      <c r="D33" s="43" t="s">
        <v>30</v>
      </c>
      <c r="E33" s="46">
        <v>4643.91</v>
      </c>
      <c r="F33" s="2">
        <f>IF(C33="GBP",E33*$C$3,IF(C33="TRY",E33/$C$1,IF(C33="EUR",E33*$E$1,IF(C33="RUB",E33/#REF!,IF(C33="EGP",E33/$E$2,E33)))))</f>
        <v>4643.91</v>
      </c>
      <c r="G33" s="15" t="str">
        <f>VLOOKUP(B33,SPECIFICATIONF!$C$2:$D$65,2,0)</f>
        <v>GLOBAL HFT</v>
      </c>
      <c r="H33" s="12">
        <f t="shared" si="10"/>
        <v>1</v>
      </c>
      <c r="I33" s="12">
        <f t="shared" si="11"/>
        <v>2025</v>
      </c>
    </row>
    <row r="34" spans="1:9" ht="19.5" customHeight="1" x14ac:dyDescent="0.35">
      <c r="A34" s="41">
        <v>45667</v>
      </c>
      <c r="B34" s="8" t="s">
        <v>32</v>
      </c>
      <c r="C34" s="42" t="s">
        <v>11</v>
      </c>
      <c r="D34" s="43" t="s">
        <v>30</v>
      </c>
      <c r="E34" s="46">
        <v>873930.46</v>
      </c>
      <c r="F34" s="2">
        <f>IF(C34="GBP",E34*$C$3,IF(C34="TRY",E34/$C$1,IF(C34="EUR",E34*$E$1,IF(C34="RUB",E34/#REF!,IF(C34="EGP",E34/$E$2,E34)))))</f>
        <v>23965.032947686803</v>
      </c>
      <c r="G34" s="15" t="str">
        <f>VLOOKUP(B34,SPECIFICATIONF!$C$2:$D$65,2,0)</f>
        <v>GLOBAL HFT</v>
      </c>
      <c r="H34" s="12">
        <f t="shared" si="10"/>
        <v>1</v>
      </c>
      <c r="I34" s="12">
        <f t="shared" si="11"/>
        <v>2025</v>
      </c>
    </row>
    <row r="35" spans="1:9" ht="19.5" customHeight="1" x14ac:dyDescent="0.35">
      <c r="A35" s="41">
        <v>45667</v>
      </c>
      <c r="B35" s="8" t="s">
        <v>32</v>
      </c>
      <c r="C35" s="42" t="s">
        <v>33</v>
      </c>
      <c r="D35" s="43" t="s">
        <v>30</v>
      </c>
      <c r="E35" s="46">
        <v>4177.57</v>
      </c>
      <c r="F35" s="2">
        <f>IF(C35="GBP",E35*$C$3,IF(C35="TRY",E35/$C$1,IF(C35="EUR",E35*$E$1,IF(C35="RUB",E35/#REF!,IF(C35="EGP",E35/$E$2,E35)))))</f>
        <v>4177.57</v>
      </c>
      <c r="G35" s="15" t="str">
        <f>VLOOKUP(B35,SPECIFICATIONF!$C$2:$D$65,2,0)</f>
        <v>GLOBAL HFT</v>
      </c>
      <c r="H35" s="12">
        <f t="shared" si="10"/>
        <v>1</v>
      </c>
      <c r="I35" s="12">
        <f t="shared" si="11"/>
        <v>2025</v>
      </c>
    </row>
    <row r="36" spans="1:9" ht="19.5" customHeight="1" x14ac:dyDescent="0.35">
      <c r="A36" s="41">
        <v>45668</v>
      </c>
      <c r="B36" s="8" t="s">
        <v>32</v>
      </c>
      <c r="C36" s="42" t="s">
        <v>11</v>
      </c>
      <c r="D36" s="43" t="s">
        <v>30</v>
      </c>
      <c r="E36" s="46">
        <v>610860.36</v>
      </c>
      <c r="F36" s="2">
        <f>IF(C36="GBP",E36*$C$3,IF(C36="TRY",E36/$C$1,IF(C36="EUR",E36*$E$1,IF(C36="RUB",E36/#REF!,IF(C36="EGP",E36/$E$2,E36)))))</f>
        <v>16751.090989362954</v>
      </c>
      <c r="G36" s="15" t="str">
        <f>VLOOKUP(B36,SPECIFICATIONF!$C$2:$D$65,2,0)</f>
        <v>GLOBAL HFT</v>
      </c>
      <c r="H36" s="12">
        <f t="shared" si="10"/>
        <v>1</v>
      </c>
      <c r="I36" s="12">
        <f t="shared" si="11"/>
        <v>2025</v>
      </c>
    </row>
    <row r="37" spans="1:9" ht="19.5" customHeight="1" x14ac:dyDescent="0.35">
      <c r="A37" s="41">
        <v>45668</v>
      </c>
      <c r="B37" s="8" t="s">
        <v>32</v>
      </c>
      <c r="C37" s="42" t="s">
        <v>33</v>
      </c>
      <c r="D37" s="43" t="s">
        <v>30</v>
      </c>
      <c r="E37" s="46">
        <v>3114.75</v>
      </c>
      <c r="F37" s="2">
        <f>IF(C37="GBP",E37*$C$3,IF(C37="TRY",E37/$C$1,IF(C37="EUR",E37*$E$1,IF(C37="RUB",E37/#REF!,IF(C37="EGP",E37/$E$2,E37)))))</f>
        <v>3114.75</v>
      </c>
      <c r="G37" s="15" t="str">
        <f>VLOOKUP(B37,SPECIFICATIONF!$C$2:$D$65,2,0)</f>
        <v>GLOBAL HFT</v>
      </c>
      <c r="H37" s="12">
        <f t="shared" si="10"/>
        <v>1</v>
      </c>
      <c r="I37" s="12">
        <f t="shared" si="11"/>
        <v>2025</v>
      </c>
    </row>
    <row r="38" spans="1:9" ht="19.5" customHeight="1" x14ac:dyDescent="0.35">
      <c r="A38" s="41">
        <v>45669</v>
      </c>
      <c r="B38" s="8" t="s">
        <v>32</v>
      </c>
      <c r="C38" s="42" t="s">
        <v>11</v>
      </c>
      <c r="D38" s="43" t="s">
        <v>30</v>
      </c>
      <c r="E38" s="46">
        <v>764394.03</v>
      </c>
      <c r="F38" s="2">
        <f>IF(C38="GBP",E38*$C$3,IF(C38="TRY",E38/$C$1,IF(C38="EUR",E38*$E$1,IF(C38="RUB",E38/#REF!,IF(C38="EGP",E38/$E$2,E38)))))</f>
        <v>20961.310942251741</v>
      </c>
      <c r="G38" s="15" t="str">
        <f>VLOOKUP(B38,SPECIFICATIONF!$C$2:$D$65,2,0)</f>
        <v>GLOBAL HFT</v>
      </c>
      <c r="H38" s="12">
        <f t="shared" ref="H38:H101" si="12">MONTH(A38)</f>
        <v>1</v>
      </c>
      <c r="I38" s="12">
        <f t="shared" ref="I38:I101" si="13">YEAR(A38)</f>
        <v>2025</v>
      </c>
    </row>
    <row r="39" spans="1:9" ht="19.5" customHeight="1" x14ac:dyDescent="0.35">
      <c r="A39" s="41">
        <v>45669</v>
      </c>
      <c r="B39" s="8" t="s">
        <v>32</v>
      </c>
      <c r="C39" s="42" t="s">
        <v>33</v>
      </c>
      <c r="D39" s="43" t="s">
        <v>30</v>
      </c>
      <c r="E39" s="46">
        <v>3532.99</v>
      </c>
      <c r="F39" s="2">
        <f>IF(C39="GBP",E39*$C$3,IF(C39="TRY",E39/$C$1,IF(C39="EUR",E39*$E$1,IF(C39="RUB",E39/#REF!,IF(C39="EGP",E39/$E$2,E39)))))</f>
        <v>3532.99</v>
      </c>
      <c r="G39" s="15" t="str">
        <f>VLOOKUP(B39,SPECIFICATIONF!$C$2:$D$65,2,0)</f>
        <v>GLOBAL HFT</v>
      </c>
      <c r="H39" s="12">
        <f t="shared" si="12"/>
        <v>1</v>
      </c>
      <c r="I39" s="12">
        <f t="shared" si="13"/>
        <v>2025</v>
      </c>
    </row>
    <row r="40" spans="1:9" ht="19.5" customHeight="1" x14ac:dyDescent="0.35">
      <c r="A40" s="41">
        <v>45670</v>
      </c>
      <c r="B40" s="8" t="s">
        <v>32</v>
      </c>
      <c r="C40" s="42" t="s">
        <v>11</v>
      </c>
      <c r="D40" s="43" t="s">
        <v>30</v>
      </c>
      <c r="E40" s="46">
        <v>1207758.7</v>
      </c>
      <c r="F40" s="2">
        <f>IF(C40="GBP",E40*$C$3,IF(C40="TRY",E40/$C$1,IF(C40="EUR",E40*$E$1,IF(C40="RUB",E40/#REF!,IF(C40="EGP",E40/$E$2,E40)))))</f>
        <v>33119.313678980114</v>
      </c>
      <c r="G40" s="15" t="str">
        <f>VLOOKUP(B40,SPECIFICATIONF!$C$2:$D$65,2,0)</f>
        <v>GLOBAL HFT</v>
      </c>
      <c r="H40" s="12">
        <f t="shared" si="12"/>
        <v>1</v>
      </c>
      <c r="I40" s="12">
        <f t="shared" si="13"/>
        <v>2025</v>
      </c>
    </row>
    <row r="41" spans="1:9" ht="19.5" customHeight="1" x14ac:dyDescent="0.35">
      <c r="A41" s="41">
        <v>45670</v>
      </c>
      <c r="B41" s="8" t="s">
        <v>32</v>
      </c>
      <c r="C41" s="42" t="s">
        <v>33</v>
      </c>
      <c r="D41" s="43" t="s">
        <v>30</v>
      </c>
      <c r="E41" s="46">
        <v>8141.38</v>
      </c>
      <c r="F41" s="2">
        <f>IF(C41="GBP",E41*$C$3,IF(C41="TRY",E41/$C$1,IF(C41="EUR",E41*$E$1,IF(C41="RUB",E41/#REF!,IF(C41="EGP",E41/$E$2,E41)))))</f>
        <v>8141.38</v>
      </c>
      <c r="G41" s="15" t="str">
        <f>VLOOKUP(B41,SPECIFICATIONF!$C$2:$D$65,2,0)</f>
        <v>GLOBAL HFT</v>
      </c>
      <c r="H41" s="12">
        <f t="shared" si="12"/>
        <v>1</v>
      </c>
      <c r="I41" s="12">
        <f t="shared" si="13"/>
        <v>2025</v>
      </c>
    </row>
    <row r="42" spans="1:9" ht="19.5" customHeight="1" x14ac:dyDescent="0.35">
      <c r="A42" s="41">
        <v>45671</v>
      </c>
      <c r="B42" s="8" t="s">
        <v>32</v>
      </c>
      <c r="C42" s="42" t="s">
        <v>11</v>
      </c>
      <c r="D42" s="43" t="s">
        <v>30</v>
      </c>
      <c r="E42" s="46">
        <v>1089493</v>
      </c>
      <c r="F42" s="2">
        <f>IF(C42="GBP",E42*$C$3,IF(C42="TRY",E42/$C$1,IF(C42="EUR",E42*$E$1,IF(C42="RUB",E42/#REF!,IF(C42="EGP",E42/$E$2,E42)))))</f>
        <v>29876.21651415393</v>
      </c>
      <c r="G42" s="15" t="str">
        <f>VLOOKUP(B42,SPECIFICATIONF!$C$2:$D$65,2,0)</f>
        <v>GLOBAL HFT</v>
      </c>
      <c r="H42" s="12">
        <f t="shared" si="12"/>
        <v>1</v>
      </c>
      <c r="I42" s="12">
        <f t="shared" si="13"/>
        <v>2025</v>
      </c>
    </row>
    <row r="43" spans="1:9" ht="19.5" customHeight="1" x14ac:dyDescent="0.35">
      <c r="A43" s="41">
        <v>45671</v>
      </c>
      <c r="B43" s="8" t="s">
        <v>32</v>
      </c>
      <c r="C43" s="42" t="s">
        <v>33</v>
      </c>
      <c r="D43" s="43" t="s">
        <v>30</v>
      </c>
      <c r="E43" s="46">
        <v>6447.6</v>
      </c>
      <c r="F43" s="2">
        <f>IF(C43="GBP",E43*$C$3,IF(C43="TRY",E43/$C$1,IF(C43="EUR",E43*$E$1,IF(C43="RUB",E43/#REF!,IF(C43="EGP",E43/$E$2,E43)))))</f>
        <v>6447.6</v>
      </c>
      <c r="G43" s="15" t="str">
        <f>VLOOKUP(B43,SPECIFICATIONF!$C$2:$D$65,2,0)</f>
        <v>GLOBAL HFT</v>
      </c>
      <c r="H43" s="12">
        <f t="shared" si="12"/>
        <v>1</v>
      </c>
      <c r="I43" s="12">
        <f t="shared" si="13"/>
        <v>2025</v>
      </c>
    </row>
    <row r="44" spans="1:9" ht="19.5" customHeight="1" x14ac:dyDescent="0.35">
      <c r="A44" s="41">
        <v>45672</v>
      </c>
      <c r="B44" s="8" t="s">
        <v>32</v>
      </c>
      <c r="C44" s="42" t="s">
        <v>11</v>
      </c>
      <c r="D44" s="43" t="s">
        <v>30</v>
      </c>
      <c r="E44" s="46">
        <v>2038218.55</v>
      </c>
      <c r="F44" s="2">
        <f>IF(C44="GBP",E44*$C$3,IF(C44="TRY",E44/$C$1,IF(C44="EUR",E44*$E$1,IF(C44="RUB",E44/#REF!,IF(C44="EGP",E44/$E$2,E44)))))</f>
        <v>55892.28999448815</v>
      </c>
      <c r="G44" s="15" t="str">
        <f>VLOOKUP(B44,SPECIFICATIONF!$C$2:$D$65,2,0)</f>
        <v>GLOBAL HFT</v>
      </c>
      <c r="H44" s="12">
        <f t="shared" si="12"/>
        <v>1</v>
      </c>
      <c r="I44" s="12">
        <f t="shared" si="13"/>
        <v>2025</v>
      </c>
    </row>
    <row r="45" spans="1:9" ht="19.5" customHeight="1" x14ac:dyDescent="0.35">
      <c r="A45" s="41">
        <v>45672</v>
      </c>
      <c r="B45" s="8" t="s">
        <v>32</v>
      </c>
      <c r="C45" s="42" t="s">
        <v>33</v>
      </c>
      <c r="D45" s="43" t="s">
        <v>30</v>
      </c>
      <c r="E45" s="46">
        <v>16862.599999999999</v>
      </c>
      <c r="F45" s="2">
        <f>IF(C45="GBP",E45*$C$3,IF(C45="TRY",E45/$C$1,IF(C45="EUR",E45*$E$1,IF(C45="RUB",E45/#REF!,IF(C45="EGP",E45/$E$2,E45)))))</f>
        <v>16862.599999999999</v>
      </c>
      <c r="G45" s="15" t="str">
        <f>VLOOKUP(B45,SPECIFICATIONF!$C$2:$D$65,2,0)</f>
        <v>GLOBAL HFT</v>
      </c>
      <c r="H45" s="12">
        <f t="shared" si="12"/>
        <v>1</v>
      </c>
      <c r="I45" s="12">
        <f t="shared" si="13"/>
        <v>2025</v>
      </c>
    </row>
    <row r="46" spans="1:9" ht="19.5" customHeight="1" x14ac:dyDescent="0.35">
      <c r="A46" s="41">
        <v>45673</v>
      </c>
      <c r="B46" s="8" t="s">
        <v>32</v>
      </c>
      <c r="C46" s="42" t="s">
        <v>11</v>
      </c>
      <c r="D46" s="43" t="s">
        <v>30</v>
      </c>
      <c r="E46" s="46">
        <v>2614188.1</v>
      </c>
      <c r="F46" s="2">
        <f>IF(C46="GBP",E46*$C$3,IF(C46="TRY",E46/$C$1,IF(C46="EUR",E46*$E$1,IF(C46="RUB",E46/#REF!,IF(C46="EGP",E46/$E$2,E46)))))</f>
        <v>71686.600725589509</v>
      </c>
      <c r="G46" s="15" t="str">
        <f>VLOOKUP(B46,SPECIFICATIONF!$C$2:$D$65,2,0)</f>
        <v>GLOBAL HFT</v>
      </c>
      <c r="H46" s="12">
        <f t="shared" si="12"/>
        <v>1</v>
      </c>
      <c r="I46" s="12">
        <f t="shared" si="13"/>
        <v>2025</v>
      </c>
    </row>
    <row r="47" spans="1:9" ht="19.5" customHeight="1" x14ac:dyDescent="0.35">
      <c r="A47" s="41">
        <v>45673</v>
      </c>
      <c r="B47" s="8" t="s">
        <v>32</v>
      </c>
      <c r="C47" s="42" t="s">
        <v>33</v>
      </c>
      <c r="D47" s="43" t="s">
        <v>30</v>
      </c>
      <c r="E47" s="46">
        <v>16789.45</v>
      </c>
      <c r="F47" s="2">
        <f>IF(C47="GBP",E47*$C$3,IF(C47="TRY",E47/$C$1,IF(C47="EUR",E47*$E$1,IF(C47="RUB",E47/#REF!,IF(C47="EGP",E47/$E$2,E47)))))</f>
        <v>16789.45</v>
      </c>
      <c r="G47" s="15" t="str">
        <f>VLOOKUP(B47,SPECIFICATIONF!$C$2:$D$65,2,0)</f>
        <v>GLOBAL HFT</v>
      </c>
      <c r="H47" s="12">
        <f t="shared" si="12"/>
        <v>1</v>
      </c>
      <c r="I47" s="12">
        <f t="shared" si="13"/>
        <v>2025</v>
      </c>
    </row>
    <row r="48" spans="1:9" ht="19.5" customHeight="1" x14ac:dyDescent="0.35">
      <c r="A48" s="41">
        <v>45674</v>
      </c>
      <c r="B48" s="8" t="s">
        <v>32</v>
      </c>
      <c r="C48" s="42" t="s">
        <v>11</v>
      </c>
      <c r="D48" s="43" t="s">
        <v>30</v>
      </c>
      <c r="E48" s="46">
        <v>3793466.76</v>
      </c>
      <c r="F48" s="2">
        <f>IF(C48="GBP",E48*$C$3,IF(C48="TRY",E48/$C$1,IF(C48="EUR",E48*$E$1,IF(C48="RUB",E48/#REF!,IF(C48="EGP",E48/$E$2,E48)))))</f>
        <v>104024.93110190336</v>
      </c>
      <c r="G48" s="15" t="str">
        <f>VLOOKUP(B48,SPECIFICATIONF!$C$2:$D$65,2,0)</f>
        <v>GLOBAL HFT</v>
      </c>
      <c r="H48" s="12">
        <f t="shared" si="12"/>
        <v>1</v>
      </c>
      <c r="I48" s="12">
        <f t="shared" si="13"/>
        <v>2025</v>
      </c>
    </row>
    <row r="49" spans="1:9" ht="19.5" customHeight="1" x14ac:dyDescent="0.35">
      <c r="A49" s="41">
        <v>45674</v>
      </c>
      <c r="B49" s="8" t="s">
        <v>32</v>
      </c>
      <c r="C49" s="42" t="s">
        <v>33</v>
      </c>
      <c r="D49" s="43" t="s">
        <v>30</v>
      </c>
      <c r="E49" s="46">
        <v>17053.34</v>
      </c>
      <c r="F49" s="2">
        <f>IF(C49="GBP",E49*$C$3,IF(C49="TRY",E49/$C$1,IF(C49="EUR",E49*$E$1,IF(C49="RUB",E49/#REF!,IF(C49="EGP",E49/$E$2,E49)))))</f>
        <v>17053.34</v>
      </c>
      <c r="G49" s="15" t="str">
        <f>VLOOKUP(B49,SPECIFICATIONF!$C$2:$D$65,2,0)</f>
        <v>GLOBAL HFT</v>
      </c>
      <c r="H49" s="12">
        <f t="shared" si="12"/>
        <v>1</v>
      </c>
      <c r="I49" s="12">
        <f t="shared" si="13"/>
        <v>2025</v>
      </c>
    </row>
    <row r="50" spans="1:9" ht="19.5" customHeight="1" x14ac:dyDescent="0.35">
      <c r="A50" s="41">
        <v>45675</v>
      </c>
      <c r="B50" s="8" t="s">
        <v>32</v>
      </c>
      <c r="C50" s="42" t="s">
        <v>11</v>
      </c>
      <c r="D50" s="43" t="s">
        <v>30</v>
      </c>
      <c r="E50" s="46">
        <v>3498320.02</v>
      </c>
      <c r="F50" s="2">
        <f>IF(C50="GBP",E50*$C$3,IF(C50="TRY",E50/$C$1,IF(C50="EUR",E50*$E$1,IF(C50="RUB",E50/#REF!,IF(C50="EGP",E50/$E$2,E50)))))</f>
        <v>95931.379415305375</v>
      </c>
      <c r="G50" s="15" t="str">
        <f>VLOOKUP(B50,SPECIFICATIONF!$C$2:$D$65,2,0)</f>
        <v>GLOBAL HFT</v>
      </c>
      <c r="H50" s="12">
        <f t="shared" si="12"/>
        <v>1</v>
      </c>
      <c r="I50" s="12">
        <f t="shared" si="13"/>
        <v>2025</v>
      </c>
    </row>
    <row r="51" spans="1:9" ht="19.5" customHeight="1" x14ac:dyDescent="0.35">
      <c r="A51" s="41">
        <v>45675</v>
      </c>
      <c r="B51" s="8" t="s">
        <v>32</v>
      </c>
      <c r="C51" s="42" t="s">
        <v>33</v>
      </c>
      <c r="D51" s="43" t="s">
        <v>30</v>
      </c>
      <c r="E51" s="46">
        <v>19986.2</v>
      </c>
      <c r="F51" s="2">
        <f>IF(C51="GBP",E51*$C$3,IF(C51="TRY",E51/$C$1,IF(C51="EUR",E51*$E$1,IF(C51="RUB",E51/#REF!,IF(C51="EGP",E51/$E$2,E51)))))</f>
        <v>19986.2</v>
      </c>
      <c r="G51" s="15" t="str">
        <f>VLOOKUP(B51,SPECIFICATIONF!$C$2:$D$65,2,0)</f>
        <v>GLOBAL HFT</v>
      </c>
      <c r="H51" s="12">
        <f t="shared" si="12"/>
        <v>1</v>
      </c>
      <c r="I51" s="12">
        <f t="shared" si="13"/>
        <v>2025</v>
      </c>
    </row>
    <row r="52" spans="1:9" ht="19.5" customHeight="1" x14ac:dyDescent="0.35">
      <c r="A52" s="41">
        <v>45676</v>
      </c>
      <c r="B52" s="8" t="s">
        <v>32</v>
      </c>
      <c r="C52" s="42" t="s">
        <v>11</v>
      </c>
      <c r="D52" s="43" t="s">
        <v>30</v>
      </c>
      <c r="E52" s="46">
        <v>2642322.54</v>
      </c>
      <c r="F52" s="2">
        <f>IF(C52="GBP",E52*$C$3,IF(C52="TRY",E52/$C$1,IF(C52="EUR",E52*$E$1,IF(C52="RUB",E52/#REF!,IF(C52="EGP",E52/$E$2,E52)))))</f>
        <v>72458.106940814818</v>
      </c>
      <c r="G52" s="15" t="str">
        <f>VLOOKUP(B52,SPECIFICATIONF!$C$2:$D$65,2,0)</f>
        <v>GLOBAL HFT</v>
      </c>
      <c r="H52" s="12">
        <f t="shared" si="12"/>
        <v>1</v>
      </c>
      <c r="I52" s="12">
        <f t="shared" si="13"/>
        <v>2025</v>
      </c>
    </row>
    <row r="53" spans="1:9" ht="19.5" customHeight="1" x14ac:dyDescent="0.35">
      <c r="A53" s="41">
        <v>45676</v>
      </c>
      <c r="B53" s="8" t="s">
        <v>32</v>
      </c>
      <c r="C53" s="42" t="s">
        <v>33</v>
      </c>
      <c r="D53" s="43" t="s">
        <v>30</v>
      </c>
      <c r="E53" s="46">
        <v>19996.919999999998</v>
      </c>
      <c r="F53" s="2">
        <f>IF(C53="GBP",E53*$C$3,IF(C53="TRY",E53/$C$1,IF(C53="EUR",E53*$E$1,IF(C53="RUB",E53/#REF!,IF(C53="EGP",E53/$E$2,E53)))))</f>
        <v>19996.919999999998</v>
      </c>
      <c r="G53" s="15" t="str">
        <f>VLOOKUP(B53,SPECIFICATIONF!$C$2:$D$65,2,0)</f>
        <v>GLOBAL HFT</v>
      </c>
      <c r="H53" s="12">
        <f t="shared" si="12"/>
        <v>1</v>
      </c>
      <c r="I53" s="12">
        <f t="shared" si="13"/>
        <v>2025</v>
      </c>
    </row>
    <row r="54" spans="1:9" ht="19.5" customHeight="1" x14ac:dyDescent="0.35">
      <c r="A54" s="41">
        <v>45677</v>
      </c>
      <c r="B54" s="8" t="s">
        <v>32</v>
      </c>
      <c r="C54" s="42" t="s">
        <v>11</v>
      </c>
      <c r="D54" s="43" t="s">
        <v>30</v>
      </c>
      <c r="E54" s="46">
        <v>4426650.54</v>
      </c>
      <c r="F54" s="2">
        <f>IF(C54="GBP",E54*$C$3,IF(C54="TRY",E54/$C$1,IF(C54="EUR",E54*$E$1,IF(C54="RUB",E54/#REF!,IF(C54="EGP",E54/$E$2,E54)))))</f>
        <v>121388.17777217148</v>
      </c>
      <c r="G54" s="15" t="str">
        <f>VLOOKUP(B54,SPECIFICATIONF!$C$2:$D$65,2,0)</f>
        <v>GLOBAL HFT</v>
      </c>
      <c r="H54" s="12">
        <f t="shared" si="12"/>
        <v>1</v>
      </c>
      <c r="I54" s="12">
        <f t="shared" si="13"/>
        <v>2025</v>
      </c>
    </row>
    <row r="55" spans="1:9" ht="19.5" customHeight="1" x14ac:dyDescent="0.35">
      <c r="A55" s="41">
        <v>45677</v>
      </c>
      <c r="B55" s="8" t="s">
        <v>32</v>
      </c>
      <c r="C55" s="42" t="s">
        <v>33</v>
      </c>
      <c r="D55" s="43" t="s">
        <v>30</v>
      </c>
      <c r="E55" s="46">
        <v>30267.05</v>
      </c>
      <c r="F55" s="2">
        <f>IF(C55="GBP",E55*$C$3,IF(C55="TRY",E55/$C$1,IF(C55="EUR",E55*$E$1,IF(C55="RUB",E55/#REF!,IF(C55="EGP",E55/$E$2,E55)))))</f>
        <v>30267.05</v>
      </c>
      <c r="G55" s="15" t="str">
        <f>VLOOKUP(B55,SPECIFICATIONF!$C$2:$D$65,2,0)</f>
        <v>GLOBAL HFT</v>
      </c>
      <c r="H55" s="12">
        <f t="shared" si="12"/>
        <v>1</v>
      </c>
      <c r="I55" s="12">
        <f t="shared" si="13"/>
        <v>2025</v>
      </c>
    </row>
    <row r="56" spans="1:9" ht="19.5" customHeight="1" x14ac:dyDescent="0.35">
      <c r="A56" s="41">
        <v>45678</v>
      </c>
      <c r="B56" s="8" t="s">
        <v>32</v>
      </c>
      <c r="C56" s="42" t="s">
        <v>11</v>
      </c>
      <c r="D56" s="43" t="s">
        <v>30</v>
      </c>
      <c r="E56" s="46">
        <v>2530593.42</v>
      </c>
      <c r="F56" s="2">
        <f>IF(C56="GBP",E56*$C$3,IF(C56="TRY",E56/$C$1,IF(C56="EUR",E56*$E$1,IF(C56="RUB",E56/#REF!,IF(C56="EGP",E56/$E$2,E56)))))</f>
        <v>69394.256709509165</v>
      </c>
      <c r="G56" s="15" t="str">
        <f>VLOOKUP(B56,SPECIFICATIONF!$C$2:$D$65,2,0)</f>
        <v>GLOBAL HFT</v>
      </c>
      <c r="H56" s="12">
        <f t="shared" si="12"/>
        <v>1</v>
      </c>
      <c r="I56" s="12">
        <f t="shared" si="13"/>
        <v>2025</v>
      </c>
    </row>
    <row r="57" spans="1:9" ht="19.5" customHeight="1" x14ac:dyDescent="0.35">
      <c r="A57" s="41">
        <v>45678</v>
      </c>
      <c r="B57" s="8" t="s">
        <v>32</v>
      </c>
      <c r="C57" s="42" t="s">
        <v>33</v>
      </c>
      <c r="D57" s="43" t="s">
        <v>30</v>
      </c>
      <c r="E57" s="46">
        <v>17839.8</v>
      </c>
      <c r="F57" s="2">
        <f>IF(C57="GBP",E57*$C$3,IF(C57="TRY",E57/$C$1,IF(C57="EUR",E57*$E$1,IF(C57="RUB",E57/#REF!,IF(C57="EGP",E57/$E$2,E57)))))</f>
        <v>17839.8</v>
      </c>
      <c r="G57" s="15" t="str">
        <f>VLOOKUP(B57,SPECIFICATIONF!$C$2:$D$65,2,0)</f>
        <v>GLOBAL HFT</v>
      </c>
      <c r="H57" s="12">
        <f t="shared" si="12"/>
        <v>1</v>
      </c>
      <c r="I57" s="12">
        <f t="shared" si="13"/>
        <v>2025</v>
      </c>
    </row>
    <row r="58" spans="1:9" ht="19.5" customHeight="1" x14ac:dyDescent="0.35">
      <c r="A58" s="41">
        <v>45679</v>
      </c>
      <c r="B58" s="8" t="s">
        <v>32</v>
      </c>
      <c r="C58" s="42" t="s">
        <v>11</v>
      </c>
      <c r="D58" s="43" t="s">
        <v>30</v>
      </c>
      <c r="E58" s="46">
        <v>1740024.87</v>
      </c>
      <c r="F58" s="2">
        <f>IF(C58="GBP",E58*$C$3,IF(C58="TRY",E58/$C$1,IF(C58="EUR",E58*$E$1,IF(C58="RUB",E58/#REF!,IF(C58="EGP",E58/$E$2,E58)))))</f>
        <v>47715.184729165354</v>
      </c>
      <c r="G58" s="15" t="str">
        <f>VLOOKUP(B58,SPECIFICATIONF!$C$2:$D$65,2,0)</f>
        <v>GLOBAL HFT</v>
      </c>
      <c r="H58" s="12">
        <f t="shared" si="12"/>
        <v>1</v>
      </c>
      <c r="I58" s="12">
        <f t="shared" si="13"/>
        <v>2025</v>
      </c>
    </row>
    <row r="59" spans="1:9" ht="19.5" customHeight="1" x14ac:dyDescent="0.35">
      <c r="A59" s="41">
        <v>45679</v>
      </c>
      <c r="B59" s="8" t="s">
        <v>32</v>
      </c>
      <c r="C59" s="42" t="s">
        <v>33</v>
      </c>
      <c r="D59" s="43" t="s">
        <v>30</v>
      </c>
      <c r="E59" s="46">
        <v>11955.02</v>
      </c>
      <c r="F59" s="2">
        <f>IF(C59="GBP",E59*$C$3,IF(C59="TRY",E59/$C$1,IF(C59="EUR",E59*$E$1,IF(C59="RUB",E59/#REF!,IF(C59="EGP",E59/$E$2,E59)))))</f>
        <v>11955.02</v>
      </c>
      <c r="G59" s="15" t="str">
        <f>VLOOKUP(B59,SPECIFICATIONF!$C$2:$D$65,2,0)</f>
        <v>GLOBAL HFT</v>
      </c>
      <c r="H59" s="12">
        <f t="shared" si="12"/>
        <v>1</v>
      </c>
      <c r="I59" s="12">
        <f t="shared" si="13"/>
        <v>2025</v>
      </c>
    </row>
    <row r="60" spans="1:9" ht="19.5" customHeight="1" x14ac:dyDescent="0.35">
      <c r="A60" s="41">
        <v>45680</v>
      </c>
      <c r="B60" s="8" t="s">
        <v>32</v>
      </c>
      <c r="C60" s="42" t="s">
        <v>11</v>
      </c>
      <c r="D60" s="43" t="s">
        <v>30</v>
      </c>
      <c r="E60" s="46">
        <v>2334055.65</v>
      </c>
      <c r="F60" s="2">
        <f>IF(C60="GBP",E60*$C$3,IF(C60="TRY",E60/$C$1,IF(C60="EUR",E60*$E$1,IF(C60="RUB",E60/#REF!,IF(C60="EGP",E60/$E$2,E60)))))</f>
        <v>64004.77282138048</v>
      </c>
      <c r="G60" s="15" t="str">
        <f>VLOOKUP(B60,SPECIFICATIONF!$C$2:$D$65,2,0)</f>
        <v>GLOBAL HFT</v>
      </c>
      <c r="H60" s="12">
        <f t="shared" si="12"/>
        <v>1</v>
      </c>
      <c r="I60" s="12">
        <f t="shared" si="13"/>
        <v>2025</v>
      </c>
    </row>
    <row r="61" spans="1:9" ht="19.5" customHeight="1" x14ac:dyDescent="0.35">
      <c r="A61" s="41">
        <v>45680</v>
      </c>
      <c r="B61" s="8" t="s">
        <v>32</v>
      </c>
      <c r="C61" s="42" t="s">
        <v>33</v>
      </c>
      <c r="D61" s="43" t="s">
        <v>30</v>
      </c>
      <c r="E61" s="46">
        <v>13033.27</v>
      </c>
      <c r="F61" s="2">
        <f>IF(C61="GBP",E61*$C$3,IF(C61="TRY",E61/$C$1,IF(C61="EUR",E61*$E$1,IF(C61="RUB",E61/#REF!,IF(C61="EGP",E61/$E$2,E61)))))</f>
        <v>13033.27</v>
      </c>
      <c r="G61" s="15" t="str">
        <f>VLOOKUP(B61,SPECIFICATIONF!$C$2:$D$65,2,0)</f>
        <v>GLOBAL HFT</v>
      </c>
      <c r="H61" s="12">
        <f t="shared" si="12"/>
        <v>1</v>
      </c>
      <c r="I61" s="12">
        <f t="shared" si="13"/>
        <v>2025</v>
      </c>
    </row>
    <row r="62" spans="1:9" ht="19.5" customHeight="1" x14ac:dyDescent="0.35">
      <c r="A62" s="41">
        <v>45681</v>
      </c>
      <c r="B62" s="8" t="s">
        <v>32</v>
      </c>
      <c r="C62" s="42" t="s">
        <v>11</v>
      </c>
      <c r="D62" s="43" t="s">
        <v>30</v>
      </c>
      <c r="E62" s="46">
        <v>3269284.69</v>
      </c>
      <c r="F62" s="2">
        <f>IF(C62="GBP",E62*$C$3,IF(C62="TRY",E62/$C$1,IF(C62="EUR",E62*$E$1,IF(C62="RUB",E62/#REF!,IF(C62="EGP",E62/$E$2,E62)))))</f>
        <v>89650.743276779758</v>
      </c>
      <c r="G62" s="15" t="str">
        <f>VLOOKUP(B62,SPECIFICATIONF!$C$2:$D$65,2,0)</f>
        <v>GLOBAL HFT</v>
      </c>
      <c r="H62" s="12">
        <f t="shared" si="12"/>
        <v>1</v>
      </c>
      <c r="I62" s="12">
        <f t="shared" si="13"/>
        <v>2025</v>
      </c>
    </row>
    <row r="63" spans="1:9" ht="19.5" customHeight="1" x14ac:dyDescent="0.35">
      <c r="A63" s="41">
        <v>45681</v>
      </c>
      <c r="B63" s="8" t="s">
        <v>32</v>
      </c>
      <c r="C63" s="42" t="s">
        <v>33</v>
      </c>
      <c r="D63" s="43" t="s">
        <v>30</v>
      </c>
      <c r="E63" s="46">
        <v>17219.45</v>
      </c>
      <c r="F63" s="2">
        <f>IF(C63="GBP",E63*$C$3,IF(C63="TRY",E63/$C$1,IF(C63="EUR",E63*$E$1,IF(C63="RUB",E63/#REF!,IF(C63="EGP",E63/$E$2,E63)))))</f>
        <v>17219.45</v>
      </c>
      <c r="G63" s="15" t="str">
        <f>VLOOKUP(B63,SPECIFICATIONF!$C$2:$D$65,2,0)</f>
        <v>GLOBAL HFT</v>
      </c>
      <c r="H63" s="12">
        <f t="shared" si="12"/>
        <v>1</v>
      </c>
      <c r="I63" s="12">
        <f t="shared" si="13"/>
        <v>2025</v>
      </c>
    </row>
    <row r="64" spans="1:9" ht="19.5" customHeight="1" x14ac:dyDescent="0.35">
      <c r="A64" s="41">
        <v>45682</v>
      </c>
      <c r="B64" s="8" t="s">
        <v>32</v>
      </c>
      <c r="C64" s="42" t="s">
        <v>11</v>
      </c>
      <c r="D64" s="43" t="s">
        <v>30</v>
      </c>
      <c r="E64" s="46">
        <v>2246807.4700000002</v>
      </c>
      <c r="F64" s="2">
        <f>IF(C64="GBP",E64*$C$3,IF(C64="TRY",E64/$C$1,IF(C64="EUR",E64*$E$1,IF(C64="RUB",E64/#REF!,IF(C64="EGP",E64/$E$2,E64)))))</f>
        <v>61612.242060608391</v>
      </c>
      <c r="G64" s="15" t="str">
        <f>VLOOKUP(B64,SPECIFICATIONF!$C$2:$D$65,2,0)</f>
        <v>GLOBAL HFT</v>
      </c>
      <c r="H64" s="12">
        <f t="shared" si="12"/>
        <v>1</v>
      </c>
      <c r="I64" s="12">
        <f t="shared" si="13"/>
        <v>2025</v>
      </c>
    </row>
    <row r="65" spans="1:9" ht="19.5" customHeight="1" x14ac:dyDescent="0.35">
      <c r="A65" s="41">
        <v>45682</v>
      </c>
      <c r="B65" s="8" t="s">
        <v>32</v>
      </c>
      <c r="C65" s="42" t="s">
        <v>33</v>
      </c>
      <c r="D65" s="43" t="s">
        <v>30</v>
      </c>
      <c r="E65" s="46">
        <v>11183.6</v>
      </c>
      <c r="F65" s="2">
        <f>IF(C65="GBP",E65*$C$3,IF(C65="TRY",E65/$C$1,IF(C65="EUR",E65*$E$1,IF(C65="RUB",E65/#REF!,IF(C65="EGP",E65/$E$2,E65)))))</f>
        <v>11183.6</v>
      </c>
      <c r="G65" s="15" t="str">
        <f>VLOOKUP(B65,SPECIFICATIONF!$C$2:$D$65,2,0)</f>
        <v>GLOBAL HFT</v>
      </c>
      <c r="H65" s="12">
        <f t="shared" si="12"/>
        <v>1</v>
      </c>
      <c r="I65" s="12">
        <f t="shared" si="13"/>
        <v>2025</v>
      </c>
    </row>
    <row r="66" spans="1:9" ht="19.5" customHeight="1" x14ac:dyDescent="0.35">
      <c r="A66" s="41">
        <v>45683</v>
      </c>
      <c r="B66" s="8" t="s">
        <v>32</v>
      </c>
      <c r="C66" s="42" t="s">
        <v>11</v>
      </c>
      <c r="D66" s="43" t="s">
        <v>30</v>
      </c>
      <c r="E66" s="46">
        <v>3614785.18</v>
      </c>
      <c r="F66" s="2">
        <f>IF(C66="GBP",E66*$C$3,IF(C66="TRY",E66/$C$1,IF(C66="EUR",E66*$E$1,IF(C66="RUB",E66/#REF!,IF(C66="EGP",E66/$E$2,E66)))))</f>
        <v>99125.101941760877</v>
      </c>
      <c r="G66" s="15" t="str">
        <f>VLOOKUP(B66,SPECIFICATIONF!$C$2:$D$65,2,0)</f>
        <v>GLOBAL HFT</v>
      </c>
      <c r="H66" s="12">
        <f t="shared" si="12"/>
        <v>1</v>
      </c>
      <c r="I66" s="12">
        <f t="shared" si="13"/>
        <v>2025</v>
      </c>
    </row>
    <row r="67" spans="1:9" ht="19.5" customHeight="1" x14ac:dyDescent="0.35">
      <c r="A67" s="41">
        <v>45683</v>
      </c>
      <c r="B67" s="8" t="s">
        <v>32</v>
      </c>
      <c r="C67" s="42" t="s">
        <v>33</v>
      </c>
      <c r="D67" s="43" t="s">
        <v>30</v>
      </c>
      <c r="E67" s="46">
        <v>17320.759999999998</v>
      </c>
      <c r="F67" s="2">
        <f>IF(C67="GBP",E67*$C$3,IF(C67="TRY",E67/$C$1,IF(C67="EUR",E67*$E$1,IF(C67="RUB",E67/#REF!,IF(C67="EGP",E67/$E$2,E67)))))</f>
        <v>17320.759999999998</v>
      </c>
      <c r="G67" s="15" t="str">
        <f>VLOOKUP(B67,SPECIFICATIONF!$C$2:$D$65,2,0)</f>
        <v>GLOBAL HFT</v>
      </c>
      <c r="H67" s="12">
        <f t="shared" si="12"/>
        <v>1</v>
      </c>
      <c r="I67" s="12">
        <f t="shared" si="13"/>
        <v>2025</v>
      </c>
    </row>
    <row r="68" spans="1:9" ht="19.5" customHeight="1" x14ac:dyDescent="0.35">
      <c r="A68" s="41">
        <v>45684</v>
      </c>
      <c r="B68" s="8" t="s">
        <v>32</v>
      </c>
      <c r="C68" s="42" t="s">
        <v>11</v>
      </c>
      <c r="D68" s="43" t="s">
        <v>30</v>
      </c>
      <c r="E68" s="46">
        <v>3481784.04</v>
      </c>
      <c r="F68" s="2">
        <f>IF(C68="GBP",E68*$C$3,IF(C68="TRY",E68/$C$1,IF(C68="EUR",E68*$E$1,IF(C68="RUB",E68/#REF!,IF(C68="EGP",E68/$E$2,E68)))))</f>
        <v>95477.927654941872</v>
      </c>
      <c r="G68" s="15" t="str">
        <f>VLOOKUP(B68,SPECIFICATIONF!$C$2:$D$65,2,0)</f>
        <v>GLOBAL HFT</v>
      </c>
      <c r="H68" s="12">
        <f t="shared" si="12"/>
        <v>1</v>
      </c>
      <c r="I68" s="12">
        <f t="shared" si="13"/>
        <v>2025</v>
      </c>
    </row>
    <row r="69" spans="1:9" ht="19.5" customHeight="1" x14ac:dyDescent="0.35">
      <c r="A69" s="41">
        <v>45684</v>
      </c>
      <c r="B69" s="8" t="s">
        <v>32</v>
      </c>
      <c r="C69" s="42" t="s">
        <v>33</v>
      </c>
      <c r="D69" s="43" t="s">
        <v>30</v>
      </c>
      <c r="E69" s="46">
        <v>20021.32</v>
      </c>
      <c r="F69" s="2">
        <f>IF(C69="GBP",E69*$C$3,IF(C69="TRY",E69/$C$1,IF(C69="EUR",E69*$E$1,IF(C69="RUB",E69/#REF!,IF(C69="EGP",E69/$E$2,E69)))))</f>
        <v>20021.32</v>
      </c>
      <c r="G69" s="15" t="str">
        <f>VLOOKUP(B69,SPECIFICATIONF!$C$2:$D$65,2,0)</f>
        <v>GLOBAL HFT</v>
      </c>
      <c r="H69" s="12">
        <f t="shared" si="12"/>
        <v>1</v>
      </c>
      <c r="I69" s="12">
        <f t="shared" si="13"/>
        <v>2025</v>
      </c>
    </row>
    <row r="70" spans="1:9" ht="19.5" customHeight="1" x14ac:dyDescent="0.35">
      <c r="A70" s="41">
        <v>45685</v>
      </c>
      <c r="B70" s="8" t="s">
        <v>32</v>
      </c>
      <c r="C70" s="42" t="s">
        <v>11</v>
      </c>
      <c r="D70" s="43" t="s">
        <v>30</v>
      </c>
      <c r="E70" s="46">
        <v>3027172.79</v>
      </c>
      <c r="F70" s="2">
        <f>IF(C70="GBP",E70*$C$3,IF(C70="TRY",E70/$C$1,IF(C70="EUR",E70*$E$1,IF(C70="RUB",E70/#REF!,IF(C70="EGP",E70/$E$2,E70)))))</f>
        <v>83011.519761756543</v>
      </c>
      <c r="G70" s="15" t="str">
        <f>VLOOKUP(B70,SPECIFICATIONF!$C$2:$D$65,2,0)</f>
        <v>GLOBAL HFT</v>
      </c>
      <c r="H70" s="12">
        <f t="shared" si="12"/>
        <v>1</v>
      </c>
      <c r="I70" s="12">
        <f t="shared" si="13"/>
        <v>2025</v>
      </c>
    </row>
    <row r="71" spans="1:9" ht="19.5" customHeight="1" x14ac:dyDescent="0.35">
      <c r="A71" s="41">
        <v>45685</v>
      </c>
      <c r="B71" s="8" t="s">
        <v>32</v>
      </c>
      <c r="C71" s="42" t="s">
        <v>33</v>
      </c>
      <c r="D71" s="43" t="s">
        <v>30</v>
      </c>
      <c r="E71" s="46">
        <v>14774.08</v>
      </c>
      <c r="F71" s="2">
        <f>IF(C71="GBP",E71*$C$3,IF(C71="TRY",E71/$C$1,IF(C71="EUR",E71*$E$1,IF(C71="RUB",E71/#REF!,IF(C71="EGP",E71/$E$2,E71)))))</f>
        <v>14774.08</v>
      </c>
      <c r="G71" s="15" t="str">
        <f>VLOOKUP(B71,SPECIFICATIONF!$C$2:$D$65,2,0)</f>
        <v>GLOBAL HFT</v>
      </c>
      <c r="H71" s="12">
        <f t="shared" si="12"/>
        <v>1</v>
      </c>
      <c r="I71" s="12">
        <f t="shared" si="13"/>
        <v>2025</v>
      </c>
    </row>
    <row r="72" spans="1:9" ht="19.5" customHeight="1" x14ac:dyDescent="0.35">
      <c r="A72" s="41">
        <v>45686</v>
      </c>
      <c r="B72" s="8" t="s">
        <v>32</v>
      </c>
      <c r="C72" s="42" t="s">
        <v>11</v>
      </c>
      <c r="D72" s="43" t="s">
        <v>30</v>
      </c>
      <c r="E72" s="46">
        <v>2839261.88</v>
      </c>
      <c r="F72" s="2">
        <f>IF(C72="GBP",E72*$C$3,IF(C72="TRY",E72/$C$1,IF(C72="EUR",E72*$E$1,IF(C72="RUB",E72/#REF!,IF(C72="EGP",E72/$E$2,E72)))))</f>
        <v>77858.602732889267</v>
      </c>
      <c r="G72" s="15" t="str">
        <f>VLOOKUP(B72,SPECIFICATIONF!$C$2:$D$65,2,0)</f>
        <v>GLOBAL HFT</v>
      </c>
      <c r="H72" s="12">
        <f t="shared" si="12"/>
        <v>1</v>
      </c>
      <c r="I72" s="12">
        <f t="shared" si="13"/>
        <v>2025</v>
      </c>
    </row>
    <row r="73" spans="1:9" ht="19.5" customHeight="1" x14ac:dyDescent="0.35">
      <c r="A73" s="41">
        <v>45686</v>
      </c>
      <c r="B73" s="8" t="s">
        <v>32</v>
      </c>
      <c r="C73" s="42" t="s">
        <v>33</v>
      </c>
      <c r="D73" s="43" t="s">
        <v>30</v>
      </c>
      <c r="E73" s="46">
        <v>13710.99</v>
      </c>
      <c r="F73" s="2">
        <f>IF(C73="GBP",E73*$C$3,IF(C73="TRY",E73/$C$1,IF(C73="EUR",E73*$E$1,IF(C73="RUB",E73/#REF!,IF(C73="EGP",E73/$E$2,E73)))))</f>
        <v>13710.99</v>
      </c>
      <c r="G73" s="15" t="str">
        <f>VLOOKUP(B73,SPECIFICATIONF!$C$2:$D$65,2,0)</f>
        <v>GLOBAL HFT</v>
      </c>
      <c r="H73" s="12">
        <f t="shared" si="12"/>
        <v>1</v>
      </c>
      <c r="I73" s="12">
        <f t="shared" si="13"/>
        <v>2025</v>
      </c>
    </row>
    <row r="74" spans="1:9" ht="19.5" customHeight="1" x14ac:dyDescent="0.35">
      <c r="A74" s="41">
        <v>45687</v>
      </c>
      <c r="B74" s="8" t="s">
        <v>32</v>
      </c>
      <c r="C74" s="42" t="s">
        <v>11</v>
      </c>
      <c r="D74" s="43" t="s">
        <v>30</v>
      </c>
      <c r="E74" s="46">
        <v>2570860.58</v>
      </c>
      <c r="F74" s="2">
        <f>IF(C74="GBP",E74*$C$3,IF(C74="TRY",E74/$C$1,IF(C74="EUR",E74*$E$1,IF(C74="RUB",E74/#REF!,IF(C74="EGP",E74/$E$2,E74)))))</f>
        <v>70498.46792570797</v>
      </c>
      <c r="G74" s="15" t="str">
        <f>VLOOKUP(B74,SPECIFICATIONF!$C$2:$D$65,2,0)</f>
        <v>GLOBAL HFT</v>
      </c>
      <c r="H74" s="12">
        <f t="shared" si="12"/>
        <v>1</v>
      </c>
      <c r="I74" s="12">
        <f t="shared" si="13"/>
        <v>2025</v>
      </c>
    </row>
    <row r="75" spans="1:9" ht="19.5" customHeight="1" x14ac:dyDescent="0.35">
      <c r="A75" s="41">
        <v>45687</v>
      </c>
      <c r="B75" s="8" t="s">
        <v>32</v>
      </c>
      <c r="C75" s="42" t="s">
        <v>33</v>
      </c>
      <c r="D75" s="43" t="s">
        <v>30</v>
      </c>
      <c r="E75" s="46">
        <v>14087.52</v>
      </c>
      <c r="F75" s="2">
        <f>IF(C75="GBP",E75*$C$3,IF(C75="TRY",E75/$C$1,IF(C75="EUR",E75*$E$1,IF(C75="RUB",E75/#REF!,IF(C75="EGP",E75/$E$2,E75)))))</f>
        <v>14087.52</v>
      </c>
      <c r="G75" s="15" t="str">
        <f>VLOOKUP(B75,SPECIFICATIONF!$C$2:$D$65,2,0)</f>
        <v>GLOBAL HFT</v>
      </c>
      <c r="H75" s="12">
        <f t="shared" si="12"/>
        <v>1</v>
      </c>
      <c r="I75" s="12">
        <f t="shared" si="13"/>
        <v>2025</v>
      </c>
    </row>
    <row r="76" spans="1:9" ht="19.5" customHeight="1" x14ac:dyDescent="0.35">
      <c r="A76" s="41">
        <v>45688</v>
      </c>
      <c r="B76" s="8" t="s">
        <v>32</v>
      </c>
      <c r="C76" s="42" t="s">
        <v>11</v>
      </c>
      <c r="D76" s="43" t="s">
        <v>30</v>
      </c>
      <c r="E76" s="46">
        <v>2413482.9500000002</v>
      </c>
      <c r="F76" s="2">
        <f>IF(C76="GBP",E76*$C$3,IF(C76="TRY",E76/$C$1,IF(C76="EUR",E76*$E$1,IF(C76="RUB",E76/#REF!,IF(C76="EGP",E76/$E$2,E76)))))</f>
        <v>66182.83840962626</v>
      </c>
      <c r="G76" s="15" t="str">
        <f>VLOOKUP(B76,SPECIFICATIONF!$C$2:$D$65,2,0)</f>
        <v>GLOBAL HFT</v>
      </c>
      <c r="H76" s="12">
        <f t="shared" si="12"/>
        <v>1</v>
      </c>
      <c r="I76" s="12">
        <f t="shared" si="13"/>
        <v>2025</v>
      </c>
    </row>
    <row r="77" spans="1:9" ht="19.5" customHeight="1" x14ac:dyDescent="0.35">
      <c r="A77" s="41">
        <v>45688</v>
      </c>
      <c r="B77" s="8" t="s">
        <v>32</v>
      </c>
      <c r="C77" s="42" t="s">
        <v>33</v>
      </c>
      <c r="D77" s="43" t="s">
        <v>30</v>
      </c>
      <c r="E77" s="46">
        <v>13856.77</v>
      </c>
      <c r="F77" s="2">
        <f>IF(C77="GBP",E77*$C$3,IF(C77="TRY",E77/$C$1,IF(C77="EUR",E77*$E$1,IF(C77="RUB",E77/#REF!,IF(C77="EGP",E77/$E$2,E77)))))</f>
        <v>13856.77</v>
      </c>
      <c r="G77" s="15" t="str">
        <f>VLOOKUP(B77,SPECIFICATIONF!$C$2:$D$65,2,0)</f>
        <v>GLOBAL HFT</v>
      </c>
      <c r="H77" s="12">
        <f t="shared" si="12"/>
        <v>1</v>
      </c>
      <c r="I77" s="12">
        <f t="shared" si="13"/>
        <v>2025</v>
      </c>
    </row>
    <row r="78" spans="1:9" ht="19.5" customHeight="1" x14ac:dyDescent="0.35">
      <c r="A78" s="41">
        <v>45689</v>
      </c>
      <c r="B78" s="8" t="s">
        <v>32</v>
      </c>
      <c r="C78" s="42" t="s">
        <v>11</v>
      </c>
      <c r="D78" s="43" t="s">
        <v>30</v>
      </c>
      <c r="E78" s="46">
        <v>2296834.09</v>
      </c>
      <c r="F78" s="2">
        <f>IF(C78="GBP",E78*$C$3,IF(C78="TRY",E78/$C$1,IF(C78="EUR",E78*$E$1,IF(C78="RUB",E78/#REF!,IF(C78="EGP",E78/$E$2,E78)))))</f>
        <v>62984.078438254954</v>
      </c>
      <c r="G78" s="15" t="str">
        <f>VLOOKUP(B78,SPECIFICATIONF!$C$2:$D$65,2,0)</f>
        <v>GLOBAL HFT</v>
      </c>
      <c r="H78" s="12">
        <f t="shared" si="12"/>
        <v>2</v>
      </c>
      <c r="I78" s="12">
        <f t="shared" si="13"/>
        <v>2025</v>
      </c>
    </row>
    <row r="79" spans="1:9" ht="19.5" customHeight="1" x14ac:dyDescent="0.35">
      <c r="A79" s="41">
        <v>45689</v>
      </c>
      <c r="B79" s="8" t="s">
        <v>32</v>
      </c>
      <c r="C79" s="42" t="s">
        <v>33</v>
      </c>
      <c r="D79" s="43" t="s">
        <v>30</v>
      </c>
      <c r="E79" s="46">
        <v>10599.14</v>
      </c>
      <c r="F79" s="2">
        <f>IF(C79="GBP",E79*$C$3,IF(C79="TRY",E79/$C$1,IF(C79="EUR",E79*$E$1,IF(C79="RUB",E79/#REF!,IF(C79="EGP",E79/$E$2,E79)))))</f>
        <v>10599.14</v>
      </c>
      <c r="G79" s="15" t="str">
        <f>VLOOKUP(B79,SPECIFICATIONF!$C$2:$D$65,2,0)</f>
        <v>GLOBAL HFT</v>
      </c>
      <c r="H79" s="12">
        <f t="shared" si="12"/>
        <v>2</v>
      </c>
      <c r="I79" s="12">
        <f t="shared" si="13"/>
        <v>2025</v>
      </c>
    </row>
    <row r="80" spans="1:9" ht="19.5" customHeight="1" x14ac:dyDescent="0.35">
      <c r="A80" s="41">
        <v>45690</v>
      </c>
      <c r="B80" s="8" t="s">
        <v>32</v>
      </c>
      <c r="C80" s="42" t="s">
        <v>11</v>
      </c>
      <c r="D80" s="43" t="s">
        <v>30</v>
      </c>
      <c r="E80" s="46">
        <v>3645059.63</v>
      </c>
      <c r="F80" s="2">
        <f>IF(C80="GBP",E80*$C$3,IF(C80="TRY",E80/$C$1,IF(C80="EUR",E80*$E$1,IF(C80="RUB",E80/#REF!,IF(C80="EGP",E80/$E$2,E80)))))</f>
        <v>99955.291785153095</v>
      </c>
      <c r="G80" s="15" t="str">
        <f>VLOOKUP(B80,SPECIFICATIONF!$C$2:$D$65,2,0)</f>
        <v>GLOBAL HFT</v>
      </c>
      <c r="H80" s="12">
        <f t="shared" si="12"/>
        <v>2</v>
      </c>
      <c r="I80" s="12">
        <f t="shared" si="13"/>
        <v>2025</v>
      </c>
    </row>
    <row r="81" spans="1:9" ht="19.5" customHeight="1" x14ac:dyDescent="0.35">
      <c r="A81" s="41">
        <v>45690</v>
      </c>
      <c r="B81" s="8" t="s">
        <v>32</v>
      </c>
      <c r="C81" s="42" t="s">
        <v>33</v>
      </c>
      <c r="D81" s="43" t="s">
        <v>30</v>
      </c>
      <c r="E81" s="46">
        <v>25181.47</v>
      </c>
      <c r="F81" s="2">
        <f>IF(C81="GBP",E81*$C$3,IF(C81="TRY",E81/$C$1,IF(C81="EUR",E81*$E$1,IF(C81="RUB",E81/#REF!,IF(C81="EGP",E81/$E$2,E81)))))</f>
        <v>25181.47</v>
      </c>
      <c r="G81" s="15" t="str">
        <f>VLOOKUP(B81,SPECIFICATIONF!$C$2:$D$65,2,0)</f>
        <v>GLOBAL HFT</v>
      </c>
      <c r="H81" s="12">
        <f t="shared" si="12"/>
        <v>2</v>
      </c>
      <c r="I81" s="12">
        <f t="shared" si="13"/>
        <v>2025</v>
      </c>
    </row>
    <row r="82" spans="1:9" ht="19.5" customHeight="1" x14ac:dyDescent="0.35">
      <c r="A82" s="41">
        <v>45691</v>
      </c>
      <c r="B82" s="8" t="s">
        <v>32</v>
      </c>
      <c r="C82" s="42" t="s">
        <v>11</v>
      </c>
      <c r="D82" s="43" t="s">
        <v>30</v>
      </c>
      <c r="E82" s="46">
        <v>5507980.7199999997</v>
      </c>
      <c r="F82" s="2">
        <f>IF(C82="GBP",E82*$C$3,IF(C82="TRY",E82/$C$1,IF(C82="EUR",E82*$E$1,IF(C82="RUB",E82/#REF!,IF(C82="EGP",E82/$E$2,E82)))))</f>
        <v>151040.55239134666</v>
      </c>
      <c r="G82" s="15" t="str">
        <f>VLOOKUP(B82,SPECIFICATIONF!$C$2:$D$65,2,0)</f>
        <v>GLOBAL HFT</v>
      </c>
      <c r="H82" s="12">
        <f t="shared" si="12"/>
        <v>2</v>
      </c>
      <c r="I82" s="12">
        <f t="shared" si="13"/>
        <v>2025</v>
      </c>
    </row>
    <row r="83" spans="1:9" ht="19.5" customHeight="1" x14ac:dyDescent="0.35">
      <c r="A83" s="41">
        <v>45691</v>
      </c>
      <c r="B83" s="8" t="s">
        <v>32</v>
      </c>
      <c r="C83" s="42" t="s">
        <v>33</v>
      </c>
      <c r="D83" s="43" t="s">
        <v>30</v>
      </c>
      <c r="E83" s="46">
        <v>35570.14</v>
      </c>
      <c r="F83" s="2">
        <f>IF(C83="GBP",E83*$C$3,IF(C83="TRY",E83/$C$1,IF(C83="EUR",E83*$E$1,IF(C83="RUB",E83/#REF!,IF(C83="EGP",E83/$E$2,E83)))))</f>
        <v>35570.14</v>
      </c>
      <c r="G83" s="15" t="str">
        <f>VLOOKUP(B83,SPECIFICATIONF!$C$2:$D$65,2,0)</f>
        <v>GLOBAL HFT</v>
      </c>
      <c r="H83" s="12">
        <f t="shared" si="12"/>
        <v>2</v>
      </c>
      <c r="I83" s="12">
        <f t="shared" si="13"/>
        <v>2025</v>
      </c>
    </row>
    <row r="84" spans="1:9" ht="19.5" customHeight="1" x14ac:dyDescent="0.35">
      <c r="A84" s="41">
        <v>45692</v>
      </c>
      <c r="B84" s="8" t="s">
        <v>32</v>
      </c>
      <c r="C84" s="42" t="s">
        <v>11</v>
      </c>
      <c r="D84" s="43" t="s">
        <v>30</v>
      </c>
      <c r="E84" s="46">
        <v>2736054.26</v>
      </c>
      <c r="F84" s="2">
        <f>IF(C84="GBP",E84*$C$3,IF(C84="TRY",E84/$C$1,IF(C84="EUR",E84*$E$1,IF(C84="RUB",E84/#REF!,IF(C84="EGP",E84/$E$2,E84)))))</f>
        <v>75028.43016543769</v>
      </c>
      <c r="G84" s="15" t="str">
        <f>VLOOKUP(B84,SPECIFICATIONF!$C$2:$D$65,2,0)</f>
        <v>GLOBAL HFT</v>
      </c>
      <c r="H84" s="12">
        <f t="shared" si="12"/>
        <v>2</v>
      </c>
      <c r="I84" s="12">
        <f t="shared" si="13"/>
        <v>2025</v>
      </c>
    </row>
    <row r="85" spans="1:9" ht="19.5" customHeight="1" x14ac:dyDescent="0.35">
      <c r="A85" s="41">
        <v>45692</v>
      </c>
      <c r="B85" s="8" t="s">
        <v>32</v>
      </c>
      <c r="C85" s="42" t="s">
        <v>33</v>
      </c>
      <c r="D85" s="43" t="s">
        <v>30</v>
      </c>
      <c r="E85" s="46">
        <v>14707.99</v>
      </c>
      <c r="F85" s="2">
        <f>IF(C85="GBP",E85*$C$3,IF(C85="TRY",E85/$C$1,IF(C85="EUR",E85*$E$1,IF(C85="RUB",E85/#REF!,IF(C85="EGP",E85/$E$2,E85)))))</f>
        <v>14707.99</v>
      </c>
      <c r="G85" s="15" t="str">
        <f>VLOOKUP(B85,SPECIFICATIONF!$C$2:$D$65,2,0)</f>
        <v>GLOBAL HFT</v>
      </c>
      <c r="H85" s="12">
        <f t="shared" si="12"/>
        <v>2</v>
      </c>
      <c r="I85" s="12">
        <f t="shared" si="13"/>
        <v>2025</v>
      </c>
    </row>
    <row r="86" spans="1:9" ht="19.5" customHeight="1" x14ac:dyDescent="0.35">
      <c r="A86" s="41">
        <v>45693</v>
      </c>
      <c r="B86" s="8" t="s">
        <v>32</v>
      </c>
      <c r="C86" s="42" t="s">
        <v>11</v>
      </c>
      <c r="D86" s="43" t="s">
        <v>30</v>
      </c>
      <c r="E86" s="46">
        <v>2152763.96</v>
      </c>
      <c r="F86" s="2">
        <f>IF(C86="GBP",E86*$C$3,IF(C86="TRY",E86/$C$1,IF(C86="EUR",E86*$E$1,IF(C86="RUB",E86/#REF!,IF(C86="EGP",E86/$E$2,E86)))))</f>
        <v>59033.368890692647</v>
      </c>
      <c r="G86" s="15" t="str">
        <f>VLOOKUP(B86,SPECIFICATIONF!$C$2:$D$65,2,0)</f>
        <v>GLOBAL HFT</v>
      </c>
      <c r="H86" s="12">
        <f t="shared" si="12"/>
        <v>2</v>
      </c>
      <c r="I86" s="12">
        <f t="shared" si="13"/>
        <v>2025</v>
      </c>
    </row>
    <row r="87" spans="1:9" ht="19.5" customHeight="1" x14ac:dyDescent="0.35">
      <c r="A87" s="41">
        <v>45693</v>
      </c>
      <c r="B87" s="8" t="s">
        <v>32</v>
      </c>
      <c r="C87" s="42" t="s">
        <v>33</v>
      </c>
      <c r="D87" s="43" t="s">
        <v>30</v>
      </c>
      <c r="E87" s="46">
        <v>10584.49</v>
      </c>
      <c r="F87" s="2">
        <f>IF(C87="GBP",E87*$C$3,IF(C87="TRY",E87/$C$1,IF(C87="EUR",E87*$E$1,IF(C87="RUB",E87/#REF!,IF(C87="EGP",E87/$E$2,E87)))))</f>
        <v>10584.49</v>
      </c>
      <c r="G87" s="15" t="str">
        <f>VLOOKUP(B87,SPECIFICATIONF!$C$2:$D$65,2,0)</f>
        <v>GLOBAL HFT</v>
      </c>
      <c r="H87" s="12">
        <f t="shared" si="12"/>
        <v>2</v>
      </c>
      <c r="I87" s="12">
        <f t="shared" si="13"/>
        <v>2025</v>
      </c>
    </row>
    <row r="88" spans="1:9" ht="19.5" customHeight="1" x14ac:dyDescent="0.35">
      <c r="A88" s="41">
        <v>45694</v>
      </c>
      <c r="B88" s="8" t="s">
        <v>32</v>
      </c>
      <c r="C88" s="42" t="s">
        <v>11</v>
      </c>
      <c r="D88" s="43" t="s">
        <v>30</v>
      </c>
      <c r="E88" s="46">
        <v>1367060.27</v>
      </c>
      <c r="F88" s="2">
        <f>IF(C88="GBP",E88*$C$3,IF(C88="TRY",E88/$C$1,IF(C88="EUR",E88*$E$1,IF(C88="RUB",E88/#REF!,IF(C88="EGP",E88/$E$2,E88)))))</f>
        <v>37487.701724029183</v>
      </c>
      <c r="G88" s="15" t="str">
        <f>VLOOKUP(B88,SPECIFICATIONF!$C$2:$D$65,2,0)</f>
        <v>GLOBAL HFT</v>
      </c>
      <c r="H88" s="12">
        <f t="shared" si="12"/>
        <v>2</v>
      </c>
      <c r="I88" s="12">
        <f t="shared" si="13"/>
        <v>2025</v>
      </c>
    </row>
    <row r="89" spans="1:9" ht="19.5" customHeight="1" x14ac:dyDescent="0.35">
      <c r="A89" s="41">
        <v>45694</v>
      </c>
      <c r="B89" s="8" t="s">
        <v>32</v>
      </c>
      <c r="C89" s="42" t="s">
        <v>33</v>
      </c>
      <c r="D89" s="43" t="s">
        <v>30</v>
      </c>
      <c r="E89" s="46">
        <v>7983.69</v>
      </c>
      <c r="F89" s="2">
        <f>IF(C89="GBP",E89*$C$3,IF(C89="TRY",E89/$C$1,IF(C89="EUR",E89*$E$1,IF(C89="RUB",E89/#REF!,IF(C89="EGP",E89/$E$2,E89)))))</f>
        <v>7983.69</v>
      </c>
      <c r="G89" s="15" t="str">
        <f>VLOOKUP(B89,SPECIFICATIONF!$C$2:$D$65,2,0)</f>
        <v>GLOBAL HFT</v>
      </c>
      <c r="H89" s="12">
        <f t="shared" si="12"/>
        <v>2</v>
      </c>
      <c r="I89" s="12">
        <f t="shared" si="13"/>
        <v>2025</v>
      </c>
    </row>
    <row r="90" spans="1:9" ht="19.5" customHeight="1" x14ac:dyDescent="0.35">
      <c r="A90" s="41">
        <v>45695</v>
      </c>
      <c r="B90" s="8" t="s">
        <v>32</v>
      </c>
      <c r="C90" s="42" t="s">
        <v>11</v>
      </c>
      <c r="D90" s="43" t="s">
        <v>30</v>
      </c>
      <c r="E90" s="46">
        <v>1489586.26</v>
      </c>
      <c r="F90" s="2">
        <f>IF(C90="GBP",E90*$C$3,IF(C90="TRY",E90/$C$1,IF(C90="EUR",E90*$E$1,IF(C90="RUB",E90/#REF!,IF(C90="EGP",E90/$E$2,E90)))))</f>
        <v>40847.625106603518</v>
      </c>
      <c r="G90" s="15" t="str">
        <f>VLOOKUP(B90,SPECIFICATIONF!$C$2:$D$65,2,0)</f>
        <v>GLOBAL HFT</v>
      </c>
      <c r="H90" s="12">
        <f t="shared" si="12"/>
        <v>2</v>
      </c>
      <c r="I90" s="12">
        <f t="shared" si="13"/>
        <v>2025</v>
      </c>
    </row>
    <row r="91" spans="1:9" ht="19.5" customHeight="1" x14ac:dyDescent="0.35">
      <c r="A91" s="41">
        <v>45695</v>
      </c>
      <c r="B91" s="8" t="s">
        <v>32</v>
      </c>
      <c r="C91" s="42" t="s">
        <v>33</v>
      </c>
      <c r="D91" s="43" t="s">
        <v>30</v>
      </c>
      <c r="E91" s="46">
        <v>7780.59</v>
      </c>
      <c r="F91" s="2">
        <f>IF(C91="GBP",E91*$C$3,IF(C91="TRY",E91/$C$1,IF(C91="EUR",E91*$E$1,IF(C91="RUB",E91/#REF!,IF(C91="EGP",E91/$E$2,E91)))))</f>
        <v>7780.59</v>
      </c>
      <c r="G91" s="15" t="str">
        <f>VLOOKUP(B91,SPECIFICATIONF!$C$2:$D$65,2,0)</f>
        <v>GLOBAL HFT</v>
      </c>
      <c r="H91" s="12">
        <f t="shared" si="12"/>
        <v>2</v>
      </c>
      <c r="I91" s="12">
        <f t="shared" si="13"/>
        <v>2025</v>
      </c>
    </row>
    <row r="92" spans="1:9" ht="19.5" customHeight="1" x14ac:dyDescent="0.35">
      <c r="A92" s="41">
        <v>45696</v>
      </c>
      <c r="B92" s="8" t="s">
        <v>32</v>
      </c>
      <c r="C92" s="42" t="s">
        <v>11</v>
      </c>
      <c r="D92" s="43" t="s">
        <v>30</v>
      </c>
      <c r="E92" s="46">
        <v>1161783.95</v>
      </c>
      <c r="F92" s="2">
        <f>IF(C92="GBP",E92*$C$3,IF(C92="TRY",E92/$C$1,IF(C92="EUR",E92*$E$1,IF(C92="RUB",E92/#REF!,IF(C92="EGP",E92/$E$2,E92)))))</f>
        <v>31858.588199161426</v>
      </c>
      <c r="G92" s="15" t="str">
        <f>VLOOKUP(B92,SPECIFICATIONF!$C$2:$D$65,2,0)</f>
        <v>GLOBAL HFT</v>
      </c>
      <c r="H92" s="12">
        <f t="shared" si="12"/>
        <v>2</v>
      </c>
      <c r="I92" s="12">
        <f t="shared" si="13"/>
        <v>2025</v>
      </c>
    </row>
    <row r="93" spans="1:9" ht="19.5" customHeight="1" x14ac:dyDescent="0.35">
      <c r="A93" s="41">
        <v>45696</v>
      </c>
      <c r="B93" s="8" t="s">
        <v>32</v>
      </c>
      <c r="C93" s="42" t="s">
        <v>33</v>
      </c>
      <c r="D93" s="43" t="s">
        <v>30</v>
      </c>
      <c r="E93" s="46">
        <v>5696.49</v>
      </c>
      <c r="F93" s="2">
        <f>IF(C93="GBP",E93*$C$3,IF(C93="TRY",E93/$C$1,IF(C93="EUR",E93*$E$1,IF(C93="RUB",E93/#REF!,IF(C93="EGP",E93/$E$2,E93)))))</f>
        <v>5696.49</v>
      </c>
      <c r="G93" s="15" t="str">
        <f>VLOOKUP(B93,SPECIFICATIONF!$C$2:$D$65,2,0)</f>
        <v>GLOBAL HFT</v>
      </c>
      <c r="H93" s="12">
        <f t="shared" si="12"/>
        <v>2</v>
      </c>
      <c r="I93" s="12">
        <f t="shared" si="13"/>
        <v>2025</v>
      </c>
    </row>
    <row r="94" spans="1:9" ht="19.5" customHeight="1" x14ac:dyDescent="0.35">
      <c r="A94" s="41">
        <v>45697</v>
      </c>
      <c r="B94" s="8" t="s">
        <v>32</v>
      </c>
      <c r="C94" s="42" t="s">
        <v>11</v>
      </c>
      <c r="D94" s="43" t="s">
        <v>30</v>
      </c>
      <c r="E94" s="46">
        <v>1643745.71</v>
      </c>
      <c r="F94" s="2">
        <f>IF(C94="GBP",E94*$C$3,IF(C94="TRY",E94/$C$1,IF(C94="EUR",E94*$E$1,IF(C94="RUB",E94/#REF!,IF(C94="EGP",E94/$E$2,E94)))))</f>
        <v>45075.005278759636</v>
      </c>
      <c r="G94" s="15" t="str">
        <f>VLOOKUP(B94,SPECIFICATIONF!$C$2:$D$65,2,0)</f>
        <v>GLOBAL HFT</v>
      </c>
      <c r="H94" s="12">
        <f t="shared" si="12"/>
        <v>2</v>
      </c>
      <c r="I94" s="12">
        <f t="shared" si="13"/>
        <v>2025</v>
      </c>
    </row>
    <row r="95" spans="1:9" ht="19.5" customHeight="1" x14ac:dyDescent="0.35">
      <c r="A95" s="41">
        <v>45697</v>
      </c>
      <c r="B95" s="8" t="s">
        <v>32</v>
      </c>
      <c r="C95" s="42" t="s">
        <v>33</v>
      </c>
      <c r="D95" s="43" t="s">
        <v>30</v>
      </c>
      <c r="E95" s="46">
        <v>6506.9</v>
      </c>
      <c r="F95" s="2">
        <f>IF(C95="GBP",E95*$C$3,IF(C95="TRY",E95/$C$1,IF(C95="EUR",E95*$E$1,IF(C95="RUB",E95/#REF!,IF(C95="EGP",E95/$E$2,E95)))))</f>
        <v>6506.9</v>
      </c>
      <c r="G95" s="15" t="str">
        <f>VLOOKUP(B95,SPECIFICATIONF!$C$2:$D$65,2,0)</f>
        <v>GLOBAL HFT</v>
      </c>
      <c r="H95" s="12">
        <f t="shared" si="12"/>
        <v>2</v>
      </c>
      <c r="I95" s="12">
        <f t="shared" si="13"/>
        <v>2025</v>
      </c>
    </row>
    <row r="96" spans="1:9" ht="19.5" customHeight="1" x14ac:dyDescent="0.35">
      <c r="A96" s="41">
        <v>45698</v>
      </c>
      <c r="B96" s="8" t="s">
        <v>32</v>
      </c>
      <c r="C96" s="42" t="s">
        <v>11</v>
      </c>
      <c r="D96" s="43" t="s">
        <v>30</v>
      </c>
      <c r="E96" s="46">
        <v>1635741.08</v>
      </c>
      <c r="F96" s="2">
        <f>IF(C96="GBP",E96*$C$3,IF(C96="TRY",E96/$C$1,IF(C96="EUR",E96*$E$1,IF(C96="RUB",E96/#REF!,IF(C96="EGP",E96/$E$2,E96)))))</f>
        <v>44855.501290211119</v>
      </c>
      <c r="G96" s="15" t="str">
        <f>VLOOKUP(B96,SPECIFICATIONF!$C$2:$D$65,2,0)</f>
        <v>GLOBAL HFT</v>
      </c>
      <c r="H96" s="12">
        <f t="shared" si="12"/>
        <v>2</v>
      </c>
      <c r="I96" s="12">
        <f t="shared" si="13"/>
        <v>2025</v>
      </c>
    </row>
    <row r="97" spans="1:9" ht="19.5" customHeight="1" x14ac:dyDescent="0.35">
      <c r="A97" s="41">
        <v>45698</v>
      </c>
      <c r="B97" s="8" t="s">
        <v>32</v>
      </c>
      <c r="C97" s="42" t="s">
        <v>33</v>
      </c>
      <c r="D97" s="43" t="s">
        <v>30</v>
      </c>
      <c r="E97" s="46">
        <v>8898.26</v>
      </c>
      <c r="F97" s="2">
        <f>IF(C97="GBP",E97*$C$3,IF(C97="TRY",E97/$C$1,IF(C97="EUR",E97*$E$1,IF(C97="RUB",E97/#REF!,IF(C97="EGP",E97/$E$2,E97)))))</f>
        <v>8898.26</v>
      </c>
      <c r="G97" s="15" t="str">
        <f>VLOOKUP(B97,SPECIFICATIONF!$C$2:$D$65,2,0)</f>
        <v>GLOBAL HFT</v>
      </c>
      <c r="H97" s="12">
        <f t="shared" si="12"/>
        <v>2</v>
      </c>
      <c r="I97" s="12">
        <f t="shared" si="13"/>
        <v>2025</v>
      </c>
    </row>
    <row r="98" spans="1:9" ht="19.5" customHeight="1" x14ac:dyDescent="0.35">
      <c r="A98" s="41">
        <v>45699</v>
      </c>
      <c r="B98" s="8" t="s">
        <v>32</v>
      </c>
      <c r="C98" s="42" t="s">
        <v>11</v>
      </c>
      <c r="D98" s="43" t="s">
        <v>30</v>
      </c>
      <c r="E98" s="46">
        <v>1569844.67</v>
      </c>
      <c r="F98" s="2">
        <f>IF(C98="GBP",E98*$C$3,IF(C98="TRY",E98/$C$1,IF(C98="EUR",E98*$E$1,IF(C98="RUB",E98/#REF!,IF(C98="EGP",E98/$E$2,E98)))))</f>
        <v>43048.481499661335</v>
      </c>
      <c r="G98" s="15" t="str">
        <f>VLOOKUP(B98,SPECIFICATIONF!$C$2:$D$65,2,0)</f>
        <v>GLOBAL HFT</v>
      </c>
      <c r="H98" s="12">
        <f t="shared" si="12"/>
        <v>2</v>
      </c>
      <c r="I98" s="12">
        <f t="shared" si="13"/>
        <v>2025</v>
      </c>
    </row>
    <row r="99" spans="1:9" ht="19.5" customHeight="1" x14ac:dyDescent="0.35">
      <c r="A99" s="41">
        <v>45699</v>
      </c>
      <c r="B99" s="8" t="s">
        <v>32</v>
      </c>
      <c r="C99" s="42" t="s">
        <v>33</v>
      </c>
      <c r="D99" s="43" t="s">
        <v>30</v>
      </c>
      <c r="E99" s="46">
        <v>9152.48</v>
      </c>
      <c r="F99" s="2">
        <f>IF(C99="GBP",E99*$C$3,IF(C99="TRY",E99/$C$1,IF(C99="EUR",E99*$E$1,IF(C99="RUB",E99/#REF!,IF(C99="EGP",E99/$E$2,E99)))))</f>
        <v>9152.48</v>
      </c>
      <c r="G99" s="15" t="str">
        <f>VLOOKUP(B99,SPECIFICATIONF!$C$2:$D$65,2,0)</f>
        <v>GLOBAL HFT</v>
      </c>
      <c r="H99" s="12">
        <f t="shared" si="12"/>
        <v>2</v>
      </c>
      <c r="I99" s="12">
        <f t="shared" si="13"/>
        <v>2025</v>
      </c>
    </row>
    <row r="100" spans="1:9" ht="19.5" customHeight="1" x14ac:dyDescent="0.35">
      <c r="A100" s="41">
        <v>45700</v>
      </c>
      <c r="B100" s="8" t="s">
        <v>32</v>
      </c>
      <c r="C100" s="42" t="s">
        <v>11</v>
      </c>
      <c r="D100" s="43" t="s">
        <v>30</v>
      </c>
      <c r="E100" s="46">
        <v>1861323.49</v>
      </c>
      <c r="F100" s="2">
        <f>IF(C100="GBP",E100*$C$3,IF(C100="TRY",E100/$C$1,IF(C100="EUR",E100*$E$1,IF(C100="RUB",E100/#REF!,IF(C100="EGP",E100/$E$2,E100)))))</f>
        <v>51041.451014481623</v>
      </c>
      <c r="G100" s="15" t="str">
        <f>VLOOKUP(B100,SPECIFICATIONF!$C$2:$D$65,2,0)</f>
        <v>GLOBAL HFT</v>
      </c>
      <c r="H100" s="12">
        <f t="shared" si="12"/>
        <v>2</v>
      </c>
      <c r="I100" s="12">
        <f t="shared" si="13"/>
        <v>2025</v>
      </c>
    </row>
    <row r="101" spans="1:9" ht="19.5" customHeight="1" x14ac:dyDescent="0.35">
      <c r="A101" s="41">
        <v>45700</v>
      </c>
      <c r="B101" s="8" t="s">
        <v>32</v>
      </c>
      <c r="C101" s="42" t="s">
        <v>33</v>
      </c>
      <c r="D101" s="43" t="s">
        <v>30</v>
      </c>
      <c r="E101" s="46">
        <v>10517.23</v>
      </c>
      <c r="F101" s="2">
        <f>IF(C101="GBP",E101*$C$3,IF(C101="TRY",E101/$C$1,IF(C101="EUR",E101*$E$1,IF(C101="RUB",E101/#REF!,IF(C101="EGP",E101/$E$2,E101)))))</f>
        <v>10517.23</v>
      </c>
      <c r="G101" s="15" t="str">
        <f>VLOOKUP(B101,SPECIFICATIONF!$C$2:$D$65,2,0)</f>
        <v>GLOBAL HFT</v>
      </c>
      <c r="H101" s="12">
        <f t="shared" si="12"/>
        <v>2</v>
      </c>
      <c r="I101" s="12">
        <f t="shared" si="13"/>
        <v>2025</v>
      </c>
    </row>
    <row r="102" spans="1:9" ht="19.5" customHeight="1" x14ac:dyDescent="0.35">
      <c r="A102" s="41">
        <v>45701</v>
      </c>
      <c r="B102" s="8" t="s">
        <v>32</v>
      </c>
      <c r="C102" s="42" t="s">
        <v>11</v>
      </c>
      <c r="D102" s="43" t="s">
        <v>30</v>
      </c>
      <c r="E102" s="46">
        <v>1616992.52</v>
      </c>
      <c r="F102" s="2">
        <f>IF(C102="GBP",E102*$C$3,IF(C102="TRY",E102/$C$1,IF(C102="EUR",E102*$E$1,IF(C102="RUB",E102/#REF!,IF(C102="EGP",E102/$E$2,E102)))))</f>
        <v>44341.375877850871</v>
      </c>
      <c r="G102" s="15" t="str">
        <f>VLOOKUP(B102,SPECIFICATIONF!$C$2:$D$65,2,0)</f>
        <v>GLOBAL HFT</v>
      </c>
      <c r="H102" s="12">
        <f t="shared" ref="H102:H165" si="14">MONTH(A102)</f>
        <v>2</v>
      </c>
      <c r="I102" s="12">
        <f t="shared" ref="I102:I165" si="15">YEAR(A102)</f>
        <v>2025</v>
      </c>
    </row>
    <row r="103" spans="1:9" ht="19.5" customHeight="1" x14ac:dyDescent="0.35">
      <c r="A103" s="41">
        <v>45701</v>
      </c>
      <c r="B103" s="8" t="s">
        <v>32</v>
      </c>
      <c r="C103" s="42" t="s">
        <v>33</v>
      </c>
      <c r="D103" s="43" t="s">
        <v>30</v>
      </c>
      <c r="E103" s="46">
        <v>8924.34</v>
      </c>
      <c r="F103" s="2">
        <f>IF(C103="GBP",E103*$C$3,IF(C103="TRY",E103/$C$1,IF(C103="EUR",E103*$E$1,IF(C103="RUB",E103/#REF!,IF(C103="EGP",E103/$E$2,E103)))))</f>
        <v>8924.34</v>
      </c>
      <c r="G103" s="15" t="str">
        <f>VLOOKUP(B103,SPECIFICATIONF!$C$2:$D$65,2,0)</f>
        <v>GLOBAL HFT</v>
      </c>
      <c r="H103" s="12">
        <f t="shared" si="14"/>
        <v>2</v>
      </c>
      <c r="I103" s="12">
        <f t="shared" si="15"/>
        <v>2025</v>
      </c>
    </row>
    <row r="104" spans="1:9" ht="19.5" customHeight="1" x14ac:dyDescent="0.35">
      <c r="A104" s="41">
        <v>45702</v>
      </c>
      <c r="B104" s="8" t="s">
        <v>32</v>
      </c>
      <c r="C104" s="42" t="s">
        <v>11</v>
      </c>
      <c r="D104" s="43" t="s">
        <v>30</v>
      </c>
      <c r="E104" s="46">
        <v>2700494.02</v>
      </c>
      <c r="F104" s="2">
        <f>IF(C104="GBP",E104*$C$3,IF(C104="TRY",E104/$C$1,IF(C104="EUR",E104*$E$1,IF(C104="RUB",E104/#REF!,IF(C104="EGP",E104/$E$2,E104)))))</f>
        <v>74053.292712021037</v>
      </c>
      <c r="G104" s="15" t="str">
        <f>VLOOKUP(B104,SPECIFICATIONF!$C$2:$D$65,2,0)</f>
        <v>GLOBAL HFT</v>
      </c>
      <c r="H104" s="12">
        <f t="shared" si="14"/>
        <v>2</v>
      </c>
      <c r="I104" s="12">
        <f t="shared" si="15"/>
        <v>2025</v>
      </c>
    </row>
    <row r="105" spans="1:9" ht="19.5" customHeight="1" x14ac:dyDescent="0.35">
      <c r="A105" s="41">
        <v>45702</v>
      </c>
      <c r="B105" s="8" t="s">
        <v>32</v>
      </c>
      <c r="C105" s="42" t="s">
        <v>33</v>
      </c>
      <c r="D105" s="43" t="s">
        <v>30</v>
      </c>
      <c r="E105" s="46">
        <v>14488.52</v>
      </c>
      <c r="F105" s="2">
        <f>IF(C105="GBP",E105*$C$3,IF(C105="TRY",E105/$C$1,IF(C105="EUR",E105*$E$1,IF(C105="RUB",E105/#REF!,IF(C105="EGP",E105/$E$2,E105)))))</f>
        <v>14488.52</v>
      </c>
      <c r="G105" s="15" t="str">
        <f>VLOOKUP(B105,SPECIFICATIONF!$C$2:$D$65,2,0)</f>
        <v>GLOBAL HFT</v>
      </c>
      <c r="H105" s="12">
        <f t="shared" si="14"/>
        <v>2</v>
      </c>
      <c r="I105" s="12">
        <f t="shared" si="15"/>
        <v>2025</v>
      </c>
    </row>
    <row r="106" spans="1:9" ht="19.5" customHeight="1" x14ac:dyDescent="0.35">
      <c r="A106" s="41">
        <v>45703</v>
      </c>
      <c r="B106" s="8" t="s">
        <v>32</v>
      </c>
      <c r="C106" s="42" t="s">
        <v>11</v>
      </c>
      <c r="D106" s="43" t="s">
        <v>30</v>
      </c>
      <c r="E106" s="46">
        <v>1972815.87</v>
      </c>
      <c r="F106" s="2">
        <f>IF(C106="GBP",E106*$C$3,IF(C106="TRY",E106/$C$1,IF(C106="EUR",E106*$E$1,IF(C106="RUB",E106/#REF!,IF(C106="EGP",E106/$E$2,E106)))))</f>
        <v>54098.809331201723</v>
      </c>
      <c r="G106" s="15" t="str">
        <f>VLOOKUP(B106,SPECIFICATIONF!$C$2:$D$65,2,0)</f>
        <v>GLOBAL HFT</v>
      </c>
      <c r="H106" s="12">
        <f t="shared" si="14"/>
        <v>2</v>
      </c>
      <c r="I106" s="12">
        <f t="shared" si="15"/>
        <v>2025</v>
      </c>
    </row>
    <row r="107" spans="1:9" ht="19.5" customHeight="1" x14ac:dyDescent="0.35">
      <c r="A107" s="41">
        <v>45703</v>
      </c>
      <c r="B107" s="8" t="s">
        <v>32</v>
      </c>
      <c r="C107" s="42" t="s">
        <v>33</v>
      </c>
      <c r="D107" s="43" t="s">
        <v>30</v>
      </c>
      <c r="E107" s="46">
        <v>10418.31</v>
      </c>
      <c r="F107" s="2">
        <f>IF(C107="GBP",E107*$C$3,IF(C107="TRY",E107/$C$1,IF(C107="EUR",E107*$E$1,IF(C107="RUB",E107/#REF!,IF(C107="EGP",E107/$E$2,E107)))))</f>
        <v>10418.31</v>
      </c>
      <c r="G107" s="15" t="str">
        <f>VLOOKUP(B107,SPECIFICATIONF!$C$2:$D$65,2,0)</f>
        <v>GLOBAL HFT</v>
      </c>
      <c r="H107" s="12">
        <f t="shared" si="14"/>
        <v>2</v>
      </c>
      <c r="I107" s="12">
        <f t="shared" si="15"/>
        <v>2025</v>
      </c>
    </row>
    <row r="108" spans="1:9" ht="19.5" customHeight="1" x14ac:dyDescent="0.35">
      <c r="A108" s="41">
        <v>45704</v>
      </c>
      <c r="B108" s="8" t="s">
        <v>32</v>
      </c>
      <c r="C108" s="42" t="s">
        <v>11</v>
      </c>
      <c r="D108" s="43" t="s">
        <v>30</v>
      </c>
      <c r="E108" s="46">
        <v>1748051.93</v>
      </c>
      <c r="F108" s="2">
        <f>IF(C108="GBP",E108*$C$3,IF(C108="TRY",E108/$C$1,IF(C108="EUR",E108*$E$1,IF(C108="RUB",E108/#REF!,IF(C108="EGP",E108/$E$2,E108)))))</f>
        <v>47935.303796045177</v>
      </c>
      <c r="G108" s="15" t="str">
        <f>VLOOKUP(B108,SPECIFICATIONF!$C$2:$D$65,2,0)</f>
        <v>GLOBAL HFT</v>
      </c>
      <c r="H108" s="12">
        <f t="shared" si="14"/>
        <v>2</v>
      </c>
      <c r="I108" s="12">
        <f t="shared" si="15"/>
        <v>2025</v>
      </c>
    </row>
    <row r="109" spans="1:9" ht="19.5" customHeight="1" x14ac:dyDescent="0.35">
      <c r="A109" s="41">
        <v>45704</v>
      </c>
      <c r="B109" s="8" t="s">
        <v>32</v>
      </c>
      <c r="C109" s="42" t="s">
        <v>33</v>
      </c>
      <c r="D109" s="43" t="s">
        <v>30</v>
      </c>
      <c r="E109" s="46">
        <v>7304.12</v>
      </c>
      <c r="F109" s="2">
        <f>IF(C109="GBP",E109*$C$3,IF(C109="TRY",E109/$C$1,IF(C109="EUR",E109*$E$1,IF(C109="RUB",E109/#REF!,IF(C109="EGP",E109/$E$2,E109)))))</f>
        <v>7304.12</v>
      </c>
      <c r="G109" s="15" t="str">
        <f>VLOOKUP(B109,SPECIFICATIONF!$C$2:$D$65,2,0)</f>
        <v>GLOBAL HFT</v>
      </c>
      <c r="H109" s="12">
        <f t="shared" si="14"/>
        <v>2</v>
      </c>
      <c r="I109" s="12">
        <f t="shared" si="15"/>
        <v>2025</v>
      </c>
    </row>
    <row r="110" spans="1:9" ht="19.5" customHeight="1" x14ac:dyDescent="0.35">
      <c r="A110" s="41">
        <v>45705</v>
      </c>
      <c r="B110" s="8" t="s">
        <v>32</v>
      </c>
      <c r="C110" s="42" t="s">
        <v>11</v>
      </c>
      <c r="D110" s="43" t="s">
        <v>30</v>
      </c>
      <c r="E110" s="46">
        <v>1749854.13</v>
      </c>
      <c r="F110" s="2">
        <f>IF(C110="GBP",E110*$C$3,IF(C110="TRY",E110/$C$1,IF(C110="EUR",E110*$E$1,IF(C110="RUB",E110/#REF!,IF(C110="EGP",E110/$E$2,E110)))))</f>
        <v>47984.723955148358</v>
      </c>
      <c r="G110" s="15" t="str">
        <f>VLOOKUP(B110,SPECIFICATIONF!$C$2:$D$65,2,0)</f>
        <v>GLOBAL HFT</v>
      </c>
      <c r="H110" s="12">
        <f t="shared" si="14"/>
        <v>2</v>
      </c>
      <c r="I110" s="12">
        <f t="shared" si="15"/>
        <v>2025</v>
      </c>
    </row>
    <row r="111" spans="1:9" ht="19.5" customHeight="1" x14ac:dyDescent="0.35">
      <c r="A111" s="41">
        <v>45705</v>
      </c>
      <c r="B111" s="8" t="s">
        <v>32</v>
      </c>
      <c r="C111" s="42" t="s">
        <v>33</v>
      </c>
      <c r="D111" s="43" t="s">
        <v>30</v>
      </c>
      <c r="E111" s="46">
        <v>10096.65</v>
      </c>
      <c r="F111" s="2">
        <f>IF(C111="GBP",E111*$C$3,IF(C111="TRY",E111/$C$1,IF(C111="EUR",E111*$E$1,IF(C111="RUB",E111/#REF!,IF(C111="EGP",E111/$E$2,E111)))))</f>
        <v>10096.65</v>
      </c>
      <c r="G111" s="15" t="str">
        <f>VLOOKUP(B111,SPECIFICATIONF!$C$2:$D$65,2,0)</f>
        <v>GLOBAL HFT</v>
      </c>
      <c r="H111" s="12">
        <f t="shared" si="14"/>
        <v>2</v>
      </c>
      <c r="I111" s="12">
        <f t="shared" si="15"/>
        <v>2025</v>
      </c>
    </row>
    <row r="112" spans="1:9" ht="19.5" customHeight="1" x14ac:dyDescent="0.35">
      <c r="A112" s="41">
        <v>45706</v>
      </c>
      <c r="B112" s="8" t="s">
        <v>32</v>
      </c>
      <c r="C112" s="42" t="s">
        <v>11</v>
      </c>
      <c r="D112" s="43" t="s">
        <v>30</v>
      </c>
      <c r="E112" s="46">
        <v>1300955.24</v>
      </c>
      <c r="F112" s="2">
        <f>IF(C112="GBP",E112*$C$3,IF(C112="TRY",E112/$C$1,IF(C112="EUR",E112*$E$1,IF(C112="RUB",E112/#REF!,IF(C112="EGP",E112/$E$2,E112)))))</f>
        <v>35674.961129133539</v>
      </c>
      <c r="G112" s="15" t="str">
        <f>VLOOKUP(B112,SPECIFICATIONF!$C$2:$D$65,2,0)</f>
        <v>GLOBAL HFT</v>
      </c>
      <c r="H112" s="12">
        <f t="shared" si="14"/>
        <v>2</v>
      </c>
      <c r="I112" s="12">
        <f t="shared" si="15"/>
        <v>2025</v>
      </c>
    </row>
    <row r="113" spans="1:9" ht="19.5" customHeight="1" x14ac:dyDescent="0.35">
      <c r="A113" s="41">
        <v>45706</v>
      </c>
      <c r="B113" s="8" t="s">
        <v>32</v>
      </c>
      <c r="C113" s="42" t="s">
        <v>33</v>
      </c>
      <c r="D113" s="43" t="s">
        <v>30</v>
      </c>
      <c r="E113" s="46">
        <v>6964.22</v>
      </c>
      <c r="F113" s="2">
        <f>IF(C113="GBP",E113*$C$3,IF(C113="TRY",E113/$C$1,IF(C113="EUR",E113*$E$1,IF(C113="RUB",E113/#REF!,IF(C113="EGP",E113/$E$2,E113)))))</f>
        <v>6964.22</v>
      </c>
      <c r="G113" s="15" t="str">
        <f>VLOOKUP(B113,SPECIFICATIONF!$C$2:$D$65,2,0)</f>
        <v>GLOBAL HFT</v>
      </c>
      <c r="H113" s="12">
        <f t="shared" si="14"/>
        <v>2</v>
      </c>
      <c r="I113" s="12">
        <f t="shared" si="15"/>
        <v>2025</v>
      </c>
    </row>
    <row r="114" spans="1:9" ht="19.5" customHeight="1" x14ac:dyDescent="0.35">
      <c r="A114" s="41">
        <v>45707</v>
      </c>
      <c r="B114" s="8" t="s">
        <v>32</v>
      </c>
      <c r="C114" s="42" t="s">
        <v>11</v>
      </c>
      <c r="D114" s="43" t="s">
        <v>30</v>
      </c>
      <c r="E114" s="46">
        <v>994296.26</v>
      </c>
      <c r="F114" s="2">
        <f>IF(C114="GBP",E114*$C$3,IF(C114="TRY",E114/$C$1,IF(C114="EUR",E114*$E$1,IF(C114="RUB",E114/#REF!,IF(C114="EGP",E114/$E$2,E114)))))</f>
        <v>27265.719323550944</v>
      </c>
      <c r="G114" s="15" t="str">
        <f>VLOOKUP(B114,SPECIFICATIONF!$C$2:$D$65,2,0)</f>
        <v>GLOBAL HFT</v>
      </c>
      <c r="H114" s="12">
        <f t="shared" si="14"/>
        <v>2</v>
      </c>
      <c r="I114" s="12">
        <f t="shared" si="15"/>
        <v>2025</v>
      </c>
    </row>
    <row r="115" spans="1:9" ht="19.5" customHeight="1" x14ac:dyDescent="0.35">
      <c r="A115" s="41">
        <v>45707</v>
      </c>
      <c r="B115" s="8" t="s">
        <v>32</v>
      </c>
      <c r="C115" s="42" t="s">
        <v>33</v>
      </c>
      <c r="D115" s="43" t="s">
        <v>30</v>
      </c>
      <c r="E115" s="46">
        <v>5452.7</v>
      </c>
      <c r="F115" s="2">
        <f>IF(C115="GBP",E115*$C$3,IF(C115="TRY",E115/$C$1,IF(C115="EUR",E115*$E$1,IF(C115="RUB",E115/#REF!,IF(C115="EGP",E115/$E$2,E115)))))</f>
        <v>5452.7</v>
      </c>
      <c r="G115" s="15" t="str">
        <f>VLOOKUP(B115,SPECIFICATIONF!$C$2:$D$65,2,0)</f>
        <v>GLOBAL HFT</v>
      </c>
      <c r="H115" s="12">
        <f t="shared" si="14"/>
        <v>2</v>
      </c>
      <c r="I115" s="12">
        <f t="shared" si="15"/>
        <v>2025</v>
      </c>
    </row>
    <row r="116" spans="1:9" ht="19.5" customHeight="1" x14ac:dyDescent="0.35">
      <c r="A116" s="41">
        <v>45708</v>
      </c>
      <c r="B116" s="8" t="s">
        <v>32</v>
      </c>
      <c r="C116" s="42" t="s">
        <v>11</v>
      </c>
      <c r="D116" s="43" t="s">
        <v>30</v>
      </c>
      <c r="E116" s="46">
        <v>1095057.8799999999</v>
      </c>
      <c r="F116" s="2">
        <f>IF(C116="GBP",E116*$C$3,IF(C116="TRY",E116/$C$1,IF(C116="EUR",E116*$E$1,IF(C116="RUB",E116/#REF!,IF(C116="EGP",E116/$E$2,E116)))))</f>
        <v>30028.817365885221</v>
      </c>
      <c r="G116" s="15" t="str">
        <f>VLOOKUP(B116,SPECIFICATIONF!$C$2:$D$65,2,0)</f>
        <v>GLOBAL HFT</v>
      </c>
      <c r="H116" s="12">
        <f t="shared" si="14"/>
        <v>2</v>
      </c>
      <c r="I116" s="12">
        <f t="shared" si="15"/>
        <v>2025</v>
      </c>
    </row>
    <row r="117" spans="1:9" ht="19.5" customHeight="1" x14ac:dyDescent="0.35">
      <c r="A117" s="41">
        <v>45708</v>
      </c>
      <c r="B117" s="8" t="s">
        <v>32</v>
      </c>
      <c r="C117" s="42" t="s">
        <v>33</v>
      </c>
      <c r="D117" s="43" t="s">
        <v>30</v>
      </c>
      <c r="E117" s="46">
        <v>5837.11</v>
      </c>
      <c r="F117" s="2">
        <f>IF(C117="GBP",E117*$C$3,IF(C117="TRY",E117/$C$1,IF(C117="EUR",E117*$E$1,IF(C117="RUB",E117/#REF!,IF(C117="EGP",E117/$E$2,E117)))))</f>
        <v>5837.11</v>
      </c>
      <c r="G117" s="15" t="str">
        <f>VLOOKUP(B117,SPECIFICATIONF!$C$2:$D$65,2,0)</f>
        <v>GLOBAL HFT</v>
      </c>
      <c r="H117" s="12">
        <f t="shared" si="14"/>
        <v>2</v>
      </c>
      <c r="I117" s="12">
        <f t="shared" si="15"/>
        <v>2025</v>
      </c>
    </row>
    <row r="118" spans="1:9" ht="19.5" customHeight="1" x14ac:dyDescent="0.35">
      <c r="A118" s="41">
        <v>45709</v>
      </c>
      <c r="B118" s="8" t="s">
        <v>32</v>
      </c>
      <c r="C118" s="42" t="s">
        <v>11</v>
      </c>
      <c r="D118" s="43" t="s">
        <v>30</v>
      </c>
      <c r="E118" s="46">
        <v>1667769.72</v>
      </c>
      <c r="F118" s="2">
        <f>IF(C118="GBP",E118*$C$3,IF(C118="TRY",E118/$C$1,IF(C118="EUR",E118*$E$1,IF(C118="RUB",E118/#REF!,IF(C118="EGP",E118/$E$2,E118)))))</f>
        <v>45733.794756340678</v>
      </c>
      <c r="G118" s="15" t="str">
        <f>VLOOKUP(B118,SPECIFICATIONF!$C$2:$D$65,2,0)</f>
        <v>GLOBAL HFT</v>
      </c>
      <c r="H118" s="12">
        <f t="shared" si="14"/>
        <v>2</v>
      </c>
      <c r="I118" s="12">
        <f t="shared" si="15"/>
        <v>2025</v>
      </c>
    </row>
    <row r="119" spans="1:9" ht="19.5" customHeight="1" x14ac:dyDescent="0.35">
      <c r="A119" s="41">
        <v>45709</v>
      </c>
      <c r="B119" s="8" t="s">
        <v>32</v>
      </c>
      <c r="C119" s="42" t="s">
        <v>33</v>
      </c>
      <c r="D119" s="43" t="s">
        <v>30</v>
      </c>
      <c r="E119" s="46">
        <v>11196.66</v>
      </c>
      <c r="F119" s="2">
        <f>IF(C119="GBP",E119*$C$3,IF(C119="TRY",E119/$C$1,IF(C119="EUR",E119*$E$1,IF(C119="RUB",E119/#REF!,IF(C119="EGP",E119/$E$2,E119)))))</f>
        <v>11196.66</v>
      </c>
      <c r="G119" s="15" t="str">
        <f>VLOOKUP(B119,SPECIFICATIONF!$C$2:$D$65,2,0)</f>
        <v>GLOBAL HFT</v>
      </c>
      <c r="H119" s="12">
        <f t="shared" si="14"/>
        <v>2</v>
      </c>
      <c r="I119" s="12">
        <f t="shared" si="15"/>
        <v>2025</v>
      </c>
    </row>
    <row r="120" spans="1:9" ht="19.5" customHeight="1" x14ac:dyDescent="0.35">
      <c r="A120" s="41">
        <v>45710</v>
      </c>
      <c r="B120" s="8" t="s">
        <v>32</v>
      </c>
      <c r="C120" s="42" t="s">
        <v>11</v>
      </c>
      <c r="D120" s="43" t="s">
        <v>30</v>
      </c>
      <c r="E120" s="46">
        <v>1385735.49</v>
      </c>
      <c r="F120" s="2">
        <f>IF(C120="GBP",E120*$C$3,IF(C120="TRY",E120/$C$1,IF(C120="EUR",E120*$E$1,IF(C120="RUB",E120/#REF!,IF(C120="EGP",E120/$E$2,E120)))))</f>
        <v>37999.815997521036</v>
      </c>
      <c r="G120" s="15" t="str">
        <f>VLOOKUP(B120,SPECIFICATIONF!$C$2:$D$65,2,0)</f>
        <v>GLOBAL HFT</v>
      </c>
      <c r="H120" s="12">
        <f t="shared" si="14"/>
        <v>2</v>
      </c>
      <c r="I120" s="12">
        <f t="shared" si="15"/>
        <v>2025</v>
      </c>
    </row>
    <row r="121" spans="1:9" ht="19.5" customHeight="1" x14ac:dyDescent="0.35">
      <c r="A121" s="41">
        <v>45710</v>
      </c>
      <c r="B121" s="8" t="s">
        <v>32</v>
      </c>
      <c r="C121" s="42" t="s">
        <v>33</v>
      </c>
      <c r="D121" s="43" t="s">
        <v>30</v>
      </c>
      <c r="E121" s="46">
        <v>7055.33</v>
      </c>
      <c r="F121" s="2">
        <f>IF(C121="GBP",E121*$C$3,IF(C121="TRY",E121/$C$1,IF(C121="EUR",E121*$E$1,IF(C121="RUB",E121/#REF!,IF(C121="EGP",E121/$E$2,E121)))))</f>
        <v>7055.33</v>
      </c>
      <c r="G121" s="15" t="str">
        <f>VLOOKUP(B121,SPECIFICATIONF!$C$2:$D$65,2,0)</f>
        <v>GLOBAL HFT</v>
      </c>
      <c r="H121" s="12">
        <f t="shared" si="14"/>
        <v>2</v>
      </c>
      <c r="I121" s="12">
        <f t="shared" si="15"/>
        <v>2025</v>
      </c>
    </row>
    <row r="122" spans="1:9" ht="19.5" customHeight="1" x14ac:dyDescent="0.35">
      <c r="A122" s="41">
        <v>45711</v>
      </c>
      <c r="B122" s="8" t="s">
        <v>32</v>
      </c>
      <c r="C122" s="42" t="s">
        <v>11</v>
      </c>
      <c r="D122" s="43" t="s">
        <v>30</v>
      </c>
      <c r="E122" s="46">
        <v>1908936.71</v>
      </c>
      <c r="F122" s="2">
        <f>IF(C122="GBP",E122*$C$3,IF(C122="TRY",E122/$C$1,IF(C122="EUR",E122*$E$1,IF(C122="RUB",E122/#REF!,IF(C122="EGP",E122/$E$2,E122)))))</f>
        <v>52347.106828384094</v>
      </c>
      <c r="G122" s="15" t="str">
        <f>VLOOKUP(B122,SPECIFICATIONF!$C$2:$D$65,2,0)</f>
        <v>GLOBAL HFT</v>
      </c>
      <c r="H122" s="12">
        <f t="shared" si="14"/>
        <v>2</v>
      </c>
      <c r="I122" s="12">
        <f t="shared" si="15"/>
        <v>2025</v>
      </c>
    </row>
    <row r="123" spans="1:9" ht="19.5" customHeight="1" x14ac:dyDescent="0.35">
      <c r="A123" s="41">
        <v>45711</v>
      </c>
      <c r="B123" s="8" t="s">
        <v>32</v>
      </c>
      <c r="C123" s="42" t="s">
        <v>33</v>
      </c>
      <c r="D123" s="43" t="s">
        <v>30</v>
      </c>
      <c r="E123" s="46">
        <v>9290.18</v>
      </c>
      <c r="F123" s="2">
        <f>IF(C123="GBP",E123*$C$3,IF(C123="TRY",E123/$C$1,IF(C123="EUR",E123*$E$1,IF(C123="RUB",E123/#REF!,IF(C123="EGP",E123/$E$2,E123)))))</f>
        <v>9290.18</v>
      </c>
      <c r="G123" s="15" t="str">
        <f>VLOOKUP(B123,SPECIFICATIONF!$C$2:$D$65,2,0)</f>
        <v>GLOBAL HFT</v>
      </c>
      <c r="H123" s="12">
        <f t="shared" si="14"/>
        <v>2</v>
      </c>
      <c r="I123" s="12">
        <f t="shared" si="15"/>
        <v>2025</v>
      </c>
    </row>
    <row r="124" spans="1:9" ht="19.5" customHeight="1" x14ac:dyDescent="0.35">
      <c r="A124" s="41">
        <v>45712</v>
      </c>
      <c r="B124" s="8" t="s">
        <v>32</v>
      </c>
      <c r="C124" s="42" t="s">
        <v>11</v>
      </c>
      <c r="D124" s="43" t="s">
        <v>30</v>
      </c>
      <c r="E124" s="46">
        <v>1306115.79</v>
      </c>
      <c r="F124" s="2">
        <f>IF(C124="GBP",E124*$C$3,IF(C124="TRY",E124/$C$1,IF(C124="EUR",E124*$E$1,IF(C124="RUB",E124/#REF!,IF(C124="EGP",E124/$E$2,E124)))))</f>
        <v>35816.474391845753</v>
      </c>
      <c r="G124" s="15" t="str">
        <f>VLOOKUP(B124,SPECIFICATIONF!$C$2:$D$65,2,0)</f>
        <v>GLOBAL HFT</v>
      </c>
      <c r="H124" s="12">
        <f t="shared" si="14"/>
        <v>2</v>
      </c>
      <c r="I124" s="12">
        <f t="shared" si="15"/>
        <v>2025</v>
      </c>
    </row>
    <row r="125" spans="1:9" ht="19.5" customHeight="1" x14ac:dyDescent="0.35">
      <c r="A125" s="41">
        <v>45712</v>
      </c>
      <c r="B125" s="8" t="s">
        <v>32</v>
      </c>
      <c r="C125" s="42" t="s">
        <v>33</v>
      </c>
      <c r="D125" s="43" t="s">
        <v>30</v>
      </c>
      <c r="E125" s="46">
        <v>7687.33</v>
      </c>
      <c r="F125" s="2">
        <f>IF(C125="GBP",E125*$C$3,IF(C125="TRY",E125/$C$1,IF(C125="EUR",E125*$E$1,IF(C125="RUB",E125/#REF!,IF(C125="EGP",E125/$E$2,E125)))))</f>
        <v>7687.33</v>
      </c>
      <c r="G125" s="15" t="str">
        <f>VLOOKUP(B125,SPECIFICATIONF!$C$2:$D$65,2,0)</f>
        <v>GLOBAL HFT</v>
      </c>
      <c r="H125" s="12">
        <f t="shared" si="14"/>
        <v>2</v>
      </c>
      <c r="I125" s="12">
        <f t="shared" si="15"/>
        <v>2025</v>
      </c>
    </row>
    <row r="126" spans="1:9" ht="19.5" customHeight="1" x14ac:dyDescent="0.35">
      <c r="A126" s="41">
        <v>45713</v>
      </c>
      <c r="B126" s="8" t="s">
        <v>32</v>
      </c>
      <c r="C126" s="42" t="s">
        <v>11</v>
      </c>
      <c r="D126" s="43" t="s">
        <v>30</v>
      </c>
      <c r="E126" s="46">
        <v>2312985.44</v>
      </c>
      <c r="F126" s="2">
        <f>IF(C126="GBP",E126*$C$3,IF(C126="TRY",E126/$C$1,IF(C126="EUR",E126*$E$1,IF(C126="RUB",E126/#REF!,IF(C126="EGP",E126/$E$2,E126)))))</f>
        <v>63426.98282552122</v>
      </c>
      <c r="G126" s="15" t="str">
        <f>VLOOKUP(B126,SPECIFICATIONF!$C$2:$D$65,2,0)</f>
        <v>GLOBAL HFT</v>
      </c>
      <c r="H126" s="12">
        <f t="shared" si="14"/>
        <v>2</v>
      </c>
      <c r="I126" s="12">
        <f t="shared" si="15"/>
        <v>2025</v>
      </c>
    </row>
    <row r="127" spans="1:9" ht="19.5" customHeight="1" x14ac:dyDescent="0.35">
      <c r="A127" s="41">
        <v>45713</v>
      </c>
      <c r="B127" s="8" t="s">
        <v>32</v>
      </c>
      <c r="C127" s="42" t="s">
        <v>33</v>
      </c>
      <c r="D127" s="43" t="s">
        <v>30</v>
      </c>
      <c r="E127" s="46">
        <v>16219.55</v>
      </c>
      <c r="F127" s="2">
        <f>IF(C127="GBP",E127*$C$3,IF(C127="TRY",E127/$C$1,IF(C127="EUR",E127*$E$1,IF(C127="RUB",E127/#REF!,IF(C127="EGP",E127/$E$2,E127)))))</f>
        <v>16219.55</v>
      </c>
      <c r="G127" s="15" t="str">
        <f>VLOOKUP(B127,SPECIFICATIONF!$C$2:$D$65,2,0)</f>
        <v>GLOBAL HFT</v>
      </c>
      <c r="H127" s="12">
        <f t="shared" si="14"/>
        <v>2</v>
      </c>
      <c r="I127" s="12">
        <f t="shared" si="15"/>
        <v>2025</v>
      </c>
    </row>
    <row r="128" spans="1:9" ht="19.5" customHeight="1" x14ac:dyDescent="0.35">
      <c r="A128" s="41">
        <v>45714</v>
      </c>
      <c r="B128" s="8" t="s">
        <v>32</v>
      </c>
      <c r="C128" s="42" t="s">
        <v>11</v>
      </c>
      <c r="D128" s="43" t="s">
        <v>30</v>
      </c>
      <c r="E128" s="46">
        <v>1783082.84</v>
      </c>
      <c r="F128" s="2">
        <f>IF(C128="GBP",E128*$C$3,IF(C128="TRY",E128/$C$1,IF(C128="EUR",E128*$E$1,IF(C128="RUB",E128/#REF!,IF(C128="EGP",E128/$E$2,E128)))))</f>
        <v>48895.925894441258</v>
      </c>
      <c r="G128" s="15" t="str">
        <f>VLOOKUP(B128,SPECIFICATIONF!$C$2:$D$65,2,0)</f>
        <v>GLOBAL HFT</v>
      </c>
      <c r="H128" s="12">
        <f t="shared" si="14"/>
        <v>2</v>
      </c>
      <c r="I128" s="12">
        <f t="shared" si="15"/>
        <v>2025</v>
      </c>
    </row>
    <row r="129" spans="1:9" ht="19.5" customHeight="1" x14ac:dyDescent="0.35">
      <c r="A129" s="41">
        <v>45714</v>
      </c>
      <c r="B129" s="8" t="s">
        <v>32</v>
      </c>
      <c r="C129" s="42" t="s">
        <v>33</v>
      </c>
      <c r="D129" s="43" t="s">
        <v>30</v>
      </c>
      <c r="E129" s="46">
        <v>10783.08</v>
      </c>
      <c r="F129" s="2">
        <f>IF(C129="GBP",E129*$C$3,IF(C129="TRY",E129/$C$1,IF(C129="EUR",E129*$E$1,IF(C129="RUB",E129/#REF!,IF(C129="EGP",E129/$E$2,E129)))))</f>
        <v>10783.08</v>
      </c>
      <c r="G129" s="15" t="str">
        <f>VLOOKUP(B129,SPECIFICATIONF!$C$2:$D$65,2,0)</f>
        <v>GLOBAL HFT</v>
      </c>
      <c r="H129" s="12">
        <f t="shared" si="14"/>
        <v>2</v>
      </c>
      <c r="I129" s="12">
        <f t="shared" si="15"/>
        <v>2025</v>
      </c>
    </row>
    <row r="130" spans="1:9" ht="19.5" customHeight="1" x14ac:dyDescent="0.35">
      <c r="A130" s="41">
        <v>45715</v>
      </c>
      <c r="B130" s="8" t="s">
        <v>32</v>
      </c>
      <c r="C130" s="42" t="s">
        <v>11</v>
      </c>
      <c r="D130" s="43" t="s">
        <v>30</v>
      </c>
      <c r="E130" s="46">
        <v>1354057.17</v>
      </c>
      <c r="F130" s="2">
        <f>IF(C130="GBP",E130*$C$3,IF(C130="TRY",E130/$C$1,IF(C130="EUR",E130*$E$1,IF(C130="RUB",E130/#REF!,IF(C130="EGP",E130/$E$2,E130)))))</f>
        <v>37131.129051276635</v>
      </c>
      <c r="G130" s="15" t="str">
        <f>VLOOKUP(B130,SPECIFICATIONF!$C$2:$D$65,2,0)</f>
        <v>GLOBAL HFT</v>
      </c>
      <c r="H130" s="12">
        <f t="shared" si="14"/>
        <v>2</v>
      </c>
      <c r="I130" s="12">
        <f t="shared" si="15"/>
        <v>2025</v>
      </c>
    </row>
    <row r="131" spans="1:9" ht="19.5" customHeight="1" x14ac:dyDescent="0.35">
      <c r="A131" s="41">
        <v>45715</v>
      </c>
      <c r="B131" s="8" t="s">
        <v>32</v>
      </c>
      <c r="C131" s="42" t="s">
        <v>33</v>
      </c>
      <c r="D131" s="43" t="s">
        <v>30</v>
      </c>
      <c r="E131" s="46">
        <v>9129.1299999999992</v>
      </c>
      <c r="F131" s="2">
        <f>IF(C131="GBP",E131*$C$3,IF(C131="TRY",E131/$C$1,IF(C131="EUR",E131*$E$1,IF(C131="RUB",E131/#REF!,IF(C131="EGP",E131/$E$2,E131)))))</f>
        <v>9129.1299999999992</v>
      </c>
      <c r="G131" s="15" t="str">
        <f>VLOOKUP(B131,SPECIFICATIONF!$C$2:$D$65,2,0)</f>
        <v>GLOBAL HFT</v>
      </c>
      <c r="H131" s="12">
        <f t="shared" si="14"/>
        <v>2</v>
      </c>
      <c r="I131" s="12">
        <f t="shared" si="15"/>
        <v>2025</v>
      </c>
    </row>
    <row r="132" spans="1:9" ht="19.5" customHeight="1" x14ac:dyDescent="0.35">
      <c r="A132" s="41">
        <v>45715</v>
      </c>
      <c r="B132" s="8" t="s">
        <v>24</v>
      </c>
      <c r="C132" s="42" t="s">
        <v>11</v>
      </c>
      <c r="D132" s="43" t="s">
        <v>30</v>
      </c>
      <c r="E132" s="46">
        <v>13.45</v>
      </c>
      <c r="F132" s="3">
        <f>IF(C132="GBP",E132*$C$3,IF(C132="TRY",E132/$C$1,IF(C132="EUR",E132*$E$1,IF(C132="RUB",E132/#REF!,IF(C132="EGP",E132/$E$2,E132)))))</f>
        <v>0.36882762176110384</v>
      </c>
      <c r="G132" s="15" t="str">
        <f>VLOOKUP(B132,SPECIFICATIONF!$C$2:$D$65,2,0)</f>
        <v>GLOBAL RETAIL</v>
      </c>
      <c r="H132" s="12">
        <f t="shared" si="14"/>
        <v>2</v>
      </c>
      <c r="I132" s="12">
        <f t="shared" si="15"/>
        <v>2025</v>
      </c>
    </row>
    <row r="133" spans="1:9" ht="19.5" customHeight="1" x14ac:dyDescent="0.35">
      <c r="A133" s="41">
        <v>45715</v>
      </c>
      <c r="B133" s="8" t="s">
        <v>24</v>
      </c>
      <c r="C133" s="42" t="s">
        <v>33</v>
      </c>
      <c r="D133" s="43" t="s">
        <v>30</v>
      </c>
      <c r="E133" s="46">
        <v>249.89</v>
      </c>
      <c r="F133" s="3">
        <f>IF(C133="GBP",E133*$C$3,IF(C133="TRY",E133/$C$1,IF(C133="EUR",E133*$E$1,IF(C133="RUB",E133/#REF!,IF(C133="EGP",E133/$E$2,E133)))))</f>
        <v>249.89</v>
      </c>
      <c r="G133" s="15" t="str">
        <f>VLOOKUP(B133,SPECIFICATIONF!$C$2:$D$65,2,0)</f>
        <v>GLOBAL RETAIL</v>
      </c>
      <c r="H133" s="12">
        <f t="shared" si="14"/>
        <v>2</v>
      </c>
      <c r="I133" s="12">
        <f t="shared" si="15"/>
        <v>2025</v>
      </c>
    </row>
    <row r="134" spans="1:9" ht="19.5" customHeight="1" x14ac:dyDescent="0.35">
      <c r="A134" s="41">
        <v>45716</v>
      </c>
      <c r="B134" s="8" t="s">
        <v>32</v>
      </c>
      <c r="C134" s="42" t="s">
        <v>11</v>
      </c>
      <c r="D134" s="43" t="s">
        <v>30</v>
      </c>
      <c r="E134" s="46">
        <v>2447726.58</v>
      </c>
      <c r="F134" s="2">
        <f>IF(C134="GBP",E134*$C$3,IF(C134="TRY",E134/$C$1,IF(C134="EUR",E134*$E$1,IF(C134="RUB",E134/#REF!,IF(C134="EGP",E134/$E$2,E134)))))</f>
        <v>67121.871615081065</v>
      </c>
      <c r="G134" s="15" t="str">
        <f>VLOOKUP(B134,SPECIFICATIONF!$C$2:$D$65,2,0)</f>
        <v>GLOBAL HFT</v>
      </c>
      <c r="H134" s="12">
        <f t="shared" si="14"/>
        <v>2</v>
      </c>
      <c r="I134" s="12">
        <f t="shared" si="15"/>
        <v>2025</v>
      </c>
    </row>
    <row r="135" spans="1:9" ht="19.5" customHeight="1" x14ac:dyDescent="0.35">
      <c r="A135" s="41">
        <v>45716</v>
      </c>
      <c r="B135" s="8" t="s">
        <v>32</v>
      </c>
      <c r="C135" s="42" t="s">
        <v>33</v>
      </c>
      <c r="D135" s="43" t="s">
        <v>30</v>
      </c>
      <c r="E135" s="46">
        <v>14684.44</v>
      </c>
      <c r="F135" s="2">
        <f>IF(C135="GBP",E135*$C$3,IF(C135="TRY",E135/$C$1,IF(C135="EUR",E135*$E$1,IF(C135="RUB",E135/#REF!,IF(C135="EGP",E135/$E$2,E135)))))</f>
        <v>14684.44</v>
      </c>
      <c r="G135" s="15" t="str">
        <f>VLOOKUP(B135,SPECIFICATIONF!$C$2:$D$65,2,0)</f>
        <v>GLOBAL HFT</v>
      </c>
      <c r="H135" s="12">
        <f t="shared" si="14"/>
        <v>2</v>
      </c>
      <c r="I135" s="12">
        <f t="shared" si="15"/>
        <v>2025</v>
      </c>
    </row>
    <row r="136" spans="1:9" ht="19.5" customHeight="1" x14ac:dyDescent="0.35">
      <c r="A136" s="41">
        <v>45716</v>
      </c>
      <c r="B136" s="8" t="s">
        <v>32</v>
      </c>
      <c r="C136" s="42" t="s">
        <v>11</v>
      </c>
      <c r="D136" s="43" t="s">
        <v>29</v>
      </c>
      <c r="E136" s="46">
        <v>9636402720</v>
      </c>
      <c r="F136" s="2">
        <f>IF(C136="GBP",E136*$C$3,IF(C136="TRY",E136/$C$1,IF(C136="EUR",E136*$E$1,IF(C136="RUB",E136/#REF!,IF(C136="EGP",E136/$E$2,E136)))))</f>
        <v>264250668.96281284</v>
      </c>
      <c r="G136" s="15" t="str">
        <f>VLOOKUP(B136,SPECIFICATIONF!$C$2:$D$65,2,0)</f>
        <v>GLOBAL HFT</v>
      </c>
      <c r="H136" s="12">
        <f t="shared" si="14"/>
        <v>2</v>
      </c>
      <c r="I136" s="12">
        <f t="shared" si="15"/>
        <v>2025</v>
      </c>
    </row>
    <row r="137" spans="1:9" ht="19.5" customHeight="1" x14ac:dyDescent="0.35">
      <c r="A137" s="41">
        <v>45716</v>
      </c>
      <c r="B137" s="8" t="s">
        <v>32</v>
      </c>
      <c r="C137" s="42" t="s">
        <v>33</v>
      </c>
      <c r="D137" s="43" t="s">
        <v>29</v>
      </c>
      <c r="E137" s="46">
        <v>59953167</v>
      </c>
      <c r="F137" s="2">
        <f>IF(C137="GBP",E137*$C$3,IF(C137="TRY",E137/$C$1,IF(C137="EUR",E137*$E$1,IF(C137="RUB",E137/#REF!,IF(C137="EGP",E137/$E$2,E137)))))</f>
        <v>59953167</v>
      </c>
      <c r="G137" s="15" t="str">
        <f>VLOOKUP(B137,SPECIFICATIONF!$C$2:$D$65,2,0)</f>
        <v>GLOBAL HFT</v>
      </c>
      <c r="H137" s="12">
        <f t="shared" si="14"/>
        <v>2</v>
      </c>
      <c r="I137" s="12">
        <f t="shared" si="15"/>
        <v>2025</v>
      </c>
    </row>
    <row r="138" spans="1:9" ht="19.5" customHeight="1" x14ac:dyDescent="0.35">
      <c r="A138" s="41">
        <v>45716</v>
      </c>
      <c r="B138" s="8" t="s">
        <v>24</v>
      </c>
      <c r="C138" s="42" t="s">
        <v>33</v>
      </c>
      <c r="D138" s="43" t="s">
        <v>30</v>
      </c>
      <c r="E138" s="46">
        <v>335</v>
      </c>
      <c r="F138" s="2">
        <f>IF(C138="GBP",E138*$C$3,IF(C138="TRY",E138/$C$1,IF(C138="EUR",E138*$E$1,IF(C138="RUB",E138/#REF!,IF(C138="EGP",E138/$E$2,E138)))))</f>
        <v>335</v>
      </c>
      <c r="G138" s="15" t="str">
        <f>VLOOKUP(B138,SPECIFICATIONF!$C$2:$D$65,2,0)</f>
        <v>GLOBAL RETAIL</v>
      </c>
      <c r="H138" s="12">
        <f t="shared" si="14"/>
        <v>2</v>
      </c>
      <c r="I138" s="12">
        <f t="shared" si="15"/>
        <v>2025</v>
      </c>
    </row>
    <row r="139" spans="1:9" ht="19.5" customHeight="1" x14ac:dyDescent="0.35">
      <c r="A139" s="41">
        <v>45716</v>
      </c>
      <c r="B139" s="8" t="s">
        <v>24</v>
      </c>
      <c r="C139" s="42" t="s">
        <v>11</v>
      </c>
      <c r="D139" s="43" t="s">
        <v>29</v>
      </c>
      <c r="E139" s="46">
        <v>0</v>
      </c>
      <c r="F139" s="2">
        <f>IF(C139="GBP",E139*$C$3,IF(C139="TRY",E139/$C$1,IF(C139="EUR",E139*$E$1,IF(C139="RUB",E139/#REF!,IF(C139="EGP",E139/$E$2,E139)))))</f>
        <v>0</v>
      </c>
      <c r="G139" s="15" t="str">
        <f>VLOOKUP(B139,SPECIFICATIONF!$C$2:$D$65,2,0)</f>
        <v>GLOBAL RETAIL</v>
      </c>
      <c r="H139" s="12">
        <f t="shared" si="14"/>
        <v>2</v>
      </c>
      <c r="I139" s="12">
        <f t="shared" si="15"/>
        <v>2025</v>
      </c>
    </row>
    <row r="140" spans="1:9" ht="19.5" customHeight="1" x14ac:dyDescent="0.35">
      <c r="A140" s="41">
        <v>45716</v>
      </c>
      <c r="B140" s="8" t="s">
        <v>24</v>
      </c>
      <c r="C140" s="42" t="s">
        <v>33</v>
      </c>
      <c r="D140" s="43" t="s">
        <v>29</v>
      </c>
      <c r="E140" s="46">
        <v>338512</v>
      </c>
      <c r="F140" s="2">
        <f>IF(C140="GBP",E140*$C$3,IF(C140="TRY",E140/$C$1,IF(C140="EUR",E140*$E$1,IF(C140="RUB",E140/#REF!,IF(C140="EGP",E140/$E$2,E140)))))</f>
        <v>338512</v>
      </c>
      <c r="G140" s="15" t="str">
        <f>VLOOKUP(B140,SPECIFICATIONF!$C$2:$D$65,2,0)</f>
        <v>GLOBAL RETAIL</v>
      </c>
      <c r="H140" s="12">
        <f t="shared" si="14"/>
        <v>2</v>
      </c>
      <c r="I140" s="12">
        <f t="shared" si="15"/>
        <v>2025</v>
      </c>
    </row>
    <row r="141" spans="1:9" ht="19.5" customHeight="1" x14ac:dyDescent="0.35">
      <c r="A141" s="41">
        <v>45717</v>
      </c>
      <c r="B141" s="8" t="s">
        <v>32</v>
      </c>
      <c r="C141" s="42" t="s">
        <v>11</v>
      </c>
      <c r="D141" s="43" t="s">
        <v>30</v>
      </c>
      <c r="E141" s="46">
        <v>1662547.63</v>
      </c>
      <c r="F141" s="2">
        <f>IF(C141="GBP",E141*$C$3,IF(C141="TRY",E141/$C$1,IF(C141="EUR",E141*$E$1,IF(C141="RUB",E141/#REF!,IF(C141="EGP",E141/$E$2,E141)))))</f>
        <v>45590.593935870602</v>
      </c>
      <c r="G141" s="15" t="str">
        <f>VLOOKUP(B141,SPECIFICATIONF!$C$2:$D$65,2,0)</f>
        <v>GLOBAL HFT</v>
      </c>
      <c r="H141" s="12">
        <f t="shared" si="14"/>
        <v>3</v>
      </c>
      <c r="I141" s="12">
        <f t="shared" si="15"/>
        <v>2025</v>
      </c>
    </row>
    <row r="142" spans="1:9" ht="19.5" customHeight="1" x14ac:dyDescent="0.35">
      <c r="A142" s="41">
        <v>45717</v>
      </c>
      <c r="B142" s="8" t="s">
        <v>32</v>
      </c>
      <c r="C142" s="42" t="s">
        <v>33</v>
      </c>
      <c r="D142" s="43" t="s">
        <v>30</v>
      </c>
      <c r="E142" s="46">
        <v>8452.7800000000007</v>
      </c>
      <c r="F142" s="2">
        <f>IF(C142="GBP",E142*$C$3,IF(C142="TRY",E142/$C$1,IF(C142="EUR",E142*$E$1,IF(C142="RUB",E142/#REF!,IF(C142="EGP",E142/$E$2,E142)))))</f>
        <v>8452.7800000000007</v>
      </c>
      <c r="G142" s="15" t="str">
        <f>VLOOKUP(B142,SPECIFICATIONF!$C$2:$D$65,2,0)</f>
        <v>GLOBAL HFT</v>
      </c>
      <c r="H142" s="12">
        <f t="shared" si="14"/>
        <v>3</v>
      </c>
      <c r="I142" s="12">
        <f t="shared" si="15"/>
        <v>2025</v>
      </c>
    </row>
    <row r="143" spans="1:9" ht="19.5" customHeight="1" x14ac:dyDescent="0.35">
      <c r="A143" s="41">
        <v>45717</v>
      </c>
      <c r="B143" s="8" t="s">
        <v>32</v>
      </c>
      <c r="C143" s="42" t="s">
        <v>11</v>
      </c>
      <c r="D143" s="43" t="s">
        <v>29</v>
      </c>
      <c r="E143" s="46">
        <v>6719369812</v>
      </c>
      <c r="F143" s="2">
        <f>IF(C143="GBP",E143*$C$3,IF(C143="TRY",E143/$C$1,IF(C143="EUR",E143*$E$1,IF(C143="RUB",E143/#REF!,IF(C143="EGP",E143/$E$2,E143)))))</f>
        <v>184259419.14448443</v>
      </c>
      <c r="G143" s="15" t="str">
        <f>VLOOKUP(B143,SPECIFICATIONF!$C$2:$D$65,2,0)</f>
        <v>GLOBAL HFT</v>
      </c>
      <c r="H143" s="12">
        <f t="shared" si="14"/>
        <v>3</v>
      </c>
      <c r="I143" s="12">
        <f t="shared" si="15"/>
        <v>2025</v>
      </c>
    </row>
    <row r="144" spans="1:9" ht="19.5" customHeight="1" x14ac:dyDescent="0.35">
      <c r="A144" s="41">
        <v>45717</v>
      </c>
      <c r="B144" s="8" t="s">
        <v>32</v>
      </c>
      <c r="C144" s="42" t="s">
        <v>33</v>
      </c>
      <c r="D144" s="43" t="s">
        <v>29</v>
      </c>
      <c r="E144" s="46">
        <v>33919594</v>
      </c>
      <c r="F144" s="2">
        <f>IF(C144="GBP",E144*$C$3,IF(C144="TRY",E144/$C$1,IF(C144="EUR",E144*$E$1,IF(C144="RUB",E144/#REF!,IF(C144="EGP",E144/$E$2,E144)))))</f>
        <v>33919594</v>
      </c>
      <c r="G144" s="15" t="str">
        <f>VLOOKUP(B144,SPECIFICATIONF!$C$2:$D$65,2,0)</f>
        <v>GLOBAL HFT</v>
      </c>
      <c r="H144" s="12">
        <f t="shared" si="14"/>
        <v>3</v>
      </c>
      <c r="I144" s="12">
        <f t="shared" si="15"/>
        <v>2025</v>
      </c>
    </row>
    <row r="145" spans="1:9" ht="19.5" customHeight="1" x14ac:dyDescent="0.35">
      <c r="A145" s="41">
        <v>45717</v>
      </c>
      <c r="B145" s="8" t="s">
        <v>24</v>
      </c>
      <c r="C145" s="42" t="s">
        <v>33</v>
      </c>
      <c r="D145" s="43" t="s">
        <v>30</v>
      </c>
      <c r="E145" s="46">
        <v>0</v>
      </c>
      <c r="F145" s="2">
        <f>IF(C145="GBP",E145*$C$3,IF(C145="TRY",E145/$C$1,IF(C145="EUR",E145*$E$1,IF(C145="RUB",E145/#REF!,IF(C145="EGP",E145/$E$2,E145)))))</f>
        <v>0</v>
      </c>
      <c r="G145" s="15" t="str">
        <f>VLOOKUP(B145,SPECIFICATIONF!$C$2:$D$65,2,0)</f>
        <v>GLOBAL RETAIL</v>
      </c>
      <c r="H145" s="12">
        <f t="shared" si="14"/>
        <v>3</v>
      </c>
      <c r="I145" s="12">
        <f t="shared" si="15"/>
        <v>2025</v>
      </c>
    </row>
    <row r="146" spans="1:9" ht="19.5" customHeight="1" x14ac:dyDescent="0.35">
      <c r="A146" s="41">
        <v>45717</v>
      </c>
      <c r="B146" s="8" t="s">
        <v>24</v>
      </c>
      <c r="C146" s="42" t="s">
        <v>11</v>
      </c>
      <c r="D146" s="43" t="s">
        <v>29</v>
      </c>
      <c r="E146" s="46">
        <v>0</v>
      </c>
      <c r="F146" s="2">
        <f>IF(C146="GBP",E146*$C$3,IF(C146="TRY",E146/$C$1,IF(C146="EUR",E146*$E$1,IF(C146="RUB",E146/#REF!,IF(C146="EGP",E146/$E$2,E146)))))</f>
        <v>0</v>
      </c>
      <c r="G146" s="15" t="str">
        <f>VLOOKUP(B146,SPECIFICATIONF!$C$2:$D$65,2,0)</f>
        <v>GLOBAL RETAIL</v>
      </c>
      <c r="H146" s="12">
        <f t="shared" si="14"/>
        <v>3</v>
      </c>
      <c r="I146" s="12">
        <f t="shared" si="15"/>
        <v>2025</v>
      </c>
    </row>
    <row r="147" spans="1:9" ht="19.5" customHeight="1" x14ac:dyDescent="0.35">
      <c r="A147" s="41">
        <v>45717</v>
      </c>
      <c r="B147" s="8" t="s">
        <v>24</v>
      </c>
      <c r="C147" s="42" t="s">
        <v>33</v>
      </c>
      <c r="D147" s="43" t="s">
        <v>29</v>
      </c>
      <c r="E147" s="46">
        <v>0</v>
      </c>
      <c r="F147" s="2">
        <f>IF(C147="GBP",E147*$C$3,IF(C147="TRY",E147/$C$1,IF(C147="EUR",E147*$E$1,IF(C147="RUB",E147/#REF!,IF(C147="EGP",E147/$E$2,E147)))))</f>
        <v>0</v>
      </c>
      <c r="G147" s="15" t="str">
        <f>VLOOKUP(B147,SPECIFICATIONF!$C$2:$D$65,2,0)</f>
        <v>GLOBAL RETAIL</v>
      </c>
      <c r="H147" s="12">
        <f t="shared" si="14"/>
        <v>3</v>
      </c>
      <c r="I147" s="12">
        <f t="shared" si="15"/>
        <v>2025</v>
      </c>
    </row>
    <row r="148" spans="1:9" ht="19.5" customHeight="1" x14ac:dyDescent="0.35">
      <c r="A148" s="41">
        <v>45718</v>
      </c>
      <c r="B148" s="8" t="s">
        <v>32</v>
      </c>
      <c r="C148" s="42" t="s">
        <v>11</v>
      </c>
      <c r="D148" s="43" t="s">
        <v>30</v>
      </c>
      <c r="E148" s="46">
        <v>4109618.25</v>
      </c>
      <c r="F148" s="2">
        <f>IF(C148="GBP",E148*$C$3,IF(C148="TRY",E148/$C$1,IF(C148="EUR",E148*$E$1,IF(C148="RUB",E148/#REF!,IF(C148="EGP",E148/$E$2,E148)))))</f>
        <v>112694.47773186094</v>
      </c>
      <c r="G148" s="15" t="str">
        <f>VLOOKUP(B148,SPECIFICATIONF!$C$2:$D$65,2,0)</f>
        <v>GLOBAL HFT</v>
      </c>
      <c r="H148" s="12">
        <f t="shared" si="14"/>
        <v>3</v>
      </c>
      <c r="I148" s="12">
        <f t="shared" si="15"/>
        <v>2025</v>
      </c>
    </row>
    <row r="149" spans="1:9" ht="19.5" customHeight="1" x14ac:dyDescent="0.35">
      <c r="A149" s="41">
        <v>45718</v>
      </c>
      <c r="B149" s="8" t="s">
        <v>32</v>
      </c>
      <c r="C149" s="42" t="s">
        <v>33</v>
      </c>
      <c r="D149" s="43" t="s">
        <v>30</v>
      </c>
      <c r="E149" s="46">
        <v>27437.53</v>
      </c>
      <c r="F149" s="2">
        <f>IF(C149="GBP",E149*$C$3,IF(C149="TRY",E149/$C$1,IF(C149="EUR",E149*$E$1,IF(C149="RUB",E149/#REF!,IF(C149="EGP",E149/$E$2,E149)))))</f>
        <v>27437.53</v>
      </c>
      <c r="G149" s="15" t="str">
        <f>VLOOKUP(B149,SPECIFICATIONF!$C$2:$D$65,2,0)</f>
        <v>GLOBAL HFT</v>
      </c>
      <c r="H149" s="12">
        <f t="shared" si="14"/>
        <v>3</v>
      </c>
      <c r="I149" s="12">
        <f t="shared" si="15"/>
        <v>2025</v>
      </c>
    </row>
    <row r="150" spans="1:9" ht="19.5" customHeight="1" x14ac:dyDescent="0.35">
      <c r="A150" s="41">
        <v>45718</v>
      </c>
      <c r="B150" s="8" t="s">
        <v>32</v>
      </c>
      <c r="C150" s="42" t="s">
        <v>11</v>
      </c>
      <c r="D150" s="43" t="s">
        <v>29</v>
      </c>
      <c r="E150" s="47">
        <v>15836868578</v>
      </c>
      <c r="F150" s="2">
        <f>IF(C150="GBP",E150*$C$3,IF(C150="TRY",E150/$C$1,IF(C150="EUR",E150*$E$1,IF(C150="RUB",E150/#REF!,IF(C150="EGP",E150/$E$2,E150)))))</f>
        <v>434280637.45478773</v>
      </c>
      <c r="G150" s="15" t="str">
        <f>VLOOKUP(B150,SPECIFICATIONF!$C$2:$D$65,2,0)</f>
        <v>GLOBAL HFT</v>
      </c>
      <c r="H150" s="12">
        <f t="shared" si="14"/>
        <v>3</v>
      </c>
      <c r="I150" s="12">
        <f t="shared" si="15"/>
        <v>2025</v>
      </c>
    </row>
    <row r="151" spans="1:9" ht="19.5" customHeight="1" x14ac:dyDescent="0.35">
      <c r="A151" s="41">
        <v>45718</v>
      </c>
      <c r="B151" s="8" t="s">
        <v>32</v>
      </c>
      <c r="C151" s="42" t="s">
        <v>33</v>
      </c>
      <c r="D151" s="43" t="s">
        <v>29</v>
      </c>
      <c r="E151" s="46">
        <v>105461183</v>
      </c>
      <c r="F151" s="2">
        <f>IF(C151="GBP",E151*$C$3,IF(C151="TRY",E151/$C$1,IF(C151="EUR",E151*$E$1,IF(C151="RUB",E151/#REF!,IF(C151="EGP",E151/$E$2,E151)))))</f>
        <v>105461183</v>
      </c>
      <c r="G151" s="15" t="str">
        <f>VLOOKUP(B151,SPECIFICATIONF!$C$2:$D$65,2,0)</f>
        <v>GLOBAL HFT</v>
      </c>
      <c r="H151" s="12">
        <f t="shared" si="14"/>
        <v>3</v>
      </c>
      <c r="I151" s="12">
        <f t="shared" si="15"/>
        <v>2025</v>
      </c>
    </row>
    <row r="152" spans="1:9" ht="19.5" customHeight="1" x14ac:dyDescent="0.35">
      <c r="A152" s="41">
        <v>45718</v>
      </c>
      <c r="B152" s="8" t="s">
        <v>24</v>
      </c>
      <c r="C152" s="42" t="s">
        <v>33</v>
      </c>
      <c r="D152" s="43" t="s">
        <v>30</v>
      </c>
      <c r="E152" s="46">
        <v>0</v>
      </c>
      <c r="F152" s="2">
        <f>IF(C152="GBP",E152*$C$3,IF(C152="TRY",E152/$C$1,IF(C152="EUR",E152*$E$1,IF(C152="RUB",E152/#REF!,IF(C152="EGP",E152/$E$2,E152)))))</f>
        <v>0</v>
      </c>
      <c r="G152" s="15" t="str">
        <f>VLOOKUP(B152,SPECIFICATIONF!$C$2:$D$65,2,0)</f>
        <v>GLOBAL RETAIL</v>
      </c>
      <c r="H152" s="12">
        <f t="shared" si="14"/>
        <v>3</v>
      </c>
      <c r="I152" s="12">
        <f t="shared" si="15"/>
        <v>2025</v>
      </c>
    </row>
    <row r="153" spans="1:9" ht="19.5" customHeight="1" x14ac:dyDescent="0.35">
      <c r="A153" s="41">
        <v>45718</v>
      </c>
      <c r="B153" s="8" t="s">
        <v>24</v>
      </c>
      <c r="C153" s="42" t="s">
        <v>11</v>
      </c>
      <c r="D153" s="43" t="s">
        <v>29</v>
      </c>
      <c r="E153" s="46">
        <v>0</v>
      </c>
      <c r="F153" s="2">
        <f>IF(C153="GBP",E153*$C$3,IF(C153="TRY",E153/$C$1,IF(C153="EUR",E153*$E$1,IF(C153="RUB",E153/#REF!,IF(C153="EGP",E153/$E$2,E153)))))</f>
        <v>0</v>
      </c>
      <c r="G153" s="15" t="str">
        <f>VLOOKUP(B153,SPECIFICATIONF!$C$2:$D$65,2,0)</f>
        <v>GLOBAL RETAIL</v>
      </c>
      <c r="H153" s="12">
        <f t="shared" si="14"/>
        <v>3</v>
      </c>
      <c r="I153" s="12">
        <f t="shared" si="15"/>
        <v>2025</v>
      </c>
    </row>
    <row r="154" spans="1:9" ht="19.5" customHeight="1" x14ac:dyDescent="0.35">
      <c r="A154" s="41">
        <v>45718</v>
      </c>
      <c r="B154" s="8" t="s">
        <v>24</v>
      </c>
      <c r="C154" s="42" t="s">
        <v>33</v>
      </c>
      <c r="D154" s="43" t="s">
        <v>29</v>
      </c>
      <c r="E154" s="46">
        <v>0</v>
      </c>
      <c r="F154" s="2">
        <f>IF(C154="GBP",E154*$C$3,IF(C154="TRY",E154/$C$1,IF(C154="EUR",E154*$E$1,IF(C154="RUB",E154/#REF!,IF(C154="EGP",E154/$E$2,E154)))))</f>
        <v>0</v>
      </c>
      <c r="G154" s="15" t="str">
        <f>VLOOKUP(B154,SPECIFICATIONF!$C$2:$D$65,2,0)</f>
        <v>GLOBAL RETAIL</v>
      </c>
      <c r="H154" s="12">
        <f t="shared" si="14"/>
        <v>3</v>
      </c>
      <c r="I154" s="12">
        <f t="shared" si="15"/>
        <v>2025</v>
      </c>
    </row>
    <row r="155" spans="1:9" ht="19.5" customHeight="1" x14ac:dyDescent="0.35">
      <c r="A155" s="41">
        <v>45719</v>
      </c>
      <c r="B155" s="8" t="s">
        <v>32</v>
      </c>
      <c r="C155" s="42" t="s">
        <v>11</v>
      </c>
      <c r="D155" s="43" t="s">
        <v>30</v>
      </c>
      <c r="E155" s="46">
        <v>3040051.35</v>
      </c>
      <c r="F155" s="2">
        <f>IF(C155="GBP",E155*$C$3,IF(C155="TRY",E155/$C$1,IF(C155="EUR",E155*$E$1,IF(C155="RUB",E155/#REF!,IF(C155="EGP",E155/$E$2,E155)))))</f>
        <v>83364.677282686491</v>
      </c>
      <c r="G155" s="15" t="str">
        <f>VLOOKUP(B155,SPECIFICATIONF!$C$2:$D$65,2,0)</f>
        <v>GLOBAL HFT</v>
      </c>
      <c r="H155" s="12">
        <f t="shared" si="14"/>
        <v>3</v>
      </c>
      <c r="I155" s="12">
        <f t="shared" si="15"/>
        <v>2025</v>
      </c>
    </row>
    <row r="156" spans="1:9" ht="19.5" customHeight="1" x14ac:dyDescent="0.35">
      <c r="A156" s="41">
        <v>45719</v>
      </c>
      <c r="B156" s="8" t="s">
        <v>32</v>
      </c>
      <c r="C156" s="42" t="s">
        <v>33</v>
      </c>
      <c r="D156" s="43" t="s">
        <v>30</v>
      </c>
      <c r="E156" s="46">
        <v>22133.56</v>
      </c>
      <c r="F156" s="2">
        <f>IF(C156="GBP",E156*$C$3,IF(C156="TRY",E156/$C$1,IF(C156="EUR",E156*$E$1,IF(C156="RUB",E156/#REF!,IF(C156="EGP",E156/$E$2,E156)))))</f>
        <v>22133.56</v>
      </c>
      <c r="G156" s="15" t="str">
        <f>VLOOKUP(B156,SPECIFICATIONF!$C$2:$D$65,2,0)</f>
        <v>GLOBAL HFT</v>
      </c>
      <c r="H156" s="12">
        <f t="shared" si="14"/>
        <v>3</v>
      </c>
      <c r="I156" s="12">
        <f t="shared" si="15"/>
        <v>2025</v>
      </c>
    </row>
    <row r="157" spans="1:9" ht="19.5" customHeight="1" x14ac:dyDescent="0.35">
      <c r="A157" s="41">
        <v>45719</v>
      </c>
      <c r="B157" s="8" t="s">
        <v>32</v>
      </c>
      <c r="C157" s="42" t="s">
        <v>11</v>
      </c>
      <c r="D157" s="43" t="s">
        <v>29</v>
      </c>
      <c r="E157" s="47">
        <v>11804165537</v>
      </c>
      <c r="F157" s="2">
        <f>IF(C157="GBP",E157*$C$3,IF(C157="TRY",E157/$C$1,IF(C157="EUR",E157*$E$1,IF(C157="RUB",E157/#REF!,IF(C157="EGP",E157/$E$2,E157)))))</f>
        <v>323695338.43019283</v>
      </c>
      <c r="G157" s="15" t="str">
        <f>VLOOKUP(B157,SPECIFICATIONF!$C$2:$D$65,2,0)</f>
        <v>GLOBAL HFT</v>
      </c>
      <c r="H157" s="12">
        <f t="shared" si="14"/>
        <v>3</v>
      </c>
      <c r="I157" s="12">
        <f t="shared" si="15"/>
        <v>2025</v>
      </c>
    </row>
    <row r="158" spans="1:9" ht="19.5" customHeight="1" x14ac:dyDescent="0.35">
      <c r="A158" s="41">
        <v>45719</v>
      </c>
      <c r="B158" s="8" t="s">
        <v>32</v>
      </c>
      <c r="C158" s="42" t="s">
        <v>33</v>
      </c>
      <c r="D158" s="43" t="s">
        <v>29</v>
      </c>
      <c r="E158" s="47">
        <v>88441703</v>
      </c>
      <c r="F158" s="2">
        <f>IF(C158="GBP",E158*$C$3,IF(C158="TRY",E158/$C$1,IF(C158="EUR",E158*$E$1,IF(C158="RUB",E158/#REF!,IF(C158="EGP",E158/$E$2,E158)))))</f>
        <v>88441703</v>
      </c>
      <c r="G158" s="15" t="str">
        <f>VLOOKUP(B158,SPECIFICATIONF!$C$2:$D$65,2,0)</f>
        <v>GLOBAL HFT</v>
      </c>
      <c r="H158" s="12">
        <f t="shared" si="14"/>
        <v>3</v>
      </c>
      <c r="I158" s="12">
        <f t="shared" si="15"/>
        <v>2025</v>
      </c>
    </row>
    <row r="159" spans="1:9" ht="19.5" customHeight="1" x14ac:dyDescent="0.35">
      <c r="A159" s="41">
        <v>45719</v>
      </c>
      <c r="B159" s="8" t="s">
        <v>24</v>
      </c>
      <c r="C159" s="42" t="s">
        <v>33</v>
      </c>
      <c r="D159" s="43" t="s">
        <v>30</v>
      </c>
      <c r="E159" s="47">
        <v>20</v>
      </c>
      <c r="F159" s="2">
        <f>IF(C159="GBP",E159*$C$3,IF(C159="TRY",E159/$C$1,IF(C159="EUR",E159*$E$1,IF(C159="RUB",E159/#REF!,IF(C159="EGP",E159/$E$2,E159)))))</f>
        <v>20</v>
      </c>
      <c r="G159" s="15" t="str">
        <f>VLOOKUP(B159,SPECIFICATIONF!$C$2:$D$65,2,0)</f>
        <v>GLOBAL RETAIL</v>
      </c>
      <c r="H159" s="12">
        <f t="shared" si="14"/>
        <v>3</v>
      </c>
      <c r="I159" s="12">
        <f t="shared" si="15"/>
        <v>2025</v>
      </c>
    </row>
    <row r="160" spans="1:9" ht="19.5" customHeight="1" x14ac:dyDescent="0.35">
      <c r="A160" s="41">
        <v>45719</v>
      </c>
      <c r="B160" s="8" t="s">
        <v>24</v>
      </c>
      <c r="C160" s="42" t="s">
        <v>11</v>
      </c>
      <c r="D160" s="43" t="s">
        <v>29</v>
      </c>
      <c r="E160" s="47">
        <v>0</v>
      </c>
      <c r="F160" s="2">
        <f>IF(C160="GBP",E160*$C$3,IF(C160="TRY",E160/$C$1,IF(C160="EUR",E160*$E$1,IF(C160="RUB",E160/#REF!,IF(C160="EGP",E160/$E$2,E160)))))</f>
        <v>0</v>
      </c>
      <c r="G160" s="15" t="str">
        <f>VLOOKUP(B160,SPECIFICATIONF!$C$2:$D$65,2,0)</f>
        <v>GLOBAL RETAIL</v>
      </c>
      <c r="H160" s="12">
        <f t="shared" si="14"/>
        <v>3</v>
      </c>
      <c r="I160" s="12">
        <f t="shared" si="15"/>
        <v>2025</v>
      </c>
    </row>
    <row r="161" spans="1:9" ht="19.5" customHeight="1" x14ac:dyDescent="0.35">
      <c r="A161" s="41">
        <v>45719</v>
      </c>
      <c r="B161" s="8" t="s">
        <v>24</v>
      </c>
      <c r="C161" s="42" t="s">
        <v>33</v>
      </c>
      <c r="D161" s="43" t="s">
        <v>29</v>
      </c>
      <c r="E161" s="47">
        <v>19327</v>
      </c>
      <c r="F161" s="2">
        <f>IF(C161="GBP",E161*$C$3,IF(C161="TRY",E161/$C$1,IF(C161="EUR",E161*$E$1,IF(C161="RUB",E161/#REF!,IF(C161="EGP",E161/$E$2,E161)))))</f>
        <v>19327</v>
      </c>
      <c r="G161" s="15" t="str">
        <f>VLOOKUP(B161,SPECIFICATIONF!$C$2:$D$65,2,0)</f>
        <v>GLOBAL RETAIL</v>
      </c>
      <c r="H161" s="12">
        <f t="shared" si="14"/>
        <v>3</v>
      </c>
      <c r="I161" s="12">
        <f t="shared" si="15"/>
        <v>2025</v>
      </c>
    </row>
    <row r="162" spans="1:9" ht="19.5" customHeight="1" x14ac:dyDescent="0.35">
      <c r="A162" s="41">
        <v>45720</v>
      </c>
      <c r="B162" s="8" t="s">
        <v>32</v>
      </c>
      <c r="C162" s="42" t="s">
        <v>11</v>
      </c>
      <c r="D162" s="43" t="s">
        <v>30</v>
      </c>
      <c r="E162" s="46">
        <v>2209694.25</v>
      </c>
      <c r="F162" s="2">
        <f>IF(C162="GBP",E162*$C$3,IF(C162="TRY",E162/$C$1,IF(C162="EUR",E162*$E$1,IF(C162="RUB",E162/#REF!,IF(C162="EGP",E162/$E$2,E162)))))</f>
        <v>60594.518590831678</v>
      </c>
      <c r="G162" s="15" t="str">
        <f>VLOOKUP(B162,SPECIFICATIONF!$C$2:$D$65,2,0)</f>
        <v>GLOBAL HFT</v>
      </c>
      <c r="H162" s="12">
        <f t="shared" si="14"/>
        <v>3</v>
      </c>
      <c r="I162" s="12">
        <f t="shared" si="15"/>
        <v>2025</v>
      </c>
    </row>
    <row r="163" spans="1:9" ht="19.5" customHeight="1" x14ac:dyDescent="0.35">
      <c r="A163" s="41">
        <v>45720</v>
      </c>
      <c r="B163" s="8" t="s">
        <v>32</v>
      </c>
      <c r="C163" s="42" t="s">
        <v>33</v>
      </c>
      <c r="D163" s="43" t="s">
        <v>30</v>
      </c>
      <c r="E163" s="46">
        <v>15197.32</v>
      </c>
      <c r="F163" s="2">
        <f>IF(C163="GBP",E163*$C$3,IF(C163="TRY",E163/$C$1,IF(C163="EUR",E163*$E$1,IF(C163="RUB",E163/#REF!,IF(C163="EGP",E163/$E$2,E163)))))</f>
        <v>15197.32</v>
      </c>
      <c r="G163" s="15" t="str">
        <f>VLOOKUP(B163,SPECIFICATIONF!$C$2:$D$65,2,0)</f>
        <v>GLOBAL HFT</v>
      </c>
      <c r="H163" s="12">
        <f t="shared" si="14"/>
        <v>3</v>
      </c>
      <c r="I163" s="12">
        <f t="shared" si="15"/>
        <v>2025</v>
      </c>
    </row>
    <row r="164" spans="1:9" ht="19.5" customHeight="1" x14ac:dyDescent="0.35">
      <c r="A164" s="41">
        <v>45720</v>
      </c>
      <c r="B164" s="8" t="s">
        <v>32</v>
      </c>
      <c r="C164" s="42" t="s">
        <v>11</v>
      </c>
      <c r="D164" s="43" t="s">
        <v>29</v>
      </c>
      <c r="E164" s="47">
        <v>8544124681</v>
      </c>
      <c r="F164" s="2">
        <f>IF(C164="GBP",E164*$C$3,IF(C164="TRY",E164/$C$1,IF(C164="EUR",E164*$E$1,IF(C164="RUB",E164/#REF!,IF(C164="EGP",E164/$E$2,E164)))))</f>
        <v>234298080.75268257</v>
      </c>
      <c r="G164" s="15" t="str">
        <f>VLOOKUP(B164,SPECIFICATIONF!$C$2:$D$65,2,0)</f>
        <v>GLOBAL HFT</v>
      </c>
      <c r="H164" s="12">
        <f t="shared" si="14"/>
        <v>3</v>
      </c>
      <c r="I164" s="12">
        <f t="shared" si="15"/>
        <v>2025</v>
      </c>
    </row>
    <row r="165" spans="1:9" ht="19.5" customHeight="1" x14ac:dyDescent="0.35">
      <c r="A165" s="41">
        <v>45720</v>
      </c>
      <c r="B165" s="8" t="s">
        <v>32</v>
      </c>
      <c r="C165" s="42" t="s">
        <v>33</v>
      </c>
      <c r="D165" s="43" t="s">
        <v>29</v>
      </c>
      <c r="E165" s="46">
        <v>62176973</v>
      </c>
      <c r="F165" s="2">
        <f>IF(C165="GBP",E165*$C$3,IF(C165="TRY",E165/$C$1,IF(C165="EUR",E165*$E$1,IF(C165="RUB",E165/#REF!,IF(C165="EGP",E165/$E$2,E165)))))</f>
        <v>62176973</v>
      </c>
      <c r="G165" s="15" t="str">
        <f>VLOOKUP(B165,SPECIFICATIONF!$C$2:$D$65,2,0)</f>
        <v>GLOBAL HFT</v>
      </c>
      <c r="H165" s="12">
        <f t="shared" si="14"/>
        <v>3</v>
      </c>
      <c r="I165" s="12">
        <f t="shared" si="15"/>
        <v>2025</v>
      </c>
    </row>
    <row r="166" spans="1:9" ht="19.5" customHeight="1" x14ac:dyDescent="0.35">
      <c r="A166" s="41">
        <v>45720</v>
      </c>
      <c r="B166" s="8" t="s">
        <v>24</v>
      </c>
      <c r="C166" s="42" t="s">
        <v>33</v>
      </c>
      <c r="D166" s="43" t="s">
        <v>30</v>
      </c>
      <c r="E166" s="46">
        <v>0</v>
      </c>
      <c r="F166" s="2">
        <f>IF(C166="GBP",E166*$C$3,IF(C166="TRY",E166/$C$1,IF(C166="EUR",E166*$E$1,IF(C166="RUB",E166/#REF!,IF(C166="EGP",E166/$E$2,E166)))))</f>
        <v>0</v>
      </c>
      <c r="G166" s="15" t="str">
        <f>VLOOKUP(B166,SPECIFICATIONF!$C$2:$D$65,2,0)</f>
        <v>GLOBAL RETAIL</v>
      </c>
      <c r="H166" s="12">
        <f t="shared" ref="H166:H229" si="16">MONTH(A166)</f>
        <v>3</v>
      </c>
      <c r="I166" s="12">
        <f t="shared" ref="I166:I229" si="17">YEAR(A166)</f>
        <v>2025</v>
      </c>
    </row>
    <row r="167" spans="1:9" ht="19.5" customHeight="1" x14ac:dyDescent="0.35">
      <c r="A167" s="41">
        <v>45720</v>
      </c>
      <c r="B167" s="8" t="s">
        <v>24</v>
      </c>
      <c r="C167" s="42" t="s">
        <v>11</v>
      </c>
      <c r="D167" s="43" t="s">
        <v>29</v>
      </c>
      <c r="E167" s="47">
        <v>0</v>
      </c>
      <c r="F167" s="2">
        <f>IF(C167="GBP",E167*$C$3,IF(C167="TRY",E167/$C$1,IF(C167="EUR",E167*$E$1,IF(C167="RUB",E167/#REF!,IF(C167="EGP",E167/$E$2,E167)))))</f>
        <v>0</v>
      </c>
      <c r="G167" s="15" t="str">
        <f>VLOOKUP(B167,SPECIFICATIONF!$C$2:$D$65,2,0)</f>
        <v>GLOBAL RETAIL</v>
      </c>
      <c r="H167" s="12">
        <f t="shared" si="16"/>
        <v>3</v>
      </c>
      <c r="I167" s="12">
        <f t="shared" si="17"/>
        <v>2025</v>
      </c>
    </row>
    <row r="168" spans="1:9" ht="19.5" customHeight="1" x14ac:dyDescent="0.35">
      <c r="A168" s="41">
        <v>45720</v>
      </c>
      <c r="B168" s="8" t="s">
        <v>24</v>
      </c>
      <c r="C168" s="42" t="s">
        <v>33</v>
      </c>
      <c r="D168" s="43" t="s">
        <v>29</v>
      </c>
      <c r="E168" s="46">
        <v>101</v>
      </c>
      <c r="F168" s="2">
        <f>IF(C168="GBP",E168*$C$3,IF(C168="TRY",E168/$C$1,IF(C168="EUR",E168*$E$1,IF(C168="RUB",E168/#REF!,IF(C168="EGP",E168/$E$2,E168)))))</f>
        <v>101</v>
      </c>
      <c r="G168" s="15" t="str">
        <f>VLOOKUP(B168,SPECIFICATIONF!$C$2:$D$65,2,0)</f>
        <v>GLOBAL RETAIL</v>
      </c>
      <c r="H168" s="12">
        <f t="shared" si="16"/>
        <v>3</v>
      </c>
      <c r="I168" s="12">
        <f t="shared" si="17"/>
        <v>2025</v>
      </c>
    </row>
    <row r="169" spans="1:9" ht="19.5" customHeight="1" x14ac:dyDescent="0.35">
      <c r="A169" s="41">
        <v>45721</v>
      </c>
      <c r="B169" s="8" t="s">
        <v>32</v>
      </c>
      <c r="C169" s="42" t="s">
        <v>11</v>
      </c>
      <c r="D169" s="43" t="s">
        <v>30</v>
      </c>
      <c r="E169" s="46">
        <v>1461822.75</v>
      </c>
      <c r="F169" s="2">
        <f>IF(C169="GBP",E169*$C$3,IF(C169="TRY",E169/$C$1,IF(C169="EUR",E169*$E$1,IF(C169="RUB",E169/#REF!,IF(C169="EGP",E169/$E$2,E169)))))</f>
        <v>40086.290581321686</v>
      </c>
      <c r="G169" s="15" t="str">
        <f>VLOOKUP(B169,SPECIFICATIONF!$C$2:$D$65,2,0)</f>
        <v>GLOBAL HFT</v>
      </c>
      <c r="H169" s="12">
        <f t="shared" si="16"/>
        <v>3</v>
      </c>
      <c r="I169" s="12">
        <f t="shared" si="17"/>
        <v>2025</v>
      </c>
    </row>
    <row r="170" spans="1:9" ht="19.5" customHeight="1" x14ac:dyDescent="0.35">
      <c r="A170" s="41">
        <v>45721</v>
      </c>
      <c r="B170" s="8" t="s">
        <v>32</v>
      </c>
      <c r="C170" s="42" t="s">
        <v>33</v>
      </c>
      <c r="D170" s="43" t="s">
        <v>30</v>
      </c>
      <c r="E170" s="46">
        <v>9967.3799999999992</v>
      </c>
      <c r="F170" s="2">
        <f>IF(C170="GBP",E170*$C$3,IF(C170="TRY",E170/$C$1,IF(C170="EUR",E170*$E$1,IF(C170="RUB",E170/#REF!,IF(C170="EGP",E170/$E$2,E170)))))</f>
        <v>9967.3799999999992</v>
      </c>
      <c r="G170" s="15" t="str">
        <f>VLOOKUP(B170,SPECIFICATIONF!$C$2:$D$65,2,0)</f>
        <v>GLOBAL HFT</v>
      </c>
      <c r="H170" s="12">
        <f t="shared" si="16"/>
        <v>3</v>
      </c>
      <c r="I170" s="12">
        <f t="shared" si="17"/>
        <v>2025</v>
      </c>
    </row>
    <row r="171" spans="1:9" ht="19.5" customHeight="1" x14ac:dyDescent="0.35">
      <c r="A171" s="41">
        <v>45721</v>
      </c>
      <c r="B171" s="8" t="s">
        <v>32</v>
      </c>
      <c r="C171" s="42" t="s">
        <v>11</v>
      </c>
      <c r="D171" s="43" t="s">
        <v>29</v>
      </c>
      <c r="E171" s="47">
        <v>5857288786</v>
      </c>
      <c r="F171" s="2">
        <f>IF(C171="GBP",E171*$C$3,IF(C171="TRY",E171/$C$1,IF(C171="EUR",E171*$E$1,IF(C171="RUB",E171/#REF!,IF(C171="EGP",E171/$E$2,E171)))))</f>
        <v>160619322.89281511</v>
      </c>
      <c r="G171" s="15" t="str">
        <f>VLOOKUP(B171,SPECIFICATIONF!$C$2:$D$65,2,0)</f>
        <v>GLOBAL HFT</v>
      </c>
      <c r="H171" s="12">
        <f t="shared" si="16"/>
        <v>3</v>
      </c>
      <c r="I171" s="12">
        <f t="shared" si="17"/>
        <v>2025</v>
      </c>
    </row>
    <row r="172" spans="1:9" ht="19.5" customHeight="1" x14ac:dyDescent="0.35">
      <c r="A172" s="41">
        <v>45721</v>
      </c>
      <c r="B172" s="8" t="s">
        <v>32</v>
      </c>
      <c r="C172" s="42" t="s">
        <v>33</v>
      </c>
      <c r="D172" s="43" t="s">
        <v>29</v>
      </c>
      <c r="E172" s="46">
        <v>39402194</v>
      </c>
      <c r="F172" s="2">
        <f>IF(C172="GBP",E172*$C$3,IF(C172="TRY",E172/$C$1,IF(C172="EUR",E172*$E$1,IF(C172="RUB",E172/#REF!,IF(C172="EGP",E172/$E$2,E172)))))</f>
        <v>39402194</v>
      </c>
      <c r="G172" s="15" t="str">
        <f>VLOOKUP(B172,SPECIFICATIONF!$C$2:$D$65,2,0)</f>
        <v>GLOBAL HFT</v>
      </c>
      <c r="H172" s="12">
        <f t="shared" si="16"/>
        <v>3</v>
      </c>
      <c r="I172" s="12">
        <f t="shared" si="17"/>
        <v>2025</v>
      </c>
    </row>
    <row r="173" spans="1:9" ht="19.5" customHeight="1" x14ac:dyDescent="0.35">
      <c r="A173" s="41">
        <v>45721</v>
      </c>
      <c r="B173" s="8" t="s">
        <v>24</v>
      </c>
      <c r="C173" s="42" t="s">
        <v>33</v>
      </c>
      <c r="D173" s="43" t="s">
        <v>30</v>
      </c>
      <c r="E173" s="46">
        <v>925</v>
      </c>
      <c r="F173" s="2">
        <f>IF(C173="GBP",E173*$C$3,IF(C173="TRY",E173/$C$1,IF(C173="EUR",E173*$E$1,IF(C173="RUB",E173/#REF!,IF(C173="EGP",E173/$E$2,E173)))))</f>
        <v>925</v>
      </c>
      <c r="G173" s="15" t="str">
        <f>VLOOKUP(B173,SPECIFICATIONF!$C$2:$D$65,2,0)</f>
        <v>GLOBAL RETAIL</v>
      </c>
      <c r="H173" s="12">
        <f t="shared" si="16"/>
        <v>3</v>
      </c>
      <c r="I173" s="12">
        <f t="shared" si="17"/>
        <v>2025</v>
      </c>
    </row>
    <row r="174" spans="1:9" ht="19.5" customHeight="1" x14ac:dyDescent="0.35">
      <c r="A174" s="41">
        <v>45721</v>
      </c>
      <c r="B174" s="8" t="s">
        <v>24</v>
      </c>
      <c r="C174" s="42" t="s">
        <v>11</v>
      </c>
      <c r="D174" s="43" t="s">
        <v>29</v>
      </c>
      <c r="E174" s="47">
        <v>0</v>
      </c>
      <c r="F174" s="2">
        <f>IF(C174="GBP",E174*$C$3,IF(C174="TRY",E174/$C$1,IF(C174="EUR",E174*$E$1,IF(C174="RUB",E174/#REF!,IF(C174="EGP",E174/$E$2,E174)))))</f>
        <v>0</v>
      </c>
      <c r="G174" s="15" t="str">
        <f>VLOOKUP(B174,SPECIFICATIONF!$C$2:$D$65,2,0)</f>
        <v>GLOBAL RETAIL</v>
      </c>
      <c r="H174" s="12">
        <f t="shared" si="16"/>
        <v>3</v>
      </c>
      <c r="I174" s="12">
        <f t="shared" si="17"/>
        <v>2025</v>
      </c>
    </row>
    <row r="175" spans="1:9" ht="19.5" customHeight="1" x14ac:dyDescent="0.35">
      <c r="A175" s="41">
        <v>45721</v>
      </c>
      <c r="B175" s="8" t="s">
        <v>24</v>
      </c>
      <c r="C175" s="42" t="s">
        <v>33</v>
      </c>
      <c r="D175" s="43" t="s">
        <v>29</v>
      </c>
      <c r="E175" s="46">
        <v>989319</v>
      </c>
      <c r="F175" s="2">
        <f>IF(C175="GBP",E175*$C$3,IF(C175="TRY",E175/$C$1,IF(C175="EUR",E175*$E$1,IF(C175="RUB",E175/#REF!,IF(C175="EGP",E175/$E$2,E175)))))</f>
        <v>989319</v>
      </c>
      <c r="G175" s="15" t="str">
        <f>VLOOKUP(B175,SPECIFICATIONF!$C$2:$D$65,2,0)</f>
        <v>GLOBAL RETAIL</v>
      </c>
      <c r="H175" s="12">
        <f t="shared" si="16"/>
        <v>3</v>
      </c>
      <c r="I175" s="12">
        <f t="shared" si="17"/>
        <v>2025</v>
      </c>
    </row>
    <row r="176" spans="1:9" ht="19.399999999999999" customHeight="1" x14ac:dyDescent="0.35">
      <c r="A176" s="41">
        <v>45722</v>
      </c>
      <c r="B176" s="8" t="s">
        <v>32</v>
      </c>
      <c r="C176" s="42" t="s">
        <v>11</v>
      </c>
      <c r="D176" s="43" t="s">
        <v>30</v>
      </c>
      <c r="E176" s="46">
        <v>1216869.28</v>
      </c>
      <c r="F176" s="2">
        <f>IF(C176="GBP",E176*$C$3,IF(C176="TRY",E176/$C$1,IF(C176="EUR",E176*$E$1,IF(C176="RUB",E176/#REF!,IF(C176="EGP",E176/$E$2,E176)))))</f>
        <v>33369.145170003481</v>
      </c>
      <c r="G176" s="15" t="str">
        <f>VLOOKUP(B176,SPECIFICATIONF!$C$2:$D$65,2,0)</f>
        <v>GLOBAL HFT</v>
      </c>
      <c r="H176" s="12">
        <f t="shared" si="16"/>
        <v>3</v>
      </c>
      <c r="I176" s="12">
        <f t="shared" si="17"/>
        <v>2025</v>
      </c>
    </row>
    <row r="177" spans="1:9" ht="19.5" customHeight="1" x14ac:dyDescent="0.35">
      <c r="A177" s="41">
        <v>45722</v>
      </c>
      <c r="B177" s="8" t="s">
        <v>32</v>
      </c>
      <c r="C177" s="42" t="s">
        <v>33</v>
      </c>
      <c r="D177" s="43" t="s">
        <v>30</v>
      </c>
      <c r="E177" s="46">
        <v>8227.84</v>
      </c>
      <c r="F177" s="2">
        <f>IF(C177="GBP",E177*$C$3,IF(C177="TRY",E177/$C$1,IF(C177="EUR",E177*$E$1,IF(C177="RUB",E177/#REF!,IF(C177="EGP",E177/$E$2,E177)))))</f>
        <v>8227.84</v>
      </c>
      <c r="G177" s="15" t="str">
        <f>VLOOKUP(B177,SPECIFICATIONF!$C$2:$D$65,2,0)</f>
        <v>GLOBAL HFT</v>
      </c>
      <c r="H177" s="12">
        <f t="shared" si="16"/>
        <v>3</v>
      </c>
      <c r="I177" s="12">
        <f t="shared" si="17"/>
        <v>2025</v>
      </c>
    </row>
    <row r="178" spans="1:9" ht="19.5" customHeight="1" x14ac:dyDescent="0.35">
      <c r="A178" s="41">
        <v>45722</v>
      </c>
      <c r="B178" s="8" t="s">
        <v>32</v>
      </c>
      <c r="C178" s="42" t="s">
        <v>11</v>
      </c>
      <c r="D178" s="43" t="s">
        <v>29</v>
      </c>
      <c r="E178" s="47">
        <v>4933051761</v>
      </c>
      <c r="F178" s="2">
        <f>IF(C178="GBP",E178*$C$3,IF(C178="TRY",E178/$C$1,IF(C178="EUR",E178*$E$1,IF(C178="RUB",E178/#REF!,IF(C178="EGP",E178/$E$2,E178)))))</f>
        <v>135274776.87985542</v>
      </c>
      <c r="G178" s="15" t="str">
        <f>VLOOKUP(B178,SPECIFICATIONF!$C$2:$D$65,2,0)</f>
        <v>GLOBAL HFT</v>
      </c>
      <c r="H178" s="12">
        <f t="shared" si="16"/>
        <v>3</v>
      </c>
      <c r="I178" s="12">
        <f t="shared" si="17"/>
        <v>2025</v>
      </c>
    </row>
    <row r="179" spans="1:9" ht="19.5" customHeight="1" x14ac:dyDescent="0.35">
      <c r="A179" s="41">
        <v>45722</v>
      </c>
      <c r="B179" s="8" t="s">
        <v>32</v>
      </c>
      <c r="C179" s="42" t="s">
        <v>33</v>
      </c>
      <c r="D179" s="43" t="s">
        <v>29</v>
      </c>
      <c r="E179" s="46">
        <v>32988338</v>
      </c>
      <c r="F179" s="2">
        <f>IF(C179="GBP",E179*$C$3,IF(C179="TRY",E179/$C$1,IF(C179="EUR",E179*$E$1,IF(C179="RUB",E179/#REF!,IF(C179="EGP",E179/$E$2,E179)))))</f>
        <v>32988338</v>
      </c>
      <c r="G179" s="15" t="str">
        <f>VLOOKUP(B179,SPECIFICATIONF!$C$2:$D$65,2,0)</f>
        <v>GLOBAL HFT</v>
      </c>
      <c r="H179" s="12">
        <f t="shared" si="16"/>
        <v>3</v>
      </c>
      <c r="I179" s="12">
        <f t="shared" si="17"/>
        <v>2025</v>
      </c>
    </row>
    <row r="180" spans="1:9" ht="19.5" customHeight="1" x14ac:dyDescent="0.35">
      <c r="A180" s="41">
        <v>45722</v>
      </c>
      <c r="B180" s="8" t="s">
        <v>24</v>
      </c>
      <c r="C180" s="42" t="s">
        <v>33</v>
      </c>
      <c r="D180" s="43" t="s">
        <v>30</v>
      </c>
      <c r="E180" s="46">
        <v>1</v>
      </c>
      <c r="F180" s="2">
        <f>IF(C180="GBP",E180*$C$3,IF(C180="TRY",E180/$C$1,IF(C180="EUR",E180*$E$1,IF(C180="RUB",E180/#REF!,IF(C180="EGP",E180/$E$2,E180)))))</f>
        <v>1</v>
      </c>
      <c r="G180" s="15" t="str">
        <f>VLOOKUP(B180,SPECIFICATIONF!$C$2:$D$65,2,0)</f>
        <v>GLOBAL RETAIL</v>
      </c>
      <c r="H180" s="12">
        <f t="shared" si="16"/>
        <v>3</v>
      </c>
      <c r="I180" s="12">
        <f t="shared" si="17"/>
        <v>2025</v>
      </c>
    </row>
    <row r="181" spans="1:9" ht="19.5" customHeight="1" x14ac:dyDescent="0.35">
      <c r="A181" s="41">
        <v>45722</v>
      </c>
      <c r="B181" s="8" t="s">
        <v>24</v>
      </c>
      <c r="C181" s="42" t="s">
        <v>11</v>
      </c>
      <c r="D181" s="43" t="s">
        <v>29</v>
      </c>
      <c r="E181" s="47">
        <v>0</v>
      </c>
      <c r="F181" s="2">
        <f>IF(C181="GBP",E181*$C$3,IF(C181="TRY",E181/$C$1,IF(C181="EUR",E181*$E$1,IF(C181="RUB",E181/#REF!,IF(C181="EGP",E181/$E$2,E181)))))</f>
        <v>0</v>
      </c>
      <c r="G181" s="15" t="str">
        <f>VLOOKUP(B181,SPECIFICATIONF!$C$2:$D$65,2,0)</f>
        <v>GLOBAL RETAIL</v>
      </c>
      <c r="H181" s="12">
        <f t="shared" si="16"/>
        <v>3</v>
      </c>
      <c r="I181" s="12">
        <f t="shared" si="17"/>
        <v>2025</v>
      </c>
    </row>
    <row r="182" spans="1:9" ht="19.5" customHeight="1" x14ac:dyDescent="0.35">
      <c r="A182" s="41">
        <v>45722</v>
      </c>
      <c r="B182" s="8" t="s">
        <v>24</v>
      </c>
      <c r="C182" s="42" t="s">
        <v>33</v>
      </c>
      <c r="D182" s="43" t="s">
        <v>29</v>
      </c>
      <c r="E182" s="46">
        <v>1057</v>
      </c>
      <c r="F182" s="2">
        <f>IF(C182="GBP",E182*$C$3,IF(C182="TRY",E182/$C$1,IF(C182="EUR",E182*$E$1,IF(C182="RUB",E182/#REF!,IF(C182="EGP",E182/$E$2,E182)))))</f>
        <v>1057</v>
      </c>
      <c r="G182" s="15" t="str">
        <f>VLOOKUP(B182,SPECIFICATIONF!$C$2:$D$65,2,0)</f>
        <v>GLOBAL RETAIL</v>
      </c>
      <c r="H182" s="12">
        <f t="shared" si="16"/>
        <v>3</v>
      </c>
      <c r="I182" s="12">
        <f t="shared" si="17"/>
        <v>2025</v>
      </c>
    </row>
    <row r="183" spans="1:9" ht="19.5" customHeight="1" x14ac:dyDescent="0.35">
      <c r="A183" s="41">
        <v>45723</v>
      </c>
      <c r="B183" s="8" t="s">
        <v>32</v>
      </c>
      <c r="C183" s="42" t="s">
        <v>11</v>
      </c>
      <c r="D183" s="43" t="s">
        <v>30</v>
      </c>
      <c r="E183" s="46">
        <v>1499853.76</v>
      </c>
      <c r="F183" s="2">
        <f>IF(C183="GBP",E183*$C$3,IF(C183="TRY",E183/$C$1,IF(C183="EUR",E183*$E$1,IF(C183="RUB",E183/#REF!,IF(C183="EGP",E183/$E$2,E183)))))</f>
        <v>41129.181805966502</v>
      </c>
      <c r="G183" s="15" t="str">
        <f>VLOOKUP(B183,SPECIFICATIONF!$C$2:$D$65,2,0)</f>
        <v>GLOBAL HFT</v>
      </c>
      <c r="H183" s="12">
        <f t="shared" si="16"/>
        <v>3</v>
      </c>
      <c r="I183" s="12">
        <f t="shared" si="17"/>
        <v>2025</v>
      </c>
    </row>
    <row r="184" spans="1:9" ht="19.5" customHeight="1" x14ac:dyDescent="0.35">
      <c r="A184" s="41">
        <v>45723</v>
      </c>
      <c r="B184" s="8" t="s">
        <v>32</v>
      </c>
      <c r="C184" s="42" t="s">
        <v>33</v>
      </c>
      <c r="D184" s="43" t="s">
        <v>30</v>
      </c>
      <c r="E184" s="46">
        <v>9878.42</v>
      </c>
      <c r="F184" s="2">
        <f>IF(C184="GBP",E184*$C$3,IF(C184="TRY",E184/$C$1,IF(C184="EUR",E184*$E$1,IF(C184="RUB",E184/#REF!,IF(C184="EGP",E184/$E$2,E184)))))</f>
        <v>9878.42</v>
      </c>
      <c r="G184" s="15" t="str">
        <f>VLOOKUP(B184,SPECIFICATIONF!$C$2:$D$65,2,0)</f>
        <v>GLOBAL HFT</v>
      </c>
      <c r="H184" s="12">
        <f t="shared" si="16"/>
        <v>3</v>
      </c>
      <c r="I184" s="12">
        <f t="shared" si="17"/>
        <v>2025</v>
      </c>
    </row>
    <row r="185" spans="1:9" ht="19.5" customHeight="1" x14ac:dyDescent="0.35">
      <c r="A185" s="41">
        <v>45723</v>
      </c>
      <c r="B185" s="8" t="s">
        <v>32</v>
      </c>
      <c r="C185" s="42" t="s">
        <v>11</v>
      </c>
      <c r="D185" s="43" t="s">
        <v>29</v>
      </c>
      <c r="E185" s="47">
        <v>5936184286</v>
      </c>
      <c r="F185" s="2">
        <f>IF(C185="GBP",E185*$C$3,IF(C185="TRY",E185/$C$1,IF(C185="EUR",E185*$E$1,IF(C185="RUB",E185/#REF!,IF(C185="EGP",E185/$E$2,E185)))))</f>
        <v>162782805.39338413</v>
      </c>
      <c r="G185" s="15" t="str">
        <f>VLOOKUP(B185,SPECIFICATIONF!$C$2:$D$65,2,0)</f>
        <v>GLOBAL HFT</v>
      </c>
      <c r="H185" s="12">
        <f t="shared" si="16"/>
        <v>3</v>
      </c>
      <c r="I185" s="12">
        <f t="shared" si="17"/>
        <v>2025</v>
      </c>
    </row>
    <row r="186" spans="1:9" ht="19.5" customHeight="1" x14ac:dyDescent="0.35">
      <c r="A186" s="41">
        <v>45723</v>
      </c>
      <c r="B186" s="8" t="s">
        <v>32</v>
      </c>
      <c r="C186" s="42" t="s">
        <v>33</v>
      </c>
      <c r="D186" s="43" t="s">
        <v>29</v>
      </c>
      <c r="E186" s="46">
        <v>39610272</v>
      </c>
      <c r="F186" s="2">
        <f>IF(C186="GBP",E186*$C$3,IF(C186="TRY",E186/$C$1,IF(C186="EUR",E186*$E$1,IF(C186="RUB",E186/#REF!,IF(C186="EGP",E186/$E$2,E186)))))</f>
        <v>39610272</v>
      </c>
      <c r="G186" s="15" t="str">
        <f>VLOOKUP(B186,SPECIFICATIONF!$C$2:$D$65,2,0)</f>
        <v>GLOBAL HFT</v>
      </c>
      <c r="H186" s="12">
        <f t="shared" si="16"/>
        <v>3</v>
      </c>
      <c r="I186" s="12">
        <f t="shared" si="17"/>
        <v>2025</v>
      </c>
    </row>
    <row r="187" spans="1:9" ht="19.5" customHeight="1" x14ac:dyDescent="0.35">
      <c r="A187" s="41">
        <v>45723</v>
      </c>
      <c r="B187" s="8" t="s">
        <v>24</v>
      </c>
      <c r="C187" s="42" t="s">
        <v>33</v>
      </c>
      <c r="D187" s="43" t="s">
        <v>30</v>
      </c>
      <c r="E187" s="46">
        <v>0</v>
      </c>
      <c r="F187" s="2">
        <f>IF(C187="GBP",E187*$C$3,IF(C187="TRY",E187/$C$1,IF(C187="EUR",E187*$E$1,IF(C187="RUB",E187/#REF!,IF(C187="EGP",E187/$E$2,E187)))))</f>
        <v>0</v>
      </c>
      <c r="G187" s="15" t="str">
        <f>VLOOKUP(B187,SPECIFICATIONF!$C$2:$D$65,2,0)</f>
        <v>GLOBAL RETAIL</v>
      </c>
      <c r="H187" s="12">
        <f t="shared" si="16"/>
        <v>3</v>
      </c>
      <c r="I187" s="12">
        <f t="shared" si="17"/>
        <v>2025</v>
      </c>
    </row>
    <row r="188" spans="1:9" ht="19.5" customHeight="1" x14ac:dyDescent="0.35">
      <c r="A188" s="41">
        <v>45723</v>
      </c>
      <c r="B188" s="8" t="s">
        <v>24</v>
      </c>
      <c r="C188" s="42" t="s">
        <v>11</v>
      </c>
      <c r="D188" s="43" t="s">
        <v>29</v>
      </c>
      <c r="E188" s="47">
        <v>0</v>
      </c>
      <c r="F188" s="2">
        <f>IF(C188="GBP",E188*$C$3,IF(C188="TRY",E188/$C$1,IF(C188="EUR",E188*$E$1,IF(C188="RUB",E188/#REF!,IF(C188="EGP",E188/$E$2,E188)))))</f>
        <v>0</v>
      </c>
      <c r="G188" s="15" t="str">
        <f>VLOOKUP(B188,SPECIFICATIONF!$C$2:$D$65,2,0)</f>
        <v>GLOBAL RETAIL</v>
      </c>
      <c r="H188" s="12">
        <f t="shared" si="16"/>
        <v>3</v>
      </c>
      <c r="I188" s="12">
        <f t="shared" si="17"/>
        <v>2025</v>
      </c>
    </row>
    <row r="189" spans="1:9" ht="19.5" customHeight="1" x14ac:dyDescent="0.35">
      <c r="A189" s="41">
        <v>45723</v>
      </c>
      <c r="B189" s="8" t="s">
        <v>24</v>
      </c>
      <c r="C189" s="42" t="s">
        <v>33</v>
      </c>
      <c r="D189" s="43" t="s">
        <v>29</v>
      </c>
      <c r="E189" s="46">
        <v>0</v>
      </c>
      <c r="F189" s="2">
        <f>IF(C189="GBP",E189*$C$3,IF(C189="TRY",E189/$C$1,IF(C189="EUR",E189*$E$1,IF(C189="RUB",E189/#REF!,IF(C189="EGP",E189/$E$2,E189)))))</f>
        <v>0</v>
      </c>
      <c r="G189" s="15" t="str">
        <f>VLOOKUP(B189,SPECIFICATIONF!$C$2:$D$65,2,0)</f>
        <v>GLOBAL RETAIL</v>
      </c>
      <c r="H189" s="12">
        <f t="shared" si="16"/>
        <v>3</v>
      </c>
      <c r="I189" s="12">
        <f t="shared" si="17"/>
        <v>2025</v>
      </c>
    </row>
    <row r="190" spans="1:9" ht="19.5" customHeight="1" x14ac:dyDescent="0.35">
      <c r="A190" s="41">
        <v>45724</v>
      </c>
      <c r="B190" s="8" t="s">
        <v>32</v>
      </c>
      <c r="C190" s="42" t="s">
        <v>11</v>
      </c>
      <c r="D190" s="43" t="s">
        <v>30</v>
      </c>
      <c r="E190" s="46">
        <v>967628.68</v>
      </c>
      <c r="F190" s="2">
        <f>IF(C190="GBP",E190*$C$3,IF(C190="TRY",E190/$C$1,IF(C190="EUR",E190*$E$1,IF(C190="RUB",E190/#REF!,IF(C190="EGP",E190/$E$2,E190)))))</f>
        <v>26534.437531021282</v>
      </c>
      <c r="G190" s="15" t="str">
        <f>VLOOKUP(B190,SPECIFICATIONF!$C$2:$D$65,2,0)</f>
        <v>GLOBAL HFT</v>
      </c>
      <c r="H190" s="12">
        <f t="shared" si="16"/>
        <v>3</v>
      </c>
      <c r="I190" s="12">
        <f t="shared" si="17"/>
        <v>2025</v>
      </c>
    </row>
    <row r="191" spans="1:9" ht="19.5" customHeight="1" x14ac:dyDescent="0.35">
      <c r="A191" s="41">
        <v>45724</v>
      </c>
      <c r="B191" s="8" t="s">
        <v>32</v>
      </c>
      <c r="C191" s="42" t="s">
        <v>33</v>
      </c>
      <c r="D191" s="43" t="s">
        <v>30</v>
      </c>
      <c r="E191" s="46">
        <v>5664.87</v>
      </c>
      <c r="F191" s="2">
        <f>IF(C191="GBP",E191*$C$3,IF(C191="TRY",E191/$C$1,IF(C191="EUR",E191*$E$1,IF(C191="RUB",E191/#REF!,IF(C191="EGP",E191/$E$2,E191)))))</f>
        <v>5664.87</v>
      </c>
      <c r="G191" s="15" t="str">
        <f>VLOOKUP(B191,SPECIFICATIONF!$C$2:$D$65,2,0)</f>
        <v>GLOBAL HFT</v>
      </c>
      <c r="H191" s="12">
        <f t="shared" si="16"/>
        <v>3</v>
      </c>
      <c r="I191" s="12">
        <f t="shared" si="17"/>
        <v>2025</v>
      </c>
    </row>
    <row r="192" spans="1:9" ht="19.5" customHeight="1" x14ac:dyDescent="0.35">
      <c r="A192" s="41">
        <v>45724</v>
      </c>
      <c r="B192" s="8" t="s">
        <v>32</v>
      </c>
      <c r="C192" s="42" t="s">
        <v>11</v>
      </c>
      <c r="D192" s="43" t="s">
        <v>29</v>
      </c>
      <c r="E192" s="47">
        <v>3861824252</v>
      </c>
      <c r="F192" s="2">
        <f>IF(C192="GBP",E192*$C$3,IF(C192="TRY",E192/$C$1,IF(C192="EUR",E192*$E$1,IF(C192="RUB",E192/#REF!,IF(C192="EGP",E192/$E$2,E192)))))</f>
        <v>105899438.99810512</v>
      </c>
      <c r="G192" s="15" t="str">
        <f>VLOOKUP(B192,SPECIFICATIONF!$C$2:$D$65,2,0)</f>
        <v>GLOBAL HFT</v>
      </c>
      <c r="H192" s="12">
        <f t="shared" si="16"/>
        <v>3</v>
      </c>
      <c r="I192" s="12">
        <f t="shared" si="17"/>
        <v>2025</v>
      </c>
    </row>
    <row r="193" spans="1:9" ht="19.5" customHeight="1" x14ac:dyDescent="0.35">
      <c r="A193" s="41">
        <v>45724</v>
      </c>
      <c r="B193" s="8" t="s">
        <v>32</v>
      </c>
      <c r="C193" s="42" t="s">
        <v>33</v>
      </c>
      <c r="D193" s="43" t="s">
        <v>29</v>
      </c>
      <c r="E193" s="46">
        <v>23083574</v>
      </c>
      <c r="F193" s="2">
        <f>IF(C193="GBP",E193*$C$3,IF(C193="TRY",E193/$C$1,IF(C193="EUR",E193*$E$1,IF(C193="RUB",E193/#REF!,IF(C193="EGP",E193/$E$2,E193)))))</f>
        <v>23083574</v>
      </c>
      <c r="G193" s="15" t="str">
        <f>VLOOKUP(B193,SPECIFICATIONF!$C$2:$D$65,2,0)</f>
        <v>GLOBAL HFT</v>
      </c>
      <c r="H193" s="12">
        <f t="shared" si="16"/>
        <v>3</v>
      </c>
      <c r="I193" s="12">
        <f t="shared" si="17"/>
        <v>2025</v>
      </c>
    </row>
    <row r="194" spans="1:9" ht="19.5" customHeight="1" x14ac:dyDescent="0.35">
      <c r="A194" s="41">
        <v>45724</v>
      </c>
      <c r="B194" s="8" t="s">
        <v>24</v>
      </c>
      <c r="C194" s="42" t="s">
        <v>33</v>
      </c>
      <c r="D194" s="43" t="s">
        <v>30</v>
      </c>
      <c r="E194" s="46">
        <v>0</v>
      </c>
      <c r="F194" s="2">
        <f>IF(C194="GBP",E194*$C$3,IF(C194="TRY",E194/$C$1,IF(C194="EUR",E194*$E$1,IF(C194="RUB",E194/#REF!,IF(C194="EGP",E194/$E$2,E194)))))</f>
        <v>0</v>
      </c>
      <c r="G194" s="15" t="str">
        <f>VLOOKUP(B194,SPECIFICATIONF!$C$2:$D$65,2,0)</f>
        <v>GLOBAL RETAIL</v>
      </c>
      <c r="H194" s="12">
        <f t="shared" si="16"/>
        <v>3</v>
      </c>
      <c r="I194" s="12">
        <f t="shared" si="17"/>
        <v>2025</v>
      </c>
    </row>
    <row r="195" spans="1:9" ht="19.5" customHeight="1" x14ac:dyDescent="0.35">
      <c r="A195" s="41">
        <v>45724</v>
      </c>
      <c r="B195" s="8" t="s">
        <v>24</v>
      </c>
      <c r="C195" s="42" t="s">
        <v>11</v>
      </c>
      <c r="D195" s="43" t="s">
        <v>29</v>
      </c>
      <c r="E195" s="47">
        <v>0</v>
      </c>
      <c r="F195" s="2">
        <f>IF(C195="GBP",E195*$C$3,IF(C195="TRY",E195/$C$1,IF(C195="EUR",E195*$E$1,IF(C195="RUB",E195/#REF!,IF(C195="EGP",E195/$E$2,E195)))))</f>
        <v>0</v>
      </c>
      <c r="G195" s="15" t="str">
        <f>VLOOKUP(B195,SPECIFICATIONF!$C$2:$D$65,2,0)</f>
        <v>GLOBAL RETAIL</v>
      </c>
      <c r="H195" s="12">
        <f t="shared" si="16"/>
        <v>3</v>
      </c>
      <c r="I195" s="12">
        <f t="shared" si="17"/>
        <v>2025</v>
      </c>
    </row>
    <row r="196" spans="1:9" ht="19.5" customHeight="1" x14ac:dyDescent="0.35">
      <c r="A196" s="41">
        <v>45724</v>
      </c>
      <c r="B196" s="8" t="s">
        <v>24</v>
      </c>
      <c r="C196" s="42" t="s">
        <v>33</v>
      </c>
      <c r="D196" s="43" t="s">
        <v>29</v>
      </c>
      <c r="E196" s="46">
        <v>0</v>
      </c>
      <c r="F196" s="2">
        <f>IF(C196="GBP",E196*$C$3,IF(C196="TRY",E196/$C$1,IF(C196="EUR",E196*$E$1,IF(C196="RUB",E196/#REF!,IF(C196="EGP",E196/$E$2,E196)))))</f>
        <v>0</v>
      </c>
      <c r="G196" s="15" t="str">
        <f>VLOOKUP(B196,SPECIFICATIONF!$C$2:$D$65,2,0)</f>
        <v>GLOBAL RETAIL</v>
      </c>
      <c r="H196" s="12">
        <f t="shared" si="16"/>
        <v>3</v>
      </c>
      <c r="I196" s="12">
        <f t="shared" si="17"/>
        <v>2025</v>
      </c>
    </row>
    <row r="197" spans="1:9" ht="19.5" customHeight="1" x14ac:dyDescent="0.35">
      <c r="A197" s="41">
        <v>45725</v>
      </c>
      <c r="B197" s="8" t="s">
        <v>32</v>
      </c>
      <c r="C197" s="42" t="s">
        <v>11</v>
      </c>
      <c r="D197" s="43" t="s">
        <v>30</v>
      </c>
      <c r="E197" s="46">
        <v>1460386.76</v>
      </c>
      <c r="F197" s="2">
        <f>IF(C197="GBP",E197*$C$3,IF(C197="TRY",E197/$C$1,IF(C197="EUR",E197*$E$1,IF(C197="RUB",E197/#REF!,IF(C197="EGP",E197/$E$2,E197)))))</f>
        <v>40046.912679717767</v>
      </c>
      <c r="G197" s="15" t="str">
        <f>VLOOKUP(B197,SPECIFICATIONF!$C$2:$D$65,2,0)</f>
        <v>GLOBAL HFT</v>
      </c>
      <c r="H197" s="12">
        <f t="shared" si="16"/>
        <v>3</v>
      </c>
      <c r="I197" s="12">
        <f t="shared" si="17"/>
        <v>2025</v>
      </c>
    </row>
    <row r="198" spans="1:9" ht="19.5" customHeight="1" x14ac:dyDescent="0.35">
      <c r="A198" s="41">
        <v>45725</v>
      </c>
      <c r="B198" s="8" t="s">
        <v>32</v>
      </c>
      <c r="C198" s="42" t="s">
        <v>33</v>
      </c>
      <c r="D198" s="43" t="s">
        <v>30</v>
      </c>
      <c r="E198" s="46">
        <v>6680.5</v>
      </c>
      <c r="F198" s="2">
        <f>IF(C198="GBP",E198*$C$3,IF(C198="TRY",E198/$C$1,IF(C198="EUR",E198*$E$1,IF(C198="RUB",E198/#REF!,IF(C198="EGP",E198/$E$2,E198)))))</f>
        <v>6680.5</v>
      </c>
      <c r="G198" s="15" t="str">
        <f>VLOOKUP(B198,SPECIFICATIONF!$C$2:$D$65,2,0)</f>
        <v>GLOBAL HFT</v>
      </c>
      <c r="H198" s="12">
        <f t="shared" si="16"/>
        <v>3</v>
      </c>
      <c r="I198" s="12">
        <f t="shared" si="17"/>
        <v>2025</v>
      </c>
    </row>
    <row r="199" spans="1:9" ht="19.5" customHeight="1" x14ac:dyDescent="0.35">
      <c r="A199" s="41">
        <v>45725</v>
      </c>
      <c r="B199" s="8" t="s">
        <v>32</v>
      </c>
      <c r="C199" s="42" t="s">
        <v>11</v>
      </c>
      <c r="D199" s="43" t="s">
        <v>29</v>
      </c>
      <c r="E199" s="47">
        <v>5895225307</v>
      </c>
      <c r="F199" s="2">
        <f>IF(C199="GBP",E199*$C$3,IF(C199="TRY",E199/$C$1,IF(C199="EUR",E199*$E$1,IF(C199="RUB",E199/#REF!,IF(C199="EGP",E199/$E$2,E199)))))</f>
        <v>161659623.0280062</v>
      </c>
      <c r="G199" s="15" t="str">
        <f>VLOOKUP(B199,SPECIFICATIONF!$C$2:$D$65,2,0)</f>
        <v>GLOBAL HFT</v>
      </c>
      <c r="H199" s="12">
        <f t="shared" si="16"/>
        <v>3</v>
      </c>
      <c r="I199" s="12">
        <f t="shared" si="17"/>
        <v>2025</v>
      </c>
    </row>
    <row r="200" spans="1:9" ht="19.5" customHeight="1" x14ac:dyDescent="0.35">
      <c r="A200" s="41">
        <v>45725</v>
      </c>
      <c r="B200" s="8" t="s">
        <v>32</v>
      </c>
      <c r="C200" s="42" t="s">
        <v>33</v>
      </c>
      <c r="D200" s="43" t="s">
        <v>29</v>
      </c>
      <c r="E200" s="46">
        <v>28107178</v>
      </c>
      <c r="F200" s="2">
        <f>IF(C200="GBP",E200*$C$3,IF(C200="TRY",E200/$C$1,IF(C200="EUR",E200*$E$1,IF(C200="RUB",E200/#REF!,IF(C200="EGP",E200/$E$2,E200)))))</f>
        <v>28107178</v>
      </c>
      <c r="G200" s="15" t="str">
        <f>VLOOKUP(B200,SPECIFICATIONF!$C$2:$D$65,2,0)</f>
        <v>GLOBAL HFT</v>
      </c>
      <c r="H200" s="12">
        <f t="shared" si="16"/>
        <v>3</v>
      </c>
      <c r="I200" s="12">
        <f t="shared" si="17"/>
        <v>2025</v>
      </c>
    </row>
    <row r="201" spans="1:9" ht="19.5" customHeight="1" x14ac:dyDescent="0.35">
      <c r="A201" s="41">
        <v>45725</v>
      </c>
      <c r="B201" s="8" t="s">
        <v>24</v>
      </c>
      <c r="C201" s="42" t="s">
        <v>33</v>
      </c>
      <c r="D201" s="43" t="s">
        <v>30</v>
      </c>
      <c r="E201" s="46">
        <v>1</v>
      </c>
      <c r="F201" s="2">
        <f>IF(C201="GBP",E201*$C$3,IF(C201="TRY",E201/$C$1,IF(C201="EUR",E201*$E$1,IF(C201="RUB",E201/#REF!,IF(C201="EGP",E201/$E$2,E201)))))</f>
        <v>1</v>
      </c>
      <c r="G201" s="15" t="str">
        <f>VLOOKUP(B201,SPECIFICATIONF!$C$2:$D$65,2,0)</f>
        <v>GLOBAL RETAIL</v>
      </c>
      <c r="H201" s="12">
        <f t="shared" si="16"/>
        <v>3</v>
      </c>
      <c r="I201" s="12">
        <f t="shared" si="17"/>
        <v>2025</v>
      </c>
    </row>
    <row r="202" spans="1:9" ht="19.5" customHeight="1" x14ac:dyDescent="0.35">
      <c r="A202" s="41">
        <v>45725</v>
      </c>
      <c r="B202" s="8" t="s">
        <v>24</v>
      </c>
      <c r="C202" s="42" t="s">
        <v>11</v>
      </c>
      <c r="D202" s="43" t="s">
        <v>29</v>
      </c>
      <c r="E202" s="47">
        <v>0</v>
      </c>
      <c r="F202" s="2">
        <f>IF(C202="GBP",E202*$C$3,IF(C202="TRY",E202/$C$1,IF(C202="EUR",E202*$E$1,IF(C202="RUB",E202/#REF!,IF(C202="EGP",E202/$E$2,E202)))))</f>
        <v>0</v>
      </c>
      <c r="G202" s="15" t="str">
        <f>VLOOKUP(B202,SPECIFICATIONF!$C$2:$D$65,2,0)</f>
        <v>GLOBAL RETAIL</v>
      </c>
      <c r="H202" s="12">
        <f t="shared" si="16"/>
        <v>3</v>
      </c>
      <c r="I202" s="12">
        <f t="shared" si="17"/>
        <v>2025</v>
      </c>
    </row>
    <row r="203" spans="1:9" ht="19.5" customHeight="1" x14ac:dyDescent="0.35">
      <c r="A203" s="41">
        <v>45725</v>
      </c>
      <c r="B203" s="8" t="s">
        <v>24</v>
      </c>
      <c r="C203" s="42" t="s">
        <v>33</v>
      </c>
      <c r="D203" s="43" t="s">
        <v>29</v>
      </c>
      <c r="E203" s="46">
        <v>999</v>
      </c>
      <c r="F203" s="2">
        <f>IF(C203="GBP",E203*$C$3,IF(C203="TRY",E203/$C$1,IF(C203="EUR",E203*$E$1,IF(C203="RUB",E203/#REF!,IF(C203="EGP",E203/$E$2,E203)))))</f>
        <v>999</v>
      </c>
      <c r="G203" s="15" t="str">
        <f>VLOOKUP(B203,SPECIFICATIONF!$C$2:$D$65,2,0)</f>
        <v>GLOBAL RETAIL</v>
      </c>
      <c r="H203" s="12">
        <f t="shared" si="16"/>
        <v>3</v>
      </c>
      <c r="I203" s="12">
        <f t="shared" si="17"/>
        <v>2025</v>
      </c>
    </row>
    <row r="204" spans="1:9" ht="19.5" customHeight="1" x14ac:dyDescent="0.35">
      <c r="A204" s="41">
        <v>45726</v>
      </c>
      <c r="B204" s="8" t="s">
        <v>32</v>
      </c>
      <c r="C204" s="42" t="s">
        <v>11</v>
      </c>
      <c r="D204" s="43" t="s">
        <v>30</v>
      </c>
      <c r="E204" s="46">
        <v>2609368.3199999998</v>
      </c>
      <c r="F204" s="2">
        <f>IF(C204="GBP",E204*$C$3,IF(C204="TRY",E204/$C$1,IF(C204="EUR",E204*$E$1,IF(C204="RUB",E204/#REF!,IF(C204="EGP",E204/$E$2,E204)))))</f>
        <v>71554.432101439932</v>
      </c>
      <c r="G204" s="15" t="str">
        <f>VLOOKUP(B204,SPECIFICATIONF!$C$2:$D$65,2,0)</f>
        <v>GLOBAL HFT</v>
      </c>
      <c r="H204" s="12">
        <f t="shared" si="16"/>
        <v>3</v>
      </c>
      <c r="I204" s="12">
        <f t="shared" si="17"/>
        <v>2025</v>
      </c>
    </row>
    <row r="205" spans="1:9" ht="19.5" customHeight="1" x14ac:dyDescent="0.35">
      <c r="A205" s="41">
        <v>45726</v>
      </c>
      <c r="B205" s="8" t="s">
        <v>32</v>
      </c>
      <c r="C205" s="42" t="s">
        <v>33</v>
      </c>
      <c r="D205" s="43" t="s">
        <v>30</v>
      </c>
      <c r="E205" s="46">
        <v>11361.04</v>
      </c>
      <c r="F205" s="2">
        <f>IF(C205="GBP",E205*$C$3,IF(C205="TRY",E205/$C$1,IF(C205="EUR",E205*$E$1,IF(C205="RUB",E205/#REF!,IF(C205="EGP",E205/$E$2,E205)))))</f>
        <v>11361.04</v>
      </c>
      <c r="G205" s="15" t="str">
        <f>VLOOKUP(B205,SPECIFICATIONF!$C$2:$D$65,2,0)</f>
        <v>GLOBAL HFT</v>
      </c>
      <c r="H205" s="12">
        <f t="shared" si="16"/>
        <v>3</v>
      </c>
      <c r="I205" s="12">
        <f t="shared" si="17"/>
        <v>2025</v>
      </c>
    </row>
    <row r="206" spans="1:9" ht="19.5" customHeight="1" x14ac:dyDescent="0.35">
      <c r="A206" s="41">
        <v>45726</v>
      </c>
      <c r="B206" s="8" t="s">
        <v>32</v>
      </c>
      <c r="C206" s="42" t="s">
        <v>11</v>
      </c>
      <c r="D206" s="43" t="s">
        <v>29</v>
      </c>
      <c r="E206" s="47">
        <v>10212133935</v>
      </c>
      <c r="F206" s="2">
        <f>IF(C206="GBP",E206*$C$3,IF(C206="TRY",E206/$C$1,IF(C206="EUR",E206*$E$1,IF(C206="RUB",E206/#REF!,IF(C206="EGP",E206/$E$2,E206)))))</f>
        <v>280038444.04103446</v>
      </c>
      <c r="G206" s="15" t="str">
        <f>VLOOKUP(B206,SPECIFICATIONF!$C$2:$D$65,2,0)</f>
        <v>GLOBAL HFT</v>
      </c>
      <c r="H206" s="12">
        <f t="shared" si="16"/>
        <v>3</v>
      </c>
      <c r="I206" s="12">
        <f t="shared" si="17"/>
        <v>2025</v>
      </c>
    </row>
    <row r="207" spans="1:9" ht="19.5" customHeight="1" x14ac:dyDescent="0.35">
      <c r="A207" s="41">
        <v>45726</v>
      </c>
      <c r="B207" s="8" t="s">
        <v>32</v>
      </c>
      <c r="C207" s="42" t="s">
        <v>33</v>
      </c>
      <c r="D207" s="43" t="s">
        <v>29</v>
      </c>
      <c r="E207" s="46">
        <v>46437885</v>
      </c>
      <c r="F207" s="2">
        <f>IF(C207="GBP",E207*$C$3,IF(C207="TRY",E207/$C$1,IF(C207="EUR",E207*$E$1,IF(C207="RUB",E207/#REF!,IF(C207="EGP",E207/$E$2,E207)))))</f>
        <v>46437885</v>
      </c>
      <c r="G207" s="15" t="str">
        <f>VLOOKUP(B207,SPECIFICATIONF!$C$2:$D$65,2,0)</f>
        <v>GLOBAL HFT</v>
      </c>
      <c r="H207" s="12">
        <f t="shared" si="16"/>
        <v>3</v>
      </c>
      <c r="I207" s="12">
        <f t="shared" si="17"/>
        <v>2025</v>
      </c>
    </row>
    <row r="208" spans="1:9" ht="19.5" customHeight="1" x14ac:dyDescent="0.35">
      <c r="A208" s="41">
        <v>45726</v>
      </c>
      <c r="B208" s="8" t="s">
        <v>24</v>
      </c>
      <c r="C208" s="42" t="s">
        <v>33</v>
      </c>
      <c r="D208" s="43" t="s">
        <v>30</v>
      </c>
      <c r="E208" s="46">
        <v>4</v>
      </c>
      <c r="F208" s="2">
        <f>IF(C208="GBP",E208*$C$3,IF(C208="TRY",E208/$C$1,IF(C208="EUR",E208*$E$1,IF(C208="RUB",E208/#REF!,IF(C208="EGP",E208/$E$2,E208)))))</f>
        <v>4</v>
      </c>
      <c r="G208" s="15" t="str">
        <f>VLOOKUP(B208,SPECIFICATIONF!$C$2:$D$65,2,0)</f>
        <v>GLOBAL RETAIL</v>
      </c>
      <c r="H208" s="12">
        <f t="shared" si="16"/>
        <v>3</v>
      </c>
      <c r="I208" s="12">
        <f t="shared" si="17"/>
        <v>2025</v>
      </c>
    </row>
    <row r="209" spans="1:9" ht="19.5" customHeight="1" x14ac:dyDescent="0.35">
      <c r="A209" s="41">
        <v>45726</v>
      </c>
      <c r="B209" s="8" t="s">
        <v>24</v>
      </c>
      <c r="C209" s="42" t="s">
        <v>11</v>
      </c>
      <c r="D209" s="43" t="s">
        <v>29</v>
      </c>
      <c r="E209" s="47">
        <v>0</v>
      </c>
      <c r="F209" s="2">
        <f>IF(C209="GBP",E209*$C$3,IF(C209="TRY",E209/$C$1,IF(C209="EUR",E209*$E$1,IF(C209="RUB",E209/#REF!,IF(C209="EGP",E209/$E$2,E209)))))</f>
        <v>0</v>
      </c>
      <c r="G209" s="15" t="str">
        <f>VLOOKUP(B209,SPECIFICATIONF!$C$2:$D$65,2,0)</f>
        <v>GLOBAL RETAIL</v>
      </c>
      <c r="H209" s="12">
        <f t="shared" si="16"/>
        <v>3</v>
      </c>
      <c r="I209" s="12">
        <f t="shared" si="17"/>
        <v>2025</v>
      </c>
    </row>
    <row r="210" spans="1:9" ht="19.5" customHeight="1" x14ac:dyDescent="0.35">
      <c r="A210" s="41">
        <v>45726</v>
      </c>
      <c r="B210" s="8" t="s">
        <v>24</v>
      </c>
      <c r="C210" s="42" t="s">
        <v>33</v>
      </c>
      <c r="D210" s="43" t="s">
        <v>29</v>
      </c>
      <c r="E210" s="46">
        <v>4034</v>
      </c>
      <c r="F210" s="2">
        <f>IF(C210="GBP",E210*$C$3,IF(C210="TRY",E210/$C$1,IF(C210="EUR",E210*$E$1,IF(C210="RUB",E210/#REF!,IF(C210="EGP",E210/$E$2,E210)))))</f>
        <v>4034</v>
      </c>
      <c r="G210" s="15" t="str">
        <f>VLOOKUP(B210,SPECIFICATIONF!$C$2:$D$65,2,0)</f>
        <v>GLOBAL RETAIL</v>
      </c>
      <c r="H210" s="12">
        <f t="shared" si="16"/>
        <v>3</v>
      </c>
      <c r="I210" s="12">
        <f t="shared" si="17"/>
        <v>2025</v>
      </c>
    </row>
    <row r="211" spans="1:9" ht="19.5" customHeight="1" x14ac:dyDescent="0.35">
      <c r="A211" s="41">
        <v>45727</v>
      </c>
      <c r="B211" s="8" t="s">
        <v>32</v>
      </c>
      <c r="C211" s="42" t="s">
        <v>11</v>
      </c>
      <c r="D211" s="43" t="s">
        <v>30</v>
      </c>
      <c r="E211" s="46">
        <v>2858653</v>
      </c>
      <c r="F211" s="2">
        <f>IF(C211="GBP",E211*$C$3,IF(C211="TRY",E211/$C$1,IF(C211="EUR",E211*$E$1,IF(C211="RUB",E211/#REF!,IF(C211="EGP",E211/$E$2,E211)))))</f>
        <v>78390.348507824892</v>
      </c>
      <c r="G211" s="15" t="str">
        <f>VLOOKUP(B211,SPECIFICATIONF!$C$2:$D$65,2,0)</f>
        <v>GLOBAL HFT</v>
      </c>
      <c r="H211" s="12">
        <f t="shared" si="16"/>
        <v>3</v>
      </c>
      <c r="I211" s="12">
        <f t="shared" si="17"/>
        <v>2025</v>
      </c>
    </row>
    <row r="212" spans="1:9" ht="19.5" customHeight="1" x14ac:dyDescent="0.35">
      <c r="A212" s="41">
        <v>45727</v>
      </c>
      <c r="B212" s="8" t="s">
        <v>32</v>
      </c>
      <c r="C212" s="42" t="s">
        <v>33</v>
      </c>
      <c r="D212" s="43" t="s">
        <v>30</v>
      </c>
      <c r="E212" s="46">
        <v>12277.45</v>
      </c>
      <c r="F212" s="2">
        <f>IF(C212="GBP",E212*$C$3,IF(C212="TRY",E212/$C$1,IF(C212="EUR",E212*$E$1,IF(C212="RUB",E212/#REF!,IF(C212="EGP",E212/$E$2,E212)))))</f>
        <v>12277.45</v>
      </c>
      <c r="G212" s="15" t="str">
        <f>VLOOKUP(B212,SPECIFICATIONF!$C$2:$D$65,2,0)</f>
        <v>GLOBAL HFT</v>
      </c>
      <c r="H212" s="12">
        <f t="shared" si="16"/>
        <v>3</v>
      </c>
      <c r="I212" s="12">
        <f t="shared" si="17"/>
        <v>2025</v>
      </c>
    </row>
    <row r="213" spans="1:9" ht="19.5" customHeight="1" x14ac:dyDescent="0.35">
      <c r="A213" s="41">
        <v>45727</v>
      </c>
      <c r="B213" s="8" t="s">
        <v>32</v>
      </c>
      <c r="C213" s="42" t="s">
        <v>11</v>
      </c>
      <c r="D213" s="43" t="s">
        <v>29</v>
      </c>
      <c r="E213" s="47">
        <v>11235659925</v>
      </c>
      <c r="F213" s="2">
        <f>IF(C213="GBP",E213*$C$3,IF(C213="TRY",E213/$C$1,IF(C213="EUR",E213*$E$1,IF(C213="RUB",E213/#REF!,IF(C213="EGP",E213/$E$2,E213)))))</f>
        <v>308105704.76240093</v>
      </c>
      <c r="G213" s="15" t="str">
        <f>VLOOKUP(B213,SPECIFICATIONF!$C$2:$D$65,2,0)</f>
        <v>GLOBAL HFT</v>
      </c>
      <c r="H213" s="12">
        <f t="shared" si="16"/>
        <v>3</v>
      </c>
      <c r="I213" s="12">
        <f t="shared" si="17"/>
        <v>2025</v>
      </c>
    </row>
    <row r="214" spans="1:9" ht="19.5" customHeight="1" x14ac:dyDescent="0.35">
      <c r="A214" s="41">
        <v>45727</v>
      </c>
      <c r="B214" s="8" t="s">
        <v>32</v>
      </c>
      <c r="C214" s="42" t="s">
        <v>33</v>
      </c>
      <c r="D214" s="43" t="s">
        <v>29</v>
      </c>
      <c r="E214" s="46">
        <v>50113999</v>
      </c>
      <c r="F214" s="2">
        <f>IF(C214="GBP",E214*$C$3,IF(C214="TRY",E214/$C$1,IF(C214="EUR",E214*$E$1,IF(C214="RUB",E214/#REF!,IF(C214="EGP",E214/$E$2,E214)))))</f>
        <v>50113999</v>
      </c>
      <c r="G214" s="15" t="str">
        <f>VLOOKUP(B214,SPECIFICATIONF!$C$2:$D$65,2,0)</f>
        <v>GLOBAL HFT</v>
      </c>
      <c r="H214" s="12">
        <f t="shared" si="16"/>
        <v>3</v>
      </c>
      <c r="I214" s="12">
        <f t="shared" si="17"/>
        <v>2025</v>
      </c>
    </row>
    <row r="215" spans="1:9" ht="19.5" customHeight="1" x14ac:dyDescent="0.35">
      <c r="A215" s="41">
        <v>45727</v>
      </c>
      <c r="B215" s="8" t="s">
        <v>24</v>
      </c>
      <c r="C215" s="42" t="s">
        <v>33</v>
      </c>
      <c r="D215" s="43" t="s">
        <v>30</v>
      </c>
      <c r="E215" s="46">
        <v>2</v>
      </c>
      <c r="F215" s="2">
        <f>IF(C215="GBP",E215*$C$3,IF(C215="TRY",E215/$C$1,IF(C215="EUR",E215*$E$1,IF(C215="RUB",E215/#REF!,IF(C215="EGP",E215/$E$2,E215)))))</f>
        <v>2</v>
      </c>
      <c r="G215" s="15" t="str">
        <f>VLOOKUP(B215,SPECIFICATIONF!$C$2:$D$65,2,0)</f>
        <v>GLOBAL RETAIL</v>
      </c>
      <c r="H215" s="12">
        <f t="shared" si="16"/>
        <v>3</v>
      </c>
      <c r="I215" s="12">
        <f t="shared" si="17"/>
        <v>2025</v>
      </c>
    </row>
    <row r="216" spans="1:9" ht="19.5" customHeight="1" x14ac:dyDescent="0.35">
      <c r="A216" s="41">
        <v>45727</v>
      </c>
      <c r="B216" s="8" t="s">
        <v>24</v>
      </c>
      <c r="C216" s="42" t="s">
        <v>11</v>
      </c>
      <c r="D216" s="43" t="s">
        <v>29</v>
      </c>
      <c r="E216" s="47">
        <v>0</v>
      </c>
      <c r="F216" s="2">
        <f>IF(C216="GBP",E216*$C$3,IF(C216="TRY",E216/$C$1,IF(C216="EUR",E216*$E$1,IF(C216="RUB",E216/#REF!,IF(C216="EGP",E216/$E$2,E216)))))</f>
        <v>0</v>
      </c>
      <c r="G216" s="15" t="str">
        <f>VLOOKUP(B216,SPECIFICATIONF!$C$2:$D$65,2,0)</f>
        <v>GLOBAL RETAIL</v>
      </c>
      <c r="H216" s="12">
        <f t="shared" si="16"/>
        <v>3</v>
      </c>
      <c r="I216" s="12">
        <f t="shared" si="17"/>
        <v>2025</v>
      </c>
    </row>
    <row r="217" spans="1:9" ht="19.5" customHeight="1" x14ac:dyDescent="0.35">
      <c r="A217" s="41">
        <v>45727</v>
      </c>
      <c r="B217" s="8" t="s">
        <v>24</v>
      </c>
      <c r="C217" s="42" t="s">
        <v>33</v>
      </c>
      <c r="D217" s="43" t="s">
        <v>29</v>
      </c>
      <c r="E217" s="46">
        <v>0</v>
      </c>
      <c r="F217" s="2">
        <f>IF(C217="GBP",E217*$C$3,IF(C217="TRY",E217/$C$1,IF(C217="EUR",E217*$E$1,IF(C217="RUB",E217/#REF!,IF(C217="EGP",E217/$E$2,E217)))))</f>
        <v>0</v>
      </c>
      <c r="G217" s="15" t="str">
        <f>VLOOKUP(B217,SPECIFICATIONF!$C$2:$D$65,2,0)</f>
        <v>GLOBAL RETAIL</v>
      </c>
      <c r="H217" s="12">
        <f t="shared" si="16"/>
        <v>3</v>
      </c>
      <c r="I217" s="12">
        <f t="shared" si="17"/>
        <v>2025</v>
      </c>
    </row>
    <row r="218" spans="1:9" ht="19.5" customHeight="1" x14ac:dyDescent="0.35">
      <c r="A218" s="41">
        <v>45728</v>
      </c>
      <c r="B218" s="8" t="s">
        <v>32</v>
      </c>
      <c r="C218" s="42" t="s">
        <v>11</v>
      </c>
      <c r="D218" s="43" t="s">
        <v>30</v>
      </c>
      <c r="E218" s="46">
        <v>1717737.71</v>
      </c>
      <c r="F218" s="2">
        <f>IF(C218="GBP",E218*$C$3,IF(C218="TRY",E218/$C$1,IF(C218="EUR",E218*$E$1,IF(C218="RUB",E218/#REF!,IF(C218="EGP",E218/$E$2,E218)))))</f>
        <v>47104.023374621916</v>
      </c>
      <c r="G218" s="15" t="str">
        <f>VLOOKUP(B218,SPECIFICATIONF!$C$2:$D$65,2,0)</f>
        <v>GLOBAL HFT</v>
      </c>
      <c r="H218" s="12">
        <f t="shared" si="16"/>
        <v>3</v>
      </c>
      <c r="I218" s="12">
        <f t="shared" si="17"/>
        <v>2025</v>
      </c>
    </row>
    <row r="219" spans="1:9" ht="19.5" customHeight="1" x14ac:dyDescent="0.35">
      <c r="A219" s="41">
        <v>45728</v>
      </c>
      <c r="B219" s="8" t="s">
        <v>32</v>
      </c>
      <c r="C219" s="42" t="s">
        <v>33</v>
      </c>
      <c r="D219" s="43" t="s">
        <v>30</v>
      </c>
      <c r="E219" s="46">
        <v>8506.5300000000007</v>
      </c>
      <c r="F219" s="2">
        <f>IF(C219="GBP",E219*$C$3,IF(C219="TRY",E219/$C$1,IF(C219="EUR",E219*$E$1,IF(C219="RUB",E219/#REF!,IF(C219="EGP",E219/$E$2,E219)))))</f>
        <v>8506.5300000000007</v>
      </c>
      <c r="G219" s="15" t="str">
        <f>VLOOKUP(B219,SPECIFICATIONF!$C$2:$D$65,2,0)</f>
        <v>GLOBAL HFT</v>
      </c>
      <c r="H219" s="12">
        <f t="shared" si="16"/>
        <v>3</v>
      </c>
      <c r="I219" s="12">
        <f t="shared" si="17"/>
        <v>2025</v>
      </c>
    </row>
    <row r="220" spans="1:9" ht="19.5" customHeight="1" x14ac:dyDescent="0.35">
      <c r="A220" s="41">
        <v>45728</v>
      </c>
      <c r="B220" s="8" t="s">
        <v>32</v>
      </c>
      <c r="C220" s="42" t="s">
        <v>11</v>
      </c>
      <c r="D220" s="43" t="s">
        <v>29</v>
      </c>
      <c r="E220" s="47">
        <v>6873164396</v>
      </c>
      <c r="F220" s="2">
        <f>IF(C220="GBP",E220*$C$3,IF(C220="TRY",E220/$C$1,IF(C220="EUR",E220*$E$1,IF(C220="RUB",E220/#REF!,IF(C220="EGP",E220/$E$2,E220)))))</f>
        <v>188476793.91448134</v>
      </c>
      <c r="G220" s="15" t="str">
        <f>VLOOKUP(B220,SPECIFICATIONF!$C$2:$D$65,2,0)</f>
        <v>GLOBAL HFT</v>
      </c>
      <c r="H220" s="12">
        <f t="shared" si="16"/>
        <v>3</v>
      </c>
      <c r="I220" s="12">
        <f t="shared" si="17"/>
        <v>2025</v>
      </c>
    </row>
    <row r="221" spans="1:9" ht="19.5" customHeight="1" x14ac:dyDescent="0.35">
      <c r="A221" s="41">
        <v>45728</v>
      </c>
      <c r="B221" s="8" t="s">
        <v>32</v>
      </c>
      <c r="C221" s="42" t="s">
        <v>33</v>
      </c>
      <c r="D221" s="43" t="s">
        <v>29</v>
      </c>
      <c r="E221" s="46">
        <v>33674476</v>
      </c>
      <c r="F221" s="2">
        <f>IF(C221="GBP",E221*$C$3,IF(C221="TRY",E221/$C$1,IF(C221="EUR",E221*$E$1,IF(C221="RUB",E221/#REF!,IF(C221="EGP",E221/$E$2,E221)))))</f>
        <v>33674476</v>
      </c>
      <c r="G221" s="15" t="str">
        <f>VLOOKUP(B221,SPECIFICATIONF!$C$2:$D$65,2,0)</f>
        <v>GLOBAL HFT</v>
      </c>
      <c r="H221" s="12">
        <f t="shared" si="16"/>
        <v>3</v>
      </c>
      <c r="I221" s="12">
        <f t="shared" si="17"/>
        <v>2025</v>
      </c>
    </row>
    <row r="222" spans="1:9" ht="19.5" customHeight="1" x14ac:dyDescent="0.35">
      <c r="A222" s="41">
        <v>45728</v>
      </c>
      <c r="B222" s="8" t="s">
        <v>24</v>
      </c>
      <c r="C222" s="42" t="s">
        <v>33</v>
      </c>
      <c r="D222" s="43" t="s">
        <v>30</v>
      </c>
      <c r="E222" s="46">
        <v>0</v>
      </c>
      <c r="F222" s="2">
        <f>IF(C222="GBP",E222*$C$3,IF(C222="TRY",E222/$C$1,IF(C222="EUR",E222*$E$1,IF(C222="RUB",E222/#REF!,IF(C222="EGP",E222/$E$2,E222)))))</f>
        <v>0</v>
      </c>
      <c r="G222" s="15" t="str">
        <f>VLOOKUP(B222,SPECIFICATIONF!$C$2:$D$65,2,0)</f>
        <v>GLOBAL RETAIL</v>
      </c>
      <c r="H222" s="12">
        <f t="shared" si="16"/>
        <v>3</v>
      </c>
      <c r="I222" s="12">
        <f t="shared" si="17"/>
        <v>2025</v>
      </c>
    </row>
    <row r="223" spans="1:9" ht="19.5" customHeight="1" x14ac:dyDescent="0.35">
      <c r="A223" s="41">
        <v>45728</v>
      </c>
      <c r="B223" s="8" t="s">
        <v>24</v>
      </c>
      <c r="C223" s="42" t="s">
        <v>11</v>
      </c>
      <c r="D223" s="43" t="s">
        <v>29</v>
      </c>
      <c r="E223" s="47">
        <v>0</v>
      </c>
      <c r="F223" s="2">
        <f>IF(C223="GBP",E223*$C$3,IF(C223="TRY",E223/$C$1,IF(C223="EUR",E223*$E$1,IF(C223="RUB",E223/#REF!,IF(C223="EGP",E223/$E$2,E223)))))</f>
        <v>0</v>
      </c>
      <c r="G223" s="15" t="str">
        <f>VLOOKUP(B223,SPECIFICATIONF!$C$2:$D$65,2,0)</f>
        <v>GLOBAL RETAIL</v>
      </c>
      <c r="H223" s="12">
        <f t="shared" si="16"/>
        <v>3</v>
      </c>
      <c r="I223" s="12">
        <f t="shared" si="17"/>
        <v>2025</v>
      </c>
    </row>
    <row r="224" spans="1:9" ht="19.5" customHeight="1" x14ac:dyDescent="0.35">
      <c r="A224" s="41">
        <v>45728</v>
      </c>
      <c r="B224" s="8" t="s">
        <v>24</v>
      </c>
      <c r="C224" s="42" t="s">
        <v>33</v>
      </c>
      <c r="D224" s="43" t="s">
        <v>29</v>
      </c>
      <c r="E224" s="46">
        <v>0</v>
      </c>
      <c r="F224" s="2">
        <f>IF(C224="GBP",E224*$C$3,IF(C224="TRY",E224/$C$1,IF(C224="EUR",E224*$E$1,IF(C224="RUB",E224/#REF!,IF(C224="EGP",E224/$E$2,E224)))))</f>
        <v>0</v>
      </c>
      <c r="G224" s="15" t="str">
        <f>VLOOKUP(B224,SPECIFICATIONF!$C$2:$D$65,2,0)</f>
        <v>GLOBAL RETAIL</v>
      </c>
      <c r="H224" s="12">
        <f t="shared" si="16"/>
        <v>3</v>
      </c>
      <c r="I224" s="12">
        <f t="shared" si="17"/>
        <v>2025</v>
      </c>
    </row>
    <row r="225" spans="1:9" ht="19.5" customHeight="1" x14ac:dyDescent="0.35">
      <c r="A225" s="41">
        <v>45729</v>
      </c>
      <c r="B225" s="8" t="s">
        <v>32</v>
      </c>
      <c r="C225" s="42" t="s">
        <v>11</v>
      </c>
      <c r="D225" s="43" t="s">
        <v>30</v>
      </c>
      <c r="E225" s="46">
        <v>1806916.29</v>
      </c>
      <c r="F225" s="2">
        <f>IF(C225="GBP",E225*$C$3,IF(C225="TRY",E225/$C$1,IF(C225="EUR",E225*$E$1,IF(C225="RUB",E225/#REF!,IF(C225="EGP",E225/$E$2,E225)))))</f>
        <v>49549.489811308333</v>
      </c>
      <c r="G225" s="15" t="str">
        <f>VLOOKUP(B225,SPECIFICATIONF!$C$2:$D$65,2,0)</f>
        <v>GLOBAL HFT</v>
      </c>
      <c r="H225" s="12">
        <f t="shared" si="16"/>
        <v>3</v>
      </c>
      <c r="I225" s="12">
        <f t="shared" si="17"/>
        <v>2025</v>
      </c>
    </row>
    <row r="226" spans="1:9" ht="19.5" customHeight="1" x14ac:dyDescent="0.35">
      <c r="A226" s="41">
        <v>45729</v>
      </c>
      <c r="B226" s="8" t="s">
        <v>32</v>
      </c>
      <c r="C226" s="42" t="s">
        <v>33</v>
      </c>
      <c r="D226" s="43" t="s">
        <v>30</v>
      </c>
      <c r="E226" s="46">
        <v>8877.02</v>
      </c>
      <c r="F226" s="2">
        <f>IF(C226="GBP",E226*$C$3,IF(C226="TRY",E226/$C$1,IF(C226="EUR",E226*$E$1,IF(C226="RUB",E226/#REF!,IF(C226="EGP",E226/$E$2,E226)))))</f>
        <v>8877.02</v>
      </c>
      <c r="G226" s="15" t="str">
        <f>VLOOKUP(B226,SPECIFICATIONF!$C$2:$D$65,2,0)</f>
        <v>GLOBAL HFT</v>
      </c>
      <c r="H226" s="12">
        <f t="shared" si="16"/>
        <v>3</v>
      </c>
      <c r="I226" s="12">
        <f t="shared" si="17"/>
        <v>2025</v>
      </c>
    </row>
    <row r="227" spans="1:9" ht="19.5" customHeight="1" x14ac:dyDescent="0.35">
      <c r="A227" s="41">
        <v>45729</v>
      </c>
      <c r="B227" s="8" t="s">
        <v>32</v>
      </c>
      <c r="C227" s="42" t="s">
        <v>11</v>
      </c>
      <c r="D227" s="43" t="s">
        <v>29</v>
      </c>
      <c r="E227" s="47">
        <v>7248806791</v>
      </c>
      <c r="F227" s="2">
        <f>IF(C227="GBP",E227*$C$3,IF(C227="TRY",E227/$C$1,IF(C227="EUR",E227*$E$1,IF(C227="RUB",E227/#REF!,IF(C227="EGP",E227/$E$2,E227)))))</f>
        <v>198777707.75689733</v>
      </c>
      <c r="G227" s="15" t="str">
        <f>VLOOKUP(B227,SPECIFICATIONF!$C$2:$D$65,2,0)</f>
        <v>GLOBAL HFT</v>
      </c>
      <c r="H227" s="12">
        <f t="shared" si="16"/>
        <v>3</v>
      </c>
      <c r="I227" s="12">
        <f t="shared" si="17"/>
        <v>2025</v>
      </c>
    </row>
    <row r="228" spans="1:9" ht="19.5" customHeight="1" x14ac:dyDescent="0.35">
      <c r="A228" s="41">
        <v>45729</v>
      </c>
      <c r="B228" s="8" t="s">
        <v>32</v>
      </c>
      <c r="C228" s="42" t="s">
        <v>33</v>
      </c>
      <c r="D228" s="43" t="s">
        <v>29</v>
      </c>
      <c r="E228" s="46">
        <v>35754113</v>
      </c>
      <c r="F228" s="2">
        <f>IF(C228="GBP",E228*$C$3,IF(C228="TRY",E228/$C$1,IF(C228="EUR",E228*$E$1,IF(C228="RUB",E228/#REF!,IF(C228="EGP",E228/$E$2,E228)))))</f>
        <v>35754113</v>
      </c>
      <c r="G228" s="15" t="str">
        <f>VLOOKUP(B228,SPECIFICATIONF!$C$2:$D$65,2,0)</f>
        <v>GLOBAL HFT</v>
      </c>
      <c r="H228" s="12">
        <f t="shared" si="16"/>
        <v>3</v>
      </c>
      <c r="I228" s="12">
        <f t="shared" si="17"/>
        <v>2025</v>
      </c>
    </row>
    <row r="229" spans="1:9" ht="19.5" customHeight="1" x14ac:dyDescent="0.35">
      <c r="A229" s="41">
        <v>45729</v>
      </c>
      <c r="B229" s="8" t="s">
        <v>24</v>
      </c>
      <c r="C229" s="42" t="s">
        <v>33</v>
      </c>
      <c r="D229" s="43" t="s">
        <v>30</v>
      </c>
      <c r="E229" s="46">
        <v>0</v>
      </c>
      <c r="F229" s="2">
        <f>IF(C229="GBP",E229*$C$3,IF(C229="TRY",E229/$C$1,IF(C229="EUR",E229*$E$1,IF(C229="RUB",E229/#REF!,IF(C229="EGP",E229/$E$2,E229)))))</f>
        <v>0</v>
      </c>
      <c r="G229" s="15" t="str">
        <f>VLOOKUP(B229,SPECIFICATIONF!$C$2:$D$65,2,0)</f>
        <v>GLOBAL RETAIL</v>
      </c>
      <c r="H229" s="12">
        <f t="shared" si="16"/>
        <v>3</v>
      </c>
      <c r="I229" s="12">
        <f t="shared" si="17"/>
        <v>2025</v>
      </c>
    </row>
    <row r="230" spans="1:9" ht="19.5" customHeight="1" x14ac:dyDescent="0.35">
      <c r="A230" s="41">
        <v>45729</v>
      </c>
      <c r="B230" s="8" t="s">
        <v>24</v>
      </c>
      <c r="C230" s="42" t="s">
        <v>11</v>
      </c>
      <c r="D230" s="43" t="s">
        <v>29</v>
      </c>
      <c r="E230" s="47">
        <v>0</v>
      </c>
      <c r="F230" s="2">
        <f>IF(C230="GBP",E230*$C$3,IF(C230="TRY",E230/$C$1,IF(C230="EUR",E230*$E$1,IF(C230="RUB",E230/#REF!,IF(C230="EGP",E230/$E$2,E230)))))</f>
        <v>0</v>
      </c>
      <c r="G230" s="15" t="str">
        <f>VLOOKUP(B230,SPECIFICATIONF!$C$2:$D$65,2,0)</f>
        <v>GLOBAL RETAIL</v>
      </c>
      <c r="H230" s="12">
        <f t="shared" ref="H230:H293" si="18">MONTH(A230)</f>
        <v>3</v>
      </c>
      <c r="I230" s="12">
        <f t="shared" ref="I230:I293" si="19">YEAR(A230)</f>
        <v>2025</v>
      </c>
    </row>
    <row r="231" spans="1:9" ht="19.5" customHeight="1" x14ac:dyDescent="0.35">
      <c r="A231" s="41">
        <v>45729</v>
      </c>
      <c r="B231" s="8" t="s">
        <v>24</v>
      </c>
      <c r="C231" s="42" t="s">
        <v>33</v>
      </c>
      <c r="D231" s="43" t="s">
        <v>29</v>
      </c>
      <c r="E231" s="46">
        <v>0</v>
      </c>
      <c r="F231" s="2">
        <f>IF(C231="GBP",E231*$C$3,IF(C231="TRY",E231/$C$1,IF(C231="EUR",E231*$E$1,IF(C231="RUB",E231/#REF!,IF(C231="EGP",E231/$E$2,E231)))))</f>
        <v>0</v>
      </c>
      <c r="G231" s="15" t="str">
        <f>VLOOKUP(B231,SPECIFICATIONF!$C$2:$D$65,2,0)</f>
        <v>GLOBAL RETAIL</v>
      </c>
      <c r="H231" s="12">
        <f t="shared" si="18"/>
        <v>3</v>
      </c>
      <c r="I231" s="12">
        <f t="shared" si="19"/>
        <v>2025</v>
      </c>
    </row>
    <row r="232" spans="1:9" ht="19.5" customHeight="1" x14ac:dyDescent="0.35">
      <c r="A232" s="41">
        <v>45730</v>
      </c>
      <c r="B232" s="8" t="s">
        <v>32</v>
      </c>
      <c r="C232" s="42" t="s">
        <v>11</v>
      </c>
      <c r="D232" s="43" t="s">
        <v>30</v>
      </c>
      <c r="E232" s="46">
        <v>1784045.09</v>
      </c>
      <c r="F232" s="2">
        <f>IF(C232="GBP",E232*$C$3,IF(C232="TRY",E232/$C$1,IF(C232="EUR",E232*$E$1,IF(C232="RUB",E232/#REF!,IF(C232="EGP",E232/$E$2,E232)))))</f>
        <v>48922.312837120786</v>
      </c>
      <c r="G232" s="15" t="str">
        <f>VLOOKUP(B232,SPECIFICATIONF!$C$2:$D$65,2,0)</f>
        <v>GLOBAL HFT</v>
      </c>
      <c r="H232" s="12">
        <f t="shared" si="18"/>
        <v>3</v>
      </c>
      <c r="I232" s="12">
        <f t="shared" si="19"/>
        <v>2025</v>
      </c>
    </row>
    <row r="233" spans="1:9" ht="19.5" customHeight="1" x14ac:dyDescent="0.35">
      <c r="A233" s="41">
        <v>45730</v>
      </c>
      <c r="B233" s="8" t="s">
        <v>32</v>
      </c>
      <c r="C233" s="42" t="s">
        <v>33</v>
      </c>
      <c r="D233" s="43" t="s">
        <v>30</v>
      </c>
      <c r="E233" s="46">
        <v>8620.99</v>
      </c>
      <c r="F233" s="2">
        <f>IF(C233="GBP",E233*$C$3,IF(C233="TRY",E233/$C$1,IF(C233="EUR",E233*$E$1,IF(C233="RUB",E233/#REF!,IF(C233="EGP",E233/$E$2,E233)))))</f>
        <v>8620.99</v>
      </c>
      <c r="G233" s="15" t="str">
        <f>VLOOKUP(B233,SPECIFICATIONF!$C$2:$D$65,2,0)</f>
        <v>GLOBAL HFT</v>
      </c>
      <c r="H233" s="12">
        <f t="shared" si="18"/>
        <v>3</v>
      </c>
      <c r="I233" s="12">
        <f t="shared" si="19"/>
        <v>2025</v>
      </c>
    </row>
    <row r="234" spans="1:9" ht="19.5" customHeight="1" x14ac:dyDescent="0.35">
      <c r="A234" s="41">
        <v>45730</v>
      </c>
      <c r="B234" s="8" t="s">
        <v>32</v>
      </c>
      <c r="C234" s="42" t="s">
        <v>11</v>
      </c>
      <c r="D234" s="43" t="s">
        <v>29</v>
      </c>
      <c r="E234" s="47">
        <v>7138575507</v>
      </c>
      <c r="F234" s="2">
        <f>IF(C234="GBP",E234*$C$3,IF(C234="TRY",E234/$C$1,IF(C234="EUR",E234*$E$1,IF(C234="RUB",E234/#REF!,IF(C234="EGP",E234/$E$2,E234)))))</f>
        <v>195754931.37612465</v>
      </c>
      <c r="G234" s="15" t="str">
        <f>VLOOKUP(B234,SPECIFICATIONF!$C$2:$D$65,2,0)</f>
        <v>GLOBAL HFT</v>
      </c>
      <c r="H234" s="12">
        <f t="shared" si="18"/>
        <v>3</v>
      </c>
      <c r="I234" s="12">
        <f t="shared" si="19"/>
        <v>2025</v>
      </c>
    </row>
    <row r="235" spans="1:9" ht="19.5" customHeight="1" x14ac:dyDescent="0.35">
      <c r="A235" s="41">
        <v>45730</v>
      </c>
      <c r="B235" s="8" t="s">
        <v>32</v>
      </c>
      <c r="C235" s="42" t="s">
        <v>33</v>
      </c>
      <c r="D235" s="43" t="s">
        <v>29</v>
      </c>
      <c r="E235" s="46">
        <v>33242089</v>
      </c>
      <c r="F235" s="2">
        <f>IF(C235="GBP",E235*$C$3,IF(C235="TRY",E235/$C$1,IF(C235="EUR",E235*$E$1,IF(C235="RUB",E235/#REF!,IF(C235="EGP",E235/$E$2,E235)))))</f>
        <v>33242089</v>
      </c>
      <c r="G235" s="15" t="str">
        <f>VLOOKUP(B235,SPECIFICATIONF!$C$2:$D$65,2,0)</f>
        <v>GLOBAL HFT</v>
      </c>
      <c r="H235" s="12">
        <f t="shared" si="18"/>
        <v>3</v>
      </c>
      <c r="I235" s="12">
        <f t="shared" si="19"/>
        <v>2025</v>
      </c>
    </row>
    <row r="236" spans="1:9" ht="19.5" customHeight="1" x14ac:dyDescent="0.35">
      <c r="A236" s="41">
        <v>45730</v>
      </c>
      <c r="B236" s="8" t="s">
        <v>24</v>
      </c>
      <c r="C236" s="42" t="s">
        <v>33</v>
      </c>
      <c r="D236" s="43" t="s">
        <v>30</v>
      </c>
      <c r="E236" s="46">
        <v>0</v>
      </c>
      <c r="F236" s="2">
        <f>IF(C236="GBP",E236*$C$3,IF(C236="TRY",E236/$C$1,IF(C236="EUR",E236*$E$1,IF(C236="RUB",E236/#REF!,IF(C236="EGP",E236/$E$2,E236)))))</f>
        <v>0</v>
      </c>
      <c r="G236" s="15" t="str">
        <f>VLOOKUP(B236,SPECIFICATIONF!$C$2:$D$65,2,0)</f>
        <v>GLOBAL RETAIL</v>
      </c>
      <c r="H236" s="12">
        <f t="shared" si="18"/>
        <v>3</v>
      </c>
      <c r="I236" s="12">
        <f t="shared" si="19"/>
        <v>2025</v>
      </c>
    </row>
    <row r="237" spans="1:9" ht="19.5" customHeight="1" x14ac:dyDescent="0.35">
      <c r="A237" s="41">
        <v>45730</v>
      </c>
      <c r="B237" s="8" t="s">
        <v>24</v>
      </c>
      <c r="C237" s="42" t="s">
        <v>11</v>
      </c>
      <c r="D237" s="43" t="s">
        <v>29</v>
      </c>
      <c r="E237" s="47">
        <v>0</v>
      </c>
      <c r="F237" s="2">
        <f>IF(C237="GBP",E237*$C$3,IF(C237="TRY",E237/$C$1,IF(C237="EUR",E237*$E$1,IF(C237="RUB",E237/#REF!,IF(C237="EGP",E237/$E$2,E237)))))</f>
        <v>0</v>
      </c>
      <c r="G237" s="15" t="str">
        <f>VLOOKUP(B237,SPECIFICATIONF!$C$2:$D$65,2,0)</f>
        <v>GLOBAL RETAIL</v>
      </c>
      <c r="H237" s="12">
        <f t="shared" si="18"/>
        <v>3</v>
      </c>
      <c r="I237" s="12">
        <f t="shared" si="19"/>
        <v>2025</v>
      </c>
    </row>
    <row r="238" spans="1:9" ht="19.5" customHeight="1" x14ac:dyDescent="0.35">
      <c r="A238" s="41">
        <v>45730</v>
      </c>
      <c r="B238" s="8" t="s">
        <v>24</v>
      </c>
      <c r="C238" s="42" t="s">
        <v>33</v>
      </c>
      <c r="D238" s="43" t="s">
        <v>29</v>
      </c>
      <c r="E238" s="46">
        <v>82</v>
      </c>
      <c r="F238" s="2">
        <f>IF(C238="GBP",E238*$C$3,IF(C238="TRY",E238/$C$1,IF(C238="EUR",E238*$E$1,IF(C238="RUB",E238/#REF!,IF(C238="EGP",E238/$E$2,E238)))))</f>
        <v>82</v>
      </c>
      <c r="G238" s="15" t="str">
        <f>VLOOKUP(B238,SPECIFICATIONF!$C$2:$D$65,2,0)</f>
        <v>GLOBAL RETAIL</v>
      </c>
      <c r="H238" s="12">
        <f t="shared" si="18"/>
        <v>3</v>
      </c>
      <c r="I238" s="12">
        <f t="shared" si="19"/>
        <v>2025</v>
      </c>
    </row>
    <row r="239" spans="1:9" ht="19.5" customHeight="1" x14ac:dyDescent="0.35">
      <c r="A239" s="41">
        <v>45731</v>
      </c>
      <c r="B239" s="8" t="s">
        <v>32</v>
      </c>
      <c r="C239" s="42" t="s">
        <v>11</v>
      </c>
      <c r="D239" s="43" t="s">
        <v>30</v>
      </c>
      <c r="E239" s="46">
        <v>1403723.36</v>
      </c>
      <c r="F239" s="2">
        <f>IF(C239="GBP",E239*$C$3,IF(C239="TRY",E239/$C$1,IF(C239="EUR",E239*$E$1,IF(C239="RUB",E239/#REF!,IF(C239="EGP",E239/$E$2,E239)))))</f>
        <v>38493.08167132386</v>
      </c>
      <c r="G239" s="15" t="str">
        <f>VLOOKUP(B239,SPECIFICATIONF!$C$2:$D$65,2,0)</f>
        <v>GLOBAL HFT</v>
      </c>
      <c r="H239" s="12">
        <f t="shared" si="18"/>
        <v>3</v>
      </c>
      <c r="I239" s="12">
        <f t="shared" si="19"/>
        <v>2025</v>
      </c>
    </row>
    <row r="240" spans="1:9" ht="19.5" customHeight="1" x14ac:dyDescent="0.35">
      <c r="A240" s="41">
        <v>45731</v>
      </c>
      <c r="B240" s="8" t="s">
        <v>32</v>
      </c>
      <c r="C240" s="42" t="s">
        <v>33</v>
      </c>
      <c r="D240" s="43" t="s">
        <v>30</v>
      </c>
      <c r="E240" s="46">
        <v>5639.33</v>
      </c>
      <c r="F240" s="2">
        <f>IF(C240="GBP",E240*$C$3,IF(C240="TRY",E240/$C$1,IF(C240="EUR",E240*$E$1,IF(C240="RUB",E240/#REF!,IF(C240="EGP",E240/$E$2,E240)))))</f>
        <v>5639.33</v>
      </c>
      <c r="G240" s="15" t="str">
        <f>VLOOKUP(B240,SPECIFICATIONF!$C$2:$D$65,2,0)</f>
        <v>GLOBAL HFT</v>
      </c>
      <c r="H240" s="12">
        <f t="shared" si="18"/>
        <v>3</v>
      </c>
      <c r="I240" s="12">
        <f t="shared" si="19"/>
        <v>2025</v>
      </c>
    </row>
    <row r="241" spans="1:9" ht="19.5" customHeight="1" x14ac:dyDescent="0.35">
      <c r="A241" s="41">
        <v>45731</v>
      </c>
      <c r="B241" s="8" t="s">
        <v>32</v>
      </c>
      <c r="C241" s="42" t="s">
        <v>11</v>
      </c>
      <c r="D241" s="43" t="s">
        <v>29</v>
      </c>
      <c r="E241" s="47">
        <v>5894193355</v>
      </c>
      <c r="F241" s="2">
        <f>IF(C241="GBP",E241*$C$3,IF(C241="TRY",E241/$C$1,IF(C241="EUR",E241*$E$1,IF(C241="RUB",E241/#REF!,IF(C241="EGP",E241/$E$2,E241)))))</f>
        <v>161631324.70815998</v>
      </c>
      <c r="G241" s="15" t="str">
        <f>VLOOKUP(B241,SPECIFICATIONF!$C$2:$D$65,2,0)</f>
        <v>GLOBAL HFT</v>
      </c>
      <c r="H241" s="12">
        <f t="shared" si="18"/>
        <v>3</v>
      </c>
      <c r="I241" s="12">
        <f t="shared" si="19"/>
        <v>2025</v>
      </c>
    </row>
    <row r="242" spans="1:9" ht="19.5" customHeight="1" x14ac:dyDescent="0.35">
      <c r="A242" s="41">
        <v>45731</v>
      </c>
      <c r="B242" s="8" t="s">
        <v>32</v>
      </c>
      <c r="C242" s="42" t="s">
        <v>33</v>
      </c>
      <c r="D242" s="43" t="s">
        <v>29</v>
      </c>
      <c r="E242" s="46">
        <v>22562892</v>
      </c>
      <c r="F242" s="2">
        <f>IF(C242="GBP",E242*$C$3,IF(C242="TRY",E242/$C$1,IF(C242="EUR",E242*$E$1,IF(C242="RUB",E242/#REF!,IF(C242="EGP",E242/$E$2,E242)))))</f>
        <v>22562892</v>
      </c>
      <c r="G242" s="15" t="str">
        <f>VLOOKUP(B242,SPECIFICATIONF!$C$2:$D$65,2,0)</f>
        <v>GLOBAL HFT</v>
      </c>
      <c r="H242" s="12">
        <f t="shared" si="18"/>
        <v>3</v>
      </c>
      <c r="I242" s="12">
        <f t="shared" si="19"/>
        <v>2025</v>
      </c>
    </row>
    <row r="243" spans="1:9" ht="19.5" customHeight="1" x14ac:dyDescent="0.35">
      <c r="A243" s="41">
        <v>45731</v>
      </c>
      <c r="B243" s="8" t="s">
        <v>24</v>
      </c>
      <c r="C243" s="42" t="s">
        <v>11</v>
      </c>
      <c r="D243" s="43" t="s">
        <v>30</v>
      </c>
      <c r="E243" s="46">
        <v>0</v>
      </c>
      <c r="F243" s="2">
        <f>IF(C243="GBP",E243*$C$3,IF(C243="TRY",E243/$C$1,IF(C243="EUR",E243*$E$1,IF(C243="RUB",E243/#REF!,IF(C243="EGP",E243/$E$2,E243)))))</f>
        <v>0</v>
      </c>
      <c r="G243" s="15" t="str">
        <f>VLOOKUP(B243,SPECIFICATIONF!$C$2:$D$65,2,0)</f>
        <v>GLOBAL RETAIL</v>
      </c>
      <c r="H243" s="12">
        <f t="shared" si="18"/>
        <v>3</v>
      </c>
      <c r="I243" s="12">
        <f t="shared" si="19"/>
        <v>2025</v>
      </c>
    </row>
    <row r="244" spans="1:9" ht="19.5" customHeight="1" x14ac:dyDescent="0.35">
      <c r="A244" s="41">
        <v>45731</v>
      </c>
      <c r="B244" s="8" t="s">
        <v>24</v>
      </c>
      <c r="C244" s="42" t="s">
        <v>33</v>
      </c>
      <c r="D244" s="43" t="s">
        <v>30</v>
      </c>
      <c r="E244" s="46">
        <v>0</v>
      </c>
      <c r="F244" s="2">
        <f>IF(C244="GBP",E244*$C$3,IF(C244="TRY",E244/$C$1,IF(C244="EUR",E244*$E$1,IF(C244="RUB",E244/#REF!,IF(C244="EGP",E244/$E$2,E244)))))</f>
        <v>0</v>
      </c>
      <c r="G244" s="15" t="str">
        <f>VLOOKUP(B244,SPECIFICATIONF!$C$2:$D$65,2,0)</f>
        <v>GLOBAL RETAIL</v>
      </c>
      <c r="H244" s="12">
        <f t="shared" si="18"/>
        <v>3</v>
      </c>
      <c r="I244" s="12">
        <f t="shared" si="19"/>
        <v>2025</v>
      </c>
    </row>
    <row r="245" spans="1:9" ht="19.5" customHeight="1" x14ac:dyDescent="0.35">
      <c r="A245" s="41">
        <v>45731</v>
      </c>
      <c r="B245" s="8" t="s">
        <v>24</v>
      </c>
      <c r="C245" s="42" t="s">
        <v>11</v>
      </c>
      <c r="D245" s="43" t="s">
        <v>29</v>
      </c>
      <c r="E245" s="47">
        <v>0</v>
      </c>
      <c r="F245" s="2">
        <f>IF(C245="GBP",E245*$C$3,IF(C245="TRY",E245/$C$1,IF(C245="EUR",E245*$E$1,IF(C245="RUB",E245/#REF!,IF(C245="EGP",E245/$E$2,E245)))))</f>
        <v>0</v>
      </c>
      <c r="G245" s="15" t="str">
        <f>VLOOKUP(B245,SPECIFICATIONF!$C$2:$D$65,2,0)</f>
        <v>GLOBAL RETAIL</v>
      </c>
      <c r="H245" s="12">
        <f t="shared" si="18"/>
        <v>3</v>
      </c>
      <c r="I245" s="12">
        <f t="shared" si="19"/>
        <v>2025</v>
      </c>
    </row>
    <row r="246" spans="1:9" ht="19.5" customHeight="1" x14ac:dyDescent="0.35">
      <c r="A246" s="41">
        <v>45731</v>
      </c>
      <c r="B246" s="8" t="s">
        <v>24</v>
      </c>
      <c r="C246" s="42" t="s">
        <v>33</v>
      </c>
      <c r="D246" s="43" t="s">
        <v>29</v>
      </c>
      <c r="E246" s="46">
        <v>0</v>
      </c>
      <c r="F246" s="2">
        <f>IF(C246="GBP",E246*$C$3,IF(C246="TRY",E246/$C$1,IF(C246="EUR",E246*$E$1,IF(C246="RUB",E246/#REF!,IF(C246="EGP",E246/$E$2,E246)))))</f>
        <v>0</v>
      </c>
      <c r="G246" s="15" t="str">
        <f>VLOOKUP(B246,SPECIFICATIONF!$C$2:$D$65,2,0)</f>
        <v>GLOBAL RETAIL</v>
      </c>
      <c r="H246" s="12">
        <f t="shared" si="18"/>
        <v>3</v>
      </c>
      <c r="I246" s="12">
        <f t="shared" si="19"/>
        <v>2025</v>
      </c>
    </row>
    <row r="247" spans="1:9" ht="19.5" customHeight="1" x14ac:dyDescent="0.35">
      <c r="A247" s="41">
        <v>45732</v>
      </c>
      <c r="B247" s="8" t="s">
        <v>32</v>
      </c>
      <c r="C247" s="42" t="s">
        <v>11</v>
      </c>
      <c r="D247" s="43" t="s">
        <v>30</v>
      </c>
      <c r="E247" s="46">
        <v>1302990.47</v>
      </c>
      <c r="F247" s="2">
        <f>IF(C247="GBP",E247*$C$3,IF(C247="TRY",E247/$C$1,IF(C247="EUR",E247*$E$1,IF(C247="RUB",E247/#REF!,IF(C247="EGP",E247/$E$2,E247)))))</f>
        <v>35730.771466727361</v>
      </c>
      <c r="G247" s="15" t="str">
        <f>VLOOKUP(B247,SPECIFICATIONF!$C$2:$D$65,2,0)</f>
        <v>GLOBAL HFT</v>
      </c>
      <c r="H247" s="12">
        <f t="shared" si="18"/>
        <v>3</v>
      </c>
      <c r="I247" s="12">
        <f t="shared" si="19"/>
        <v>2025</v>
      </c>
    </row>
    <row r="248" spans="1:9" ht="19.5" customHeight="1" x14ac:dyDescent="0.35">
      <c r="A248" s="41">
        <v>45732</v>
      </c>
      <c r="B248" s="8" t="s">
        <v>32</v>
      </c>
      <c r="C248" s="42" t="s">
        <v>33</v>
      </c>
      <c r="D248" s="43" t="s">
        <v>30</v>
      </c>
      <c r="E248" s="46">
        <v>5524.02</v>
      </c>
      <c r="F248" s="2">
        <f>IF(C248="GBP",E248*$C$3,IF(C248="TRY",E248/$C$1,IF(C248="EUR",E248*$E$1,IF(C248="RUB",E248/#REF!,IF(C248="EGP",E248/$E$2,E248)))))</f>
        <v>5524.02</v>
      </c>
      <c r="G248" s="15" t="str">
        <f>VLOOKUP(B248,SPECIFICATIONF!$C$2:$D$65,2,0)</f>
        <v>GLOBAL HFT</v>
      </c>
      <c r="H248" s="12">
        <f t="shared" si="18"/>
        <v>3</v>
      </c>
      <c r="I248" s="12">
        <f t="shared" si="19"/>
        <v>2025</v>
      </c>
    </row>
    <row r="249" spans="1:9" ht="19.5" customHeight="1" x14ac:dyDescent="0.35">
      <c r="A249" s="41">
        <v>45732</v>
      </c>
      <c r="B249" s="8" t="s">
        <v>32</v>
      </c>
      <c r="C249" s="42" t="s">
        <v>11</v>
      </c>
      <c r="D249" s="43" t="s">
        <v>29</v>
      </c>
      <c r="E249" s="47">
        <v>5458118056</v>
      </c>
      <c r="F249" s="2">
        <f>IF(C249="GBP",E249*$C$3,IF(C249="TRY",E249/$C$1,IF(C249="EUR",E249*$E$1,IF(C249="RUB",E249/#REF!,IF(C249="EGP",E249/$E$2,E249)))))</f>
        <v>149673212.03612041</v>
      </c>
      <c r="G249" s="15" t="str">
        <f>VLOOKUP(B249,SPECIFICATIONF!$C$2:$D$65,2,0)</f>
        <v>GLOBAL HFT</v>
      </c>
      <c r="H249" s="12">
        <f t="shared" si="18"/>
        <v>3</v>
      </c>
      <c r="I249" s="12">
        <f t="shared" si="19"/>
        <v>2025</v>
      </c>
    </row>
    <row r="250" spans="1:9" ht="19.5" customHeight="1" x14ac:dyDescent="0.35">
      <c r="A250" s="41">
        <v>45732</v>
      </c>
      <c r="B250" s="8" t="s">
        <v>32</v>
      </c>
      <c r="C250" s="42" t="s">
        <v>33</v>
      </c>
      <c r="D250" s="43" t="s">
        <v>29</v>
      </c>
      <c r="E250" s="46">
        <v>22055871</v>
      </c>
      <c r="F250" s="2">
        <f>IF(C250="GBP",E250*$C$3,IF(C250="TRY",E250/$C$1,IF(C250="EUR",E250*$E$1,IF(C250="RUB",E250/#REF!,IF(C250="EGP",E250/$E$2,E250)))))</f>
        <v>22055871</v>
      </c>
      <c r="G250" s="15" t="str">
        <f>VLOOKUP(B250,SPECIFICATIONF!$C$2:$D$65,2,0)</f>
        <v>GLOBAL HFT</v>
      </c>
      <c r="H250" s="12">
        <f t="shared" si="18"/>
        <v>3</v>
      </c>
      <c r="I250" s="12">
        <f t="shared" si="19"/>
        <v>2025</v>
      </c>
    </row>
    <row r="251" spans="1:9" ht="19.5" customHeight="1" x14ac:dyDescent="0.35">
      <c r="A251" s="41">
        <v>45732</v>
      </c>
      <c r="B251" s="8" t="s">
        <v>24</v>
      </c>
      <c r="C251" s="42" t="s">
        <v>11</v>
      </c>
      <c r="D251" s="43" t="s">
        <v>30</v>
      </c>
      <c r="E251" s="46">
        <v>0</v>
      </c>
      <c r="F251" s="2">
        <f>IF(C251="GBP",E251*$C$3,IF(C251="TRY",E251/$C$1,IF(C251="EUR",E251*$E$1,IF(C251="RUB",E251/#REF!,IF(C251="EGP",E251/$E$2,E251)))))</f>
        <v>0</v>
      </c>
      <c r="G251" s="15" t="str">
        <f>VLOOKUP(B251,SPECIFICATIONF!$C$2:$D$65,2,0)</f>
        <v>GLOBAL RETAIL</v>
      </c>
      <c r="H251" s="12">
        <f t="shared" si="18"/>
        <v>3</v>
      </c>
      <c r="I251" s="12">
        <f t="shared" si="19"/>
        <v>2025</v>
      </c>
    </row>
    <row r="252" spans="1:9" ht="19.5" customHeight="1" x14ac:dyDescent="0.35">
      <c r="A252" s="41">
        <v>45732</v>
      </c>
      <c r="B252" s="8" t="s">
        <v>24</v>
      </c>
      <c r="C252" s="42" t="s">
        <v>33</v>
      </c>
      <c r="D252" s="43" t="s">
        <v>30</v>
      </c>
      <c r="E252" s="46">
        <v>0</v>
      </c>
      <c r="F252" s="2">
        <f>IF(C252="GBP",E252*$C$3,IF(C252="TRY",E252/$C$1,IF(C252="EUR",E252*$E$1,IF(C252="RUB",E252/#REF!,IF(C252="EGP",E252/$E$2,E252)))))</f>
        <v>0</v>
      </c>
      <c r="G252" s="15" t="str">
        <f>VLOOKUP(B252,SPECIFICATIONF!$C$2:$D$65,2,0)</f>
        <v>GLOBAL RETAIL</v>
      </c>
      <c r="H252" s="12">
        <f t="shared" si="18"/>
        <v>3</v>
      </c>
      <c r="I252" s="12">
        <f t="shared" si="19"/>
        <v>2025</v>
      </c>
    </row>
    <row r="253" spans="1:9" ht="19.5" customHeight="1" x14ac:dyDescent="0.35">
      <c r="A253" s="41">
        <v>45732</v>
      </c>
      <c r="B253" s="8" t="s">
        <v>24</v>
      </c>
      <c r="C253" s="42" t="s">
        <v>11</v>
      </c>
      <c r="D253" s="43" t="s">
        <v>29</v>
      </c>
      <c r="E253" s="47">
        <v>0</v>
      </c>
      <c r="F253" s="2">
        <f>IF(C253="GBP",E253*$C$3,IF(C253="TRY",E253/$C$1,IF(C253="EUR",E253*$E$1,IF(C253="RUB",E253/#REF!,IF(C253="EGP",E253/$E$2,E253)))))</f>
        <v>0</v>
      </c>
      <c r="G253" s="15" t="str">
        <f>VLOOKUP(B253,SPECIFICATIONF!$C$2:$D$65,2,0)</f>
        <v>GLOBAL RETAIL</v>
      </c>
      <c r="H253" s="12">
        <f t="shared" si="18"/>
        <v>3</v>
      </c>
      <c r="I253" s="12">
        <f t="shared" si="19"/>
        <v>2025</v>
      </c>
    </row>
    <row r="254" spans="1:9" ht="19.5" customHeight="1" x14ac:dyDescent="0.35">
      <c r="A254" s="41">
        <v>45732</v>
      </c>
      <c r="B254" s="8" t="s">
        <v>24</v>
      </c>
      <c r="C254" s="42" t="s">
        <v>33</v>
      </c>
      <c r="D254" s="43" t="s">
        <v>29</v>
      </c>
      <c r="E254" s="46">
        <v>0</v>
      </c>
      <c r="F254" s="2">
        <f>IF(C254="GBP",E254*$C$3,IF(C254="TRY",E254/$C$1,IF(C254="EUR",E254*$E$1,IF(C254="RUB",E254/#REF!,IF(C254="EGP",E254/$E$2,E254)))))</f>
        <v>0</v>
      </c>
      <c r="G254" s="15" t="str">
        <f>VLOOKUP(B254,SPECIFICATIONF!$C$2:$D$65,2,0)</f>
        <v>GLOBAL RETAIL</v>
      </c>
      <c r="H254" s="12">
        <f t="shared" si="18"/>
        <v>3</v>
      </c>
      <c r="I254" s="12">
        <f t="shared" si="19"/>
        <v>2025</v>
      </c>
    </row>
    <row r="255" spans="1:9" ht="19.5" customHeight="1" x14ac:dyDescent="0.35">
      <c r="A255" s="41">
        <v>45733</v>
      </c>
      <c r="B255" s="8" t="s">
        <v>32</v>
      </c>
      <c r="C255" s="42" t="s">
        <v>11</v>
      </c>
      <c r="D255" s="43" t="s">
        <v>30</v>
      </c>
      <c r="E255" s="46">
        <v>1623181.86</v>
      </c>
      <c r="F255" s="2">
        <f>IF(C255="GBP",E255*$C$3,IF(C255="TRY",E255/$C$1,IF(C255="EUR",E255*$E$1,IF(C255="RUB",E255/#REF!,IF(C255="EGP",E255/$E$2,E255)))))</f>
        <v>44511.10075164053</v>
      </c>
      <c r="G255" s="15" t="str">
        <f>VLOOKUP(B255,SPECIFICATIONF!$C$2:$D$65,2,0)</f>
        <v>GLOBAL HFT</v>
      </c>
      <c r="H255" s="12">
        <f t="shared" si="18"/>
        <v>3</v>
      </c>
      <c r="I255" s="12">
        <f t="shared" si="19"/>
        <v>2025</v>
      </c>
    </row>
    <row r="256" spans="1:9" ht="19.5" customHeight="1" x14ac:dyDescent="0.35">
      <c r="A256" s="41">
        <v>45733</v>
      </c>
      <c r="B256" s="8" t="s">
        <v>32</v>
      </c>
      <c r="C256" s="42" t="s">
        <v>33</v>
      </c>
      <c r="D256" s="43" t="s">
        <v>30</v>
      </c>
      <c r="E256" s="46">
        <v>7674.4</v>
      </c>
      <c r="F256" s="2">
        <f>IF(C256="GBP",E256*$C$3,IF(C256="TRY",E256/$C$1,IF(C256="EUR",E256*$E$1,IF(C256="RUB",E256/#REF!,IF(C256="EGP",E256/$E$2,E256)))))</f>
        <v>7674.4</v>
      </c>
      <c r="G256" s="15" t="str">
        <f>VLOOKUP(B256,SPECIFICATIONF!$C$2:$D$65,2,0)</f>
        <v>GLOBAL HFT</v>
      </c>
      <c r="H256" s="12">
        <f t="shared" si="18"/>
        <v>3</v>
      </c>
      <c r="I256" s="12">
        <f t="shared" si="19"/>
        <v>2025</v>
      </c>
    </row>
    <row r="257" spans="1:9" ht="19.5" customHeight="1" x14ac:dyDescent="0.35">
      <c r="A257" s="41">
        <v>45733</v>
      </c>
      <c r="B257" s="8" t="s">
        <v>32</v>
      </c>
      <c r="C257" s="42" t="s">
        <v>11</v>
      </c>
      <c r="D257" s="43" t="s">
        <v>29</v>
      </c>
      <c r="E257" s="47">
        <v>6640365987</v>
      </c>
      <c r="F257" s="2">
        <f>IF(C257="GBP",E257*$C$3,IF(C257="TRY",E257/$C$1,IF(C257="EUR",E257*$E$1,IF(C257="RUB",E257/#REF!,IF(C257="EGP",E257/$E$2,E257)))))</f>
        <v>182092966.14189854</v>
      </c>
      <c r="G257" s="15" t="str">
        <f>VLOOKUP(B257,SPECIFICATIONF!$C$2:$D$65,2,0)</f>
        <v>GLOBAL HFT</v>
      </c>
      <c r="H257" s="12">
        <f t="shared" si="18"/>
        <v>3</v>
      </c>
      <c r="I257" s="12">
        <f t="shared" si="19"/>
        <v>2025</v>
      </c>
    </row>
    <row r="258" spans="1:9" ht="19.5" customHeight="1" x14ac:dyDescent="0.35">
      <c r="A258" s="41">
        <v>45733</v>
      </c>
      <c r="B258" s="8" t="s">
        <v>32</v>
      </c>
      <c r="C258" s="42" t="s">
        <v>33</v>
      </c>
      <c r="D258" s="43" t="s">
        <v>29</v>
      </c>
      <c r="E258" s="46">
        <v>30534699</v>
      </c>
      <c r="F258" s="2">
        <f>IF(C258="GBP",E258*$C$3,IF(C258="TRY",E258/$C$1,IF(C258="EUR",E258*$E$1,IF(C258="RUB",E258/#REF!,IF(C258="EGP",E258/$E$2,E258)))))</f>
        <v>30534699</v>
      </c>
      <c r="G258" s="15" t="str">
        <f>VLOOKUP(B258,SPECIFICATIONF!$C$2:$D$65,2,0)</f>
        <v>GLOBAL HFT</v>
      </c>
      <c r="H258" s="12">
        <f t="shared" si="18"/>
        <v>3</v>
      </c>
      <c r="I258" s="12">
        <f t="shared" si="19"/>
        <v>2025</v>
      </c>
    </row>
    <row r="259" spans="1:9" ht="19.5" customHeight="1" x14ac:dyDescent="0.35">
      <c r="A259" s="41">
        <v>45733</v>
      </c>
      <c r="B259" s="8" t="s">
        <v>24</v>
      </c>
      <c r="C259" s="42" t="s">
        <v>11</v>
      </c>
      <c r="D259" s="43" t="s">
        <v>30</v>
      </c>
      <c r="E259" s="46">
        <v>0</v>
      </c>
      <c r="F259" s="2">
        <f>IF(C259="GBP",E259*$C$3,IF(C259="TRY",E259/$C$1,IF(C259="EUR",E259*$E$1,IF(C259="RUB",E259/#REF!,IF(C259="EGP",E259/$E$2,E259)))))</f>
        <v>0</v>
      </c>
      <c r="G259" s="15" t="str">
        <f>VLOOKUP(B259,SPECIFICATIONF!$C$2:$D$65,2,0)</f>
        <v>GLOBAL RETAIL</v>
      </c>
      <c r="H259" s="12">
        <f t="shared" si="18"/>
        <v>3</v>
      </c>
      <c r="I259" s="12">
        <f t="shared" si="19"/>
        <v>2025</v>
      </c>
    </row>
    <row r="260" spans="1:9" ht="19.5" customHeight="1" x14ac:dyDescent="0.35">
      <c r="A260" s="41">
        <v>45733</v>
      </c>
      <c r="B260" s="8" t="s">
        <v>24</v>
      </c>
      <c r="C260" s="42" t="s">
        <v>33</v>
      </c>
      <c r="D260" s="43" t="s">
        <v>30</v>
      </c>
      <c r="E260" s="46">
        <v>0</v>
      </c>
      <c r="F260" s="2">
        <f>IF(C260="GBP",E260*$C$3,IF(C260="TRY",E260/$C$1,IF(C260="EUR",E260*$E$1,IF(C260="RUB",E260/#REF!,IF(C260="EGP",E260/$E$2,E260)))))</f>
        <v>0</v>
      </c>
      <c r="G260" s="15" t="str">
        <f>VLOOKUP(B260,SPECIFICATIONF!$C$2:$D$65,2,0)</f>
        <v>GLOBAL RETAIL</v>
      </c>
      <c r="H260" s="12">
        <f t="shared" si="18"/>
        <v>3</v>
      </c>
      <c r="I260" s="12">
        <f t="shared" si="19"/>
        <v>2025</v>
      </c>
    </row>
    <row r="261" spans="1:9" ht="19.5" customHeight="1" x14ac:dyDescent="0.35">
      <c r="A261" s="41">
        <v>45733</v>
      </c>
      <c r="B261" s="8" t="s">
        <v>24</v>
      </c>
      <c r="C261" s="42" t="s">
        <v>11</v>
      </c>
      <c r="D261" s="43" t="s">
        <v>29</v>
      </c>
      <c r="E261" s="47">
        <v>0</v>
      </c>
      <c r="F261" s="2">
        <f>IF(C261="GBP",E261*$C$3,IF(C261="TRY",E261/$C$1,IF(C261="EUR",E261*$E$1,IF(C261="RUB",E261/#REF!,IF(C261="EGP",E261/$E$2,E261)))))</f>
        <v>0</v>
      </c>
      <c r="G261" s="15" t="str">
        <f>VLOOKUP(B261,SPECIFICATIONF!$C$2:$D$65,2,0)</f>
        <v>GLOBAL RETAIL</v>
      </c>
      <c r="H261" s="12">
        <f t="shared" si="18"/>
        <v>3</v>
      </c>
      <c r="I261" s="12">
        <f t="shared" si="19"/>
        <v>2025</v>
      </c>
    </row>
    <row r="262" spans="1:9" ht="19.5" customHeight="1" x14ac:dyDescent="0.35">
      <c r="A262" s="41">
        <v>45733</v>
      </c>
      <c r="B262" s="8" t="s">
        <v>24</v>
      </c>
      <c r="C262" s="42" t="s">
        <v>33</v>
      </c>
      <c r="D262" s="43" t="s">
        <v>29</v>
      </c>
      <c r="E262" s="46">
        <v>0</v>
      </c>
      <c r="F262" s="2">
        <f>IF(C262="GBP",E262*$C$3,IF(C262="TRY",E262/$C$1,IF(C262="EUR",E262*$E$1,IF(C262="RUB",E262/#REF!,IF(C262="EGP",E262/$E$2,E262)))))</f>
        <v>0</v>
      </c>
      <c r="G262" s="15" t="str">
        <f>VLOOKUP(B262,SPECIFICATIONF!$C$2:$D$65,2,0)</f>
        <v>GLOBAL RETAIL</v>
      </c>
      <c r="H262" s="12">
        <f t="shared" si="18"/>
        <v>3</v>
      </c>
      <c r="I262" s="12">
        <f t="shared" si="19"/>
        <v>2025</v>
      </c>
    </row>
    <row r="263" spans="1:9" ht="19.5" customHeight="1" x14ac:dyDescent="0.35">
      <c r="A263" s="41">
        <v>45734</v>
      </c>
      <c r="B263" s="8" t="s">
        <v>32</v>
      </c>
      <c r="C263" s="42" t="s">
        <v>11</v>
      </c>
      <c r="D263" s="43" t="s">
        <v>30</v>
      </c>
      <c r="E263" s="46">
        <v>1754233.44</v>
      </c>
      <c r="F263" s="2">
        <f>IF(C263="GBP",E263*$C$3,IF(C263="TRY",E263/$C$1,IF(C263="EUR",E263*$E$1,IF(C263="RUB",E263/#REF!,IF(C263="EGP",E263/$E$2,E263)))))</f>
        <v>48104.813954572499</v>
      </c>
      <c r="G263" s="15" t="str">
        <f>VLOOKUP(B263,SPECIFICATIONF!$C$2:$D$65,2,0)</f>
        <v>GLOBAL HFT</v>
      </c>
      <c r="H263" s="12">
        <f t="shared" si="18"/>
        <v>3</v>
      </c>
      <c r="I263" s="12">
        <f t="shared" si="19"/>
        <v>2025</v>
      </c>
    </row>
    <row r="264" spans="1:9" ht="19.5" customHeight="1" x14ac:dyDescent="0.35">
      <c r="A264" s="41">
        <v>45734</v>
      </c>
      <c r="B264" s="8" t="s">
        <v>32</v>
      </c>
      <c r="C264" s="42" t="s">
        <v>33</v>
      </c>
      <c r="D264" s="43" t="s">
        <v>30</v>
      </c>
      <c r="E264" s="46">
        <v>6790.75</v>
      </c>
      <c r="F264" s="2">
        <f>IF(C264="GBP",E264*$C$3,IF(C264="TRY",E264/$C$1,IF(C264="EUR",E264*$E$1,IF(C264="RUB",E264/#REF!,IF(C264="EGP",E264/$E$2,E264)))))</f>
        <v>6790.75</v>
      </c>
      <c r="G264" s="15" t="str">
        <f>VLOOKUP(B264,SPECIFICATIONF!$C$2:$D$65,2,0)</f>
        <v>GLOBAL HFT</v>
      </c>
      <c r="H264" s="12">
        <f t="shared" si="18"/>
        <v>3</v>
      </c>
      <c r="I264" s="12">
        <f t="shared" si="19"/>
        <v>2025</v>
      </c>
    </row>
    <row r="265" spans="1:9" ht="19.5" customHeight="1" x14ac:dyDescent="0.35">
      <c r="A265" s="41">
        <v>45734</v>
      </c>
      <c r="B265" s="8" t="s">
        <v>32</v>
      </c>
      <c r="C265" s="42" t="s">
        <v>11</v>
      </c>
      <c r="D265" s="43" t="s">
        <v>29</v>
      </c>
      <c r="E265" s="47">
        <v>7200725093</v>
      </c>
      <c r="F265" s="2">
        <f>IF(C265="GBP",E265*$C$3,IF(C265="TRY",E265/$C$1,IF(C265="EUR",E265*$E$1,IF(C265="RUB",E265/#REF!,IF(C265="EGP",E265/$E$2,E265)))))</f>
        <v>197459205.27930808</v>
      </c>
      <c r="G265" s="15" t="str">
        <f>VLOOKUP(B265,SPECIFICATIONF!$C$2:$D$65,2,0)</f>
        <v>GLOBAL HFT</v>
      </c>
      <c r="H265" s="12">
        <f t="shared" si="18"/>
        <v>3</v>
      </c>
      <c r="I265" s="12">
        <f t="shared" si="19"/>
        <v>2025</v>
      </c>
    </row>
    <row r="266" spans="1:9" ht="19.5" customHeight="1" x14ac:dyDescent="0.35">
      <c r="A266" s="41">
        <v>45734</v>
      </c>
      <c r="B266" s="8" t="s">
        <v>32</v>
      </c>
      <c r="C266" s="42" t="s">
        <v>33</v>
      </c>
      <c r="D266" s="43" t="s">
        <v>29</v>
      </c>
      <c r="E266" s="46">
        <v>26670006</v>
      </c>
      <c r="F266" s="2">
        <f>IF(C266="GBP",E266*$C$3,IF(C266="TRY",E266/$C$1,IF(C266="EUR",E266*$E$1,IF(C266="RUB",E266/#REF!,IF(C266="EGP",E266/$E$2,E266)))))</f>
        <v>26670006</v>
      </c>
      <c r="G266" s="15" t="str">
        <f>VLOOKUP(B266,SPECIFICATIONF!$C$2:$D$65,2,0)</f>
        <v>GLOBAL HFT</v>
      </c>
      <c r="H266" s="12">
        <f t="shared" si="18"/>
        <v>3</v>
      </c>
      <c r="I266" s="12">
        <f t="shared" si="19"/>
        <v>2025</v>
      </c>
    </row>
    <row r="267" spans="1:9" ht="19.5" customHeight="1" x14ac:dyDescent="0.35">
      <c r="A267" s="41">
        <v>45734</v>
      </c>
      <c r="B267" s="8" t="s">
        <v>24</v>
      </c>
      <c r="C267" s="42" t="s">
        <v>11</v>
      </c>
      <c r="D267" s="43" t="s">
        <v>30</v>
      </c>
      <c r="E267" s="46">
        <v>0</v>
      </c>
      <c r="F267" s="2">
        <f>IF(C267="GBP",E267*$C$3,IF(C267="TRY",E267/$C$1,IF(C267="EUR",E267*$E$1,IF(C267="RUB",E267/#REF!,IF(C267="EGP",E267/$E$2,E267)))))</f>
        <v>0</v>
      </c>
      <c r="G267" s="15" t="str">
        <f>VLOOKUP(B267,SPECIFICATIONF!$C$2:$D$65,2,0)</f>
        <v>GLOBAL RETAIL</v>
      </c>
      <c r="H267" s="12">
        <f t="shared" si="18"/>
        <v>3</v>
      </c>
      <c r="I267" s="12">
        <f t="shared" si="19"/>
        <v>2025</v>
      </c>
    </row>
    <row r="268" spans="1:9" ht="19.5" customHeight="1" x14ac:dyDescent="0.35">
      <c r="A268" s="41">
        <v>45734</v>
      </c>
      <c r="B268" s="8" t="s">
        <v>24</v>
      </c>
      <c r="C268" s="42" t="s">
        <v>33</v>
      </c>
      <c r="D268" s="43" t="s">
        <v>30</v>
      </c>
      <c r="E268" s="46">
        <v>0</v>
      </c>
      <c r="F268" s="2">
        <f>IF(C268="GBP",E268*$C$3,IF(C268="TRY",E268/$C$1,IF(C268="EUR",E268*$E$1,IF(C268="RUB",E268/#REF!,IF(C268="EGP",E268/$E$2,E268)))))</f>
        <v>0</v>
      </c>
      <c r="G268" s="15" t="str">
        <f>VLOOKUP(B268,SPECIFICATIONF!$C$2:$D$65,2,0)</f>
        <v>GLOBAL RETAIL</v>
      </c>
      <c r="H268" s="12">
        <f t="shared" si="18"/>
        <v>3</v>
      </c>
      <c r="I268" s="12">
        <f t="shared" si="19"/>
        <v>2025</v>
      </c>
    </row>
    <row r="269" spans="1:9" ht="19.5" customHeight="1" x14ac:dyDescent="0.35">
      <c r="A269" s="41">
        <v>45734</v>
      </c>
      <c r="B269" s="8" t="s">
        <v>24</v>
      </c>
      <c r="C269" s="42" t="s">
        <v>11</v>
      </c>
      <c r="D269" s="43" t="s">
        <v>29</v>
      </c>
      <c r="E269" s="47">
        <v>0</v>
      </c>
      <c r="F269" s="2">
        <f>IF(C269="GBP",E269*$C$3,IF(C269="TRY",E269/$C$1,IF(C269="EUR",E269*$E$1,IF(C269="RUB",E269/#REF!,IF(C269="EGP",E269/$E$2,E269)))))</f>
        <v>0</v>
      </c>
      <c r="G269" s="15" t="str">
        <f>VLOOKUP(B269,SPECIFICATIONF!$C$2:$D$65,2,0)</f>
        <v>GLOBAL RETAIL</v>
      </c>
      <c r="H269" s="12">
        <f t="shared" si="18"/>
        <v>3</v>
      </c>
      <c r="I269" s="12">
        <f t="shared" si="19"/>
        <v>2025</v>
      </c>
    </row>
    <row r="270" spans="1:9" ht="19.5" customHeight="1" x14ac:dyDescent="0.35">
      <c r="A270" s="41">
        <v>45734</v>
      </c>
      <c r="B270" s="8" t="s">
        <v>24</v>
      </c>
      <c r="C270" s="42" t="s">
        <v>33</v>
      </c>
      <c r="D270" s="43" t="s">
        <v>29</v>
      </c>
      <c r="E270" s="46">
        <v>0</v>
      </c>
      <c r="F270" s="2">
        <f>IF(C270="GBP",E270*$C$3,IF(C270="TRY",E270/$C$1,IF(C270="EUR",E270*$E$1,IF(C270="RUB",E270/#REF!,IF(C270="EGP",E270/$E$2,E270)))))</f>
        <v>0</v>
      </c>
      <c r="G270" s="15" t="str">
        <f>VLOOKUP(B270,SPECIFICATIONF!$C$2:$D$65,2,0)</f>
        <v>GLOBAL RETAIL</v>
      </c>
      <c r="H270" s="12">
        <f t="shared" si="18"/>
        <v>3</v>
      </c>
      <c r="I270" s="12">
        <f t="shared" si="19"/>
        <v>2025</v>
      </c>
    </row>
    <row r="271" spans="1:9" ht="19.5" customHeight="1" x14ac:dyDescent="0.35">
      <c r="A271" s="41">
        <v>45735</v>
      </c>
      <c r="B271" s="8" t="s">
        <v>32</v>
      </c>
      <c r="C271" s="42" t="s">
        <v>11</v>
      </c>
      <c r="D271" s="43" t="s">
        <v>30</v>
      </c>
      <c r="E271" s="46">
        <v>3080807.03</v>
      </c>
      <c r="F271" s="2">
        <f>IF(C271="GBP",E271*$C$3,IF(C271="TRY",E271/$C$1,IF(C271="EUR",E271*$E$1,IF(C271="RUB",E271/#REF!,IF(C271="EGP",E271/$E$2,E271)))))</f>
        <v>84482.284756861685</v>
      </c>
      <c r="G271" s="15" t="str">
        <f>VLOOKUP(B271,SPECIFICATIONF!$C$2:$D$65,2,0)</f>
        <v>GLOBAL HFT</v>
      </c>
      <c r="H271" s="12">
        <f t="shared" si="18"/>
        <v>3</v>
      </c>
      <c r="I271" s="12">
        <f t="shared" si="19"/>
        <v>2025</v>
      </c>
    </row>
    <row r="272" spans="1:9" ht="19.5" customHeight="1" x14ac:dyDescent="0.35">
      <c r="A272" s="41">
        <v>45735</v>
      </c>
      <c r="B272" s="8" t="s">
        <v>32</v>
      </c>
      <c r="C272" s="42" t="s">
        <v>33</v>
      </c>
      <c r="D272" s="43" t="s">
        <v>30</v>
      </c>
      <c r="E272" s="46">
        <v>12387.43</v>
      </c>
      <c r="F272" s="2">
        <f>IF(C272="GBP",E272*$C$3,IF(C272="TRY",E272/$C$1,IF(C272="EUR",E272*$E$1,IF(C272="RUB",E272/#REF!,IF(C272="EGP",E272/$E$2,E272)))))</f>
        <v>12387.43</v>
      </c>
      <c r="G272" s="15" t="str">
        <f>VLOOKUP(B272,SPECIFICATIONF!$C$2:$D$65,2,0)</f>
        <v>GLOBAL HFT</v>
      </c>
      <c r="H272" s="12">
        <f t="shared" si="18"/>
        <v>3</v>
      </c>
      <c r="I272" s="12">
        <f t="shared" si="19"/>
        <v>2025</v>
      </c>
    </row>
    <row r="273" spans="1:9" ht="19.5" customHeight="1" x14ac:dyDescent="0.35">
      <c r="A273" s="41">
        <v>45735</v>
      </c>
      <c r="B273" s="8" t="s">
        <v>32</v>
      </c>
      <c r="C273" s="42" t="s">
        <v>11</v>
      </c>
      <c r="D273" s="43" t="s">
        <v>29</v>
      </c>
      <c r="E273" s="47">
        <v>12277472907</v>
      </c>
      <c r="F273" s="2">
        <f>IF(C273="GBP",E273*$C$3,IF(C273="TRY",E273/$C$1,IF(C273="EUR",E273*$E$1,IF(C273="RUB",E273/#REF!,IF(C273="EGP",E273/$E$2,E273)))))</f>
        <v>336674433.71934545</v>
      </c>
      <c r="G273" s="15" t="str">
        <f>VLOOKUP(B273,SPECIFICATIONF!$C$2:$D$65,2,0)</f>
        <v>GLOBAL HFT</v>
      </c>
      <c r="H273" s="12">
        <f t="shared" si="18"/>
        <v>3</v>
      </c>
      <c r="I273" s="12">
        <f t="shared" si="19"/>
        <v>2025</v>
      </c>
    </row>
    <row r="274" spans="1:9" ht="19.5" customHeight="1" x14ac:dyDescent="0.35">
      <c r="A274" s="41">
        <v>45735</v>
      </c>
      <c r="B274" s="8" t="s">
        <v>32</v>
      </c>
      <c r="C274" s="42" t="s">
        <v>33</v>
      </c>
      <c r="D274" s="43" t="s">
        <v>29</v>
      </c>
      <c r="E274" s="46">
        <v>48873960</v>
      </c>
      <c r="F274" s="2">
        <f>IF(C274="GBP",E274*$C$3,IF(C274="TRY",E274/$C$1,IF(C274="EUR",E274*$E$1,IF(C274="RUB",E274/#REF!,IF(C274="EGP",E274/$E$2,E274)))))</f>
        <v>48873960</v>
      </c>
      <c r="G274" s="15" t="str">
        <f>VLOOKUP(B274,SPECIFICATIONF!$C$2:$D$65,2,0)</f>
        <v>GLOBAL HFT</v>
      </c>
      <c r="H274" s="12">
        <f t="shared" si="18"/>
        <v>3</v>
      </c>
      <c r="I274" s="12">
        <f t="shared" si="19"/>
        <v>2025</v>
      </c>
    </row>
    <row r="275" spans="1:9" ht="19.5" customHeight="1" x14ac:dyDescent="0.35">
      <c r="A275" s="41">
        <v>45735</v>
      </c>
      <c r="B275" s="8" t="s">
        <v>24</v>
      </c>
      <c r="C275" s="42" t="s">
        <v>11</v>
      </c>
      <c r="D275" s="43" t="s">
        <v>30</v>
      </c>
      <c r="E275" s="46">
        <v>0</v>
      </c>
      <c r="F275" s="2">
        <f>IF(C275="GBP",E275*$C$3,IF(C275="TRY",E275/$C$1,IF(C275="EUR",E275*$E$1,IF(C275="RUB",E275/#REF!,IF(C275="EGP",E275/$E$2,E275)))))</f>
        <v>0</v>
      </c>
      <c r="G275" s="15" t="str">
        <f>VLOOKUP(B275,SPECIFICATIONF!$C$2:$D$65,2,0)</f>
        <v>GLOBAL RETAIL</v>
      </c>
      <c r="H275" s="12">
        <f t="shared" si="18"/>
        <v>3</v>
      </c>
      <c r="I275" s="12">
        <f t="shared" si="19"/>
        <v>2025</v>
      </c>
    </row>
    <row r="276" spans="1:9" ht="19.5" customHeight="1" x14ac:dyDescent="0.35">
      <c r="A276" s="41">
        <v>45735</v>
      </c>
      <c r="B276" s="8" t="s">
        <v>24</v>
      </c>
      <c r="C276" s="42" t="s">
        <v>33</v>
      </c>
      <c r="D276" s="43" t="s">
        <v>30</v>
      </c>
      <c r="E276" s="46">
        <v>0</v>
      </c>
      <c r="F276" s="2">
        <f>IF(C276="GBP",E276*$C$3,IF(C276="TRY",E276/$C$1,IF(C276="EUR",E276*$E$1,IF(C276="RUB",E276/#REF!,IF(C276="EGP",E276/$E$2,E276)))))</f>
        <v>0</v>
      </c>
      <c r="G276" s="15" t="str">
        <f>VLOOKUP(B276,SPECIFICATIONF!$C$2:$D$65,2,0)</f>
        <v>GLOBAL RETAIL</v>
      </c>
      <c r="H276" s="12">
        <f t="shared" si="18"/>
        <v>3</v>
      </c>
      <c r="I276" s="12">
        <f t="shared" si="19"/>
        <v>2025</v>
      </c>
    </row>
    <row r="277" spans="1:9" ht="19.5" customHeight="1" x14ac:dyDescent="0.35">
      <c r="A277" s="41">
        <v>45735</v>
      </c>
      <c r="B277" s="8" t="s">
        <v>24</v>
      </c>
      <c r="C277" s="42" t="s">
        <v>11</v>
      </c>
      <c r="D277" s="43" t="s">
        <v>29</v>
      </c>
      <c r="E277" s="47">
        <v>0</v>
      </c>
      <c r="F277" s="2">
        <f>IF(C277="GBP",E277*$C$3,IF(C277="TRY",E277/$C$1,IF(C277="EUR",E277*$E$1,IF(C277="RUB",E277/#REF!,IF(C277="EGP",E277/$E$2,E277)))))</f>
        <v>0</v>
      </c>
      <c r="G277" s="15" t="str">
        <f>VLOOKUP(B277,SPECIFICATIONF!$C$2:$D$65,2,0)</f>
        <v>GLOBAL RETAIL</v>
      </c>
      <c r="H277" s="12">
        <f t="shared" si="18"/>
        <v>3</v>
      </c>
      <c r="I277" s="12">
        <f t="shared" si="19"/>
        <v>2025</v>
      </c>
    </row>
    <row r="278" spans="1:9" ht="19.5" customHeight="1" x14ac:dyDescent="0.35">
      <c r="A278" s="41">
        <v>45735</v>
      </c>
      <c r="B278" s="8" t="s">
        <v>24</v>
      </c>
      <c r="C278" s="42" t="s">
        <v>33</v>
      </c>
      <c r="D278" s="43" t="s">
        <v>29</v>
      </c>
      <c r="E278" s="46">
        <v>0</v>
      </c>
      <c r="F278" s="2">
        <f>IF(C278="GBP",E278*$C$3,IF(C278="TRY",E278/$C$1,IF(C278="EUR",E278*$E$1,IF(C278="RUB",E278/#REF!,IF(C278="EGP",E278/$E$2,E278)))))</f>
        <v>0</v>
      </c>
      <c r="G278" s="15" t="str">
        <f>VLOOKUP(B278,SPECIFICATIONF!$C$2:$D$65,2,0)</f>
        <v>GLOBAL RETAIL</v>
      </c>
      <c r="H278" s="12">
        <f t="shared" si="18"/>
        <v>3</v>
      </c>
      <c r="I278" s="12">
        <f t="shared" si="19"/>
        <v>2025</v>
      </c>
    </row>
    <row r="279" spans="1:9" ht="19.5" customHeight="1" x14ac:dyDescent="0.35">
      <c r="A279" s="41">
        <v>45736</v>
      </c>
      <c r="B279" s="8" t="s">
        <v>32</v>
      </c>
      <c r="C279" s="42" t="s">
        <v>11</v>
      </c>
      <c r="D279" s="43" t="s">
        <v>30</v>
      </c>
      <c r="E279" s="46">
        <v>1493472.24</v>
      </c>
      <c r="F279" s="2">
        <f>IF(C279="GBP",E279*$C$3,IF(C279="TRY",E279/$C$1,IF(C279="EUR",E279*$E$1,IF(C279="RUB",E279/#REF!,IF(C279="EGP",E279/$E$2,E279)))))</f>
        <v>40954.186947615504</v>
      </c>
      <c r="G279" s="15" t="str">
        <f>VLOOKUP(B279,SPECIFICATIONF!$C$2:$D$65,2,0)</f>
        <v>GLOBAL HFT</v>
      </c>
      <c r="H279" s="12">
        <f t="shared" si="18"/>
        <v>3</v>
      </c>
      <c r="I279" s="12">
        <f t="shared" si="19"/>
        <v>2025</v>
      </c>
    </row>
    <row r="280" spans="1:9" ht="19.5" customHeight="1" x14ac:dyDescent="0.35">
      <c r="A280" s="41">
        <v>45736</v>
      </c>
      <c r="B280" s="8" t="s">
        <v>32</v>
      </c>
      <c r="C280" s="42" t="s">
        <v>33</v>
      </c>
      <c r="D280" s="43" t="s">
        <v>30</v>
      </c>
      <c r="E280" s="46">
        <v>7508.75</v>
      </c>
      <c r="F280" s="2">
        <f>IF(C280="GBP",E280*$C$3,IF(C280="TRY",E280/$C$1,IF(C280="EUR",E280*$E$1,IF(C280="RUB",E280/#REF!,IF(C280="EGP",E280/$E$2,E280)))))</f>
        <v>7508.75</v>
      </c>
      <c r="G280" s="15" t="str">
        <f>VLOOKUP(B280,SPECIFICATIONF!$C$2:$D$65,2,0)</f>
        <v>GLOBAL HFT</v>
      </c>
      <c r="H280" s="12">
        <f t="shared" si="18"/>
        <v>3</v>
      </c>
      <c r="I280" s="12">
        <f t="shared" si="19"/>
        <v>2025</v>
      </c>
    </row>
    <row r="281" spans="1:9" ht="19.5" customHeight="1" x14ac:dyDescent="0.35">
      <c r="A281" s="41">
        <v>45736</v>
      </c>
      <c r="B281" s="8" t="s">
        <v>32</v>
      </c>
      <c r="C281" s="42" t="s">
        <v>11</v>
      </c>
      <c r="D281" s="43" t="s">
        <v>29</v>
      </c>
      <c r="E281" s="47">
        <v>5977966542</v>
      </c>
      <c r="F281" s="2">
        <f>IF(C281="GBP",E281*$C$3,IF(C281="TRY",E281/$C$1,IF(C281="EUR",E281*$E$1,IF(C281="RUB",E281/#REF!,IF(C281="EGP",E281/$E$2,E281)))))</f>
        <v>163928563.76604536</v>
      </c>
      <c r="G281" s="15" t="str">
        <f>VLOOKUP(B281,SPECIFICATIONF!$C$2:$D$65,2,0)</f>
        <v>GLOBAL HFT</v>
      </c>
      <c r="H281" s="12">
        <f t="shared" si="18"/>
        <v>3</v>
      </c>
      <c r="I281" s="12">
        <f t="shared" si="19"/>
        <v>2025</v>
      </c>
    </row>
    <row r="282" spans="1:9" ht="19.5" customHeight="1" x14ac:dyDescent="0.35">
      <c r="A282" s="41">
        <v>45736</v>
      </c>
      <c r="B282" s="8" t="s">
        <v>32</v>
      </c>
      <c r="C282" s="42" t="s">
        <v>33</v>
      </c>
      <c r="D282" s="43" t="s">
        <v>29</v>
      </c>
      <c r="E282" s="46">
        <v>28907268</v>
      </c>
      <c r="F282" s="2">
        <f>IF(C282="GBP",E282*$C$3,IF(C282="TRY",E282/$C$1,IF(C282="EUR",E282*$E$1,IF(C282="RUB",E282/#REF!,IF(C282="EGP",E282/$E$2,E282)))))</f>
        <v>28907268</v>
      </c>
      <c r="G282" s="15" t="str">
        <f>VLOOKUP(B282,SPECIFICATIONF!$C$2:$D$65,2,0)</f>
        <v>GLOBAL HFT</v>
      </c>
      <c r="H282" s="12">
        <f t="shared" si="18"/>
        <v>3</v>
      </c>
      <c r="I282" s="12">
        <f t="shared" si="19"/>
        <v>2025</v>
      </c>
    </row>
    <row r="283" spans="1:9" ht="19.5" customHeight="1" x14ac:dyDescent="0.35">
      <c r="A283" s="41">
        <v>45736</v>
      </c>
      <c r="B283" s="8" t="s">
        <v>24</v>
      </c>
      <c r="C283" s="42" t="s">
        <v>11</v>
      </c>
      <c r="D283" s="43" t="s">
        <v>30</v>
      </c>
      <c r="E283" s="46">
        <v>0</v>
      </c>
      <c r="F283" s="2">
        <f>IF(C283="GBP",E283*$C$3,IF(C283="TRY",E283/$C$1,IF(C283="EUR",E283*$E$1,IF(C283="RUB",E283/#REF!,IF(C283="EGP",E283/$E$2,E283)))))</f>
        <v>0</v>
      </c>
      <c r="G283" s="15" t="str">
        <f>VLOOKUP(B283,SPECIFICATIONF!$C$2:$D$65,2,0)</f>
        <v>GLOBAL RETAIL</v>
      </c>
      <c r="H283" s="12">
        <f t="shared" si="18"/>
        <v>3</v>
      </c>
      <c r="I283" s="12">
        <f t="shared" si="19"/>
        <v>2025</v>
      </c>
    </row>
    <row r="284" spans="1:9" ht="19.5" customHeight="1" x14ac:dyDescent="0.35">
      <c r="A284" s="41">
        <v>45736</v>
      </c>
      <c r="B284" s="8" t="s">
        <v>24</v>
      </c>
      <c r="C284" s="42" t="s">
        <v>33</v>
      </c>
      <c r="D284" s="43" t="s">
        <v>30</v>
      </c>
      <c r="E284" s="46">
        <v>0</v>
      </c>
      <c r="F284" s="2">
        <f>IF(C284="GBP",E284*$C$3,IF(C284="TRY",E284/$C$1,IF(C284="EUR",E284*$E$1,IF(C284="RUB",E284/#REF!,IF(C284="EGP",E284/$E$2,E284)))))</f>
        <v>0</v>
      </c>
      <c r="G284" s="15" t="str">
        <f>VLOOKUP(B284,SPECIFICATIONF!$C$2:$D$65,2,0)</f>
        <v>GLOBAL RETAIL</v>
      </c>
      <c r="H284" s="12">
        <f t="shared" si="18"/>
        <v>3</v>
      </c>
      <c r="I284" s="12">
        <f t="shared" si="19"/>
        <v>2025</v>
      </c>
    </row>
    <row r="285" spans="1:9" ht="19.5" customHeight="1" x14ac:dyDescent="0.35">
      <c r="A285" s="41">
        <v>45736</v>
      </c>
      <c r="B285" s="8" t="s">
        <v>24</v>
      </c>
      <c r="C285" s="42" t="s">
        <v>11</v>
      </c>
      <c r="D285" s="43" t="s">
        <v>29</v>
      </c>
      <c r="E285" s="47">
        <v>0</v>
      </c>
      <c r="F285" s="2">
        <f>IF(C285="GBP",E285*$C$3,IF(C285="TRY",E285/$C$1,IF(C285="EUR",E285*$E$1,IF(C285="RUB",E285/#REF!,IF(C285="EGP",E285/$E$2,E285)))))</f>
        <v>0</v>
      </c>
      <c r="G285" s="15" t="str">
        <f>VLOOKUP(B285,SPECIFICATIONF!$C$2:$D$65,2,0)</f>
        <v>GLOBAL RETAIL</v>
      </c>
      <c r="H285" s="12">
        <f t="shared" si="18"/>
        <v>3</v>
      </c>
      <c r="I285" s="12">
        <f t="shared" si="19"/>
        <v>2025</v>
      </c>
    </row>
    <row r="286" spans="1:9" ht="19.5" customHeight="1" x14ac:dyDescent="0.35">
      <c r="A286" s="41">
        <v>45736</v>
      </c>
      <c r="B286" s="8" t="s">
        <v>24</v>
      </c>
      <c r="C286" s="42" t="s">
        <v>33</v>
      </c>
      <c r="D286" s="43" t="s">
        <v>29</v>
      </c>
      <c r="E286" s="46">
        <v>0</v>
      </c>
      <c r="F286" s="2">
        <f>IF(C286="GBP",E286*$C$3,IF(C286="TRY",E286/$C$1,IF(C286="EUR",E286*$E$1,IF(C286="RUB",E286/#REF!,IF(C286="EGP",E286/$E$2,E286)))))</f>
        <v>0</v>
      </c>
      <c r="G286" s="15" t="str">
        <f>VLOOKUP(B286,SPECIFICATIONF!$C$2:$D$65,2,0)</f>
        <v>GLOBAL RETAIL</v>
      </c>
      <c r="H286" s="12">
        <f t="shared" si="18"/>
        <v>3</v>
      </c>
      <c r="I286" s="12">
        <f t="shared" si="19"/>
        <v>2025</v>
      </c>
    </row>
    <row r="287" spans="1:9" ht="19.5" customHeight="1" x14ac:dyDescent="0.35">
      <c r="A287" s="41">
        <v>45737</v>
      </c>
      <c r="B287" s="8" t="s">
        <v>32</v>
      </c>
      <c r="C287" s="42" t="s">
        <v>11</v>
      </c>
      <c r="D287" s="43" t="s">
        <v>30</v>
      </c>
      <c r="E287" s="46">
        <v>1163137.4099999999</v>
      </c>
      <c r="F287" s="2">
        <f>IF(C287="GBP",E287*$C$3,IF(C287="TRY",E287/$C$1,IF(C287="EUR",E287*$E$1,IF(C287="RUB",E287/#REF!,IF(C287="EGP",E287/$E$2,E287)))))</f>
        <v>31895.70295254052</v>
      </c>
      <c r="G287" s="15" t="str">
        <f>VLOOKUP(B287,SPECIFICATIONF!$C$2:$D$65,2,0)</f>
        <v>GLOBAL HFT</v>
      </c>
      <c r="H287" s="12">
        <f t="shared" si="18"/>
        <v>3</v>
      </c>
      <c r="I287" s="12">
        <f t="shared" si="19"/>
        <v>2025</v>
      </c>
    </row>
    <row r="288" spans="1:9" ht="19.5" customHeight="1" x14ac:dyDescent="0.35">
      <c r="A288" s="41">
        <v>45737</v>
      </c>
      <c r="B288" s="8" t="s">
        <v>32</v>
      </c>
      <c r="C288" s="42" t="s">
        <v>33</v>
      </c>
      <c r="D288" s="43" t="s">
        <v>30</v>
      </c>
      <c r="E288" s="46">
        <v>5517.53</v>
      </c>
      <c r="F288" s="2">
        <f>IF(C288="GBP",E288*$C$3,IF(C288="TRY",E288/$C$1,IF(C288="EUR",E288*$E$1,IF(C288="RUB",E288/#REF!,IF(C288="EGP",E288/$E$2,E288)))))</f>
        <v>5517.53</v>
      </c>
      <c r="G288" s="15" t="str">
        <f>VLOOKUP(B288,SPECIFICATIONF!$C$2:$D$65,2,0)</f>
        <v>GLOBAL HFT</v>
      </c>
      <c r="H288" s="12">
        <f t="shared" si="18"/>
        <v>3</v>
      </c>
      <c r="I288" s="12">
        <f t="shared" si="19"/>
        <v>2025</v>
      </c>
    </row>
    <row r="289" spans="1:9" ht="19.5" customHeight="1" x14ac:dyDescent="0.35">
      <c r="A289" s="41">
        <v>45737</v>
      </c>
      <c r="B289" s="8" t="s">
        <v>32</v>
      </c>
      <c r="C289" s="42" t="s">
        <v>11</v>
      </c>
      <c r="D289" s="43" t="s">
        <v>29</v>
      </c>
      <c r="E289" s="47">
        <v>4839811025</v>
      </c>
      <c r="F289" s="2">
        <f>IF(C289="GBP",E289*$C$3,IF(C289="TRY",E289/$C$1,IF(C289="EUR",E289*$E$1,IF(C289="RUB",E289/#REF!,IF(C289="EGP",E289/$E$2,E289)))))</f>
        <v>132717917.48133238</v>
      </c>
      <c r="G289" s="15" t="str">
        <f>VLOOKUP(B289,SPECIFICATIONF!$C$2:$D$65,2,0)</f>
        <v>GLOBAL HFT</v>
      </c>
      <c r="H289" s="12">
        <f t="shared" si="18"/>
        <v>3</v>
      </c>
      <c r="I289" s="12">
        <f t="shared" si="19"/>
        <v>2025</v>
      </c>
    </row>
    <row r="290" spans="1:9" ht="19.5" customHeight="1" x14ac:dyDescent="0.35">
      <c r="A290" s="41">
        <v>45737</v>
      </c>
      <c r="B290" s="8" t="s">
        <v>32</v>
      </c>
      <c r="C290" s="42" t="s">
        <v>33</v>
      </c>
      <c r="D290" s="43" t="s">
        <v>29</v>
      </c>
      <c r="E290" s="46">
        <v>21300432</v>
      </c>
      <c r="F290" s="2">
        <f>IF(C290="GBP",E290*$C$3,IF(C290="TRY",E290/$C$1,IF(C290="EUR",E290*$E$1,IF(C290="RUB",E290/#REF!,IF(C290="EGP",E290/$E$2,E290)))))</f>
        <v>21300432</v>
      </c>
      <c r="G290" s="15" t="str">
        <f>VLOOKUP(B290,SPECIFICATIONF!$C$2:$D$65,2,0)</f>
        <v>GLOBAL HFT</v>
      </c>
      <c r="H290" s="12">
        <f t="shared" si="18"/>
        <v>3</v>
      </c>
      <c r="I290" s="12">
        <f t="shared" si="19"/>
        <v>2025</v>
      </c>
    </row>
    <row r="291" spans="1:9" ht="19.5" customHeight="1" x14ac:dyDescent="0.35">
      <c r="A291" s="41">
        <v>45737</v>
      </c>
      <c r="B291" s="8" t="s">
        <v>24</v>
      </c>
      <c r="C291" s="42" t="s">
        <v>11</v>
      </c>
      <c r="D291" s="43" t="s">
        <v>30</v>
      </c>
      <c r="E291" s="46">
        <v>1.23</v>
      </c>
      <c r="F291" s="2">
        <f>IF(C291="GBP",E291*$C$3,IF(C291="TRY",E291/$C$1,IF(C291="EUR",E291*$E$1,IF(C291="RUB",E291/#REF!,IF(C291="EGP",E291/$E$2,E291)))))</f>
        <v>3.3729217454732917E-2</v>
      </c>
      <c r="G291" s="15" t="str">
        <f>VLOOKUP(B291,SPECIFICATIONF!$C$2:$D$65,2,0)</f>
        <v>GLOBAL RETAIL</v>
      </c>
      <c r="H291" s="12">
        <f t="shared" si="18"/>
        <v>3</v>
      </c>
      <c r="I291" s="12">
        <f t="shared" si="19"/>
        <v>2025</v>
      </c>
    </row>
    <row r="292" spans="1:9" ht="19.5" customHeight="1" x14ac:dyDescent="0.35">
      <c r="A292" s="41">
        <v>45737</v>
      </c>
      <c r="B292" s="8" t="s">
        <v>24</v>
      </c>
      <c r="C292" s="42" t="s">
        <v>33</v>
      </c>
      <c r="D292" s="43" t="s">
        <v>30</v>
      </c>
      <c r="E292" s="46">
        <v>0.06</v>
      </c>
      <c r="F292" s="2">
        <f>IF(C292="GBP",E292*$C$3,IF(C292="TRY",E292/$C$1,IF(C292="EUR",E292*$E$1,IF(C292="RUB",E292/#REF!,IF(C292="EGP",E292/$E$2,E292)))))</f>
        <v>0.06</v>
      </c>
      <c r="G292" s="15" t="str">
        <f>VLOOKUP(B292,SPECIFICATIONF!$C$2:$D$65,2,0)</f>
        <v>GLOBAL RETAIL</v>
      </c>
      <c r="H292" s="12">
        <f t="shared" si="18"/>
        <v>3</v>
      </c>
      <c r="I292" s="12">
        <f t="shared" si="19"/>
        <v>2025</v>
      </c>
    </row>
    <row r="293" spans="1:9" ht="19.5" customHeight="1" x14ac:dyDescent="0.35">
      <c r="A293" s="41">
        <v>45737</v>
      </c>
      <c r="B293" s="8" t="s">
        <v>24</v>
      </c>
      <c r="C293" s="42" t="s">
        <v>11</v>
      </c>
      <c r="D293" s="43" t="s">
        <v>29</v>
      </c>
      <c r="E293" s="47">
        <v>1027</v>
      </c>
      <c r="F293" s="2">
        <f>IF(C293="GBP",E293*$C$3,IF(C293="TRY",E293/$C$1,IF(C293="EUR",E293*$E$1,IF(C293="RUB",E293/#REF!,IF(C293="EGP",E293/$E$2,E293)))))</f>
        <v>28.162525468301389</v>
      </c>
      <c r="G293" s="15" t="str">
        <f>VLOOKUP(B293,SPECIFICATIONF!$C$2:$D$65,2,0)</f>
        <v>GLOBAL RETAIL</v>
      </c>
      <c r="H293" s="12">
        <f t="shared" si="18"/>
        <v>3</v>
      </c>
      <c r="I293" s="12">
        <f t="shared" si="19"/>
        <v>2025</v>
      </c>
    </row>
    <row r="294" spans="1:9" ht="19.5" customHeight="1" x14ac:dyDescent="0.35">
      <c r="A294" s="41">
        <v>45737</v>
      </c>
      <c r="B294" s="8" t="s">
        <v>24</v>
      </c>
      <c r="C294" s="42" t="s">
        <v>33</v>
      </c>
      <c r="D294" s="43" t="s">
        <v>29</v>
      </c>
      <c r="E294" s="46">
        <v>53</v>
      </c>
      <c r="F294" s="2">
        <f>IF(C294="GBP",E294*$C$3,IF(C294="TRY",E294/$C$1,IF(C294="EUR",E294*$E$1,IF(C294="RUB",E294/#REF!,IF(C294="EGP",E294/$E$2,E294)))))</f>
        <v>53</v>
      </c>
      <c r="G294" s="15" t="str">
        <f>VLOOKUP(B294,SPECIFICATIONF!$C$2:$D$65,2,0)</f>
        <v>GLOBAL RETAIL</v>
      </c>
      <c r="H294" s="12">
        <f t="shared" ref="H294:H357" si="20">MONTH(A294)</f>
        <v>3</v>
      </c>
      <c r="I294" s="12">
        <f t="shared" ref="I294:I357" si="21">YEAR(A294)</f>
        <v>2025</v>
      </c>
    </row>
    <row r="295" spans="1:9" ht="19.5" customHeight="1" x14ac:dyDescent="0.35">
      <c r="A295" s="41">
        <v>45738</v>
      </c>
      <c r="B295" s="8" t="s">
        <v>32</v>
      </c>
      <c r="C295" s="42" t="s">
        <v>11</v>
      </c>
      <c r="D295" s="43" t="s">
        <v>30</v>
      </c>
      <c r="E295" s="46">
        <v>1672535.97</v>
      </c>
      <c r="F295" s="2">
        <f>IF(C295="GBP",E295*$C$3,IF(C295="TRY",E295/$C$1,IF(C295="EUR",E295*$E$1,IF(C295="RUB",E295/#REF!,IF(C295="EGP",E295/$E$2,E295)))))</f>
        <v>45864.495473977768</v>
      </c>
      <c r="G295" s="15" t="str">
        <f>VLOOKUP(B295,SPECIFICATIONF!$C$2:$D$65,2,0)</f>
        <v>GLOBAL HFT</v>
      </c>
      <c r="H295" s="12">
        <f t="shared" si="20"/>
        <v>3</v>
      </c>
      <c r="I295" s="12">
        <f t="shared" si="21"/>
        <v>2025</v>
      </c>
    </row>
    <row r="296" spans="1:9" ht="19.5" customHeight="1" x14ac:dyDescent="0.35">
      <c r="A296" s="41">
        <v>45738</v>
      </c>
      <c r="B296" s="8" t="s">
        <v>32</v>
      </c>
      <c r="C296" s="42" t="s">
        <v>33</v>
      </c>
      <c r="D296" s="43" t="s">
        <v>30</v>
      </c>
      <c r="E296" s="46">
        <v>6681.98</v>
      </c>
      <c r="F296" s="2">
        <f>IF(C296="GBP",E296*$C$3,IF(C296="TRY",E296/$C$1,IF(C296="EUR",E296*$E$1,IF(C296="RUB",E296/#REF!,IF(C296="EGP",E296/$E$2,E296)))))</f>
        <v>6681.98</v>
      </c>
      <c r="G296" s="15" t="str">
        <f>VLOOKUP(B296,SPECIFICATIONF!$C$2:$D$65,2,0)</f>
        <v>GLOBAL HFT</v>
      </c>
      <c r="H296" s="12">
        <f t="shared" si="20"/>
        <v>3</v>
      </c>
      <c r="I296" s="12">
        <f t="shared" si="21"/>
        <v>2025</v>
      </c>
    </row>
    <row r="297" spans="1:9" ht="19.5" customHeight="1" x14ac:dyDescent="0.35">
      <c r="A297" s="41">
        <v>45738</v>
      </c>
      <c r="B297" s="8" t="s">
        <v>32</v>
      </c>
      <c r="C297" s="42" t="s">
        <v>11</v>
      </c>
      <c r="D297" s="43" t="s">
        <v>29</v>
      </c>
      <c r="E297" s="47">
        <v>6886135802</v>
      </c>
      <c r="F297" s="2">
        <f>IF(C297="GBP",E297*$C$3,IF(C297="TRY",E297/$C$1,IF(C297="EUR",E297*$E$1,IF(C297="RUB",E297/#REF!,IF(C297="EGP",E297/$E$2,E297)))))</f>
        <v>188832497.47030869</v>
      </c>
      <c r="G297" s="15" t="str">
        <f>VLOOKUP(B297,SPECIFICATIONF!$C$2:$D$65,2,0)</f>
        <v>GLOBAL HFT</v>
      </c>
      <c r="H297" s="12">
        <f t="shared" si="20"/>
        <v>3</v>
      </c>
      <c r="I297" s="12">
        <f t="shared" si="21"/>
        <v>2025</v>
      </c>
    </row>
    <row r="298" spans="1:9" ht="19.5" customHeight="1" x14ac:dyDescent="0.35">
      <c r="A298" s="41">
        <v>45738</v>
      </c>
      <c r="B298" s="8" t="s">
        <v>32</v>
      </c>
      <c r="C298" s="42" t="s">
        <v>33</v>
      </c>
      <c r="D298" s="43" t="s">
        <v>29</v>
      </c>
      <c r="E298" s="46">
        <v>25960465</v>
      </c>
      <c r="F298" s="2">
        <f>IF(C298="GBP",E298*$C$3,IF(C298="TRY",E298/$C$1,IF(C298="EUR",E298*$E$1,IF(C298="RUB",E298/#REF!,IF(C298="EGP",E298/$E$2,E298)))))</f>
        <v>25960465</v>
      </c>
      <c r="G298" s="15" t="str">
        <f>VLOOKUP(B298,SPECIFICATIONF!$C$2:$D$65,2,0)</f>
        <v>GLOBAL HFT</v>
      </c>
      <c r="H298" s="12">
        <f t="shared" si="20"/>
        <v>3</v>
      </c>
      <c r="I298" s="12">
        <f t="shared" si="21"/>
        <v>2025</v>
      </c>
    </row>
    <row r="299" spans="1:9" ht="19.5" customHeight="1" x14ac:dyDescent="0.35">
      <c r="A299" s="41">
        <v>45738</v>
      </c>
      <c r="B299" s="8" t="s">
        <v>24</v>
      </c>
      <c r="C299" s="42" t="s">
        <v>11</v>
      </c>
      <c r="D299" s="43" t="s">
        <v>30</v>
      </c>
      <c r="E299" s="46">
        <v>0</v>
      </c>
      <c r="F299" s="2">
        <f>IF(C299="GBP",E299*$C$3,IF(C299="TRY",E299/$C$1,IF(C299="EUR",E299*$E$1,IF(C299="RUB",E299/#REF!,IF(C299="EGP",E299/$E$2,E299)))))</f>
        <v>0</v>
      </c>
      <c r="G299" s="15" t="str">
        <f>VLOOKUP(B299,SPECIFICATIONF!$C$2:$D$65,2,0)</f>
        <v>GLOBAL RETAIL</v>
      </c>
      <c r="H299" s="12">
        <f t="shared" si="20"/>
        <v>3</v>
      </c>
      <c r="I299" s="12">
        <f t="shared" si="21"/>
        <v>2025</v>
      </c>
    </row>
    <row r="300" spans="1:9" ht="19.5" customHeight="1" x14ac:dyDescent="0.35">
      <c r="A300" s="41">
        <v>45738</v>
      </c>
      <c r="B300" s="8" t="s">
        <v>24</v>
      </c>
      <c r="C300" s="42" t="s">
        <v>33</v>
      </c>
      <c r="D300" s="43" t="s">
        <v>30</v>
      </c>
      <c r="E300" s="46">
        <v>0</v>
      </c>
      <c r="F300" s="2">
        <f>IF(C300="GBP",E300*$C$3,IF(C300="TRY",E300/$C$1,IF(C300="EUR",E300*$E$1,IF(C300="RUB",E300/#REF!,IF(C300="EGP",E300/$E$2,E300)))))</f>
        <v>0</v>
      </c>
      <c r="G300" s="15" t="str">
        <f>VLOOKUP(B300,SPECIFICATIONF!$C$2:$D$65,2,0)</f>
        <v>GLOBAL RETAIL</v>
      </c>
      <c r="H300" s="12">
        <f t="shared" si="20"/>
        <v>3</v>
      </c>
      <c r="I300" s="12">
        <f t="shared" si="21"/>
        <v>2025</v>
      </c>
    </row>
    <row r="301" spans="1:9" ht="19.5" customHeight="1" x14ac:dyDescent="0.35">
      <c r="A301" s="41">
        <v>45738</v>
      </c>
      <c r="B301" s="8" t="s">
        <v>24</v>
      </c>
      <c r="C301" s="42" t="s">
        <v>11</v>
      </c>
      <c r="D301" s="43" t="s">
        <v>29</v>
      </c>
      <c r="E301" s="47">
        <v>0</v>
      </c>
      <c r="F301" s="2">
        <f>IF(C301="GBP",E301*$C$3,IF(C301="TRY",E301/$C$1,IF(C301="EUR",E301*$E$1,IF(C301="RUB",E301/#REF!,IF(C301="EGP",E301/$E$2,E301)))))</f>
        <v>0</v>
      </c>
      <c r="G301" s="15" t="str">
        <f>VLOOKUP(B301,SPECIFICATIONF!$C$2:$D$65,2,0)</f>
        <v>GLOBAL RETAIL</v>
      </c>
      <c r="H301" s="12">
        <f t="shared" si="20"/>
        <v>3</v>
      </c>
      <c r="I301" s="12">
        <f t="shared" si="21"/>
        <v>2025</v>
      </c>
    </row>
    <row r="302" spans="1:9" ht="19.5" customHeight="1" x14ac:dyDescent="0.35">
      <c r="A302" s="41">
        <v>45738</v>
      </c>
      <c r="B302" s="8" t="s">
        <v>24</v>
      </c>
      <c r="C302" s="42" t="s">
        <v>33</v>
      </c>
      <c r="D302" s="43" t="s">
        <v>29</v>
      </c>
      <c r="E302" s="46">
        <v>0</v>
      </c>
      <c r="F302" s="2">
        <f>IF(C302="GBP",E302*$C$3,IF(C302="TRY",E302/$C$1,IF(C302="EUR",E302*$E$1,IF(C302="RUB",E302/#REF!,IF(C302="EGP",E302/$E$2,E302)))))</f>
        <v>0</v>
      </c>
      <c r="G302" s="15" t="str">
        <f>VLOOKUP(B302,SPECIFICATIONF!$C$2:$D$65,2,0)</f>
        <v>GLOBAL RETAIL</v>
      </c>
      <c r="H302" s="12">
        <f t="shared" si="20"/>
        <v>3</v>
      </c>
      <c r="I302" s="12">
        <f t="shared" si="21"/>
        <v>2025</v>
      </c>
    </row>
    <row r="303" spans="1:9" ht="19.5" customHeight="1" x14ac:dyDescent="0.35">
      <c r="A303" s="41">
        <v>45739</v>
      </c>
      <c r="B303" s="8" t="s">
        <v>32</v>
      </c>
      <c r="C303" s="42" t="s">
        <v>11</v>
      </c>
      <c r="D303" s="43" t="s">
        <v>30</v>
      </c>
      <c r="E303" s="46">
        <v>1947886.65</v>
      </c>
      <c r="F303" s="2">
        <f>IF(C303="GBP",E303*$C$3,IF(C303="TRY",E303/$C$1,IF(C303="EUR",E303*$E$1,IF(C303="RUB",E303/#REF!,IF(C303="EGP",E303/$E$2,E303)))))</f>
        <v>53415.197069122951</v>
      </c>
      <c r="G303" s="15" t="str">
        <f>VLOOKUP(B303,SPECIFICATIONF!$C$2:$D$65,2,0)</f>
        <v>GLOBAL HFT</v>
      </c>
      <c r="H303" s="12">
        <f t="shared" si="20"/>
        <v>3</v>
      </c>
      <c r="I303" s="12">
        <f t="shared" si="21"/>
        <v>2025</v>
      </c>
    </row>
    <row r="304" spans="1:9" ht="19.5" customHeight="1" x14ac:dyDescent="0.35">
      <c r="A304" s="41">
        <v>45739</v>
      </c>
      <c r="B304" s="8" t="s">
        <v>32</v>
      </c>
      <c r="C304" s="42" t="s">
        <v>33</v>
      </c>
      <c r="D304" s="43" t="s">
        <v>30</v>
      </c>
      <c r="E304" s="46">
        <v>7940.84</v>
      </c>
      <c r="F304" s="2">
        <f>IF(C304="GBP",E304*$C$3,IF(C304="TRY",E304/$C$1,IF(C304="EUR",E304*$E$1,IF(C304="RUB",E304/#REF!,IF(C304="EGP",E304/$E$2,E304)))))</f>
        <v>7940.84</v>
      </c>
      <c r="G304" s="15" t="str">
        <f>VLOOKUP(B304,SPECIFICATIONF!$C$2:$D$65,2,0)</f>
        <v>GLOBAL HFT</v>
      </c>
      <c r="H304" s="12">
        <f t="shared" si="20"/>
        <v>3</v>
      </c>
      <c r="I304" s="12">
        <f t="shared" si="21"/>
        <v>2025</v>
      </c>
    </row>
    <row r="305" spans="1:9" ht="19.5" customHeight="1" x14ac:dyDescent="0.35">
      <c r="A305" s="41">
        <v>45739</v>
      </c>
      <c r="B305" s="8" t="s">
        <v>32</v>
      </c>
      <c r="C305" s="42" t="s">
        <v>11</v>
      </c>
      <c r="D305" s="43" t="s">
        <v>29</v>
      </c>
      <c r="E305" s="47">
        <v>7967969664</v>
      </c>
      <c r="F305" s="2">
        <f>IF(C305="GBP",E305*$C$3,IF(C305="TRY",E305/$C$1,IF(C305="EUR",E305*$E$1,IF(C305="RUB",E305/#REF!,IF(C305="EGP",E305/$E$2,E305)))))</f>
        <v>218498684.1217652</v>
      </c>
      <c r="G305" s="15" t="str">
        <f>VLOOKUP(B305,SPECIFICATIONF!$C$2:$D$65,2,0)</f>
        <v>GLOBAL HFT</v>
      </c>
      <c r="H305" s="12">
        <f t="shared" si="20"/>
        <v>3</v>
      </c>
      <c r="I305" s="12">
        <f t="shared" si="21"/>
        <v>2025</v>
      </c>
    </row>
    <row r="306" spans="1:9" ht="19.5" customHeight="1" x14ac:dyDescent="0.35">
      <c r="A306" s="41">
        <v>45739</v>
      </c>
      <c r="B306" s="8" t="s">
        <v>32</v>
      </c>
      <c r="C306" s="42" t="s">
        <v>33</v>
      </c>
      <c r="D306" s="43" t="s">
        <v>29</v>
      </c>
      <c r="E306" s="46">
        <v>30828621</v>
      </c>
      <c r="F306" s="2">
        <f>IF(C306="GBP",E306*$C$3,IF(C306="TRY",E306/$C$1,IF(C306="EUR",E306*$E$1,IF(C306="RUB",E306/#REF!,IF(C306="EGP",E306/$E$2,E306)))))</f>
        <v>30828621</v>
      </c>
      <c r="G306" s="15" t="str">
        <f>VLOOKUP(B306,SPECIFICATIONF!$C$2:$D$65,2,0)</f>
        <v>GLOBAL HFT</v>
      </c>
      <c r="H306" s="12">
        <f t="shared" si="20"/>
        <v>3</v>
      </c>
      <c r="I306" s="12">
        <f t="shared" si="21"/>
        <v>2025</v>
      </c>
    </row>
    <row r="307" spans="1:9" ht="19.5" customHeight="1" x14ac:dyDescent="0.35">
      <c r="A307" s="41">
        <v>45739</v>
      </c>
      <c r="B307" s="8" t="s">
        <v>24</v>
      </c>
      <c r="C307" s="42" t="s">
        <v>11</v>
      </c>
      <c r="D307" s="43" t="s">
        <v>30</v>
      </c>
      <c r="E307" s="46">
        <v>0</v>
      </c>
      <c r="F307" s="2">
        <f>IF(C307="GBP",E307*$C$3,IF(C307="TRY",E307/$C$1,IF(C307="EUR",E307*$E$1,IF(C307="RUB",E307/#REF!,IF(C307="EGP",E307/$E$2,E307)))))</f>
        <v>0</v>
      </c>
      <c r="G307" s="15" t="str">
        <f>VLOOKUP(B307,SPECIFICATIONF!$C$2:$D$65,2,0)</f>
        <v>GLOBAL RETAIL</v>
      </c>
      <c r="H307" s="12">
        <f t="shared" si="20"/>
        <v>3</v>
      </c>
      <c r="I307" s="12">
        <f t="shared" si="21"/>
        <v>2025</v>
      </c>
    </row>
    <row r="308" spans="1:9" ht="19.5" customHeight="1" x14ac:dyDescent="0.35">
      <c r="A308" s="41">
        <v>45739</v>
      </c>
      <c r="B308" s="8" t="s">
        <v>24</v>
      </c>
      <c r="C308" s="42" t="s">
        <v>33</v>
      </c>
      <c r="D308" s="43" t="s">
        <v>30</v>
      </c>
      <c r="E308" s="46">
        <v>85.06</v>
      </c>
      <c r="F308" s="2">
        <f>IF(C308="GBP",E308*$C$3,IF(C308="TRY",E308/$C$1,IF(C308="EUR",E308*$E$1,IF(C308="RUB",E308/#REF!,IF(C308="EGP",E308/$E$2,E308)))))</f>
        <v>85.06</v>
      </c>
      <c r="G308" s="15" t="str">
        <f>VLOOKUP(B308,SPECIFICATIONF!$C$2:$D$65,2,0)</f>
        <v>GLOBAL RETAIL</v>
      </c>
      <c r="H308" s="12">
        <f t="shared" si="20"/>
        <v>3</v>
      </c>
      <c r="I308" s="12">
        <f t="shared" si="21"/>
        <v>2025</v>
      </c>
    </row>
    <row r="309" spans="1:9" ht="19.5" customHeight="1" x14ac:dyDescent="0.35">
      <c r="A309" s="41">
        <v>45739</v>
      </c>
      <c r="B309" s="8" t="s">
        <v>24</v>
      </c>
      <c r="C309" s="42" t="s">
        <v>11</v>
      </c>
      <c r="D309" s="43" t="s">
        <v>29</v>
      </c>
      <c r="E309" s="47">
        <v>0</v>
      </c>
      <c r="F309" s="2">
        <f>IF(C309="GBP",E309*$C$3,IF(C309="TRY",E309/$C$1,IF(C309="EUR",E309*$E$1,IF(C309="RUB",E309/#REF!,IF(C309="EGP",E309/$E$2,E309)))))</f>
        <v>0</v>
      </c>
      <c r="G309" s="15" t="str">
        <f>VLOOKUP(B309,SPECIFICATIONF!$C$2:$D$65,2,0)</f>
        <v>GLOBAL RETAIL</v>
      </c>
      <c r="H309" s="12">
        <f t="shared" si="20"/>
        <v>3</v>
      </c>
      <c r="I309" s="12">
        <f t="shared" si="21"/>
        <v>2025</v>
      </c>
    </row>
    <row r="310" spans="1:9" ht="19.5" customHeight="1" x14ac:dyDescent="0.35">
      <c r="A310" s="41">
        <v>45739</v>
      </c>
      <c r="B310" s="8" t="s">
        <v>24</v>
      </c>
      <c r="C310" s="42" t="s">
        <v>33</v>
      </c>
      <c r="D310" s="43" t="s">
        <v>29</v>
      </c>
      <c r="E310" s="46">
        <v>85060</v>
      </c>
      <c r="F310" s="2">
        <f>IF(C310="GBP",E310*$C$3,IF(C310="TRY",E310/$C$1,IF(C310="EUR",E310*$E$1,IF(C310="RUB",E310/#REF!,IF(C310="EGP",E310/$E$2,E310)))))</f>
        <v>85060</v>
      </c>
      <c r="G310" s="15" t="str">
        <f>VLOOKUP(B310,SPECIFICATIONF!$C$2:$D$65,2,0)</f>
        <v>GLOBAL RETAIL</v>
      </c>
      <c r="H310" s="12">
        <f t="shared" si="20"/>
        <v>3</v>
      </c>
      <c r="I310" s="12">
        <f t="shared" si="21"/>
        <v>2025</v>
      </c>
    </row>
    <row r="311" spans="1:9" ht="19.5" customHeight="1" x14ac:dyDescent="0.35">
      <c r="A311" s="41">
        <v>45740</v>
      </c>
      <c r="B311" s="8" t="s">
        <v>32</v>
      </c>
      <c r="C311" s="42" t="s">
        <v>11</v>
      </c>
      <c r="D311" s="43" t="s">
        <v>30</v>
      </c>
      <c r="E311" s="46">
        <v>1740624.4</v>
      </c>
      <c r="F311" s="2">
        <f>IF(C311="GBP",E311*$C$3,IF(C311="TRY",E311/$C$1,IF(C311="EUR",E311*$E$1,IF(C311="RUB",E311/#REF!,IF(C311="EGP",E311/$E$2,E311)))))</f>
        <v>47731.625117572366</v>
      </c>
      <c r="G311" s="15" t="str">
        <f>VLOOKUP(B311,SPECIFICATIONF!$C$2:$D$65,2,0)</f>
        <v>GLOBAL HFT</v>
      </c>
      <c r="H311" s="12">
        <f t="shared" si="20"/>
        <v>3</v>
      </c>
      <c r="I311" s="12">
        <f t="shared" si="21"/>
        <v>2025</v>
      </c>
    </row>
    <row r="312" spans="1:9" ht="19.5" customHeight="1" x14ac:dyDescent="0.35">
      <c r="A312" s="41">
        <v>45740</v>
      </c>
      <c r="B312" s="8" t="s">
        <v>32</v>
      </c>
      <c r="C312" s="42" t="s">
        <v>33</v>
      </c>
      <c r="D312" s="43" t="s">
        <v>30</v>
      </c>
      <c r="E312" s="46">
        <v>9899.44</v>
      </c>
      <c r="F312" s="2">
        <f>IF(C312="GBP",E312*$C$3,IF(C312="TRY",E312/$C$1,IF(C312="EUR",E312*$E$1,IF(C312="RUB",E312/#REF!,IF(C312="EGP",E312/$E$2,E312)))))</f>
        <v>9899.44</v>
      </c>
      <c r="G312" s="15" t="str">
        <f>VLOOKUP(B312,SPECIFICATIONF!$C$2:$D$65,2,0)</f>
        <v>GLOBAL HFT</v>
      </c>
      <c r="H312" s="12">
        <f t="shared" si="20"/>
        <v>3</v>
      </c>
      <c r="I312" s="12">
        <f t="shared" si="21"/>
        <v>2025</v>
      </c>
    </row>
    <row r="313" spans="1:9" ht="19.5" customHeight="1" x14ac:dyDescent="0.35">
      <c r="A313" s="41">
        <v>45740</v>
      </c>
      <c r="B313" s="8" t="s">
        <v>32</v>
      </c>
      <c r="C313" s="42" t="s">
        <v>11</v>
      </c>
      <c r="D313" s="43" t="s">
        <v>29</v>
      </c>
      <c r="E313" s="47">
        <v>7274038490</v>
      </c>
      <c r="F313" s="2">
        <f>IF(C313="GBP",E313*$C$3,IF(C313="TRY",E313/$C$1,IF(C313="EUR",E313*$E$1,IF(C313="RUB",E313/#REF!,IF(C313="EGP",E313/$E$2,E313)))))</f>
        <v>199469614.63683504</v>
      </c>
      <c r="G313" s="15" t="str">
        <f>VLOOKUP(B313,SPECIFICATIONF!$C$2:$D$65,2,0)</f>
        <v>GLOBAL HFT</v>
      </c>
      <c r="H313" s="12">
        <f t="shared" si="20"/>
        <v>3</v>
      </c>
      <c r="I313" s="12">
        <f t="shared" si="21"/>
        <v>2025</v>
      </c>
    </row>
    <row r="314" spans="1:9" ht="19.5" customHeight="1" x14ac:dyDescent="0.35">
      <c r="A314" s="41">
        <v>45740</v>
      </c>
      <c r="B314" s="8" t="s">
        <v>32</v>
      </c>
      <c r="C314" s="42" t="s">
        <v>33</v>
      </c>
      <c r="D314" s="43" t="s">
        <v>29</v>
      </c>
      <c r="E314" s="46">
        <v>37970444</v>
      </c>
      <c r="F314" s="2">
        <f>IF(C314="GBP",E314*$C$3,IF(C314="TRY",E314/$C$1,IF(C314="EUR",E314*$E$1,IF(C314="RUB",E314/#REF!,IF(C314="EGP",E314/$E$2,E314)))))</f>
        <v>37970444</v>
      </c>
      <c r="G314" s="15" t="str">
        <f>VLOOKUP(B314,SPECIFICATIONF!$C$2:$D$65,2,0)</f>
        <v>GLOBAL HFT</v>
      </c>
      <c r="H314" s="12">
        <f t="shared" si="20"/>
        <v>3</v>
      </c>
      <c r="I314" s="12">
        <f t="shared" si="21"/>
        <v>2025</v>
      </c>
    </row>
    <row r="315" spans="1:9" ht="19.5" customHeight="1" x14ac:dyDescent="0.35">
      <c r="A315" s="41">
        <v>45740</v>
      </c>
      <c r="B315" s="8" t="s">
        <v>24</v>
      </c>
      <c r="C315" s="42" t="s">
        <v>11</v>
      </c>
      <c r="D315" s="43" t="s">
        <v>30</v>
      </c>
      <c r="E315" s="46">
        <v>0</v>
      </c>
      <c r="F315" s="2">
        <f>IF(C315="GBP",E315*$C$3,IF(C315="TRY",E315/$C$1,IF(C315="EUR",E315*$E$1,IF(C315="RUB",E315/#REF!,IF(C315="EGP",E315/$E$2,E315)))))</f>
        <v>0</v>
      </c>
      <c r="G315" s="15" t="str">
        <f>VLOOKUP(B315,SPECIFICATIONF!$C$2:$D$65,2,0)</f>
        <v>GLOBAL RETAIL</v>
      </c>
      <c r="H315" s="12">
        <f t="shared" si="20"/>
        <v>3</v>
      </c>
      <c r="I315" s="12">
        <f t="shared" si="21"/>
        <v>2025</v>
      </c>
    </row>
    <row r="316" spans="1:9" ht="19.5" customHeight="1" x14ac:dyDescent="0.35">
      <c r="A316" s="41">
        <v>45740</v>
      </c>
      <c r="B316" s="8" t="s">
        <v>24</v>
      </c>
      <c r="C316" s="42" t="s">
        <v>33</v>
      </c>
      <c r="D316" s="43" t="s">
        <v>30</v>
      </c>
      <c r="E316" s="46">
        <v>161.30000000000001</v>
      </c>
      <c r="F316" s="2">
        <f>IF(C316="GBP",E316*$C$3,IF(C316="TRY",E316/$C$1,IF(C316="EUR",E316*$E$1,IF(C316="RUB",E316/#REF!,IF(C316="EGP",E316/$E$2,E316)))))</f>
        <v>161.30000000000001</v>
      </c>
      <c r="G316" s="15" t="str">
        <f>VLOOKUP(B316,SPECIFICATIONF!$C$2:$D$65,2,0)</f>
        <v>GLOBAL RETAIL</v>
      </c>
      <c r="H316" s="12">
        <f t="shared" si="20"/>
        <v>3</v>
      </c>
      <c r="I316" s="12">
        <f t="shared" si="21"/>
        <v>2025</v>
      </c>
    </row>
    <row r="317" spans="1:9" ht="19.5" customHeight="1" x14ac:dyDescent="0.35">
      <c r="A317" s="41">
        <v>45740</v>
      </c>
      <c r="B317" s="8" t="s">
        <v>24</v>
      </c>
      <c r="C317" s="42" t="s">
        <v>11</v>
      </c>
      <c r="D317" s="43" t="s">
        <v>29</v>
      </c>
      <c r="E317" s="47">
        <v>0</v>
      </c>
      <c r="F317" s="2">
        <f>IF(C317="GBP",E317*$C$3,IF(C317="TRY",E317/$C$1,IF(C317="EUR",E317*$E$1,IF(C317="RUB",E317/#REF!,IF(C317="EGP",E317/$E$2,E317)))))</f>
        <v>0</v>
      </c>
      <c r="G317" s="15" t="str">
        <f>VLOOKUP(B317,SPECIFICATIONF!$C$2:$D$65,2,0)</f>
        <v>GLOBAL RETAIL</v>
      </c>
      <c r="H317" s="12">
        <f t="shared" si="20"/>
        <v>3</v>
      </c>
      <c r="I317" s="12">
        <f t="shared" si="21"/>
        <v>2025</v>
      </c>
    </row>
    <row r="318" spans="1:9" ht="19.5" customHeight="1" x14ac:dyDescent="0.35">
      <c r="A318" s="41">
        <v>45740</v>
      </c>
      <c r="B318" s="8" t="s">
        <v>24</v>
      </c>
      <c r="C318" s="42" t="s">
        <v>33</v>
      </c>
      <c r="D318" s="43" t="s">
        <v>29</v>
      </c>
      <c r="E318" s="46">
        <v>171650</v>
      </c>
      <c r="F318" s="2">
        <f>IF(C318="GBP",E318*$C$3,IF(C318="TRY",E318/$C$1,IF(C318="EUR",E318*$E$1,IF(C318="RUB",E318/#REF!,IF(C318="EGP",E318/$E$2,E318)))))</f>
        <v>171650</v>
      </c>
      <c r="G318" s="15" t="str">
        <f>VLOOKUP(B318,SPECIFICATIONF!$C$2:$D$65,2,0)</f>
        <v>GLOBAL RETAIL</v>
      </c>
      <c r="H318" s="12">
        <f t="shared" si="20"/>
        <v>3</v>
      </c>
      <c r="I318" s="12">
        <f t="shared" si="21"/>
        <v>2025</v>
      </c>
    </row>
    <row r="319" spans="1:9" ht="19.5" customHeight="1" x14ac:dyDescent="0.35">
      <c r="A319" s="41">
        <v>45741</v>
      </c>
      <c r="B319" s="8" t="s">
        <v>32</v>
      </c>
      <c r="C319" s="42" t="s">
        <v>11</v>
      </c>
      <c r="D319" s="43" t="s">
        <v>30</v>
      </c>
      <c r="E319" s="46">
        <v>1366895.11</v>
      </c>
      <c r="F319" s="2">
        <f>IF(C319="GBP",E319*$C$3,IF(C319="TRY",E319/$C$1,IF(C319="EUR",E319*$E$1,IF(C319="RUB",E319/#REF!,IF(C319="EGP",E319/$E$2,E319)))))</f>
        <v>37483.172685366728</v>
      </c>
      <c r="G319" s="15" t="str">
        <f>VLOOKUP(B319,SPECIFICATIONF!$C$2:$D$65,2,0)</f>
        <v>GLOBAL HFT</v>
      </c>
      <c r="H319" s="12">
        <f t="shared" si="20"/>
        <v>3</v>
      </c>
      <c r="I319" s="12">
        <f t="shared" si="21"/>
        <v>2025</v>
      </c>
    </row>
    <row r="320" spans="1:9" ht="19.5" customHeight="1" x14ac:dyDescent="0.35">
      <c r="A320" s="41">
        <v>45741</v>
      </c>
      <c r="B320" s="8" t="s">
        <v>32</v>
      </c>
      <c r="C320" s="42" t="s">
        <v>33</v>
      </c>
      <c r="D320" s="43" t="s">
        <v>30</v>
      </c>
      <c r="E320" s="46">
        <v>7992.8</v>
      </c>
      <c r="F320" s="2">
        <f>IF(C320="GBP",E320*$C$3,IF(C320="TRY",E320/$C$1,IF(C320="EUR",E320*$E$1,IF(C320="RUB",E320/#REF!,IF(C320="EGP",E320/$E$2,E320)))))</f>
        <v>7992.8</v>
      </c>
      <c r="G320" s="15" t="str">
        <f>VLOOKUP(B320,SPECIFICATIONF!$C$2:$D$65,2,0)</f>
        <v>GLOBAL HFT</v>
      </c>
      <c r="H320" s="12">
        <f t="shared" si="20"/>
        <v>3</v>
      </c>
      <c r="I320" s="12">
        <f t="shared" si="21"/>
        <v>2025</v>
      </c>
    </row>
    <row r="321" spans="1:9" ht="19.5" customHeight="1" x14ac:dyDescent="0.35">
      <c r="A321" s="41">
        <v>45741</v>
      </c>
      <c r="B321" s="8" t="s">
        <v>32</v>
      </c>
      <c r="C321" s="42" t="s">
        <v>11</v>
      </c>
      <c r="D321" s="43" t="s">
        <v>29</v>
      </c>
      <c r="E321" s="47">
        <v>5607466743</v>
      </c>
      <c r="F321" s="2">
        <f>IF(C321="GBP",E321*$C$3,IF(C321="TRY",E321/$C$1,IF(C321="EUR",E321*$E$1,IF(C321="RUB",E321/#REF!,IF(C321="EGP",E321/$E$2,E321)))))</f>
        <v>153768670.84945524</v>
      </c>
      <c r="G321" s="15" t="str">
        <f>VLOOKUP(B321,SPECIFICATIONF!$C$2:$D$65,2,0)</f>
        <v>GLOBAL HFT</v>
      </c>
      <c r="H321" s="12">
        <f t="shared" si="20"/>
        <v>3</v>
      </c>
      <c r="I321" s="12">
        <f t="shared" si="21"/>
        <v>2025</v>
      </c>
    </row>
    <row r="322" spans="1:9" ht="19.5" customHeight="1" x14ac:dyDescent="0.35">
      <c r="A322" s="41">
        <v>45741</v>
      </c>
      <c r="B322" s="8" t="s">
        <v>32</v>
      </c>
      <c r="C322" s="42" t="s">
        <v>33</v>
      </c>
      <c r="D322" s="43" t="s">
        <v>29</v>
      </c>
      <c r="E322" s="46">
        <v>30508585</v>
      </c>
      <c r="F322" s="2">
        <f>IF(C322="GBP",E322*$C$3,IF(C322="TRY",E322/$C$1,IF(C322="EUR",E322*$E$1,IF(C322="RUB",E322/#REF!,IF(C322="EGP",E322/$E$2,E322)))))</f>
        <v>30508585</v>
      </c>
      <c r="G322" s="15" t="str">
        <f>VLOOKUP(B322,SPECIFICATIONF!$C$2:$D$65,2,0)</f>
        <v>GLOBAL HFT</v>
      </c>
      <c r="H322" s="12">
        <f t="shared" si="20"/>
        <v>3</v>
      </c>
      <c r="I322" s="12">
        <f t="shared" si="21"/>
        <v>2025</v>
      </c>
    </row>
    <row r="323" spans="1:9" ht="19.5" customHeight="1" x14ac:dyDescent="0.35">
      <c r="A323" s="41">
        <v>45741</v>
      </c>
      <c r="B323" s="8" t="s">
        <v>24</v>
      </c>
      <c r="C323" s="42" t="s">
        <v>11</v>
      </c>
      <c r="D323" s="43" t="s">
        <v>30</v>
      </c>
      <c r="E323" s="46">
        <v>0</v>
      </c>
      <c r="F323" s="2">
        <f>IF(C323="GBP",E323*$C$3,IF(C323="TRY",E323/$C$1,IF(C323="EUR",E323*$E$1,IF(C323="RUB",E323/#REF!,IF(C323="EGP",E323/$E$2,E323)))))</f>
        <v>0</v>
      </c>
      <c r="G323" s="15" t="str">
        <f>VLOOKUP(B323,SPECIFICATIONF!$C$2:$D$65,2,0)</f>
        <v>GLOBAL RETAIL</v>
      </c>
      <c r="H323" s="12">
        <f t="shared" si="20"/>
        <v>3</v>
      </c>
      <c r="I323" s="12">
        <f t="shared" si="21"/>
        <v>2025</v>
      </c>
    </row>
    <row r="324" spans="1:9" ht="19.5" customHeight="1" x14ac:dyDescent="0.35">
      <c r="A324" s="41">
        <v>45741</v>
      </c>
      <c r="B324" s="8" t="s">
        <v>24</v>
      </c>
      <c r="C324" s="42" t="s">
        <v>33</v>
      </c>
      <c r="D324" s="43" t="s">
        <v>30</v>
      </c>
      <c r="E324" s="46">
        <v>0</v>
      </c>
      <c r="F324" s="2">
        <f>IF(C324="GBP",E324*$C$3,IF(C324="TRY",E324/$C$1,IF(C324="EUR",E324*$E$1,IF(C324="RUB",E324/#REF!,IF(C324="EGP",E324/$E$2,E324)))))</f>
        <v>0</v>
      </c>
      <c r="G324" s="15" t="str">
        <f>VLOOKUP(B324,SPECIFICATIONF!$C$2:$D$65,2,0)</f>
        <v>GLOBAL RETAIL</v>
      </c>
      <c r="H324" s="12">
        <f t="shared" si="20"/>
        <v>3</v>
      </c>
      <c r="I324" s="12">
        <f t="shared" si="21"/>
        <v>2025</v>
      </c>
    </row>
    <row r="325" spans="1:9" ht="19.5" customHeight="1" x14ac:dyDescent="0.35">
      <c r="A325" s="41">
        <v>45741</v>
      </c>
      <c r="B325" s="8" t="s">
        <v>24</v>
      </c>
      <c r="C325" s="42" t="s">
        <v>11</v>
      </c>
      <c r="D325" s="43" t="s">
        <v>29</v>
      </c>
      <c r="E325" s="46">
        <v>0</v>
      </c>
      <c r="F325" s="2">
        <f>IF(C325="GBP",E325*$C$3,IF(C325="TRY",E325/$C$1,IF(C325="EUR",E325*$E$1,IF(C325="RUB",E325/#REF!,IF(C325="EGP",E325/$E$2,E325)))))</f>
        <v>0</v>
      </c>
      <c r="G325" s="15" t="str">
        <f>VLOOKUP(B325,SPECIFICATIONF!$C$2:$D$65,2,0)</f>
        <v>GLOBAL RETAIL</v>
      </c>
      <c r="H325" s="12">
        <f t="shared" si="20"/>
        <v>3</v>
      </c>
      <c r="I325" s="12">
        <f t="shared" si="21"/>
        <v>2025</v>
      </c>
    </row>
    <row r="326" spans="1:9" ht="19.5" customHeight="1" x14ac:dyDescent="0.35">
      <c r="A326" s="41">
        <v>45741</v>
      </c>
      <c r="B326" s="8" t="s">
        <v>24</v>
      </c>
      <c r="C326" s="42" t="s">
        <v>33</v>
      </c>
      <c r="D326" s="43" t="s">
        <v>29</v>
      </c>
      <c r="E326" s="46">
        <v>0</v>
      </c>
      <c r="F326" s="2">
        <f>IF(C326="GBP",E326*$C$3,IF(C326="TRY",E326/$C$1,IF(C326="EUR",E326*$E$1,IF(C326="RUB",E326/#REF!,IF(C326="EGP",E326/$E$2,E326)))))</f>
        <v>0</v>
      </c>
      <c r="G326" s="15" t="str">
        <f>VLOOKUP(B326,SPECIFICATIONF!$C$2:$D$65,2,0)</f>
        <v>GLOBAL RETAIL</v>
      </c>
      <c r="H326" s="12">
        <f t="shared" si="20"/>
        <v>3</v>
      </c>
      <c r="I326" s="12">
        <f t="shared" si="21"/>
        <v>2025</v>
      </c>
    </row>
    <row r="327" spans="1:9" ht="19.5" customHeight="1" x14ac:dyDescent="0.35">
      <c r="A327" s="41">
        <v>45742</v>
      </c>
      <c r="B327" s="8" t="s">
        <v>32</v>
      </c>
      <c r="C327" s="42" t="s">
        <v>11</v>
      </c>
      <c r="D327" s="43" t="s">
        <v>30</v>
      </c>
      <c r="E327" s="46">
        <v>1430952.14</v>
      </c>
      <c r="F327" s="2">
        <f>IF(C327="GBP",E327*$C$3,IF(C327="TRY",E327/$C$1,IF(C327="EUR",E327*$E$1,IF(C327="RUB",E327/#REF!,IF(C327="EGP",E327/$E$2,E327)))))</f>
        <v>39239.752762093842</v>
      </c>
      <c r="G327" s="15" t="str">
        <f>VLOOKUP(B327,SPECIFICATIONF!$C$2:$D$65,2,0)</f>
        <v>GLOBAL HFT</v>
      </c>
      <c r="H327" s="12">
        <f t="shared" si="20"/>
        <v>3</v>
      </c>
      <c r="I327" s="12">
        <f t="shared" si="21"/>
        <v>2025</v>
      </c>
    </row>
    <row r="328" spans="1:9" ht="19.5" customHeight="1" x14ac:dyDescent="0.35">
      <c r="A328" s="41">
        <v>45742</v>
      </c>
      <c r="B328" s="8" t="s">
        <v>32</v>
      </c>
      <c r="C328" s="42" t="s">
        <v>33</v>
      </c>
      <c r="D328" s="43" t="s">
        <v>30</v>
      </c>
      <c r="E328" s="46">
        <v>9046.4599999999991</v>
      </c>
      <c r="F328" s="2">
        <f>IF(C328="GBP",E328*$C$3,IF(C328="TRY",E328/$C$1,IF(C328="EUR",E328*$E$1,IF(C328="RUB",E328/#REF!,IF(C328="EGP",E328/$E$2,E328)))))</f>
        <v>9046.4599999999991</v>
      </c>
      <c r="G328" s="15" t="str">
        <f>VLOOKUP(B328,SPECIFICATIONF!$C$2:$D$65,2,0)</f>
        <v>GLOBAL HFT</v>
      </c>
      <c r="H328" s="12">
        <f t="shared" si="20"/>
        <v>3</v>
      </c>
      <c r="I328" s="12">
        <f t="shared" si="21"/>
        <v>2025</v>
      </c>
    </row>
    <row r="329" spans="1:9" ht="19.5" customHeight="1" x14ac:dyDescent="0.35">
      <c r="A329" s="41">
        <v>45742</v>
      </c>
      <c r="B329" s="8" t="s">
        <v>32</v>
      </c>
      <c r="C329" s="42" t="s">
        <v>11</v>
      </c>
      <c r="D329" s="43" t="s">
        <v>29</v>
      </c>
      <c r="E329" s="47">
        <v>5862958420</v>
      </c>
      <c r="F329" s="2">
        <f>IF(C329="GBP",E329*$C$3,IF(C329="TRY",E329/$C$1,IF(C329="EUR",E329*$E$1,IF(C329="RUB",E329/#REF!,IF(C329="EGP",E329/$E$2,E329)))))</f>
        <v>160774796.32214418</v>
      </c>
      <c r="G329" s="15" t="str">
        <f>VLOOKUP(B329,SPECIFICATIONF!$C$2:$D$65,2,0)</f>
        <v>GLOBAL HFT</v>
      </c>
      <c r="H329" s="12">
        <f t="shared" si="20"/>
        <v>3</v>
      </c>
      <c r="I329" s="12">
        <f t="shared" si="21"/>
        <v>2025</v>
      </c>
    </row>
    <row r="330" spans="1:9" ht="19.5" customHeight="1" x14ac:dyDescent="0.35">
      <c r="A330" s="41">
        <v>45742</v>
      </c>
      <c r="B330" s="8" t="s">
        <v>32</v>
      </c>
      <c r="C330" s="42" t="s">
        <v>33</v>
      </c>
      <c r="D330" s="43" t="s">
        <v>29</v>
      </c>
      <c r="E330" s="46">
        <v>35257200</v>
      </c>
      <c r="F330" s="2">
        <f>IF(C330="GBP",E330*$C$3,IF(C330="TRY",E330/$C$1,IF(C330="EUR",E330*$E$1,IF(C330="RUB",E330/#REF!,IF(C330="EGP",E330/$E$2,E330)))))</f>
        <v>35257200</v>
      </c>
      <c r="G330" s="15" t="str">
        <f>VLOOKUP(B330,SPECIFICATIONF!$C$2:$D$65,2,0)</f>
        <v>GLOBAL HFT</v>
      </c>
      <c r="H330" s="12">
        <f t="shared" si="20"/>
        <v>3</v>
      </c>
      <c r="I330" s="12">
        <f t="shared" si="21"/>
        <v>2025</v>
      </c>
    </row>
    <row r="331" spans="1:9" ht="19.5" customHeight="1" x14ac:dyDescent="0.35">
      <c r="A331" s="41">
        <v>45742</v>
      </c>
      <c r="B331" s="8" t="s">
        <v>24</v>
      </c>
      <c r="C331" s="42" t="s">
        <v>11</v>
      </c>
      <c r="D331" s="43" t="s">
        <v>30</v>
      </c>
      <c r="E331" s="46">
        <v>0</v>
      </c>
      <c r="F331" s="2">
        <f>IF(C331="GBP",E331*$C$3,IF(C331="TRY",E331/$C$1,IF(C331="EUR",E331*$E$1,IF(C331="RUB",E331/#REF!,IF(C331="EGP",E331/$E$2,E331)))))</f>
        <v>0</v>
      </c>
      <c r="G331" s="15" t="str">
        <f>VLOOKUP(B331,SPECIFICATIONF!$C$2:$D$65,2,0)</f>
        <v>GLOBAL RETAIL</v>
      </c>
      <c r="H331" s="12">
        <f t="shared" si="20"/>
        <v>3</v>
      </c>
      <c r="I331" s="12">
        <f t="shared" si="21"/>
        <v>2025</v>
      </c>
    </row>
    <row r="332" spans="1:9" ht="19.5" customHeight="1" x14ac:dyDescent="0.35">
      <c r="A332" s="41">
        <v>45742</v>
      </c>
      <c r="B332" s="8" t="s">
        <v>24</v>
      </c>
      <c r="C332" s="42" t="s">
        <v>33</v>
      </c>
      <c r="D332" s="43" t="s">
        <v>30</v>
      </c>
      <c r="E332" s="46">
        <v>0</v>
      </c>
      <c r="F332" s="2">
        <f>IF(C332="GBP",E332*$C$3,IF(C332="TRY",E332/$C$1,IF(C332="EUR",E332*$E$1,IF(C332="RUB",E332/#REF!,IF(C332="EGP",E332/$E$2,E332)))))</f>
        <v>0</v>
      </c>
      <c r="G332" s="15" t="str">
        <f>VLOOKUP(B332,SPECIFICATIONF!$C$2:$D$65,2,0)</f>
        <v>GLOBAL RETAIL</v>
      </c>
      <c r="H332" s="12">
        <f t="shared" si="20"/>
        <v>3</v>
      </c>
      <c r="I332" s="12">
        <f t="shared" si="21"/>
        <v>2025</v>
      </c>
    </row>
    <row r="333" spans="1:9" ht="19.5" customHeight="1" x14ac:dyDescent="0.35">
      <c r="A333" s="41">
        <v>45742</v>
      </c>
      <c r="B333" s="8" t="s">
        <v>24</v>
      </c>
      <c r="C333" s="42" t="s">
        <v>11</v>
      </c>
      <c r="D333" s="43" t="s">
        <v>29</v>
      </c>
      <c r="E333" s="46">
        <v>0</v>
      </c>
      <c r="F333" s="2">
        <f>IF(C333="GBP",E333*$C$3,IF(C333="TRY",E333/$C$1,IF(C333="EUR",E333*$E$1,IF(C333="RUB",E333/#REF!,IF(C333="EGP",E333/$E$2,E333)))))</f>
        <v>0</v>
      </c>
      <c r="G333" s="15" t="str">
        <f>VLOOKUP(B333,SPECIFICATIONF!$C$2:$D$65,2,0)</f>
        <v>GLOBAL RETAIL</v>
      </c>
      <c r="H333" s="12">
        <f t="shared" si="20"/>
        <v>3</v>
      </c>
      <c r="I333" s="12">
        <f t="shared" si="21"/>
        <v>2025</v>
      </c>
    </row>
    <row r="334" spans="1:9" ht="19.5" customHeight="1" x14ac:dyDescent="0.35">
      <c r="A334" s="41">
        <v>45742</v>
      </c>
      <c r="B334" s="8" t="s">
        <v>24</v>
      </c>
      <c r="C334" s="42" t="s">
        <v>33</v>
      </c>
      <c r="D334" s="43" t="s">
        <v>29</v>
      </c>
      <c r="E334" s="46">
        <v>0</v>
      </c>
      <c r="F334" s="2">
        <f>IF(C334="GBP",E334*$C$3,IF(C334="TRY",E334/$C$1,IF(C334="EUR",E334*$E$1,IF(C334="RUB",E334/#REF!,IF(C334="EGP",E334/$E$2,E334)))))</f>
        <v>0</v>
      </c>
      <c r="G334" s="15" t="str">
        <f>VLOOKUP(B334,SPECIFICATIONF!$C$2:$D$65,2,0)</f>
        <v>GLOBAL RETAIL</v>
      </c>
      <c r="H334" s="12">
        <f t="shared" si="20"/>
        <v>3</v>
      </c>
      <c r="I334" s="12">
        <f t="shared" si="21"/>
        <v>2025</v>
      </c>
    </row>
    <row r="335" spans="1:9" ht="19.5" customHeight="1" x14ac:dyDescent="0.35">
      <c r="A335" s="41">
        <v>45743</v>
      </c>
      <c r="B335" s="8" t="s">
        <v>32</v>
      </c>
      <c r="C335" s="42" t="s">
        <v>11</v>
      </c>
      <c r="D335" s="43" t="s">
        <v>30</v>
      </c>
      <c r="E335" s="46">
        <v>815497.45</v>
      </c>
      <c r="F335" s="2">
        <f>IF(C335="GBP",E335*$C$3,IF(C335="TRY",E335/$C$1,IF(C335="EUR",E335*$E$1,IF(C335="RUB",E335/#REF!,IF(C335="EGP",E335/$E$2,E335)))))</f>
        <v>22362.675467341614</v>
      </c>
      <c r="G335" s="15" t="str">
        <f>VLOOKUP(B335,SPECIFICATIONF!$C$2:$D$65,2,0)</f>
        <v>GLOBAL HFT</v>
      </c>
      <c r="H335" s="12">
        <f t="shared" si="20"/>
        <v>3</v>
      </c>
      <c r="I335" s="12">
        <f t="shared" si="21"/>
        <v>2025</v>
      </c>
    </row>
    <row r="336" spans="1:9" ht="19.5" customHeight="1" x14ac:dyDescent="0.35">
      <c r="A336" s="41">
        <v>45743</v>
      </c>
      <c r="B336" s="8" t="s">
        <v>32</v>
      </c>
      <c r="C336" s="42" t="s">
        <v>33</v>
      </c>
      <c r="D336" s="43" t="s">
        <v>30</v>
      </c>
      <c r="E336" s="46">
        <v>5099.46</v>
      </c>
      <c r="F336" s="2">
        <f>IF(C336="GBP",E336*$C$3,IF(C336="TRY",E336/$C$1,IF(C336="EUR",E336*$E$1,IF(C336="RUB",E336/#REF!,IF(C336="EGP",E336/$E$2,E336)))))</f>
        <v>5099.46</v>
      </c>
      <c r="G336" s="15" t="str">
        <f>VLOOKUP(B336,SPECIFICATIONF!$C$2:$D$65,2,0)</f>
        <v>GLOBAL HFT</v>
      </c>
      <c r="H336" s="12">
        <f t="shared" si="20"/>
        <v>3</v>
      </c>
      <c r="I336" s="12">
        <f t="shared" si="21"/>
        <v>2025</v>
      </c>
    </row>
    <row r="337" spans="1:9" ht="19.5" customHeight="1" x14ac:dyDescent="0.35">
      <c r="A337" s="41">
        <v>45743</v>
      </c>
      <c r="B337" s="8" t="s">
        <v>32</v>
      </c>
      <c r="C337" s="42" t="s">
        <v>11</v>
      </c>
      <c r="D337" s="43" t="s">
        <v>29</v>
      </c>
      <c r="E337" s="47">
        <v>3412974015</v>
      </c>
      <c r="F337" s="2">
        <f>IF(C337="GBP",E337*$C$3,IF(C337="TRY",E337/$C$1,IF(C337="EUR",E337*$E$1,IF(C337="RUB",E337/#REF!,IF(C337="EGP",E337/$E$2,E337)))))</f>
        <v>93591010.340884462</v>
      </c>
      <c r="G337" s="15" t="str">
        <f>VLOOKUP(B337,SPECIFICATIONF!$C$2:$D$65,2,0)</f>
        <v>GLOBAL HFT</v>
      </c>
      <c r="H337" s="12">
        <f t="shared" si="20"/>
        <v>3</v>
      </c>
      <c r="I337" s="12">
        <f t="shared" si="21"/>
        <v>2025</v>
      </c>
    </row>
    <row r="338" spans="1:9" ht="19.5" customHeight="1" x14ac:dyDescent="0.35">
      <c r="A338" s="41">
        <v>45743</v>
      </c>
      <c r="B338" s="8" t="s">
        <v>32</v>
      </c>
      <c r="C338" s="42" t="s">
        <v>33</v>
      </c>
      <c r="D338" s="43" t="s">
        <v>29</v>
      </c>
      <c r="E338" s="46">
        <v>19975174</v>
      </c>
      <c r="F338" s="2">
        <f>IF(C338="GBP",E338*$C$3,IF(C338="TRY",E338/$C$1,IF(C338="EUR",E338*$E$1,IF(C338="RUB",E338/#REF!,IF(C338="EGP",E338/$E$2,E338)))))</f>
        <v>19975174</v>
      </c>
      <c r="G338" s="15" t="str">
        <f>VLOOKUP(B338,SPECIFICATIONF!$C$2:$D$65,2,0)</f>
        <v>GLOBAL HFT</v>
      </c>
      <c r="H338" s="12">
        <f t="shared" si="20"/>
        <v>3</v>
      </c>
      <c r="I338" s="12">
        <f t="shared" si="21"/>
        <v>2025</v>
      </c>
    </row>
    <row r="339" spans="1:9" ht="19.5" customHeight="1" x14ac:dyDescent="0.35">
      <c r="A339" s="41">
        <v>45743</v>
      </c>
      <c r="B339" s="8" t="s">
        <v>24</v>
      </c>
      <c r="C339" s="42" t="s">
        <v>11</v>
      </c>
      <c r="D339" s="43" t="s">
        <v>30</v>
      </c>
      <c r="E339" s="46">
        <v>0</v>
      </c>
      <c r="F339" s="2">
        <f>IF(C339="GBP",E339*$C$3,IF(C339="TRY",E339/$C$1,IF(C339="EUR",E339*$E$1,IF(C339="RUB",E339/#REF!,IF(C339="EGP",E339/$E$2,E339)))))</f>
        <v>0</v>
      </c>
      <c r="G339" s="15" t="str">
        <f>VLOOKUP(B339,SPECIFICATIONF!$C$2:$D$65,2,0)</f>
        <v>GLOBAL RETAIL</v>
      </c>
      <c r="H339" s="12">
        <f t="shared" si="20"/>
        <v>3</v>
      </c>
      <c r="I339" s="12">
        <f t="shared" si="21"/>
        <v>2025</v>
      </c>
    </row>
    <row r="340" spans="1:9" ht="19.5" customHeight="1" x14ac:dyDescent="0.35">
      <c r="A340" s="41">
        <v>45743</v>
      </c>
      <c r="B340" s="8" t="s">
        <v>24</v>
      </c>
      <c r="C340" s="42" t="s">
        <v>33</v>
      </c>
      <c r="D340" s="43" t="s">
        <v>30</v>
      </c>
      <c r="E340" s="46">
        <v>0</v>
      </c>
      <c r="F340" s="2">
        <f>IF(C340="GBP",E340*$C$3,IF(C340="TRY",E340/$C$1,IF(C340="EUR",E340*$E$1,IF(C340="RUB",E340/#REF!,IF(C340="EGP",E340/$E$2,E340)))))</f>
        <v>0</v>
      </c>
      <c r="G340" s="15" t="str">
        <f>VLOOKUP(B340,SPECIFICATIONF!$C$2:$D$65,2,0)</f>
        <v>GLOBAL RETAIL</v>
      </c>
      <c r="H340" s="12">
        <f t="shared" si="20"/>
        <v>3</v>
      </c>
      <c r="I340" s="12">
        <f t="shared" si="21"/>
        <v>2025</v>
      </c>
    </row>
    <row r="341" spans="1:9" ht="19.5" customHeight="1" x14ac:dyDescent="0.35">
      <c r="A341" s="41">
        <v>45743</v>
      </c>
      <c r="B341" s="8" t="s">
        <v>24</v>
      </c>
      <c r="C341" s="42" t="s">
        <v>11</v>
      </c>
      <c r="D341" s="43" t="s">
        <v>29</v>
      </c>
      <c r="E341" s="46">
        <v>0</v>
      </c>
      <c r="F341" s="2">
        <f>IF(C341="GBP",E341*$C$3,IF(C341="TRY",E341/$C$1,IF(C341="EUR",E341*$E$1,IF(C341="RUB",E341/#REF!,IF(C341="EGP",E341/$E$2,E341)))))</f>
        <v>0</v>
      </c>
      <c r="G341" s="15" t="str">
        <f>VLOOKUP(B341,SPECIFICATIONF!$C$2:$D$65,2,0)</f>
        <v>GLOBAL RETAIL</v>
      </c>
      <c r="H341" s="12">
        <f t="shared" si="20"/>
        <v>3</v>
      </c>
      <c r="I341" s="12">
        <f t="shared" si="21"/>
        <v>2025</v>
      </c>
    </row>
    <row r="342" spans="1:9" ht="19.5" customHeight="1" x14ac:dyDescent="0.35">
      <c r="A342" s="41">
        <v>45743</v>
      </c>
      <c r="B342" s="8" t="s">
        <v>24</v>
      </c>
      <c r="C342" s="42" t="s">
        <v>33</v>
      </c>
      <c r="D342" s="43" t="s">
        <v>29</v>
      </c>
      <c r="E342" s="46">
        <v>0</v>
      </c>
      <c r="F342" s="2">
        <f>IF(C342="GBP",E342*$C$3,IF(C342="TRY",E342/$C$1,IF(C342="EUR",E342*$E$1,IF(C342="RUB",E342/#REF!,IF(C342="EGP",E342/$E$2,E342)))))</f>
        <v>0</v>
      </c>
      <c r="G342" s="15" t="str">
        <f>VLOOKUP(B342,SPECIFICATIONF!$C$2:$D$65,2,0)</f>
        <v>GLOBAL RETAIL</v>
      </c>
      <c r="H342" s="12">
        <f t="shared" si="20"/>
        <v>3</v>
      </c>
      <c r="I342" s="12">
        <f t="shared" si="21"/>
        <v>2025</v>
      </c>
    </row>
    <row r="343" spans="1:9" ht="19.5" customHeight="1" x14ac:dyDescent="0.35">
      <c r="A343" s="41">
        <v>45744</v>
      </c>
      <c r="B343" s="8" t="s">
        <v>32</v>
      </c>
      <c r="C343" s="42" t="s">
        <v>11</v>
      </c>
      <c r="D343" s="43" t="s">
        <v>30</v>
      </c>
      <c r="E343" s="46">
        <v>1130895.57</v>
      </c>
      <c r="F343" s="2">
        <f>IF(C343="GBP",E343*$C$3,IF(C343="TRY",E343/$C$1,IF(C343="EUR",E343*$E$1,IF(C343="RUB",E343/#REF!,IF(C343="EGP",E343/$E$2,E343)))))</f>
        <v>31011.563088718809</v>
      </c>
      <c r="G343" s="15" t="str">
        <f>VLOOKUP(B343,SPECIFICATIONF!$C$2:$D$65,2,0)</f>
        <v>GLOBAL HFT</v>
      </c>
      <c r="H343" s="12">
        <f t="shared" si="20"/>
        <v>3</v>
      </c>
      <c r="I343" s="12">
        <f t="shared" si="21"/>
        <v>2025</v>
      </c>
    </row>
    <row r="344" spans="1:9" ht="19.5" customHeight="1" x14ac:dyDescent="0.35">
      <c r="A344" s="41">
        <v>45744</v>
      </c>
      <c r="B344" s="8" t="s">
        <v>32</v>
      </c>
      <c r="C344" s="42" t="s">
        <v>33</v>
      </c>
      <c r="D344" s="43" t="s">
        <v>30</v>
      </c>
      <c r="E344" s="46">
        <v>6166.51</v>
      </c>
      <c r="F344" s="2">
        <f>IF(C344="GBP",E344*$C$3,IF(C344="TRY",E344/$C$1,IF(C344="EUR",E344*$E$1,IF(C344="RUB",E344/#REF!,IF(C344="EGP",E344/$E$2,E344)))))</f>
        <v>6166.51</v>
      </c>
      <c r="G344" s="15" t="str">
        <f>VLOOKUP(B344,SPECIFICATIONF!$C$2:$D$65,2,0)</f>
        <v>GLOBAL HFT</v>
      </c>
      <c r="H344" s="12">
        <f t="shared" si="20"/>
        <v>3</v>
      </c>
      <c r="I344" s="12">
        <f t="shared" si="21"/>
        <v>2025</v>
      </c>
    </row>
    <row r="345" spans="1:9" ht="19.5" customHeight="1" x14ac:dyDescent="0.35">
      <c r="A345" s="41">
        <v>45744</v>
      </c>
      <c r="B345" s="8" t="s">
        <v>32</v>
      </c>
      <c r="C345" s="42" t="s">
        <v>11</v>
      </c>
      <c r="D345" s="43" t="s">
        <v>29</v>
      </c>
      <c r="E345" s="47">
        <v>4616036018</v>
      </c>
      <c r="F345" s="2">
        <f>IF(C345="GBP",E345*$C$3,IF(C345="TRY",E345/$C$1,IF(C345="EUR",E345*$E$1,IF(C345="RUB",E345/#REF!,IF(C345="EGP",E345/$E$2,E345)))))</f>
        <v>126581530.59349711</v>
      </c>
      <c r="G345" s="15" t="str">
        <f>VLOOKUP(B345,SPECIFICATIONF!$C$2:$D$65,2,0)</f>
        <v>GLOBAL HFT</v>
      </c>
      <c r="H345" s="12">
        <f t="shared" si="20"/>
        <v>3</v>
      </c>
      <c r="I345" s="12">
        <f t="shared" si="21"/>
        <v>2025</v>
      </c>
    </row>
    <row r="346" spans="1:9" ht="19.5" customHeight="1" x14ac:dyDescent="0.35">
      <c r="A346" s="41">
        <v>45744</v>
      </c>
      <c r="B346" s="8" t="s">
        <v>32</v>
      </c>
      <c r="C346" s="42" t="s">
        <v>33</v>
      </c>
      <c r="D346" s="43" t="s">
        <v>29</v>
      </c>
      <c r="E346" s="46">
        <v>23330951</v>
      </c>
      <c r="F346" s="2">
        <f>IF(C346="GBP",E346*$C$3,IF(C346="TRY",E346/$C$1,IF(C346="EUR",E346*$E$1,IF(C346="RUB",E346/#REF!,IF(C346="EGP",E346/$E$2,E346)))))</f>
        <v>23330951</v>
      </c>
      <c r="G346" s="15" t="str">
        <f>VLOOKUP(B346,SPECIFICATIONF!$C$2:$D$65,2,0)</f>
        <v>GLOBAL HFT</v>
      </c>
      <c r="H346" s="12">
        <f t="shared" si="20"/>
        <v>3</v>
      </c>
      <c r="I346" s="12">
        <f t="shared" si="21"/>
        <v>2025</v>
      </c>
    </row>
    <row r="347" spans="1:9" ht="19.5" customHeight="1" x14ac:dyDescent="0.35">
      <c r="A347" s="41">
        <v>45744</v>
      </c>
      <c r="B347" s="8" t="s">
        <v>24</v>
      </c>
      <c r="C347" s="42" t="s">
        <v>11</v>
      </c>
      <c r="D347" s="43" t="s">
        <v>30</v>
      </c>
      <c r="E347" s="46">
        <v>0</v>
      </c>
      <c r="F347" s="2">
        <f>IF(C347="GBP",E347*$C$3,IF(C347="TRY",E347/$C$1,IF(C347="EUR",E347*$E$1,IF(C347="RUB",E347/#REF!,IF(C347="EGP",E347/$E$2,E347)))))</f>
        <v>0</v>
      </c>
      <c r="G347" s="15" t="str">
        <f>VLOOKUP(B347,SPECIFICATIONF!$C$2:$D$65,2,0)</f>
        <v>GLOBAL RETAIL</v>
      </c>
      <c r="H347" s="12">
        <f t="shared" si="20"/>
        <v>3</v>
      </c>
      <c r="I347" s="12">
        <f t="shared" si="21"/>
        <v>2025</v>
      </c>
    </row>
    <row r="348" spans="1:9" ht="19.5" customHeight="1" x14ac:dyDescent="0.35">
      <c r="A348" s="41">
        <v>45744</v>
      </c>
      <c r="B348" s="8" t="s">
        <v>24</v>
      </c>
      <c r="C348" s="42" t="s">
        <v>33</v>
      </c>
      <c r="D348" s="43" t="s">
        <v>30</v>
      </c>
      <c r="E348" s="46">
        <v>0</v>
      </c>
      <c r="F348" s="2">
        <f>IF(C348="GBP",E348*$C$3,IF(C348="TRY",E348/$C$1,IF(C348="EUR",E348*$E$1,IF(C348="RUB",E348/#REF!,IF(C348="EGP",E348/$E$2,E348)))))</f>
        <v>0</v>
      </c>
      <c r="G348" s="15" t="str">
        <f>VLOOKUP(B348,SPECIFICATIONF!$C$2:$D$65,2,0)</f>
        <v>GLOBAL RETAIL</v>
      </c>
      <c r="H348" s="12">
        <f t="shared" si="20"/>
        <v>3</v>
      </c>
      <c r="I348" s="12">
        <f t="shared" si="21"/>
        <v>2025</v>
      </c>
    </row>
    <row r="349" spans="1:9" ht="19.5" customHeight="1" x14ac:dyDescent="0.35">
      <c r="A349" s="41">
        <v>45744</v>
      </c>
      <c r="B349" s="8" t="s">
        <v>24</v>
      </c>
      <c r="C349" s="42" t="s">
        <v>11</v>
      </c>
      <c r="D349" s="43" t="s">
        <v>29</v>
      </c>
      <c r="E349" s="46">
        <v>0</v>
      </c>
      <c r="F349" s="2">
        <f>IF(C349="GBP",E349*$C$3,IF(C349="TRY",E349/$C$1,IF(C349="EUR",E349*$E$1,IF(C349="RUB",E349/#REF!,IF(C349="EGP",E349/$E$2,E349)))))</f>
        <v>0</v>
      </c>
      <c r="G349" s="15" t="str">
        <f>VLOOKUP(B349,SPECIFICATIONF!$C$2:$D$65,2,0)</f>
        <v>GLOBAL RETAIL</v>
      </c>
      <c r="H349" s="12">
        <f t="shared" si="20"/>
        <v>3</v>
      </c>
      <c r="I349" s="12">
        <f t="shared" si="21"/>
        <v>2025</v>
      </c>
    </row>
    <row r="350" spans="1:9" ht="19.5" customHeight="1" x14ac:dyDescent="0.35">
      <c r="A350" s="41">
        <v>45744</v>
      </c>
      <c r="B350" s="8" t="s">
        <v>24</v>
      </c>
      <c r="C350" s="42" t="s">
        <v>33</v>
      </c>
      <c r="D350" s="43" t="s">
        <v>29</v>
      </c>
      <c r="E350" s="46">
        <v>0</v>
      </c>
      <c r="F350" s="2">
        <f>IF(C350="GBP",E350*$C$3,IF(C350="TRY",E350/$C$1,IF(C350="EUR",E350*$E$1,IF(C350="RUB",E350/#REF!,IF(C350="EGP",E350/$E$2,E350)))))</f>
        <v>0</v>
      </c>
      <c r="G350" s="15" t="str">
        <f>VLOOKUP(B350,SPECIFICATIONF!$C$2:$D$65,2,0)</f>
        <v>GLOBAL RETAIL</v>
      </c>
      <c r="H350" s="12">
        <f t="shared" si="20"/>
        <v>3</v>
      </c>
      <c r="I350" s="12">
        <f t="shared" si="21"/>
        <v>2025</v>
      </c>
    </row>
    <row r="351" spans="1:9" ht="19.5" customHeight="1" x14ac:dyDescent="0.35">
      <c r="A351" s="41">
        <v>45745</v>
      </c>
      <c r="B351" s="8" t="s">
        <v>32</v>
      </c>
      <c r="C351" s="42" t="s">
        <v>11</v>
      </c>
      <c r="D351" s="43" t="s">
        <v>30</v>
      </c>
      <c r="E351" s="46">
        <v>988731.23</v>
      </c>
      <c r="F351" s="2">
        <f>IF(C351="GBP",E351*$C$3,IF(C351="TRY",E351/$C$1,IF(C351="EUR",E351*$E$1,IF(C351="RUB",E351/#REF!,IF(C351="EGP",E351/$E$2,E351)))))</f>
        <v>27113.114358500447</v>
      </c>
      <c r="G351" s="15" t="str">
        <f>VLOOKUP(B351,SPECIFICATIONF!$C$2:$D$65,2,0)</f>
        <v>GLOBAL HFT</v>
      </c>
      <c r="H351" s="12">
        <f t="shared" si="20"/>
        <v>3</v>
      </c>
      <c r="I351" s="12">
        <f t="shared" si="21"/>
        <v>2025</v>
      </c>
    </row>
    <row r="352" spans="1:9" ht="19.5" customHeight="1" x14ac:dyDescent="0.35">
      <c r="A352" s="41">
        <v>45745</v>
      </c>
      <c r="B352" s="8" t="s">
        <v>32</v>
      </c>
      <c r="C352" s="42" t="s">
        <v>33</v>
      </c>
      <c r="D352" s="43" t="s">
        <v>30</v>
      </c>
      <c r="E352" s="46">
        <v>5177</v>
      </c>
      <c r="F352" s="2">
        <f>IF(C352="GBP",E352*$C$3,IF(C352="TRY",E352/$C$1,IF(C352="EUR",E352*$E$1,IF(C352="RUB",E352/#REF!,IF(C352="EGP",E352/$E$2,E352)))))</f>
        <v>5177</v>
      </c>
      <c r="G352" s="15" t="str">
        <f>VLOOKUP(B352,SPECIFICATIONF!$C$2:$D$65,2,0)</f>
        <v>GLOBAL HFT</v>
      </c>
      <c r="H352" s="12">
        <f t="shared" si="20"/>
        <v>3</v>
      </c>
      <c r="I352" s="12">
        <f t="shared" si="21"/>
        <v>2025</v>
      </c>
    </row>
    <row r="353" spans="1:9" ht="19.5" customHeight="1" x14ac:dyDescent="0.35">
      <c r="A353" s="41">
        <v>45745</v>
      </c>
      <c r="B353" s="8" t="s">
        <v>32</v>
      </c>
      <c r="C353" s="42" t="s">
        <v>11</v>
      </c>
      <c r="D353" s="43" t="s">
        <v>29</v>
      </c>
      <c r="E353" s="47">
        <v>3844269148</v>
      </c>
      <c r="F353" s="2">
        <f>IF(C353="GBP",E353*$C$3,IF(C353="TRY",E353/$C$1,IF(C353="EUR",E353*$E$1,IF(C353="RUB",E353/#REF!,IF(C353="EGP",E353/$E$2,E353)))))</f>
        <v>105418040.68895353</v>
      </c>
      <c r="G353" s="15" t="str">
        <f>VLOOKUP(B353,SPECIFICATIONF!$C$2:$D$65,2,0)</f>
        <v>GLOBAL HFT</v>
      </c>
      <c r="H353" s="12">
        <f t="shared" si="20"/>
        <v>3</v>
      </c>
      <c r="I353" s="12">
        <f t="shared" si="21"/>
        <v>2025</v>
      </c>
    </row>
    <row r="354" spans="1:9" ht="19.5" customHeight="1" x14ac:dyDescent="0.35">
      <c r="A354" s="41">
        <v>45745</v>
      </c>
      <c r="B354" s="8" t="s">
        <v>32</v>
      </c>
      <c r="C354" s="42" t="s">
        <v>33</v>
      </c>
      <c r="D354" s="43" t="s">
        <v>29</v>
      </c>
      <c r="E354" s="46">
        <v>19125371</v>
      </c>
      <c r="F354" s="2">
        <f>IF(C354="GBP",E354*$C$3,IF(C354="TRY",E354/$C$1,IF(C354="EUR",E354*$E$1,IF(C354="RUB",E354/#REF!,IF(C354="EGP",E354/$E$2,E354)))))</f>
        <v>19125371</v>
      </c>
      <c r="G354" s="15" t="str">
        <f>VLOOKUP(B354,SPECIFICATIONF!$C$2:$D$65,2,0)</f>
        <v>GLOBAL HFT</v>
      </c>
      <c r="H354" s="12">
        <f t="shared" si="20"/>
        <v>3</v>
      </c>
      <c r="I354" s="12">
        <f t="shared" si="21"/>
        <v>2025</v>
      </c>
    </row>
    <row r="355" spans="1:9" ht="19.5" customHeight="1" x14ac:dyDescent="0.35">
      <c r="A355" s="41">
        <v>45745</v>
      </c>
      <c r="B355" s="8" t="s">
        <v>24</v>
      </c>
      <c r="C355" s="42" t="s">
        <v>11</v>
      </c>
      <c r="D355" s="43" t="s">
        <v>30</v>
      </c>
      <c r="E355" s="46">
        <v>0</v>
      </c>
      <c r="F355" s="2">
        <f>IF(C355="GBP",E355*$C$3,IF(C355="TRY",E355/$C$1,IF(C355="EUR",E355*$E$1,IF(C355="RUB",E355/#REF!,IF(C355="EGP",E355/$E$2,E355)))))</f>
        <v>0</v>
      </c>
      <c r="G355" s="15" t="str">
        <f>VLOOKUP(B355,SPECIFICATIONF!$C$2:$D$65,2,0)</f>
        <v>GLOBAL RETAIL</v>
      </c>
      <c r="H355" s="12">
        <f t="shared" si="20"/>
        <v>3</v>
      </c>
      <c r="I355" s="12">
        <f t="shared" si="21"/>
        <v>2025</v>
      </c>
    </row>
    <row r="356" spans="1:9" ht="19.5" customHeight="1" x14ac:dyDescent="0.35">
      <c r="A356" s="41">
        <v>45745</v>
      </c>
      <c r="B356" s="8" t="s">
        <v>24</v>
      </c>
      <c r="C356" s="42" t="s">
        <v>33</v>
      </c>
      <c r="D356" s="43" t="s">
        <v>30</v>
      </c>
      <c r="E356" s="46">
        <v>0</v>
      </c>
      <c r="F356" s="2">
        <f>IF(C356="GBP",E356*$C$3,IF(C356="TRY",E356/$C$1,IF(C356="EUR",E356*$E$1,IF(C356="RUB",E356/#REF!,IF(C356="EGP",E356/$E$2,E356)))))</f>
        <v>0</v>
      </c>
      <c r="G356" s="15" t="str">
        <f>VLOOKUP(B356,SPECIFICATIONF!$C$2:$D$65,2,0)</f>
        <v>GLOBAL RETAIL</v>
      </c>
      <c r="H356" s="12">
        <f t="shared" si="20"/>
        <v>3</v>
      </c>
      <c r="I356" s="12">
        <f t="shared" si="21"/>
        <v>2025</v>
      </c>
    </row>
    <row r="357" spans="1:9" ht="19.5" customHeight="1" x14ac:dyDescent="0.35">
      <c r="A357" s="41">
        <v>45745</v>
      </c>
      <c r="B357" s="8" t="s">
        <v>24</v>
      </c>
      <c r="C357" s="42" t="s">
        <v>11</v>
      </c>
      <c r="D357" s="43" t="s">
        <v>29</v>
      </c>
      <c r="E357" s="46">
        <v>0</v>
      </c>
      <c r="F357" s="2">
        <f>IF(C357="GBP",E357*$C$3,IF(C357="TRY",E357/$C$1,IF(C357="EUR",E357*$E$1,IF(C357="RUB",E357/#REF!,IF(C357="EGP",E357/$E$2,E357)))))</f>
        <v>0</v>
      </c>
      <c r="G357" s="15" t="str">
        <f>VLOOKUP(B357,SPECIFICATIONF!$C$2:$D$65,2,0)</f>
        <v>GLOBAL RETAIL</v>
      </c>
      <c r="H357" s="12">
        <f t="shared" si="20"/>
        <v>3</v>
      </c>
      <c r="I357" s="12">
        <f t="shared" si="21"/>
        <v>2025</v>
      </c>
    </row>
    <row r="358" spans="1:9" ht="19.5" customHeight="1" x14ac:dyDescent="0.35">
      <c r="A358" s="41">
        <v>45745</v>
      </c>
      <c r="B358" s="8" t="s">
        <v>24</v>
      </c>
      <c r="C358" s="42" t="s">
        <v>33</v>
      </c>
      <c r="D358" s="43" t="s">
        <v>29</v>
      </c>
      <c r="E358" s="46">
        <v>0</v>
      </c>
      <c r="F358" s="2">
        <f>IF(C358="GBP",E358*$C$3,IF(C358="TRY",E358/$C$1,IF(C358="EUR",E358*$E$1,IF(C358="RUB",E358/#REF!,IF(C358="EGP",E358/$E$2,E358)))))</f>
        <v>0</v>
      </c>
      <c r="G358" s="15" t="str">
        <f>VLOOKUP(B358,SPECIFICATIONF!$C$2:$D$65,2,0)</f>
        <v>GLOBAL RETAIL</v>
      </c>
      <c r="H358" s="12">
        <f t="shared" ref="H358:H421" si="22">MONTH(A358)</f>
        <v>3</v>
      </c>
      <c r="I358" s="12">
        <f t="shared" ref="I358:I421" si="23">YEAR(A358)</f>
        <v>2025</v>
      </c>
    </row>
    <row r="359" spans="1:9" ht="19.5" customHeight="1" x14ac:dyDescent="0.35">
      <c r="A359" s="41">
        <v>45746</v>
      </c>
      <c r="B359" s="8" t="s">
        <v>32</v>
      </c>
      <c r="C359" s="42" t="s">
        <v>11</v>
      </c>
      <c r="D359" s="43" t="s">
        <v>30</v>
      </c>
      <c r="E359" s="46">
        <v>761416.02</v>
      </c>
      <c r="F359" s="2">
        <f>IF(C359="GBP",E359*$C$3,IF(C359="TRY",E359/$C$1,IF(C359="EUR",E359*$E$1,IF(C359="RUB",E359/#REF!,IF(C359="EGP",E359/$E$2,E359)))))</f>
        <v>20879.64757081079</v>
      </c>
      <c r="G359" s="15" t="str">
        <f>VLOOKUP(B359,SPECIFICATIONF!$C$2:$D$65,2,0)</f>
        <v>GLOBAL HFT</v>
      </c>
      <c r="H359" s="12">
        <f t="shared" si="22"/>
        <v>3</v>
      </c>
      <c r="I359" s="12">
        <f t="shared" si="23"/>
        <v>2025</v>
      </c>
    </row>
    <row r="360" spans="1:9" ht="19.5" customHeight="1" x14ac:dyDescent="0.35">
      <c r="A360" s="41">
        <v>45746</v>
      </c>
      <c r="B360" s="8" t="s">
        <v>32</v>
      </c>
      <c r="C360" s="42" t="s">
        <v>33</v>
      </c>
      <c r="D360" s="43" t="s">
        <v>30</v>
      </c>
      <c r="E360" s="46">
        <v>4627.16</v>
      </c>
      <c r="F360" s="2">
        <f>IF(C360="GBP",E360*$C$3,IF(C360="TRY",E360/$C$1,IF(C360="EUR",E360*$E$1,IF(C360="RUB",E360/#REF!,IF(C360="EGP",E360/$E$2,E360)))))</f>
        <v>4627.16</v>
      </c>
      <c r="G360" s="15" t="str">
        <f>VLOOKUP(B360,SPECIFICATIONF!$C$2:$D$65,2,0)</f>
        <v>GLOBAL HFT</v>
      </c>
      <c r="H360" s="12">
        <f t="shared" si="22"/>
        <v>3</v>
      </c>
      <c r="I360" s="12">
        <f t="shared" si="23"/>
        <v>2025</v>
      </c>
    </row>
    <row r="361" spans="1:9" ht="19.5" customHeight="1" x14ac:dyDescent="0.35">
      <c r="A361" s="41">
        <v>45746</v>
      </c>
      <c r="B361" s="8" t="s">
        <v>32</v>
      </c>
      <c r="C361" s="42" t="s">
        <v>11</v>
      </c>
      <c r="D361" s="43" t="s">
        <v>29</v>
      </c>
      <c r="E361" s="47">
        <v>3075329114</v>
      </c>
      <c r="F361" s="2">
        <f>IF(C361="GBP",E361*$C$3,IF(C361="TRY",E361/$C$1,IF(C361="EUR",E361*$E$1,IF(C361="RUB",E361/#REF!,IF(C361="EGP",E361/$E$2,E361)))))</f>
        <v>84332068.643070832</v>
      </c>
      <c r="G361" s="15" t="str">
        <f>VLOOKUP(B361,SPECIFICATIONF!$C$2:$D$65,2,0)</f>
        <v>GLOBAL HFT</v>
      </c>
      <c r="H361" s="12">
        <f t="shared" si="22"/>
        <v>3</v>
      </c>
      <c r="I361" s="12">
        <f t="shared" si="23"/>
        <v>2025</v>
      </c>
    </row>
    <row r="362" spans="1:9" ht="19.5" customHeight="1" x14ac:dyDescent="0.35">
      <c r="A362" s="41">
        <v>45746</v>
      </c>
      <c r="B362" s="8" t="s">
        <v>32</v>
      </c>
      <c r="C362" s="42" t="s">
        <v>33</v>
      </c>
      <c r="D362" s="43" t="s">
        <v>29</v>
      </c>
      <c r="E362" s="46">
        <v>17076470</v>
      </c>
      <c r="F362" s="2">
        <f>IF(C362="GBP",E362*$C$3,IF(C362="TRY",E362/$C$1,IF(C362="EUR",E362*$E$1,IF(C362="RUB",E362/#REF!,IF(C362="EGP",E362/$E$2,E362)))))</f>
        <v>17076470</v>
      </c>
      <c r="G362" s="15" t="str">
        <f>VLOOKUP(B362,SPECIFICATIONF!$C$2:$D$65,2,0)</f>
        <v>GLOBAL HFT</v>
      </c>
      <c r="H362" s="12">
        <f t="shared" si="22"/>
        <v>3</v>
      </c>
      <c r="I362" s="12">
        <f t="shared" si="23"/>
        <v>2025</v>
      </c>
    </row>
    <row r="363" spans="1:9" ht="19.5" customHeight="1" x14ac:dyDescent="0.35">
      <c r="A363" s="41">
        <v>45746</v>
      </c>
      <c r="B363" s="8" t="s">
        <v>24</v>
      </c>
      <c r="C363" s="42" t="s">
        <v>11</v>
      </c>
      <c r="D363" s="43" t="s">
        <v>30</v>
      </c>
      <c r="E363" s="46">
        <v>0</v>
      </c>
      <c r="F363" s="2">
        <f>IF(C363="GBP",E363*$C$3,IF(C363="TRY",E363/$C$1,IF(C363="EUR",E363*$E$1,IF(C363="RUB",E363/#REF!,IF(C363="EGP",E363/$E$2,E363)))))</f>
        <v>0</v>
      </c>
      <c r="G363" s="15" t="str">
        <f>VLOOKUP(B363,SPECIFICATIONF!$C$2:$D$65,2,0)</f>
        <v>GLOBAL RETAIL</v>
      </c>
      <c r="H363" s="12">
        <f t="shared" si="22"/>
        <v>3</v>
      </c>
      <c r="I363" s="12">
        <f t="shared" si="23"/>
        <v>2025</v>
      </c>
    </row>
    <row r="364" spans="1:9" ht="19.5" customHeight="1" x14ac:dyDescent="0.35">
      <c r="A364" s="41">
        <v>45746</v>
      </c>
      <c r="B364" s="8" t="s">
        <v>24</v>
      </c>
      <c r="C364" s="42" t="s">
        <v>33</v>
      </c>
      <c r="D364" s="43" t="s">
        <v>30</v>
      </c>
      <c r="E364" s="46">
        <v>0</v>
      </c>
      <c r="F364" s="2">
        <f>IF(C364="GBP",E364*$C$3,IF(C364="TRY",E364/$C$1,IF(C364="EUR",E364*$E$1,IF(C364="RUB",E364/#REF!,IF(C364="EGP",E364/$E$2,E364)))))</f>
        <v>0</v>
      </c>
      <c r="G364" s="15" t="str">
        <f>VLOOKUP(B364,SPECIFICATIONF!$C$2:$D$65,2,0)</f>
        <v>GLOBAL RETAIL</v>
      </c>
      <c r="H364" s="12">
        <f t="shared" si="22"/>
        <v>3</v>
      </c>
      <c r="I364" s="12">
        <f t="shared" si="23"/>
        <v>2025</v>
      </c>
    </row>
    <row r="365" spans="1:9" ht="19.5" customHeight="1" x14ac:dyDescent="0.35">
      <c r="A365" s="41">
        <v>45746</v>
      </c>
      <c r="B365" s="8" t="s">
        <v>24</v>
      </c>
      <c r="C365" s="42" t="s">
        <v>11</v>
      </c>
      <c r="D365" s="43" t="s">
        <v>29</v>
      </c>
      <c r="E365" s="46">
        <v>0</v>
      </c>
      <c r="F365" s="2">
        <f>IF(C365="GBP",E365*$C$3,IF(C365="TRY",E365/$C$1,IF(C365="EUR",E365*$E$1,IF(C365="RUB",E365/#REF!,IF(C365="EGP",E365/$E$2,E365)))))</f>
        <v>0</v>
      </c>
      <c r="G365" s="15" t="str">
        <f>VLOOKUP(B365,SPECIFICATIONF!$C$2:$D$65,2,0)</f>
        <v>GLOBAL RETAIL</v>
      </c>
      <c r="H365" s="12">
        <f t="shared" si="22"/>
        <v>3</v>
      </c>
      <c r="I365" s="12">
        <f t="shared" si="23"/>
        <v>2025</v>
      </c>
    </row>
    <row r="366" spans="1:9" ht="19.5" customHeight="1" x14ac:dyDescent="0.35">
      <c r="A366" s="41">
        <v>45746</v>
      </c>
      <c r="B366" s="8" t="s">
        <v>24</v>
      </c>
      <c r="C366" s="42" t="s">
        <v>33</v>
      </c>
      <c r="D366" s="43" t="s">
        <v>29</v>
      </c>
      <c r="E366" s="46">
        <v>0</v>
      </c>
      <c r="F366" s="2">
        <f>IF(C366="GBP",E366*$C$3,IF(C366="TRY",E366/$C$1,IF(C366="EUR",E366*$E$1,IF(C366="RUB",E366/#REF!,IF(C366="EGP",E366/$E$2,E366)))))</f>
        <v>0</v>
      </c>
      <c r="G366" s="15" t="str">
        <f>VLOOKUP(B366,SPECIFICATIONF!$C$2:$D$65,2,0)</f>
        <v>GLOBAL RETAIL</v>
      </c>
      <c r="H366" s="12">
        <f t="shared" si="22"/>
        <v>3</v>
      </c>
      <c r="I366" s="12">
        <f t="shared" si="23"/>
        <v>2025</v>
      </c>
    </row>
    <row r="367" spans="1:9" ht="19.5" customHeight="1" x14ac:dyDescent="0.35">
      <c r="A367" s="41">
        <v>45747</v>
      </c>
      <c r="B367" s="8" t="s">
        <v>32</v>
      </c>
      <c r="C367" s="42" t="s">
        <v>11</v>
      </c>
      <c r="D367" s="43" t="s">
        <v>30</v>
      </c>
      <c r="E367" s="46">
        <v>917114.35</v>
      </c>
      <c r="F367" s="2">
        <f>IF(C367="GBP",E367*$C$3,IF(C367="TRY",E367/$C$1,IF(C367="EUR",E367*$E$1,IF(C367="RUB",E367/#REF!,IF(C367="EGP",E367/$E$2,E367)))))</f>
        <v>25149.227107321982</v>
      </c>
      <c r="G367" s="15" t="str">
        <f>VLOOKUP(B367,SPECIFICATIONF!$C$2:$D$65,2,0)</f>
        <v>GLOBAL HFT</v>
      </c>
      <c r="H367" s="12">
        <f t="shared" si="22"/>
        <v>3</v>
      </c>
      <c r="I367" s="12">
        <f t="shared" si="23"/>
        <v>2025</v>
      </c>
    </row>
    <row r="368" spans="1:9" ht="19.5" customHeight="1" x14ac:dyDescent="0.35">
      <c r="A368" s="41">
        <v>45747</v>
      </c>
      <c r="B368" s="8" t="s">
        <v>32</v>
      </c>
      <c r="C368" s="42" t="s">
        <v>33</v>
      </c>
      <c r="D368" s="43" t="s">
        <v>30</v>
      </c>
      <c r="E368" s="46">
        <v>6179.47</v>
      </c>
      <c r="F368" s="2">
        <f>IF(C368="GBP",E368*$C$3,IF(C368="TRY",E368/$C$1,IF(C368="EUR",E368*$E$1,IF(C368="RUB",E368/#REF!,IF(C368="EGP",E368/$E$2,E368)))))</f>
        <v>6179.47</v>
      </c>
      <c r="G368" s="15" t="str">
        <f>VLOOKUP(B368,SPECIFICATIONF!$C$2:$D$65,2,0)</f>
        <v>GLOBAL HFT</v>
      </c>
      <c r="H368" s="12">
        <f t="shared" si="22"/>
        <v>3</v>
      </c>
      <c r="I368" s="12">
        <f t="shared" si="23"/>
        <v>2025</v>
      </c>
    </row>
    <row r="369" spans="1:9" ht="19.5" customHeight="1" x14ac:dyDescent="0.35">
      <c r="A369" s="41">
        <v>45747</v>
      </c>
      <c r="B369" s="8" t="s">
        <v>32</v>
      </c>
      <c r="C369" s="42" t="s">
        <v>11</v>
      </c>
      <c r="D369" s="43" t="s">
        <v>29</v>
      </c>
      <c r="E369" s="47">
        <v>3553657340</v>
      </c>
      <c r="F369" s="2">
        <f>IF(C369="GBP",E369*$C$3,IF(C369="TRY",E369/$C$1,IF(C369="EUR",E369*$E$1,IF(C369="RUB",E369/#REF!,IF(C369="EGP",E369/$E$2,E369)))))</f>
        <v>97448846.488185167</v>
      </c>
      <c r="G369" s="15" t="str">
        <f>VLOOKUP(B369,SPECIFICATIONF!$C$2:$D$65,2,0)</f>
        <v>GLOBAL HFT</v>
      </c>
      <c r="H369" s="12">
        <f t="shared" si="22"/>
        <v>3</v>
      </c>
      <c r="I369" s="12">
        <f t="shared" si="23"/>
        <v>2025</v>
      </c>
    </row>
    <row r="370" spans="1:9" ht="19.5" customHeight="1" x14ac:dyDescent="0.35">
      <c r="A370" s="41">
        <v>45747</v>
      </c>
      <c r="B370" s="8" t="s">
        <v>32</v>
      </c>
      <c r="C370" s="42" t="s">
        <v>33</v>
      </c>
      <c r="D370" s="43" t="s">
        <v>29</v>
      </c>
      <c r="E370" s="46">
        <v>21970920</v>
      </c>
      <c r="F370" s="2">
        <f>IF(C370="GBP",E370*$C$3,IF(C370="TRY",E370/$C$1,IF(C370="EUR",E370*$E$1,IF(C370="RUB",E370/#REF!,IF(C370="EGP",E370/$E$2,E370)))))</f>
        <v>21970920</v>
      </c>
      <c r="G370" s="15" t="str">
        <f>VLOOKUP(B370,SPECIFICATIONF!$C$2:$D$65,2,0)</f>
        <v>GLOBAL HFT</v>
      </c>
      <c r="H370" s="12">
        <f t="shared" si="22"/>
        <v>3</v>
      </c>
      <c r="I370" s="12">
        <f t="shared" si="23"/>
        <v>2025</v>
      </c>
    </row>
    <row r="371" spans="1:9" ht="19.5" customHeight="1" x14ac:dyDescent="0.35">
      <c r="A371" s="41">
        <v>45747</v>
      </c>
      <c r="B371" s="8" t="s">
        <v>24</v>
      </c>
      <c r="C371" s="42" t="s">
        <v>11</v>
      </c>
      <c r="D371" s="43" t="s">
        <v>30</v>
      </c>
      <c r="E371" s="46">
        <v>0</v>
      </c>
      <c r="F371" s="2">
        <f>IF(C371="GBP",E371*$C$3,IF(C371="TRY",E371/$C$1,IF(C371="EUR",E371*$E$1,IF(C371="RUB",E371/#REF!,IF(C371="EGP",E371/$E$2,E371)))))</f>
        <v>0</v>
      </c>
      <c r="G371" s="15" t="str">
        <f>VLOOKUP(B371,SPECIFICATIONF!$C$2:$D$65,2,0)</f>
        <v>GLOBAL RETAIL</v>
      </c>
      <c r="H371" s="12">
        <f t="shared" si="22"/>
        <v>3</v>
      </c>
      <c r="I371" s="12">
        <f t="shared" si="23"/>
        <v>2025</v>
      </c>
    </row>
    <row r="372" spans="1:9" ht="19.5" customHeight="1" x14ac:dyDescent="0.35">
      <c r="A372" s="41">
        <v>45747</v>
      </c>
      <c r="B372" s="8" t="s">
        <v>24</v>
      </c>
      <c r="C372" s="42" t="s">
        <v>33</v>
      </c>
      <c r="D372" s="43" t="s">
        <v>30</v>
      </c>
      <c r="E372" s="46">
        <v>0</v>
      </c>
      <c r="F372" s="2">
        <f>IF(C372="GBP",E372*$C$3,IF(C372="TRY",E372/$C$1,IF(C372="EUR",E372*$E$1,IF(C372="RUB",E372/#REF!,IF(C372="EGP",E372/$E$2,E372)))))</f>
        <v>0</v>
      </c>
      <c r="G372" s="15" t="str">
        <f>VLOOKUP(B372,SPECIFICATIONF!$C$2:$D$65,2,0)</f>
        <v>GLOBAL RETAIL</v>
      </c>
      <c r="H372" s="12">
        <f t="shared" si="22"/>
        <v>3</v>
      </c>
      <c r="I372" s="12">
        <f t="shared" si="23"/>
        <v>2025</v>
      </c>
    </row>
    <row r="373" spans="1:9" ht="19.5" customHeight="1" x14ac:dyDescent="0.35">
      <c r="A373" s="41">
        <v>45747</v>
      </c>
      <c r="B373" s="8" t="s">
        <v>24</v>
      </c>
      <c r="C373" s="42" t="s">
        <v>11</v>
      </c>
      <c r="D373" s="43" t="s">
        <v>29</v>
      </c>
      <c r="E373" s="46">
        <v>0</v>
      </c>
      <c r="F373" s="2">
        <f>IF(C373="GBP",E373*$C$3,IF(C373="TRY",E373/$C$1,IF(C373="EUR",E373*$E$1,IF(C373="RUB",E373/#REF!,IF(C373="EGP",E373/$E$2,E373)))))</f>
        <v>0</v>
      </c>
      <c r="G373" s="15" t="str">
        <f>VLOOKUP(B373,SPECIFICATIONF!$C$2:$D$65,2,0)</f>
        <v>GLOBAL RETAIL</v>
      </c>
      <c r="H373" s="12">
        <f t="shared" si="22"/>
        <v>3</v>
      </c>
      <c r="I373" s="12">
        <f t="shared" si="23"/>
        <v>2025</v>
      </c>
    </row>
    <row r="374" spans="1:9" ht="19.5" customHeight="1" x14ac:dyDescent="0.35">
      <c r="A374" s="41">
        <v>45747</v>
      </c>
      <c r="B374" s="8" t="s">
        <v>24</v>
      </c>
      <c r="C374" s="42" t="s">
        <v>33</v>
      </c>
      <c r="D374" s="43" t="s">
        <v>29</v>
      </c>
      <c r="E374" s="46">
        <v>0</v>
      </c>
      <c r="F374" s="2">
        <f>IF(C374="GBP",E374*$C$3,IF(C374="TRY",E374/$C$1,IF(C374="EUR",E374*$E$1,IF(C374="RUB",E374/#REF!,IF(C374="EGP",E374/$E$2,E374)))))</f>
        <v>0</v>
      </c>
      <c r="G374" s="15" t="str">
        <f>VLOOKUP(B374,SPECIFICATIONF!$C$2:$D$65,2,0)</f>
        <v>GLOBAL RETAIL</v>
      </c>
      <c r="H374" s="12">
        <f t="shared" si="22"/>
        <v>3</v>
      </c>
      <c r="I374" s="12">
        <f t="shared" si="23"/>
        <v>2025</v>
      </c>
    </row>
    <row r="375" spans="1:9" ht="19.5" customHeight="1" x14ac:dyDescent="0.35">
      <c r="A375" s="41">
        <v>45748</v>
      </c>
      <c r="B375" s="8" t="s">
        <v>32</v>
      </c>
      <c r="C375" s="42" t="s">
        <v>11</v>
      </c>
      <c r="D375" s="43" t="s">
        <v>30</v>
      </c>
      <c r="E375" s="46">
        <v>1149239.8500000001</v>
      </c>
      <c r="F375" s="2">
        <f>IF(C375="GBP",E375*$C$3,IF(C375="TRY",E375/$C$1,IF(C375="EUR",E375*$E$1,IF(C375="RUB",E375/#REF!,IF(C375="EGP",E375/$E$2,E375)))))</f>
        <v>31514.602283166379</v>
      </c>
      <c r="G375" s="15" t="str">
        <f>VLOOKUP(B375,SPECIFICATIONF!$C$2:$D$65,2,0)</f>
        <v>GLOBAL HFT</v>
      </c>
      <c r="H375" s="12">
        <f t="shared" si="22"/>
        <v>4</v>
      </c>
      <c r="I375" s="12">
        <f t="shared" si="23"/>
        <v>2025</v>
      </c>
    </row>
    <row r="376" spans="1:9" ht="19.5" customHeight="1" x14ac:dyDescent="0.35">
      <c r="A376" s="41">
        <v>45748</v>
      </c>
      <c r="B376" s="8" t="s">
        <v>32</v>
      </c>
      <c r="C376" s="42" t="s">
        <v>33</v>
      </c>
      <c r="D376" s="43" t="s">
        <v>30</v>
      </c>
      <c r="E376" s="46">
        <v>7567.21</v>
      </c>
      <c r="F376" s="2">
        <f>IF(C376="GBP",E376*$C$3,IF(C376="TRY",E376/$C$1,IF(C376="EUR",E376*$E$1,IF(C376="RUB",E376/#REF!,IF(C376="EGP",E376/$E$2,E376)))))</f>
        <v>7567.21</v>
      </c>
      <c r="G376" s="15" t="str">
        <f>VLOOKUP(B376,SPECIFICATIONF!$C$2:$D$65,2,0)</f>
        <v>GLOBAL HFT</v>
      </c>
      <c r="H376" s="12">
        <f t="shared" si="22"/>
        <v>4</v>
      </c>
      <c r="I376" s="12">
        <f t="shared" si="23"/>
        <v>2025</v>
      </c>
    </row>
    <row r="377" spans="1:9" ht="19.5" customHeight="1" x14ac:dyDescent="0.35">
      <c r="A377" s="41">
        <v>45748</v>
      </c>
      <c r="B377" s="8" t="s">
        <v>32</v>
      </c>
      <c r="C377" s="42" t="s">
        <v>11</v>
      </c>
      <c r="D377" s="43" t="s">
        <v>29</v>
      </c>
      <c r="E377" s="47">
        <v>4437484410</v>
      </c>
      <c r="F377" s="2">
        <f>IF(C377="GBP",E377*$C$3,IF(C377="TRY",E377/$C$1,IF(C377="EUR",E377*$E$1,IF(C377="RUB",E377/#REF!,IF(C377="EGP",E377/$E$2,E377)))))</f>
        <v>121685265.54217659</v>
      </c>
      <c r="G377" s="15" t="str">
        <f>VLOOKUP(B377,SPECIFICATIONF!$C$2:$D$65,2,0)</f>
        <v>GLOBAL HFT</v>
      </c>
      <c r="H377" s="12">
        <f t="shared" si="22"/>
        <v>4</v>
      </c>
      <c r="I377" s="12">
        <f t="shared" si="23"/>
        <v>2025</v>
      </c>
    </row>
    <row r="378" spans="1:9" ht="19.5" customHeight="1" x14ac:dyDescent="0.35">
      <c r="A378" s="41">
        <v>45748</v>
      </c>
      <c r="B378" s="8" t="s">
        <v>32</v>
      </c>
      <c r="C378" s="42" t="s">
        <v>33</v>
      </c>
      <c r="D378" s="43" t="s">
        <v>29</v>
      </c>
      <c r="E378" s="46">
        <v>26784436</v>
      </c>
      <c r="F378" s="2">
        <f>IF(C378="GBP",E378*$C$3,IF(C378="TRY",E378/$C$1,IF(C378="EUR",E378*$E$1,IF(C378="RUB",E378/#REF!,IF(C378="EGP",E378/$E$2,E378)))))</f>
        <v>26784436</v>
      </c>
      <c r="G378" s="15" t="str">
        <f>VLOOKUP(B378,SPECIFICATIONF!$C$2:$D$65,2,0)</f>
        <v>GLOBAL HFT</v>
      </c>
      <c r="H378" s="12">
        <f t="shared" si="22"/>
        <v>4</v>
      </c>
      <c r="I378" s="12">
        <f t="shared" si="23"/>
        <v>2025</v>
      </c>
    </row>
    <row r="379" spans="1:9" ht="19.5" customHeight="1" x14ac:dyDescent="0.35">
      <c r="A379" s="41">
        <v>45748</v>
      </c>
      <c r="B379" s="8" t="s">
        <v>24</v>
      </c>
      <c r="C379" s="42" t="s">
        <v>11</v>
      </c>
      <c r="D379" s="43" t="s">
        <v>30</v>
      </c>
      <c r="E379" s="46">
        <v>0</v>
      </c>
      <c r="F379" s="2">
        <f>IF(C379="GBP",E379*$C$3,IF(C379="TRY",E379/$C$1,IF(C379="EUR",E379*$E$1,IF(C379="RUB",E379/#REF!,IF(C379="EGP",E379/$E$2,E379)))))</f>
        <v>0</v>
      </c>
      <c r="G379" s="15" t="str">
        <f>VLOOKUP(B379,SPECIFICATIONF!$C$2:$D$65,2,0)</f>
        <v>GLOBAL RETAIL</v>
      </c>
      <c r="H379" s="12">
        <f t="shared" si="22"/>
        <v>4</v>
      </c>
      <c r="I379" s="12">
        <f t="shared" si="23"/>
        <v>2025</v>
      </c>
    </row>
    <row r="380" spans="1:9" ht="19.5" customHeight="1" x14ac:dyDescent="0.35">
      <c r="A380" s="41">
        <v>45748</v>
      </c>
      <c r="B380" s="8" t="s">
        <v>24</v>
      </c>
      <c r="C380" s="42" t="s">
        <v>33</v>
      </c>
      <c r="D380" s="43" t="s">
        <v>30</v>
      </c>
      <c r="E380" s="46">
        <v>0</v>
      </c>
      <c r="F380" s="2">
        <f>IF(C380="GBP",E380*$C$3,IF(C380="TRY",E380/$C$1,IF(C380="EUR",E380*$E$1,IF(C380="RUB",E380/#REF!,IF(C380="EGP",E380/$E$2,E380)))))</f>
        <v>0</v>
      </c>
      <c r="G380" s="15" t="str">
        <f>VLOOKUP(B380,SPECIFICATIONF!$C$2:$D$65,2,0)</f>
        <v>GLOBAL RETAIL</v>
      </c>
      <c r="H380" s="12">
        <f t="shared" si="22"/>
        <v>4</v>
      </c>
      <c r="I380" s="12">
        <f t="shared" si="23"/>
        <v>2025</v>
      </c>
    </row>
    <row r="381" spans="1:9" ht="19.5" customHeight="1" x14ac:dyDescent="0.35">
      <c r="A381" s="41">
        <v>45748</v>
      </c>
      <c r="B381" s="8" t="s">
        <v>24</v>
      </c>
      <c r="C381" s="42" t="s">
        <v>11</v>
      </c>
      <c r="D381" s="43" t="s">
        <v>29</v>
      </c>
      <c r="E381" s="46">
        <v>0</v>
      </c>
      <c r="F381" s="2">
        <f>IF(C381="GBP",E381*$C$3,IF(C381="TRY",E381/$C$1,IF(C381="EUR",E381*$E$1,IF(C381="RUB",E381/#REF!,IF(C381="EGP",E381/$E$2,E381)))))</f>
        <v>0</v>
      </c>
      <c r="G381" s="15" t="str">
        <f>VLOOKUP(B381,SPECIFICATIONF!$C$2:$D$65,2,0)</f>
        <v>GLOBAL RETAIL</v>
      </c>
      <c r="H381" s="12">
        <f t="shared" si="22"/>
        <v>4</v>
      </c>
      <c r="I381" s="12">
        <f t="shared" si="23"/>
        <v>2025</v>
      </c>
    </row>
    <row r="382" spans="1:9" ht="19.5" customHeight="1" x14ac:dyDescent="0.35">
      <c r="A382" s="41">
        <v>45748</v>
      </c>
      <c r="B382" s="8" t="s">
        <v>24</v>
      </c>
      <c r="C382" s="42" t="s">
        <v>33</v>
      </c>
      <c r="D382" s="43" t="s">
        <v>29</v>
      </c>
      <c r="E382" s="46">
        <v>0</v>
      </c>
      <c r="F382" s="2">
        <f>IF(C382="GBP",E382*$C$3,IF(C382="TRY",E382/$C$1,IF(C382="EUR",E382*$E$1,IF(C382="RUB",E382/#REF!,IF(C382="EGP",E382/$E$2,E382)))))</f>
        <v>0</v>
      </c>
      <c r="G382" s="15" t="str">
        <f>VLOOKUP(B382,SPECIFICATIONF!$C$2:$D$65,2,0)</f>
        <v>GLOBAL RETAIL</v>
      </c>
      <c r="H382" s="12">
        <f t="shared" si="22"/>
        <v>4</v>
      </c>
      <c r="I382" s="12">
        <f t="shared" si="23"/>
        <v>2025</v>
      </c>
    </row>
    <row r="383" spans="1:9" ht="19.5" customHeight="1" x14ac:dyDescent="0.35">
      <c r="A383" s="41">
        <v>45749</v>
      </c>
      <c r="B383" s="8" t="s">
        <v>32</v>
      </c>
      <c r="C383" s="42" t="s">
        <v>11</v>
      </c>
      <c r="D383" s="43" t="s">
        <v>30</v>
      </c>
      <c r="E383" s="46">
        <v>1464339.86</v>
      </c>
      <c r="F383" s="2">
        <f>IF(C383="GBP",E383*$C$3,IF(C383="TRY",E383/$C$1,IF(C383="EUR",E383*$E$1,IF(C383="RUB",E383/#REF!,IF(C383="EGP",E383/$E$2,E383)))))</f>
        <v>40155.315093961923</v>
      </c>
      <c r="G383" s="15" t="str">
        <f>VLOOKUP(B383,SPECIFICATIONF!$C$2:$D$65,2,0)</f>
        <v>GLOBAL HFT</v>
      </c>
      <c r="H383" s="12">
        <f t="shared" si="22"/>
        <v>4</v>
      </c>
      <c r="I383" s="12">
        <f t="shared" si="23"/>
        <v>2025</v>
      </c>
    </row>
    <row r="384" spans="1:9" ht="19.5" customHeight="1" x14ac:dyDescent="0.35">
      <c r="A384" s="41">
        <v>45749</v>
      </c>
      <c r="B384" s="8" t="s">
        <v>32</v>
      </c>
      <c r="C384" s="42" t="s">
        <v>33</v>
      </c>
      <c r="D384" s="43" t="s">
        <v>30</v>
      </c>
      <c r="E384" s="46">
        <v>11403.35</v>
      </c>
      <c r="F384" s="2">
        <f>IF(C384="GBP",E384*$C$3,IF(C384="TRY",E384/$C$1,IF(C384="EUR",E384*$E$1,IF(C384="RUB",E384/#REF!,IF(C384="EGP",E384/$E$2,E384)))))</f>
        <v>11403.35</v>
      </c>
      <c r="G384" s="15" t="str">
        <f>VLOOKUP(B384,SPECIFICATIONF!$C$2:$D$65,2,0)</f>
        <v>GLOBAL HFT</v>
      </c>
      <c r="H384" s="12">
        <f t="shared" si="22"/>
        <v>4</v>
      </c>
      <c r="I384" s="12">
        <f t="shared" si="23"/>
        <v>2025</v>
      </c>
    </row>
    <row r="385" spans="1:9" ht="19.5" customHeight="1" x14ac:dyDescent="0.35">
      <c r="A385" s="41">
        <v>45749</v>
      </c>
      <c r="B385" s="8" t="s">
        <v>32</v>
      </c>
      <c r="C385" s="42" t="s">
        <v>11</v>
      </c>
      <c r="D385" s="43" t="s">
        <v>29</v>
      </c>
      <c r="E385" s="47">
        <v>5620775811</v>
      </c>
      <c r="F385" s="2">
        <f>IF(C385="GBP",E385*$C$3,IF(C385="TRY",E385/$C$1,IF(C385="EUR",E385*$E$1,IF(C385="RUB",E385/#REF!,IF(C385="EGP",E385/$E$2,E385)))))</f>
        <v>154133633.81587136</v>
      </c>
      <c r="G385" s="15" t="str">
        <f>VLOOKUP(B385,SPECIFICATIONF!$C$2:$D$65,2,0)</f>
        <v>GLOBAL HFT</v>
      </c>
      <c r="H385" s="12">
        <f t="shared" si="22"/>
        <v>4</v>
      </c>
      <c r="I385" s="12">
        <f t="shared" si="23"/>
        <v>2025</v>
      </c>
    </row>
    <row r="386" spans="1:9" ht="19.5" customHeight="1" x14ac:dyDescent="0.35">
      <c r="A386" s="41">
        <v>45749</v>
      </c>
      <c r="B386" s="8" t="s">
        <v>32</v>
      </c>
      <c r="C386" s="42" t="s">
        <v>33</v>
      </c>
      <c r="D386" s="43" t="s">
        <v>29</v>
      </c>
      <c r="E386" s="46">
        <v>40478252</v>
      </c>
      <c r="F386" s="2">
        <f>IF(C386="GBP",E386*$C$3,IF(C386="TRY",E386/$C$1,IF(C386="EUR",E386*$E$1,IF(C386="RUB",E386/#REF!,IF(C386="EGP",E386/$E$2,E386)))))</f>
        <v>40478252</v>
      </c>
      <c r="G386" s="15" t="str">
        <f>VLOOKUP(B386,SPECIFICATIONF!$C$2:$D$65,2,0)</f>
        <v>GLOBAL HFT</v>
      </c>
      <c r="H386" s="12">
        <f t="shared" si="22"/>
        <v>4</v>
      </c>
      <c r="I386" s="12">
        <f t="shared" si="23"/>
        <v>2025</v>
      </c>
    </row>
    <row r="387" spans="1:9" ht="19.5" customHeight="1" x14ac:dyDescent="0.35">
      <c r="A387" s="41">
        <v>45749</v>
      </c>
      <c r="B387" s="8" t="s">
        <v>24</v>
      </c>
      <c r="C387" s="42" t="s">
        <v>11</v>
      </c>
      <c r="D387" s="43" t="s">
        <v>30</v>
      </c>
      <c r="E387" s="46">
        <v>0</v>
      </c>
      <c r="F387" s="2">
        <f>IF(C387="GBP",E387*$C$3,IF(C387="TRY",E387/$C$1,IF(C387="EUR",E387*$E$1,IF(C387="RUB",E387/#REF!,IF(C387="EGP",E387/$E$2,E387)))))</f>
        <v>0</v>
      </c>
      <c r="G387" s="15" t="str">
        <f>VLOOKUP(B387,SPECIFICATIONF!$C$2:$D$65,2,0)</f>
        <v>GLOBAL RETAIL</v>
      </c>
      <c r="H387" s="12">
        <f t="shared" si="22"/>
        <v>4</v>
      </c>
      <c r="I387" s="12">
        <f t="shared" si="23"/>
        <v>2025</v>
      </c>
    </row>
    <row r="388" spans="1:9" ht="19.5" customHeight="1" x14ac:dyDescent="0.35">
      <c r="A388" s="41">
        <v>45749</v>
      </c>
      <c r="B388" s="8" t="s">
        <v>24</v>
      </c>
      <c r="C388" s="42" t="s">
        <v>33</v>
      </c>
      <c r="D388" s="43" t="s">
        <v>30</v>
      </c>
      <c r="E388" s="46">
        <v>0</v>
      </c>
      <c r="F388" s="2">
        <f>IF(C388="GBP",E388*$C$3,IF(C388="TRY",E388/$C$1,IF(C388="EUR",E388*$E$1,IF(C388="RUB",E388/#REF!,IF(C388="EGP",E388/$E$2,E388)))))</f>
        <v>0</v>
      </c>
      <c r="G388" s="15" t="str">
        <f>VLOOKUP(B388,SPECIFICATIONF!$C$2:$D$65,2,0)</f>
        <v>GLOBAL RETAIL</v>
      </c>
      <c r="H388" s="12">
        <f t="shared" si="22"/>
        <v>4</v>
      </c>
      <c r="I388" s="12">
        <f t="shared" si="23"/>
        <v>2025</v>
      </c>
    </row>
    <row r="389" spans="1:9" ht="19.5" customHeight="1" x14ac:dyDescent="0.35">
      <c r="A389" s="41">
        <v>45749</v>
      </c>
      <c r="B389" s="8" t="s">
        <v>24</v>
      </c>
      <c r="C389" s="42" t="s">
        <v>11</v>
      </c>
      <c r="D389" s="43" t="s">
        <v>29</v>
      </c>
      <c r="E389" s="46">
        <v>0</v>
      </c>
      <c r="F389" s="2">
        <f>IF(C389="GBP",E389*$C$3,IF(C389="TRY",E389/$C$1,IF(C389="EUR",E389*$E$1,IF(C389="RUB",E389/#REF!,IF(C389="EGP",E389/$E$2,E389)))))</f>
        <v>0</v>
      </c>
      <c r="G389" s="15" t="str">
        <f>VLOOKUP(B389,SPECIFICATIONF!$C$2:$D$65,2,0)</f>
        <v>GLOBAL RETAIL</v>
      </c>
      <c r="H389" s="12">
        <f t="shared" si="22"/>
        <v>4</v>
      </c>
      <c r="I389" s="12">
        <f t="shared" si="23"/>
        <v>2025</v>
      </c>
    </row>
    <row r="390" spans="1:9" ht="19.5" customHeight="1" x14ac:dyDescent="0.35">
      <c r="A390" s="41">
        <v>45749</v>
      </c>
      <c r="B390" s="8" t="s">
        <v>24</v>
      </c>
      <c r="C390" s="42" t="s">
        <v>33</v>
      </c>
      <c r="D390" s="43" t="s">
        <v>29</v>
      </c>
      <c r="E390" s="46">
        <v>0</v>
      </c>
      <c r="F390" s="2">
        <f>IF(C390="GBP",E390*$C$3,IF(C390="TRY",E390/$C$1,IF(C390="EUR",E390*$E$1,IF(C390="RUB",E390/#REF!,IF(C390="EGP",E390/$E$2,E390)))))</f>
        <v>0</v>
      </c>
      <c r="G390" s="15" t="str">
        <f>VLOOKUP(B390,SPECIFICATIONF!$C$2:$D$65,2,0)</f>
        <v>GLOBAL RETAIL</v>
      </c>
      <c r="H390" s="12">
        <f t="shared" si="22"/>
        <v>4</v>
      </c>
      <c r="I390" s="12">
        <f t="shared" si="23"/>
        <v>2025</v>
      </c>
    </row>
    <row r="391" spans="1:9" ht="19.5" customHeight="1" x14ac:dyDescent="0.35">
      <c r="A391" s="41">
        <v>45750</v>
      </c>
      <c r="B391" s="8" t="s">
        <v>32</v>
      </c>
      <c r="C391" s="42" t="s">
        <v>11</v>
      </c>
      <c r="D391" s="43" t="s">
        <v>30</v>
      </c>
      <c r="E391" s="46">
        <v>1441683.14</v>
      </c>
      <c r="F391" s="2">
        <f>IF(C391="GBP",E391*$C$3,IF(C391="TRY",E391/$C$1,IF(C391="EUR",E391*$E$1,IF(C391="RUB",E391/#REF!,IF(C391="EGP",E391/$E$2,E391)))))</f>
        <v>39534.019617790371</v>
      </c>
      <c r="G391" s="15" t="str">
        <f>VLOOKUP(B391,SPECIFICATIONF!$C$2:$D$65,2,0)</f>
        <v>GLOBAL HFT</v>
      </c>
      <c r="H391" s="12">
        <f t="shared" si="22"/>
        <v>4</v>
      </c>
      <c r="I391" s="12">
        <f t="shared" si="23"/>
        <v>2025</v>
      </c>
    </row>
    <row r="392" spans="1:9" ht="19.5" customHeight="1" x14ac:dyDescent="0.35">
      <c r="A392" s="41">
        <v>45750</v>
      </c>
      <c r="B392" s="8" t="s">
        <v>32</v>
      </c>
      <c r="C392" s="42" t="s">
        <v>33</v>
      </c>
      <c r="D392" s="43" t="s">
        <v>30</v>
      </c>
      <c r="E392" s="46">
        <v>9575.35</v>
      </c>
      <c r="F392" s="2">
        <f>IF(C392="GBP",E392*$C$3,IF(C392="TRY",E392/$C$1,IF(C392="EUR",E392*$E$1,IF(C392="RUB",E392/#REF!,IF(C392="EGP",E392/$E$2,E392)))))</f>
        <v>9575.35</v>
      </c>
      <c r="G392" s="15" t="str">
        <f>VLOOKUP(B392,SPECIFICATIONF!$C$2:$D$65,2,0)</f>
        <v>GLOBAL HFT</v>
      </c>
      <c r="H392" s="12">
        <f t="shared" si="22"/>
        <v>4</v>
      </c>
      <c r="I392" s="12">
        <f t="shared" si="23"/>
        <v>2025</v>
      </c>
    </row>
    <row r="393" spans="1:9" ht="19.5" customHeight="1" x14ac:dyDescent="0.35">
      <c r="A393" s="41">
        <v>45750</v>
      </c>
      <c r="B393" s="8" t="s">
        <v>32</v>
      </c>
      <c r="C393" s="42" t="s">
        <v>11</v>
      </c>
      <c r="D393" s="43" t="s">
        <v>29</v>
      </c>
      <c r="E393" s="47">
        <v>5705099733</v>
      </c>
      <c r="F393" s="2">
        <f>IF(C393="GBP",E393*$C$3,IF(C393="TRY",E393/$C$1,IF(C393="EUR",E393*$E$1,IF(C393="RUB",E393/#REF!,IF(C393="EGP",E393/$E$2,E393)))))</f>
        <v>156445975.19942743</v>
      </c>
      <c r="G393" s="15" t="str">
        <f>VLOOKUP(B393,SPECIFICATIONF!$C$2:$D$65,2,0)</f>
        <v>GLOBAL HFT</v>
      </c>
      <c r="H393" s="12">
        <f t="shared" si="22"/>
        <v>4</v>
      </c>
      <c r="I393" s="12">
        <f t="shared" si="23"/>
        <v>2025</v>
      </c>
    </row>
    <row r="394" spans="1:9" ht="19.5" customHeight="1" x14ac:dyDescent="0.35">
      <c r="A394" s="41">
        <v>45750</v>
      </c>
      <c r="B394" s="8" t="s">
        <v>32</v>
      </c>
      <c r="C394" s="42" t="s">
        <v>33</v>
      </c>
      <c r="D394" s="43" t="s">
        <v>29</v>
      </c>
      <c r="E394" s="46">
        <v>33998813</v>
      </c>
      <c r="F394" s="2">
        <f>IF(C394="GBP",E394*$C$3,IF(C394="TRY",E394/$C$1,IF(C394="EUR",E394*$E$1,IF(C394="RUB",E394/#REF!,IF(C394="EGP",E394/$E$2,E394)))))</f>
        <v>33998813</v>
      </c>
      <c r="G394" s="15" t="str">
        <f>VLOOKUP(B394,SPECIFICATIONF!$C$2:$D$65,2,0)</f>
        <v>GLOBAL HFT</v>
      </c>
      <c r="H394" s="12">
        <f t="shared" si="22"/>
        <v>4</v>
      </c>
      <c r="I394" s="12">
        <f t="shared" si="23"/>
        <v>2025</v>
      </c>
    </row>
    <row r="395" spans="1:9" ht="19.5" customHeight="1" x14ac:dyDescent="0.35">
      <c r="A395" s="41">
        <v>45750</v>
      </c>
      <c r="B395" s="8" t="s">
        <v>24</v>
      </c>
      <c r="C395" s="42" t="s">
        <v>11</v>
      </c>
      <c r="D395" s="43" t="s">
        <v>30</v>
      </c>
      <c r="E395" s="46">
        <v>0</v>
      </c>
      <c r="F395" s="2">
        <f>IF(C395="GBP",E395*$C$3,IF(C395="TRY",E395/$C$1,IF(C395="EUR",E395*$E$1,IF(C395="RUB",E395/#REF!,IF(C395="EGP",E395/$E$2,E395)))))</f>
        <v>0</v>
      </c>
      <c r="G395" s="15" t="str">
        <f>VLOOKUP(B395,SPECIFICATIONF!$C$2:$D$65,2,0)</f>
        <v>GLOBAL RETAIL</v>
      </c>
      <c r="H395" s="12">
        <f t="shared" si="22"/>
        <v>4</v>
      </c>
      <c r="I395" s="12">
        <f t="shared" si="23"/>
        <v>2025</v>
      </c>
    </row>
    <row r="396" spans="1:9" ht="19.5" customHeight="1" x14ac:dyDescent="0.35">
      <c r="A396" s="41">
        <v>45750</v>
      </c>
      <c r="B396" s="8" t="s">
        <v>24</v>
      </c>
      <c r="C396" s="42" t="s">
        <v>33</v>
      </c>
      <c r="D396" s="43" t="s">
        <v>30</v>
      </c>
      <c r="E396" s="46">
        <v>0</v>
      </c>
      <c r="F396" s="2">
        <f>IF(C396="GBP",E396*$C$3,IF(C396="TRY",E396/$C$1,IF(C396="EUR",E396*$E$1,IF(C396="RUB",E396/#REF!,IF(C396="EGP",E396/$E$2,E396)))))</f>
        <v>0</v>
      </c>
      <c r="G396" s="15" t="str">
        <f>VLOOKUP(B396,SPECIFICATIONF!$C$2:$D$65,2,0)</f>
        <v>GLOBAL RETAIL</v>
      </c>
      <c r="H396" s="12">
        <f t="shared" si="22"/>
        <v>4</v>
      </c>
      <c r="I396" s="12">
        <f t="shared" si="23"/>
        <v>2025</v>
      </c>
    </row>
    <row r="397" spans="1:9" ht="19.5" customHeight="1" x14ac:dyDescent="0.35">
      <c r="A397" s="41">
        <v>45750</v>
      </c>
      <c r="B397" s="8" t="s">
        <v>24</v>
      </c>
      <c r="C397" s="42" t="s">
        <v>11</v>
      </c>
      <c r="D397" s="43" t="s">
        <v>29</v>
      </c>
      <c r="E397" s="46">
        <v>0</v>
      </c>
      <c r="F397" s="2">
        <f>IF(C397="GBP",E397*$C$3,IF(C397="TRY",E397/$C$1,IF(C397="EUR",E397*$E$1,IF(C397="RUB",E397/#REF!,IF(C397="EGP",E397/$E$2,E397)))))</f>
        <v>0</v>
      </c>
      <c r="G397" s="15" t="str">
        <f>VLOOKUP(B397,SPECIFICATIONF!$C$2:$D$65,2,0)</f>
        <v>GLOBAL RETAIL</v>
      </c>
      <c r="H397" s="12">
        <f t="shared" si="22"/>
        <v>4</v>
      </c>
      <c r="I397" s="12">
        <f t="shared" si="23"/>
        <v>2025</v>
      </c>
    </row>
    <row r="398" spans="1:9" ht="19.5" customHeight="1" x14ac:dyDescent="0.35">
      <c r="A398" s="41">
        <v>45750</v>
      </c>
      <c r="B398" s="8" t="s">
        <v>24</v>
      </c>
      <c r="C398" s="42" t="s">
        <v>33</v>
      </c>
      <c r="D398" s="43" t="s">
        <v>29</v>
      </c>
      <c r="E398" s="46">
        <v>0</v>
      </c>
      <c r="F398" s="2">
        <f>IF(C398="GBP",E398*$C$3,IF(C398="TRY",E398/$C$1,IF(C398="EUR",E398*$E$1,IF(C398="RUB",E398/#REF!,IF(C398="EGP",E398/$E$2,E398)))))</f>
        <v>0</v>
      </c>
      <c r="G398" s="15" t="str">
        <f>VLOOKUP(B398,SPECIFICATIONF!$C$2:$D$65,2,0)</f>
        <v>GLOBAL RETAIL</v>
      </c>
      <c r="H398" s="12">
        <f t="shared" si="22"/>
        <v>4</v>
      </c>
      <c r="I398" s="12">
        <f t="shared" si="23"/>
        <v>2025</v>
      </c>
    </row>
    <row r="399" spans="1:9" ht="19.5" customHeight="1" x14ac:dyDescent="0.35">
      <c r="A399" s="41">
        <v>45751</v>
      </c>
      <c r="B399" s="8" t="s">
        <v>32</v>
      </c>
      <c r="C399" s="42" t="s">
        <v>11</v>
      </c>
      <c r="D399" s="43" t="s">
        <v>30</v>
      </c>
      <c r="E399" s="46">
        <v>1404111.6</v>
      </c>
      <c r="F399" s="2">
        <f>IF(C399="GBP",E399*$C$3,IF(C399="TRY",E399/$C$1,IF(C399="EUR",E399*$E$1,IF(C399="RUB",E399/#REF!,IF(C399="EGP",E399/$E$2,E399)))))</f>
        <v>38503.728038303227</v>
      </c>
      <c r="G399" s="15" t="str">
        <f>VLOOKUP(B399,SPECIFICATIONF!$C$2:$D$65,2,0)</f>
        <v>GLOBAL HFT</v>
      </c>
      <c r="H399" s="12">
        <f t="shared" si="22"/>
        <v>4</v>
      </c>
      <c r="I399" s="12">
        <f t="shared" si="23"/>
        <v>2025</v>
      </c>
    </row>
    <row r="400" spans="1:9" ht="19.5" customHeight="1" x14ac:dyDescent="0.35">
      <c r="A400" s="41">
        <v>45751</v>
      </c>
      <c r="B400" s="8" t="s">
        <v>32</v>
      </c>
      <c r="C400" s="42" t="s">
        <v>33</v>
      </c>
      <c r="D400" s="43" t="s">
        <v>30</v>
      </c>
      <c r="E400" s="46">
        <v>9663.59</v>
      </c>
      <c r="F400" s="2">
        <f>IF(C400="GBP",E400*$C$3,IF(C400="TRY",E400/$C$1,IF(C400="EUR",E400*$E$1,IF(C400="RUB",E400/#REF!,IF(C400="EGP",E400/$E$2,E400)))))</f>
        <v>9663.59</v>
      </c>
      <c r="G400" s="15" t="str">
        <f>VLOOKUP(B400,SPECIFICATIONF!$C$2:$D$65,2,0)</f>
        <v>GLOBAL HFT</v>
      </c>
      <c r="H400" s="12">
        <f t="shared" si="22"/>
        <v>4</v>
      </c>
      <c r="I400" s="12">
        <f t="shared" si="23"/>
        <v>2025</v>
      </c>
    </row>
    <row r="401" spans="1:9" ht="19.5" customHeight="1" x14ac:dyDescent="0.35">
      <c r="A401" s="41">
        <v>45751</v>
      </c>
      <c r="B401" s="8" t="s">
        <v>32</v>
      </c>
      <c r="C401" s="42" t="s">
        <v>11</v>
      </c>
      <c r="D401" s="43" t="s">
        <v>29</v>
      </c>
      <c r="E401" s="47">
        <v>5401071429</v>
      </c>
      <c r="F401" s="2">
        <f>IF(C401="GBP",E401*$C$3,IF(C401="TRY",E401/$C$1,IF(C401="EUR",E401*$E$1,IF(C401="RUB",E401/#REF!,IF(C401="EGP",E401/$E$2,E401)))))</f>
        <v>148108872.12787485</v>
      </c>
      <c r="G401" s="15" t="str">
        <f>VLOOKUP(B401,SPECIFICATIONF!$C$2:$D$65,2,0)</f>
        <v>GLOBAL HFT</v>
      </c>
      <c r="H401" s="12">
        <f t="shared" si="22"/>
        <v>4</v>
      </c>
      <c r="I401" s="12">
        <f t="shared" si="23"/>
        <v>2025</v>
      </c>
    </row>
    <row r="402" spans="1:9" ht="19.5" customHeight="1" x14ac:dyDescent="0.35">
      <c r="A402" s="41">
        <v>45751</v>
      </c>
      <c r="B402" s="8" t="s">
        <v>32</v>
      </c>
      <c r="C402" s="42" t="s">
        <v>33</v>
      </c>
      <c r="D402" s="43" t="s">
        <v>29</v>
      </c>
      <c r="E402" s="46">
        <v>33325255</v>
      </c>
      <c r="F402" s="2">
        <f>IF(C402="GBP",E402*$C$3,IF(C402="TRY",E402/$C$1,IF(C402="EUR",E402*$E$1,IF(C402="RUB",E402/#REF!,IF(C402="EGP",E402/$E$2,E402)))))</f>
        <v>33325255</v>
      </c>
      <c r="G402" s="15" t="str">
        <f>VLOOKUP(B402,SPECIFICATIONF!$C$2:$D$65,2,0)</f>
        <v>GLOBAL HFT</v>
      </c>
      <c r="H402" s="12">
        <f t="shared" si="22"/>
        <v>4</v>
      </c>
      <c r="I402" s="12">
        <f t="shared" si="23"/>
        <v>2025</v>
      </c>
    </row>
    <row r="403" spans="1:9" ht="19.5" customHeight="1" x14ac:dyDescent="0.35">
      <c r="A403" s="41">
        <v>45751</v>
      </c>
      <c r="B403" s="8" t="s">
        <v>24</v>
      </c>
      <c r="C403" s="42" t="s">
        <v>11</v>
      </c>
      <c r="D403" s="43" t="s">
        <v>30</v>
      </c>
      <c r="E403" s="46">
        <v>0</v>
      </c>
      <c r="F403" s="2">
        <f>IF(C403="GBP",E403*$C$3,IF(C403="TRY",E403/$C$1,IF(C403="EUR",E403*$E$1,IF(C403="RUB",E403/#REF!,IF(C403="EGP",E403/$E$2,E403)))))</f>
        <v>0</v>
      </c>
      <c r="G403" s="15" t="str">
        <f>VLOOKUP(B403,SPECIFICATIONF!$C$2:$D$65,2,0)</f>
        <v>GLOBAL RETAIL</v>
      </c>
      <c r="H403" s="12">
        <f t="shared" si="22"/>
        <v>4</v>
      </c>
      <c r="I403" s="12">
        <f t="shared" si="23"/>
        <v>2025</v>
      </c>
    </row>
    <row r="404" spans="1:9" ht="19.5" customHeight="1" x14ac:dyDescent="0.35">
      <c r="A404" s="41">
        <v>45751</v>
      </c>
      <c r="B404" s="8" t="s">
        <v>24</v>
      </c>
      <c r="C404" s="42" t="s">
        <v>33</v>
      </c>
      <c r="D404" s="43" t="s">
        <v>30</v>
      </c>
      <c r="E404" s="46">
        <v>0</v>
      </c>
      <c r="F404" s="2">
        <f>IF(C404="GBP",E404*$C$3,IF(C404="TRY",E404/$C$1,IF(C404="EUR",E404*$E$1,IF(C404="RUB",E404/#REF!,IF(C404="EGP",E404/$E$2,E404)))))</f>
        <v>0</v>
      </c>
      <c r="G404" s="15" t="str">
        <f>VLOOKUP(B404,SPECIFICATIONF!$C$2:$D$65,2,0)</f>
        <v>GLOBAL RETAIL</v>
      </c>
      <c r="H404" s="12">
        <f t="shared" si="22"/>
        <v>4</v>
      </c>
      <c r="I404" s="12">
        <f t="shared" si="23"/>
        <v>2025</v>
      </c>
    </row>
    <row r="405" spans="1:9" ht="19.5" customHeight="1" x14ac:dyDescent="0.35">
      <c r="A405" s="41">
        <v>45751</v>
      </c>
      <c r="B405" s="8" t="s">
        <v>24</v>
      </c>
      <c r="C405" s="42" t="s">
        <v>11</v>
      </c>
      <c r="D405" s="43" t="s">
        <v>29</v>
      </c>
      <c r="E405" s="46">
        <v>0</v>
      </c>
      <c r="F405" s="2">
        <f>IF(C405="GBP",E405*$C$3,IF(C405="TRY",E405/$C$1,IF(C405="EUR",E405*$E$1,IF(C405="RUB",E405/#REF!,IF(C405="EGP",E405/$E$2,E405)))))</f>
        <v>0</v>
      </c>
      <c r="G405" s="15" t="str">
        <f>VLOOKUP(B405,SPECIFICATIONF!$C$2:$D$65,2,0)</f>
        <v>GLOBAL RETAIL</v>
      </c>
      <c r="H405" s="12">
        <f t="shared" si="22"/>
        <v>4</v>
      </c>
      <c r="I405" s="12">
        <f t="shared" si="23"/>
        <v>2025</v>
      </c>
    </row>
    <row r="406" spans="1:9" ht="19.5" customHeight="1" x14ac:dyDescent="0.35">
      <c r="A406" s="41">
        <v>45751</v>
      </c>
      <c r="B406" s="8" t="s">
        <v>24</v>
      </c>
      <c r="C406" s="42" t="s">
        <v>33</v>
      </c>
      <c r="D406" s="43" t="s">
        <v>29</v>
      </c>
      <c r="E406" s="46">
        <v>0</v>
      </c>
      <c r="F406" s="2">
        <f>IF(C406="GBP",E406*$C$3,IF(C406="TRY",E406/$C$1,IF(C406="EUR",E406*$E$1,IF(C406="RUB",E406/#REF!,IF(C406="EGP",E406/$E$2,E406)))))</f>
        <v>0</v>
      </c>
      <c r="G406" s="15" t="str">
        <f>VLOOKUP(B406,SPECIFICATIONF!$C$2:$D$65,2,0)</f>
        <v>GLOBAL RETAIL</v>
      </c>
      <c r="H406" s="12">
        <f t="shared" si="22"/>
        <v>4</v>
      </c>
      <c r="I406" s="12">
        <f t="shared" si="23"/>
        <v>2025</v>
      </c>
    </row>
    <row r="407" spans="1:9" ht="19.5" customHeight="1" x14ac:dyDescent="0.35">
      <c r="A407" s="41">
        <v>45752</v>
      </c>
      <c r="B407" s="8" t="s">
        <v>32</v>
      </c>
      <c r="C407" s="42" t="s">
        <v>11</v>
      </c>
      <c r="D407" s="43" t="s">
        <v>30</v>
      </c>
      <c r="E407" s="46">
        <v>697621.02</v>
      </c>
      <c r="F407" s="2">
        <f>IF(C407="GBP",E407*$C$3,IF(C407="TRY",E407/$C$1,IF(C407="EUR",E407*$E$1,IF(C407="RUB",E407/#REF!,IF(C407="EGP",E407/$E$2,E407)))))</f>
        <v>19130.252914286655</v>
      </c>
      <c r="G407" s="15" t="str">
        <f>VLOOKUP(B407,SPECIFICATIONF!$C$2:$D$65,2,0)</f>
        <v>GLOBAL HFT</v>
      </c>
      <c r="H407" s="12">
        <f t="shared" si="22"/>
        <v>4</v>
      </c>
      <c r="I407" s="12">
        <f t="shared" si="23"/>
        <v>2025</v>
      </c>
    </row>
    <row r="408" spans="1:9" ht="19.5" customHeight="1" x14ac:dyDescent="0.35">
      <c r="A408" s="41">
        <v>45752</v>
      </c>
      <c r="B408" s="8" t="s">
        <v>32</v>
      </c>
      <c r="C408" s="42" t="s">
        <v>33</v>
      </c>
      <c r="D408" s="43" t="s">
        <v>30</v>
      </c>
      <c r="E408" s="46">
        <v>4922.42</v>
      </c>
      <c r="F408" s="2">
        <f>IF(C408="GBP",E408*$C$3,IF(C408="TRY",E408/$C$1,IF(C408="EUR",E408*$E$1,IF(C408="RUB",E408/#REF!,IF(C408="EGP",E408/$E$2,E408)))))</f>
        <v>4922.42</v>
      </c>
      <c r="G408" s="15" t="str">
        <f>VLOOKUP(B408,SPECIFICATIONF!$C$2:$D$65,2,0)</f>
        <v>GLOBAL HFT</v>
      </c>
      <c r="H408" s="12">
        <f t="shared" si="22"/>
        <v>4</v>
      </c>
      <c r="I408" s="12">
        <f t="shared" si="23"/>
        <v>2025</v>
      </c>
    </row>
    <row r="409" spans="1:9" ht="19.5" customHeight="1" x14ac:dyDescent="0.35">
      <c r="A409" s="41">
        <v>45752</v>
      </c>
      <c r="B409" s="8" t="s">
        <v>32</v>
      </c>
      <c r="C409" s="42" t="s">
        <v>11</v>
      </c>
      <c r="D409" s="43" t="s">
        <v>29</v>
      </c>
      <c r="E409" s="47">
        <v>2795388440</v>
      </c>
      <c r="F409" s="2">
        <f>IF(C409="GBP",E409*$C$3,IF(C409="TRY",E409/$C$1,IF(C409="EUR",E409*$E$1,IF(C409="RUB",E409/#REF!,IF(C409="EGP",E409/$E$2,E409)))))</f>
        <v>76655499.644883439</v>
      </c>
      <c r="G409" s="15" t="str">
        <f>VLOOKUP(B409,SPECIFICATIONF!$C$2:$D$65,2,0)</f>
        <v>GLOBAL HFT</v>
      </c>
      <c r="H409" s="12">
        <f t="shared" si="22"/>
        <v>4</v>
      </c>
      <c r="I409" s="12">
        <f t="shared" si="23"/>
        <v>2025</v>
      </c>
    </row>
    <row r="410" spans="1:9" ht="19.5" customHeight="1" x14ac:dyDescent="0.35">
      <c r="A410" s="41">
        <v>45752</v>
      </c>
      <c r="B410" s="8" t="s">
        <v>32</v>
      </c>
      <c r="C410" s="42" t="s">
        <v>33</v>
      </c>
      <c r="D410" s="43" t="s">
        <v>29</v>
      </c>
      <c r="E410" s="46">
        <v>17047026</v>
      </c>
      <c r="F410" s="2">
        <f>IF(C410="GBP",E410*$C$3,IF(C410="TRY",E410/$C$1,IF(C410="EUR",E410*$E$1,IF(C410="RUB",E410/#REF!,IF(C410="EGP",E410/$E$2,E410)))))</f>
        <v>17047026</v>
      </c>
      <c r="G410" s="15" t="str">
        <f>VLOOKUP(B410,SPECIFICATIONF!$C$2:$D$65,2,0)</f>
        <v>GLOBAL HFT</v>
      </c>
      <c r="H410" s="12">
        <f t="shared" si="22"/>
        <v>4</v>
      </c>
      <c r="I410" s="12">
        <f t="shared" si="23"/>
        <v>2025</v>
      </c>
    </row>
    <row r="411" spans="1:9" ht="19.5" customHeight="1" x14ac:dyDescent="0.35">
      <c r="A411" s="41">
        <v>45752</v>
      </c>
      <c r="B411" s="8" t="s">
        <v>24</v>
      </c>
      <c r="C411" s="42" t="s">
        <v>11</v>
      </c>
      <c r="D411" s="43" t="s">
        <v>30</v>
      </c>
      <c r="E411" s="46">
        <v>0</v>
      </c>
      <c r="F411" s="2">
        <f>IF(C411="GBP",E411*$C$3,IF(C411="TRY",E411/$C$1,IF(C411="EUR",E411*$E$1,IF(C411="RUB",E411/#REF!,IF(C411="EGP",E411/$E$2,E411)))))</f>
        <v>0</v>
      </c>
      <c r="G411" s="15" t="str">
        <f>VLOOKUP(B411,SPECIFICATIONF!$C$2:$D$65,2,0)</f>
        <v>GLOBAL RETAIL</v>
      </c>
      <c r="H411" s="12">
        <f t="shared" si="22"/>
        <v>4</v>
      </c>
      <c r="I411" s="12">
        <f t="shared" si="23"/>
        <v>2025</v>
      </c>
    </row>
    <row r="412" spans="1:9" ht="19.5" customHeight="1" x14ac:dyDescent="0.35">
      <c r="A412" s="41">
        <v>45752</v>
      </c>
      <c r="B412" s="8" t="s">
        <v>24</v>
      </c>
      <c r="C412" s="42" t="s">
        <v>33</v>
      </c>
      <c r="D412" s="43" t="s">
        <v>30</v>
      </c>
      <c r="E412" s="46">
        <v>0</v>
      </c>
      <c r="F412" s="2">
        <f>IF(C412="GBP",E412*$C$3,IF(C412="TRY",E412/$C$1,IF(C412="EUR",E412*$E$1,IF(C412="RUB",E412/#REF!,IF(C412="EGP",E412/$E$2,E412)))))</f>
        <v>0</v>
      </c>
      <c r="G412" s="15" t="str">
        <f>VLOOKUP(B412,SPECIFICATIONF!$C$2:$D$65,2,0)</f>
        <v>GLOBAL RETAIL</v>
      </c>
      <c r="H412" s="12">
        <f t="shared" si="22"/>
        <v>4</v>
      </c>
      <c r="I412" s="12">
        <f t="shared" si="23"/>
        <v>2025</v>
      </c>
    </row>
    <row r="413" spans="1:9" ht="19.5" customHeight="1" x14ac:dyDescent="0.35">
      <c r="A413" s="41">
        <v>45752</v>
      </c>
      <c r="B413" s="8" t="s">
        <v>24</v>
      </c>
      <c r="C413" s="42" t="s">
        <v>11</v>
      </c>
      <c r="D413" s="43" t="s">
        <v>29</v>
      </c>
      <c r="E413" s="46">
        <v>0</v>
      </c>
      <c r="F413" s="2">
        <f>IF(C413="GBP",E413*$C$3,IF(C413="TRY",E413/$C$1,IF(C413="EUR",E413*$E$1,IF(C413="RUB",E413/#REF!,IF(C413="EGP",E413/$E$2,E413)))))</f>
        <v>0</v>
      </c>
      <c r="G413" s="15" t="str">
        <f>VLOOKUP(B413,SPECIFICATIONF!$C$2:$D$65,2,0)</f>
        <v>GLOBAL RETAIL</v>
      </c>
      <c r="H413" s="12">
        <f t="shared" si="22"/>
        <v>4</v>
      </c>
      <c r="I413" s="12">
        <f t="shared" si="23"/>
        <v>2025</v>
      </c>
    </row>
    <row r="414" spans="1:9" ht="19.5" customHeight="1" x14ac:dyDescent="0.35">
      <c r="A414" s="41">
        <v>45752</v>
      </c>
      <c r="B414" s="8" t="s">
        <v>24</v>
      </c>
      <c r="C414" s="42" t="s">
        <v>33</v>
      </c>
      <c r="D414" s="43" t="s">
        <v>29</v>
      </c>
      <c r="E414" s="46">
        <v>0</v>
      </c>
      <c r="F414" s="2">
        <f>IF(C414="GBP",E414*$C$3,IF(C414="TRY",E414/$C$1,IF(C414="EUR",E414*$E$1,IF(C414="RUB",E414/#REF!,IF(C414="EGP",E414/$E$2,E414)))))</f>
        <v>0</v>
      </c>
      <c r="G414" s="15" t="str">
        <f>VLOOKUP(B414,SPECIFICATIONF!$C$2:$D$65,2,0)</f>
        <v>GLOBAL RETAIL</v>
      </c>
      <c r="H414" s="12">
        <f t="shared" si="22"/>
        <v>4</v>
      </c>
      <c r="I414" s="12">
        <f t="shared" si="23"/>
        <v>2025</v>
      </c>
    </row>
    <row r="415" spans="1:9" ht="19.5" customHeight="1" x14ac:dyDescent="0.35">
      <c r="A415" s="41">
        <v>45753</v>
      </c>
      <c r="B415" s="8" t="s">
        <v>32</v>
      </c>
      <c r="C415" s="42" t="s">
        <v>11</v>
      </c>
      <c r="D415" s="43" t="s">
        <v>30</v>
      </c>
      <c r="E415" s="46">
        <v>1122080.46</v>
      </c>
      <c r="F415" s="2">
        <f>IF(C415="GBP",E415*$C$3,IF(C415="TRY",E415/$C$1,IF(C415="EUR",E415*$E$1,IF(C415="RUB",E415/#REF!,IF(C415="EGP",E415/$E$2,E415)))))</f>
        <v>30769.834013859141</v>
      </c>
      <c r="G415" s="15" t="str">
        <f>VLOOKUP(B415,SPECIFICATIONF!$C$2:$D$65,2,0)</f>
        <v>GLOBAL HFT</v>
      </c>
      <c r="H415" s="12">
        <f t="shared" si="22"/>
        <v>4</v>
      </c>
      <c r="I415" s="12">
        <f t="shared" si="23"/>
        <v>2025</v>
      </c>
    </row>
    <row r="416" spans="1:9" ht="19.5" customHeight="1" x14ac:dyDescent="0.35">
      <c r="A416" s="41">
        <v>45753</v>
      </c>
      <c r="B416" s="8" t="s">
        <v>32</v>
      </c>
      <c r="C416" s="42" t="s">
        <v>33</v>
      </c>
      <c r="D416" s="43" t="s">
        <v>30</v>
      </c>
      <c r="E416" s="46">
        <v>7796.73</v>
      </c>
      <c r="F416" s="2">
        <f>IF(C416="GBP",E416*$C$3,IF(C416="TRY",E416/$C$1,IF(C416="EUR",E416*$E$1,IF(C416="RUB",E416/#REF!,IF(C416="EGP",E416/$E$2,E416)))))</f>
        <v>7796.73</v>
      </c>
      <c r="G416" s="15" t="str">
        <f>VLOOKUP(B416,SPECIFICATIONF!$C$2:$D$65,2,0)</f>
        <v>GLOBAL HFT</v>
      </c>
      <c r="H416" s="12">
        <f t="shared" si="22"/>
        <v>4</v>
      </c>
      <c r="I416" s="12">
        <f t="shared" si="23"/>
        <v>2025</v>
      </c>
    </row>
    <row r="417" spans="1:9" ht="19.5" customHeight="1" x14ac:dyDescent="0.35">
      <c r="A417" s="41">
        <v>45753</v>
      </c>
      <c r="B417" s="8" t="s">
        <v>32</v>
      </c>
      <c r="C417" s="42" t="s">
        <v>11</v>
      </c>
      <c r="D417" s="43" t="s">
        <v>29</v>
      </c>
      <c r="E417" s="47">
        <v>4176852336</v>
      </c>
      <c r="F417" s="2">
        <f>IF(C417="GBP",E417*$C$3,IF(C417="TRY",E417/$C$1,IF(C417="EUR",E417*$E$1,IF(C417="RUB",E417/#REF!,IF(C417="EGP",E417/$E$2,E417)))))</f>
        <v>114538179.44492127</v>
      </c>
      <c r="G417" s="15" t="str">
        <f>VLOOKUP(B417,SPECIFICATIONF!$C$2:$D$65,2,0)</f>
        <v>GLOBAL HFT</v>
      </c>
      <c r="H417" s="12">
        <f t="shared" si="22"/>
        <v>4</v>
      </c>
      <c r="I417" s="12">
        <f t="shared" si="23"/>
        <v>2025</v>
      </c>
    </row>
    <row r="418" spans="1:9" ht="19.5" customHeight="1" x14ac:dyDescent="0.35">
      <c r="A418" s="41">
        <v>45753</v>
      </c>
      <c r="B418" s="8" t="s">
        <v>32</v>
      </c>
      <c r="C418" s="42" t="s">
        <v>33</v>
      </c>
      <c r="D418" s="43" t="s">
        <v>29</v>
      </c>
      <c r="E418" s="46">
        <v>26807657</v>
      </c>
      <c r="F418" s="2">
        <f>IF(C418="GBP",E418*$C$3,IF(C418="TRY",E418/$C$1,IF(C418="EUR",E418*$E$1,IF(C418="RUB",E418/#REF!,IF(C418="EGP",E418/$E$2,E418)))))</f>
        <v>26807657</v>
      </c>
      <c r="G418" s="15" t="str">
        <f>VLOOKUP(B418,SPECIFICATIONF!$C$2:$D$65,2,0)</f>
        <v>GLOBAL HFT</v>
      </c>
      <c r="H418" s="12">
        <f t="shared" si="22"/>
        <v>4</v>
      </c>
      <c r="I418" s="12">
        <f t="shared" si="23"/>
        <v>2025</v>
      </c>
    </row>
    <row r="419" spans="1:9" ht="19.5" customHeight="1" x14ac:dyDescent="0.35">
      <c r="A419" s="41">
        <v>45753</v>
      </c>
      <c r="B419" s="8" t="s">
        <v>24</v>
      </c>
      <c r="C419" s="42" t="s">
        <v>11</v>
      </c>
      <c r="D419" s="43" t="s">
        <v>30</v>
      </c>
      <c r="E419" s="46">
        <v>0</v>
      </c>
      <c r="F419" s="2">
        <f>IF(C419="GBP",E419*$C$3,IF(C419="TRY",E419/$C$1,IF(C419="EUR",E419*$E$1,IF(C419="RUB",E419/#REF!,IF(C419="EGP",E419/$E$2,E419)))))</f>
        <v>0</v>
      </c>
      <c r="G419" s="15" t="str">
        <f>VLOOKUP(B419,SPECIFICATIONF!$C$2:$D$65,2,0)</f>
        <v>GLOBAL RETAIL</v>
      </c>
      <c r="H419" s="12">
        <f t="shared" si="22"/>
        <v>4</v>
      </c>
      <c r="I419" s="12">
        <f t="shared" si="23"/>
        <v>2025</v>
      </c>
    </row>
    <row r="420" spans="1:9" ht="19.5" customHeight="1" x14ac:dyDescent="0.35">
      <c r="A420" s="41">
        <v>45753</v>
      </c>
      <c r="B420" s="8" t="s">
        <v>24</v>
      </c>
      <c r="C420" s="42" t="s">
        <v>33</v>
      </c>
      <c r="D420" s="43" t="s">
        <v>30</v>
      </c>
      <c r="E420" s="46">
        <v>0</v>
      </c>
      <c r="F420" s="2">
        <f>IF(C420="GBP",E420*$C$3,IF(C420="TRY",E420/$C$1,IF(C420="EUR",E420*$E$1,IF(C420="RUB",E420/#REF!,IF(C420="EGP",E420/$E$2,E420)))))</f>
        <v>0</v>
      </c>
      <c r="G420" s="15" t="str">
        <f>VLOOKUP(B420,SPECIFICATIONF!$C$2:$D$65,2,0)</f>
        <v>GLOBAL RETAIL</v>
      </c>
      <c r="H420" s="12">
        <f t="shared" si="22"/>
        <v>4</v>
      </c>
      <c r="I420" s="12">
        <f t="shared" si="23"/>
        <v>2025</v>
      </c>
    </row>
    <row r="421" spans="1:9" ht="19.5" customHeight="1" x14ac:dyDescent="0.35">
      <c r="A421" s="41">
        <v>45753</v>
      </c>
      <c r="B421" s="8" t="s">
        <v>24</v>
      </c>
      <c r="C421" s="42" t="s">
        <v>11</v>
      </c>
      <c r="D421" s="43" t="s">
        <v>29</v>
      </c>
      <c r="E421" s="46">
        <v>0</v>
      </c>
      <c r="F421" s="2">
        <f>IF(C421="GBP",E421*$C$3,IF(C421="TRY",E421/$C$1,IF(C421="EUR",E421*$E$1,IF(C421="RUB",E421/#REF!,IF(C421="EGP",E421/$E$2,E421)))))</f>
        <v>0</v>
      </c>
      <c r="G421" s="15" t="str">
        <f>VLOOKUP(B421,SPECIFICATIONF!$C$2:$D$65,2,0)</f>
        <v>GLOBAL RETAIL</v>
      </c>
      <c r="H421" s="12">
        <f t="shared" si="22"/>
        <v>4</v>
      </c>
      <c r="I421" s="12">
        <f t="shared" si="23"/>
        <v>2025</v>
      </c>
    </row>
    <row r="422" spans="1:9" ht="19.5" customHeight="1" x14ac:dyDescent="0.35">
      <c r="A422" s="41">
        <v>45753</v>
      </c>
      <c r="B422" s="8" t="s">
        <v>24</v>
      </c>
      <c r="C422" s="42" t="s">
        <v>33</v>
      </c>
      <c r="D422" s="43" t="s">
        <v>29</v>
      </c>
      <c r="E422" s="46">
        <v>0</v>
      </c>
      <c r="F422" s="2">
        <f>IF(C422="GBP",E422*$C$3,IF(C422="TRY",E422/$C$1,IF(C422="EUR",E422*$E$1,IF(C422="RUB",E422/#REF!,IF(C422="EGP",E422/$E$2,E422)))))</f>
        <v>0</v>
      </c>
      <c r="G422" s="15" t="str">
        <f>VLOOKUP(B422,SPECIFICATIONF!$C$2:$D$65,2,0)</f>
        <v>GLOBAL RETAIL</v>
      </c>
      <c r="H422" s="12">
        <f t="shared" ref="H422:H485" si="24">MONTH(A422)</f>
        <v>4</v>
      </c>
      <c r="I422" s="12">
        <f t="shared" ref="I422:I485" si="25">YEAR(A422)</f>
        <v>2025</v>
      </c>
    </row>
    <row r="423" spans="1:9" ht="19.5" customHeight="1" x14ac:dyDescent="0.35">
      <c r="A423" s="41">
        <v>45754</v>
      </c>
      <c r="B423" s="8" t="s">
        <v>32</v>
      </c>
      <c r="C423" s="42" t="s">
        <v>11</v>
      </c>
      <c r="D423" s="43" t="s">
        <v>30</v>
      </c>
      <c r="E423" s="46">
        <v>2110572.61</v>
      </c>
      <c r="F423" s="2">
        <f>IF(C423="GBP",E423*$C$3,IF(C423="TRY",E423/$C$1,IF(C423="EUR",E423*$E$1,IF(C423="RUB",E423/#REF!,IF(C423="EGP",E423/$E$2,E423)))))</f>
        <v>57876.392289994481</v>
      </c>
      <c r="G423" s="15" t="str">
        <f>VLOOKUP(B423,SPECIFICATIONF!$C$2:$D$65,2,0)</f>
        <v>GLOBAL HFT</v>
      </c>
      <c r="H423" s="12">
        <f t="shared" si="24"/>
        <v>4</v>
      </c>
      <c r="I423" s="12">
        <f t="shared" si="25"/>
        <v>2025</v>
      </c>
    </row>
    <row r="424" spans="1:9" ht="19.5" customHeight="1" x14ac:dyDescent="0.35">
      <c r="A424" s="41">
        <v>45754</v>
      </c>
      <c r="B424" s="8" t="s">
        <v>32</v>
      </c>
      <c r="C424" s="42" t="s">
        <v>33</v>
      </c>
      <c r="D424" s="43" t="s">
        <v>30</v>
      </c>
      <c r="E424" s="46">
        <v>15890.51</v>
      </c>
      <c r="F424" s="2">
        <f>IF(C424="GBP",E424*$C$3,IF(C424="TRY",E424/$C$1,IF(C424="EUR",E424*$E$1,IF(C424="RUB",E424/#REF!,IF(C424="EGP",E424/$E$2,E424)))))</f>
        <v>15890.51</v>
      </c>
      <c r="G424" s="15" t="str">
        <f>VLOOKUP(B424,SPECIFICATIONF!$C$2:$D$65,2,0)</f>
        <v>GLOBAL HFT</v>
      </c>
      <c r="H424" s="12">
        <f t="shared" si="24"/>
        <v>4</v>
      </c>
      <c r="I424" s="12">
        <f t="shared" si="25"/>
        <v>2025</v>
      </c>
    </row>
    <row r="425" spans="1:9" ht="19.5" customHeight="1" x14ac:dyDescent="0.35">
      <c r="A425" s="41">
        <v>45754</v>
      </c>
      <c r="B425" s="8" t="s">
        <v>32</v>
      </c>
      <c r="C425" s="42" t="s">
        <v>11</v>
      </c>
      <c r="D425" s="43" t="s">
        <v>29</v>
      </c>
      <c r="E425" s="47">
        <v>7777288474</v>
      </c>
      <c r="F425" s="2">
        <f>IF(C425="GBP",E425*$C$3,IF(C425="TRY",E425/$C$1,IF(C425="EUR",E425*$E$1,IF(C425="RUB",E425/#REF!,IF(C425="EGP",E425/$E$2,E425)))))</f>
        <v>213269800.1201089</v>
      </c>
      <c r="G425" s="15" t="str">
        <f>VLOOKUP(B425,SPECIFICATIONF!$C$2:$D$65,2,0)</f>
        <v>GLOBAL HFT</v>
      </c>
      <c r="H425" s="12">
        <f t="shared" si="24"/>
        <v>4</v>
      </c>
      <c r="I425" s="12">
        <f t="shared" si="25"/>
        <v>2025</v>
      </c>
    </row>
    <row r="426" spans="1:9" ht="19.5" customHeight="1" x14ac:dyDescent="0.35">
      <c r="A426" s="41">
        <v>45754</v>
      </c>
      <c r="B426" s="8" t="s">
        <v>32</v>
      </c>
      <c r="C426" s="42" t="s">
        <v>33</v>
      </c>
      <c r="D426" s="43" t="s">
        <v>29</v>
      </c>
      <c r="E426" s="46">
        <v>56037129</v>
      </c>
      <c r="F426" s="2">
        <f>IF(C426="GBP",E426*$C$3,IF(C426="TRY",E426/$C$1,IF(C426="EUR",E426*$E$1,IF(C426="RUB",E426/#REF!,IF(C426="EGP",E426/$E$2,E426)))))</f>
        <v>56037129</v>
      </c>
      <c r="G426" s="15" t="str">
        <f>VLOOKUP(B426,SPECIFICATIONF!$C$2:$D$65,2,0)</f>
        <v>GLOBAL HFT</v>
      </c>
      <c r="H426" s="12">
        <f t="shared" si="24"/>
        <v>4</v>
      </c>
      <c r="I426" s="12">
        <f t="shared" si="25"/>
        <v>2025</v>
      </c>
    </row>
    <row r="427" spans="1:9" ht="19.5" customHeight="1" x14ac:dyDescent="0.35">
      <c r="A427" s="41">
        <v>45754</v>
      </c>
      <c r="B427" s="8" t="s">
        <v>24</v>
      </c>
      <c r="C427" s="42" t="s">
        <v>11</v>
      </c>
      <c r="D427" s="43" t="s">
        <v>30</v>
      </c>
      <c r="E427" s="46">
        <v>0</v>
      </c>
      <c r="F427" s="2">
        <f>IF(C427="GBP",E427*$C$3,IF(C427="TRY",E427/$C$1,IF(C427="EUR",E427*$E$1,IF(C427="RUB",E427/#REF!,IF(C427="EGP",E427/$E$2,E427)))))</f>
        <v>0</v>
      </c>
      <c r="G427" s="15" t="str">
        <f>VLOOKUP(B427,SPECIFICATIONF!$C$2:$D$65,2,0)</f>
        <v>GLOBAL RETAIL</v>
      </c>
      <c r="H427" s="12">
        <f t="shared" si="24"/>
        <v>4</v>
      </c>
      <c r="I427" s="12">
        <f t="shared" si="25"/>
        <v>2025</v>
      </c>
    </row>
    <row r="428" spans="1:9" ht="19.5" customHeight="1" x14ac:dyDescent="0.35">
      <c r="A428" s="41">
        <v>45754</v>
      </c>
      <c r="B428" s="8" t="s">
        <v>24</v>
      </c>
      <c r="C428" s="42" t="s">
        <v>33</v>
      </c>
      <c r="D428" s="43" t="s">
        <v>30</v>
      </c>
      <c r="E428" s="46">
        <v>0</v>
      </c>
      <c r="F428" s="2">
        <f>IF(C428="GBP",E428*$C$3,IF(C428="TRY",E428/$C$1,IF(C428="EUR",E428*$E$1,IF(C428="RUB",E428/#REF!,IF(C428="EGP",E428/$E$2,E428)))))</f>
        <v>0</v>
      </c>
      <c r="G428" s="15" t="str">
        <f>VLOOKUP(B428,SPECIFICATIONF!$C$2:$D$65,2,0)</f>
        <v>GLOBAL RETAIL</v>
      </c>
      <c r="H428" s="12">
        <f t="shared" si="24"/>
        <v>4</v>
      </c>
      <c r="I428" s="12">
        <f t="shared" si="25"/>
        <v>2025</v>
      </c>
    </row>
    <row r="429" spans="1:9" ht="19.5" customHeight="1" x14ac:dyDescent="0.35">
      <c r="A429" s="41">
        <v>45754</v>
      </c>
      <c r="B429" s="8" t="s">
        <v>24</v>
      </c>
      <c r="C429" s="42" t="s">
        <v>11</v>
      </c>
      <c r="D429" s="43" t="s">
        <v>29</v>
      </c>
      <c r="E429" s="46">
        <v>0</v>
      </c>
      <c r="F429" s="2">
        <f>IF(C429="GBP",E429*$C$3,IF(C429="TRY",E429/$C$1,IF(C429="EUR",E429*$E$1,IF(C429="RUB",E429/#REF!,IF(C429="EGP",E429/$E$2,E429)))))</f>
        <v>0</v>
      </c>
      <c r="G429" s="15" t="str">
        <f>VLOOKUP(B429,SPECIFICATIONF!$C$2:$D$65,2,0)</f>
        <v>GLOBAL RETAIL</v>
      </c>
      <c r="H429" s="12">
        <f t="shared" si="24"/>
        <v>4</v>
      </c>
      <c r="I429" s="12">
        <f t="shared" si="25"/>
        <v>2025</v>
      </c>
    </row>
    <row r="430" spans="1:9" ht="19.5" customHeight="1" x14ac:dyDescent="0.35">
      <c r="A430" s="41">
        <v>45754</v>
      </c>
      <c r="B430" s="8" t="s">
        <v>24</v>
      </c>
      <c r="C430" s="42" t="s">
        <v>33</v>
      </c>
      <c r="D430" s="43" t="s">
        <v>29</v>
      </c>
      <c r="E430" s="46">
        <v>0</v>
      </c>
      <c r="F430" s="2">
        <f>IF(C430="GBP",E430*$C$3,IF(C430="TRY",E430/$C$1,IF(C430="EUR",E430*$E$1,IF(C430="RUB",E430/#REF!,IF(C430="EGP",E430/$E$2,E430)))))</f>
        <v>0</v>
      </c>
      <c r="G430" s="15" t="str">
        <f>VLOOKUP(B430,SPECIFICATIONF!$C$2:$D$65,2,0)</f>
        <v>GLOBAL RETAIL</v>
      </c>
      <c r="H430" s="12">
        <f t="shared" si="24"/>
        <v>4</v>
      </c>
      <c r="I430" s="12">
        <f t="shared" si="25"/>
        <v>2025</v>
      </c>
    </row>
    <row r="431" spans="1:9" ht="19.5" customHeight="1" x14ac:dyDescent="0.35">
      <c r="A431" s="41">
        <v>45755</v>
      </c>
      <c r="B431" s="8" t="s">
        <v>32</v>
      </c>
      <c r="C431" s="42" t="s">
        <v>11</v>
      </c>
      <c r="D431" s="43" t="s">
        <v>30</v>
      </c>
      <c r="E431" s="46">
        <v>1178223.4099999999</v>
      </c>
      <c r="F431" s="2">
        <f>IF(C431="GBP",E431*$C$3,IF(C431="TRY",E431/$C$1,IF(C431="EUR",E431*$E$1,IF(C431="RUB",E431/#REF!,IF(C431="EGP",E431/$E$2,E431)))))</f>
        <v>32309.393175729219</v>
      </c>
      <c r="G431" s="15" t="str">
        <f>VLOOKUP(B431,SPECIFICATIONF!$C$2:$D$65,2,0)</f>
        <v>GLOBAL HFT</v>
      </c>
      <c r="H431" s="12">
        <f t="shared" si="24"/>
        <v>4</v>
      </c>
      <c r="I431" s="12">
        <f t="shared" si="25"/>
        <v>2025</v>
      </c>
    </row>
    <row r="432" spans="1:9" ht="19.5" customHeight="1" x14ac:dyDescent="0.35">
      <c r="A432" s="41">
        <v>45755</v>
      </c>
      <c r="B432" s="8" t="s">
        <v>32</v>
      </c>
      <c r="C432" s="42" t="s">
        <v>33</v>
      </c>
      <c r="D432" s="43" t="s">
        <v>30</v>
      </c>
      <c r="E432" s="46">
        <v>7503.1</v>
      </c>
      <c r="F432" s="2">
        <f>IF(C432="GBP",E432*$C$3,IF(C432="TRY",E432/$C$1,IF(C432="EUR",E432*$E$1,IF(C432="RUB",E432/#REF!,IF(C432="EGP",E432/$E$2,E432)))))</f>
        <v>7503.1</v>
      </c>
      <c r="G432" s="15" t="str">
        <f>VLOOKUP(B432,SPECIFICATIONF!$C$2:$D$65,2,0)</f>
        <v>GLOBAL HFT</v>
      </c>
      <c r="H432" s="12">
        <f t="shared" si="24"/>
        <v>4</v>
      </c>
      <c r="I432" s="12">
        <f t="shared" si="25"/>
        <v>2025</v>
      </c>
    </row>
    <row r="433" spans="1:9" ht="19.5" customHeight="1" x14ac:dyDescent="0.35">
      <c r="A433" s="41">
        <v>45755</v>
      </c>
      <c r="B433" s="8" t="s">
        <v>32</v>
      </c>
      <c r="C433" s="42" t="s">
        <v>11</v>
      </c>
      <c r="D433" s="43" t="s">
        <v>29</v>
      </c>
      <c r="E433" s="47">
        <v>4613021758</v>
      </c>
      <c r="F433" s="2">
        <f>IF(C433="GBP",E433*$C$3,IF(C433="TRY",E433/$C$1,IF(C433="EUR",E433*$E$1,IF(C433="RUB",E433/#REF!,IF(C433="EGP",E433/$E$2,E433)))))</f>
        <v>126498873.16991572</v>
      </c>
      <c r="G433" s="15" t="str">
        <f>VLOOKUP(B433,SPECIFICATIONF!$C$2:$D$65,2,0)</f>
        <v>GLOBAL HFT</v>
      </c>
      <c r="H433" s="12">
        <f t="shared" si="24"/>
        <v>4</v>
      </c>
      <c r="I433" s="12">
        <f t="shared" si="25"/>
        <v>2025</v>
      </c>
    </row>
    <row r="434" spans="1:9" ht="19.5" customHeight="1" x14ac:dyDescent="0.35">
      <c r="A434" s="41">
        <v>45755</v>
      </c>
      <c r="B434" s="8" t="s">
        <v>32</v>
      </c>
      <c r="C434" s="42" t="s">
        <v>33</v>
      </c>
      <c r="D434" s="43" t="s">
        <v>29</v>
      </c>
      <c r="E434" s="46">
        <v>28090899</v>
      </c>
      <c r="F434" s="2">
        <f>IF(C434="GBP",E434*$C$3,IF(C434="TRY",E434/$C$1,IF(C434="EUR",E434*$E$1,IF(C434="RUB",E434/#REF!,IF(C434="EGP",E434/$E$2,E434)))))</f>
        <v>28090899</v>
      </c>
      <c r="G434" s="15" t="str">
        <f>VLOOKUP(B434,SPECIFICATIONF!$C$2:$D$65,2,0)</f>
        <v>GLOBAL HFT</v>
      </c>
      <c r="H434" s="12">
        <f t="shared" si="24"/>
        <v>4</v>
      </c>
      <c r="I434" s="12">
        <f t="shared" si="25"/>
        <v>2025</v>
      </c>
    </row>
    <row r="435" spans="1:9" ht="19.5" customHeight="1" x14ac:dyDescent="0.35">
      <c r="A435" s="41">
        <v>45755</v>
      </c>
      <c r="B435" s="8" t="s">
        <v>24</v>
      </c>
      <c r="C435" s="42" t="s">
        <v>11</v>
      </c>
      <c r="D435" s="43" t="s">
        <v>30</v>
      </c>
      <c r="E435" s="46">
        <v>0</v>
      </c>
      <c r="F435" s="2">
        <f>IF(C435="GBP",E435*$C$3,IF(C435="TRY",E435/$C$1,IF(C435="EUR",E435*$E$1,IF(C435="RUB",E435/#REF!,IF(C435="EGP",E435/$E$2,E435)))))</f>
        <v>0</v>
      </c>
      <c r="G435" s="15" t="str">
        <f>VLOOKUP(B435,SPECIFICATIONF!$C$2:$D$65,2,0)</f>
        <v>GLOBAL RETAIL</v>
      </c>
      <c r="H435" s="12">
        <f t="shared" si="24"/>
        <v>4</v>
      </c>
      <c r="I435" s="12">
        <f t="shared" si="25"/>
        <v>2025</v>
      </c>
    </row>
    <row r="436" spans="1:9" ht="19.5" customHeight="1" x14ac:dyDescent="0.35">
      <c r="A436" s="41">
        <v>45755</v>
      </c>
      <c r="B436" s="8" t="s">
        <v>24</v>
      </c>
      <c r="C436" s="42" t="s">
        <v>33</v>
      </c>
      <c r="D436" s="43" t="s">
        <v>30</v>
      </c>
      <c r="E436" s="46">
        <v>0</v>
      </c>
      <c r="F436" s="2">
        <f>IF(C436="GBP",E436*$C$3,IF(C436="TRY",E436/$C$1,IF(C436="EUR",E436*$E$1,IF(C436="RUB",E436/#REF!,IF(C436="EGP",E436/$E$2,E436)))))</f>
        <v>0</v>
      </c>
      <c r="G436" s="15" t="str">
        <f>VLOOKUP(B436,SPECIFICATIONF!$C$2:$D$65,2,0)</f>
        <v>GLOBAL RETAIL</v>
      </c>
      <c r="H436" s="12">
        <f t="shared" si="24"/>
        <v>4</v>
      </c>
      <c r="I436" s="12">
        <f t="shared" si="25"/>
        <v>2025</v>
      </c>
    </row>
    <row r="437" spans="1:9" ht="19.5" customHeight="1" x14ac:dyDescent="0.35">
      <c r="A437" s="41">
        <v>45755</v>
      </c>
      <c r="B437" s="8" t="s">
        <v>24</v>
      </c>
      <c r="C437" s="42" t="s">
        <v>11</v>
      </c>
      <c r="D437" s="43" t="s">
        <v>29</v>
      </c>
      <c r="E437" s="46">
        <v>0</v>
      </c>
      <c r="F437" s="2">
        <f>IF(C437="GBP",E437*$C$3,IF(C437="TRY",E437/$C$1,IF(C437="EUR",E437*$E$1,IF(C437="RUB",E437/#REF!,IF(C437="EGP",E437/$E$2,E437)))))</f>
        <v>0</v>
      </c>
      <c r="G437" s="15" t="str">
        <f>VLOOKUP(B437,SPECIFICATIONF!$C$2:$D$65,2,0)</f>
        <v>GLOBAL RETAIL</v>
      </c>
      <c r="H437" s="12">
        <f t="shared" si="24"/>
        <v>4</v>
      </c>
      <c r="I437" s="12">
        <f t="shared" si="25"/>
        <v>2025</v>
      </c>
    </row>
    <row r="438" spans="1:9" ht="19.5" customHeight="1" x14ac:dyDescent="0.35">
      <c r="A438" s="41">
        <v>45755</v>
      </c>
      <c r="B438" s="8" t="s">
        <v>24</v>
      </c>
      <c r="C438" s="42" t="s">
        <v>33</v>
      </c>
      <c r="D438" s="43" t="s">
        <v>29</v>
      </c>
      <c r="E438" s="46">
        <v>0</v>
      </c>
      <c r="F438" s="2">
        <f>IF(C438="GBP",E438*$C$3,IF(C438="TRY",E438/$C$1,IF(C438="EUR",E438*$E$1,IF(C438="RUB",E438/#REF!,IF(C438="EGP",E438/$E$2,E438)))))</f>
        <v>0</v>
      </c>
      <c r="G438" s="15" t="str">
        <f>VLOOKUP(B438,SPECIFICATIONF!$C$2:$D$65,2,0)</f>
        <v>GLOBAL RETAIL</v>
      </c>
      <c r="H438" s="12">
        <f t="shared" si="24"/>
        <v>4</v>
      </c>
      <c r="I438" s="12">
        <f t="shared" si="25"/>
        <v>2025</v>
      </c>
    </row>
    <row r="439" spans="1:9" ht="19.5" customHeight="1" x14ac:dyDescent="0.35">
      <c r="A439" s="41">
        <v>45756</v>
      </c>
      <c r="B439" s="8" t="s">
        <v>32</v>
      </c>
      <c r="C439" s="42" t="s">
        <v>11</v>
      </c>
      <c r="D439" s="43" t="s">
        <v>30</v>
      </c>
      <c r="E439" s="46">
        <v>2016549.82</v>
      </c>
      <c r="F439" s="2">
        <f>IF(C439="GBP",E439*$C$3,IF(C439="TRY",E439/$C$1,IF(C439="EUR",E439*$E$1,IF(C439="RUB",E439/#REF!,IF(C439="EGP",E439/$E$2,E439)))))</f>
        <v>55298.087306571164</v>
      </c>
      <c r="G439" s="15" t="str">
        <f>VLOOKUP(B439,SPECIFICATIONF!$C$2:$D$65,2,0)</f>
        <v>GLOBAL HFT</v>
      </c>
      <c r="H439" s="12">
        <f t="shared" si="24"/>
        <v>4</v>
      </c>
      <c r="I439" s="12">
        <f t="shared" si="25"/>
        <v>2025</v>
      </c>
    </row>
    <row r="440" spans="1:9" ht="19.5" customHeight="1" x14ac:dyDescent="0.35">
      <c r="A440" s="41">
        <v>45756</v>
      </c>
      <c r="B440" s="8" t="s">
        <v>32</v>
      </c>
      <c r="C440" s="42" t="s">
        <v>33</v>
      </c>
      <c r="D440" s="43" t="s">
        <v>30</v>
      </c>
      <c r="E440" s="46">
        <v>14901.16</v>
      </c>
      <c r="F440" s="2">
        <f>IF(C440="GBP",E440*$C$3,IF(C440="TRY",E440/$C$1,IF(C440="EUR",E440*$E$1,IF(C440="RUB",E440/#REF!,IF(C440="EGP",E440/$E$2,E440)))))</f>
        <v>14901.16</v>
      </c>
      <c r="G440" s="15" t="str">
        <f>VLOOKUP(B440,SPECIFICATIONF!$C$2:$D$65,2,0)</f>
        <v>GLOBAL HFT</v>
      </c>
      <c r="H440" s="12">
        <f t="shared" si="24"/>
        <v>4</v>
      </c>
      <c r="I440" s="12">
        <f t="shared" si="25"/>
        <v>2025</v>
      </c>
    </row>
    <row r="441" spans="1:9" ht="19.5" customHeight="1" x14ac:dyDescent="0.35">
      <c r="A441" s="41">
        <v>45756</v>
      </c>
      <c r="B441" s="8" t="s">
        <v>32</v>
      </c>
      <c r="C441" s="42" t="s">
        <v>11</v>
      </c>
      <c r="D441" s="43" t="s">
        <v>29</v>
      </c>
      <c r="E441" s="47">
        <v>7539103459</v>
      </c>
      <c r="F441" s="2">
        <f>IF(C441="GBP",E441*$C$3,IF(C441="TRY",E441/$C$1,IF(C441="EUR",E441*$E$1,IF(C441="RUB",E441/#REF!,IF(C441="EGP",E441/$E$2,E441)))))</f>
        <v>206738260.14824402</v>
      </c>
      <c r="G441" s="15" t="str">
        <f>VLOOKUP(B441,SPECIFICATIONF!$C$2:$D$65,2,0)</f>
        <v>GLOBAL HFT</v>
      </c>
      <c r="H441" s="12">
        <f t="shared" si="24"/>
        <v>4</v>
      </c>
      <c r="I441" s="12">
        <f t="shared" si="25"/>
        <v>2025</v>
      </c>
    </row>
    <row r="442" spans="1:9" ht="19.5" customHeight="1" x14ac:dyDescent="0.35">
      <c r="A442" s="41">
        <v>45756</v>
      </c>
      <c r="B442" s="8" t="s">
        <v>32</v>
      </c>
      <c r="C442" s="42" t="s">
        <v>33</v>
      </c>
      <c r="D442" s="43" t="s">
        <v>29</v>
      </c>
      <c r="E442" s="46">
        <v>53803331</v>
      </c>
      <c r="F442" s="2">
        <f>IF(C442="GBP",E442*$C$3,IF(C442="TRY",E442/$C$1,IF(C442="EUR",E442*$E$1,IF(C442="RUB",E442/#REF!,IF(C442="EGP",E442/$E$2,E442)))))</f>
        <v>53803331</v>
      </c>
      <c r="G442" s="15" t="str">
        <f>VLOOKUP(B442,SPECIFICATIONF!$C$2:$D$65,2,0)</f>
        <v>GLOBAL HFT</v>
      </c>
      <c r="H442" s="12">
        <f t="shared" si="24"/>
        <v>4</v>
      </c>
      <c r="I442" s="12">
        <f t="shared" si="25"/>
        <v>2025</v>
      </c>
    </row>
    <row r="443" spans="1:9" ht="19.5" customHeight="1" x14ac:dyDescent="0.35">
      <c r="A443" s="41">
        <v>45756</v>
      </c>
      <c r="B443" s="8" t="s">
        <v>24</v>
      </c>
      <c r="C443" s="42" t="s">
        <v>11</v>
      </c>
      <c r="D443" s="43" t="s">
        <v>30</v>
      </c>
      <c r="E443" s="46">
        <v>0</v>
      </c>
      <c r="F443" s="2">
        <f>IF(C443="GBP",E443*$C$3,IF(C443="TRY",E443/$C$1,IF(C443="EUR",E443*$E$1,IF(C443="RUB",E443/#REF!,IF(C443="EGP",E443/$E$2,E443)))))</f>
        <v>0</v>
      </c>
      <c r="G443" s="15" t="str">
        <f>VLOOKUP(B443,SPECIFICATIONF!$C$2:$D$65,2,0)</f>
        <v>GLOBAL RETAIL</v>
      </c>
      <c r="H443" s="12">
        <f t="shared" si="24"/>
        <v>4</v>
      </c>
      <c r="I443" s="12">
        <f t="shared" si="25"/>
        <v>2025</v>
      </c>
    </row>
    <row r="444" spans="1:9" ht="19.5" customHeight="1" x14ac:dyDescent="0.35">
      <c r="A444" s="41">
        <v>45756</v>
      </c>
      <c r="B444" s="8" t="s">
        <v>24</v>
      </c>
      <c r="C444" s="42" t="s">
        <v>33</v>
      </c>
      <c r="D444" s="43" t="s">
        <v>30</v>
      </c>
      <c r="E444" s="46">
        <v>0</v>
      </c>
      <c r="F444" s="2">
        <f>IF(C444="GBP",E444*$C$3,IF(C444="TRY",E444/$C$1,IF(C444="EUR",E444*$E$1,IF(C444="RUB",E444/#REF!,IF(C444="EGP",E444/$E$2,E444)))))</f>
        <v>0</v>
      </c>
      <c r="G444" s="15" t="str">
        <f>VLOOKUP(B444,SPECIFICATIONF!$C$2:$D$65,2,0)</f>
        <v>GLOBAL RETAIL</v>
      </c>
      <c r="H444" s="12">
        <f t="shared" si="24"/>
        <v>4</v>
      </c>
      <c r="I444" s="12">
        <f t="shared" si="25"/>
        <v>2025</v>
      </c>
    </row>
    <row r="445" spans="1:9" ht="19.5" customHeight="1" x14ac:dyDescent="0.35">
      <c r="A445" s="41">
        <v>45756</v>
      </c>
      <c r="B445" s="8" t="s">
        <v>24</v>
      </c>
      <c r="C445" s="42" t="s">
        <v>11</v>
      </c>
      <c r="D445" s="43" t="s">
        <v>29</v>
      </c>
      <c r="E445" s="46">
        <v>0</v>
      </c>
      <c r="F445" s="2">
        <f>IF(C445="GBP",E445*$C$3,IF(C445="TRY",E445/$C$1,IF(C445="EUR",E445*$E$1,IF(C445="RUB",E445/#REF!,IF(C445="EGP",E445/$E$2,E445)))))</f>
        <v>0</v>
      </c>
      <c r="G445" s="15" t="str">
        <f>VLOOKUP(B445,SPECIFICATIONF!$C$2:$D$65,2,0)</f>
        <v>GLOBAL RETAIL</v>
      </c>
      <c r="H445" s="12">
        <f t="shared" si="24"/>
        <v>4</v>
      </c>
      <c r="I445" s="12">
        <f t="shared" si="25"/>
        <v>2025</v>
      </c>
    </row>
    <row r="446" spans="1:9" ht="19.5" customHeight="1" x14ac:dyDescent="0.35">
      <c r="A446" s="41">
        <v>45756</v>
      </c>
      <c r="B446" s="8" t="s">
        <v>24</v>
      </c>
      <c r="C446" s="42" t="s">
        <v>33</v>
      </c>
      <c r="D446" s="43" t="s">
        <v>29</v>
      </c>
      <c r="E446" s="46">
        <v>0</v>
      </c>
      <c r="F446" s="2">
        <f>IF(C446="GBP",E446*$C$3,IF(C446="TRY",E446/$C$1,IF(C446="EUR",E446*$E$1,IF(C446="RUB",E446/#REF!,IF(C446="EGP",E446/$E$2,E446)))))</f>
        <v>0</v>
      </c>
      <c r="G446" s="15" t="str">
        <f>VLOOKUP(B446,SPECIFICATIONF!$C$2:$D$65,2,0)</f>
        <v>GLOBAL RETAIL</v>
      </c>
      <c r="H446" s="12">
        <f t="shared" si="24"/>
        <v>4</v>
      </c>
      <c r="I446" s="12">
        <f t="shared" si="25"/>
        <v>2025</v>
      </c>
    </row>
    <row r="447" spans="1:9" ht="19.5" customHeight="1" x14ac:dyDescent="0.35">
      <c r="A447" s="41">
        <v>45757</v>
      </c>
      <c r="B447" s="8" t="s">
        <v>32</v>
      </c>
      <c r="C447" s="42" t="s">
        <v>11</v>
      </c>
      <c r="D447" s="43" t="s">
        <v>30</v>
      </c>
      <c r="E447" s="46">
        <v>2185663.86</v>
      </c>
      <c r="F447" s="2">
        <f>IF(C447="GBP",E447*$C$3,IF(C447="TRY",E447/$C$1,IF(C447="EUR",E447*$E$1,IF(C447="RUB",E447/#REF!,IF(C447="EGP",E447/$E$2,E447)))))</f>
        <v>59935.554160073923</v>
      </c>
      <c r="G447" s="15" t="str">
        <f>VLOOKUP(B447,SPECIFICATIONF!$C$2:$D$65,2,0)</f>
        <v>GLOBAL HFT</v>
      </c>
      <c r="H447" s="12">
        <f t="shared" si="24"/>
        <v>4</v>
      </c>
      <c r="I447" s="12">
        <f t="shared" si="25"/>
        <v>2025</v>
      </c>
    </row>
    <row r="448" spans="1:9" ht="19.5" customHeight="1" x14ac:dyDescent="0.35">
      <c r="A448" s="41">
        <v>45757</v>
      </c>
      <c r="B448" s="8" t="s">
        <v>32</v>
      </c>
      <c r="C448" s="42" t="s">
        <v>33</v>
      </c>
      <c r="D448" s="43" t="s">
        <v>30</v>
      </c>
      <c r="E448" s="46">
        <v>13900.27</v>
      </c>
      <c r="F448" s="2">
        <f>IF(C448="GBP",E448*$C$3,IF(C448="TRY",E448/$C$1,IF(C448="EUR",E448*$E$1,IF(C448="RUB",E448/#REF!,IF(C448="EGP",E448/$E$2,E448)))))</f>
        <v>13900.27</v>
      </c>
      <c r="G448" s="15" t="str">
        <f>VLOOKUP(B448,SPECIFICATIONF!$C$2:$D$65,2,0)</f>
        <v>GLOBAL HFT</v>
      </c>
      <c r="H448" s="12">
        <f t="shared" si="24"/>
        <v>4</v>
      </c>
      <c r="I448" s="12">
        <f t="shared" si="25"/>
        <v>2025</v>
      </c>
    </row>
    <row r="449" spans="1:9" ht="19.5" customHeight="1" x14ac:dyDescent="0.35">
      <c r="A449" s="41">
        <v>45757</v>
      </c>
      <c r="B449" s="8" t="s">
        <v>32</v>
      </c>
      <c r="C449" s="42" t="s">
        <v>11</v>
      </c>
      <c r="D449" s="43" t="s">
        <v>29</v>
      </c>
      <c r="E449" s="47">
        <v>8283060470</v>
      </c>
      <c r="F449" s="2">
        <f>IF(C449="GBP",E449*$C$3,IF(C449="TRY",E449/$C$1,IF(C449="EUR",E449*$E$1,IF(C449="RUB",E449/#REF!,IF(C449="EGP",E449/$E$2,E449)))))</f>
        <v>227139144.53929451</v>
      </c>
      <c r="G449" s="15" t="str">
        <f>VLOOKUP(B449,SPECIFICATIONF!$C$2:$D$65,2,0)</f>
        <v>GLOBAL HFT</v>
      </c>
      <c r="H449" s="12">
        <f t="shared" si="24"/>
        <v>4</v>
      </c>
      <c r="I449" s="12">
        <f t="shared" si="25"/>
        <v>2025</v>
      </c>
    </row>
    <row r="450" spans="1:9" ht="19.5" customHeight="1" x14ac:dyDescent="0.35">
      <c r="A450" s="41">
        <v>45757</v>
      </c>
      <c r="B450" s="8" t="s">
        <v>32</v>
      </c>
      <c r="C450" s="42" t="s">
        <v>33</v>
      </c>
      <c r="D450" s="43" t="s">
        <v>29</v>
      </c>
      <c r="E450" s="46">
        <v>47378349</v>
      </c>
      <c r="F450" s="2">
        <f>IF(C450="GBP",E450*$C$3,IF(C450="TRY",E450/$C$1,IF(C450="EUR",E450*$E$1,IF(C450="RUB",E450/#REF!,IF(C450="EGP",E450/$E$2,E450)))))</f>
        <v>47378349</v>
      </c>
      <c r="G450" s="15" t="str">
        <f>VLOOKUP(B450,SPECIFICATIONF!$C$2:$D$65,2,0)</f>
        <v>GLOBAL HFT</v>
      </c>
      <c r="H450" s="12">
        <f t="shared" si="24"/>
        <v>4</v>
      </c>
      <c r="I450" s="12">
        <f t="shared" si="25"/>
        <v>2025</v>
      </c>
    </row>
    <row r="451" spans="1:9" ht="19.5" customHeight="1" x14ac:dyDescent="0.35">
      <c r="A451" s="41">
        <v>45757</v>
      </c>
      <c r="B451" s="8" t="s">
        <v>24</v>
      </c>
      <c r="C451" s="42" t="s">
        <v>11</v>
      </c>
      <c r="D451" s="43" t="s">
        <v>30</v>
      </c>
      <c r="E451" s="46">
        <v>0</v>
      </c>
      <c r="F451" s="2">
        <f>IF(C451="GBP",E451*$C$3,IF(C451="TRY",E451/$C$1,IF(C451="EUR",E451*$E$1,IF(C451="RUB",E451/#REF!,IF(C451="EGP",E451/$E$2,E451)))))</f>
        <v>0</v>
      </c>
      <c r="G451" s="15" t="str">
        <f>VLOOKUP(B451,SPECIFICATIONF!$C$2:$D$65,2,0)</f>
        <v>GLOBAL RETAIL</v>
      </c>
      <c r="H451" s="12">
        <f t="shared" si="24"/>
        <v>4</v>
      </c>
      <c r="I451" s="12">
        <f t="shared" si="25"/>
        <v>2025</v>
      </c>
    </row>
    <row r="452" spans="1:9" ht="19.5" customHeight="1" x14ac:dyDescent="0.35">
      <c r="A452" s="41">
        <v>45757</v>
      </c>
      <c r="B452" s="8" t="s">
        <v>24</v>
      </c>
      <c r="C452" s="42" t="s">
        <v>33</v>
      </c>
      <c r="D452" s="43" t="s">
        <v>30</v>
      </c>
      <c r="E452" s="46">
        <v>0.03</v>
      </c>
      <c r="F452" s="2">
        <f>IF(C452="GBP",E452*$C$3,IF(C452="TRY",E452/$C$1,IF(C452="EUR",E452*$E$1,IF(C452="RUB",E452/#REF!,IF(C452="EGP",E452/$E$2,E452)))))</f>
        <v>0.03</v>
      </c>
      <c r="G452" s="15" t="str">
        <f>VLOOKUP(B452,SPECIFICATIONF!$C$2:$D$65,2,0)</f>
        <v>GLOBAL RETAIL</v>
      </c>
      <c r="H452" s="12">
        <f t="shared" si="24"/>
        <v>4</v>
      </c>
      <c r="I452" s="12">
        <f t="shared" si="25"/>
        <v>2025</v>
      </c>
    </row>
    <row r="453" spans="1:9" ht="19.5" customHeight="1" x14ac:dyDescent="0.35">
      <c r="A453" s="41">
        <v>45757</v>
      </c>
      <c r="B453" s="8" t="s">
        <v>24</v>
      </c>
      <c r="C453" s="42" t="s">
        <v>11</v>
      </c>
      <c r="D453" s="43" t="s">
        <v>29</v>
      </c>
      <c r="E453" s="47">
        <v>0</v>
      </c>
      <c r="F453" s="2">
        <f>IF(C453="GBP",E453*$C$3,IF(C453="TRY",E453/$C$1,IF(C453="EUR",E453*$E$1,IF(C453="RUB",E453/#REF!,IF(C453="EGP",E453/$E$2,E453)))))</f>
        <v>0</v>
      </c>
      <c r="G453" s="15" t="str">
        <f>VLOOKUP(B453,SPECIFICATIONF!$C$2:$D$65,2,0)</f>
        <v>GLOBAL RETAIL</v>
      </c>
      <c r="H453" s="12">
        <f t="shared" si="24"/>
        <v>4</v>
      </c>
      <c r="I453" s="12">
        <f t="shared" si="25"/>
        <v>2025</v>
      </c>
    </row>
    <row r="454" spans="1:9" ht="19.5" customHeight="1" x14ac:dyDescent="0.35">
      <c r="A454" s="41">
        <v>45757</v>
      </c>
      <c r="B454" s="8" t="s">
        <v>24</v>
      </c>
      <c r="C454" s="42" t="s">
        <v>33</v>
      </c>
      <c r="D454" s="43" t="s">
        <v>29</v>
      </c>
      <c r="E454" s="46">
        <v>27</v>
      </c>
      <c r="F454" s="2">
        <f>IF(C454="GBP",E454*$C$3,IF(C454="TRY",E454/$C$1,IF(C454="EUR",E454*$E$1,IF(C454="RUB",E454/#REF!,IF(C454="EGP",E454/$E$2,E454)))))</f>
        <v>27</v>
      </c>
      <c r="G454" s="15" t="str">
        <f>VLOOKUP(B454,SPECIFICATIONF!$C$2:$D$65,2,0)</f>
        <v>GLOBAL RETAIL</v>
      </c>
      <c r="H454" s="12">
        <f t="shared" si="24"/>
        <v>4</v>
      </c>
      <c r="I454" s="12">
        <f t="shared" si="25"/>
        <v>2025</v>
      </c>
    </row>
    <row r="455" spans="1:9" ht="19.5" customHeight="1" x14ac:dyDescent="0.35">
      <c r="A455" s="41">
        <v>45758</v>
      </c>
      <c r="B455" s="8" t="s">
        <v>32</v>
      </c>
      <c r="C455" s="42" t="s">
        <v>11</v>
      </c>
      <c r="D455" s="43" t="s">
        <v>30</v>
      </c>
      <c r="E455" s="46">
        <v>2509242.12</v>
      </c>
      <c r="F455" s="2">
        <f>IF(C455="GBP",E455*$C$3,IF(C455="TRY",E455/$C$1,IF(C455="EUR",E455*$E$1,IF(C455="RUB",E455/#REF!,IF(C455="EGP",E455/$E$2,E455)))))</f>
        <v>68808.758627687028</v>
      </c>
      <c r="G455" s="15" t="str">
        <f>VLOOKUP(B455,SPECIFICATIONF!$C$2:$D$65,2,0)</f>
        <v>GLOBAL HFT</v>
      </c>
      <c r="H455" s="12">
        <f t="shared" si="24"/>
        <v>4</v>
      </c>
      <c r="I455" s="12">
        <f t="shared" si="25"/>
        <v>2025</v>
      </c>
    </row>
    <row r="456" spans="1:9" ht="19.5" customHeight="1" x14ac:dyDescent="0.35">
      <c r="A456" s="41">
        <v>45758</v>
      </c>
      <c r="B456" s="8" t="s">
        <v>32</v>
      </c>
      <c r="C456" s="42" t="s">
        <v>33</v>
      </c>
      <c r="D456" s="43" t="s">
        <v>30</v>
      </c>
      <c r="E456" s="46">
        <v>14821.1</v>
      </c>
      <c r="F456" s="2">
        <f>IF(C456="GBP",E456*$C$3,IF(C456="TRY",E456/$C$1,IF(C456="EUR",E456*$E$1,IF(C456="RUB",E456/#REF!,IF(C456="EGP",E456/$E$2,E456)))))</f>
        <v>14821.1</v>
      </c>
      <c r="G456" s="15" t="str">
        <f>VLOOKUP(B456,SPECIFICATIONF!$C$2:$D$65,2,0)</f>
        <v>GLOBAL HFT</v>
      </c>
      <c r="H456" s="12">
        <f t="shared" si="24"/>
        <v>4</v>
      </c>
      <c r="I456" s="12">
        <f t="shared" si="25"/>
        <v>2025</v>
      </c>
    </row>
    <row r="457" spans="1:9" ht="19.5" customHeight="1" x14ac:dyDescent="0.35">
      <c r="A457" s="41">
        <v>45758</v>
      </c>
      <c r="B457" s="8" t="s">
        <v>32</v>
      </c>
      <c r="C457" s="42" t="s">
        <v>11</v>
      </c>
      <c r="D457" s="43" t="s">
        <v>29</v>
      </c>
      <c r="E457" s="47">
        <v>9332927034</v>
      </c>
      <c r="F457" s="2">
        <f>IF(C457="GBP",E457*$C$3,IF(C457="TRY",E457/$C$1,IF(C457="EUR",E457*$E$1,IF(C457="RUB",E457/#REF!,IF(C457="EGP",E457/$E$2,E457)))))</f>
        <v>255928719.85279799</v>
      </c>
      <c r="G457" s="15" t="str">
        <f>VLOOKUP(B457,SPECIFICATIONF!$C$2:$D$65,2,0)</f>
        <v>GLOBAL HFT</v>
      </c>
      <c r="H457" s="12">
        <f t="shared" si="24"/>
        <v>4</v>
      </c>
      <c r="I457" s="12">
        <f t="shared" si="25"/>
        <v>2025</v>
      </c>
    </row>
    <row r="458" spans="1:9" ht="19.5" customHeight="1" x14ac:dyDescent="0.35">
      <c r="A458" s="41">
        <v>45758</v>
      </c>
      <c r="B458" s="8" t="s">
        <v>32</v>
      </c>
      <c r="C458" s="42" t="s">
        <v>33</v>
      </c>
      <c r="D458" s="43" t="s">
        <v>29</v>
      </c>
      <c r="E458" s="46">
        <v>49262895</v>
      </c>
      <c r="F458" s="2">
        <f>IF(C458="GBP",E458*$C$3,IF(C458="TRY",E458/$C$1,IF(C458="EUR",E458*$E$1,IF(C458="RUB",E458/#REF!,IF(C458="EGP",E458/$E$2,E458)))))</f>
        <v>49262895</v>
      </c>
      <c r="G458" s="15" t="str">
        <f>VLOOKUP(B458,SPECIFICATIONF!$C$2:$D$65,2,0)</f>
        <v>GLOBAL HFT</v>
      </c>
      <c r="H458" s="12">
        <f t="shared" si="24"/>
        <v>4</v>
      </c>
      <c r="I458" s="12">
        <f t="shared" si="25"/>
        <v>2025</v>
      </c>
    </row>
    <row r="459" spans="1:9" ht="19.5" customHeight="1" x14ac:dyDescent="0.35">
      <c r="A459" s="41">
        <v>45758</v>
      </c>
      <c r="B459" s="8" t="s">
        <v>24</v>
      </c>
      <c r="C459" s="42" t="s">
        <v>11</v>
      </c>
      <c r="D459" s="43" t="s">
        <v>30</v>
      </c>
      <c r="E459" s="46">
        <v>0</v>
      </c>
      <c r="F459" s="2">
        <f>IF(C459="GBP",E459*$C$3,IF(C459="TRY",E459/$C$1,IF(C459="EUR",E459*$E$1,IF(C459="RUB",E459/#REF!,IF(C459="EGP",E459/$E$2,E459)))))</f>
        <v>0</v>
      </c>
      <c r="G459" s="15" t="str">
        <f>VLOOKUP(B459,SPECIFICATIONF!$C$2:$D$65,2,0)</f>
        <v>GLOBAL RETAIL</v>
      </c>
      <c r="H459" s="12">
        <f t="shared" si="24"/>
        <v>4</v>
      </c>
      <c r="I459" s="12">
        <f t="shared" si="25"/>
        <v>2025</v>
      </c>
    </row>
    <row r="460" spans="1:9" ht="19.5" customHeight="1" x14ac:dyDescent="0.35">
      <c r="A460" s="41">
        <v>45758</v>
      </c>
      <c r="B460" s="8" t="s">
        <v>24</v>
      </c>
      <c r="C460" s="42" t="s">
        <v>33</v>
      </c>
      <c r="D460" s="43" t="s">
        <v>30</v>
      </c>
      <c r="E460" s="46">
        <v>0</v>
      </c>
      <c r="F460" s="2">
        <f>IF(C460="GBP",E460*$C$3,IF(C460="TRY",E460/$C$1,IF(C460="EUR",E460*$E$1,IF(C460="RUB",E460/#REF!,IF(C460="EGP",E460/$E$2,E460)))))</f>
        <v>0</v>
      </c>
      <c r="G460" s="15" t="str">
        <f>VLOOKUP(B460,SPECIFICATIONF!$C$2:$D$65,2,0)</f>
        <v>GLOBAL RETAIL</v>
      </c>
      <c r="H460" s="12">
        <f t="shared" si="24"/>
        <v>4</v>
      </c>
      <c r="I460" s="12">
        <f t="shared" si="25"/>
        <v>2025</v>
      </c>
    </row>
    <row r="461" spans="1:9" ht="19.5" customHeight="1" x14ac:dyDescent="0.35">
      <c r="A461" s="41">
        <v>45758</v>
      </c>
      <c r="B461" s="8" t="s">
        <v>24</v>
      </c>
      <c r="C461" s="42" t="s">
        <v>11</v>
      </c>
      <c r="D461" s="43" t="s">
        <v>29</v>
      </c>
      <c r="E461" s="47">
        <v>0</v>
      </c>
      <c r="F461" s="2">
        <f>IF(C461="GBP",E461*$C$3,IF(C461="TRY",E461/$C$1,IF(C461="EUR",E461*$E$1,IF(C461="RUB",E461/#REF!,IF(C461="EGP",E461/$E$2,E461)))))</f>
        <v>0</v>
      </c>
      <c r="G461" s="15" t="str">
        <f>VLOOKUP(B461,SPECIFICATIONF!$C$2:$D$65,2,0)</f>
        <v>GLOBAL RETAIL</v>
      </c>
      <c r="H461" s="12">
        <f t="shared" si="24"/>
        <v>4</v>
      </c>
      <c r="I461" s="12">
        <f t="shared" si="25"/>
        <v>2025</v>
      </c>
    </row>
    <row r="462" spans="1:9" ht="19.5" customHeight="1" x14ac:dyDescent="0.35">
      <c r="A462" s="41">
        <v>45758</v>
      </c>
      <c r="B462" s="8" t="s">
        <v>24</v>
      </c>
      <c r="C462" s="42" t="s">
        <v>33</v>
      </c>
      <c r="D462" s="43" t="s">
        <v>29</v>
      </c>
      <c r="E462" s="46">
        <v>0</v>
      </c>
      <c r="F462" s="2">
        <f>IF(C462="GBP",E462*$C$3,IF(C462="TRY",E462/$C$1,IF(C462="EUR",E462*$E$1,IF(C462="RUB",E462/#REF!,IF(C462="EGP",E462/$E$2,E462)))))</f>
        <v>0</v>
      </c>
      <c r="G462" s="15" t="str">
        <f>VLOOKUP(B462,SPECIFICATIONF!$C$2:$D$65,2,0)</f>
        <v>GLOBAL RETAIL</v>
      </c>
      <c r="H462" s="12">
        <f t="shared" si="24"/>
        <v>4</v>
      </c>
      <c r="I462" s="12">
        <f t="shared" si="25"/>
        <v>2025</v>
      </c>
    </row>
    <row r="463" spans="1:9" ht="19.5" customHeight="1" x14ac:dyDescent="0.35">
      <c r="A463" s="41">
        <v>45759</v>
      </c>
      <c r="B463" s="8" t="s">
        <v>32</v>
      </c>
      <c r="C463" s="42" t="s">
        <v>11</v>
      </c>
      <c r="D463" s="43" t="s">
        <v>30</v>
      </c>
      <c r="E463" s="46">
        <v>2602650.94</v>
      </c>
      <c r="F463" s="2">
        <f>IF(C463="GBP",E463*$C$3,IF(C463="TRY",E463/$C$1,IF(C463="EUR",E463*$E$1,IF(C463="RUB",E463/#REF!,IF(C463="EGP",E463/$E$2,E463)))))</f>
        <v>71370.227247174829</v>
      </c>
      <c r="G463" s="15" t="str">
        <f>VLOOKUP(B463,SPECIFICATIONF!$C$2:$D$65,2,0)</f>
        <v>GLOBAL HFT</v>
      </c>
      <c r="H463" s="12">
        <f t="shared" si="24"/>
        <v>4</v>
      </c>
      <c r="I463" s="12">
        <f t="shared" si="25"/>
        <v>2025</v>
      </c>
    </row>
    <row r="464" spans="1:9" ht="19.5" customHeight="1" x14ac:dyDescent="0.35">
      <c r="A464" s="41">
        <v>45759</v>
      </c>
      <c r="B464" s="8" t="s">
        <v>32</v>
      </c>
      <c r="C464" s="42" t="s">
        <v>33</v>
      </c>
      <c r="D464" s="43" t="s">
        <v>30</v>
      </c>
      <c r="E464" s="46">
        <v>17007.740000000002</v>
      </c>
      <c r="F464" s="2">
        <f>IF(C464="GBP",E464*$C$3,IF(C464="TRY",E464/$C$1,IF(C464="EUR",E464*$E$1,IF(C464="RUB",E464/#REF!,IF(C464="EGP",E464/$E$2,E464)))))</f>
        <v>17007.740000000002</v>
      </c>
      <c r="G464" s="15" t="str">
        <f>VLOOKUP(B464,SPECIFICATIONF!$C$2:$D$65,2,0)</f>
        <v>GLOBAL HFT</v>
      </c>
      <c r="H464" s="12">
        <f t="shared" si="24"/>
        <v>4</v>
      </c>
      <c r="I464" s="12">
        <f t="shared" si="25"/>
        <v>2025</v>
      </c>
    </row>
    <row r="465" spans="1:9" ht="19.5" customHeight="1" x14ac:dyDescent="0.35">
      <c r="A465" s="41">
        <v>45759</v>
      </c>
      <c r="B465" s="8" t="s">
        <v>32</v>
      </c>
      <c r="C465" s="42" t="s">
        <v>11</v>
      </c>
      <c r="D465" s="43" t="s">
        <v>29</v>
      </c>
      <c r="E465" s="47">
        <v>9912021615</v>
      </c>
      <c r="F465" s="2">
        <f>IF(C465="GBP",E465*$C$3,IF(C465="TRY",E465/$C$1,IF(C465="EUR",E465*$E$1,IF(C465="RUB",E465/#REF!,IF(C465="EGP",E465/$E$2,E465)))))</f>
        <v>271808725.58402276</v>
      </c>
      <c r="G465" s="15" t="str">
        <f>VLOOKUP(B465,SPECIFICATIONF!$C$2:$D$65,2,0)</f>
        <v>GLOBAL HFT</v>
      </c>
      <c r="H465" s="12">
        <f t="shared" si="24"/>
        <v>4</v>
      </c>
      <c r="I465" s="12">
        <f t="shared" si="25"/>
        <v>2025</v>
      </c>
    </row>
    <row r="466" spans="1:9" ht="19.5" customHeight="1" x14ac:dyDescent="0.35">
      <c r="A466" s="41">
        <v>45759</v>
      </c>
      <c r="B466" s="8" t="s">
        <v>32</v>
      </c>
      <c r="C466" s="42" t="s">
        <v>33</v>
      </c>
      <c r="D466" s="43" t="s">
        <v>29</v>
      </c>
      <c r="E466" s="46">
        <v>56235955</v>
      </c>
      <c r="F466" s="2">
        <f>IF(C466="GBP",E466*$C$3,IF(C466="TRY",E466/$C$1,IF(C466="EUR",E466*$E$1,IF(C466="RUB",E466/#REF!,IF(C466="EGP",E466/$E$2,E466)))))</f>
        <v>56235955</v>
      </c>
      <c r="G466" s="15" t="str">
        <f>VLOOKUP(B466,SPECIFICATIONF!$C$2:$D$65,2,0)</f>
        <v>GLOBAL HFT</v>
      </c>
      <c r="H466" s="12">
        <f t="shared" si="24"/>
        <v>4</v>
      </c>
      <c r="I466" s="12">
        <f t="shared" si="25"/>
        <v>2025</v>
      </c>
    </row>
    <row r="467" spans="1:9" ht="19.5" customHeight="1" x14ac:dyDescent="0.35">
      <c r="A467" s="41">
        <v>45759</v>
      </c>
      <c r="B467" s="8" t="s">
        <v>24</v>
      </c>
      <c r="C467" s="42" t="s">
        <v>11</v>
      </c>
      <c r="D467" s="43" t="s">
        <v>30</v>
      </c>
      <c r="E467" s="46">
        <v>0</v>
      </c>
      <c r="F467" s="2">
        <f>IF(C467="GBP",E467*$C$3,IF(C467="TRY",E467/$C$1,IF(C467="EUR",E467*$E$1,IF(C467="RUB",E467/#REF!,IF(C467="EGP",E467/$E$2,E467)))))</f>
        <v>0</v>
      </c>
      <c r="G467" s="15" t="str">
        <f>VLOOKUP(B467,SPECIFICATIONF!$C$2:$D$65,2,0)</f>
        <v>GLOBAL RETAIL</v>
      </c>
      <c r="H467" s="12">
        <f t="shared" si="24"/>
        <v>4</v>
      </c>
      <c r="I467" s="12">
        <f t="shared" si="25"/>
        <v>2025</v>
      </c>
    </row>
    <row r="468" spans="1:9" ht="19.5" customHeight="1" x14ac:dyDescent="0.35">
      <c r="A468" s="41">
        <v>45759</v>
      </c>
      <c r="B468" s="8" t="s">
        <v>24</v>
      </c>
      <c r="C468" s="42" t="s">
        <v>33</v>
      </c>
      <c r="D468" s="43" t="s">
        <v>30</v>
      </c>
      <c r="E468" s="46">
        <v>1.2</v>
      </c>
      <c r="F468" s="2">
        <f>IF(C468="GBP",E468*$C$3,IF(C468="TRY",E468/$C$1,IF(C468="EUR",E468*$E$1,IF(C468="RUB",E468/#REF!,IF(C468="EGP",E468/$E$2,E468)))))</f>
        <v>1.2</v>
      </c>
      <c r="G468" s="15" t="str">
        <f>VLOOKUP(B468,SPECIFICATIONF!$C$2:$D$65,2,0)</f>
        <v>GLOBAL RETAIL</v>
      </c>
      <c r="H468" s="12">
        <f t="shared" si="24"/>
        <v>4</v>
      </c>
      <c r="I468" s="12">
        <f t="shared" si="25"/>
        <v>2025</v>
      </c>
    </row>
    <row r="469" spans="1:9" ht="19.5" customHeight="1" x14ac:dyDescent="0.35">
      <c r="A469" s="41">
        <v>45759</v>
      </c>
      <c r="B469" s="8" t="s">
        <v>24</v>
      </c>
      <c r="C469" s="42" t="s">
        <v>11</v>
      </c>
      <c r="D469" s="43" t="s">
        <v>29</v>
      </c>
      <c r="E469" s="47">
        <v>0</v>
      </c>
      <c r="F469" s="2">
        <f>IF(C469="GBP",E469*$C$3,IF(C469="TRY",E469/$C$1,IF(C469="EUR",E469*$E$1,IF(C469="RUB",E469/#REF!,IF(C469="EGP",E469/$E$2,E469)))))</f>
        <v>0</v>
      </c>
      <c r="G469" s="15" t="str">
        <f>VLOOKUP(B469,SPECIFICATIONF!$C$2:$D$65,2,0)</f>
        <v>GLOBAL RETAIL</v>
      </c>
      <c r="H469" s="12">
        <f t="shared" si="24"/>
        <v>4</v>
      </c>
      <c r="I469" s="12">
        <f t="shared" si="25"/>
        <v>2025</v>
      </c>
    </row>
    <row r="470" spans="1:9" ht="19.5" customHeight="1" x14ac:dyDescent="0.35">
      <c r="A470" s="41">
        <v>45759</v>
      </c>
      <c r="B470" s="8" t="s">
        <v>24</v>
      </c>
      <c r="C470" s="42" t="s">
        <v>33</v>
      </c>
      <c r="D470" s="43" t="s">
        <v>29</v>
      </c>
      <c r="E470" s="46">
        <v>1200</v>
      </c>
      <c r="F470" s="2">
        <f>IF(C470="GBP",E470*$C$3,IF(C470="TRY",E470/$C$1,IF(C470="EUR",E470*$E$1,IF(C470="RUB",E470/#REF!,IF(C470="EGP",E470/$E$2,E470)))))</f>
        <v>1200</v>
      </c>
      <c r="G470" s="15" t="str">
        <f>VLOOKUP(B470,SPECIFICATIONF!$C$2:$D$65,2,0)</f>
        <v>GLOBAL RETAIL</v>
      </c>
      <c r="H470" s="12">
        <f t="shared" si="24"/>
        <v>4</v>
      </c>
      <c r="I470" s="12">
        <f t="shared" si="25"/>
        <v>2025</v>
      </c>
    </row>
    <row r="471" spans="1:9" ht="19.5" customHeight="1" x14ac:dyDescent="0.35">
      <c r="A471" s="41">
        <v>45760</v>
      </c>
      <c r="B471" s="8" t="s">
        <v>32</v>
      </c>
      <c r="C471" s="42" t="s">
        <v>11</v>
      </c>
      <c r="D471" s="43" t="s">
        <v>30</v>
      </c>
      <c r="E471" s="46">
        <v>2258278.66</v>
      </c>
      <c r="F471" s="2">
        <f>IF(C471="GBP",E471*$C$3,IF(C471="TRY",E471/$C$1,IF(C471="EUR",E471*$E$1,IF(C471="RUB",E471/#REF!,IF(C471="EGP",E471/$E$2,E471)))))</f>
        <v>61926.806501238112</v>
      </c>
      <c r="G471" s="15" t="str">
        <f>VLOOKUP(B471,SPECIFICATIONF!$C$2:$D$65,2,0)</f>
        <v>GLOBAL HFT</v>
      </c>
      <c r="H471" s="12">
        <f t="shared" si="24"/>
        <v>4</v>
      </c>
      <c r="I471" s="12">
        <f t="shared" si="25"/>
        <v>2025</v>
      </c>
    </row>
    <row r="472" spans="1:9" ht="19.5" customHeight="1" x14ac:dyDescent="0.35">
      <c r="A472" s="41">
        <v>45760</v>
      </c>
      <c r="B472" s="8" t="s">
        <v>32</v>
      </c>
      <c r="C472" s="42" t="s">
        <v>33</v>
      </c>
      <c r="D472" s="43" t="s">
        <v>30</v>
      </c>
      <c r="E472" s="46">
        <v>13882.29</v>
      </c>
      <c r="F472" s="2">
        <f>IF(C472="GBP",E472*$C$3,IF(C472="TRY",E472/$C$1,IF(C472="EUR",E472*$E$1,IF(C472="RUB",E472/#REF!,IF(C472="EGP",E472/$E$2,E472)))))</f>
        <v>13882.29</v>
      </c>
      <c r="G472" s="15" t="str">
        <f>VLOOKUP(B472,SPECIFICATIONF!$C$2:$D$65,2,0)</f>
        <v>GLOBAL HFT</v>
      </c>
      <c r="H472" s="12">
        <f t="shared" si="24"/>
        <v>4</v>
      </c>
      <c r="I472" s="12">
        <f t="shared" si="25"/>
        <v>2025</v>
      </c>
    </row>
    <row r="473" spans="1:9" ht="19.5" customHeight="1" x14ac:dyDescent="0.35">
      <c r="A473" s="41">
        <v>45760</v>
      </c>
      <c r="B473" s="8" t="s">
        <v>32</v>
      </c>
      <c r="C473" s="42" t="s">
        <v>11</v>
      </c>
      <c r="D473" s="43" t="s">
        <v>29</v>
      </c>
      <c r="E473" s="47">
        <v>8759138536</v>
      </c>
      <c r="F473" s="2">
        <f>IF(C473="GBP",E473*$C$3,IF(C473="TRY",E473/$C$1,IF(C473="EUR",E473*$E$1,IF(C473="RUB",E473/#REF!,IF(C473="EGP",E473/$E$2,E473)))))</f>
        <v>240194218.20884141</v>
      </c>
      <c r="G473" s="15" t="str">
        <f>VLOOKUP(B473,SPECIFICATIONF!$C$2:$D$65,2,0)</f>
        <v>GLOBAL HFT</v>
      </c>
      <c r="H473" s="12">
        <f t="shared" si="24"/>
        <v>4</v>
      </c>
      <c r="I473" s="12">
        <f t="shared" si="25"/>
        <v>2025</v>
      </c>
    </row>
    <row r="474" spans="1:9" ht="19.5" customHeight="1" x14ac:dyDescent="0.35">
      <c r="A474" s="41">
        <v>45760</v>
      </c>
      <c r="B474" s="8" t="s">
        <v>32</v>
      </c>
      <c r="C474" s="42" t="s">
        <v>33</v>
      </c>
      <c r="D474" s="43" t="s">
        <v>29</v>
      </c>
      <c r="E474" s="46">
        <v>46423771</v>
      </c>
      <c r="F474" s="2">
        <f>IF(C474="GBP",E474*$C$3,IF(C474="TRY",E474/$C$1,IF(C474="EUR",E474*$E$1,IF(C474="RUB",E474/#REF!,IF(C474="EGP",E474/$E$2,E474)))))</f>
        <v>46423771</v>
      </c>
      <c r="G474" s="15" t="str">
        <f>VLOOKUP(B474,SPECIFICATIONF!$C$2:$D$65,2,0)</f>
        <v>GLOBAL HFT</v>
      </c>
      <c r="H474" s="12">
        <f t="shared" si="24"/>
        <v>4</v>
      </c>
      <c r="I474" s="12">
        <f t="shared" si="25"/>
        <v>2025</v>
      </c>
    </row>
    <row r="475" spans="1:9" ht="19.5" customHeight="1" x14ac:dyDescent="0.35">
      <c r="A475" s="41">
        <v>45760</v>
      </c>
      <c r="B475" s="8" t="s">
        <v>24</v>
      </c>
      <c r="C475" s="42" t="s">
        <v>11</v>
      </c>
      <c r="D475" s="43" t="s">
        <v>30</v>
      </c>
      <c r="E475" s="46">
        <v>0</v>
      </c>
      <c r="F475" s="2">
        <f>IF(C475="GBP",E475*$C$3,IF(C475="TRY",E475/$C$1,IF(C475="EUR",E475*$E$1,IF(C475="RUB",E475/#REF!,IF(C475="EGP",E475/$E$2,E475)))))</f>
        <v>0</v>
      </c>
      <c r="G475" s="15" t="str">
        <f>VLOOKUP(B475,SPECIFICATIONF!$C$2:$D$65,2,0)</f>
        <v>GLOBAL RETAIL</v>
      </c>
      <c r="H475" s="12">
        <f t="shared" si="24"/>
        <v>4</v>
      </c>
      <c r="I475" s="12">
        <f t="shared" si="25"/>
        <v>2025</v>
      </c>
    </row>
    <row r="476" spans="1:9" ht="19.5" customHeight="1" x14ac:dyDescent="0.35">
      <c r="A476" s="41">
        <v>45760</v>
      </c>
      <c r="B476" s="8" t="s">
        <v>24</v>
      </c>
      <c r="C476" s="42" t="s">
        <v>33</v>
      </c>
      <c r="D476" s="43" t="s">
        <v>30</v>
      </c>
      <c r="E476" s="46">
        <v>0</v>
      </c>
      <c r="F476" s="2">
        <f>IF(C476="GBP",E476*$C$3,IF(C476="TRY",E476/$C$1,IF(C476="EUR",E476*$E$1,IF(C476="RUB",E476/#REF!,IF(C476="EGP",E476/$E$2,E476)))))</f>
        <v>0</v>
      </c>
      <c r="G476" s="15" t="str">
        <f>VLOOKUP(B476,SPECIFICATIONF!$C$2:$D$65,2,0)</f>
        <v>GLOBAL RETAIL</v>
      </c>
      <c r="H476" s="12">
        <f t="shared" si="24"/>
        <v>4</v>
      </c>
      <c r="I476" s="12">
        <f t="shared" si="25"/>
        <v>2025</v>
      </c>
    </row>
    <row r="477" spans="1:9" ht="19.5" customHeight="1" x14ac:dyDescent="0.35">
      <c r="A477" s="41">
        <v>45760</v>
      </c>
      <c r="B477" s="8" t="s">
        <v>24</v>
      </c>
      <c r="C477" s="42" t="s">
        <v>11</v>
      </c>
      <c r="D477" s="43" t="s">
        <v>29</v>
      </c>
      <c r="E477" s="47">
        <v>0</v>
      </c>
      <c r="F477" s="2">
        <f>IF(C477="GBP",E477*$C$3,IF(C477="TRY",E477/$C$1,IF(C477="EUR",E477*$E$1,IF(C477="RUB",E477/#REF!,IF(C477="EGP",E477/$E$2,E477)))))</f>
        <v>0</v>
      </c>
      <c r="G477" s="15" t="str">
        <f>VLOOKUP(B477,SPECIFICATIONF!$C$2:$D$65,2,0)</f>
        <v>GLOBAL RETAIL</v>
      </c>
      <c r="H477" s="12">
        <f t="shared" si="24"/>
        <v>4</v>
      </c>
      <c r="I477" s="12">
        <f t="shared" si="25"/>
        <v>2025</v>
      </c>
    </row>
    <row r="478" spans="1:9" ht="19.5" customHeight="1" x14ac:dyDescent="0.35">
      <c r="A478" s="41">
        <v>45760</v>
      </c>
      <c r="B478" s="8" t="s">
        <v>24</v>
      </c>
      <c r="C478" s="42" t="s">
        <v>33</v>
      </c>
      <c r="D478" s="43" t="s">
        <v>29</v>
      </c>
      <c r="E478" s="46">
        <v>0</v>
      </c>
      <c r="F478" s="2">
        <f>IF(C478="GBP",E478*$C$3,IF(C478="TRY",E478/$C$1,IF(C478="EUR",E478*$E$1,IF(C478="RUB",E478/#REF!,IF(C478="EGP",E478/$E$2,E478)))))</f>
        <v>0</v>
      </c>
      <c r="G478" s="15" t="str">
        <f>VLOOKUP(B478,SPECIFICATIONF!$C$2:$D$65,2,0)</f>
        <v>GLOBAL RETAIL</v>
      </c>
      <c r="H478" s="12">
        <f t="shared" si="24"/>
        <v>4</v>
      </c>
      <c r="I478" s="12">
        <f t="shared" si="25"/>
        <v>2025</v>
      </c>
    </row>
    <row r="479" spans="1:9" ht="19.5" customHeight="1" x14ac:dyDescent="0.35">
      <c r="A479" s="41">
        <v>45761</v>
      </c>
      <c r="B479" s="8" t="s">
        <v>32</v>
      </c>
      <c r="C479" s="42" t="s">
        <v>11</v>
      </c>
      <c r="D479" s="43" t="s">
        <v>30</v>
      </c>
      <c r="E479" s="46">
        <v>2924394.8</v>
      </c>
      <c r="F479" s="2">
        <f>IF(C479="GBP",E479*$C$3,IF(C479="TRY",E479/$C$1,IF(C479="EUR",E479*$E$1,IF(C479="RUB",E479/#REF!,IF(C479="EGP",E479/$E$2,E479)))))</f>
        <v>80193.128563162754</v>
      </c>
      <c r="G479" s="15" t="str">
        <f>VLOOKUP(B479,SPECIFICATIONF!$C$2:$D$65,2,0)</f>
        <v>GLOBAL HFT</v>
      </c>
      <c r="H479" s="12">
        <f t="shared" si="24"/>
        <v>4</v>
      </c>
      <c r="I479" s="12">
        <f t="shared" si="25"/>
        <v>2025</v>
      </c>
    </row>
    <row r="480" spans="1:9" ht="19.5" customHeight="1" x14ac:dyDescent="0.35">
      <c r="A480" s="41">
        <v>45761</v>
      </c>
      <c r="B480" s="8" t="s">
        <v>32</v>
      </c>
      <c r="C480" s="42" t="s">
        <v>33</v>
      </c>
      <c r="D480" s="43" t="s">
        <v>30</v>
      </c>
      <c r="E480" s="46">
        <v>15791.47</v>
      </c>
      <c r="F480" s="2">
        <f>IF(C480="GBP",E480*$C$3,IF(C480="TRY",E480/$C$1,IF(C480="EUR",E480*$E$1,IF(C480="RUB",E480/#REF!,IF(C480="EGP",E480/$E$2,E480)))))</f>
        <v>15791.47</v>
      </c>
      <c r="G480" s="15" t="str">
        <f>VLOOKUP(B480,SPECIFICATIONF!$C$2:$D$65,2,0)</f>
        <v>GLOBAL HFT</v>
      </c>
      <c r="H480" s="12">
        <f t="shared" si="24"/>
        <v>4</v>
      </c>
      <c r="I480" s="12">
        <f t="shared" si="25"/>
        <v>2025</v>
      </c>
    </row>
    <row r="481" spans="1:9" ht="19.5" customHeight="1" x14ac:dyDescent="0.35">
      <c r="A481" s="41">
        <v>45761</v>
      </c>
      <c r="B481" s="8" t="s">
        <v>32</v>
      </c>
      <c r="C481" s="42" t="s">
        <v>11</v>
      </c>
      <c r="D481" s="43" t="s">
        <v>29</v>
      </c>
      <c r="E481" s="47">
        <v>10450305130</v>
      </c>
      <c r="F481" s="2">
        <f>IF(C481="GBP",E481*$C$3,IF(C481="TRY",E481/$C$1,IF(C481="EUR",E481*$E$1,IF(C481="RUB",E481/#REF!,IF(C481="EGP",E481/$E$2,E481)))))</f>
        <v>286569605.03909022</v>
      </c>
      <c r="G481" s="15" t="str">
        <f>VLOOKUP(B481,SPECIFICATIONF!$C$2:$D$65,2,0)</f>
        <v>GLOBAL HFT</v>
      </c>
      <c r="H481" s="12">
        <f t="shared" si="24"/>
        <v>4</v>
      </c>
      <c r="I481" s="12">
        <f t="shared" si="25"/>
        <v>2025</v>
      </c>
    </row>
    <row r="482" spans="1:9" ht="19.5" customHeight="1" x14ac:dyDescent="0.35">
      <c r="A482" s="41">
        <v>45761</v>
      </c>
      <c r="B482" s="8" t="s">
        <v>32</v>
      </c>
      <c r="C482" s="42" t="s">
        <v>33</v>
      </c>
      <c r="D482" s="43" t="s">
        <v>29</v>
      </c>
      <c r="E482" s="46">
        <v>54482545</v>
      </c>
      <c r="F482" s="2">
        <f>IF(C482="GBP",E482*$C$3,IF(C482="TRY",E482/$C$1,IF(C482="EUR",E482*$E$1,IF(C482="RUB",E482/#REF!,IF(C482="EGP",E482/$E$2,E482)))))</f>
        <v>54482545</v>
      </c>
      <c r="G482" s="15" t="str">
        <f>VLOOKUP(B482,SPECIFICATIONF!$C$2:$D$65,2,0)</f>
        <v>GLOBAL HFT</v>
      </c>
      <c r="H482" s="12">
        <f t="shared" si="24"/>
        <v>4</v>
      </c>
      <c r="I482" s="12">
        <f t="shared" si="25"/>
        <v>2025</v>
      </c>
    </row>
    <row r="483" spans="1:9" ht="19.5" customHeight="1" x14ac:dyDescent="0.35">
      <c r="A483" s="41">
        <v>45761</v>
      </c>
      <c r="B483" s="8" t="s">
        <v>24</v>
      </c>
      <c r="C483" s="42" t="s">
        <v>11</v>
      </c>
      <c r="D483" s="43" t="s">
        <v>30</v>
      </c>
      <c r="E483" s="46">
        <v>0.31</v>
      </c>
      <c r="F483" s="2">
        <f>IF(C483="GBP",E483*$C$3,IF(C483="TRY",E483/$C$1,IF(C483="EUR",E483*$E$1,IF(C483="RUB",E483/#REF!,IF(C483="EGP",E483/$E$2,E483)))))</f>
        <v>8.5008596837131741E-3</v>
      </c>
      <c r="G483" s="15" t="str">
        <f>VLOOKUP(B483,SPECIFICATIONF!$C$2:$D$65,2,0)</f>
        <v>GLOBAL RETAIL</v>
      </c>
      <c r="H483" s="12">
        <f t="shared" si="24"/>
        <v>4</v>
      </c>
      <c r="I483" s="12">
        <f t="shared" si="25"/>
        <v>2025</v>
      </c>
    </row>
    <row r="484" spans="1:9" ht="19.5" customHeight="1" x14ac:dyDescent="0.35">
      <c r="A484" s="41">
        <v>45761</v>
      </c>
      <c r="B484" s="8" t="s">
        <v>24</v>
      </c>
      <c r="C484" s="42" t="s">
        <v>33</v>
      </c>
      <c r="D484" s="43" t="s">
        <v>30</v>
      </c>
      <c r="E484" s="46">
        <v>0</v>
      </c>
      <c r="F484" s="2">
        <f>IF(C484="GBP",E484*$C$3,IF(C484="TRY",E484/$C$1,IF(C484="EUR",E484*$E$1,IF(C484="RUB",E484/#REF!,IF(C484="EGP",E484/$E$2,E484)))))</f>
        <v>0</v>
      </c>
      <c r="G484" s="15" t="str">
        <f>VLOOKUP(B484,SPECIFICATIONF!$C$2:$D$65,2,0)</f>
        <v>GLOBAL RETAIL</v>
      </c>
      <c r="H484" s="12">
        <f t="shared" si="24"/>
        <v>4</v>
      </c>
      <c r="I484" s="12">
        <f t="shared" si="25"/>
        <v>2025</v>
      </c>
    </row>
    <row r="485" spans="1:9" ht="19.5" customHeight="1" x14ac:dyDescent="0.35">
      <c r="A485" s="41">
        <v>45761</v>
      </c>
      <c r="B485" s="8" t="s">
        <v>24</v>
      </c>
      <c r="C485" s="42" t="s">
        <v>11</v>
      </c>
      <c r="D485" s="43" t="s">
        <v>29</v>
      </c>
      <c r="E485" s="47">
        <v>259</v>
      </c>
      <c r="F485" s="2">
        <f>IF(C485="GBP",E485*$C$3,IF(C485="TRY",E485/$C$1,IF(C485="EUR",E485*$E$1,IF(C485="RUB",E485/#REF!,IF(C485="EGP",E485/$E$2,E485)))))</f>
        <v>7.1023311551022976</v>
      </c>
      <c r="G485" s="15" t="str">
        <f>VLOOKUP(B485,SPECIFICATIONF!$C$2:$D$65,2,0)</f>
        <v>GLOBAL RETAIL</v>
      </c>
      <c r="H485" s="12">
        <f t="shared" si="24"/>
        <v>4</v>
      </c>
      <c r="I485" s="12">
        <f t="shared" si="25"/>
        <v>2025</v>
      </c>
    </row>
    <row r="486" spans="1:9" ht="19.5" customHeight="1" x14ac:dyDescent="0.35">
      <c r="A486" s="41">
        <v>45761</v>
      </c>
      <c r="B486" s="8" t="s">
        <v>24</v>
      </c>
      <c r="C486" s="42" t="s">
        <v>33</v>
      </c>
      <c r="D486" s="43" t="s">
        <v>29</v>
      </c>
      <c r="E486" s="46">
        <v>0</v>
      </c>
      <c r="F486" s="2">
        <f>IF(C486="GBP",E486*$C$3,IF(C486="TRY",E486/$C$1,IF(C486="EUR",E486*$E$1,IF(C486="RUB",E486/#REF!,IF(C486="EGP",E486/$E$2,E486)))))</f>
        <v>0</v>
      </c>
      <c r="G486" s="15" t="str">
        <f>VLOOKUP(B486,SPECIFICATIONF!$C$2:$D$65,2,0)</f>
        <v>GLOBAL RETAIL</v>
      </c>
      <c r="H486" s="12">
        <f t="shared" ref="H486:H549" si="26">MONTH(A486)</f>
        <v>4</v>
      </c>
      <c r="I486" s="12">
        <f t="shared" ref="I486:I549" si="27">YEAR(A486)</f>
        <v>2025</v>
      </c>
    </row>
    <row r="487" spans="1:9" ht="19.5" customHeight="1" x14ac:dyDescent="0.35">
      <c r="A487" s="41">
        <v>45762</v>
      </c>
      <c r="B487" s="8" t="s">
        <v>32</v>
      </c>
      <c r="C487" s="42" t="s">
        <v>11</v>
      </c>
      <c r="D487" s="43" t="s">
        <v>30</v>
      </c>
      <c r="E487" s="46">
        <v>2287303.5699999998</v>
      </c>
      <c r="F487" s="2">
        <f>IF(C487="GBP",E487*$C$3,IF(C487="TRY",E487/$C$1,IF(C487="EUR",E487*$E$1,IF(C487="RUB",E487/#REF!,IF(C487="EGP",E487/$E$2,E487)))))</f>
        <v>62722.731298794242</v>
      </c>
      <c r="G487" s="15" t="str">
        <f>VLOOKUP(B487,SPECIFICATIONF!$C$2:$D$65,2,0)</f>
        <v>GLOBAL HFT</v>
      </c>
      <c r="H487" s="12">
        <f t="shared" si="26"/>
        <v>4</v>
      </c>
      <c r="I487" s="12">
        <f t="shared" si="27"/>
        <v>2025</v>
      </c>
    </row>
    <row r="488" spans="1:9" ht="19.5" customHeight="1" x14ac:dyDescent="0.35">
      <c r="A488" s="41">
        <v>45762</v>
      </c>
      <c r="B488" s="8" t="s">
        <v>32</v>
      </c>
      <c r="C488" s="42" t="s">
        <v>33</v>
      </c>
      <c r="D488" s="43" t="s">
        <v>30</v>
      </c>
      <c r="E488" s="46">
        <v>11389.98</v>
      </c>
      <c r="F488" s="2">
        <f>IF(C488="GBP",E488*$C$3,IF(C488="TRY",E488/$C$1,IF(C488="EUR",E488*$E$1,IF(C488="RUB",E488/#REF!,IF(C488="EGP",E488/$E$2,E488)))))</f>
        <v>11389.98</v>
      </c>
      <c r="G488" s="15" t="str">
        <f>VLOOKUP(B488,SPECIFICATIONF!$C$2:$D$65,2,0)</f>
        <v>GLOBAL HFT</v>
      </c>
      <c r="H488" s="12">
        <f t="shared" si="26"/>
        <v>4</v>
      </c>
      <c r="I488" s="12">
        <f t="shared" si="27"/>
        <v>2025</v>
      </c>
    </row>
    <row r="489" spans="1:9" ht="19.5" customHeight="1" x14ac:dyDescent="0.35">
      <c r="A489" s="41">
        <v>45762</v>
      </c>
      <c r="B489" s="8" t="s">
        <v>32</v>
      </c>
      <c r="C489" s="42" t="s">
        <v>11</v>
      </c>
      <c r="D489" s="43" t="s">
        <v>29</v>
      </c>
      <c r="E489" s="47">
        <v>8535353129</v>
      </c>
      <c r="F489" s="2">
        <f>IF(C489="GBP",E489*$C$3,IF(C489="TRY",E489/$C$1,IF(C489="EUR",E489*$E$1,IF(C489="RUB",E489/#REF!,IF(C489="EGP",E489/$E$2,E489)))))</f>
        <v>234057546.13087484</v>
      </c>
      <c r="G489" s="15" t="str">
        <f>VLOOKUP(B489,SPECIFICATIONF!$C$2:$D$65,2,0)</f>
        <v>GLOBAL HFT</v>
      </c>
      <c r="H489" s="12">
        <f t="shared" si="26"/>
        <v>4</v>
      </c>
      <c r="I489" s="12">
        <f t="shared" si="27"/>
        <v>2025</v>
      </c>
    </row>
    <row r="490" spans="1:9" ht="19.5" customHeight="1" x14ac:dyDescent="0.35">
      <c r="A490" s="41">
        <v>45762</v>
      </c>
      <c r="B490" s="8" t="s">
        <v>32</v>
      </c>
      <c r="C490" s="42" t="s">
        <v>33</v>
      </c>
      <c r="D490" s="43" t="s">
        <v>29</v>
      </c>
      <c r="E490" s="46">
        <v>40029714</v>
      </c>
      <c r="F490" s="2">
        <f>IF(C490="GBP",E490*$C$3,IF(C490="TRY",E490/$C$1,IF(C490="EUR",E490*$E$1,IF(C490="RUB",E490/#REF!,IF(C490="EGP",E490/$E$2,E490)))))</f>
        <v>40029714</v>
      </c>
      <c r="G490" s="15" t="str">
        <f>VLOOKUP(B490,SPECIFICATIONF!$C$2:$D$65,2,0)</f>
        <v>GLOBAL HFT</v>
      </c>
      <c r="H490" s="12">
        <f t="shared" si="26"/>
        <v>4</v>
      </c>
      <c r="I490" s="12">
        <f t="shared" si="27"/>
        <v>2025</v>
      </c>
    </row>
    <row r="491" spans="1:9" ht="19.5" customHeight="1" x14ac:dyDescent="0.35">
      <c r="A491" s="41">
        <v>45762</v>
      </c>
      <c r="B491" s="8" t="s">
        <v>24</v>
      </c>
      <c r="C491" s="42" t="s">
        <v>11</v>
      </c>
      <c r="D491" s="43" t="s">
        <v>30</v>
      </c>
      <c r="E491" s="46">
        <v>0.83</v>
      </c>
      <c r="F491" s="2">
        <f>IF(C491="GBP",E491*$C$3,IF(C491="TRY",E491/$C$1,IF(C491="EUR",E491*$E$1,IF(C491="RUB",E491/#REF!,IF(C491="EGP",E491/$E$2,E491)))))</f>
        <v>2.2760366249941724E-2</v>
      </c>
      <c r="G491" s="15" t="str">
        <f>VLOOKUP(B491,SPECIFICATIONF!$C$2:$D$65,2,0)</f>
        <v>GLOBAL RETAIL</v>
      </c>
      <c r="H491" s="12">
        <f t="shared" si="26"/>
        <v>4</v>
      </c>
      <c r="I491" s="12">
        <f t="shared" si="27"/>
        <v>2025</v>
      </c>
    </row>
    <row r="492" spans="1:9" ht="19.5" customHeight="1" x14ac:dyDescent="0.35">
      <c r="A492" s="41">
        <v>45762</v>
      </c>
      <c r="B492" s="8" t="s">
        <v>24</v>
      </c>
      <c r="C492" s="42" t="s">
        <v>33</v>
      </c>
      <c r="D492" s="43" t="s">
        <v>30</v>
      </c>
      <c r="E492" s="46">
        <v>0.02</v>
      </c>
      <c r="F492" s="2">
        <f>IF(C492="GBP",E492*$C$3,IF(C492="TRY",E492/$C$1,IF(C492="EUR",E492*$E$1,IF(C492="RUB",E492/#REF!,IF(C492="EGP",E492/$E$2,E492)))))</f>
        <v>0.02</v>
      </c>
      <c r="G492" s="15" t="str">
        <f>VLOOKUP(B492,SPECIFICATIONF!$C$2:$D$65,2,0)</f>
        <v>GLOBAL RETAIL</v>
      </c>
      <c r="H492" s="12">
        <f t="shared" si="26"/>
        <v>4</v>
      </c>
      <c r="I492" s="12">
        <f t="shared" si="27"/>
        <v>2025</v>
      </c>
    </row>
    <row r="493" spans="1:9" ht="19.5" customHeight="1" x14ac:dyDescent="0.35">
      <c r="A493" s="41">
        <v>45762</v>
      </c>
      <c r="B493" s="8" t="s">
        <v>24</v>
      </c>
      <c r="C493" s="42" t="s">
        <v>11</v>
      </c>
      <c r="D493" s="43" t="s">
        <v>29</v>
      </c>
      <c r="E493" s="47">
        <v>695</v>
      </c>
      <c r="F493" s="2">
        <f>IF(C493="GBP",E493*$C$3,IF(C493="TRY",E493/$C$1,IF(C493="EUR",E493*$E$1,IF(C493="RUB",E493/#REF!,IF(C493="EGP",E493/$E$2,E493)))))</f>
        <v>19.0583789683247</v>
      </c>
      <c r="G493" s="15" t="str">
        <f>VLOOKUP(B493,SPECIFICATIONF!$C$2:$D$65,2,0)</f>
        <v>GLOBAL RETAIL</v>
      </c>
      <c r="H493" s="12">
        <f t="shared" si="26"/>
        <v>4</v>
      </c>
      <c r="I493" s="12">
        <f t="shared" si="27"/>
        <v>2025</v>
      </c>
    </row>
    <row r="494" spans="1:9" ht="19.5" customHeight="1" x14ac:dyDescent="0.35">
      <c r="A494" s="41">
        <v>45762</v>
      </c>
      <c r="B494" s="8" t="s">
        <v>24</v>
      </c>
      <c r="C494" s="42" t="s">
        <v>33</v>
      </c>
      <c r="D494" s="43" t="s">
        <v>29</v>
      </c>
      <c r="E494" s="46">
        <v>13</v>
      </c>
      <c r="F494" s="2">
        <f>IF(C494="GBP",E494*$C$3,IF(C494="TRY",E494/$C$1,IF(C494="EUR",E494*$E$1,IF(C494="RUB",E494/#REF!,IF(C494="EGP",E494/$E$2,E494)))))</f>
        <v>13</v>
      </c>
      <c r="G494" s="15" t="str">
        <f>VLOOKUP(B494,SPECIFICATIONF!$C$2:$D$65,2,0)</f>
        <v>GLOBAL RETAIL</v>
      </c>
      <c r="H494" s="12">
        <f t="shared" si="26"/>
        <v>4</v>
      </c>
      <c r="I494" s="12">
        <f t="shared" si="27"/>
        <v>2025</v>
      </c>
    </row>
    <row r="495" spans="1:9" ht="19.5" customHeight="1" x14ac:dyDescent="0.35">
      <c r="A495" s="41">
        <v>45763</v>
      </c>
      <c r="B495" s="8" t="s">
        <v>32</v>
      </c>
      <c r="C495" s="42" t="s">
        <v>11</v>
      </c>
      <c r="D495" s="43" t="s">
        <v>30</v>
      </c>
      <c r="E495" s="46">
        <v>1597697.78</v>
      </c>
      <c r="F495" s="2">
        <f>IF(C495="GBP",E495*$C$3,IF(C495="TRY",E495/$C$1,IF(C495="EUR",E495*$E$1,IF(C495="RUB",E495/#REF!,IF(C495="EGP",E495/$E$2,E495)))))</f>
        <v>43812.273047613038</v>
      </c>
      <c r="G495" s="15" t="str">
        <f>VLOOKUP(B495,SPECIFICATIONF!$C$2:$D$65,2,0)</f>
        <v>GLOBAL HFT</v>
      </c>
      <c r="H495" s="12">
        <f t="shared" si="26"/>
        <v>4</v>
      </c>
      <c r="I495" s="12">
        <f t="shared" si="27"/>
        <v>2025</v>
      </c>
    </row>
    <row r="496" spans="1:9" ht="19.5" customHeight="1" x14ac:dyDescent="0.35">
      <c r="A496" s="41">
        <v>45763</v>
      </c>
      <c r="B496" s="8" t="s">
        <v>32</v>
      </c>
      <c r="C496" s="42" t="s">
        <v>33</v>
      </c>
      <c r="D496" s="43" t="s">
        <v>30</v>
      </c>
      <c r="E496" s="46">
        <v>8652.44</v>
      </c>
      <c r="F496" s="2">
        <f>IF(C496="GBP",E496*$C$3,IF(C496="TRY",E496/$C$1,IF(C496="EUR",E496*$E$1,IF(C496="RUB",E496/#REF!,IF(C496="EGP",E496/$E$2,E496)))))</f>
        <v>8652.44</v>
      </c>
      <c r="G496" s="15" t="str">
        <f>VLOOKUP(B496,SPECIFICATIONF!$C$2:$D$65,2,0)</f>
        <v>GLOBAL HFT</v>
      </c>
      <c r="H496" s="12">
        <f t="shared" si="26"/>
        <v>4</v>
      </c>
      <c r="I496" s="12">
        <f t="shared" si="27"/>
        <v>2025</v>
      </c>
    </row>
    <row r="497" spans="1:9" ht="19.5" customHeight="1" x14ac:dyDescent="0.35">
      <c r="A497" s="41">
        <v>45763</v>
      </c>
      <c r="B497" s="8" t="s">
        <v>32</v>
      </c>
      <c r="C497" s="42" t="s">
        <v>11</v>
      </c>
      <c r="D497" s="43" t="s">
        <v>29</v>
      </c>
      <c r="E497" s="47">
        <v>6309187804</v>
      </c>
      <c r="F497" s="2">
        <f>IF(C497="GBP",E497*$C$3,IF(C497="TRY",E497/$C$1,IF(C497="EUR",E497*$E$1,IF(C497="RUB",E497/#REF!,IF(C497="EGP",E497/$E$2,E497)))))</f>
        <v>173011355.61289826</v>
      </c>
      <c r="G497" s="15" t="str">
        <f>VLOOKUP(B497,SPECIFICATIONF!$C$2:$D$65,2,0)</f>
        <v>GLOBAL HFT</v>
      </c>
      <c r="H497" s="12">
        <f t="shared" si="26"/>
        <v>4</v>
      </c>
      <c r="I497" s="12">
        <f t="shared" si="27"/>
        <v>2025</v>
      </c>
    </row>
    <row r="498" spans="1:9" ht="19.5" customHeight="1" x14ac:dyDescent="0.35">
      <c r="A498" s="41">
        <v>45763</v>
      </c>
      <c r="B498" s="8" t="s">
        <v>32</v>
      </c>
      <c r="C498" s="42" t="s">
        <v>33</v>
      </c>
      <c r="D498" s="43" t="s">
        <v>29</v>
      </c>
      <c r="E498" s="46">
        <v>30534049</v>
      </c>
      <c r="F498" s="2">
        <f>IF(C498="GBP",E498*$C$3,IF(C498="TRY",E498/$C$1,IF(C498="EUR",E498*$E$1,IF(C498="RUB",E498/#REF!,IF(C498="EGP",E498/$E$2,E498)))))</f>
        <v>30534049</v>
      </c>
      <c r="G498" s="15" t="str">
        <f>VLOOKUP(B498,SPECIFICATIONF!$C$2:$D$65,2,0)</f>
        <v>GLOBAL HFT</v>
      </c>
      <c r="H498" s="12">
        <f t="shared" si="26"/>
        <v>4</v>
      </c>
      <c r="I498" s="12">
        <f t="shared" si="27"/>
        <v>2025</v>
      </c>
    </row>
    <row r="499" spans="1:9" ht="19.5" customHeight="1" x14ac:dyDescent="0.35">
      <c r="A499" s="41">
        <v>45763</v>
      </c>
      <c r="B499" s="8" t="s">
        <v>24</v>
      </c>
      <c r="C499" s="42" t="s">
        <v>11</v>
      </c>
      <c r="D499" s="43" t="s">
        <v>30</v>
      </c>
      <c r="E499" s="46">
        <v>2.2799999999999998</v>
      </c>
      <c r="F499" s="2">
        <f>IF(C499="GBP",E499*$C$3,IF(C499="TRY",E499/$C$1,IF(C499="EUR",E499*$E$1,IF(C499="RUB",E499/#REF!,IF(C499="EGP",E499/$E$2,E499)))))</f>
        <v>6.25224518673098E-2</v>
      </c>
      <c r="G499" s="15" t="str">
        <f>VLOOKUP(B499,SPECIFICATIONF!$C$2:$D$65,2,0)</f>
        <v>GLOBAL RETAIL</v>
      </c>
      <c r="H499" s="12">
        <f t="shared" si="26"/>
        <v>4</v>
      </c>
      <c r="I499" s="12">
        <f t="shared" si="27"/>
        <v>2025</v>
      </c>
    </row>
    <row r="500" spans="1:9" ht="19.5" customHeight="1" x14ac:dyDescent="0.35">
      <c r="A500" s="41">
        <v>45763</v>
      </c>
      <c r="B500" s="8" t="s">
        <v>24</v>
      </c>
      <c r="C500" s="42" t="s">
        <v>33</v>
      </c>
      <c r="D500" s="43" t="s">
        <v>30</v>
      </c>
      <c r="E500" s="46">
        <v>0</v>
      </c>
      <c r="F500" s="2">
        <f>IF(C500="GBP",E500*$C$3,IF(C500="TRY",E500/$C$1,IF(C500="EUR",E500*$E$1,IF(C500="RUB",E500/#REF!,IF(C500="EGP",E500/$E$2,E500)))))</f>
        <v>0</v>
      </c>
      <c r="G500" s="15" t="str">
        <f>VLOOKUP(B500,SPECIFICATIONF!$C$2:$D$65,2,0)</f>
        <v>GLOBAL RETAIL</v>
      </c>
      <c r="H500" s="12">
        <f t="shared" si="26"/>
        <v>4</v>
      </c>
      <c r="I500" s="12">
        <f t="shared" si="27"/>
        <v>2025</v>
      </c>
    </row>
    <row r="501" spans="1:9" ht="19.5" customHeight="1" x14ac:dyDescent="0.35">
      <c r="A501" s="41">
        <v>45763</v>
      </c>
      <c r="B501" s="8" t="s">
        <v>24</v>
      </c>
      <c r="C501" s="42" t="s">
        <v>11</v>
      </c>
      <c r="D501" s="43" t="s">
        <v>29</v>
      </c>
      <c r="E501" s="47">
        <v>2013</v>
      </c>
      <c r="F501" s="2">
        <f>IF(C501="GBP",E501*$C$3,IF(C501="TRY",E501/$C$1,IF(C501="EUR",E501*$E$1,IF(C501="RUB",E501/#REF!,IF(C501="EGP",E501/$E$2,E501)))))</f>
        <v>55.200743688111679</v>
      </c>
      <c r="G501" s="15" t="str">
        <f>VLOOKUP(B501,SPECIFICATIONF!$C$2:$D$65,2,0)</f>
        <v>GLOBAL RETAIL</v>
      </c>
      <c r="H501" s="12">
        <f t="shared" si="26"/>
        <v>4</v>
      </c>
      <c r="I501" s="12">
        <f t="shared" si="27"/>
        <v>2025</v>
      </c>
    </row>
    <row r="502" spans="1:9" ht="19.5" customHeight="1" x14ac:dyDescent="0.35">
      <c r="A502" s="41">
        <v>45763</v>
      </c>
      <c r="B502" s="8" t="s">
        <v>24</v>
      </c>
      <c r="C502" s="42" t="s">
        <v>33</v>
      </c>
      <c r="D502" s="43" t="s">
        <v>29</v>
      </c>
      <c r="E502" s="46">
        <v>3</v>
      </c>
      <c r="F502" s="2">
        <f>IF(C502="GBP",E502*$C$3,IF(C502="TRY",E502/$C$1,IF(C502="EUR",E502*$E$1,IF(C502="RUB",E502/#REF!,IF(C502="EGP",E502/$E$2,E502)))))</f>
        <v>3</v>
      </c>
      <c r="G502" s="15" t="str">
        <f>VLOOKUP(B502,SPECIFICATIONF!$C$2:$D$65,2,0)</f>
        <v>GLOBAL RETAIL</v>
      </c>
      <c r="H502" s="12">
        <f t="shared" si="26"/>
        <v>4</v>
      </c>
      <c r="I502" s="12">
        <f t="shared" si="27"/>
        <v>2025</v>
      </c>
    </row>
    <row r="503" spans="1:9" ht="19.5" customHeight="1" x14ac:dyDescent="0.35">
      <c r="A503" s="41">
        <v>45764</v>
      </c>
      <c r="B503" s="8" t="s">
        <v>32</v>
      </c>
      <c r="C503" s="42" t="s">
        <v>11</v>
      </c>
      <c r="D503" s="43" t="s">
        <v>30</v>
      </c>
      <c r="E503" s="46">
        <v>1167473.22</v>
      </c>
      <c r="F503" s="2">
        <f>IF(C503="GBP",E503*$C$3,IF(C503="TRY",E503/$C$1,IF(C503="EUR",E503*$E$1,IF(C503="RUB",E503/#REF!,IF(C503="EGP",E503/$E$2,E503)))))</f>
        <v>32014.600089396135</v>
      </c>
      <c r="G503" s="15" t="str">
        <f>VLOOKUP(B503,SPECIFICATIONF!$C$2:$D$65,2,0)</f>
        <v>GLOBAL HFT</v>
      </c>
      <c r="H503" s="12">
        <f t="shared" si="26"/>
        <v>4</v>
      </c>
      <c r="I503" s="12">
        <f t="shared" si="27"/>
        <v>2025</v>
      </c>
    </row>
    <row r="504" spans="1:9" ht="19.5" customHeight="1" x14ac:dyDescent="0.35">
      <c r="A504" s="41">
        <v>45764</v>
      </c>
      <c r="B504" s="8" t="s">
        <v>32</v>
      </c>
      <c r="C504" s="42" t="s">
        <v>33</v>
      </c>
      <c r="D504" s="43" t="s">
        <v>30</v>
      </c>
      <c r="E504" s="46">
        <v>6457.98</v>
      </c>
      <c r="F504" s="2">
        <f>IF(C504="GBP",E504*$C$3,IF(C504="TRY",E504/$C$1,IF(C504="EUR",E504*$E$1,IF(C504="RUB",E504/#REF!,IF(C504="EGP",E504/$E$2,E504)))))</f>
        <v>6457.98</v>
      </c>
      <c r="G504" s="15" t="str">
        <f>VLOOKUP(B504,SPECIFICATIONF!$C$2:$D$65,2,0)</f>
        <v>GLOBAL HFT</v>
      </c>
      <c r="H504" s="12">
        <f t="shared" si="26"/>
        <v>4</v>
      </c>
      <c r="I504" s="12">
        <f t="shared" si="27"/>
        <v>2025</v>
      </c>
    </row>
    <row r="505" spans="1:9" ht="19.5" customHeight="1" x14ac:dyDescent="0.35">
      <c r="A505" s="41">
        <v>45764</v>
      </c>
      <c r="B505" s="8" t="s">
        <v>32</v>
      </c>
      <c r="C505" s="42" t="s">
        <v>11</v>
      </c>
      <c r="D505" s="43" t="s">
        <v>29</v>
      </c>
      <c r="E505" s="47">
        <v>4779475197</v>
      </c>
      <c r="F505" s="2">
        <f>IF(C505="GBP",E505*$C$3,IF(C505="TRY",E505/$C$1,IF(C505="EUR",E505*$E$1,IF(C505="RUB",E505/#REF!,IF(C505="EGP",E505/$E$2,E505)))))</f>
        <v>131063380.68220769</v>
      </c>
      <c r="G505" s="15" t="str">
        <f>VLOOKUP(B505,SPECIFICATIONF!$C$2:$D$65,2,0)</f>
        <v>GLOBAL HFT</v>
      </c>
      <c r="H505" s="12">
        <f t="shared" si="26"/>
        <v>4</v>
      </c>
      <c r="I505" s="12">
        <f t="shared" si="27"/>
        <v>2025</v>
      </c>
    </row>
    <row r="506" spans="1:9" ht="19.5" customHeight="1" x14ac:dyDescent="0.35">
      <c r="A506" s="41">
        <v>45764</v>
      </c>
      <c r="B506" s="8" t="s">
        <v>32</v>
      </c>
      <c r="C506" s="42" t="s">
        <v>33</v>
      </c>
      <c r="D506" s="43" t="s">
        <v>29</v>
      </c>
      <c r="E506" s="46">
        <v>22734425</v>
      </c>
      <c r="F506" s="2">
        <f>IF(C506="GBP",E506*$C$3,IF(C506="TRY",E506/$C$1,IF(C506="EUR",E506*$E$1,IF(C506="RUB",E506/#REF!,IF(C506="EGP",E506/$E$2,E506)))))</f>
        <v>22734425</v>
      </c>
      <c r="G506" s="15" t="str">
        <f>VLOOKUP(B506,SPECIFICATIONF!$C$2:$D$65,2,0)</f>
        <v>GLOBAL HFT</v>
      </c>
      <c r="H506" s="12">
        <f t="shared" si="26"/>
        <v>4</v>
      </c>
      <c r="I506" s="12">
        <f t="shared" si="27"/>
        <v>2025</v>
      </c>
    </row>
    <row r="507" spans="1:9" ht="19.5" customHeight="1" x14ac:dyDescent="0.35">
      <c r="A507" s="41">
        <v>45764</v>
      </c>
      <c r="B507" s="8" t="s">
        <v>24</v>
      </c>
      <c r="C507" s="42" t="s">
        <v>11</v>
      </c>
      <c r="D507" s="43" t="s">
        <v>30</v>
      </c>
      <c r="E507" s="46">
        <v>0</v>
      </c>
      <c r="F507" s="2">
        <f>IF(C507="GBP",E507*$C$3,IF(C507="TRY",E507/$C$1,IF(C507="EUR",E507*$E$1,IF(C507="RUB",E507/#REF!,IF(C507="EGP",E507/$E$2,E507)))))</f>
        <v>0</v>
      </c>
      <c r="G507" s="15" t="str">
        <f>VLOOKUP(B507,SPECIFICATIONF!$C$2:$D$65,2,0)</f>
        <v>GLOBAL RETAIL</v>
      </c>
      <c r="H507" s="12">
        <f t="shared" si="26"/>
        <v>4</v>
      </c>
      <c r="I507" s="12">
        <f t="shared" si="27"/>
        <v>2025</v>
      </c>
    </row>
    <row r="508" spans="1:9" ht="19.5" customHeight="1" x14ac:dyDescent="0.35">
      <c r="A508" s="41">
        <v>45764</v>
      </c>
      <c r="B508" s="8" t="s">
        <v>24</v>
      </c>
      <c r="C508" s="42" t="s">
        <v>33</v>
      </c>
      <c r="D508" s="43" t="s">
        <v>30</v>
      </c>
      <c r="E508" s="46">
        <v>0.12</v>
      </c>
      <c r="F508" s="2">
        <f>IF(C508="GBP",E508*$C$3,IF(C508="TRY",E508/$C$1,IF(C508="EUR",E508*$E$1,IF(C508="RUB",E508/#REF!,IF(C508="EGP",E508/$E$2,E508)))))</f>
        <v>0.12</v>
      </c>
      <c r="G508" s="15" t="str">
        <f>VLOOKUP(B508,SPECIFICATIONF!$C$2:$D$65,2,0)</f>
        <v>GLOBAL RETAIL</v>
      </c>
      <c r="H508" s="12">
        <f t="shared" si="26"/>
        <v>4</v>
      </c>
      <c r="I508" s="12">
        <f t="shared" si="27"/>
        <v>2025</v>
      </c>
    </row>
    <row r="509" spans="1:9" ht="19.5" customHeight="1" x14ac:dyDescent="0.35">
      <c r="A509" s="41">
        <v>45764</v>
      </c>
      <c r="B509" s="8" t="s">
        <v>24</v>
      </c>
      <c r="C509" s="42" t="s">
        <v>11</v>
      </c>
      <c r="D509" s="43" t="s">
        <v>29</v>
      </c>
      <c r="E509" s="47">
        <v>0</v>
      </c>
      <c r="F509" s="2">
        <f>IF(C509="GBP",E509*$C$3,IF(C509="TRY",E509/$C$1,IF(C509="EUR",E509*$E$1,IF(C509="RUB",E509/#REF!,IF(C509="EGP",E509/$E$2,E509)))))</f>
        <v>0</v>
      </c>
      <c r="G509" s="15" t="str">
        <f>VLOOKUP(B509,SPECIFICATIONF!$C$2:$D$65,2,0)</f>
        <v>GLOBAL RETAIL</v>
      </c>
      <c r="H509" s="12">
        <f t="shared" si="26"/>
        <v>4</v>
      </c>
      <c r="I509" s="12">
        <f t="shared" si="27"/>
        <v>2025</v>
      </c>
    </row>
    <row r="510" spans="1:9" ht="19.5" customHeight="1" x14ac:dyDescent="0.35">
      <c r="A510" s="41">
        <v>45764</v>
      </c>
      <c r="B510" s="8" t="s">
        <v>24</v>
      </c>
      <c r="C510" s="42" t="s">
        <v>33</v>
      </c>
      <c r="D510" s="43" t="s">
        <v>29</v>
      </c>
      <c r="E510" s="46">
        <v>98</v>
      </c>
      <c r="F510" s="2">
        <f>IF(C510="GBP",E510*$C$3,IF(C510="TRY",E510/$C$1,IF(C510="EUR",E510*$E$1,IF(C510="RUB",E510/#REF!,IF(C510="EGP",E510/$E$2,E510)))))</f>
        <v>98</v>
      </c>
      <c r="G510" s="15" t="str">
        <f>VLOOKUP(B510,SPECIFICATIONF!$C$2:$D$65,2,0)</f>
        <v>GLOBAL RETAIL</v>
      </c>
      <c r="H510" s="12">
        <f t="shared" si="26"/>
        <v>4</v>
      </c>
      <c r="I510" s="12">
        <f t="shared" si="27"/>
        <v>2025</v>
      </c>
    </row>
    <row r="511" spans="1:9" ht="19.5" customHeight="1" x14ac:dyDescent="0.35">
      <c r="A511" s="41">
        <v>45765</v>
      </c>
      <c r="B511" s="8" t="s">
        <v>32</v>
      </c>
      <c r="C511" s="42" t="s">
        <v>11</v>
      </c>
      <c r="D511" s="43" t="s">
        <v>30</v>
      </c>
      <c r="E511" s="46">
        <v>1531731.97</v>
      </c>
      <c r="F511" s="2">
        <f>IF(C511="GBP",E511*$C$3,IF(C511="TRY",E511/$C$1,IF(C511="EUR",E511*$E$1,IF(C511="RUB",E511/#REF!,IF(C511="EGP",E511/$E$2,E511)))))</f>
        <v>42003.350161379218</v>
      </c>
      <c r="G511" s="15" t="str">
        <f>VLOOKUP(B511,SPECIFICATIONF!$C$2:$D$65,2,0)</f>
        <v>GLOBAL HFT</v>
      </c>
      <c r="H511" s="12">
        <f t="shared" si="26"/>
        <v>4</v>
      </c>
      <c r="I511" s="12">
        <f t="shared" si="27"/>
        <v>2025</v>
      </c>
    </row>
    <row r="512" spans="1:9" ht="19.5" customHeight="1" x14ac:dyDescent="0.35">
      <c r="A512" s="41">
        <v>45765</v>
      </c>
      <c r="B512" s="8" t="s">
        <v>32</v>
      </c>
      <c r="C512" s="42" t="s">
        <v>33</v>
      </c>
      <c r="D512" s="43" t="s">
        <v>30</v>
      </c>
      <c r="E512" s="46">
        <v>6470.12</v>
      </c>
      <c r="F512" s="2">
        <f>IF(C512="GBP",E512*$C$3,IF(C512="TRY",E512/$C$1,IF(C512="EUR",E512*$E$1,IF(C512="RUB",E512/#REF!,IF(C512="EGP",E512/$E$2,E512)))))</f>
        <v>6470.12</v>
      </c>
      <c r="G512" s="15" t="str">
        <f>VLOOKUP(B512,SPECIFICATIONF!$C$2:$D$65,2,0)</f>
        <v>GLOBAL HFT</v>
      </c>
      <c r="H512" s="12">
        <f t="shared" si="26"/>
        <v>4</v>
      </c>
      <c r="I512" s="12">
        <f t="shared" si="27"/>
        <v>2025</v>
      </c>
    </row>
    <row r="513" spans="1:9" ht="19.5" customHeight="1" x14ac:dyDescent="0.35">
      <c r="A513" s="41">
        <v>45765</v>
      </c>
      <c r="B513" s="8" t="s">
        <v>32</v>
      </c>
      <c r="C513" s="42" t="s">
        <v>11</v>
      </c>
      <c r="D513" s="43" t="s">
        <v>29</v>
      </c>
      <c r="E513" s="47">
        <v>6457921746</v>
      </c>
      <c r="F513" s="2">
        <f>IF(C513="GBP",E513*$C$3,IF(C513="TRY",E513/$C$1,IF(C513="EUR",E513*$E$1,IF(C513="RUB",E513/#REF!,IF(C513="EGP",E513/$E$2,E513)))))</f>
        <v>177089956.81014836</v>
      </c>
      <c r="G513" s="15" t="str">
        <f>VLOOKUP(B513,SPECIFICATIONF!$C$2:$D$65,2,0)</f>
        <v>GLOBAL HFT</v>
      </c>
      <c r="H513" s="12">
        <f t="shared" si="26"/>
        <v>4</v>
      </c>
      <c r="I513" s="12">
        <f t="shared" si="27"/>
        <v>2025</v>
      </c>
    </row>
    <row r="514" spans="1:9" ht="19.5" customHeight="1" x14ac:dyDescent="0.35">
      <c r="A514" s="41">
        <v>45765</v>
      </c>
      <c r="B514" s="8" t="s">
        <v>32</v>
      </c>
      <c r="C514" s="42" t="s">
        <v>33</v>
      </c>
      <c r="D514" s="43" t="s">
        <v>29</v>
      </c>
      <c r="E514" s="46">
        <v>24298533</v>
      </c>
      <c r="F514" s="2">
        <f>IF(C514="GBP",E514*$C$3,IF(C514="TRY",E514/$C$1,IF(C514="EUR",E514*$E$1,IF(C514="RUB",E514/#REF!,IF(C514="EGP",E514/$E$2,E514)))))</f>
        <v>24298533</v>
      </c>
      <c r="G514" s="15" t="str">
        <f>VLOOKUP(B514,SPECIFICATIONF!$C$2:$D$65,2,0)</f>
        <v>GLOBAL HFT</v>
      </c>
      <c r="H514" s="12">
        <f t="shared" si="26"/>
        <v>4</v>
      </c>
      <c r="I514" s="12">
        <f t="shared" si="27"/>
        <v>2025</v>
      </c>
    </row>
    <row r="515" spans="1:9" ht="19.5" customHeight="1" x14ac:dyDescent="0.35">
      <c r="A515" s="41">
        <v>45765</v>
      </c>
      <c r="B515" s="8" t="s">
        <v>24</v>
      </c>
      <c r="C515" s="42" t="s">
        <v>11</v>
      </c>
      <c r="D515" s="43" t="s">
        <v>30</v>
      </c>
      <c r="E515" s="46">
        <v>4.1100000000000003</v>
      </c>
      <c r="F515" s="2">
        <f>IF(C515="GBP",E515*$C$3,IF(C515="TRY",E515/$C$1,IF(C515="EUR",E515*$E$1,IF(C515="RUB",E515/#REF!,IF(C515="EGP",E515/$E$2,E515)))))</f>
        <v>0.11270494612922952</v>
      </c>
      <c r="G515" s="15" t="str">
        <f>VLOOKUP(B515,SPECIFICATIONF!$C$2:$D$65,2,0)</f>
        <v>GLOBAL RETAIL</v>
      </c>
      <c r="H515" s="12">
        <f t="shared" si="26"/>
        <v>4</v>
      </c>
      <c r="I515" s="12">
        <f t="shared" si="27"/>
        <v>2025</v>
      </c>
    </row>
    <row r="516" spans="1:9" ht="19.5" customHeight="1" x14ac:dyDescent="0.35">
      <c r="A516" s="41">
        <v>45765</v>
      </c>
      <c r="B516" s="8" t="s">
        <v>24</v>
      </c>
      <c r="C516" s="42" t="s">
        <v>33</v>
      </c>
      <c r="D516" s="43" t="s">
        <v>30</v>
      </c>
      <c r="E516" s="46">
        <v>0.03</v>
      </c>
      <c r="F516" s="2">
        <f>IF(C516="GBP",E516*$C$3,IF(C516="TRY",E516/$C$1,IF(C516="EUR",E516*$E$1,IF(C516="RUB",E516/#REF!,IF(C516="EGP",E516/$E$2,E516)))))</f>
        <v>0.03</v>
      </c>
      <c r="G516" s="15" t="str">
        <f>VLOOKUP(B516,SPECIFICATIONF!$C$2:$D$65,2,0)</f>
        <v>GLOBAL RETAIL</v>
      </c>
      <c r="H516" s="12">
        <f t="shared" si="26"/>
        <v>4</v>
      </c>
      <c r="I516" s="12">
        <f t="shared" si="27"/>
        <v>2025</v>
      </c>
    </row>
    <row r="517" spans="1:9" ht="19.5" customHeight="1" x14ac:dyDescent="0.35">
      <c r="A517" s="41">
        <v>45765</v>
      </c>
      <c r="B517" s="8" t="s">
        <v>24</v>
      </c>
      <c r="C517" s="42" t="s">
        <v>11</v>
      </c>
      <c r="D517" s="43" t="s">
        <v>29</v>
      </c>
      <c r="E517" s="47">
        <v>3425</v>
      </c>
      <c r="F517" s="2">
        <f>IF(C517="GBP",E517*$C$3,IF(C517="TRY",E517/$C$1,IF(C517="EUR",E517*$E$1,IF(C517="RUB",E517/#REF!,IF(C517="EGP",E517/$E$2,E517)))))</f>
        <v>93.920788441024598</v>
      </c>
      <c r="G517" s="15" t="str">
        <f>VLOOKUP(B517,SPECIFICATIONF!$C$2:$D$65,2,0)</f>
        <v>GLOBAL RETAIL</v>
      </c>
      <c r="H517" s="12">
        <f t="shared" si="26"/>
        <v>4</v>
      </c>
      <c r="I517" s="12">
        <f t="shared" si="27"/>
        <v>2025</v>
      </c>
    </row>
    <row r="518" spans="1:9" ht="19.5" customHeight="1" x14ac:dyDescent="0.35">
      <c r="A518" s="41">
        <v>45765</v>
      </c>
      <c r="B518" s="8" t="s">
        <v>24</v>
      </c>
      <c r="C518" s="42" t="s">
        <v>33</v>
      </c>
      <c r="D518" s="43" t="s">
        <v>29</v>
      </c>
      <c r="E518" s="46">
        <v>22</v>
      </c>
      <c r="F518" s="2">
        <f>IF(C518="GBP",E518*$C$3,IF(C518="TRY",E518/$C$1,IF(C518="EUR",E518*$E$1,IF(C518="RUB",E518/#REF!,IF(C518="EGP",E518/$E$2,E518)))))</f>
        <v>22</v>
      </c>
      <c r="G518" s="15" t="str">
        <f>VLOOKUP(B518,SPECIFICATIONF!$C$2:$D$65,2,0)</f>
        <v>GLOBAL RETAIL</v>
      </c>
      <c r="H518" s="12">
        <f t="shared" si="26"/>
        <v>4</v>
      </c>
      <c r="I518" s="12">
        <f t="shared" si="27"/>
        <v>2025</v>
      </c>
    </row>
    <row r="519" spans="1:9" ht="19.5" customHeight="1" x14ac:dyDescent="0.35">
      <c r="A519" s="41">
        <v>45766</v>
      </c>
      <c r="B519" s="8" t="s">
        <v>32</v>
      </c>
      <c r="C519" s="42" t="s">
        <v>11</v>
      </c>
      <c r="D519" s="43" t="s">
        <v>30</v>
      </c>
      <c r="E519" s="46">
        <v>1621106.7</v>
      </c>
      <c r="F519" s="2">
        <f>IF(C519="GBP",E519*$C$3,IF(C519="TRY",E519/$C$1,IF(C519="EUR",E519*$E$1,IF(C519="RUB",E519/#REF!,IF(C519="EGP",E519/$E$2,E519)))))</f>
        <v>44454.195448475191</v>
      </c>
      <c r="G519" s="15" t="str">
        <f>VLOOKUP(B519,SPECIFICATIONF!$C$2:$D$65,2,0)</f>
        <v>GLOBAL HFT</v>
      </c>
      <c r="H519" s="12">
        <f t="shared" si="26"/>
        <v>4</v>
      </c>
      <c r="I519" s="12">
        <f t="shared" si="27"/>
        <v>2025</v>
      </c>
    </row>
    <row r="520" spans="1:9" ht="19.5" customHeight="1" x14ac:dyDescent="0.35">
      <c r="A520" s="41">
        <v>45766</v>
      </c>
      <c r="B520" s="8" t="s">
        <v>32</v>
      </c>
      <c r="C520" s="42" t="s">
        <v>33</v>
      </c>
      <c r="D520" s="43" t="s">
        <v>30</v>
      </c>
      <c r="E520" s="46">
        <v>6238.76</v>
      </c>
      <c r="F520" s="2">
        <f>IF(C520="GBP",E520*$C$3,IF(C520="TRY",E520/$C$1,IF(C520="EUR",E520*$E$1,IF(C520="RUB",E520/#REF!,IF(C520="EGP",E520/$E$2,E520)))))</f>
        <v>6238.76</v>
      </c>
      <c r="G520" s="15" t="str">
        <f>VLOOKUP(B520,SPECIFICATIONF!$C$2:$D$65,2,0)</f>
        <v>GLOBAL HFT</v>
      </c>
      <c r="H520" s="12">
        <f t="shared" si="26"/>
        <v>4</v>
      </c>
      <c r="I520" s="12">
        <f t="shared" si="27"/>
        <v>2025</v>
      </c>
    </row>
    <row r="521" spans="1:9" ht="19.5" customHeight="1" x14ac:dyDescent="0.35">
      <c r="A521" s="41">
        <v>45766</v>
      </c>
      <c r="B521" s="8" t="s">
        <v>32</v>
      </c>
      <c r="C521" s="42" t="s">
        <v>11</v>
      </c>
      <c r="D521" s="43" t="s">
        <v>29</v>
      </c>
      <c r="E521" s="47">
        <v>6724619116</v>
      </c>
      <c r="F521" s="2">
        <f>IF(C521="GBP",E521*$C$3,IF(C521="TRY",E521/$C$1,IF(C521="EUR",E521*$E$1,IF(C521="RUB",E521/#REF!,IF(C521="EGP",E521/$E$2,E521)))))</f>
        <v>184403366.23074624</v>
      </c>
      <c r="G521" s="15" t="str">
        <f>VLOOKUP(B521,SPECIFICATIONF!$C$2:$D$65,2,0)</f>
        <v>GLOBAL HFT</v>
      </c>
      <c r="H521" s="12">
        <f t="shared" si="26"/>
        <v>4</v>
      </c>
      <c r="I521" s="12">
        <f t="shared" si="27"/>
        <v>2025</v>
      </c>
    </row>
    <row r="522" spans="1:9" ht="19.5" customHeight="1" x14ac:dyDescent="0.35">
      <c r="A522" s="41">
        <v>45766</v>
      </c>
      <c r="B522" s="8" t="s">
        <v>32</v>
      </c>
      <c r="C522" s="42" t="s">
        <v>33</v>
      </c>
      <c r="D522" s="43" t="s">
        <v>29</v>
      </c>
      <c r="E522" s="46">
        <v>22666947</v>
      </c>
      <c r="F522" s="2">
        <f>IF(C522="GBP",E522*$C$3,IF(C522="TRY",E522/$C$1,IF(C522="EUR",E522*$E$1,IF(C522="RUB",E522/#REF!,IF(C522="EGP",E522/$E$2,E522)))))</f>
        <v>22666947</v>
      </c>
      <c r="G522" s="15" t="str">
        <f>VLOOKUP(B522,SPECIFICATIONF!$C$2:$D$65,2,0)</f>
        <v>GLOBAL HFT</v>
      </c>
      <c r="H522" s="12">
        <f t="shared" si="26"/>
        <v>4</v>
      </c>
      <c r="I522" s="12">
        <f t="shared" si="27"/>
        <v>2025</v>
      </c>
    </row>
    <row r="523" spans="1:9" ht="19.5" customHeight="1" x14ac:dyDescent="0.35">
      <c r="A523" s="41">
        <v>45766</v>
      </c>
      <c r="B523" s="8" t="s">
        <v>24</v>
      </c>
      <c r="C523" s="42" t="s">
        <v>11</v>
      </c>
      <c r="D523" s="43" t="s">
        <v>30</v>
      </c>
      <c r="E523" s="46">
        <v>0</v>
      </c>
      <c r="F523" s="2">
        <f>IF(C523="GBP",E523*$C$3,IF(C523="TRY",E523/$C$1,IF(C523="EUR",E523*$E$1,IF(C523="RUB",E523/#REF!,IF(C523="EGP",E523/$E$2,E523)))))</f>
        <v>0</v>
      </c>
      <c r="G523" s="15" t="str">
        <f>VLOOKUP(B523,SPECIFICATIONF!$C$2:$D$65,2,0)</f>
        <v>GLOBAL RETAIL</v>
      </c>
      <c r="H523" s="12">
        <f t="shared" si="26"/>
        <v>4</v>
      </c>
      <c r="I523" s="12">
        <f t="shared" si="27"/>
        <v>2025</v>
      </c>
    </row>
    <row r="524" spans="1:9" ht="19.5" customHeight="1" x14ac:dyDescent="0.35">
      <c r="A524" s="41">
        <v>45766</v>
      </c>
      <c r="B524" s="8" t="s">
        <v>24</v>
      </c>
      <c r="C524" s="42" t="s">
        <v>33</v>
      </c>
      <c r="D524" s="43" t="s">
        <v>30</v>
      </c>
      <c r="E524" s="46">
        <v>0</v>
      </c>
      <c r="F524" s="2">
        <f>IF(C524="GBP",E524*$C$3,IF(C524="TRY",E524/$C$1,IF(C524="EUR",E524*$E$1,IF(C524="RUB",E524/#REF!,IF(C524="EGP",E524/$E$2,E524)))))</f>
        <v>0</v>
      </c>
      <c r="G524" s="15" t="str">
        <f>VLOOKUP(B524,SPECIFICATIONF!$C$2:$D$65,2,0)</f>
        <v>GLOBAL RETAIL</v>
      </c>
      <c r="H524" s="12">
        <f t="shared" si="26"/>
        <v>4</v>
      </c>
      <c r="I524" s="12">
        <f t="shared" si="27"/>
        <v>2025</v>
      </c>
    </row>
    <row r="525" spans="1:9" ht="19.5" customHeight="1" x14ac:dyDescent="0.35">
      <c r="A525" s="41">
        <v>45766</v>
      </c>
      <c r="B525" s="8" t="s">
        <v>24</v>
      </c>
      <c r="C525" s="42" t="s">
        <v>11</v>
      </c>
      <c r="D525" s="43" t="s">
        <v>29</v>
      </c>
      <c r="E525" s="47">
        <v>0</v>
      </c>
      <c r="F525" s="2">
        <f>IF(C525="GBP",E525*$C$3,IF(C525="TRY",E525/$C$1,IF(C525="EUR",E525*$E$1,IF(C525="RUB",E525/#REF!,IF(C525="EGP",E525/$E$2,E525)))))</f>
        <v>0</v>
      </c>
      <c r="G525" s="15" t="str">
        <f>VLOOKUP(B525,SPECIFICATIONF!$C$2:$D$65,2,0)</f>
        <v>GLOBAL RETAIL</v>
      </c>
      <c r="H525" s="12">
        <f t="shared" si="26"/>
        <v>4</v>
      </c>
      <c r="I525" s="12">
        <f t="shared" si="27"/>
        <v>2025</v>
      </c>
    </row>
    <row r="526" spans="1:9" ht="19.5" customHeight="1" x14ac:dyDescent="0.35">
      <c r="A526" s="41">
        <v>45766</v>
      </c>
      <c r="B526" s="8" t="s">
        <v>24</v>
      </c>
      <c r="C526" s="42" t="s">
        <v>33</v>
      </c>
      <c r="D526" s="43" t="s">
        <v>29</v>
      </c>
      <c r="E526" s="46">
        <v>0</v>
      </c>
      <c r="F526" s="2">
        <f>IF(C526="GBP",E526*$C$3,IF(C526="TRY",E526/$C$1,IF(C526="EUR",E526*$E$1,IF(C526="RUB",E526/#REF!,IF(C526="EGP",E526/$E$2,E526)))))</f>
        <v>0</v>
      </c>
      <c r="G526" s="15" t="str">
        <f>VLOOKUP(B526,SPECIFICATIONF!$C$2:$D$65,2,0)</f>
        <v>GLOBAL RETAIL</v>
      </c>
      <c r="H526" s="12">
        <f t="shared" si="26"/>
        <v>4</v>
      </c>
      <c r="I526" s="12">
        <f t="shared" si="27"/>
        <v>2025</v>
      </c>
    </row>
    <row r="527" spans="1:9" ht="19.5" customHeight="1" x14ac:dyDescent="0.35">
      <c r="A527" s="41">
        <v>45767</v>
      </c>
      <c r="B527" s="8" t="s">
        <v>32</v>
      </c>
      <c r="C527" s="42" t="s">
        <v>11</v>
      </c>
      <c r="D527" s="43" t="s">
        <v>30</v>
      </c>
      <c r="E527" s="46">
        <v>2279357.13</v>
      </c>
      <c r="F527" s="2">
        <f>IF(C527="GBP",E527*$C$3,IF(C527="TRY",E527/$C$1,IF(C527="EUR",E527*$E$1,IF(C527="RUB",E527/#REF!,IF(C527="EGP",E527/$E$2,E527)))))</f>
        <v>62504.823003874742</v>
      </c>
      <c r="G527" s="15" t="str">
        <f>VLOOKUP(B527,SPECIFICATIONF!$C$2:$D$65,2,0)</f>
        <v>GLOBAL HFT</v>
      </c>
      <c r="H527" s="12">
        <f t="shared" si="26"/>
        <v>4</v>
      </c>
      <c r="I527" s="12">
        <f t="shared" si="27"/>
        <v>2025</v>
      </c>
    </row>
    <row r="528" spans="1:9" ht="19.5" customHeight="1" x14ac:dyDescent="0.35">
      <c r="A528" s="41">
        <v>45767</v>
      </c>
      <c r="B528" s="8" t="s">
        <v>32</v>
      </c>
      <c r="C528" s="42" t="s">
        <v>33</v>
      </c>
      <c r="D528" s="43" t="s">
        <v>30</v>
      </c>
      <c r="E528" s="46">
        <v>8779.4</v>
      </c>
      <c r="F528" s="2">
        <f>IF(C528="GBP",E528*$C$3,IF(C528="TRY",E528/$C$1,IF(C528="EUR",E528*$E$1,IF(C528="RUB",E528/#REF!,IF(C528="EGP",E528/$E$2,E528)))))</f>
        <v>8779.4</v>
      </c>
      <c r="G528" s="15" t="str">
        <f>VLOOKUP(B528,SPECIFICATIONF!$C$2:$D$65,2,0)</f>
        <v>GLOBAL HFT</v>
      </c>
      <c r="H528" s="12">
        <f t="shared" si="26"/>
        <v>4</v>
      </c>
      <c r="I528" s="12">
        <f t="shared" si="27"/>
        <v>2025</v>
      </c>
    </row>
    <row r="529" spans="1:9" ht="19.5" customHeight="1" x14ac:dyDescent="0.35">
      <c r="A529" s="41">
        <v>45767</v>
      </c>
      <c r="B529" s="8" t="s">
        <v>32</v>
      </c>
      <c r="C529" s="42" t="s">
        <v>11</v>
      </c>
      <c r="D529" s="43" t="s">
        <v>29</v>
      </c>
      <c r="E529" s="47">
        <v>9093302128</v>
      </c>
      <c r="F529" s="2">
        <f>IF(C529="GBP",E529*$C$3,IF(C529="TRY",E529/$C$1,IF(C529="EUR",E529*$E$1,IF(C529="RUB",E529/#REF!,IF(C529="EGP",E529/$E$2,E529)))))</f>
        <v>249357695.00560781</v>
      </c>
      <c r="G529" s="15" t="str">
        <f>VLOOKUP(B529,SPECIFICATIONF!$C$2:$D$65,2,0)</f>
        <v>GLOBAL HFT</v>
      </c>
      <c r="H529" s="12">
        <f t="shared" si="26"/>
        <v>4</v>
      </c>
      <c r="I529" s="12">
        <f t="shared" si="27"/>
        <v>2025</v>
      </c>
    </row>
    <row r="530" spans="1:9" ht="19.5" customHeight="1" x14ac:dyDescent="0.35">
      <c r="A530" s="41">
        <v>45767</v>
      </c>
      <c r="B530" s="8" t="s">
        <v>32</v>
      </c>
      <c r="C530" s="42" t="s">
        <v>33</v>
      </c>
      <c r="D530" s="43" t="s">
        <v>29</v>
      </c>
      <c r="E530" s="46">
        <v>30561047</v>
      </c>
      <c r="F530" s="2">
        <f>IF(C530="GBP",E530*$C$3,IF(C530="TRY",E530/$C$1,IF(C530="EUR",E530*$E$1,IF(C530="RUB",E530/#REF!,IF(C530="EGP",E530/$E$2,E530)))))</f>
        <v>30561047</v>
      </c>
      <c r="G530" s="15" t="str">
        <f>VLOOKUP(B530,SPECIFICATIONF!$C$2:$D$65,2,0)</f>
        <v>GLOBAL HFT</v>
      </c>
      <c r="H530" s="12">
        <f t="shared" si="26"/>
        <v>4</v>
      </c>
      <c r="I530" s="12">
        <f t="shared" si="27"/>
        <v>2025</v>
      </c>
    </row>
    <row r="531" spans="1:9" ht="19.5" customHeight="1" x14ac:dyDescent="0.35">
      <c r="A531" s="41">
        <v>45767</v>
      </c>
      <c r="B531" s="8" t="s">
        <v>24</v>
      </c>
      <c r="C531" s="42" t="s">
        <v>11</v>
      </c>
      <c r="D531" s="43" t="s">
        <v>30</v>
      </c>
      <c r="E531" s="46">
        <v>0</v>
      </c>
      <c r="F531" s="2">
        <f>IF(C531="GBP",E531*$C$3,IF(C531="TRY",E531/$C$1,IF(C531="EUR",E531*$E$1,IF(C531="RUB",E531/#REF!,IF(C531="EGP",E531/$E$2,E531)))))</f>
        <v>0</v>
      </c>
      <c r="G531" s="15" t="str">
        <f>VLOOKUP(B531,SPECIFICATIONF!$C$2:$D$65,2,0)</f>
        <v>GLOBAL RETAIL</v>
      </c>
      <c r="H531" s="12">
        <f t="shared" si="26"/>
        <v>4</v>
      </c>
      <c r="I531" s="12">
        <f t="shared" si="27"/>
        <v>2025</v>
      </c>
    </row>
    <row r="532" spans="1:9" ht="19.5" customHeight="1" x14ac:dyDescent="0.35">
      <c r="A532" s="41">
        <v>45767</v>
      </c>
      <c r="B532" s="8" t="s">
        <v>24</v>
      </c>
      <c r="C532" s="42" t="s">
        <v>33</v>
      </c>
      <c r="D532" s="43" t="s">
        <v>30</v>
      </c>
      <c r="E532" s="46">
        <v>0</v>
      </c>
      <c r="F532" s="2">
        <f>IF(C532="GBP",E532*$C$3,IF(C532="TRY",E532/$C$1,IF(C532="EUR",E532*$E$1,IF(C532="RUB",E532/#REF!,IF(C532="EGP",E532/$E$2,E532)))))</f>
        <v>0</v>
      </c>
      <c r="G532" s="15" t="str">
        <f>VLOOKUP(B532,SPECIFICATIONF!$C$2:$D$65,2,0)</f>
        <v>GLOBAL RETAIL</v>
      </c>
      <c r="H532" s="12">
        <f t="shared" si="26"/>
        <v>4</v>
      </c>
      <c r="I532" s="12">
        <f t="shared" si="27"/>
        <v>2025</v>
      </c>
    </row>
    <row r="533" spans="1:9" ht="19.5" customHeight="1" x14ac:dyDescent="0.35">
      <c r="A533" s="41">
        <v>45767</v>
      </c>
      <c r="B533" s="8" t="s">
        <v>24</v>
      </c>
      <c r="C533" s="42" t="s">
        <v>11</v>
      </c>
      <c r="D533" s="43" t="s">
        <v>29</v>
      </c>
      <c r="E533" s="47">
        <v>0</v>
      </c>
      <c r="F533" s="2">
        <f>IF(C533="GBP",E533*$C$3,IF(C533="TRY",E533/$C$1,IF(C533="EUR",E533*$E$1,IF(C533="RUB",E533/#REF!,IF(C533="EGP",E533/$E$2,E533)))))</f>
        <v>0</v>
      </c>
      <c r="G533" s="15" t="str">
        <f>VLOOKUP(B533,SPECIFICATIONF!$C$2:$D$65,2,0)</f>
        <v>GLOBAL RETAIL</v>
      </c>
      <c r="H533" s="12">
        <f t="shared" si="26"/>
        <v>4</v>
      </c>
      <c r="I533" s="12">
        <f t="shared" si="27"/>
        <v>2025</v>
      </c>
    </row>
    <row r="534" spans="1:9" ht="19.5" customHeight="1" x14ac:dyDescent="0.35">
      <c r="A534" s="41">
        <v>45767</v>
      </c>
      <c r="B534" s="8" t="s">
        <v>24</v>
      </c>
      <c r="C534" s="42" t="s">
        <v>33</v>
      </c>
      <c r="D534" s="43" t="s">
        <v>29</v>
      </c>
      <c r="E534" s="46">
        <v>0</v>
      </c>
      <c r="F534" s="2">
        <f>IF(C534="GBP",E534*$C$3,IF(C534="TRY",E534/$C$1,IF(C534="EUR",E534*$E$1,IF(C534="RUB",E534/#REF!,IF(C534="EGP",E534/$E$2,E534)))))</f>
        <v>0</v>
      </c>
      <c r="G534" s="15" t="str">
        <f>VLOOKUP(B534,SPECIFICATIONF!$C$2:$D$65,2,0)</f>
        <v>GLOBAL RETAIL</v>
      </c>
      <c r="H534" s="12">
        <f t="shared" si="26"/>
        <v>4</v>
      </c>
      <c r="I534" s="12">
        <f t="shared" si="27"/>
        <v>2025</v>
      </c>
    </row>
    <row r="535" spans="1:9" ht="19.5" customHeight="1" x14ac:dyDescent="0.35">
      <c r="A535" s="41">
        <v>45768</v>
      </c>
      <c r="B535" s="8" t="s">
        <v>32</v>
      </c>
      <c r="C535" s="42" t="s">
        <v>11</v>
      </c>
      <c r="D535" s="43" t="s">
        <v>30</v>
      </c>
      <c r="E535" s="46">
        <v>3048682.55</v>
      </c>
      <c r="F535" s="2">
        <f>IF(C535="GBP",E535*$C$3,IF(C535="TRY",E535/$C$1,IF(C535="EUR",E535*$E$1,IF(C535="RUB",E535/#REF!,IF(C535="EGP",E535/$E$2,E535)))))</f>
        <v>83601.363153983461</v>
      </c>
      <c r="G535" s="15" t="str">
        <f>VLOOKUP(B535,SPECIFICATIONF!$C$2:$D$65,2,0)</f>
        <v>GLOBAL HFT</v>
      </c>
      <c r="H535" s="12">
        <f t="shared" si="26"/>
        <v>4</v>
      </c>
      <c r="I535" s="12">
        <f t="shared" si="27"/>
        <v>2025</v>
      </c>
    </row>
    <row r="536" spans="1:9" ht="19.5" customHeight="1" x14ac:dyDescent="0.35">
      <c r="A536" s="41">
        <v>45768</v>
      </c>
      <c r="B536" s="8" t="s">
        <v>32</v>
      </c>
      <c r="C536" s="42" t="s">
        <v>33</v>
      </c>
      <c r="D536" s="43" t="s">
        <v>30</v>
      </c>
      <c r="E536" s="46">
        <v>16522.36</v>
      </c>
      <c r="F536" s="2">
        <f>IF(C536="GBP",E536*$C$3,IF(C536="TRY",E536/$C$1,IF(C536="EUR",E536*$E$1,IF(C536="RUB",E536/#REF!,IF(C536="EGP",E536/$E$2,E536)))))</f>
        <v>16522.36</v>
      </c>
      <c r="G536" s="15" t="str">
        <f>VLOOKUP(B536,SPECIFICATIONF!$C$2:$D$65,2,0)</f>
        <v>GLOBAL HFT</v>
      </c>
      <c r="H536" s="12">
        <f t="shared" si="26"/>
        <v>4</v>
      </c>
      <c r="I536" s="12">
        <f t="shared" si="27"/>
        <v>2025</v>
      </c>
    </row>
    <row r="537" spans="1:9" ht="19.5" customHeight="1" x14ac:dyDescent="0.35">
      <c r="A537" s="41">
        <v>45768</v>
      </c>
      <c r="B537" s="8" t="s">
        <v>32</v>
      </c>
      <c r="C537" s="42" t="s">
        <v>11</v>
      </c>
      <c r="D537" s="43" t="s">
        <v>29</v>
      </c>
      <c r="E537" s="47">
        <v>11786081090</v>
      </c>
      <c r="F537" s="2">
        <f>IF(C537="GBP",E537*$C$3,IF(C537="TRY",E537/$C$1,IF(C537="EUR",E537*$E$1,IF(C537="RUB",E537/#REF!,IF(C537="EGP",E537/$E$2,E537)))))</f>
        <v>323199424.40953302</v>
      </c>
      <c r="G537" s="15" t="str">
        <f>VLOOKUP(B537,SPECIFICATIONF!$C$2:$D$65,2,0)</f>
        <v>GLOBAL HFT</v>
      </c>
      <c r="H537" s="12">
        <f t="shared" si="26"/>
        <v>4</v>
      </c>
      <c r="I537" s="12">
        <f t="shared" si="27"/>
        <v>2025</v>
      </c>
    </row>
    <row r="538" spans="1:9" ht="19.5" customHeight="1" x14ac:dyDescent="0.35">
      <c r="A538" s="41">
        <v>45768</v>
      </c>
      <c r="B538" s="8" t="s">
        <v>32</v>
      </c>
      <c r="C538" s="42" t="s">
        <v>33</v>
      </c>
      <c r="D538" s="43" t="s">
        <v>29</v>
      </c>
      <c r="E538" s="46">
        <v>59738050</v>
      </c>
      <c r="F538" s="2">
        <f>IF(C538="GBP",E538*$C$3,IF(C538="TRY",E538/$C$1,IF(C538="EUR",E538*$E$1,IF(C538="RUB",E538/#REF!,IF(C538="EGP",E538/$E$2,E538)))))</f>
        <v>59738050</v>
      </c>
      <c r="G538" s="15" t="str">
        <f>VLOOKUP(B538,SPECIFICATIONF!$C$2:$D$65,2,0)</f>
        <v>GLOBAL HFT</v>
      </c>
      <c r="H538" s="12">
        <f t="shared" si="26"/>
        <v>4</v>
      </c>
      <c r="I538" s="12">
        <f t="shared" si="27"/>
        <v>2025</v>
      </c>
    </row>
    <row r="539" spans="1:9" ht="19.5" customHeight="1" x14ac:dyDescent="0.35">
      <c r="A539" s="41">
        <v>45768</v>
      </c>
      <c r="B539" s="8" t="s">
        <v>24</v>
      </c>
      <c r="C539" s="42" t="s">
        <v>11</v>
      </c>
      <c r="D539" s="43" t="s">
        <v>30</v>
      </c>
      <c r="E539" s="46">
        <v>4.01</v>
      </c>
      <c r="F539" s="2">
        <f>IF(C539="GBP",E539*$C$3,IF(C539="TRY",E539/$C$1,IF(C539="EUR",E539*$E$1,IF(C539="RUB",E539/#REF!,IF(C539="EGP",E539/$E$2,E539)))))</f>
        <v>0.10996273332803171</v>
      </c>
      <c r="G539" s="15" t="str">
        <f>VLOOKUP(B539,SPECIFICATIONF!$C$2:$D$65,2,0)</f>
        <v>GLOBAL RETAIL</v>
      </c>
      <c r="H539" s="12">
        <f t="shared" si="26"/>
        <v>4</v>
      </c>
      <c r="I539" s="12">
        <f t="shared" si="27"/>
        <v>2025</v>
      </c>
    </row>
    <row r="540" spans="1:9" ht="19.5" customHeight="1" x14ac:dyDescent="0.35">
      <c r="A540" s="41">
        <v>45768</v>
      </c>
      <c r="B540" s="8" t="s">
        <v>24</v>
      </c>
      <c r="C540" s="42" t="s">
        <v>33</v>
      </c>
      <c r="D540" s="43" t="s">
        <v>30</v>
      </c>
      <c r="E540" s="46">
        <v>0</v>
      </c>
      <c r="F540" s="2">
        <f>IF(C540="GBP",E540*$C$3,IF(C540="TRY",E540/$C$1,IF(C540="EUR",E540*$E$1,IF(C540="RUB",E540/#REF!,IF(C540="EGP",E540/$E$2,E540)))))</f>
        <v>0</v>
      </c>
      <c r="G540" s="15" t="str">
        <f>VLOOKUP(B540,SPECIFICATIONF!$C$2:$D$65,2,0)</f>
        <v>GLOBAL RETAIL</v>
      </c>
      <c r="H540" s="12">
        <f t="shared" si="26"/>
        <v>4</v>
      </c>
      <c r="I540" s="12">
        <f t="shared" si="27"/>
        <v>2025</v>
      </c>
    </row>
    <row r="541" spans="1:9" ht="19.5" customHeight="1" x14ac:dyDescent="0.35">
      <c r="A541" s="41">
        <v>45768</v>
      </c>
      <c r="B541" s="8" t="s">
        <v>24</v>
      </c>
      <c r="C541" s="42" t="s">
        <v>11</v>
      </c>
      <c r="D541" s="43" t="s">
        <v>29</v>
      </c>
      <c r="E541" s="47">
        <v>3339</v>
      </c>
      <c r="F541" s="2">
        <f>IF(C541="GBP",E541*$C$3,IF(C541="TRY",E541/$C$1,IF(C541="EUR",E541*$E$1,IF(C541="RUB",E541/#REF!,IF(C541="EGP",E541/$E$2,E541)))))</f>
        <v>91.562485431994489</v>
      </c>
      <c r="G541" s="15" t="str">
        <f>VLOOKUP(B541,SPECIFICATIONF!$C$2:$D$65,2,0)</f>
        <v>GLOBAL RETAIL</v>
      </c>
      <c r="H541" s="12">
        <f t="shared" si="26"/>
        <v>4</v>
      </c>
      <c r="I541" s="12">
        <f t="shared" si="27"/>
        <v>2025</v>
      </c>
    </row>
    <row r="542" spans="1:9" ht="19.5" customHeight="1" x14ac:dyDescent="0.35">
      <c r="A542" s="41">
        <v>45768</v>
      </c>
      <c r="B542" s="8" t="s">
        <v>24</v>
      </c>
      <c r="C542" s="42" t="s">
        <v>33</v>
      </c>
      <c r="D542" s="43" t="s">
        <v>29</v>
      </c>
      <c r="E542" s="46">
        <v>0</v>
      </c>
      <c r="F542" s="2">
        <f>IF(C542="GBP",E542*$C$3,IF(C542="TRY",E542/$C$1,IF(C542="EUR",E542*$E$1,IF(C542="RUB",E542/#REF!,IF(C542="EGP",E542/$E$2,E542)))))</f>
        <v>0</v>
      </c>
      <c r="G542" s="15" t="str">
        <f>VLOOKUP(B542,SPECIFICATIONF!$C$2:$D$65,2,0)</f>
        <v>GLOBAL RETAIL</v>
      </c>
      <c r="H542" s="12">
        <f t="shared" si="26"/>
        <v>4</v>
      </c>
      <c r="I542" s="12">
        <f t="shared" si="27"/>
        <v>2025</v>
      </c>
    </row>
    <row r="543" spans="1:9" ht="19.5" customHeight="1" x14ac:dyDescent="0.35">
      <c r="A543" s="41">
        <v>45769</v>
      </c>
      <c r="B543" s="8" t="s">
        <v>32</v>
      </c>
      <c r="C543" s="42" t="s">
        <v>11</v>
      </c>
      <c r="D543" s="43" t="s">
        <v>30</v>
      </c>
      <c r="E543" s="46">
        <v>2457257.35</v>
      </c>
      <c r="F543" s="2">
        <f>IF(C543="GBP",E543*$C$3,IF(C543="TRY",E543/$C$1,IF(C543="EUR",E543*$E$1,IF(C543="RUB",E543/#REF!,IF(C543="EGP",E543/$E$2,E543)))))</f>
        <v>67383.225610073787</v>
      </c>
      <c r="G543" s="15" t="str">
        <f>VLOOKUP(B543,SPECIFICATIONF!$C$2:$D$65,2,0)</f>
        <v>GLOBAL HFT</v>
      </c>
      <c r="H543" s="12">
        <f t="shared" si="26"/>
        <v>4</v>
      </c>
      <c r="I543" s="12">
        <f t="shared" si="27"/>
        <v>2025</v>
      </c>
    </row>
    <row r="544" spans="1:9" ht="19.5" customHeight="1" x14ac:dyDescent="0.35">
      <c r="A544" s="41">
        <v>45769</v>
      </c>
      <c r="B544" s="8" t="s">
        <v>32</v>
      </c>
      <c r="C544" s="42" t="s">
        <v>33</v>
      </c>
      <c r="D544" s="43" t="s">
        <v>30</v>
      </c>
      <c r="E544" s="46">
        <v>14244.6</v>
      </c>
      <c r="F544" s="2">
        <f>IF(C544="GBP",E544*$C$3,IF(C544="TRY",E544/$C$1,IF(C544="EUR",E544*$E$1,IF(C544="RUB",E544/#REF!,IF(C544="EGP",E544/$E$2,E544)))))</f>
        <v>14244.6</v>
      </c>
      <c r="G544" s="15" t="str">
        <f>VLOOKUP(B544,SPECIFICATIONF!$C$2:$D$65,2,0)</f>
        <v>GLOBAL HFT</v>
      </c>
      <c r="H544" s="12">
        <f t="shared" si="26"/>
        <v>4</v>
      </c>
      <c r="I544" s="12">
        <f t="shared" si="27"/>
        <v>2025</v>
      </c>
    </row>
    <row r="545" spans="1:9" ht="19.5" customHeight="1" x14ac:dyDescent="0.35">
      <c r="A545" s="41">
        <v>45769</v>
      </c>
      <c r="B545" s="8" t="s">
        <v>32</v>
      </c>
      <c r="C545" s="42" t="s">
        <v>11</v>
      </c>
      <c r="D545" s="43" t="s">
        <v>29</v>
      </c>
      <c r="E545" s="47">
        <v>9821894203</v>
      </c>
      <c r="F545" s="2">
        <f>IF(C545="GBP",E545*$C$3,IF(C545="TRY",E545/$C$1,IF(C545="EUR",E545*$E$1,IF(C545="RUB",E545/#REF!,IF(C545="EGP",E545/$E$2,E545)))))</f>
        <v>269337240.15477049</v>
      </c>
      <c r="G545" s="15" t="str">
        <f>VLOOKUP(B545,SPECIFICATIONF!$C$2:$D$65,2,0)</f>
        <v>GLOBAL HFT</v>
      </c>
      <c r="H545" s="12">
        <f t="shared" si="26"/>
        <v>4</v>
      </c>
      <c r="I545" s="12">
        <f t="shared" si="27"/>
        <v>2025</v>
      </c>
    </row>
    <row r="546" spans="1:9" ht="19.5" customHeight="1" x14ac:dyDescent="0.35">
      <c r="A546" s="41">
        <v>45769</v>
      </c>
      <c r="B546" s="8" t="s">
        <v>32</v>
      </c>
      <c r="C546" s="42" t="s">
        <v>33</v>
      </c>
      <c r="D546" s="43" t="s">
        <v>29</v>
      </c>
      <c r="E546" s="46">
        <v>49641348</v>
      </c>
      <c r="F546" s="2">
        <f>IF(C546="GBP",E546*$C$3,IF(C546="TRY",E546/$C$1,IF(C546="EUR",E546*$E$1,IF(C546="RUB",E546/#REF!,IF(C546="EGP",E546/$E$2,E546)))))</f>
        <v>49641348</v>
      </c>
      <c r="G546" s="15" t="str">
        <f>VLOOKUP(B546,SPECIFICATIONF!$C$2:$D$65,2,0)</f>
        <v>GLOBAL HFT</v>
      </c>
      <c r="H546" s="12">
        <f t="shared" si="26"/>
        <v>4</v>
      </c>
      <c r="I546" s="12">
        <f t="shared" si="27"/>
        <v>2025</v>
      </c>
    </row>
    <row r="547" spans="1:9" ht="19.5" customHeight="1" x14ac:dyDescent="0.35">
      <c r="A547" s="41">
        <v>45769</v>
      </c>
      <c r="B547" s="8" t="s">
        <v>24</v>
      </c>
      <c r="C547" s="42" t="s">
        <v>11</v>
      </c>
      <c r="D547" s="43" t="s">
        <v>30</v>
      </c>
      <c r="E547" s="46">
        <v>0</v>
      </c>
      <c r="F547" s="2">
        <f>IF(C547="GBP",E547*$C$3,IF(C547="TRY",E547/$C$1,IF(C547="EUR",E547*$E$1,IF(C547="RUB",E547/#REF!,IF(C547="EGP",E547/$E$2,E547)))))</f>
        <v>0</v>
      </c>
      <c r="G547" s="15" t="str">
        <f>VLOOKUP(B547,SPECIFICATIONF!$C$2:$D$65,2,0)</f>
        <v>GLOBAL RETAIL</v>
      </c>
      <c r="H547" s="12">
        <f t="shared" si="26"/>
        <v>4</v>
      </c>
      <c r="I547" s="12">
        <f t="shared" si="27"/>
        <v>2025</v>
      </c>
    </row>
    <row r="548" spans="1:9" ht="19.5" customHeight="1" x14ac:dyDescent="0.35">
      <c r="A548" s="41">
        <v>45769</v>
      </c>
      <c r="B548" s="8" t="s">
        <v>24</v>
      </c>
      <c r="C548" s="42" t="s">
        <v>33</v>
      </c>
      <c r="D548" s="43" t="s">
        <v>30</v>
      </c>
      <c r="E548" s="46">
        <v>163.78</v>
      </c>
      <c r="F548" s="2">
        <f>IF(C548="GBP",E548*$C$3,IF(C548="TRY",E548/$C$1,IF(C548="EUR",E548*$E$1,IF(C548="RUB",E548/#REF!,IF(C548="EGP",E548/$E$2,E548)))))</f>
        <v>163.78</v>
      </c>
      <c r="G548" s="15" t="str">
        <f>VLOOKUP(B548,SPECIFICATIONF!$C$2:$D$65,2,0)</f>
        <v>GLOBAL RETAIL</v>
      </c>
      <c r="H548" s="12">
        <f t="shared" si="26"/>
        <v>4</v>
      </c>
      <c r="I548" s="12">
        <f t="shared" si="27"/>
        <v>2025</v>
      </c>
    </row>
    <row r="549" spans="1:9" ht="19.5" customHeight="1" x14ac:dyDescent="0.35">
      <c r="A549" s="41">
        <v>45769</v>
      </c>
      <c r="B549" s="8" t="s">
        <v>24</v>
      </c>
      <c r="C549" s="42" t="s">
        <v>11</v>
      </c>
      <c r="D549" s="43" t="s">
        <v>29</v>
      </c>
      <c r="E549" s="47">
        <v>0</v>
      </c>
      <c r="F549" s="2">
        <f>IF(C549="GBP",E549*$C$3,IF(C549="TRY",E549/$C$1,IF(C549="EUR",E549*$E$1,IF(C549="RUB",E549/#REF!,IF(C549="EGP",E549/$E$2,E549)))))</f>
        <v>0</v>
      </c>
      <c r="G549" s="15" t="str">
        <f>VLOOKUP(B549,SPECIFICATIONF!$C$2:$D$65,2,0)</f>
        <v>GLOBAL RETAIL</v>
      </c>
      <c r="H549" s="12">
        <f t="shared" si="26"/>
        <v>4</v>
      </c>
      <c r="I549" s="12">
        <f t="shared" si="27"/>
        <v>2025</v>
      </c>
    </row>
    <row r="550" spans="1:9" ht="19.5" customHeight="1" x14ac:dyDescent="0.35">
      <c r="A550" s="41">
        <v>45769</v>
      </c>
      <c r="B550" s="8" t="s">
        <v>24</v>
      </c>
      <c r="C550" s="42" t="s">
        <v>33</v>
      </c>
      <c r="D550" s="43" t="s">
        <v>29</v>
      </c>
      <c r="E550" s="46">
        <v>181846</v>
      </c>
      <c r="F550" s="2">
        <f>IF(C550="GBP",E550*$C$3,IF(C550="TRY",E550/$C$1,IF(C550="EUR",E550*$E$1,IF(C550="RUB",E550/#REF!,IF(C550="EGP",E550/$E$2,E550)))))</f>
        <v>181846</v>
      </c>
      <c r="G550" s="15" t="str">
        <f>VLOOKUP(B550,SPECIFICATIONF!$C$2:$D$65,2,0)</f>
        <v>GLOBAL RETAIL</v>
      </c>
      <c r="H550" s="12">
        <f t="shared" ref="H550:H613" si="28">MONTH(A550)</f>
        <v>4</v>
      </c>
      <c r="I550" s="12">
        <f t="shared" ref="I550:I613" si="29">YEAR(A550)</f>
        <v>2025</v>
      </c>
    </row>
    <row r="551" spans="1:9" ht="19.5" customHeight="1" x14ac:dyDescent="0.35">
      <c r="A551" s="41">
        <v>45770</v>
      </c>
      <c r="B551" s="8" t="s">
        <v>32</v>
      </c>
      <c r="C551" s="42" t="s">
        <v>11</v>
      </c>
      <c r="D551" s="43" t="s">
        <v>30</v>
      </c>
      <c r="E551" s="46">
        <v>3789169.29</v>
      </c>
      <c r="F551" s="2">
        <f>IF(C551="GBP",E551*$C$3,IF(C551="TRY",E551/$C$1,IF(C551="EUR",E551*$E$1,IF(C551="RUB",E551/#REF!,IF(C551="EGP",E551/$E$2,E551)))))</f>
        <v>103907.08532943572</v>
      </c>
      <c r="G551" s="15" t="str">
        <f>VLOOKUP(B551,SPECIFICATIONF!$C$2:$D$65,2,0)</f>
        <v>GLOBAL HFT</v>
      </c>
      <c r="H551" s="12">
        <f t="shared" si="28"/>
        <v>4</v>
      </c>
      <c r="I551" s="12">
        <f t="shared" si="29"/>
        <v>2025</v>
      </c>
    </row>
    <row r="552" spans="1:9" ht="19.5" customHeight="1" x14ac:dyDescent="0.35">
      <c r="A552" s="41">
        <v>45770</v>
      </c>
      <c r="B552" s="8" t="s">
        <v>32</v>
      </c>
      <c r="C552" s="42" t="s">
        <v>33</v>
      </c>
      <c r="D552" s="43" t="s">
        <v>30</v>
      </c>
      <c r="E552" s="46">
        <v>21948.400000000001</v>
      </c>
      <c r="F552" s="2">
        <f>IF(C552="GBP",E552*$C$3,IF(C552="TRY",E552/$C$1,IF(C552="EUR",E552*$E$1,IF(C552="RUB",E552/#REF!,IF(C552="EGP",E552/$E$2,E552)))))</f>
        <v>21948.400000000001</v>
      </c>
      <c r="G552" s="15" t="str">
        <f>VLOOKUP(B552,SPECIFICATIONF!$C$2:$D$65,2,0)</f>
        <v>GLOBAL HFT</v>
      </c>
      <c r="H552" s="12">
        <f t="shared" si="28"/>
        <v>4</v>
      </c>
      <c r="I552" s="12">
        <f t="shared" si="29"/>
        <v>2025</v>
      </c>
    </row>
    <row r="553" spans="1:9" ht="19.5" customHeight="1" x14ac:dyDescent="0.35">
      <c r="A553" s="41">
        <v>45770</v>
      </c>
      <c r="B553" s="8" t="s">
        <v>32</v>
      </c>
      <c r="C553" s="42" t="s">
        <v>11</v>
      </c>
      <c r="D553" s="43" t="s">
        <v>29</v>
      </c>
      <c r="E553" s="47">
        <v>14419506523</v>
      </c>
      <c r="F553" s="2">
        <f>IF(C553="GBP",E553*$C$3,IF(C553="TRY",E553/$C$1,IF(C553="EUR",E553*$E$1,IF(C553="RUB",E553/#REF!,IF(C553="EGP",E553/$E$2,E553)))))</f>
        <v>395413553.74325758</v>
      </c>
      <c r="G553" s="15" t="str">
        <f>VLOOKUP(B553,SPECIFICATIONF!$C$2:$D$65,2,0)</f>
        <v>GLOBAL HFT</v>
      </c>
      <c r="H553" s="12">
        <f t="shared" si="28"/>
        <v>4</v>
      </c>
      <c r="I553" s="12">
        <f t="shared" si="29"/>
        <v>2025</v>
      </c>
    </row>
    <row r="554" spans="1:9" ht="19.5" customHeight="1" x14ac:dyDescent="0.35">
      <c r="A554" s="41">
        <v>45770</v>
      </c>
      <c r="B554" s="8" t="s">
        <v>32</v>
      </c>
      <c r="C554" s="42" t="s">
        <v>33</v>
      </c>
      <c r="D554" s="43" t="s">
        <v>29</v>
      </c>
      <c r="E554" s="46">
        <v>76059624</v>
      </c>
      <c r="F554" s="2">
        <f>IF(C554="GBP",E554*$C$3,IF(C554="TRY",E554/$C$1,IF(C554="EUR",E554*$E$1,IF(C554="RUB",E554/#REF!,IF(C554="EGP",E554/$E$2,E554)))))</f>
        <v>76059624</v>
      </c>
      <c r="G554" s="15" t="str">
        <f>VLOOKUP(B554,SPECIFICATIONF!$C$2:$D$65,2,0)</f>
        <v>GLOBAL HFT</v>
      </c>
      <c r="H554" s="12">
        <f t="shared" si="28"/>
        <v>4</v>
      </c>
      <c r="I554" s="12">
        <f t="shared" si="29"/>
        <v>2025</v>
      </c>
    </row>
    <row r="555" spans="1:9" ht="19.5" customHeight="1" x14ac:dyDescent="0.35">
      <c r="A555" s="41">
        <v>45770</v>
      </c>
      <c r="B555" s="8" t="s">
        <v>24</v>
      </c>
      <c r="C555" s="42" t="s">
        <v>11</v>
      </c>
      <c r="D555" s="43" t="s">
        <v>30</v>
      </c>
      <c r="E555" s="46">
        <v>0</v>
      </c>
      <c r="F555" s="2">
        <f>IF(C555="GBP",E555*$C$3,IF(C555="TRY",E555/$C$1,IF(C555="EUR",E555*$E$1,IF(C555="RUB",E555/#REF!,IF(C555="EGP",E555/$E$2,E555)))))</f>
        <v>0</v>
      </c>
      <c r="G555" s="15" t="str">
        <f>VLOOKUP(B555,SPECIFICATIONF!$C$2:$D$65,2,0)</f>
        <v>GLOBAL RETAIL</v>
      </c>
      <c r="H555" s="12">
        <f t="shared" si="28"/>
        <v>4</v>
      </c>
      <c r="I555" s="12">
        <f t="shared" si="29"/>
        <v>2025</v>
      </c>
    </row>
    <row r="556" spans="1:9" ht="19.5" customHeight="1" x14ac:dyDescent="0.35">
      <c r="A556" s="41">
        <v>45770</v>
      </c>
      <c r="B556" s="8" t="s">
        <v>24</v>
      </c>
      <c r="C556" s="42" t="s">
        <v>33</v>
      </c>
      <c r="D556" s="43" t="s">
        <v>30</v>
      </c>
      <c r="E556" s="46">
        <v>118.1</v>
      </c>
      <c r="F556" s="2">
        <f>IF(C556="GBP",E556*$C$3,IF(C556="TRY",E556/$C$1,IF(C556="EUR",E556*$E$1,IF(C556="RUB",E556/#REF!,IF(C556="EGP",E556/$E$2,E556)))))</f>
        <v>118.1</v>
      </c>
      <c r="G556" s="15" t="str">
        <f>VLOOKUP(B556,SPECIFICATIONF!$C$2:$D$65,2,0)</f>
        <v>GLOBAL RETAIL</v>
      </c>
      <c r="H556" s="12">
        <f t="shared" si="28"/>
        <v>4</v>
      </c>
      <c r="I556" s="12">
        <f t="shared" si="29"/>
        <v>2025</v>
      </c>
    </row>
    <row r="557" spans="1:9" ht="19.5" customHeight="1" x14ac:dyDescent="0.35">
      <c r="A557" s="41">
        <v>45770</v>
      </c>
      <c r="B557" s="8" t="s">
        <v>24</v>
      </c>
      <c r="C557" s="42" t="s">
        <v>11</v>
      </c>
      <c r="D557" s="43" t="s">
        <v>29</v>
      </c>
      <c r="E557" s="47">
        <v>0</v>
      </c>
      <c r="F557" s="2">
        <f>IF(C557="GBP",E557*$C$3,IF(C557="TRY",E557/$C$1,IF(C557="EUR",E557*$E$1,IF(C557="RUB",E557/#REF!,IF(C557="EGP",E557/$E$2,E557)))))</f>
        <v>0</v>
      </c>
      <c r="G557" s="15" t="str">
        <f>VLOOKUP(B557,SPECIFICATIONF!$C$2:$D$65,2,0)</f>
        <v>GLOBAL RETAIL</v>
      </c>
      <c r="H557" s="12">
        <f t="shared" si="28"/>
        <v>4</v>
      </c>
      <c r="I557" s="12">
        <f t="shared" si="29"/>
        <v>2025</v>
      </c>
    </row>
    <row r="558" spans="1:9" ht="19.5" customHeight="1" x14ac:dyDescent="0.35">
      <c r="A558" s="41">
        <v>45770</v>
      </c>
      <c r="B558" s="8" t="s">
        <v>24</v>
      </c>
      <c r="C558" s="42" t="s">
        <v>33</v>
      </c>
      <c r="D558" s="43" t="s">
        <v>29</v>
      </c>
      <c r="E558" s="46">
        <v>131220</v>
      </c>
      <c r="F558" s="2">
        <f>IF(C558="GBP",E558*$C$3,IF(C558="TRY",E558/$C$1,IF(C558="EUR",E558*$E$1,IF(C558="RUB",E558/#REF!,IF(C558="EGP",E558/$E$2,E558)))))</f>
        <v>131220</v>
      </c>
      <c r="G558" s="15" t="str">
        <f>VLOOKUP(B558,SPECIFICATIONF!$C$2:$D$65,2,0)</f>
        <v>GLOBAL RETAIL</v>
      </c>
      <c r="H558" s="12">
        <f t="shared" si="28"/>
        <v>4</v>
      </c>
      <c r="I558" s="12">
        <f t="shared" si="29"/>
        <v>2025</v>
      </c>
    </row>
    <row r="559" spans="1:9" ht="19.5" customHeight="1" x14ac:dyDescent="0.35">
      <c r="A559" s="41">
        <v>45771</v>
      </c>
      <c r="B559" s="8" t="s">
        <v>32</v>
      </c>
      <c r="C559" s="42" t="s">
        <v>11</v>
      </c>
      <c r="D559" s="43" t="s">
        <v>30</v>
      </c>
      <c r="E559" s="46">
        <v>2603123.87</v>
      </c>
      <c r="F559" s="2">
        <f>IF(C559="GBP",E559*$C$3,IF(C559="TRY",E559/$C$1,IF(C559="EUR",E559*$E$1,IF(C559="RUB",E559/#REF!,IF(C559="EGP",E559/$E$2,E559)))))</f>
        <v>71383.195994175534</v>
      </c>
      <c r="G559" s="15" t="str">
        <f>VLOOKUP(B559,SPECIFICATIONF!$C$2:$D$65,2,0)</f>
        <v>GLOBAL HFT</v>
      </c>
      <c r="H559" s="12">
        <f t="shared" si="28"/>
        <v>4</v>
      </c>
      <c r="I559" s="12">
        <f t="shared" si="29"/>
        <v>2025</v>
      </c>
    </row>
    <row r="560" spans="1:9" ht="19.5" customHeight="1" x14ac:dyDescent="0.35">
      <c r="A560" s="41">
        <v>45771</v>
      </c>
      <c r="B560" s="8" t="s">
        <v>32</v>
      </c>
      <c r="C560" s="42" t="s">
        <v>33</v>
      </c>
      <c r="D560" s="43" t="s">
        <v>30</v>
      </c>
      <c r="E560" s="46">
        <v>13875.02</v>
      </c>
      <c r="F560" s="2">
        <f>IF(C560="GBP",E560*$C$3,IF(C560="TRY",E560/$C$1,IF(C560="EUR",E560*$E$1,IF(C560="RUB",E560/#REF!,IF(C560="EGP",E560/$E$2,E560)))))</f>
        <v>13875.02</v>
      </c>
      <c r="G560" s="15" t="str">
        <f>VLOOKUP(B560,SPECIFICATIONF!$C$2:$D$65,2,0)</f>
        <v>GLOBAL HFT</v>
      </c>
      <c r="H560" s="12">
        <f t="shared" si="28"/>
        <v>4</v>
      </c>
      <c r="I560" s="12">
        <f t="shared" si="29"/>
        <v>2025</v>
      </c>
    </row>
    <row r="561" spans="1:9" ht="19.5" customHeight="1" x14ac:dyDescent="0.35">
      <c r="A561" s="41">
        <v>45771</v>
      </c>
      <c r="B561" s="8" t="s">
        <v>32</v>
      </c>
      <c r="C561" s="42" t="s">
        <v>11</v>
      </c>
      <c r="D561" s="43" t="s">
        <v>29</v>
      </c>
      <c r="E561" s="47">
        <v>10273630089</v>
      </c>
      <c r="F561" s="2">
        <f>IF(C561="GBP",E561*$C$3,IF(C561="TRY",E561/$C$1,IF(C561="EUR",E561*$E$1,IF(C561="RUB",E561/#REF!,IF(C561="EGP",E561/$E$2,E561)))))</f>
        <v>281724799.44826674</v>
      </c>
      <c r="G561" s="15" t="str">
        <f>VLOOKUP(B561,SPECIFICATIONF!$C$2:$D$65,2,0)</f>
        <v>GLOBAL HFT</v>
      </c>
      <c r="H561" s="12">
        <f t="shared" si="28"/>
        <v>4</v>
      </c>
      <c r="I561" s="12">
        <f t="shared" si="29"/>
        <v>2025</v>
      </c>
    </row>
    <row r="562" spans="1:9" ht="19.5" customHeight="1" x14ac:dyDescent="0.35">
      <c r="A562" s="41">
        <v>45771</v>
      </c>
      <c r="B562" s="8" t="s">
        <v>32</v>
      </c>
      <c r="C562" s="42" t="s">
        <v>33</v>
      </c>
      <c r="D562" s="43" t="s">
        <v>29</v>
      </c>
      <c r="E562" s="46">
        <v>49906938</v>
      </c>
      <c r="F562" s="2">
        <f>IF(C562="GBP",E562*$C$3,IF(C562="TRY",E562/$C$1,IF(C562="EUR",E562*$E$1,IF(C562="RUB",E562/#REF!,IF(C562="EGP",E562/$E$2,E562)))))</f>
        <v>49906938</v>
      </c>
      <c r="G562" s="15" t="str">
        <f>VLOOKUP(B562,SPECIFICATIONF!$C$2:$D$65,2,0)</f>
        <v>GLOBAL HFT</v>
      </c>
      <c r="H562" s="12">
        <f t="shared" si="28"/>
        <v>4</v>
      </c>
      <c r="I562" s="12">
        <f t="shared" si="29"/>
        <v>2025</v>
      </c>
    </row>
    <row r="563" spans="1:9" ht="19.5" customHeight="1" x14ac:dyDescent="0.35">
      <c r="A563" s="41">
        <v>45771</v>
      </c>
      <c r="B563" s="8" t="s">
        <v>24</v>
      </c>
      <c r="C563" s="42" t="s">
        <v>11</v>
      </c>
      <c r="D563" s="43" t="s">
        <v>30</v>
      </c>
      <c r="E563" s="46">
        <v>0</v>
      </c>
      <c r="F563" s="2">
        <f>IF(C563="GBP",E563*$C$3,IF(C563="TRY",E563/$C$1,IF(C563="EUR",E563*$E$1,IF(C563="RUB",E563/#REF!,IF(C563="EGP",E563/$E$2,E563)))))</f>
        <v>0</v>
      </c>
      <c r="G563" s="15" t="str">
        <f>VLOOKUP(B563,SPECIFICATIONF!$C$2:$D$65,2,0)</f>
        <v>GLOBAL RETAIL</v>
      </c>
      <c r="H563" s="12">
        <f t="shared" si="28"/>
        <v>4</v>
      </c>
      <c r="I563" s="12">
        <f t="shared" si="29"/>
        <v>2025</v>
      </c>
    </row>
    <row r="564" spans="1:9" ht="19.5" customHeight="1" x14ac:dyDescent="0.35">
      <c r="A564" s="41">
        <v>45771</v>
      </c>
      <c r="B564" s="8" t="s">
        <v>24</v>
      </c>
      <c r="C564" s="42" t="s">
        <v>33</v>
      </c>
      <c r="D564" s="43" t="s">
        <v>30</v>
      </c>
      <c r="E564" s="46">
        <v>0</v>
      </c>
      <c r="F564" s="2">
        <f>IF(C564="GBP",E564*$C$3,IF(C564="TRY",E564/$C$1,IF(C564="EUR",E564*$E$1,IF(C564="RUB",E564/#REF!,IF(C564="EGP",E564/$E$2,E564)))))</f>
        <v>0</v>
      </c>
      <c r="G564" s="15" t="str">
        <f>VLOOKUP(B564,SPECIFICATIONF!$C$2:$D$65,2,0)</f>
        <v>GLOBAL RETAIL</v>
      </c>
      <c r="H564" s="12">
        <f t="shared" si="28"/>
        <v>4</v>
      </c>
      <c r="I564" s="12">
        <f t="shared" si="29"/>
        <v>2025</v>
      </c>
    </row>
    <row r="565" spans="1:9" ht="19.5" customHeight="1" x14ac:dyDescent="0.35">
      <c r="A565" s="41">
        <v>45771</v>
      </c>
      <c r="B565" s="8" t="s">
        <v>24</v>
      </c>
      <c r="C565" s="42" t="s">
        <v>11</v>
      </c>
      <c r="D565" s="43" t="s">
        <v>29</v>
      </c>
      <c r="E565" s="47">
        <v>0</v>
      </c>
      <c r="F565" s="2">
        <f>IF(C565="GBP",E565*$C$3,IF(C565="TRY",E565/$C$1,IF(C565="EUR",E565*$E$1,IF(C565="RUB",E565/#REF!,IF(C565="EGP",E565/$E$2,E565)))))</f>
        <v>0</v>
      </c>
      <c r="G565" s="15" t="str">
        <f>VLOOKUP(B565,SPECIFICATIONF!$C$2:$D$65,2,0)</f>
        <v>GLOBAL RETAIL</v>
      </c>
      <c r="H565" s="12">
        <f t="shared" si="28"/>
        <v>4</v>
      </c>
      <c r="I565" s="12">
        <f t="shared" si="29"/>
        <v>2025</v>
      </c>
    </row>
    <row r="566" spans="1:9" ht="19.5" customHeight="1" x14ac:dyDescent="0.35">
      <c r="A566" s="41">
        <v>45771</v>
      </c>
      <c r="B566" s="8" t="s">
        <v>24</v>
      </c>
      <c r="C566" s="42" t="s">
        <v>33</v>
      </c>
      <c r="D566" s="43" t="s">
        <v>29</v>
      </c>
      <c r="E566" s="46">
        <v>0</v>
      </c>
      <c r="F566" s="2">
        <f>IF(C566="GBP",E566*$C$3,IF(C566="TRY",E566/$C$1,IF(C566="EUR",E566*$E$1,IF(C566="RUB",E566/#REF!,IF(C566="EGP",E566/$E$2,E566)))))</f>
        <v>0</v>
      </c>
      <c r="G566" s="15" t="str">
        <f>VLOOKUP(B566,SPECIFICATIONF!$C$2:$D$65,2,0)</f>
        <v>GLOBAL RETAIL</v>
      </c>
      <c r="H566" s="12">
        <f t="shared" si="28"/>
        <v>4</v>
      </c>
      <c r="I566" s="12">
        <f t="shared" si="29"/>
        <v>2025</v>
      </c>
    </row>
    <row r="567" spans="1:9" ht="19.5" customHeight="1" x14ac:dyDescent="0.35">
      <c r="A567" s="41">
        <v>45772</v>
      </c>
      <c r="B567" s="8" t="s">
        <v>32</v>
      </c>
      <c r="C567" s="42" t="s">
        <v>11</v>
      </c>
      <c r="D567" s="43" t="s">
        <v>30</v>
      </c>
      <c r="E567" s="46">
        <v>2506768.7200000002</v>
      </c>
      <c r="F567" s="2">
        <f>IF(C567="GBP",E567*$C$3,IF(C567="TRY",E567/$C$1,IF(C567="EUR",E567*$E$1,IF(C567="RUB",E567/#REF!,IF(C567="EGP",E567/$E$2,E567)))))</f>
        <v>68740.932736262199</v>
      </c>
      <c r="G567" s="15" t="str">
        <f>VLOOKUP(B567,SPECIFICATIONF!$C$2:$D$65,2,0)</f>
        <v>GLOBAL HFT</v>
      </c>
      <c r="H567" s="12">
        <f t="shared" si="28"/>
        <v>4</v>
      </c>
      <c r="I567" s="12">
        <f t="shared" si="29"/>
        <v>2025</v>
      </c>
    </row>
    <row r="568" spans="1:9" ht="19.5" customHeight="1" x14ac:dyDescent="0.35">
      <c r="A568" s="41">
        <v>45772</v>
      </c>
      <c r="B568" s="8" t="s">
        <v>32</v>
      </c>
      <c r="C568" s="42" t="s">
        <v>33</v>
      </c>
      <c r="D568" s="43" t="s">
        <v>30</v>
      </c>
      <c r="E568" s="46">
        <v>12625.98</v>
      </c>
      <c r="F568" s="2">
        <f>IF(C568="GBP",E568*$C$3,IF(C568="TRY",E568/$C$1,IF(C568="EUR",E568*$E$1,IF(C568="RUB",E568/#REF!,IF(C568="EGP",E568/$E$2,E568)))))</f>
        <v>12625.98</v>
      </c>
      <c r="G568" s="15" t="str">
        <f>VLOOKUP(B568,SPECIFICATIONF!$C$2:$D$65,2,0)</f>
        <v>GLOBAL HFT</v>
      </c>
      <c r="H568" s="12">
        <f t="shared" si="28"/>
        <v>4</v>
      </c>
      <c r="I568" s="12">
        <f t="shared" si="29"/>
        <v>2025</v>
      </c>
    </row>
    <row r="569" spans="1:9" ht="19.5" customHeight="1" x14ac:dyDescent="0.35">
      <c r="A569" s="41">
        <v>45772</v>
      </c>
      <c r="B569" s="8" t="s">
        <v>32</v>
      </c>
      <c r="C569" s="42" t="s">
        <v>11</v>
      </c>
      <c r="D569" s="43" t="s">
        <v>29</v>
      </c>
      <c r="E569" s="47">
        <v>9748806522</v>
      </c>
      <c r="F569" s="2">
        <f>IF(C569="GBP",E569*$C$3,IF(C569="TRY",E569/$C$1,IF(C569="EUR",E569*$E$1,IF(C569="RUB",E569/#REF!,IF(C569="EGP",E569/$E$2,E569)))))</f>
        <v>267333020.41028985</v>
      </c>
      <c r="G569" s="15" t="str">
        <f>VLOOKUP(B569,SPECIFICATIONF!$C$2:$D$65,2,0)</f>
        <v>GLOBAL HFT</v>
      </c>
      <c r="H569" s="12">
        <f t="shared" si="28"/>
        <v>4</v>
      </c>
      <c r="I569" s="12">
        <f t="shared" si="29"/>
        <v>2025</v>
      </c>
    </row>
    <row r="570" spans="1:9" ht="19.5" customHeight="1" x14ac:dyDescent="0.35">
      <c r="A570" s="41">
        <v>45772</v>
      </c>
      <c r="B570" s="8" t="s">
        <v>32</v>
      </c>
      <c r="C570" s="42" t="s">
        <v>33</v>
      </c>
      <c r="D570" s="43" t="s">
        <v>29</v>
      </c>
      <c r="E570" s="46">
        <v>44960225</v>
      </c>
      <c r="F570" s="2">
        <f>IF(C570="GBP",E570*$C$3,IF(C570="TRY",E570/$C$1,IF(C570="EUR",E570*$E$1,IF(C570="RUB",E570/#REF!,IF(C570="EGP",E570/$E$2,E570)))))</f>
        <v>44960225</v>
      </c>
      <c r="G570" s="15" t="str">
        <f>VLOOKUP(B570,SPECIFICATIONF!$C$2:$D$65,2,0)</f>
        <v>GLOBAL HFT</v>
      </c>
      <c r="H570" s="12">
        <f t="shared" si="28"/>
        <v>4</v>
      </c>
      <c r="I570" s="12">
        <f t="shared" si="29"/>
        <v>2025</v>
      </c>
    </row>
    <row r="571" spans="1:9" ht="19.5" customHeight="1" x14ac:dyDescent="0.35">
      <c r="A571" s="41">
        <v>45772</v>
      </c>
      <c r="B571" s="8" t="s">
        <v>24</v>
      </c>
      <c r="C571" s="42" t="s">
        <v>11</v>
      </c>
      <c r="D571" s="43" t="s">
        <v>30</v>
      </c>
      <c r="E571" s="46">
        <v>0</v>
      </c>
      <c r="F571" s="2">
        <f>IF(C571="GBP",E571*$C$3,IF(C571="TRY",E571/$C$1,IF(C571="EUR",E571*$E$1,IF(C571="RUB",E571/#REF!,IF(C571="EGP",E571/$E$2,E571)))))</f>
        <v>0</v>
      </c>
      <c r="G571" s="15" t="str">
        <f>VLOOKUP(B571,SPECIFICATIONF!$C$2:$D$65,2,0)</f>
        <v>GLOBAL RETAIL</v>
      </c>
      <c r="H571" s="12">
        <f t="shared" si="28"/>
        <v>4</v>
      </c>
      <c r="I571" s="12">
        <f t="shared" si="29"/>
        <v>2025</v>
      </c>
    </row>
    <row r="572" spans="1:9" ht="19.5" customHeight="1" x14ac:dyDescent="0.35">
      <c r="A572" s="41">
        <v>45772</v>
      </c>
      <c r="B572" s="8" t="s">
        <v>24</v>
      </c>
      <c r="C572" s="42" t="s">
        <v>33</v>
      </c>
      <c r="D572" s="43" t="s">
        <v>30</v>
      </c>
      <c r="E572" s="46">
        <v>51.25</v>
      </c>
      <c r="F572" s="2">
        <f>IF(C572="GBP",E572*$C$3,IF(C572="TRY",E572/$C$1,IF(C572="EUR",E572*$E$1,IF(C572="RUB",E572/#REF!,IF(C572="EGP",E572/$E$2,E572)))))</f>
        <v>51.25</v>
      </c>
      <c r="G572" s="15" t="str">
        <f>VLOOKUP(B572,SPECIFICATIONF!$C$2:$D$65,2,0)</f>
        <v>GLOBAL RETAIL</v>
      </c>
      <c r="H572" s="12">
        <f t="shared" si="28"/>
        <v>4</v>
      </c>
      <c r="I572" s="12">
        <f t="shared" si="29"/>
        <v>2025</v>
      </c>
    </row>
    <row r="573" spans="1:9" ht="19.5" customHeight="1" x14ac:dyDescent="0.35">
      <c r="A573" s="41">
        <v>45772</v>
      </c>
      <c r="B573" s="8" t="s">
        <v>24</v>
      </c>
      <c r="C573" s="42" t="s">
        <v>11</v>
      </c>
      <c r="D573" s="43" t="s">
        <v>29</v>
      </c>
      <c r="E573" s="47">
        <v>0</v>
      </c>
      <c r="F573" s="2">
        <f>IF(C573="GBP",E573*$C$3,IF(C573="TRY",E573/$C$1,IF(C573="EUR",E573*$E$1,IF(C573="RUB",E573/#REF!,IF(C573="EGP",E573/$E$2,E573)))))</f>
        <v>0</v>
      </c>
      <c r="G573" s="15" t="str">
        <f>VLOOKUP(B573,SPECIFICATIONF!$C$2:$D$65,2,0)</f>
        <v>GLOBAL RETAIL</v>
      </c>
      <c r="H573" s="12">
        <f t="shared" si="28"/>
        <v>4</v>
      </c>
      <c r="I573" s="12">
        <f t="shared" si="29"/>
        <v>2025</v>
      </c>
    </row>
    <row r="574" spans="1:9" ht="19.5" customHeight="1" x14ac:dyDescent="0.35">
      <c r="A574" s="41">
        <v>45772</v>
      </c>
      <c r="B574" s="8" t="s">
        <v>24</v>
      </c>
      <c r="C574" s="42" t="s">
        <v>33</v>
      </c>
      <c r="D574" s="43" t="s">
        <v>29</v>
      </c>
      <c r="E574" s="46">
        <v>56940</v>
      </c>
      <c r="F574" s="2">
        <f>IF(C574="GBP",E574*$C$3,IF(C574="TRY",E574/$C$1,IF(C574="EUR",E574*$E$1,IF(C574="RUB",E574/#REF!,IF(C574="EGP",E574/$E$2,E574)))))</f>
        <v>56940</v>
      </c>
      <c r="G574" s="15" t="str">
        <f>VLOOKUP(B574,SPECIFICATIONF!$C$2:$D$65,2,0)</f>
        <v>GLOBAL RETAIL</v>
      </c>
      <c r="H574" s="12">
        <f t="shared" si="28"/>
        <v>4</v>
      </c>
      <c r="I574" s="12">
        <f t="shared" si="29"/>
        <v>2025</v>
      </c>
    </row>
    <row r="575" spans="1:9" ht="19.5" customHeight="1" x14ac:dyDescent="0.35">
      <c r="A575" s="41">
        <v>45773</v>
      </c>
      <c r="B575" s="8" t="s">
        <v>32</v>
      </c>
      <c r="C575" s="42" t="s">
        <v>11</v>
      </c>
      <c r="D575" s="43" t="s">
        <v>30</v>
      </c>
      <c r="E575" s="46">
        <v>2599471.5299999998</v>
      </c>
      <c r="F575" s="2">
        <f>IF(C575="GBP",E575*$C$3,IF(C575="TRY",E575/$C$1,IF(C575="EUR",E575*$E$1,IF(C575="RUB",E575/#REF!,IF(C575="EGP",E575/$E$2,E575)))))</f>
        <v>71283.041059152267</v>
      </c>
      <c r="G575" s="15" t="str">
        <f>VLOOKUP(B575,SPECIFICATIONF!$C$2:$D$65,2,0)</f>
        <v>GLOBAL HFT</v>
      </c>
      <c r="H575" s="12">
        <f t="shared" si="28"/>
        <v>4</v>
      </c>
      <c r="I575" s="12">
        <f t="shared" si="29"/>
        <v>2025</v>
      </c>
    </row>
    <row r="576" spans="1:9" ht="19.5" customHeight="1" x14ac:dyDescent="0.35">
      <c r="A576" s="41">
        <v>45773</v>
      </c>
      <c r="B576" s="8" t="s">
        <v>32</v>
      </c>
      <c r="C576" s="42" t="s">
        <v>33</v>
      </c>
      <c r="D576" s="43" t="s">
        <v>30</v>
      </c>
      <c r="E576" s="46">
        <v>12394.22</v>
      </c>
      <c r="F576" s="2">
        <f>IF(C576="GBP",E576*$C$3,IF(C576="TRY",E576/$C$1,IF(C576="EUR",E576*$E$1,IF(C576="RUB",E576/#REF!,IF(C576="EGP",E576/$E$2,E576)))))</f>
        <v>12394.22</v>
      </c>
      <c r="G576" s="15" t="str">
        <f>VLOOKUP(B576,SPECIFICATIONF!$C$2:$D$65,2,0)</f>
        <v>GLOBAL HFT</v>
      </c>
      <c r="H576" s="12">
        <f t="shared" si="28"/>
        <v>4</v>
      </c>
      <c r="I576" s="12">
        <f t="shared" si="29"/>
        <v>2025</v>
      </c>
    </row>
    <row r="577" spans="1:9" ht="19.5" customHeight="1" x14ac:dyDescent="0.35">
      <c r="A577" s="41">
        <v>45773</v>
      </c>
      <c r="B577" s="8" t="s">
        <v>32</v>
      </c>
      <c r="C577" s="42" t="s">
        <v>11</v>
      </c>
      <c r="D577" s="43" t="s">
        <v>29</v>
      </c>
      <c r="E577" s="47">
        <v>10174749350</v>
      </c>
      <c r="F577" s="2">
        <f>IF(C577="GBP",E577*$C$3,IF(C577="TRY",E577/$C$1,IF(C577="EUR",E577*$E$1,IF(C577="RUB",E577/#REF!,IF(C577="EGP",E577/$E$2,E577)))))</f>
        <v>279013279.16548979</v>
      </c>
      <c r="G577" s="15" t="str">
        <f>VLOOKUP(B577,SPECIFICATIONF!$C$2:$D$65,2,0)</f>
        <v>GLOBAL HFT</v>
      </c>
      <c r="H577" s="12">
        <f t="shared" si="28"/>
        <v>4</v>
      </c>
      <c r="I577" s="12">
        <f t="shared" si="29"/>
        <v>2025</v>
      </c>
    </row>
    <row r="578" spans="1:9" ht="19.5" customHeight="1" x14ac:dyDescent="0.35">
      <c r="A578" s="41">
        <v>45773</v>
      </c>
      <c r="B578" s="8" t="s">
        <v>32</v>
      </c>
      <c r="C578" s="42" t="s">
        <v>33</v>
      </c>
      <c r="D578" s="43" t="s">
        <v>29</v>
      </c>
      <c r="E578" s="46">
        <v>45418927</v>
      </c>
      <c r="F578" s="2">
        <f>IF(C578="GBP",E578*$C$3,IF(C578="TRY",E578/$C$1,IF(C578="EUR",E578*$E$1,IF(C578="RUB",E578/#REF!,IF(C578="EGP",E578/$E$2,E578)))))</f>
        <v>45418927</v>
      </c>
      <c r="G578" s="15" t="str">
        <f>VLOOKUP(B578,SPECIFICATIONF!$C$2:$D$65,2,0)</f>
        <v>GLOBAL HFT</v>
      </c>
      <c r="H578" s="12">
        <f t="shared" si="28"/>
        <v>4</v>
      </c>
      <c r="I578" s="12">
        <f t="shared" si="29"/>
        <v>2025</v>
      </c>
    </row>
    <row r="579" spans="1:9" ht="19.5" customHeight="1" x14ac:dyDescent="0.35">
      <c r="A579" s="41">
        <v>45773</v>
      </c>
      <c r="B579" s="8" t="s">
        <v>24</v>
      </c>
      <c r="C579" s="42" t="s">
        <v>11</v>
      </c>
      <c r="D579" s="43" t="s">
        <v>30</v>
      </c>
      <c r="E579" s="46">
        <v>0</v>
      </c>
      <c r="F579" s="2">
        <f>IF(C579="GBP",E579*$C$3,IF(C579="TRY",E579/$C$1,IF(C579="EUR",E579*$E$1,IF(C579="RUB",E579/#REF!,IF(C579="EGP",E579/$E$2,E579)))))</f>
        <v>0</v>
      </c>
      <c r="G579" s="15" t="str">
        <f>VLOOKUP(B579,SPECIFICATIONF!$C$2:$D$65,2,0)</f>
        <v>GLOBAL RETAIL</v>
      </c>
      <c r="H579" s="12">
        <f t="shared" si="28"/>
        <v>4</v>
      </c>
      <c r="I579" s="12">
        <f t="shared" si="29"/>
        <v>2025</v>
      </c>
    </row>
    <row r="580" spans="1:9" ht="19.5" customHeight="1" x14ac:dyDescent="0.35">
      <c r="A580" s="41">
        <v>45773</v>
      </c>
      <c r="B580" s="8" t="s">
        <v>24</v>
      </c>
      <c r="C580" s="42" t="s">
        <v>33</v>
      </c>
      <c r="D580" s="43" t="s">
        <v>30</v>
      </c>
      <c r="E580" s="46">
        <v>0</v>
      </c>
      <c r="F580" s="2">
        <f>IF(C580="GBP",E580*$C$3,IF(C580="TRY",E580/$C$1,IF(C580="EUR",E580*$E$1,IF(C580="RUB",E580/#REF!,IF(C580="EGP",E580/$E$2,E580)))))</f>
        <v>0</v>
      </c>
      <c r="G580" s="15" t="str">
        <f>VLOOKUP(B580,SPECIFICATIONF!$C$2:$D$65,2,0)</f>
        <v>GLOBAL RETAIL</v>
      </c>
      <c r="H580" s="12">
        <f t="shared" si="28"/>
        <v>4</v>
      </c>
      <c r="I580" s="12">
        <f t="shared" si="29"/>
        <v>2025</v>
      </c>
    </row>
    <row r="581" spans="1:9" ht="19.5" customHeight="1" x14ac:dyDescent="0.35">
      <c r="A581" s="41">
        <v>45773</v>
      </c>
      <c r="B581" s="8" t="s">
        <v>24</v>
      </c>
      <c r="C581" s="42" t="s">
        <v>11</v>
      </c>
      <c r="D581" s="43" t="s">
        <v>29</v>
      </c>
      <c r="E581" s="46">
        <v>0</v>
      </c>
      <c r="F581" s="2">
        <f>IF(C581="GBP",E581*$C$3,IF(C581="TRY",E581/$C$1,IF(C581="EUR",E581*$E$1,IF(C581="RUB",E581/#REF!,IF(C581="EGP",E581/$E$2,E581)))))</f>
        <v>0</v>
      </c>
      <c r="G581" s="15" t="str">
        <f>VLOOKUP(B581,SPECIFICATIONF!$C$2:$D$65,2,0)</f>
        <v>GLOBAL RETAIL</v>
      </c>
      <c r="H581" s="12">
        <f t="shared" si="28"/>
        <v>4</v>
      </c>
      <c r="I581" s="12">
        <f t="shared" si="29"/>
        <v>2025</v>
      </c>
    </row>
    <row r="582" spans="1:9" ht="19.5" customHeight="1" x14ac:dyDescent="0.35">
      <c r="A582" s="41">
        <v>45773</v>
      </c>
      <c r="B582" s="8" t="s">
        <v>24</v>
      </c>
      <c r="C582" s="42" t="s">
        <v>33</v>
      </c>
      <c r="D582" s="43" t="s">
        <v>29</v>
      </c>
      <c r="E582" s="46">
        <v>0</v>
      </c>
      <c r="F582" s="2">
        <f>IF(C582="GBP",E582*$C$3,IF(C582="TRY",E582/$C$1,IF(C582="EUR",E582*$E$1,IF(C582="RUB",E582/#REF!,IF(C582="EGP",E582/$E$2,E582)))))</f>
        <v>0</v>
      </c>
      <c r="G582" s="15" t="str">
        <f>VLOOKUP(B582,SPECIFICATIONF!$C$2:$D$65,2,0)</f>
        <v>GLOBAL RETAIL</v>
      </c>
      <c r="H582" s="12">
        <f t="shared" si="28"/>
        <v>4</v>
      </c>
      <c r="I582" s="12">
        <f t="shared" si="29"/>
        <v>2025</v>
      </c>
    </row>
    <row r="583" spans="1:9" ht="19.5" customHeight="1" x14ac:dyDescent="0.35">
      <c r="A583" s="41">
        <v>45774</v>
      </c>
      <c r="B583" s="8" t="s">
        <v>32</v>
      </c>
      <c r="C583" s="42" t="s">
        <v>11</v>
      </c>
      <c r="D583" s="43" t="s">
        <v>30</v>
      </c>
      <c r="E583" s="46">
        <v>2026640.6</v>
      </c>
      <c r="F583" s="2">
        <f>IF(C583="GBP",E583*$C$3,IF(C583="TRY",E583/$C$1,IF(C583="EUR",E583*$E$1,IF(C583="RUB",E583/#REF!,IF(C583="EGP",E583/$E$2,E583)))))</f>
        <v>55574.797967471874</v>
      </c>
      <c r="G583" s="15" t="str">
        <f>VLOOKUP(B583,SPECIFICATIONF!$C$2:$D$65,2,0)</f>
        <v>GLOBAL HFT</v>
      </c>
      <c r="H583" s="12">
        <f t="shared" si="28"/>
        <v>4</v>
      </c>
      <c r="I583" s="12">
        <f t="shared" si="29"/>
        <v>2025</v>
      </c>
    </row>
    <row r="584" spans="1:9" ht="19.5" customHeight="1" x14ac:dyDescent="0.35">
      <c r="A584" s="41">
        <v>45774</v>
      </c>
      <c r="B584" s="8" t="s">
        <v>32</v>
      </c>
      <c r="C584" s="42" t="s">
        <v>33</v>
      </c>
      <c r="D584" s="43" t="s">
        <v>30</v>
      </c>
      <c r="E584" s="46">
        <v>9688.7999999999993</v>
      </c>
      <c r="F584" s="2">
        <f>IF(C584="GBP",E584*$C$3,IF(C584="TRY",E584/$C$1,IF(C584="EUR",E584*$E$1,IF(C584="RUB",E584/#REF!,IF(C584="EGP",E584/$E$2,E584)))))</f>
        <v>9688.7999999999993</v>
      </c>
      <c r="G584" s="15" t="str">
        <f>VLOOKUP(B584,SPECIFICATIONF!$C$2:$D$65,2,0)</f>
        <v>GLOBAL HFT</v>
      </c>
      <c r="H584" s="12">
        <f t="shared" si="28"/>
        <v>4</v>
      </c>
      <c r="I584" s="12">
        <f t="shared" si="29"/>
        <v>2025</v>
      </c>
    </row>
    <row r="585" spans="1:9" ht="19.5" customHeight="1" x14ac:dyDescent="0.35">
      <c r="A585" s="41">
        <v>45774</v>
      </c>
      <c r="B585" s="8" t="s">
        <v>32</v>
      </c>
      <c r="C585" s="42" t="s">
        <v>11</v>
      </c>
      <c r="D585" s="43" t="s">
        <v>29</v>
      </c>
      <c r="E585" s="47">
        <v>8216550998</v>
      </c>
      <c r="F585" s="2">
        <f>IF(C585="GBP",E585*$C$3,IF(C585="TRY",E585/$C$1,IF(C585="EUR",E585*$E$1,IF(C585="RUB",E585/#REF!,IF(C585="EGP",E585/$E$2,E585)))))</f>
        <v>225315313.28410146</v>
      </c>
      <c r="G585" s="15" t="str">
        <f>VLOOKUP(B585,SPECIFICATIONF!$C$2:$D$65,2,0)</f>
        <v>GLOBAL HFT</v>
      </c>
      <c r="H585" s="12">
        <f t="shared" si="28"/>
        <v>4</v>
      </c>
      <c r="I585" s="12">
        <f t="shared" si="29"/>
        <v>2025</v>
      </c>
    </row>
    <row r="586" spans="1:9" ht="19.5" customHeight="1" x14ac:dyDescent="0.35">
      <c r="A586" s="41">
        <v>45774</v>
      </c>
      <c r="B586" s="8" t="s">
        <v>32</v>
      </c>
      <c r="C586" s="42" t="s">
        <v>33</v>
      </c>
      <c r="D586" s="43" t="s">
        <v>29</v>
      </c>
      <c r="E586" s="46">
        <v>35112453</v>
      </c>
      <c r="F586" s="2">
        <f>IF(C586="GBP",E586*$C$3,IF(C586="TRY",E586/$C$1,IF(C586="EUR",E586*$E$1,IF(C586="RUB",E586/#REF!,IF(C586="EGP",E586/$E$2,E586)))))</f>
        <v>35112453</v>
      </c>
      <c r="G586" s="15" t="str">
        <f>VLOOKUP(B586,SPECIFICATIONF!$C$2:$D$65,2,0)</f>
        <v>GLOBAL HFT</v>
      </c>
      <c r="H586" s="12">
        <f t="shared" si="28"/>
        <v>4</v>
      </c>
      <c r="I586" s="12">
        <f t="shared" si="29"/>
        <v>2025</v>
      </c>
    </row>
    <row r="587" spans="1:9" ht="19.5" customHeight="1" x14ac:dyDescent="0.35">
      <c r="A587" s="41">
        <v>45774</v>
      </c>
      <c r="B587" s="8" t="s">
        <v>24</v>
      </c>
      <c r="C587" s="42" t="s">
        <v>11</v>
      </c>
      <c r="D587" s="43" t="s">
        <v>30</v>
      </c>
      <c r="E587" s="46">
        <v>0</v>
      </c>
      <c r="F587" s="2">
        <f>IF(C587="GBP",E587*$C$3,IF(C587="TRY",E587/$C$1,IF(C587="EUR",E587*$E$1,IF(C587="RUB",E587/#REF!,IF(C587="EGP",E587/$E$2,E587)))))</f>
        <v>0</v>
      </c>
      <c r="G587" s="15" t="str">
        <f>VLOOKUP(B587,SPECIFICATIONF!$C$2:$D$65,2,0)</f>
        <v>GLOBAL RETAIL</v>
      </c>
      <c r="H587" s="12">
        <f t="shared" si="28"/>
        <v>4</v>
      </c>
      <c r="I587" s="12">
        <f t="shared" si="29"/>
        <v>2025</v>
      </c>
    </row>
    <row r="588" spans="1:9" ht="19.5" customHeight="1" x14ac:dyDescent="0.35">
      <c r="A588" s="41">
        <v>45774</v>
      </c>
      <c r="B588" s="8" t="s">
        <v>24</v>
      </c>
      <c r="C588" s="42" t="s">
        <v>33</v>
      </c>
      <c r="D588" s="43" t="s">
        <v>30</v>
      </c>
      <c r="E588" s="46">
        <v>0</v>
      </c>
      <c r="F588" s="2">
        <f>IF(C588="GBP",E588*$C$3,IF(C588="TRY",E588/$C$1,IF(C588="EUR",E588*$E$1,IF(C588="RUB",E588/#REF!,IF(C588="EGP",E588/$E$2,E588)))))</f>
        <v>0</v>
      </c>
      <c r="G588" s="15" t="str">
        <f>VLOOKUP(B588,SPECIFICATIONF!$C$2:$D$65,2,0)</f>
        <v>GLOBAL RETAIL</v>
      </c>
      <c r="H588" s="12">
        <f t="shared" si="28"/>
        <v>4</v>
      </c>
      <c r="I588" s="12">
        <f t="shared" si="29"/>
        <v>2025</v>
      </c>
    </row>
    <row r="589" spans="1:9" ht="19.5" customHeight="1" x14ac:dyDescent="0.35">
      <c r="A589" s="41">
        <v>45774</v>
      </c>
      <c r="B589" s="8" t="s">
        <v>24</v>
      </c>
      <c r="C589" s="42" t="s">
        <v>11</v>
      </c>
      <c r="D589" s="43" t="s">
        <v>29</v>
      </c>
      <c r="E589" s="47">
        <v>0</v>
      </c>
      <c r="F589" s="2">
        <f>IF(C589="GBP",E589*$C$3,IF(C589="TRY",E589/$C$1,IF(C589="EUR",E589*$E$1,IF(C589="RUB",E589/#REF!,IF(C589="EGP",E589/$E$2,E589)))))</f>
        <v>0</v>
      </c>
      <c r="G589" s="15" t="str">
        <f>VLOOKUP(B589,SPECIFICATIONF!$C$2:$D$65,2,0)</f>
        <v>GLOBAL RETAIL</v>
      </c>
      <c r="H589" s="12">
        <f t="shared" si="28"/>
        <v>4</v>
      </c>
      <c r="I589" s="12">
        <f t="shared" si="29"/>
        <v>2025</v>
      </c>
    </row>
    <row r="590" spans="1:9" ht="19.5" customHeight="1" x14ac:dyDescent="0.35">
      <c r="A590" s="41">
        <v>45774</v>
      </c>
      <c r="B590" s="8" t="s">
        <v>24</v>
      </c>
      <c r="C590" s="42" t="s">
        <v>33</v>
      </c>
      <c r="D590" s="43" t="s">
        <v>29</v>
      </c>
      <c r="E590" s="46">
        <v>0</v>
      </c>
      <c r="F590" s="2">
        <f>IF(C590="GBP",E590*$C$3,IF(C590="TRY",E590/$C$1,IF(C590="EUR",E590*$E$1,IF(C590="RUB",E590/#REF!,IF(C590="EGP",E590/$E$2,E590)))))</f>
        <v>0</v>
      </c>
      <c r="G590" s="15" t="str">
        <f>VLOOKUP(B590,SPECIFICATIONF!$C$2:$D$65,2,0)</f>
        <v>GLOBAL RETAIL</v>
      </c>
      <c r="H590" s="12">
        <f t="shared" si="28"/>
        <v>4</v>
      </c>
      <c r="I590" s="12">
        <f t="shared" si="29"/>
        <v>2025</v>
      </c>
    </row>
    <row r="591" spans="1:9" ht="19.5" customHeight="1" x14ac:dyDescent="0.35">
      <c r="A591" s="41">
        <v>45775</v>
      </c>
      <c r="B591" s="8" t="s">
        <v>32</v>
      </c>
      <c r="C591" s="42" t="s">
        <v>11</v>
      </c>
      <c r="D591" s="43" t="s">
        <v>30</v>
      </c>
      <c r="E591" s="46">
        <v>2080199.59</v>
      </c>
      <c r="F591" s="2">
        <f>IF(C591="GBP",E591*$C$3,IF(C591="TRY",E591/$C$1,IF(C591="EUR",E591*$E$1,IF(C591="RUB",E591/#REF!,IF(C591="EGP",E591/$E$2,E591)))))</f>
        <v>57043.499447444119</v>
      </c>
      <c r="G591" s="15" t="str">
        <f>VLOOKUP(B591,SPECIFICATIONF!$C$2:$D$65,2,0)</f>
        <v>GLOBAL HFT</v>
      </c>
      <c r="H591" s="12">
        <f t="shared" si="28"/>
        <v>4</v>
      </c>
      <c r="I591" s="12">
        <f t="shared" si="29"/>
        <v>2025</v>
      </c>
    </row>
    <row r="592" spans="1:9" ht="19.5" customHeight="1" x14ac:dyDescent="0.35">
      <c r="A592" s="41">
        <v>45775</v>
      </c>
      <c r="B592" s="8" t="s">
        <v>32</v>
      </c>
      <c r="C592" s="42" t="s">
        <v>33</v>
      </c>
      <c r="D592" s="43" t="s">
        <v>30</v>
      </c>
      <c r="E592" s="46">
        <v>11132.31</v>
      </c>
      <c r="F592" s="2">
        <f>IF(C592="GBP",E592*$C$3,IF(C592="TRY",E592/$C$1,IF(C592="EUR",E592*$E$1,IF(C592="RUB",E592/#REF!,IF(C592="EGP",E592/$E$2,E592)))))</f>
        <v>11132.31</v>
      </c>
      <c r="G592" s="15" t="str">
        <f>VLOOKUP(B592,SPECIFICATIONF!$C$2:$D$65,2,0)</f>
        <v>GLOBAL HFT</v>
      </c>
      <c r="H592" s="12">
        <f t="shared" si="28"/>
        <v>4</v>
      </c>
      <c r="I592" s="12">
        <f t="shared" si="29"/>
        <v>2025</v>
      </c>
    </row>
    <row r="593" spans="1:9" ht="19.5" customHeight="1" x14ac:dyDescent="0.35">
      <c r="A593" s="41">
        <v>45775</v>
      </c>
      <c r="B593" s="8" t="s">
        <v>32</v>
      </c>
      <c r="C593" s="42" t="s">
        <v>11</v>
      </c>
      <c r="D593" s="43" t="s">
        <v>29</v>
      </c>
      <c r="E593" s="47">
        <v>8353203568</v>
      </c>
      <c r="F593" s="2">
        <f>IF(C593="GBP",E593*$C$3,IF(C593="TRY",E593/$C$1,IF(C593="EUR",E593*$E$1,IF(C593="RUB",E593/#REF!,IF(C593="EGP",E593/$E$2,E593)))))</f>
        <v>229062617.55180722</v>
      </c>
      <c r="G593" s="15" t="str">
        <f>VLOOKUP(B593,SPECIFICATIONF!$C$2:$D$65,2,0)</f>
        <v>GLOBAL HFT</v>
      </c>
      <c r="H593" s="12">
        <f t="shared" si="28"/>
        <v>4</v>
      </c>
      <c r="I593" s="12">
        <f t="shared" si="29"/>
        <v>2025</v>
      </c>
    </row>
    <row r="594" spans="1:9" ht="19.5" customHeight="1" x14ac:dyDescent="0.35">
      <c r="A594" s="41">
        <v>45775</v>
      </c>
      <c r="B594" s="8" t="s">
        <v>32</v>
      </c>
      <c r="C594" s="42" t="s">
        <v>33</v>
      </c>
      <c r="D594" s="43" t="s">
        <v>29</v>
      </c>
      <c r="E594" s="46">
        <v>41022730</v>
      </c>
      <c r="F594" s="2">
        <f>IF(C594="GBP",E594*$C$3,IF(C594="TRY",E594/$C$1,IF(C594="EUR",E594*$E$1,IF(C594="RUB",E594/#REF!,IF(C594="EGP",E594/$E$2,E594)))))</f>
        <v>41022730</v>
      </c>
      <c r="G594" s="15" t="str">
        <f>VLOOKUP(B594,SPECIFICATIONF!$C$2:$D$65,2,0)</f>
        <v>GLOBAL HFT</v>
      </c>
      <c r="H594" s="12">
        <f t="shared" si="28"/>
        <v>4</v>
      </c>
      <c r="I594" s="12">
        <f t="shared" si="29"/>
        <v>2025</v>
      </c>
    </row>
    <row r="595" spans="1:9" ht="19.5" customHeight="1" x14ac:dyDescent="0.35">
      <c r="A595" s="41">
        <v>45775</v>
      </c>
      <c r="B595" s="8" t="s">
        <v>24</v>
      </c>
      <c r="C595" s="42" t="s">
        <v>11</v>
      </c>
      <c r="D595" s="43" t="s">
        <v>30</v>
      </c>
      <c r="E595" s="46">
        <v>2.1</v>
      </c>
      <c r="F595" s="2">
        <f>IF(C595="GBP",E595*$C$3,IF(C595="TRY",E595/$C$1,IF(C595="EUR",E595*$E$1,IF(C595="RUB",E595/#REF!,IF(C595="EGP",E595/$E$2,E595)))))</f>
        <v>5.7586468825153767E-2</v>
      </c>
      <c r="G595" s="15" t="str">
        <f>VLOOKUP(B595,SPECIFICATIONF!$C$2:$D$65,2,0)</f>
        <v>GLOBAL RETAIL</v>
      </c>
      <c r="H595" s="12">
        <f t="shared" si="28"/>
        <v>4</v>
      </c>
      <c r="I595" s="12">
        <f t="shared" si="29"/>
        <v>2025</v>
      </c>
    </row>
    <row r="596" spans="1:9" ht="19.5" customHeight="1" x14ac:dyDescent="0.35">
      <c r="A596" s="41">
        <v>45775</v>
      </c>
      <c r="B596" s="8" t="s">
        <v>24</v>
      </c>
      <c r="C596" s="42" t="s">
        <v>33</v>
      </c>
      <c r="D596" s="43" t="s">
        <v>30</v>
      </c>
      <c r="E596" s="46">
        <v>0</v>
      </c>
      <c r="F596" s="2">
        <f>IF(C596="GBP",E596*$C$3,IF(C596="TRY",E596/$C$1,IF(C596="EUR",E596*$E$1,IF(C596="RUB",E596/#REF!,IF(C596="EGP",E596/$E$2,E596)))))</f>
        <v>0</v>
      </c>
      <c r="G596" s="15" t="str">
        <f>VLOOKUP(B596,SPECIFICATIONF!$C$2:$D$65,2,0)</f>
        <v>GLOBAL RETAIL</v>
      </c>
      <c r="H596" s="12">
        <f t="shared" si="28"/>
        <v>4</v>
      </c>
      <c r="I596" s="12">
        <f t="shared" si="29"/>
        <v>2025</v>
      </c>
    </row>
    <row r="597" spans="1:9" ht="19.5" customHeight="1" x14ac:dyDescent="0.35">
      <c r="A597" s="41">
        <v>45775</v>
      </c>
      <c r="B597" s="8" t="s">
        <v>24</v>
      </c>
      <c r="C597" s="42" t="s">
        <v>11</v>
      </c>
      <c r="D597" s="43" t="s">
        <v>29</v>
      </c>
      <c r="E597" s="47">
        <v>1753</v>
      </c>
      <c r="F597" s="2">
        <f>IF(C597="GBP",E597*$C$3,IF(C597="TRY",E597/$C$1,IF(C597="EUR",E597*$E$1,IF(C597="RUB",E597/#REF!,IF(C597="EGP",E597/$E$2,E597)))))</f>
        <v>48.070990404997403</v>
      </c>
      <c r="G597" s="15" t="str">
        <f>VLOOKUP(B597,SPECIFICATIONF!$C$2:$D$65,2,0)</f>
        <v>GLOBAL RETAIL</v>
      </c>
      <c r="H597" s="12">
        <f t="shared" si="28"/>
        <v>4</v>
      </c>
      <c r="I597" s="12">
        <f t="shared" si="29"/>
        <v>2025</v>
      </c>
    </row>
    <row r="598" spans="1:9" ht="19.5" customHeight="1" x14ac:dyDescent="0.35">
      <c r="A598" s="41">
        <v>45775</v>
      </c>
      <c r="B598" s="8" t="s">
        <v>24</v>
      </c>
      <c r="C598" s="42" t="s">
        <v>33</v>
      </c>
      <c r="D598" s="43" t="s">
        <v>29</v>
      </c>
      <c r="E598" s="46">
        <v>0</v>
      </c>
      <c r="F598" s="2">
        <f>IF(C598="GBP",E598*$C$3,IF(C598="TRY",E598/$C$1,IF(C598="EUR",E598*$E$1,IF(C598="RUB",E598/#REF!,IF(C598="EGP",E598/$E$2,E598)))))</f>
        <v>0</v>
      </c>
      <c r="G598" s="15" t="str">
        <f>VLOOKUP(B598,SPECIFICATIONF!$C$2:$D$65,2,0)</f>
        <v>GLOBAL RETAIL</v>
      </c>
      <c r="H598" s="12">
        <f t="shared" si="28"/>
        <v>4</v>
      </c>
      <c r="I598" s="12">
        <f t="shared" si="29"/>
        <v>2025</v>
      </c>
    </row>
    <row r="599" spans="1:9" ht="19.5" customHeight="1" x14ac:dyDescent="0.35">
      <c r="A599" s="41">
        <v>45776</v>
      </c>
      <c r="B599" s="8" t="s">
        <v>32</v>
      </c>
      <c r="C599" s="42" t="s">
        <v>11</v>
      </c>
      <c r="D599" s="43" t="s">
        <v>30</v>
      </c>
      <c r="E599" s="46">
        <v>1303481.77</v>
      </c>
      <c r="F599" s="2">
        <f>IF(C599="GBP",E599*$C$3,IF(C599="TRY",E599/$C$1,IF(C599="EUR",E599*$E$1,IF(C599="RUB",E599/#REF!,IF(C599="EGP",E599/$E$2,E599)))))</f>
        <v>35744.243958219646</v>
      </c>
      <c r="G599" s="15" t="str">
        <f>VLOOKUP(B599,SPECIFICATIONF!$C$2:$D$65,2,0)</f>
        <v>GLOBAL HFT</v>
      </c>
      <c r="H599" s="12">
        <f t="shared" si="28"/>
        <v>4</v>
      </c>
      <c r="I599" s="12">
        <f t="shared" si="29"/>
        <v>2025</v>
      </c>
    </row>
    <row r="600" spans="1:9" ht="19.5" customHeight="1" x14ac:dyDescent="0.35">
      <c r="A600" s="41">
        <v>45776</v>
      </c>
      <c r="B600" s="8" t="s">
        <v>32</v>
      </c>
      <c r="C600" s="42" t="s">
        <v>33</v>
      </c>
      <c r="D600" s="43" t="s">
        <v>30</v>
      </c>
      <c r="E600" s="46">
        <v>6572.1</v>
      </c>
      <c r="F600" s="2">
        <f>IF(C600="GBP",E600*$C$3,IF(C600="TRY",E600/$C$1,IF(C600="EUR",E600*$E$1,IF(C600="RUB",E600/#REF!,IF(C600="EGP",E600/$E$2,E600)))))</f>
        <v>6572.1</v>
      </c>
      <c r="G600" s="15" t="str">
        <f>VLOOKUP(B600,SPECIFICATIONF!$C$2:$D$65,2,0)</f>
        <v>GLOBAL HFT</v>
      </c>
      <c r="H600" s="12">
        <f t="shared" si="28"/>
        <v>4</v>
      </c>
      <c r="I600" s="12">
        <f t="shared" si="29"/>
        <v>2025</v>
      </c>
    </row>
    <row r="601" spans="1:9" ht="19.5" customHeight="1" x14ac:dyDescent="0.35">
      <c r="A601" s="41">
        <v>45776</v>
      </c>
      <c r="B601" s="8" t="s">
        <v>32</v>
      </c>
      <c r="C601" s="42" t="s">
        <v>11</v>
      </c>
      <c r="D601" s="43" t="s">
        <v>29</v>
      </c>
      <c r="E601" s="47">
        <v>5272896114</v>
      </c>
      <c r="F601" s="2">
        <f>IF(C601="GBP",E601*$C$3,IF(C601="TRY",E601/$C$1,IF(C601="EUR",E601*$E$1,IF(C601="RUB",E601/#REF!,IF(C601="EGP",E601/$E$2,E601)))))</f>
        <v>144594032.23196927</v>
      </c>
      <c r="G601" s="15" t="str">
        <f>VLOOKUP(B601,SPECIFICATIONF!$C$2:$D$65,2,0)</f>
        <v>GLOBAL HFT</v>
      </c>
      <c r="H601" s="12">
        <f t="shared" si="28"/>
        <v>4</v>
      </c>
      <c r="I601" s="12">
        <f t="shared" si="29"/>
        <v>2025</v>
      </c>
    </row>
    <row r="602" spans="1:9" ht="19.5" customHeight="1" x14ac:dyDescent="0.35">
      <c r="A602" s="41">
        <v>45776</v>
      </c>
      <c r="B602" s="8" t="s">
        <v>32</v>
      </c>
      <c r="C602" s="42" t="s">
        <v>33</v>
      </c>
      <c r="D602" s="43" t="s">
        <v>29</v>
      </c>
      <c r="E602" s="46">
        <v>24483361</v>
      </c>
      <c r="F602" s="2">
        <f>IF(C602="GBP",E602*$C$3,IF(C602="TRY",E602/$C$1,IF(C602="EUR",E602*$E$1,IF(C602="RUB",E602/#REF!,IF(C602="EGP",E602/$E$2,E602)))))</f>
        <v>24483361</v>
      </c>
      <c r="G602" s="15" t="str">
        <f>VLOOKUP(B602,SPECIFICATIONF!$C$2:$D$65,2,0)</f>
        <v>GLOBAL HFT</v>
      </c>
      <c r="H602" s="12">
        <f t="shared" si="28"/>
        <v>4</v>
      </c>
      <c r="I602" s="12">
        <f t="shared" si="29"/>
        <v>2025</v>
      </c>
    </row>
    <row r="603" spans="1:9" ht="19.5" customHeight="1" x14ac:dyDescent="0.35">
      <c r="A603" s="41">
        <v>45776</v>
      </c>
      <c r="B603" s="8" t="s">
        <v>24</v>
      </c>
      <c r="C603" s="42" t="s">
        <v>11</v>
      </c>
      <c r="D603" s="43" t="s">
        <v>30</v>
      </c>
      <c r="E603" s="46">
        <v>0</v>
      </c>
      <c r="F603" s="2">
        <f>IF(C603="GBP",E603*$C$3,IF(C603="TRY",E603/$C$1,IF(C603="EUR",E603*$E$1,IF(C603="RUB",E603/#REF!,IF(C603="EGP",E603/$E$2,E603)))))</f>
        <v>0</v>
      </c>
      <c r="G603" s="15" t="str">
        <f>VLOOKUP(B603,SPECIFICATIONF!$C$2:$D$65,2,0)</f>
        <v>GLOBAL RETAIL</v>
      </c>
      <c r="H603" s="12">
        <f t="shared" si="28"/>
        <v>4</v>
      </c>
      <c r="I603" s="12">
        <f t="shared" si="29"/>
        <v>2025</v>
      </c>
    </row>
    <row r="604" spans="1:9" ht="19.5" customHeight="1" x14ac:dyDescent="0.35">
      <c r="A604" s="41">
        <v>45776</v>
      </c>
      <c r="B604" s="8" t="s">
        <v>24</v>
      </c>
      <c r="C604" s="42" t="s">
        <v>33</v>
      </c>
      <c r="D604" s="43" t="s">
        <v>30</v>
      </c>
      <c r="E604" s="46">
        <v>0</v>
      </c>
      <c r="F604" s="2">
        <f>IF(C604="GBP",E604*$C$3,IF(C604="TRY",E604/$C$1,IF(C604="EUR",E604*$E$1,IF(C604="RUB",E604/#REF!,IF(C604="EGP",E604/$E$2,E604)))))</f>
        <v>0</v>
      </c>
      <c r="G604" s="15" t="str">
        <f>VLOOKUP(B604,SPECIFICATIONF!$C$2:$D$65,2,0)</f>
        <v>GLOBAL RETAIL</v>
      </c>
      <c r="H604" s="12">
        <f t="shared" si="28"/>
        <v>4</v>
      </c>
      <c r="I604" s="12">
        <f t="shared" si="29"/>
        <v>2025</v>
      </c>
    </row>
    <row r="605" spans="1:9" ht="19.5" customHeight="1" x14ac:dyDescent="0.35">
      <c r="A605" s="41">
        <v>45776</v>
      </c>
      <c r="B605" s="8" t="s">
        <v>24</v>
      </c>
      <c r="C605" s="42" t="s">
        <v>11</v>
      </c>
      <c r="D605" s="43" t="s">
        <v>29</v>
      </c>
      <c r="E605" s="47">
        <v>0</v>
      </c>
      <c r="F605" s="2">
        <f>IF(C605="GBP",E605*$C$3,IF(C605="TRY",E605/$C$1,IF(C605="EUR",E605*$E$1,IF(C605="RUB",E605/#REF!,IF(C605="EGP",E605/$E$2,E605)))))</f>
        <v>0</v>
      </c>
      <c r="G605" s="15" t="str">
        <f>VLOOKUP(B605,SPECIFICATIONF!$C$2:$D$65,2,0)</f>
        <v>GLOBAL RETAIL</v>
      </c>
      <c r="H605" s="12">
        <f t="shared" si="28"/>
        <v>4</v>
      </c>
      <c r="I605" s="12">
        <f t="shared" si="29"/>
        <v>2025</v>
      </c>
    </row>
    <row r="606" spans="1:9" ht="19.5" customHeight="1" x14ac:dyDescent="0.35">
      <c r="A606" s="41">
        <v>45776</v>
      </c>
      <c r="B606" s="8" t="s">
        <v>24</v>
      </c>
      <c r="C606" s="42" t="s">
        <v>33</v>
      </c>
      <c r="D606" s="43" t="s">
        <v>29</v>
      </c>
      <c r="E606" s="46">
        <v>0</v>
      </c>
      <c r="F606" s="2">
        <f>IF(C606="GBP",E606*$C$3,IF(C606="TRY",E606/$C$1,IF(C606="EUR",E606*$E$1,IF(C606="RUB",E606/#REF!,IF(C606="EGP",E606/$E$2,E606)))))</f>
        <v>0</v>
      </c>
      <c r="G606" s="15" t="str">
        <f>VLOOKUP(B606,SPECIFICATIONF!$C$2:$D$65,2,0)</f>
        <v>GLOBAL RETAIL</v>
      </c>
      <c r="H606" s="12">
        <f t="shared" si="28"/>
        <v>4</v>
      </c>
      <c r="I606" s="12">
        <f t="shared" si="29"/>
        <v>2025</v>
      </c>
    </row>
    <row r="607" spans="1:9" ht="19.5" customHeight="1" x14ac:dyDescent="0.35">
      <c r="A607" s="41">
        <v>45777</v>
      </c>
      <c r="B607" s="8" t="s">
        <v>32</v>
      </c>
      <c r="C607" s="42" t="s">
        <v>11</v>
      </c>
      <c r="D607" s="43" t="s">
        <v>30</v>
      </c>
      <c r="E607" s="46">
        <v>1656615.96</v>
      </c>
      <c r="F607" s="2">
        <f>IF(C607="GBP",E607*$C$3,IF(C607="TRY",E607/$C$1,IF(C607="EUR",E607*$E$1,IF(C607="RUB",E607/#REF!,IF(C607="EGP",E607/$E$2,E607)))))</f>
        <v>45427.934921805798</v>
      </c>
      <c r="G607" s="15" t="str">
        <f>VLOOKUP(B607,SPECIFICATIONF!$C$2:$D$65,2,0)</f>
        <v>GLOBAL HFT</v>
      </c>
      <c r="H607" s="12">
        <f t="shared" si="28"/>
        <v>4</v>
      </c>
      <c r="I607" s="12">
        <f t="shared" si="29"/>
        <v>2025</v>
      </c>
    </row>
    <row r="608" spans="1:9" ht="19.5" customHeight="1" x14ac:dyDescent="0.35">
      <c r="A608" s="41">
        <v>45777</v>
      </c>
      <c r="B608" s="8" t="s">
        <v>32</v>
      </c>
      <c r="C608" s="42" t="s">
        <v>33</v>
      </c>
      <c r="D608" s="43" t="s">
        <v>30</v>
      </c>
      <c r="E608" s="46">
        <v>9196.43</v>
      </c>
      <c r="F608" s="2">
        <f>IF(C608="GBP",E608*$C$3,IF(C608="TRY",E608/$C$1,IF(C608="EUR",E608*$E$1,IF(C608="RUB",E608/#REF!,IF(C608="EGP",E608/$E$2,E608)))))</f>
        <v>9196.43</v>
      </c>
      <c r="G608" s="15" t="str">
        <f>VLOOKUP(B608,SPECIFICATIONF!$C$2:$D$65,2,0)</f>
        <v>GLOBAL HFT</v>
      </c>
      <c r="H608" s="12">
        <f t="shared" si="28"/>
        <v>4</v>
      </c>
      <c r="I608" s="12">
        <f t="shared" si="29"/>
        <v>2025</v>
      </c>
    </row>
    <row r="609" spans="1:9" ht="19.5" customHeight="1" x14ac:dyDescent="0.35">
      <c r="A609" s="41">
        <v>45777</v>
      </c>
      <c r="B609" s="8" t="s">
        <v>32</v>
      </c>
      <c r="C609" s="42" t="s">
        <v>11</v>
      </c>
      <c r="D609" s="43" t="s">
        <v>29</v>
      </c>
      <c r="E609" s="47">
        <v>6665507828</v>
      </c>
      <c r="F609" s="2">
        <f>IF(C609="GBP",E609*$C$3,IF(C609="TRY",E609/$C$1,IF(C609="EUR",E609*$E$1,IF(C609="RUB",E609/#REF!,IF(C609="EGP",E609/$E$2,E609)))))</f>
        <v>182782408.92425734</v>
      </c>
      <c r="G609" s="15" t="str">
        <f>VLOOKUP(B609,SPECIFICATIONF!$C$2:$D$65,2,0)</f>
        <v>GLOBAL HFT</v>
      </c>
      <c r="H609" s="12">
        <f t="shared" si="28"/>
        <v>4</v>
      </c>
      <c r="I609" s="12">
        <f t="shared" si="29"/>
        <v>2025</v>
      </c>
    </row>
    <row r="610" spans="1:9" ht="19.5" customHeight="1" x14ac:dyDescent="0.35">
      <c r="A610" s="41">
        <v>45777</v>
      </c>
      <c r="B610" s="8" t="s">
        <v>32</v>
      </c>
      <c r="C610" s="42" t="s">
        <v>33</v>
      </c>
      <c r="D610" s="43" t="s">
        <v>29</v>
      </c>
      <c r="E610" s="46">
        <v>33801746</v>
      </c>
      <c r="F610" s="2">
        <f>IF(C610="GBP",E610*$C$3,IF(C610="TRY",E610/$C$1,IF(C610="EUR",E610*$E$1,IF(C610="RUB",E610/#REF!,IF(C610="EGP",E610/$E$2,E610)))))</f>
        <v>33801746</v>
      </c>
      <c r="G610" s="15" t="str">
        <f>VLOOKUP(B610,SPECIFICATIONF!$C$2:$D$65,2,0)</f>
        <v>GLOBAL HFT</v>
      </c>
      <c r="H610" s="12">
        <f t="shared" si="28"/>
        <v>4</v>
      </c>
      <c r="I610" s="12">
        <f t="shared" si="29"/>
        <v>2025</v>
      </c>
    </row>
    <row r="611" spans="1:9" ht="19.5" customHeight="1" x14ac:dyDescent="0.35">
      <c r="A611" s="41">
        <v>45777</v>
      </c>
      <c r="B611" s="8" t="s">
        <v>24</v>
      </c>
      <c r="C611" s="42" t="s">
        <v>11</v>
      </c>
      <c r="D611" s="43" t="s">
        <v>30</v>
      </c>
      <c r="E611" s="46">
        <v>0</v>
      </c>
      <c r="F611" s="2">
        <f>IF(C611="GBP",E611*$C$3,IF(C611="TRY",E611/$C$1,IF(C611="EUR",E611*$E$1,IF(C611="RUB",E611/#REF!,IF(C611="EGP",E611/$E$2,E611)))))</f>
        <v>0</v>
      </c>
      <c r="G611" s="15" t="str">
        <f>VLOOKUP(B611,SPECIFICATIONF!$C$2:$D$65,2,0)</f>
        <v>GLOBAL RETAIL</v>
      </c>
      <c r="H611" s="12">
        <f t="shared" si="28"/>
        <v>4</v>
      </c>
      <c r="I611" s="12">
        <f t="shared" si="29"/>
        <v>2025</v>
      </c>
    </row>
    <row r="612" spans="1:9" ht="19.5" customHeight="1" x14ac:dyDescent="0.35">
      <c r="A612" s="41">
        <v>45777</v>
      </c>
      <c r="B612" s="8" t="s">
        <v>24</v>
      </c>
      <c r="C612" s="42" t="s">
        <v>33</v>
      </c>
      <c r="D612" s="43" t="s">
        <v>30</v>
      </c>
      <c r="E612" s="46">
        <v>0</v>
      </c>
      <c r="F612" s="2">
        <f>IF(C612="GBP",E612*$C$3,IF(C612="TRY",E612/$C$1,IF(C612="EUR",E612*$E$1,IF(C612="RUB",E612/#REF!,IF(C612="EGP",E612/$E$2,E612)))))</f>
        <v>0</v>
      </c>
      <c r="G612" s="15" t="str">
        <f>VLOOKUP(B612,SPECIFICATIONF!$C$2:$D$65,2,0)</f>
        <v>GLOBAL RETAIL</v>
      </c>
      <c r="H612" s="12">
        <f t="shared" si="28"/>
        <v>4</v>
      </c>
      <c r="I612" s="12">
        <f t="shared" si="29"/>
        <v>2025</v>
      </c>
    </row>
    <row r="613" spans="1:9" ht="19.5" customHeight="1" x14ac:dyDescent="0.35">
      <c r="A613" s="41">
        <v>45777</v>
      </c>
      <c r="B613" s="8" t="s">
        <v>24</v>
      </c>
      <c r="C613" s="42" t="s">
        <v>11</v>
      </c>
      <c r="D613" s="43" t="s">
        <v>29</v>
      </c>
      <c r="E613" s="47">
        <v>0</v>
      </c>
      <c r="F613" s="2">
        <f>IF(C613="GBP",E613*$C$3,IF(C613="TRY",E613/$C$1,IF(C613="EUR",E613*$E$1,IF(C613="RUB",E613/#REF!,IF(C613="EGP",E613/$E$2,E613)))))</f>
        <v>0</v>
      </c>
      <c r="G613" s="15" t="str">
        <f>VLOOKUP(B613,SPECIFICATIONF!$C$2:$D$65,2,0)</f>
        <v>GLOBAL RETAIL</v>
      </c>
      <c r="H613" s="12">
        <f t="shared" si="28"/>
        <v>4</v>
      </c>
      <c r="I613" s="12">
        <f t="shared" si="29"/>
        <v>2025</v>
      </c>
    </row>
    <row r="614" spans="1:9" ht="19.5" customHeight="1" x14ac:dyDescent="0.35">
      <c r="A614" s="41">
        <v>45777</v>
      </c>
      <c r="B614" s="8" t="s">
        <v>24</v>
      </c>
      <c r="C614" s="42" t="s">
        <v>33</v>
      </c>
      <c r="D614" s="43" t="s">
        <v>29</v>
      </c>
      <c r="E614" s="46">
        <v>0</v>
      </c>
      <c r="F614" s="2">
        <f>IF(C614="GBP",E614*$C$3,IF(C614="TRY",E614/$C$1,IF(C614="EUR",E614*$E$1,IF(C614="RUB",E614/#REF!,IF(C614="EGP",E614/$E$2,E614)))))</f>
        <v>0</v>
      </c>
      <c r="G614" s="15" t="str">
        <f>VLOOKUP(B614,SPECIFICATIONF!$C$2:$D$65,2,0)</f>
        <v>GLOBAL RETAIL</v>
      </c>
      <c r="H614" s="12">
        <f t="shared" ref="H614:H677" si="30">MONTH(A614)</f>
        <v>4</v>
      </c>
      <c r="I614" s="12">
        <f t="shared" ref="I614:I677" si="31">YEAR(A614)</f>
        <v>2025</v>
      </c>
    </row>
    <row r="615" spans="1:9" ht="19.5" customHeight="1" x14ac:dyDescent="0.35">
      <c r="A615" s="41">
        <v>45778</v>
      </c>
      <c r="B615" s="8" t="s">
        <v>32</v>
      </c>
      <c r="C615" s="42" t="s">
        <v>11</v>
      </c>
      <c r="D615" s="43" t="s">
        <v>30</v>
      </c>
      <c r="E615" s="46">
        <v>1563771.37</v>
      </c>
      <c r="F615" s="2">
        <f>IF(C615="GBP",E615*$C$3,IF(C615="TRY",E615/$C$1,IF(C615="EUR",E615*$E$1,IF(C615="RUB",E615/#REF!,IF(C615="EGP",E615/$E$2,E615)))))</f>
        <v>42881.938689606191</v>
      </c>
      <c r="G615" s="15" t="str">
        <f>VLOOKUP(B615,SPECIFICATIONF!$C$2:$D$65,2,0)</f>
        <v>GLOBAL HFT</v>
      </c>
      <c r="H615" s="12">
        <f t="shared" si="30"/>
        <v>5</v>
      </c>
      <c r="I615" s="12">
        <f t="shared" si="31"/>
        <v>2025</v>
      </c>
    </row>
    <row r="616" spans="1:9" ht="19.5" customHeight="1" x14ac:dyDescent="0.35">
      <c r="A616" s="41">
        <v>45778</v>
      </c>
      <c r="B616" s="8" t="s">
        <v>32</v>
      </c>
      <c r="C616" s="42" t="s">
        <v>33</v>
      </c>
      <c r="D616" s="43" t="s">
        <v>30</v>
      </c>
      <c r="E616" s="46">
        <v>9035.91</v>
      </c>
      <c r="F616" s="2">
        <f>IF(C616="GBP",E616*$C$3,IF(C616="TRY",E616/$C$1,IF(C616="EUR",E616*$E$1,IF(C616="RUB",E616/#REF!,IF(C616="EGP",E616/$E$2,E616)))))</f>
        <v>9035.91</v>
      </c>
      <c r="G616" s="15" t="str">
        <f>VLOOKUP(B616,SPECIFICATIONF!$C$2:$D$65,2,0)</f>
        <v>GLOBAL HFT</v>
      </c>
      <c r="H616" s="12">
        <f t="shared" si="30"/>
        <v>5</v>
      </c>
      <c r="I616" s="12">
        <f t="shared" si="31"/>
        <v>2025</v>
      </c>
    </row>
    <row r="617" spans="1:9" ht="19.5" customHeight="1" x14ac:dyDescent="0.35">
      <c r="A617" s="41">
        <v>45778</v>
      </c>
      <c r="B617" s="8" t="s">
        <v>32</v>
      </c>
      <c r="C617" s="42" t="s">
        <v>11</v>
      </c>
      <c r="D617" s="43" t="s">
        <v>29</v>
      </c>
      <c r="E617" s="47">
        <v>6129350168</v>
      </c>
      <c r="F617" s="2">
        <f>IF(C617="GBP",E617*$C$3,IF(C617="TRY",E617/$C$1,IF(C617="EUR",E617*$E$1,IF(C617="RUB",E617/#REF!,IF(C617="EGP",E617/$E$2,E617)))))</f>
        <v>168079824.93713477</v>
      </c>
      <c r="G617" s="15" t="str">
        <f>VLOOKUP(B617,SPECIFICATIONF!$C$2:$D$65,2,0)</f>
        <v>GLOBAL HFT</v>
      </c>
      <c r="H617" s="12">
        <f t="shared" si="30"/>
        <v>5</v>
      </c>
      <c r="I617" s="12">
        <f t="shared" si="31"/>
        <v>2025</v>
      </c>
    </row>
    <row r="618" spans="1:9" ht="19.5" customHeight="1" x14ac:dyDescent="0.35">
      <c r="A618" s="41">
        <v>45778</v>
      </c>
      <c r="B618" s="8" t="s">
        <v>32</v>
      </c>
      <c r="C618" s="42" t="s">
        <v>33</v>
      </c>
      <c r="D618" s="43" t="s">
        <v>29</v>
      </c>
      <c r="E618" s="46">
        <v>32378410</v>
      </c>
      <c r="F618" s="2">
        <f>IF(C618="GBP",E618*$C$3,IF(C618="TRY",E618/$C$1,IF(C618="EUR",E618*$E$1,IF(C618="RUB",E618/#REF!,IF(C618="EGP",E618/$E$2,E618)))))</f>
        <v>32378410</v>
      </c>
      <c r="G618" s="15" t="str">
        <f>VLOOKUP(B618,SPECIFICATIONF!$C$2:$D$65,2,0)</f>
        <v>GLOBAL HFT</v>
      </c>
      <c r="H618" s="12">
        <f t="shared" si="30"/>
        <v>5</v>
      </c>
      <c r="I618" s="12">
        <f t="shared" si="31"/>
        <v>2025</v>
      </c>
    </row>
    <row r="619" spans="1:9" ht="19.5" customHeight="1" x14ac:dyDescent="0.35">
      <c r="A619" s="41">
        <v>45778</v>
      </c>
      <c r="B619" s="8" t="s">
        <v>24</v>
      </c>
      <c r="C619" s="42" t="s">
        <v>11</v>
      </c>
      <c r="D619" s="43" t="s">
        <v>30</v>
      </c>
      <c r="E619" s="46">
        <v>0</v>
      </c>
      <c r="F619" s="2">
        <f>IF(C619="GBP",E619*$C$3,IF(C619="TRY",E619/$C$1,IF(C619="EUR",E619*$E$1,IF(C619="RUB",E619/#REF!,IF(C619="EGP",E619/$E$2,E619)))))</f>
        <v>0</v>
      </c>
      <c r="G619" s="15" t="str">
        <f>VLOOKUP(B619,SPECIFICATIONF!$C$2:$D$65,2,0)</f>
        <v>GLOBAL RETAIL</v>
      </c>
      <c r="H619" s="12">
        <f t="shared" si="30"/>
        <v>5</v>
      </c>
      <c r="I619" s="12">
        <f t="shared" si="31"/>
        <v>2025</v>
      </c>
    </row>
    <row r="620" spans="1:9" ht="19.5" customHeight="1" x14ac:dyDescent="0.35">
      <c r="A620" s="41">
        <v>45778</v>
      </c>
      <c r="B620" s="8" t="s">
        <v>24</v>
      </c>
      <c r="C620" s="42" t="s">
        <v>33</v>
      </c>
      <c r="D620" s="43" t="s">
        <v>30</v>
      </c>
      <c r="E620" s="46">
        <v>43.7</v>
      </c>
      <c r="F620" s="2">
        <f>IF(C620="GBP",E620*$C$3,IF(C620="TRY",E620/$C$1,IF(C620="EUR",E620*$E$1,IF(C620="RUB",E620/#REF!,IF(C620="EGP",E620/$E$2,E620)))))</f>
        <v>43.7</v>
      </c>
      <c r="G620" s="15" t="str">
        <f>VLOOKUP(B620,SPECIFICATIONF!$C$2:$D$65,2,0)</f>
        <v>GLOBAL RETAIL</v>
      </c>
      <c r="H620" s="12">
        <f t="shared" si="30"/>
        <v>5</v>
      </c>
      <c r="I620" s="12">
        <f t="shared" si="31"/>
        <v>2025</v>
      </c>
    </row>
    <row r="621" spans="1:9" ht="19.5" customHeight="1" x14ac:dyDescent="0.35">
      <c r="A621" s="41">
        <v>45778</v>
      </c>
      <c r="B621" s="8" t="s">
        <v>24</v>
      </c>
      <c r="C621" s="42" t="s">
        <v>11</v>
      </c>
      <c r="D621" s="43" t="s">
        <v>29</v>
      </c>
      <c r="E621" s="47">
        <v>0</v>
      </c>
      <c r="F621" s="2">
        <f>IF(C621="GBP",E621*$C$3,IF(C621="TRY",E621/$C$1,IF(C621="EUR",E621*$E$1,IF(C621="RUB",E621/#REF!,IF(C621="EGP",E621/$E$2,E621)))))</f>
        <v>0</v>
      </c>
      <c r="G621" s="15" t="str">
        <f>VLOOKUP(B621,SPECIFICATIONF!$C$2:$D$65,2,0)</f>
        <v>GLOBAL RETAIL</v>
      </c>
      <c r="H621" s="12">
        <f t="shared" si="30"/>
        <v>5</v>
      </c>
      <c r="I621" s="12">
        <f t="shared" si="31"/>
        <v>2025</v>
      </c>
    </row>
    <row r="622" spans="1:9" ht="19.5" customHeight="1" x14ac:dyDescent="0.35">
      <c r="A622" s="41">
        <v>45778</v>
      </c>
      <c r="B622" s="8" t="s">
        <v>24</v>
      </c>
      <c r="C622" s="42" t="s">
        <v>33</v>
      </c>
      <c r="D622" s="43" t="s">
        <v>29</v>
      </c>
      <c r="E622" s="46">
        <v>48389</v>
      </c>
      <c r="F622" s="2">
        <f>IF(C622="GBP",E622*$C$3,IF(C622="TRY",E622/$C$1,IF(C622="EUR",E622*$E$1,IF(C622="RUB",E622/#REF!,IF(C622="EGP",E622/$E$2,E622)))))</f>
        <v>48389</v>
      </c>
      <c r="G622" s="15" t="str">
        <f>VLOOKUP(B622,SPECIFICATIONF!$C$2:$D$65,2,0)</f>
        <v>GLOBAL RETAIL</v>
      </c>
      <c r="H622" s="12">
        <f t="shared" si="30"/>
        <v>5</v>
      </c>
      <c r="I622" s="12">
        <f t="shared" si="31"/>
        <v>2025</v>
      </c>
    </row>
    <row r="623" spans="1:9" ht="19.5" customHeight="1" x14ac:dyDescent="0.35">
      <c r="A623" s="41">
        <v>45779</v>
      </c>
      <c r="B623" s="8" t="s">
        <v>32</v>
      </c>
      <c r="C623" s="42" t="s">
        <v>11</v>
      </c>
      <c r="D623" s="43" t="s">
        <v>30</v>
      </c>
      <c r="E623" s="46">
        <v>1248870.03</v>
      </c>
      <c r="F623" s="2">
        <f>IF(C623="GBP",E623*$C$3,IF(C623="TRY",E623/$C$1,IF(C623="EUR",E623*$E$1,IF(C623="RUB",E623/#REF!,IF(C623="EGP",E623/$E$2,E623)))))</f>
        <v>34246.673832982786</v>
      </c>
      <c r="G623" s="15" t="str">
        <f>VLOOKUP(B623,SPECIFICATIONF!$C$2:$D$65,2,0)</f>
        <v>GLOBAL HFT</v>
      </c>
      <c r="H623" s="12">
        <f t="shared" si="30"/>
        <v>5</v>
      </c>
      <c r="I623" s="12">
        <f t="shared" si="31"/>
        <v>2025</v>
      </c>
    </row>
    <row r="624" spans="1:9" ht="19.5" customHeight="1" x14ac:dyDescent="0.35">
      <c r="A624" s="41">
        <v>45779</v>
      </c>
      <c r="B624" s="8" t="s">
        <v>32</v>
      </c>
      <c r="C624" s="42" t="s">
        <v>33</v>
      </c>
      <c r="D624" s="43" t="s">
        <v>30</v>
      </c>
      <c r="E624" s="46">
        <v>6490.55</v>
      </c>
      <c r="F624" s="2">
        <f>IF(C624="GBP",E624*$C$3,IF(C624="TRY",E624/$C$1,IF(C624="EUR",E624*$E$1,IF(C624="RUB",E624/#REF!,IF(C624="EGP",E624/$E$2,E624)))))</f>
        <v>6490.55</v>
      </c>
      <c r="G624" s="15" t="str">
        <f>VLOOKUP(B624,SPECIFICATIONF!$C$2:$D$65,2,0)</f>
        <v>GLOBAL HFT</v>
      </c>
      <c r="H624" s="12">
        <f t="shared" si="30"/>
        <v>5</v>
      </c>
      <c r="I624" s="12">
        <f t="shared" si="31"/>
        <v>2025</v>
      </c>
    </row>
    <row r="625" spans="1:9" ht="19.5" customHeight="1" x14ac:dyDescent="0.35">
      <c r="A625" s="41">
        <v>45779</v>
      </c>
      <c r="B625" s="8" t="s">
        <v>32</v>
      </c>
      <c r="C625" s="42" t="s">
        <v>11</v>
      </c>
      <c r="D625" s="43" t="s">
        <v>29</v>
      </c>
      <c r="E625" s="47">
        <v>5134135415</v>
      </c>
      <c r="F625" s="2">
        <f>IF(C625="GBP",E625*$C$3,IF(C625="TRY",E625/$C$1,IF(C625="EUR",E625*$E$1,IF(C625="RUB",E625/#REF!,IF(C625="EGP",E625/$E$2,E625)))))</f>
        <v>140788918.58095971</v>
      </c>
      <c r="G625" s="15" t="str">
        <f>VLOOKUP(B625,SPECIFICATIONF!$C$2:$D$65,2,0)</f>
        <v>GLOBAL HFT</v>
      </c>
      <c r="H625" s="12">
        <f t="shared" si="30"/>
        <v>5</v>
      </c>
      <c r="I625" s="12">
        <f t="shared" si="31"/>
        <v>2025</v>
      </c>
    </row>
    <row r="626" spans="1:9" ht="19.5" customHeight="1" x14ac:dyDescent="0.35">
      <c r="A626" s="41">
        <v>45779</v>
      </c>
      <c r="B626" s="8" t="s">
        <v>32</v>
      </c>
      <c r="C626" s="42" t="s">
        <v>33</v>
      </c>
      <c r="D626" s="43" t="s">
        <v>29</v>
      </c>
      <c r="E626" s="46">
        <v>24291932</v>
      </c>
      <c r="F626" s="2">
        <f>IF(C626="GBP",E626*$C$3,IF(C626="TRY",E626/$C$1,IF(C626="EUR",E626*$E$1,IF(C626="RUB",E626/#REF!,IF(C626="EGP",E626/$E$2,E626)))))</f>
        <v>24291932</v>
      </c>
      <c r="G626" s="15" t="str">
        <f>VLOOKUP(B626,SPECIFICATIONF!$C$2:$D$65,2,0)</f>
        <v>GLOBAL HFT</v>
      </c>
      <c r="H626" s="12">
        <f t="shared" si="30"/>
        <v>5</v>
      </c>
      <c r="I626" s="12">
        <f t="shared" si="31"/>
        <v>2025</v>
      </c>
    </row>
    <row r="627" spans="1:9" ht="19.5" customHeight="1" x14ac:dyDescent="0.35">
      <c r="A627" s="41">
        <v>45779</v>
      </c>
      <c r="B627" s="8" t="s">
        <v>24</v>
      </c>
      <c r="C627" s="42" t="s">
        <v>11</v>
      </c>
      <c r="D627" s="43" t="s">
        <v>30</v>
      </c>
      <c r="E627" s="46">
        <v>26.79</v>
      </c>
      <c r="F627" s="2">
        <f>IF(C627="GBP",E627*$C$3,IF(C627="TRY",E627/$C$1,IF(C627="EUR",E627*$E$1,IF(C627="RUB",E627/#REF!,IF(C627="EGP",E627/$E$2,E627)))))</f>
        <v>0.73463880944089011</v>
      </c>
      <c r="G627" s="15" t="str">
        <f>VLOOKUP(B627,SPECIFICATIONF!$C$2:$D$65,2,0)</f>
        <v>GLOBAL RETAIL</v>
      </c>
      <c r="H627" s="12">
        <f t="shared" si="30"/>
        <v>5</v>
      </c>
      <c r="I627" s="12">
        <f t="shared" si="31"/>
        <v>2025</v>
      </c>
    </row>
    <row r="628" spans="1:9" ht="19.5" customHeight="1" x14ac:dyDescent="0.35">
      <c r="A628" s="41">
        <v>45779</v>
      </c>
      <c r="B628" s="8" t="s">
        <v>24</v>
      </c>
      <c r="C628" s="42" t="s">
        <v>33</v>
      </c>
      <c r="D628" s="43" t="s">
        <v>30</v>
      </c>
      <c r="E628" s="46">
        <v>0.19</v>
      </c>
      <c r="F628" s="2">
        <f>IF(C628="GBP",E628*$C$3,IF(C628="TRY",E628/$C$1,IF(C628="EUR",E628*$E$1,IF(C628="RUB",E628/#REF!,IF(C628="EGP",E628/$E$2,E628)))))</f>
        <v>0.19</v>
      </c>
      <c r="G628" s="15" t="str">
        <f>VLOOKUP(B628,SPECIFICATIONF!$C$2:$D$65,2,0)</f>
        <v>GLOBAL RETAIL</v>
      </c>
      <c r="H628" s="12">
        <f t="shared" si="30"/>
        <v>5</v>
      </c>
      <c r="I628" s="12">
        <f t="shared" si="31"/>
        <v>2025</v>
      </c>
    </row>
    <row r="629" spans="1:9" ht="19.5" customHeight="1" x14ac:dyDescent="0.35">
      <c r="A629" s="41">
        <v>45779</v>
      </c>
      <c r="B629" s="8" t="s">
        <v>24</v>
      </c>
      <c r="C629" s="42" t="s">
        <v>11</v>
      </c>
      <c r="D629" s="43" t="s">
        <v>29</v>
      </c>
      <c r="E629" s="47">
        <v>22321</v>
      </c>
      <c r="F629" s="2">
        <f>IF(C629="GBP",E629*$C$3,IF(C629="TRY",E629/$C$1,IF(C629="EUR",E629*$E$1,IF(C629="RUB",E629/#REF!,IF(C629="EGP",E629/$E$2,E629)))))</f>
        <v>612.08931935536054</v>
      </c>
      <c r="G629" s="15" t="str">
        <f>VLOOKUP(B629,SPECIFICATIONF!$C$2:$D$65,2,0)</f>
        <v>GLOBAL RETAIL</v>
      </c>
      <c r="H629" s="12">
        <f t="shared" si="30"/>
        <v>5</v>
      </c>
      <c r="I629" s="12">
        <f t="shared" si="31"/>
        <v>2025</v>
      </c>
    </row>
    <row r="630" spans="1:9" ht="19.5" customHeight="1" x14ac:dyDescent="0.35">
      <c r="A630" s="41">
        <v>45779</v>
      </c>
      <c r="B630" s="8" t="s">
        <v>24</v>
      </c>
      <c r="C630" s="42" t="s">
        <v>33</v>
      </c>
      <c r="D630" s="43" t="s">
        <v>29</v>
      </c>
      <c r="E630" s="46">
        <v>160</v>
      </c>
      <c r="F630" s="2">
        <f>IF(C630="GBP",E630*$C$3,IF(C630="TRY",E630/$C$1,IF(C630="EUR",E630*$E$1,IF(C630="RUB",E630/#REF!,IF(C630="EGP",E630/$E$2,E630)))))</f>
        <v>160</v>
      </c>
      <c r="G630" s="15" t="str">
        <f>VLOOKUP(B630,SPECIFICATIONF!$C$2:$D$65,2,0)</f>
        <v>GLOBAL RETAIL</v>
      </c>
      <c r="H630" s="12">
        <f t="shared" si="30"/>
        <v>5</v>
      </c>
      <c r="I630" s="12">
        <f t="shared" si="31"/>
        <v>2025</v>
      </c>
    </row>
    <row r="631" spans="1:9" ht="19.5" customHeight="1" x14ac:dyDescent="0.35">
      <c r="A631" s="41">
        <v>45780</v>
      </c>
      <c r="B631" s="8" t="s">
        <v>32</v>
      </c>
      <c r="C631" s="42" t="s">
        <v>11</v>
      </c>
      <c r="D631" s="43" t="s">
        <v>30</v>
      </c>
      <c r="E631" s="46">
        <v>1097720.6100000001</v>
      </c>
      <c r="F631" s="2">
        <f>IF(C631="GBP",E631*$C$3,IF(C631="TRY",E631/$C$1,IF(C631="EUR",E631*$E$1,IF(C631="RUB",E631/#REF!,IF(C631="EGP",E631/$E$2,E631)))))</f>
        <v>30101.835088806562</v>
      </c>
      <c r="G631" s="15" t="str">
        <f>VLOOKUP(B631,SPECIFICATIONF!$C$2:$D$65,2,0)</f>
        <v>GLOBAL HFT</v>
      </c>
      <c r="H631" s="12">
        <f t="shared" si="30"/>
        <v>5</v>
      </c>
      <c r="I631" s="12">
        <f t="shared" si="31"/>
        <v>2025</v>
      </c>
    </row>
    <row r="632" spans="1:9" ht="19.5" customHeight="1" x14ac:dyDescent="0.35">
      <c r="A632" s="41">
        <v>45780</v>
      </c>
      <c r="B632" s="8" t="s">
        <v>32</v>
      </c>
      <c r="C632" s="42" t="s">
        <v>33</v>
      </c>
      <c r="D632" s="43" t="s">
        <v>30</v>
      </c>
      <c r="E632" s="46">
        <v>5988.28</v>
      </c>
      <c r="F632" s="2">
        <f>IF(C632="GBP",E632*$C$3,IF(C632="TRY",E632/$C$1,IF(C632="EUR",E632*$E$1,IF(C632="RUB",E632/#REF!,IF(C632="EGP",E632/$E$2,E632)))))</f>
        <v>5988.28</v>
      </c>
      <c r="G632" s="15" t="str">
        <f>VLOOKUP(B632,SPECIFICATIONF!$C$2:$D$65,2,0)</f>
        <v>GLOBAL HFT</v>
      </c>
      <c r="H632" s="12">
        <f t="shared" si="30"/>
        <v>5</v>
      </c>
      <c r="I632" s="12">
        <f t="shared" si="31"/>
        <v>2025</v>
      </c>
    </row>
    <row r="633" spans="1:9" ht="19.5" customHeight="1" x14ac:dyDescent="0.35">
      <c r="A633" s="41">
        <v>45780</v>
      </c>
      <c r="B633" s="8" t="s">
        <v>32</v>
      </c>
      <c r="C633" s="42" t="s">
        <v>11</v>
      </c>
      <c r="D633" s="43" t="s">
        <v>29</v>
      </c>
      <c r="E633" s="47">
        <v>4662392527</v>
      </c>
      <c r="F633" s="2">
        <f>IF(C633="GBP",E633*$C$3,IF(C633="TRY",E633/$C$1,IF(C633="EUR",E633*$E$1,IF(C633="RUB",E633/#REF!,IF(C633="EGP",E633/$E$2,E633)))))</f>
        <v>127852724.71748352</v>
      </c>
      <c r="G633" s="15" t="str">
        <f>VLOOKUP(B633,SPECIFICATIONF!$C$2:$D$65,2,0)</f>
        <v>GLOBAL HFT</v>
      </c>
      <c r="H633" s="12">
        <f t="shared" si="30"/>
        <v>5</v>
      </c>
      <c r="I633" s="12">
        <f t="shared" si="31"/>
        <v>2025</v>
      </c>
    </row>
    <row r="634" spans="1:9" ht="19.5" customHeight="1" x14ac:dyDescent="0.35">
      <c r="A634" s="41">
        <v>45780</v>
      </c>
      <c r="B634" s="8" t="s">
        <v>32</v>
      </c>
      <c r="C634" s="42" t="s">
        <v>33</v>
      </c>
      <c r="D634" s="43" t="s">
        <v>29</v>
      </c>
      <c r="E634" s="46">
        <v>21752964</v>
      </c>
      <c r="F634" s="2">
        <f>IF(C634="GBP",E634*$C$3,IF(C634="TRY",E634/$C$1,IF(C634="EUR",E634*$E$1,IF(C634="RUB",E634/#REF!,IF(C634="EGP",E634/$E$2,E634)))))</f>
        <v>21752964</v>
      </c>
      <c r="G634" s="15" t="str">
        <f>VLOOKUP(B634,SPECIFICATIONF!$C$2:$D$65,2,0)</f>
        <v>GLOBAL HFT</v>
      </c>
      <c r="H634" s="12">
        <f t="shared" si="30"/>
        <v>5</v>
      </c>
      <c r="I634" s="12">
        <f t="shared" si="31"/>
        <v>2025</v>
      </c>
    </row>
    <row r="635" spans="1:9" ht="19.5" customHeight="1" x14ac:dyDescent="0.35">
      <c r="A635" s="41">
        <v>45780</v>
      </c>
      <c r="B635" s="8" t="s">
        <v>24</v>
      </c>
      <c r="C635" s="42" t="s">
        <v>11</v>
      </c>
      <c r="D635" s="43" t="s">
        <v>30</v>
      </c>
      <c r="E635" s="46">
        <v>0</v>
      </c>
      <c r="F635" s="2">
        <f>IF(C635="GBP",E635*$C$3,IF(C635="TRY",E635/$C$1,IF(C635="EUR",E635*$E$1,IF(C635="RUB",E635/#REF!,IF(C635="EGP",E635/$E$2,E635)))))</f>
        <v>0</v>
      </c>
      <c r="G635" s="15" t="str">
        <f>VLOOKUP(B635,SPECIFICATIONF!$C$2:$D$65,2,0)</f>
        <v>GLOBAL RETAIL</v>
      </c>
      <c r="H635" s="12">
        <f t="shared" si="30"/>
        <v>5</v>
      </c>
      <c r="I635" s="12">
        <f t="shared" si="31"/>
        <v>2025</v>
      </c>
    </row>
    <row r="636" spans="1:9" ht="19.5" customHeight="1" x14ac:dyDescent="0.35">
      <c r="A636" s="41">
        <v>45780</v>
      </c>
      <c r="B636" s="8" t="s">
        <v>24</v>
      </c>
      <c r="C636" s="42" t="s">
        <v>33</v>
      </c>
      <c r="D636" s="43" t="s">
        <v>30</v>
      </c>
      <c r="E636" s="46">
        <v>0</v>
      </c>
      <c r="F636" s="2">
        <f>IF(C636="GBP",E636*$C$3,IF(C636="TRY",E636/$C$1,IF(C636="EUR",E636*$E$1,IF(C636="RUB",E636/#REF!,IF(C636="EGP",E636/$E$2,E636)))))</f>
        <v>0</v>
      </c>
      <c r="G636" s="15" t="str">
        <f>VLOOKUP(B636,SPECIFICATIONF!$C$2:$D$65,2,0)</f>
        <v>GLOBAL RETAIL</v>
      </c>
      <c r="H636" s="12">
        <f t="shared" si="30"/>
        <v>5</v>
      </c>
      <c r="I636" s="12">
        <f t="shared" si="31"/>
        <v>2025</v>
      </c>
    </row>
    <row r="637" spans="1:9" ht="19.5" customHeight="1" x14ac:dyDescent="0.35">
      <c r="A637" s="41">
        <v>45780</v>
      </c>
      <c r="B637" s="8" t="s">
        <v>24</v>
      </c>
      <c r="C637" s="42" t="s">
        <v>11</v>
      </c>
      <c r="D637" s="43" t="s">
        <v>29</v>
      </c>
      <c r="E637" s="47">
        <v>0</v>
      </c>
      <c r="F637" s="2">
        <f>IF(C637="GBP",E637*$C$3,IF(C637="TRY",E637/$C$1,IF(C637="EUR",E637*$E$1,IF(C637="RUB",E637/#REF!,IF(C637="EGP",E637/$E$2,E637)))))</f>
        <v>0</v>
      </c>
      <c r="G637" s="15" t="str">
        <f>VLOOKUP(B637,SPECIFICATIONF!$C$2:$D$65,2,0)</f>
        <v>GLOBAL RETAIL</v>
      </c>
      <c r="H637" s="12">
        <f t="shared" si="30"/>
        <v>5</v>
      </c>
      <c r="I637" s="12">
        <f t="shared" si="31"/>
        <v>2025</v>
      </c>
    </row>
    <row r="638" spans="1:9" ht="19.5" customHeight="1" x14ac:dyDescent="0.35">
      <c r="A638" s="41">
        <v>45780</v>
      </c>
      <c r="B638" s="8" t="s">
        <v>24</v>
      </c>
      <c r="C638" s="42" t="s">
        <v>33</v>
      </c>
      <c r="D638" s="43" t="s">
        <v>29</v>
      </c>
      <c r="E638" s="46">
        <v>0</v>
      </c>
      <c r="F638" s="2">
        <f>IF(C638="GBP",E638*$C$3,IF(C638="TRY",E638/$C$1,IF(C638="EUR",E638*$E$1,IF(C638="RUB",E638/#REF!,IF(C638="EGP",E638/$E$2,E638)))))</f>
        <v>0</v>
      </c>
      <c r="G638" s="15" t="str">
        <f>VLOOKUP(B638,SPECIFICATIONF!$C$2:$D$65,2,0)</f>
        <v>GLOBAL RETAIL</v>
      </c>
      <c r="H638" s="12">
        <f t="shared" si="30"/>
        <v>5</v>
      </c>
      <c r="I638" s="12">
        <f t="shared" si="31"/>
        <v>2025</v>
      </c>
    </row>
    <row r="639" spans="1:9" ht="19.5" customHeight="1" x14ac:dyDescent="0.35">
      <c r="A639" s="41">
        <v>45781</v>
      </c>
      <c r="B639" s="8" t="s">
        <v>32</v>
      </c>
      <c r="C639" s="42" t="s">
        <v>11</v>
      </c>
      <c r="D639" s="43" t="s">
        <v>30</v>
      </c>
      <c r="E639" s="46">
        <v>1032213.58</v>
      </c>
      <c r="F639" s="2">
        <f>IF(C639="GBP",E639*$C$3,IF(C639="TRY",E639/$C$1,IF(C639="EUR",E639*$E$1,IF(C639="RUB",E639/#REF!,IF(C639="EGP",E639/$E$2,E639)))))</f>
        <v>28305.492926462077</v>
      </c>
      <c r="G639" s="15" t="str">
        <f>VLOOKUP(B639,SPECIFICATIONF!$C$2:$D$65,2,0)</f>
        <v>GLOBAL HFT</v>
      </c>
      <c r="H639" s="12">
        <f t="shared" si="30"/>
        <v>5</v>
      </c>
      <c r="I639" s="12">
        <f t="shared" si="31"/>
        <v>2025</v>
      </c>
    </row>
    <row r="640" spans="1:9" ht="19.5" customHeight="1" x14ac:dyDescent="0.35">
      <c r="A640" s="41">
        <v>45781</v>
      </c>
      <c r="B640" s="8" t="s">
        <v>32</v>
      </c>
      <c r="C640" s="42" t="s">
        <v>33</v>
      </c>
      <c r="D640" s="43" t="s">
        <v>30</v>
      </c>
      <c r="E640" s="46">
        <v>4799.62</v>
      </c>
      <c r="F640" s="2">
        <f>IF(C640="GBP",E640*$C$3,IF(C640="TRY",E640/$C$1,IF(C640="EUR",E640*$E$1,IF(C640="RUB",E640/#REF!,IF(C640="EGP",E640/$E$2,E640)))))</f>
        <v>4799.62</v>
      </c>
      <c r="G640" s="15" t="str">
        <f>VLOOKUP(B640,SPECIFICATIONF!$C$2:$D$65,2,0)</f>
        <v>GLOBAL HFT</v>
      </c>
      <c r="H640" s="12">
        <f t="shared" si="30"/>
        <v>5</v>
      </c>
      <c r="I640" s="12">
        <f t="shared" si="31"/>
        <v>2025</v>
      </c>
    </row>
    <row r="641" spans="1:9" ht="19.5" customHeight="1" x14ac:dyDescent="0.35">
      <c r="A641" s="41">
        <v>45781</v>
      </c>
      <c r="B641" s="8" t="s">
        <v>32</v>
      </c>
      <c r="C641" s="42" t="s">
        <v>11</v>
      </c>
      <c r="D641" s="43" t="s">
        <v>29</v>
      </c>
      <c r="E641" s="47">
        <v>4437928290</v>
      </c>
      <c r="F641" s="2">
        <f>IF(C641="GBP",E641*$C$3,IF(C641="TRY",E641/$C$1,IF(C641="EUR",E641*$E$1,IF(C641="RUB",E641/#REF!,IF(C641="EGP",E641/$E$2,E641)))))</f>
        <v>121697437.67635855</v>
      </c>
      <c r="G641" s="15" t="str">
        <f>VLOOKUP(B641,SPECIFICATIONF!$C$2:$D$65,2,0)</f>
        <v>GLOBAL HFT</v>
      </c>
      <c r="H641" s="12">
        <f t="shared" si="30"/>
        <v>5</v>
      </c>
      <c r="I641" s="12">
        <f t="shared" si="31"/>
        <v>2025</v>
      </c>
    </row>
    <row r="642" spans="1:9" ht="19.5" customHeight="1" x14ac:dyDescent="0.35">
      <c r="A642" s="41">
        <v>45781</v>
      </c>
      <c r="B642" s="8" t="s">
        <v>32</v>
      </c>
      <c r="C642" s="42" t="s">
        <v>33</v>
      </c>
      <c r="D642" s="43" t="s">
        <v>29</v>
      </c>
      <c r="E642" s="46">
        <v>17842378</v>
      </c>
      <c r="F642" s="2">
        <f>IF(C642="GBP",E642*$C$3,IF(C642="TRY",E642/$C$1,IF(C642="EUR",E642*$E$1,IF(C642="RUB",E642/#REF!,IF(C642="EGP",E642/$E$2,E642)))))</f>
        <v>17842378</v>
      </c>
      <c r="G642" s="15" t="str">
        <f>VLOOKUP(B642,SPECIFICATIONF!$C$2:$D$65,2,0)</f>
        <v>GLOBAL HFT</v>
      </c>
      <c r="H642" s="12">
        <f t="shared" si="30"/>
        <v>5</v>
      </c>
      <c r="I642" s="12">
        <f t="shared" si="31"/>
        <v>2025</v>
      </c>
    </row>
    <row r="643" spans="1:9" ht="19.5" customHeight="1" x14ac:dyDescent="0.35">
      <c r="A643" s="41">
        <v>45781</v>
      </c>
      <c r="B643" s="8" t="s">
        <v>24</v>
      </c>
      <c r="C643" s="42" t="s">
        <v>11</v>
      </c>
      <c r="D643" s="43" t="s">
        <v>30</v>
      </c>
      <c r="E643" s="46">
        <v>0</v>
      </c>
      <c r="F643" s="2">
        <f>IF(C643="GBP",E643*$C$3,IF(C643="TRY",E643/$C$1,IF(C643="EUR",E643*$E$1,IF(C643="RUB",E643/#REF!,IF(C643="EGP",E643/$E$2,E643)))))</f>
        <v>0</v>
      </c>
      <c r="G643" s="15" t="str">
        <f>VLOOKUP(B643,SPECIFICATIONF!$C$2:$D$65,2,0)</f>
        <v>GLOBAL RETAIL</v>
      </c>
      <c r="H643" s="12">
        <f t="shared" si="30"/>
        <v>5</v>
      </c>
      <c r="I643" s="12">
        <f t="shared" si="31"/>
        <v>2025</v>
      </c>
    </row>
    <row r="644" spans="1:9" ht="19.5" customHeight="1" x14ac:dyDescent="0.35">
      <c r="A644" s="41">
        <v>45781</v>
      </c>
      <c r="B644" s="8" t="s">
        <v>24</v>
      </c>
      <c r="C644" s="42" t="s">
        <v>33</v>
      </c>
      <c r="D644" s="43" t="s">
        <v>30</v>
      </c>
      <c r="E644" s="46">
        <v>0</v>
      </c>
      <c r="F644" s="2">
        <f>IF(C644="GBP",E644*$C$3,IF(C644="TRY",E644/$C$1,IF(C644="EUR",E644*$E$1,IF(C644="RUB",E644/#REF!,IF(C644="EGP",E644/$E$2,E644)))))</f>
        <v>0</v>
      </c>
      <c r="G644" s="15" t="str">
        <f>VLOOKUP(B644,SPECIFICATIONF!$C$2:$D$65,2,0)</f>
        <v>GLOBAL RETAIL</v>
      </c>
      <c r="H644" s="12">
        <f t="shared" si="30"/>
        <v>5</v>
      </c>
      <c r="I644" s="12">
        <f t="shared" si="31"/>
        <v>2025</v>
      </c>
    </row>
    <row r="645" spans="1:9" ht="19.5" customHeight="1" x14ac:dyDescent="0.35">
      <c r="A645" s="41">
        <v>45781</v>
      </c>
      <c r="B645" s="8" t="s">
        <v>24</v>
      </c>
      <c r="C645" s="42" t="s">
        <v>11</v>
      </c>
      <c r="D645" s="43" t="s">
        <v>29</v>
      </c>
      <c r="E645" s="47">
        <v>0</v>
      </c>
      <c r="F645" s="2">
        <f>IF(C645="GBP",E645*$C$3,IF(C645="TRY",E645/$C$1,IF(C645="EUR",E645*$E$1,IF(C645="RUB",E645/#REF!,IF(C645="EGP",E645/$E$2,E645)))))</f>
        <v>0</v>
      </c>
      <c r="G645" s="15" t="str">
        <f>VLOOKUP(B645,SPECIFICATIONF!$C$2:$D$65,2,0)</f>
        <v>GLOBAL RETAIL</v>
      </c>
      <c r="H645" s="12">
        <f t="shared" si="30"/>
        <v>5</v>
      </c>
      <c r="I645" s="12">
        <f t="shared" si="31"/>
        <v>2025</v>
      </c>
    </row>
    <row r="646" spans="1:9" ht="19.5" customHeight="1" x14ac:dyDescent="0.35">
      <c r="A646" s="41">
        <v>45781</v>
      </c>
      <c r="B646" s="8" t="s">
        <v>24</v>
      </c>
      <c r="C646" s="42" t="s">
        <v>33</v>
      </c>
      <c r="D646" s="43" t="s">
        <v>29</v>
      </c>
      <c r="E646" s="46">
        <v>0</v>
      </c>
      <c r="F646" s="2">
        <f>IF(C646="GBP",E646*$C$3,IF(C646="TRY",E646/$C$1,IF(C646="EUR",E646*$E$1,IF(C646="RUB",E646/#REF!,IF(C646="EGP",E646/$E$2,E646)))))</f>
        <v>0</v>
      </c>
      <c r="G646" s="15" t="str">
        <f>VLOOKUP(B646,SPECIFICATIONF!$C$2:$D$65,2,0)</f>
        <v>GLOBAL RETAIL</v>
      </c>
      <c r="H646" s="12">
        <f t="shared" si="30"/>
        <v>5</v>
      </c>
      <c r="I646" s="12">
        <f t="shared" si="31"/>
        <v>2025</v>
      </c>
    </row>
    <row r="647" spans="1:9" ht="19.5" customHeight="1" x14ac:dyDescent="0.35">
      <c r="A647" s="41">
        <v>45782</v>
      </c>
      <c r="B647" s="8" t="s">
        <v>32</v>
      </c>
      <c r="C647" s="42" t="s">
        <v>11</v>
      </c>
      <c r="D647" s="43" t="s">
        <v>30</v>
      </c>
      <c r="E647" s="46">
        <v>1211383.82</v>
      </c>
      <c r="F647" s="2">
        <f>IF(C647="GBP",E647*$C$3,IF(C647="TRY",E647/$C$1,IF(C647="EUR",E647*$E$1,IF(C647="RUB",E647/#REF!,IF(C647="EGP",E647/$E$2,E647)))))</f>
        <v>33218.722183678896</v>
      </c>
      <c r="G647" s="15" t="str">
        <f>VLOOKUP(B647,SPECIFICATIONF!$C$2:$D$65,2,0)</f>
        <v>GLOBAL HFT</v>
      </c>
      <c r="H647" s="12">
        <f t="shared" si="30"/>
        <v>5</v>
      </c>
      <c r="I647" s="12">
        <f t="shared" si="31"/>
        <v>2025</v>
      </c>
    </row>
    <row r="648" spans="1:9" ht="19.5" customHeight="1" x14ac:dyDescent="0.35">
      <c r="A648" s="41">
        <v>45782</v>
      </c>
      <c r="B648" s="8" t="s">
        <v>32</v>
      </c>
      <c r="C648" s="42" t="s">
        <v>33</v>
      </c>
      <c r="D648" s="43" t="s">
        <v>30</v>
      </c>
      <c r="E648" s="46">
        <v>6566</v>
      </c>
      <c r="F648" s="2">
        <f>IF(C648="GBP",E648*$C$3,IF(C648="TRY",E648/$C$1,IF(C648="EUR",E648*$E$1,IF(C648="RUB",E648/#REF!,IF(C648="EGP",E648/$E$2,E648)))))</f>
        <v>6566</v>
      </c>
      <c r="G648" s="15" t="str">
        <f>VLOOKUP(B648,SPECIFICATIONF!$C$2:$D$65,2,0)</f>
        <v>GLOBAL HFT</v>
      </c>
      <c r="H648" s="12">
        <f t="shared" si="30"/>
        <v>5</v>
      </c>
      <c r="I648" s="12">
        <f t="shared" si="31"/>
        <v>2025</v>
      </c>
    </row>
    <row r="649" spans="1:9" ht="19.5" customHeight="1" x14ac:dyDescent="0.35">
      <c r="A649" s="41">
        <v>45782</v>
      </c>
      <c r="B649" s="8" t="s">
        <v>32</v>
      </c>
      <c r="C649" s="42" t="s">
        <v>11</v>
      </c>
      <c r="D649" s="43" t="s">
        <v>29</v>
      </c>
      <c r="E649" s="47">
        <v>5145398362</v>
      </c>
      <c r="F649" s="2">
        <f>IF(C649="GBP",E649*$C$3,IF(C649="TRY",E649/$C$1,IF(C649="EUR",E649*$E$1,IF(C649="RUB",E649/#REF!,IF(C649="EGP",E649/$E$2,E649)))))</f>
        <v>141097772.55538583</v>
      </c>
      <c r="G649" s="15" t="str">
        <f>VLOOKUP(B649,SPECIFICATIONF!$C$2:$D$65,2,0)</f>
        <v>GLOBAL HFT</v>
      </c>
      <c r="H649" s="12">
        <f t="shared" si="30"/>
        <v>5</v>
      </c>
      <c r="I649" s="12">
        <f t="shared" si="31"/>
        <v>2025</v>
      </c>
    </row>
    <row r="650" spans="1:9" ht="19.5" customHeight="1" x14ac:dyDescent="0.35">
      <c r="A650" s="41">
        <v>45782</v>
      </c>
      <c r="B650" s="8" t="s">
        <v>32</v>
      </c>
      <c r="C650" s="42" t="s">
        <v>33</v>
      </c>
      <c r="D650" s="43" t="s">
        <v>29</v>
      </c>
      <c r="E650" s="46">
        <v>23647250</v>
      </c>
      <c r="F650" s="2">
        <f>IF(C650="GBP",E650*$C$3,IF(C650="TRY",E650/$C$1,IF(C650="EUR",E650*$E$1,IF(C650="RUB",E650/#REF!,IF(C650="EGP",E650/$E$2,E650)))))</f>
        <v>23647250</v>
      </c>
      <c r="G650" s="15" t="str">
        <f>VLOOKUP(B650,SPECIFICATIONF!$C$2:$D$65,2,0)</f>
        <v>GLOBAL HFT</v>
      </c>
      <c r="H650" s="12">
        <f t="shared" si="30"/>
        <v>5</v>
      </c>
      <c r="I650" s="12">
        <f t="shared" si="31"/>
        <v>2025</v>
      </c>
    </row>
    <row r="651" spans="1:9" ht="19.5" customHeight="1" x14ac:dyDescent="0.35">
      <c r="A651" s="41">
        <v>45782</v>
      </c>
      <c r="B651" s="8" t="s">
        <v>24</v>
      </c>
      <c r="C651" s="42" t="s">
        <v>11</v>
      </c>
      <c r="D651" s="43" t="s">
        <v>30</v>
      </c>
      <c r="E651" s="46">
        <v>0</v>
      </c>
      <c r="F651" s="2">
        <f>IF(C651="GBP",E651*$C$3,IF(C651="TRY",E651/$C$1,IF(C651="EUR",E651*$E$1,IF(C651="RUB",E651/#REF!,IF(C651="EGP",E651/$E$2,E651)))))</f>
        <v>0</v>
      </c>
      <c r="G651" s="15" t="str">
        <f>VLOOKUP(B651,SPECIFICATIONF!$C$2:$D$65,2,0)</f>
        <v>GLOBAL RETAIL</v>
      </c>
      <c r="H651" s="12">
        <f t="shared" si="30"/>
        <v>5</v>
      </c>
      <c r="I651" s="12">
        <f t="shared" si="31"/>
        <v>2025</v>
      </c>
    </row>
    <row r="652" spans="1:9" ht="19.5" customHeight="1" x14ac:dyDescent="0.35">
      <c r="A652" s="41">
        <v>45782</v>
      </c>
      <c r="B652" s="8" t="s">
        <v>24</v>
      </c>
      <c r="C652" s="42" t="s">
        <v>33</v>
      </c>
      <c r="D652" s="43" t="s">
        <v>30</v>
      </c>
      <c r="E652" s="46">
        <v>0</v>
      </c>
      <c r="F652" s="2">
        <f>IF(C652="GBP",E652*$C$3,IF(C652="TRY",E652/$C$1,IF(C652="EUR",E652*$E$1,IF(C652="RUB",E652/#REF!,IF(C652="EGP",E652/$E$2,E652)))))</f>
        <v>0</v>
      </c>
      <c r="G652" s="15" t="str">
        <f>VLOOKUP(B652,SPECIFICATIONF!$C$2:$D$65,2,0)</f>
        <v>GLOBAL RETAIL</v>
      </c>
      <c r="H652" s="12">
        <f t="shared" si="30"/>
        <v>5</v>
      </c>
      <c r="I652" s="12">
        <f t="shared" si="31"/>
        <v>2025</v>
      </c>
    </row>
    <row r="653" spans="1:9" ht="19.5" customHeight="1" x14ac:dyDescent="0.35">
      <c r="A653" s="41">
        <v>45782</v>
      </c>
      <c r="B653" s="8" t="s">
        <v>24</v>
      </c>
      <c r="C653" s="42" t="s">
        <v>11</v>
      </c>
      <c r="D653" s="43" t="s">
        <v>29</v>
      </c>
      <c r="E653" s="47">
        <v>0</v>
      </c>
      <c r="F653" s="2">
        <f>IF(C653="GBP",E653*$C$3,IF(C653="TRY",E653/$C$1,IF(C653="EUR",E653*$E$1,IF(C653="RUB",E653/#REF!,IF(C653="EGP",E653/$E$2,E653)))))</f>
        <v>0</v>
      </c>
      <c r="G653" s="15" t="str">
        <f>VLOOKUP(B653,SPECIFICATIONF!$C$2:$D$65,2,0)</f>
        <v>GLOBAL RETAIL</v>
      </c>
      <c r="H653" s="12">
        <f t="shared" si="30"/>
        <v>5</v>
      </c>
      <c r="I653" s="12">
        <f t="shared" si="31"/>
        <v>2025</v>
      </c>
    </row>
    <row r="654" spans="1:9" ht="19.5" customHeight="1" x14ac:dyDescent="0.35">
      <c r="A654" s="41">
        <v>45782</v>
      </c>
      <c r="B654" s="8" t="s">
        <v>24</v>
      </c>
      <c r="C654" s="42" t="s">
        <v>33</v>
      </c>
      <c r="D654" s="43" t="s">
        <v>29</v>
      </c>
      <c r="E654" s="46">
        <v>0</v>
      </c>
      <c r="F654" s="2">
        <f>IF(C654="GBP",E654*$C$3,IF(C654="TRY",E654/$C$1,IF(C654="EUR",E654*$E$1,IF(C654="RUB",E654/#REF!,IF(C654="EGP",E654/$E$2,E654)))))</f>
        <v>0</v>
      </c>
      <c r="G654" s="15" t="str">
        <f>VLOOKUP(B654,SPECIFICATIONF!$C$2:$D$65,2,0)</f>
        <v>GLOBAL RETAIL</v>
      </c>
      <c r="H654" s="12">
        <f t="shared" si="30"/>
        <v>5</v>
      </c>
      <c r="I654" s="12">
        <f t="shared" si="31"/>
        <v>2025</v>
      </c>
    </row>
    <row r="655" spans="1:9" ht="19.5" customHeight="1" x14ac:dyDescent="0.35">
      <c r="A655" s="41">
        <v>45783</v>
      </c>
      <c r="B655" s="8" t="s">
        <v>32</v>
      </c>
      <c r="C655" s="42" t="s">
        <v>11</v>
      </c>
      <c r="D655" s="43" t="s">
        <v>30</v>
      </c>
      <c r="E655" s="46">
        <v>1380262.18</v>
      </c>
      <c r="F655" s="2">
        <f>IF(C655="GBP",E655*$C$3,IF(C655="TRY",E655/$C$1,IF(C655="EUR",E655*$E$1,IF(C655="RUB",E655/#REF!,IF(C655="EGP",E655/$E$2,E655)))))</f>
        <v>37849.726190051799</v>
      </c>
      <c r="G655" s="15" t="str">
        <f>VLOOKUP(B655,SPECIFICATIONF!$C$2:$D$65,2,0)</f>
        <v>GLOBAL HFT</v>
      </c>
      <c r="H655" s="12">
        <f t="shared" si="30"/>
        <v>5</v>
      </c>
      <c r="I655" s="12">
        <f t="shared" si="31"/>
        <v>2025</v>
      </c>
    </row>
    <row r="656" spans="1:9" ht="19.5" customHeight="1" x14ac:dyDescent="0.35">
      <c r="A656" s="41">
        <v>45783</v>
      </c>
      <c r="B656" s="8" t="s">
        <v>32</v>
      </c>
      <c r="C656" s="42" t="s">
        <v>33</v>
      </c>
      <c r="D656" s="43" t="s">
        <v>30</v>
      </c>
      <c r="E656" s="46">
        <v>6317.18</v>
      </c>
      <c r="F656" s="2">
        <f>IF(C656="GBP",E656*$C$3,IF(C656="TRY",E656/$C$1,IF(C656="EUR",E656*$E$1,IF(C656="RUB",E656/#REF!,IF(C656="EGP",E656/$E$2,E656)))))</f>
        <v>6317.18</v>
      </c>
      <c r="G656" s="15" t="str">
        <f>VLOOKUP(B656,SPECIFICATIONF!$C$2:$D$65,2,0)</f>
        <v>GLOBAL HFT</v>
      </c>
      <c r="H656" s="12">
        <f t="shared" si="30"/>
        <v>5</v>
      </c>
      <c r="I656" s="12">
        <f t="shared" si="31"/>
        <v>2025</v>
      </c>
    </row>
    <row r="657" spans="1:9" ht="19.5" customHeight="1" x14ac:dyDescent="0.35">
      <c r="A657" s="41">
        <v>45783</v>
      </c>
      <c r="B657" s="8" t="s">
        <v>32</v>
      </c>
      <c r="C657" s="42" t="s">
        <v>11</v>
      </c>
      <c r="D657" s="43" t="s">
        <v>29</v>
      </c>
      <c r="E657" s="47">
        <v>5688156667</v>
      </c>
      <c r="F657" s="2">
        <f>IF(C657="GBP",E657*$C$3,IF(C657="TRY",E657/$C$1,IF(C657="EUR",E657*$E$1,IF(C657="RUB",E657/#REF!,IF(C657="EGP",E657/$E$2,E657)))))</f>
        <v>155981360.27466002</v>
      </c>
      <c r="G657" s="15" t="str">
        <f>VLOOKUP(B657,SPECIFICATIONF!$C$2:$D$65,2,0)</f>
        <v>GLOBAL HFT</v>
      </c>
      <c r="H657" s="12">
        <f t="shared" si="30"/>
        <v>5</v>
      </c>
      <c r="I657" s="12">
        <f t="shared" si="31"/>
        <v>2025</v>
      </c>
    </row>
    <row r="658" spans="1:9" ht="19.5" customHeight="1" x14ac:dyDescent="0.35">
      <c r="A658" s="41">
        <v>45783</v>
      </c>
      <c r="B658" s="8" t="s">
        <v>32</v>
      </c>
      <c r="C658" s="42" t="s">
        <v>33</v>
      </c>
      <c r="D658" s="43" t="s">
        <v>29</v>
      </c>
      <c r="E658" s="46">
        <v>22136380</v>
      </c>
      <c r="F658" s="2">
        <f>IF(C658="GBP",E658*$C$3,IF(C658="TRY",E658/$C$1,IF(C658="EUR",E658*$E$1,IF(C658="RUB",E658/#REF!,IF(C658="EGP",E658/$E$2,E658)))))</f>
        <v>22136380</v>
      </c>
      <c r="G658" s="15" t="str">
        <f>VLOOKUP(B658,SPECIFICATIONF!$C$2:$D$65,2,0)</f>
        <v>GLOBAL HFT</v>
      </c>
      <c r="H658" s="12">
        <f t="shared" si="30"/>
        <v>5</v>
      </c>
      <c r="I658" s="12">
        <f t="shared" si="31"/>
        <v>2025</v>
      </c>
    </row>
    <row r="659" spans="1:9" ht="19.5" customHeight="1" x14ac:dyDescent="0.35">
      <c r="A659" s="41">
        <v>45783</v>
      </c>
      <c r="B659" s="8" t="s">
        <v>24</v>
      </c>
      <c r="C659" s="42" t="s">
        <v>11</v>
      </c>
      <c r="D659" s="43" t="s">
        <v>30</v>
      </c>
      <c r="E659" s="46">
        <v>0</v>
      </c>
      <c r="F659" s="2">
        <f>IF(C659="GBP",E659*$C$3,IF(C659="TRY",E659/$C$1,IF(C659="EUR",E659*$E$1,IF(C659="RUB",E659/#REF!,IF(C659="EGP",E659/$E$2,E659)))))</f>
        <v>0</v>
      </c>
      <c r="G659" s="15" t="str">
        <f>VLOOKUP(B659,SPECIFICATIONF!$C$2:$D$65,2,0)</f>
        <v>GLOBAL RETAIL</v>
      </c>
      <c r="H659" s="12">
        <f t="shared" si="30"/>
        <v>5</v>
      </c>
      <c r="I659" s="12">
        <f t="shared" si="31"/>
        <v>2025</v>
      </c>
    </row>
    <row r="660" spans="1:9" ht="19.5" customHeight="1" x14ac:dyDescent="0.35">
      <c r="A660" s="41">
        <v>45783</v>
      </c>
      <c r="B660" s="8" t="s">
        <v>24</v>
      </c>
      <c r="C660" s="42" t="s">
        <v>33</v>
      </c>
      <c r="D660" s="43" t="s">
        <v>30</v>
      </c>
      <c r="E660" s="46">
        <v>0</v>
      </c>
      <c r="F660" s="2">
        <f>IF(C660="GBP",E660*$C$3,IF(C660="TRY",E660/$C$1,IF(C660="EUR",E660*$E$1,IF(C660="RUB",E660/#REF!,IF(C660="EGP",E660/$E$2,E660)))))</f>
        <v>0</v>
      </c>
      <c r="G660" s="15" t="str">
        <f>VLOOKUP(B660,SPECIFICATIONF!$C$2:$D$65,2,0)</f>
        <v>GLOBAL RETAIL</v>
      </c>
      <c r="H660" s="12">
        <f t="shared" si="30"/>
        <v>5</v>
      </c>
      <c r="I660" s="12">
        <f t="shared" si="31"/>
        <v>2025</v>
      </c>
    </row>
    <row r="661" spans="1:9" ht="19.5" customHeight="1" x14ac:dyDescent="0.35">
      <c r="A661" s="41">
        <v>45783</v>
      </c>
      <c r="B661" s="8" t="s">
        <v>24</v>
      </c>
      <c r="C661" s="42" t="s">
        <v>11</v>
      </c>
      <c r="D661" s="43" t="s">
        <v>29</v>
      </c>
      <c r="E661" s="47">
        <v>0</v>
      </c>
      <c r="F661" s="2">
        <f>IF(C661="GBP",E661*$C$3,IF(C661="TRY",E661/$C$1,IF(C661="EUR",E661*$E$1,IF(C661="RUB",E661/#REF!,IF(C661="EGP",E661/$E$2,E661)))))</f>
        <v>0</v>
      </c>
      <c r="G661" s="15" t="str">
        <f>VLOOKUP(B661,SPECIFICATIONF!$C$2:$D$65,2,0)</f>
        <v>GLOBAL RETAIL</v>
      </c>
      <c r="H661" s="12">
        <f t="shared" si="30"/>
        <v>5</v>
      </c>
      <c r="I661" s="12">
        <f t="shared" si="31"/>
        <v>2025</v>
      </c>
    </row>
    <row r="662" spans="1:9" ht="19.5" customHeight="1" x14ac:dyDescent="0.35">
      <c r="A662" s="41">
        <v>45783</v>
      </c>
      <c r="B662" s="8" t="s">
        <v>24</v>
      </c>
      <c r="C662" s="42" t="s">
        <v>33</v>
      </c>
      <c r="D662" s="43" t="s">
        <v>29</v>
      </c>
      <c r="E662" s="46">
        <v>0</v>
      </c>
      <c r="F662" s="2">
        <f>IF(C662="GBP",E662*$C$3,IF(C662="TRY",E662/$C$1,IF(C662="EUR",E662*$E$1,IF(C662="RUB",E662/#REF!,IF(C662="EGP",E662/$E$2,E662)))))</f>
        <v>0</v>
      </c>
      <c r="G662" s="15" t="str">
        <f>VLOOKUP(B662,SPECIFICATIONF!$C$2:$D$65,2,0)</f>
        <v>GLOBAL RETAIL</v>
      </c>
      <c r="H662" s="12">
        <f t="shared" si="30"/>
        <v>5</v>
      </c>
      <c r="I662" s="12">
        <f t="shared" si="31"/>
        <v>2025</v>
      </c>
    </row>
    <row r="663" spans="1:9" ht="19.5" customHeight="1" x14ac:dyDescent="0.35">
      <c r="A663" s="41">
        <v>45784</v>
      </c>
      <c r="B663" s="8" t="s">
        <v>32</v>
      </c>
      <c r="C663" s="42" t="s">
        <v>11</v>
      </c>
      <c r="D663" s="43" t="s">
        <v>30</v>
      </c>
      <c r="E663" s="46">
        <v>1407198.55</v>
      </c>
      <c r="F663" s="2">
        <f>IF(C663="GBP",E663*$C$3,IF(C663="TRY",E663/$C$1,IF(C663="EUR",E663*$E$1,IF(C663="RUB",E663/#REF!,IF(C663="EGP",E663/$E$2,E663)))))</f>
        <v>38588.378776369806</v>
      </c>
      <c r="G663" s="15" t="str">
        <f>VLOOKUP(B663,SPECIFICATIONF!$C$2:$D$65,2,0)</f>
        <v>GLOBAL HFT</v>
      </c>
      <c r="H663" s="12">
        <f t="shared" si="30"/>
        <v>5</v>
      </c>
      <c r="I663" s="12">
        <f t="shared" si="31"/>
        <v>2025</v>
      </c>
    </row>
    <row r="664" spans="1:9" ht="19.5" customHeight="1" x14ac:dyDescent="0.35">
      <c r="A664" s="41">
        <v>45784</v>
      </c>
      <c r="B664" s="8" t="s">
        <v>32</v>
      </c>
      <c r="C664" s="42" t="s">
        <v>33</v>
      </c>
      <c r="D664" s="43" t="s">
        <v>30</v>
      </c>
      <c r="E664" s="46">
        <v>8292.8700000000008</v>
      </c>
      <c r="F664" s="2">
        <f>IF(C664="GBP",E664*$C$3,IF(C664="TRY",E664/$C$1,IF(C664="EUR",E664*$E$1,IF(C664="RUB",E664/#REF!,IF(C664="EGP",E664/$E$2,E664)))))</f>
        <v>8292.8700000000008</v>
      </c>
      <c r="G664" s="15" t="str">
        <f>VLOOKUP(B664,SPECIFICATIONF!$C$2:$D$65,2,0)</f>
        <v>GLOBAL HFT</v>
      </c>
      <c r="H664" s="12">
        <f t="shared" si="30"/>
        <v>5</v>
      </c>
      <c r="I664" s="12">
        <f t="shared" si="31"/>
        <v>2025</v>
      </c>
    </row>
    <row r="665" spans="1:9" ht="19.5" customHeight="1" x14ac:dyDescent="0.35">
      <c r="A665" s="41">
        <v>45784</v>
      </c>
      <c r="B665" s="8" t="s">
        <v>32</v>
      </c>
      <c r="C665" s="42" t="s">
        <v>11</v>
      </c>
      <c r="D665" s="43" t="s">
        <v>29</v>
      </c>
      <c r="E665" s="47">
        <v>5762859689</v>
      </c>
      <c r="F665" s="2">
        <f>IF(C665="GBP",E665*$C$3,IF(C665="TRY",E665/$C$1,IF(C665="EUR",E665*$E$1,IF(C665="RUB",E665/#REF!,IF(C665="EGP",E665/$E$2,E665)))))</f>
        <v>158029876.10682562</v>
      </c>
      <c r="G665" s="15" t="str">
        <f>VLOOKUP(B665,SPECIFICATIONF!$C$2:$D$65,2,0)</f>
        <v>GLOBAL HFT</v>
      </c>
      <c r="H665" s="12">
        <f t="shared" si="30"/>
        <v>5</v>
      </c>
      <c r="I665" s="12">
        <f t="shared" si="31"/>
        <v>2025</v>
      </c>
    </row>
    <row r="666" spans="1:9" ht="19.5" customHeight="1" x14ac:dyDescent="0.35">
      <c r="A666" s="41">
        <v>45784</v>
      </c>
      <c r="B666" s="8" t="s">
        <v>32</v>
      </c>
      <c r="C666" s="42" t="s">
        <v>33</v>
      </c>
      <c r="D666" s="43" t="s">
        <v>29</v>
      </c>
      <c r="E666" s="46">
        <v>29739412</v>
      </c>
      <c r="F666" s="2">
        <f>IF(C666="GBP",E666*$C$3,IF(C666="TRY",E666/$C$1,IF(C666="EUR",E666*$E$1,IF(C666="RUB",E666/#REF!,IF(C666="EGP",E666/$E$2,E666)))))</f>
        <v>29739412</v>
      </c>
      <c r="G666" s="15" t="str">
        <f>VLOOKUP(B666,SPECIFICATIONF!$C$2:$D$65,2,0)</f>
        <v>GLOBAL HFT</v>
      </c>
      <c r="H666" s="12">
        <f t="shared" si="30"/>
        <v>5</v>
      </c>
      <c r="I666" s="12">
        <f t="shared" si="31"/>
        <v>2025</v>
      </c>
    </row>
    <row r="667" spans="1:9" ht="19.5" customHeight="1" x14ac:dyDescent="0.35">
      <c r="A667" s="41">
        <v>45784</v>
      </c>
      <c r="B667" s="8" t="s">
        <v>24</v>
      </c>
      <c r="C667" s="42" t="s">
        <v>11</v>
      </c>
      <c r="D667" s="43" t="s">
        <v>30</v>
      </c>
      <c r="E667" s="46">
        <v>41.71</v>
      </c>
      <c r="F667" s="2">
        <f>IF(C667="GBP",E667*$C$3,IF(C667="TRY",E667/$C$1,IF(C667="EUR",E667*$E$1,IF(C667="RUB",E667/#REF!,IF(C667="EGP",E667/$E$2,E667)))))</f>
        <v>1.1437769593796017</v>
      </c>
      <c r="G667" s="15" t="str">
        <f>VLOOKUP(B667,SPECIFICATIONF!$C$2:$D$65,2,0)</f>
        <v>GLOBAL RETAIL</v>
      </c>
      <c r="H667" s="12">
        <f t="shared" si="30"/>
        <v>5</v>
      </c>
      <c r="I667" s="12">
        <f t="shared" si="31"/>
        <v>2025</v>
      </c>
    </row>
    <row r="668" spans="1:9" ht="19.5" customHeight="1" x14ac:dyDescent="0.35">
      <c r="A668" s="41">
        <v>45784</v>
      </c>
      <c r="B668" s="8" t="s">
        <v>24</v>
      </c>
      <c r="C668" s="42" t="s">
        <v>33</v>
      </c>
      <c r="D668" s="43" t="s">
        <v>30</v>
      </c>
      <c r="E668" s="46">
        <v>0</v>
      </c>
      <c r="F668" s="2">
        <f>IF(C668="GBP",E668*$C$3,IF(C668="TRY",E668/$C$1,IF(C668="EUR",E668*$E$1,IF(C668="RUB",E668/#REF!,IF(C668="EGP",E668/$E$2,E668)))))</f>
        <v>0</v>
      </c>
      <c r="G668" s="15" t="str">
        <f>VLOOKUP(B668,SPECIFICATIONF!$C$2:$D$65,2,0)</f>
        <v>GLOBAL RETAIL</v>
      </c>
      <c r="H668" s="12">
        <f t="shared" si="30"/>
        <v>5</v>
      </c>
      <c r="I668" s="12">
        <f t="shared" si="31"/>
        <v>2025</v>
      </c>
    </row>
    <row r="669" spans="1:9" ht="19.5" customHeight="1" x14ac:dyDescent="0.35">
      <c r="A669" s="41">
        <v>45784</v>
      </c>
      <c r="B669" s="8" t="s">
        <v>24</v>
      </c>
      <c r="C669" s="42" t="s">
        <v>11</v>
      </c>
      <c r="D669" s="43" t="s">
        <v>29</v>
      </c>
      <c r="E669" s="47">
        <v>34761</v>
      </c>
      <c r="F669" s="2">
        <f>IF(C669="GBP",E669*$C$3,IF(C669="TRY",E669/$C$1,IF(C669="EUR",E669*$E$1,IF(C669="RUB",E669/#REF!,IF(C669="EGP",E669/$E$2,E669)))))</f>
        <v>953.22059182436669</v>
      </c>
      <c r="G669" s="15" t="str">
        <f>VLOOKUP(B669,SPECIFICATIONF!$C$2:$D$65,2,0)</f>
        <v>GLOBAL RETAIL</v>
      </c>
      <c r="H669" s="12">
        <f t="shared" si="30"/>
        <v>5</v>
      </c>
      <c r="I669" s="12">
        <f t="shared" si="31"/>
        <v>2025</v>
      </c>
    </row>
    <row r="670" spans="1:9" ht="19.5" customHeight="1" x14ac:dyDescent="0.35">
      <c r="A670" s="41">
        <v>45784</v>
      </c>
      <c r="B670" s="8" t="s">
        <v>24</v>
      </c>
      <c r="C670" s="42" t="s">
        <v>33</v>
      </c>
      <c r="D670" s="43" t="s">
        <v>29</v>
      </c>
      <c r="E670" s="46">
        <v>0</v>
      </c>
      <c r="F670" s="2">
        <f>IF(C670="GBP",E670*$C$3,IF(C670="TRY",E670/$C$1,IF(C670="EUR",E670*$E$1,IF(C670="RUB",E670/#REF!,IF(C670="EGP",E670/$E$2,E670)))))</f>
        <v>0</v>
      </c>
      <c r="G670" s="15" t="str">
        <f>VLOOKUP(B670,SPECIFICATIONF!$C$2:$D$65,2,0)</f>
        <v>GLOBAL RETAIL</v>
      </c>
      <c r="H670" s="12">
        <f t="shared" si="30"/>
        <v>5</v>
      </c>
      <c r="I670" s="12">
        <f t="shared" si="31"/>
        <v>2025</v>
      </c>
    </row>
    <row r="671" spans="1:9" ht="19.5" customHeight="1" x14ac:dyDescent="0.35">
      <c r="A671" s="41">
        <v>45785</v>
      </c>
      <c r="B671" s="8" t="s">
        <v>32</v>
      </c>
      <c r="C671" s="42" t="s">
        <v>11</v>
      </c>
      <c r="D671" s="43" t="s">
        <v>30</v>
      </c>
      <c r="E671" s="46">
        <v>2840800.62</v>
      </c>
      <c r="F671" s="2">
        <f>IF(C671="GBP",E671*$C$3,IF(C671="TRY",E671/$C$1,IF(C671="EUR",E671*$E$1,IF(C671="RUB",E671/#REF!,IF(C671="EGP",E671/$E$2,E671)))))</f>
        <v>77900.798258146431</v>
      </c>
      <c r="G671" s="15" t="str">
        <f>VLOOKUP(B671,SPECIFICATIONF!$C$2:$D$65,2,0)</f>
        <v>GLOBAL HFT</v>
      </c>
      <c r="H671" s="12">
        <f t="shared" si="30"/>
        <v>5</v>
      </c>
      <c r="I671" s="12">
        <f t="shared" si="31"/>
        <v>2025</v>
      </c>
    </row>
    <row r="672" spans="1:9" ht="19.5" customHeight="1" x14ac:dyDescent="0.35">
      <c r="A672" s="41">
        <v>45785</v>
      </c>
      <c r="B672" s="8" t="s">
        <v>32</v>
      </c>
      <c r="C672" s="42" t="s">
        <v>33</v>
      </c>
      <c r="D672" s="43" t="s">
        <v>30</v>
      </c>
      <c r="E672" s="46">
        <v>20094.740000000002</v>
      </c>
      <c r="F672" s="2">
        <f>IF(C672="GBP",E672*$C$3,IF(C672="TRY",E672/$C$1,IF(C672="EUR",E672*$E$1,IF(C672="RUB",E672/#REF!,IF(C672="EGP",E672/$E$2,E672)))))</f>
        <v>20094.740000000002</v>
      </c>
      <c r="G672" s="15" t="str">
        <f>VLOOKUP(B672,SPECIFICATIONF!$C$2:$D$65,2,0)</f>
        <v>GLOBAL HFT</v>
      </c>
      <c r="H672" s="12">
        <f t="shared" si="30"/>
        <v>5</v>
      </c>
      <c r="I672" s="12">
        <f t="shared" si="31"/>
        <v>2025</v>
      </c>
    </row>
    <row r="673" spans="1:9" ht="19.5" customHeight="1" x14ac:dyDescent="0.35">
      <c r="A673" s="41">
        <v>45785</v>
      </c>
      <c r="B673" s="8" t="s">
        <v>32</v>
      </c>
      <c r="C673" s="42" t="s">
        <v>11</v>
      </c>
      <c r="D673" s="43" t="s">
        <v>29</v>
      </c>
      <c r="E673" s="47">
        <v>10659789999</v>
      </c>
      <c r="F673" s="2">
        <f>IF(C673="GBP",E673*$C$3,IF(C673="TRY",E673/$C$1,IF(C673="EUR",E673*$E$1,IF(C673="RUB",E673/#REF!,IF(C673="EGP",E673/$E$2,E673)))))</f>
        <v>292314125.93338066</v>
      </c>
      <c r="G673" s="15" t="str">
        <f>VLOOKUP(B673,SPECIFICATIONF!$C$2:$D$65,2,0)</f>
        <v>GLOBAL HFT</v>
      </c>
      <c r="H673" s="12">
        <f t="shared" si="30"/>
        <v>5</v>
      </c>
      <c r="I673" s="12">
        <f t="shared" si="31"/>
        <v>2025</v>
      </c>
    </row>
    <row r="674" spans="1:9" ht="19.5" customHeight="1" x14ac:dyDescent="0.35">
      <c r="A674" s="41">
        <v>45785</v>
      </c>
      <c r="B674" s="8" t="s">
        <v>32</v>
      </c>
      <c r="C674" s="42" t="s">
        <v>33</v>
      </c>
      <c r="D674" s="43" t="s">
        <v>29</v>
      </c>
      <c r="E674" s="46">
        <v>68941160</v>
      </c>
      <c r="F674" s="2">
        <f>IF(C674="GBP",E674*$C$3,IF(C674="TRY",E674/$C$1,IF(C674="EUR",E674*$E$1,IF(C674="RUB",E674/#REF!,IF(C674="EGP",E674/$E$2,E674)))))</f>
        <v>68941160</v>
      </c>
      <c r="G674" s="15" t="str">
        <f>VLOOKUP(B674,SPECIFICATIONF!$C$2:$D$65,2,0)</f>
        <v>GLOBAL HFT</v>
      </c>
      <c r="H674" s="12">
        <f t="shared" si="30"/>
        <v>5</v>
      </c>
      <c r="I674" s="12">
        <f t="shared" si="31"/>
        <v>2025</v>
      </c>
    </row>
    <row r="675" spans="1:9" ht="19.5" customHeight="1" x14ac:dyDescent="0.35">
      <c r="A675" s="41">
        <v>45785</v>
      </c>
      <c r="B675" s="8" t="s">
        <v>24</v>
      </c>
      <c r="C675" s="42" t="s">
        <v>11</v>
      </c>
      <c r="D675" s="43" t="s">
        <v>30</v>
      </c>
      <c r="E675" s="46">
        <v>0</v>
      </c>
      <c r="F675" s="2">
        <f>IF(C675="GBP",E675*$C$3,IF(C675="TRY",E675/$C$1,IF(C675="EUR",E675*$E$1,IF(C675="RUB",E675/#REF!,IF(C675="EGP",E675/$E$2,E675)))))</f>
        <v>0</v>
      </c>
      <c r="G675" s="15" t="str">
        <f>VLOOKUP(B675,SPECIFICATIONF!$C$2:$D$65,2,0)</f>
        <v>GLOBAL RETAIL</v>
      </c>
      <c r="H675" s="12">
        <f t="shared" si="30"/>
        <v>5</v>
      </c>
      <c r="I675" s="12">
        <f t="shared" si="31"/>
        <v>2025</v>
      </c>
    </row>
    <row r="676" spans="1:9" ht="19.5" customHeight="1" x14ac:dyDescent="0.35">
      <c r="A676" s="41">
        <v>45785</v>
      </c>
      <c r="B676" s="8" t="s">
        <v>24</v>
      </c>
      <c r="C676" s="42" t="s">
        <v>33</v>
      </c>
      <c r="D676" s="43" t="s">
        <v>30</v>
      </c>
      <c r="E676" s="46">
        <v>0</v>
      </c>
      <c r="F676" s="2">
        <f>IF(C676="GBP",E676*$C$3,IF(C676="TRY",E676/$C$1,IF(C676="EUR",E676*$E$1,IF(C676="RUB",E676/#REF!,IF(C676="EGP",E676/$E$2,E676)))))</f>
        <v>0</v>
      </c>
      <c r="G676" s="15" t="str">
        <f>VLOOKUP(B676,SPECIFICATIONF!$C$2:$D$65,2,0)</f>
        <v>GLOBAL RETAIL</v>
      </c>
      <c r="H676" s="12">
        <f t="shared" si="30"/>
        <v>5</v>
      </c>
      <c r="I676" s="12">
        <f t="shared" si="31"/>
        <v>2025</v>
      </c>
    </row>
    <row r="677" spans="1:9" ht="19.5" customHeight="1" x14ac:dyDescent="0.35">
      <c r="A677" s="41">
        <v>45785</v>
      </c>
      <c r="B677" s="8" t="s">
        <v>24</v>
      </c>
      <c r="C677" s="42" t="s">
        <v>11</v>
      </c>
      <c r="D677" s="43" t="s">
        <v>29</v>
      </c>
      <c r="E677" s="47">
        <v>0</v>
      </c>
      <c r="F677" s="2">
        <f>IF(C677="GBP",E677*$C$3,IF(C677="TRY",E677/$C$1,IF(C677="EUR",E677*$E$1,IF(C677="RUB",E677/#REF!,IF(C677="EGP",E677/$E$2,E677)))))</f>
        <v>0</v>
      </c>
      <c r="G677" s="15" t="str">
        <f>VLOOKUP(B677,SPECIFICATIONF!$C$2:$D$65,2,0)</f>
        <v>GLOBAL RETAIL</v>
      </c>
      <c r="H677" s="12">
        <f t="shared" si="30"/>
        <v>5</v>
      </c>
      <c r="I677" s="12">
        <f t="shared" si="31"/>
        <v>2025</v>
      </c>
    </row>
    <row r="678" spans="1:9" ht="19.5" customHeight="1" x14ac:dyDescent="0.35">
      <c r="A678" s="41">
        <v>45785</v>
      </c>
      <c r="B678" s="8" t="s">
        <v>24</v>
      </c>
      <c r="C678" s="42" t="s">
        <v>33</v>
      </c>
      <c r="D678" s="43" t="s">
        <v>29</v>
      </c>
      <c r="E678" s="46">
        <v>0</v>
      </c>
      <c r="F678" s="2">
        <f>IF(C678="GBP",E678*$C$3,IF(C678="TRY",E678/$C$1,IF(C678="EUR",E678*$E$1,IF(C678="RUB",E678/#REF!,IF(C678="EGP",E678/$E$2,E678)))))</f>
        <v>0</v>
      </c>
      <c r="G678" s="15" t="str">
        <f>VLOOKUP(B678,SPECIFICATIONF!$C$2:$D$65,2,0)</f>
        <v>GLOBAL RETAIL</v>
      </c>
      <c r="H678" s="12">
        <f t="shared" ref="H678:H741" si="32">MONTH(A678)</f>
        <v>5</v>
      </c>
      <c r="I678" s="12">
        <f t="shared" ref="I678:I741" si="33">YEAR(A678)</f>
        <v>2025</v>
      </c>
    </row>
    <row r="679" spans="1:9" ht="19.5" customHeight="1" x14ac:dyDescent="0.35">
      <c r="A679" s="41">
        <v>45786</v>
      </c>
      <c r="B679" s="8" t="s">
        <v>32</v>
      </c>
      <c r="C679" s="42" t="s">
        <v>11</v>
      </c>
      <c r="D679" s="43" t="s">
        <v>30</v>
      </c>
      <c r="E679" s="46">
        <v>4557755.2300000004</v>
      </c>
      <c r="F679" s="2">
        <f>IF(C679="GBP",E679*$C$3,IF(C679="TRY",E679/$C$1,IF(C679="EUR",E679*$E$1,IF(C679="RUB",E679/#REF!,IF(C679="EGP",E679/$E$2,E679)))))</f>
        <v>124983.34736432217</v>
      </c>
      <c r="G679" s="15" t="str">
        <f>VLOOKUP(B679,SPECIFICATIONF!$C$2:$D$65,2,0)</f>
        <v>GLOBAL HFT</v>
      </c>
      <c r="H679" s="12">
        <f t="shared" si="32"/>
        <v>5</v>
      </c>
      <c r="I679" s="12">
        <f t="shared" si="33"/>
        <v>2025</v>
      </c>
    </row>
    <row r="680" spans="1:9" ht="19.5" customHeight="1" x14ac:dyDescent="0.35">
      <c r="A680" s="41">
        <v>45786</v>
      </c>
      <c r="B680" s="8" t="s">
        <v>32</v>
      </c>
      <c r="C680" s="42" t="s">
        <v>33</v>
      </c>
      <c r="D680" s="43" t="s">
        <v>30</v>
      </c>
      <c r="E680" s="46">
        <v>32185.52</v>
      </c>
      <c r="F680" s="2">
        <f>IF(C680="GBP",E680*$C$3,IF(C680="TRY",E680/$C$1,IF(C680="EUR",E680*$E$1,IF(C680="RUB",E680/#REF!,IF(C680="EGP",E680/$E$2,E680)))))</f>
        <v>32185.52</v>
      </c>
      <c r="G680" s="15" t="str">
        <f>VLOOKUP(B680,SPECIFICATIONF!$C$2:$D$65,2,0)</f>
        <v>GLOBAL HFT</v>
      </c>
      <c r="H680" s="12">
        <f t="shared" si="32"/>
        <v>5</v>
      </c>
      <c r="I680" s="12">
        <f t="shared" si="33"/>
        <v>2025</v>
      </c>
    </row>
    <row r="681" spans="1:9" ht="19.5" customHeight="1" x14ac:dyDescent="0.35">
      <c r="A681" s="41">
        <v>45786</v>
      </c>
      <c r="B681" s="8" t="s">
        <v>32</v>
      </c>
      <c r="C681" s="42" t="s">
        <v>11</v>
      </c>
      <c r="D681" s="43" t="s">
        <v>29</v>
      </c>
      <c r="E681" s="47">
        <v>16919747406</v>
      </c>
      <c r="F681" s="2">
        <f>IF(C681="GBP",E681*$C$3,IF(C681="TRY",E681/$C$1,IF(C681="EUR",E681*$E$1,IF(C681="RUB",E681/#REF!,IF(C681="EGP",E681/$E$2,E681)))))</f>
        <v>463975479.2976644</v>
      </c>
      <c r="G681" s="15" t="str">
        <f>VLOOKUP(B681,SPECIFICATIONF!$C$2:$D$65,2,0)</f>
        <v>GLOBAL HFT</v>
      </c>
      <c r="H681" s="12">
        <f t="shared" si="32"/>
        <v>5</v>
      </c>
      <c r="I681" s="12">
        <f t="shared" si="33"/>
        <v>2025</v>
      </c>
    </row>
    <row r="682" spans="1:9" ht="19.5" customHeight="1" x14ac:dyDescent="0.35">
      <c r="A682" s="41">
        <v>45786</v>
      </c>
      <c r="B682" s="8" t="s">
        <v>32</v>
      </c>
      <c r="C682" s="42" t="s">
        <v>33</v>
      </c>
      <c r="D682" s="43" t="s">
        <v>29</v>
      </c>
      <c r="E682" s="46">
        <v>112151193</v>
      </c>
      <c r="F682" s="2">
        <f>IF(C682="GBP",E682*$C$3,IF(C682="TRY",E682/$C$1,IF(C682="EUR",E682*$E$1,IF(C682="RUB",E682/#REF!,IF(C682="EGP",E682/$E$2,E682)))))</f>
        <v>112151193</v>
      </c>
      <c r="G682" s="15" t="str">
        <f>VLOOKUP(B682,SPECIFICATIONF!$C$2:$D$65,2,0)</f>
        <v>GLOBAL HFT</v>
      </c>
      <c r="H682" s="12">
        <f t="shared" si="32"/>
        <v>5</v>
      </c>
      <c r="I682" s="12">
        <f t="shared" si="33"/>
        <v>2025</v>
      </c>
    </row>
    <row r="683" spans="1:9" ht="19.5" customHeight="1" x14ac:dyDescent="0.35">
      <c r="A683" s="41">
        <v>45786</v>
      </c>
      <c r="B683" s="8" t="s">
        <v>24</v>
      </c>
      <c r="C683" s="42" t="s">
        <v>11</v>
      </c>
      <c r="D683" s="43" t="s">
        <v>30</v>
      </c>
      <c r="E683" s="46">
        <v>0</v>
      </c>
      <c r="F683" s="2">
        <f>IF(C683="GBP",E683*$C$3,IF(C683="TRY",E683/$C$1,IF(C683="EUR",E683*$E$1,IF(C683="RUB",E683/#REF!,IF(C683="EGP",E683/$E$2,E683)))))</f>
        <v>0</v>
      </c>
      <c r="G683" s="15" t="str">
        <f>VLOOKUP(B683,SPECIFICATIONF!$C$2:$D$65,2,0)</f>
        <v>GLOBAL RETAIL</v>
      </c>
      <c r="H683" s="12">
        <f t="shared" si="32"/>
        <v>5</v>
      </c>
      <c r="I683" s="12">
        <f t="shared" si="33"/>
        <v>2025</v>
      </c>
    </row>
    <row r="684" spans="1:9" ht="19.5" customHeight="1" x14ac:dyDescent="0.35">
      <c r="A684" s="41">
        <v>45786</v>
      </c>
      <c r="B684" s="8" t="s">
        <v>24</v>
      </c>
      <c r="C684" s="42" t="s">
        <v>33</v>
      </c>
      <c r="D684" s="43" t="s">
        <v>30</v>
      </c>
      <c r="E684" s="46">
        <v>185.47</v>
      </c>
      <c r="F684" s="2">
        <f>IF(C684="GBP",E684*$C$3,IF(C684="TRY",E684/$C$1,IF(C684="EUR",E684*$E$1,IF(C684="RUB",E684/#REF!,IF(C684="EGP",E684/$E$2,E684)))))</f>
        <v>185.47</v>
      </c>
      <c r="G684" s="15" t="str">
        <f>VLOOKUP(B684,SPECIFICATIONF!$C$2:$D$65,2,0)</f>
        <v>GLOBAL RETAIL</v>
      </c>
      <c r="H684" s="12">
        <f t="shared" si="32"/>
        <v>5</v>
      </c>
      <c r="I684" s="12">
        <f t="shared" si="33"/>
        <v>2025</v>
      </c>
    </row>
    <row r="685" spans="1:9" ht="19.5" customHeight="1" x14ac:dyDescent="0.35">
      <c r="A685" s="41">
        <v>45786</v>
      </c>
      <c r="B685" s="8" t="s">
        <v>24</v>
      </c>
      <c r="C685" s="42" t="s">
        <v>11</v>
      </c>
      <c r="D685" s="43" t="s">
        <v>29</v>
      </c>
      <c r="E685" s="47">
        <v>0</v>
      </c>
      <c r="F685" s="2">
        <f>IF(C685="GBP",E685*$C$3,IF(C685="TRY",E685/$C$1,IF(C685="EUR",E685*$E$1,IF(C685="RUB",E685/#REF!,IF(C685="EGP",E685/$E$2,E685)))))</f>
        <v>0</v>
      </c>
      <c r="G685" s="15" t="str">
        <f>VLOOKUP(B685,SPECIFICATIONF!$C$2:$D$65,2,0)</f>
        <v>GLOBAL RETAIL</v>
      </c>
      <c r="H685" s="12">
        <f t="shared" si="32"/>
        <v>5</v>
      </c>
      <c r="I685" s="12">
        <f t="shared" si="33"/>
        <v>2025</v>
      </c>
    </row>
    <row r="686" spans="1:9" ht="19.5" customHeight="1" x14ac:dyDescent="0.35">
      <c r="A686" s="41">
        <v>45786</v>
      </c>
      <c r="B686" s="8" t="s">
        <v>24</v>
      </c>
      <c r="C686" s="42" t="s">
        <v>33</v>
      </c>
      <c r="D686" s="43" t="s">
        <v>29</v>
      </c>
      <c r="E686" s="46">
        <v>0</v>
      </c>
      <c r="F686" s="2">
        <f>IF(C686="GBP",E686*$C$3,IF(C686="TRY",E686/$C$1,IF(C686="EUR",E686*$E$1,IF(C686="RUB",E686/#REF!,IF(C686="EGP",E686/$E$2,E686)))))</f>
        <v>0</v>
      </c>
      <c r="G686" s="15" t="str">
        <f>VLOOKUP(B686,SPECIFICATIONF!$C$2:$D$65,2,0)</f>
        <v>GLOBAL RETAIL</v>
      </c>
      <c r="H686" s="12">
        <f t="shared" si="32"/>
        <v>5</v>
      </c>
      <c r="I686" s="12">
        <f t="shared" si="33"/>
        <v>2025</v>
      </c>
    </row>
    <row r="687" spans="1:9" ht="19.5" customHeight="1" x14ac:dyDescent="0.35">
      <c r="A687" s="41">
        <v>45787</v>
      </c>
      <c r="B687" s="8" t="s">
        <v>32</v>
      </c>
      <c r="C687" s="42" t="s">
        <v>11</v>
      </c>
      <c r="D687" s="43" t="s">
        <v>30</v>
      </c>
      <c r="E687" s="46">
        <v>4181085.59</v>
      </c>
      <c r="F687" s="2">
        <f>IF(C687="GBP",E687*$C$3,IF(C687="TRY",E687/$C$1,IF(C687="EUR",E687*$E$1,IF(C687="RUB",E687/#REF!,IF(C687="EGP",E687/$E$2,E687)))))</f>
        <v>114654.26427801649</v>
      </c>
      <c r="G687" s="15" t="str">
        <f>VLOOKUP(B687,SPECIFICATIONF!$C$2:$D$65,2,0)</f>
        <v>GLOBAL HFT</v>
      </c>
      <c r="H687" s="12">
        <f t="shared" si="32"/>
        <v>5</v>
      </c>
      <c r="I687" s="12">
        <f t="shared" si="33"/>
        <v>2025</v>
      </c>
    </row>
    <row r="688" spans="1:9" ht="19.5" customHeight="1" x14ac:dyDescent="0.35">
      <c r="A688" s="41">
        <v>45787</v>
      </c>
      <c r="B688" s="8" t="s">
        <v>32</v>
      </c>
      <c r="C688" s="42" t="s">
        <v>33</v>
      </c>
      <c r="D688" s="43" t="s">
        <v>30</v>
      </c>
      <c r="E688" s="46">
        <v>24469.06</v>
      </c>
      <c r="F688" s="2">
        <f>IF(C688="GBP",E688*$C$3,IF(C688="TRY",E688/$C$1,IF(C688="EUR",E688*$E$1,IF(C688="RUB",E688/#REF!,IF(C688="EGP",E688/$E$2,E688)))))</f>
        <v>24469.06</v>
      </c>
      <c r="G688" s="15" t="str">
        <f>VLOOKUP(B688,SPECIFICATIONF!$C$2:$D$65,2,0)</f>
        <v>GLOBAL HFT</v>
      </c>
      <c r="H688" s="12">
        <f t="shared" si="32"/>
        <v>5</v>
      </c>
      <c r="I688" s="12">
        <f t="shared" si="33"/>
        <v>2025</v>
      </c>
    </row>
    <row r="689" spans="1:9" ht="19.5" customHeight="1" x14ac:dyDescent="0.35">
      <c r="A689" s="41">
        <v>45787</v>
      </c>
      <c r="B689" s="8" t="s">
        <v>32</v>
      </c>
      <c r="C689" s="42" t="s">
        <v>11</v>
      </c>
      <c r="D689" s="43" t="s">
        <v>29</v>
      </c>
      <c r="E689" s="47">
        <v>15849270380</v>
      </c>
      <c r="F689" s="2">
        <f>IF(C689="GBP",E689*$C$3,IF(C689="TRY",E689/$C$1,IF(C689="EUR",E689*$E$1,IF(C689="RUB",E689/#REF!,IF(C689="EGP",E689/$E$2,E689)))))</f>
        <v>434620721.25681096</v>
      </c>
      <c r="G689" s="15" t="str">
        <f>VLOOKUP(B689,SPECIFICATIONF!$C$2:$D$65,2,0)</f>
        <v>GLOBAL HFT</v>
      </c>
      <c r="H689" s="12">
        <f t="shared" si="32"/>
        <v>5</v>
      </c>
      <c r="I689" s="12">
        <f t="shared" si="33"/>
        <v>2025</v>
      </c>
    </row>
    <row r="690" spans="1:9" ht="19.5" customHeight="1" x14ac:dyDescent="0.35">
      <c r="A690" s="41">
        <v>45787</v>
      </c>
      <c r="B690" s="8" t="s">
        <v>32</v>
      </c>
      <c r="C690" s="42" t="s">
        <v>33</v>
      </c>
      <c r="D690" s="43" t="s">
        <v>29</v>
      </c>
      <c r="E690" s="46">
        <v>85990306</v>
      </c>
      <c r="F690" s="2">
        <f>IF(C690="GBP",E690*$C$3,IF(C690="TRY",E690/$C$1,IF(C690="EUR",E690*$E$1,IF(C690="RUB",E690/#REF!,IF(C690="EGP",E690/$E$2,E690)))))</f>
        <v>85990306</v>
      </c>
      <c r="G690" s="15" t="str">
        <f>VLOOKUP(B690,SPECIFICATIONF!$C$2:$D$65,2,0)</f>
        <v>GLOBAL HFT</v>
      </c>
      <c r="H690" s="12">
        <f t="shared" si="32"/>
        <v>5</v>
      </c>
      <c r="I690" s="12">
        <f t="shared" si="33"/>
        <v>2025</v>
      </c>
    </row>
    <row r="691" spans="1:9" ht="19.5" customHeight="1" x14ac:dyDescent="0.35">
      <c r="A691" s="41">
        <v>45787</v>
      </c>
      <c r="B691" s="8" t="s">
        <v>24</v>
      </c>
      <c r="C691" s="42" t="s">
        <v>11</v>
      </c>
      <c r="D691" s="43" t="s">
        <v>30</v>
      </c>
      <c r="E691" s="46">
        <v>0</v>
      </c>
      <c r="F691" s="2">
        <f>IF(C691="GBP",E691*$C$3,IF(C691="TRY",E691/$C$1,IF(C691="EUR",E691*$E$1,IF(C691="RUB",E691/#REF!,IF(C691="EGP",E691/$E$2,E691)))))</f>
        <v>0</v>
      </c>
      <c r="G691" s="15" t="str">
        <f>VLOOKUP(B691,SPECIFICATIONF!$C$2:$D$65,2,0)</f>
        <v>GLOBAL RETAIL</v>
      </c>
      <c r="H691" s="12">
        <f t="shared" si="32"/>
        <v>5</v>
      </c>
      <c r="I691" s="12">
        <f t="shared" si="33"/>
        <v>2025</v>
      </c>
    </row>
    <row r="692" spans="1:9" ht="19.5" customHeight="1" x14ac:dyDescent="0.35">
      <c r="A692" s="41">
        <v>45787</v>
      </c>
      <c r="B692" s="8" t="s">
        <v>24</v>
      </c>
      <c r="C692" s="42" t="s">
        <v>33</v>
      </c>
      <c r="D692" s="43" t="s">
        <v>30</v>
      </c>
      <c r="E692" s="46">
        <v>0.1</v>
      </c>
      <c r="F692" s="2">
        <f>IF(C692="GBP",E692*$C$3,IF(C692="TRY",E692/$C$1,IF(C692="EUR",E692*$E$1,IF(C692="RUB",E692/#REF!,IF(C692="EGP",E692/$E$2,E692)))))</f>
        <v>0.1</v>
      </c>
      <c r="G692" s="15" t="str">
        <f>VLOOKUP(B692,SPECIFICATIONF!$C$2:$D$65,2,0)</f>
        <v>GLOBAL RETAIL</v>
      </c>
      <c r="H692" s="12">
        <f t="shared" si="32"/>
        <v>5</v>
      </c>
      <c r="I692" s="12">
        <f t="shared" si="33"/>
        <v>2025</v>
      </c>
    </row>
    <row r="693" spans="1:9" ht="19.5" customHeight="1" x14ac:dyDescent="0.35">
      <c r="A693" s="41">
        <v>45787</v>
      </c>
      <c r="B693" s="8" t="s">
        <v>24</v>
      </c>
      <c r="C693" s="42" t="s">
        <v>11</v>
      </c>
      <c r="D693" s="43" t="s">
        <v>29</v>
      </c>
      <c r="E693" s="47">
        <v>0</v>
      </c>
      <c r="F693" s="2">
        <f>IF(C693="GBP",E693*$C$3,IF(C693="TRY",E693/$C$1,IF(C693="EUR",E693*$E$1,IF(C693="RUB",E693/#REF!,IF(C693="EGP",E693/$E$2,E693)))))</f>
        <v>0</v>
      </c>
      <c r="G693" s="15" t="str">
        <f>VLOOKUP(B693,SPECIFICATIONF!$C$2:$D$65,2,0)</f>
        <v>GLOBAL RETAIL</v>
      </c>
      <c r="H693" s="12">
        <f t="shared" si="32"/>
        <v>5</v>
      </c>
      <c r="I693" s="12">
        <f t="shared" si="33"/>
        <v>2025</v>
      </c>
    </row>
    <row r="694" spans="1:9" ht="19.5" customHeight="1" x14ac:dyDescent="0.35">
      <c r="A694" s="41">
        <v>45787</v>
      </c>
      <c r="B694" s="8" t="s">
        <v>24</v>
      </c>
      <c r="C694" s="42" t="s">
        <v>33</v>
      </c>
      <c r="D694" s="43" t="s">
        <v>29</v>
      </c>
      <c r="E694" s="46">
        <v>105</v>
      </c>
      <c r="F694" s="2">
        <f>IF(C694="GBP",E694*$C$3,IF(C694="TRY",E694/$C$1,IF(C694="EUR",E694*$E$1,IF(C694="RUB",E694/#REF!,IF(C694="EGP",E694/$E$2,E694)))))</f>
        <v>105</v>
      </c>
      <c r="G694" s="15" t="str">
        <f>VLOOKUP(B694,SPECIFICATIONF!$C$2:$D$65,2,0)</f>
        <v>GLOBAL RETAIL</v>
      </c>
      <c r="H694" s="12">
        <f t="shared" si="32"/>
        <v>5</v>
      </c>
      <c r="I694" s="12">
        <f t="shared" si="33"/>
        <v>2025</v>
      </c>
    </row>
    <row r="695" spans="1:9" ht="19.5" customHeight="1" x14ac:dyDescent="0.35">
      <c r="A695" s="41">
        <v>45788</v>
      </c>
      <c r="B695" s="8" t="s">
        <v>32</v>
      </c>
      <c r="C695" s="42" t="s">
        <v>11</v>
      </c>
      <c r="D695" s="43" t="s">
        <v>30</v>
      </c>
      <c r="E695" s="46">
        <v>3738159.37</v>
      </c>
      <c r="F695" s="2">
        <f>IF(C695="GBP",E695*$C$3,IF(C695="TRY",E695/$C$1,IF(C695="EUR",E695*$E$1,IF(C695="RUB",E695/#REF!,IF(C695="EGP",E695/$E$2,E695)))))</f>
        <v>102508.28477331497</v>
      </c>
      <c r="G695" s="15" t="str">
        <f>VLOOKUP(B695,SPECIFICATIONF!$C$2:$D$65,2,0)</f>
        <v>GLOBAL HFT</v>
      </c>
      <c r="H695" s="12">
        <f t="shared" si="32"/>
        <v>5</v>
      </c>
      <c r="I695" s="12">
        <f t="shared" si="33"/>
        <v>2025</v>
      </c>
    </row>
    <row r="696" spans="1:9" ht="19.5" customHeight="1" x14ac:dyDescent="0.35">
      <c r="A696" s="41">
        <v>45788</v>
      </c>
      <c r="B696" s="8" t="s">
        <v>32</v>
      </c>
      <c r="C696" s="42" t="s">
        <v>33</v>
      </c>
      <c r="D696" s="43" t="s">
        <v>30</v>
      </c>
      <c r="E696" s="46">
        <v>22856.85</v>
      </c>
      <c r="F696" s="2">
        <f>IF(C696="GBP",E696*$C$3,IF(C696="TRY",E696/$C$1,IF(C696="EUR",E696*$E$1,IF(C696="RUB",E696/#REF!,IF(C696="EGP",E696/$E$2,E696)))))</f>
        <v>22856.85</v>
      </c>
      <c r="G696" s="15" t="str">
        <f>VLOOKUP(B696,SPECIFICATIONF!$C$2:$D$65,2,0)</f>
        <v>GLOBAL HFT</v>
      </c>
      <c r="H696" s="12">
        <f t="shared" si="32"/>
        <v>5</v>
      </c>
      <c r="I696" s="12">
        <f t="shared" si="33"/>
        <v>2025</v>
      </c>
    </row>
    <row r="697" spans="1:9" ht="19.5" customHeight="1" x14ac:dyDescent="0.35">
      <c r="A697" s="41">
        <v>45788</v>
      </c>
      <c r="B697" s="8" t="s">
        <v>32</v>
      </c>
      <c r="C697" s="42" t="s">
        <v>11</v>
      </c>
      <c r="D697" s="43" t="s">
        <v>29</v>
      </c>
      <c r="E697" s="47">
        <v>14116909523</v>
      </c>
      <c r="F697" s="2">
        <f>IF(C697="GBP",E697*$C$3,IF(C697="TRY",E697/$C$1,IF(C697="EUR",E697*$E$1,IF(C697="RUB",E697/#REF!,IF(C697="EGP",E697/$E$2,E697)))))</f>
        <v>387115700.07321703</v>
      </c>
      <c r="G697" s="15" t="str">
        <f>VLOOKUP(B697,SPECIFICATIONF!$C$2:$D$65,2,0)</f>
        <v>GLOBAL HFT</v>
      </c>
      <c r="H697" s="12">
        <f t="shared" si="32"/>
        <v>5</v>
      </c>
      <c r="I697" s="12">
        <f t="shared" si="33"/>
        <v>2025</v>
      </c>
    </row>
    <row r="698" spans="1:9" ht="19.5" customHeight="1" x14ac:dyDescent="0.35">
      <c r="A698" s="41">
        <v>45788</v>
      </c>
      <c r="B698" s="8" t="s">
        <v>32</v>
      </c>
      <c r="C698" s="42" t="s">
        <v>33</v>
      </c>
      <c r="D698" s="43" t="s">
        <v>29</v>
      </c>
      <c r="E698" s="46">
        <v>81256610</v>
      </c>
      <c r="F698" s="2">
        <f>IF(C698="GBP",E698*$C$3,IF(C698="TRY",E698/$C$1,IF(C698="EUR",E698*$E$1,IF(C698="RUB",E698/#REF!,IF(C698="EGP",E698/$E$2,E698)))))</f>
        <v>81256610</v>
      </c>
      <c r="G698" s="15" t="str">
        <f>VLOOKUP(B698,SPECIFICATIONF!$C$2:$D$65,2,0)</f>
        <v>GLOBAL HFT</v>
      </c>
      <c r="H698" s="12">
        <f t="shared" si="32"/>
        <v>5</v>
      </c>
      <c r="I698" s="12">
        <f t="shared" si="33"/>
        <v>2025</v>
      </c>
    </row>
    <row r="699" spans="1:9" ht="19.5" customHeight="1" x14ac:dyDescent="0.35">
      <c r="A699" s="41">
        <v>45788</v>
      </c>
      <c r="B699" s="8" t="s">
        <v>24</v>
      </c>
      <c r="C699" s="42" t="s">
        <v>11</v>
      </c>
      <c r="D699" s="43" t="s">
        <v>30</v>
      </c>
      <c r="E699" s="46">
        <v>0</v>
      </c>
      <c r="F699" s="2">
        <f>IF(C699="GBP",E699*$C$3,IF(C699="TRY",E699/$C$1,IF(C699="EUR",E699*$E$1,IF(C699="RUB",E699/#REF!,IF(C699="EGP",E699/$E$2,E699)))))</f>
        <v>0</v>
      </c>
      <c r="G699" s="15" t="str">
        <f>VLOOKUP(B699,SPECIFICATIONF!$C$2:$D$65,2,0)</f>
        <v>GLOBAL RETAIL</v>
      </c>
      <c r="H699" s="12">
        <f t="shared" si="32"/>
        <v>5</v>
      </c>
      <c r="I699" s="12">
        <f t="shared" si="33"/>
        <v>2025</v>
      </c>
    </row>
    <row r="700" spans="1:9" ht="19.5" customHeight="1" x14ac:dyDescent="0.35">
      <c r="A700" s="41">
        <v>45788</v>
      </c>
      <c r="B700" s="8" t="s">
        <v>24</v>
      </c>
      <c r="C700" s="42" t="s">
        <v>33</v>
      </c>
      <c r="D700" s="43" t="s">
        <v>30</v>
      </c>
      <c r="E700" s="46">
        <v>0</v>
      </c>
      <c r="F700" s="2">
        <f>IF(C700="GBP",E700*$C$3,IF(C700="TRY",E700/$C$1,IF(C700="EUR",E700*$E$1,IF(C700="RUB",E700/#REF!,IF(C700="EGP",E700/$E$2,E700)))))</f>
        <v>0</v>
      </c>
      <c r="G700" s="15" t="str">
        <f>VLOOKUP(B700,SPECIFICATIONF!$C$2:$D$65,2,0)</f>
        <v>GLOBAL RETAIL</v>
      </c>
      <c r="H700" s="12">
        <f t="shared" si="32"/>
        <v>5</v>
      </c>
      <c r="I700" s="12">
        <f t="shared" si="33"/>
        <v>2025</v>
      </c>
    </row>
    <row r="701" spans="1:9" ht="19.5" customHeight="1" x14ac:dyDescent="0.35">
      <c r="A701" s="41">
        <v>45788</v>
      </c>
      <c r="B701" s="8" t="s">
        <v>24</v>
      </c>
      <c r="C701" s="42" t="s">
        <v>11</v>
      </c>
      <c r="D701" s="43" t="s">
        <v>29</v>
      </c>
      <c r="E701" s="47">
        <v>0</v>
      </c>
      <c r="F701" s="2">
        <f>IF(C701="GBP",E701*$C$3,IF(C701="TRY",E701/$C$1,IF(C701="EUR",E701*$E$1,IF(C701="RUB",E701/#REF!,IF(C701="EGP",E701/$E$2,E701)))))</f>
        <v>0</v>
      </c>
      <c r="G701" s="15" t="str">
        <f>VLOOKUP(B701,SPECIFICATIONF!$C$2:$D$65,2,0)</f>
        <v>GLOBAL RETAIL</v>
      </c>
      <c r="H701" s="12">
        <f t="shared" si="32"/>
        <v>5</v>
      </c>
      <c r="I701" s="12">
        <f t="shared" si="33"/>
        <v>2025</v>
      </c>
    </row>
    <row r="702" spans="1:9" ht="19.5" customHeight="1" x14ac:dyDescent="0.35">
      <c r="A702" s="41">
        <v>45788</v>
      </c>
      <c r="B702" s="8" t="s">
        <v>24</v>
      </c>
      <c r="C702" s="42" t="s">
        <v>33</v>
      </c>
      <c r="D702" s="43" t="s">
        <v>29</v>
      </c>
      <c r="E702" s="46">
        <v>0</v>
      </c>
      <c r="F702" s="2">
        <f>IF(C702="GBP",E702*$C$3,IF(C702="TRY",E702/$C$1,IF(C702="EUR",E702*$E$1,IF(C702="RUB",E702/#REF!,IF(C702="EGP",E702/$E$2,E702)))))</f>
        <v>0</v>
      </c>
      <c r="G702" s="15" t="str">
        <f>VLOOKUP(B702,SPECIFICATIONF!$C$2:$D$65,2,0)</f>
        <v>GLOBAL RETAIL</v>
      </c>
      <c r="H702" s="12">
        <f t="shared" si="32"/>
        <v>5</v>
      </c>
      <c r="I702" s="12">
        <f t="shared" si="33"/>
        <v>2025</v>
      </c>
    </row>
    <row r="703" spans="1:9" ht="19.5" customHeight="1" x14ac:dyDescent="0.35">
      <c r="A703" s="41">
        <v>45789</v>
      </c>
      <c r="B703" s="8" t="s">
        <v>32</v>
      </c>
      <c r="C703" s="42" t="s">
        <v>11</v>
      </c>
      <c r="D703" s="43" t="s">
        <v>30</v>
      </c>
      <c r="E703" s="46">
        <v>4194396.37</v>
      </c>
      <c r="F703" s="2">
        <f>IF(C703="GBP",E703*$C$3,IF(C703="TRY",E703/$C$1,IF(C703="EUR",E703*$E$1,IF(C703="RUB",E703/#REF!,IF(C703="EGP",E703/$E$2,E703)))))</f>
        <v>115019.27419111578</v>
      </c>
      <c r="G703" s="15" t="str">
        <f>VLOOKUP(B703,SPECIFICATIONF!$C$2:$D$65,2,0)</f>
        <v>GLOBAL HFT</v>
      </c>
      <c r="H703" s="12">
        <f t="shared" si="32"/>
        <v>5</v>
      </c>
      <c r="I703" s="12">
        <f t="shared" si="33"/>
        <v>2025</v>
      </c>
    </row>
    <row r="704" spans="1:9" ht="19.5" customHeight="1" x14ac:dyDescent="0.35">
      <c r="A704" s="41">
        <v>45789</v>
      </c>
      <c r="B704" s="8" t="s">
        <v>32</v>
      </c>
      <c r="C704" s="42" t="s">
        <v>33</v>
      </c>
      <c r="D704" s="43" t="s">
        <v>30</v>
      </c>
      <c r="E704" s="46">
        <v>28864.44</v>
      </c>
      <c r="F704" s="2">
        <f>IF(C704="GBP",E704*$C$3,IF(C704="TRY",E704/$C$1,IF(C704="EUR",E704*$E$1,IF(C704="RUB",E704/#REF!,IF(C704="EGP",E704/$E$2,E704)))))</f>
        <v>28864.44</v>
      </c>
      <c r="G704" s="15" t="str">
        <f>VLOOKUP(B704,SPECIFICATIONF!$C$2:$D$65,2,0)</f>
        <v>GLOBAL HFT</v>
      </c>
      <c r="H704" s="12">
        <f t="shared" si="32"/>
        <v>5</v>
      </c>
      <c r="I704" s="12">
        <f t="shared" si="33"/>
        <v>2025</v>
      </c>
    </row>
    <row r="705" spans="1:9" ht="19.5" customHeight="1" x14ac:dyDescent="0.35">
      <c r="A705" s="41">
        <v>45789</v>
      </c>
      <c r="B705" s="8" t="s">
        <v>32</v>
      </c>
      <c r="C705" s="42" t="s">
        <v>11</v>
      </c>
      <c r="D705" s="43" t="s">
        <v>29</v>
      </c>
      <c r="E705" s="47">
        <v>15646222887</v>
      </c>
      <c r="F705" s="2">
        <f>IF(C705="GBP",E705*$C$3,IF(C705="TRY",E705/$C$1,IF(C705="EUR",E705*$E$1,IF(C705="RUB",E705/#REF!,IF(C705="EGP",E705/$E$2,E705)))))</f>
        <v>429052726.91125375</v>
      </c>
      <c r="G705" s="15" t="str">
        <f>VLOOKUP(B705,SPECIFICATIONF!$C$2:$D$65,2,0)</f>
        <v>GLOBAL HFT</v>
      </c>
      <c r="H705" s="12">
        <f t="shared" si="32"/>
        <v>5</v>
      </c>
      <c r="I705" s="12">
        <f t="shared" si="33"/>
        <v>2025</v>
      </c>
    </row>
    <row r="706" spans="1:9" ht="19.5" customHeight="1" x14ac:dyDescent="0.35">
      <c r="A706" s="41">
        <v>45789</v>
      </c>
      <c r="B706" s="8" t="s">
        <v>32</v>
      </c>
      <c r="C706" s="42" t="s">
        <v>33</v>
      </c>
      <c r="D706" s="43" t="s">
        <v>29</v>
      </c>
      <c r="E706" s="46">
        <v>103318745</v>
      </c>
      <c r="F706" s="2">
        <f>IF(C706="GBP",E706*$C$3,IF(C706="TRY",E706/$C$1,IF(C706="EUR",E706*$E$1,IF(C706="RUB",E706/#REF!,IF(C706="EGP",E706/$E$2,E706)))))</f>
        <v>103318745</v>
      </c>
      <c r="G706" s="15" t="str">
        <f>VLOOKUP(B706,SPECIFICATIONF!$C$2:$D$65,2,0)</f>
        <v>GLOBAL HFT</v>
      </c>
      <c r="H706" s="12">
        <f t="shared" si="32"/>
        <v>5</v>
      </c>
      <c r="I706" s="12">
        <f t="shared" si="33"/>
        <v>2025</v>
      </c>
    </row>
    <row r="707" spans="1:9" ht="19.5" customHeight="1" x14ac:dyDescent="0.35">
      <c r="A707" s="41">
        <v>45789</v>
      </c>
      <c r="B707" s="8" t="s">
        <v>24</v>
      </c>
      <c r="C707" s="42" t="s">
        <v>11</v>
      </c>
      <c r="D707" s="43" t="s">
        <v>30</v>
      </c>
      <c r="E707" s="46">
        <v>0</v>
      </c>
      <c r="F707" s="2">
        <f>IF(C707="GBP",E707*$C$3,IF(C707="TRY",E707/$C$1,IF(C707="EUR",E707*$E$1,IF(C707="RUB",E707/#REF!,IF(C707="EGP",E707/$E$2,E707)))))</f>
        <v>0</v>
      </c>
      <c r="G707" s="15" t="str">
        <f>VLOOKUP(B707,SPECIFICATIONF!$C$2:$D$65,2,0)</f>
        <v>GLOBAL RETAIL</v>
      </c>
      <c r="H707" s="12">
        <f t="shared" si="32"/>
        <v>5</v>
      </c>
      <c r="I707" s="12">
        <f t="shared" si="33"/>
        <v>2025</v>
      </c>
    </row>
    <row r="708" spans="1:9" ht="19.5" customHeight="1" x14ac:dyDescent="0.35">
      <c r="A708" s="41">
        <v>45789</v>
      </c>
      <c r="B708" s="8" t="s">
        <v>24</v>
      </c>
      <c r="C708" s="42" t="s">
        <v>33</v>
      </c>
      <c r="D708" s="43" t="s">
        <v>30</v>
      </c>
      <c r="E708" s="46">
        <v>0</v>
      </c>
      <c r="F708" s="2">
        <f>IF(C708="GBP",E708*$C$3,IF(C708="TRY",E708/$C$1,IF(C708="EUR",E708*$E$1,IF(C708="RUB",E708/#REF!,IF(C708="EGP",E708/$E$2,E708)))))</f>
        <v>0</v>
      </c>
      <c r="G708" s="15" t="str">
        <f>VLOOKUP(B708,SPECIFICATIONF!$C$2:$D$65,2,0)</f>
        <v>GLOBAL RETAIL</v>
      </c>
      <c r="H708" s="12">
        <f t="shared" si="32"/>
        <v>5</v>
      </c>
      <c r="I708" s="12">
        <f t="shared" si="33"/>
        <v>2025</v>
      </c>
    </row>
    <row r="709" spans="1:9" ht="19.5" customHeight="1" x14ac:dyDescent="0.35">
      <c r="A709" s="41">
        <v>45789</v>
      </c>
      <c r="B709" s="8" t="s">
        <v>24</v>
      </c>
      <c r="C709" s="42" t="s">
        <v>11</v>
      </c>
      <c r="D709" s="43" t="s">
        <v>29</v>
      </c>
      <c r="E709" s="47">
        <v>0</v>
      </c>
      <c r="F709" s="2">
        <f>IF(C709="GBP",E709*$C$3,IF(C709="TRY",E709/$C$1,IF(C709="EUR",E709*$E$1,IF(C709="RUB",E709/#REF!,IF(C709="EGP",E709/$E$2,E709)))))</f>
        <v>0</v>
      </c>
      <c r="G709" s="15" t="str">
        <f>VLOOKUP(B709,SPECIFICATIONF!$C$2:$D$65,2,0)</f>
        <v>GLOBAL RETAIL</v>
      </c>
      <c r="H709" s="12">
        <f t="shared" si="32"/>
        <v>5</v>
      </c>
      <c r="I709" s="12">
        <f t="shared" si="33"/>
        <v>2025</v>
      </c>
    </row>
    <row r="710" spans="1:9" ht="19.5" customHeight="1" x14ac:dyDescent="0.35">
      <c r="A710" s="41">
        <v>45789</v>
      </c>
      <c r="B710" s="8" t="s">
        <v>24</v>
      </c>
      <c r="C710" s="42" t="s">
        <v>33</v>
      </c>
      <c r="D710" s="43" t="s">
        <v>29</v>
      </c>
      <c r="E710" s="46">
        <v>0</v>
      </c>
      <c r="F710" s="2">
        <f>IF(C710="GBP",E710*$C$3,IF(C710="TRY",E710/$C$1,IF(C710="EUR",E710*$E$1,IF(C710="RUB",E710/#REF!,IF(C710="EGP",E710/$E$2,E710)))))</f>
        <v>0</v>
      </c>
      <c r="G710" s="15" t="str">
        <f>VLOOKUP(B710,SPECIFICATIONF!$C$2:$D$65,2,0)</f>
        <v>GLOBAL RETAIL</v>
      </c>
      <c r="H710" s="12">
        <f t="shared" si="32"/>
        <v>5</v>
      </c>
      <c r="I710" s="12">
        <f t="shared" si="33"/>
        <v>2025</v>
      </c>
    </row>
    <row r="711" spans="1:9" ht="19.5" customHeight="1" x14ac:dyDescent="0.35">
      <c r="A711" s="41">
        <v>45790</v>
      </c>
      <c r="B711" s="8" t="s">
        <v>32</v>
      </c>
      <c r="C711" s="42" t="s">
        <v>11</v>
      </c>
      <c r="D711" s="43" t="s">
        <v>30</v>
      </c>
      <c r="E711" s="46">
        <v>3100883.4</v>
      </c>
      <c r="F711" s="2">
        <f>IF(C711="GBP",E711*$C$3,IF(C711="TRY",E711/$C$1,IF(C711="EUR",E711*$E$1,IF(C711="RUB",E711/#REF!,IF(C711="EGP",E711/$E$2,E711)))))</f>
        <v>85032.821545017534</v>
      </c>
      <c r="G711" s="15" t="str">
        <f>VLOOKUP(B711,SPECIFICATIONF!$C$2:$D$65,2,0)</f>
        <v>GLOBAL HFT</v>
      </c>
      <c r="H711" s="12">
        <f t="shared" si="32"/>
        <v>5</v>
      </c>
      <c r="I711" s="12">
        <f t="shared" si="33"/>
        <v>2025</v>
      </c>
    </row>
    <row r="712" spans="1:9" ht="19.5" customHeight="1" x14ac:dyDescent="0.35">
      <c r="A712" s="41">
        <v>45790</v>
      </c>
      <c r="B712" s="8" t="s">
        <v>32</v>
      </c>
      <c r="C712" s="42" t="s">
        <v>33</v>
      </c>
      <c r="D712" s="43" t="s">
        <v>30</v>
      </c>
      <c r="E712" s="47">
        <v>19037.27</v>
      </c>
      <c r="F712" s="2">
        <f>IF(C712="GBP",E712*$C$3,IF(C712="TRY",E712/$C$1,IF(C712="EUR",E712*$E$1,IF(C712="RUB",E712/#REF!,IF(C712="EGP",E712/$E$2,E712)))))</f>
        <v>19037.27</v>
      </c>
      <c r="G712" s="15" t="str">
        <f>VLOOKUP(B712,SPECIFICATIONF!$C$2:$D$65,2,0)</f>
        <v>GLOBAL HFT</v>
      </c>
      <c r="H712" s="12">
        <f t="shared" si="32"/>
        <v>5</v>
      </c>
      <c r="I712" s="12">
        <f t="shared" si="33"/>
        <v>2025</v>
      </c>
    </row>
    <row r="713" spans="1:9" ht="19.5" customHeight="1" x14ac:dyDescent="0.35">
      <c r="A713" s="41">
        <v>45790</v>
      </c>
      <c r="B713" s="8" t="s">
        <v>32</v>
      </c>
      <c r="C713" s="42" t="s">
        <v>11</v>
      </c>
      <c r="D713" s="43" t="s">
        <v>29</v>
      </c>
      <c r="E713" s="47">
        <v>11621457258</v>
      </c>
      <c r="F713" s="2">
        <f>IF(C713="GBP",E713*$C$3,IF(C713="TRY",E713/$C$1,IF(C713="EUR",E713*$E$1,IF(C713="RUB",E713/#REF!,IF(C713="EGP",E713/$E$2,E713)))))</f>
        <v>318685088.61460662</v>
      </c>
      <c r="G713" s="15" t="str">
        <f>VLOOKUP(B713,SPECIFICATIONF!$C$2:$D$65,2,0)</f>
        <v>GLOBAL HFT</v>
      </c>
      <c r="H713" s="12">
        <f t="shared" si="32"/>
        <v>5</v>
      </c>
      <c r="I713" s="12">
        <f t="shared" si="33"/>
        <v>2025</v>
      </c>
    </row>
    <row r="714" spans="1:9" ht="19.5" customHeight="1" x14ac:dyDescent="0.35">
      <c r="A714" s="41">
        <v>45790</v>
      </c>
      <c r="B714" s="8" t="s">
        <v>32</v>
      </c>
      <c r="C714" s="42" t="s">
        <v>33</v>
      </c>
      <c r="D714" s="43" t="s">
        <v>29</v>
      </c>
      <c r="E714" s="46">
        <v>68187448</v>
      </c>
      <c r="F714" s="2">
        <f>IF(C714="GBP",E714*$C$3,IF(C714="TRY",E714/$C$1,IF(C714="EUR",E714*$E$1,IF(C714="RUB",E714/#REF!,IF(C714="EGP",E714/$E$2,E714)))))</f>
        <v>68187448</v>
      </c>
      <c r="G714" s="15" t="str">
        <f>VLOOKUP(B714,SPECIFICATIONF!$C$2:$D$65,2,0)</f>
        <v>GLOBAL HFT</v>
      </c>
      <c r="H714" s="12">
        <f t="shared" si="32"/>
        <v>5</v>
      </c>
      <c r="I714" s="12">
        <f t="shared" si="33"/>
        <v>2025</v>
      </c>
    </row>
    <row r="715" spans="1:9" ht="19.5" customHeight="1" x14ac:dyDescent="0.35">
      <c r="A715" s="41">
        <v>45790</v>
      </c>
      <c r="B715" s="8" t="s">
        <v>24</v>
      </c>
      <c r="C715" s="42" t="s">
        <v>11</v>
      </c>
      <c r="D715" s="43" t="s">
        <v>30</v>
      </c>
      <c r="E715" s="46">
        <v>0</v>
      </c>
      <c r="F715" s="2">
        <f>IF(C715="GBP",E715*$C$3,IF(C715="TRY",E715/$C$1,IF(C715="EUR",E715*$E$1,IF(C715="RUB",E715/#REF!,IF(C715="EGP",E715/$E$2,E715)))))</f>
        <v>0</v>
      </c>
      <c r="G715" s="15" t="str">
        <f>VLOOKUP(B715,SPECIFICATIONF!$C$2:$D$65,2,0)</f>
        <v>GLOBAL RETAIL</v>
      </c>
      <c r="H715" s="12">
        <f t="shared" si="32"/>
        <v>5</v>
      </c>
      <c r="I715" s="12">
        <f t="shared" si="33"/>
        <v>2025</v>
      </c>
    </row>
    <row r="716" spans="1:9" ht="19.5" customHeight="1" x14ac:dyDescent="0.35">
      <c r="A716" s="41">
        <v>45790</v>
      </c>
      <c r="B716" s="8" t="s">
        <v>24</v>
      </c>
      <c r="C716" s="42" t="s">
        <v>33</v>
      </c>
      <c r="D716" s="43" t="s">
        <v>30</v>
      </c>
      <c r="E716" s="46">
        <v>0</v>
      </c>
      <c r="F716" s="2">
        <f>IF(C716="GBP",E716*$C$3,IF(C716="TRY",E716/$C$1,IF(C716="EUR",E716*$E$1,IF(C716="RUB",E716/#REF!,IF(C716="EGP",E716/$E$2,E716)))))</f>
        <v>0</v>
      </c>
      <c r="G716" s="15" t="str">
        <f>VLOOKUP(B716,SPECIFICATIONF!$C$2:$D$65,2,0)</f>
        <v>GLOBAL RETAIL</v>
      </c>
      <c r="H716" s="12">
        <f t="shared" si="32"/>
        <v>5</v>
      </c>
      <c r="I716" s="12">
        <f t="shared" si="33"/>
        <v>2025</v>
      </c>
    </row>
    <row r="717" spans="1:9" ht="19.5" customHeight="1" x14ac:dyDescent="0.35">
      <c r="A717" s="41">
        <v>45790</v>
      </c>
      <c r="B717" s="8" t="s">
        <v>24</v>
      </c>
      <c r="C717" s="42" t="s">
        <v>11</v>
      </c>
      <c r="D717" s="43" t="s">
        <v>29</v>
      </c>
      <c r="E717" s="47">
        <v>0</v>
      </c>
      <c r="F717" s="2">
        <f>IF(C717="GBP",E717*$C$3,IF(C717="TRY",E717/$C$1,IF(C717="EUR",E717*$E$1,IF(C717="RUB",E717/#REF!,IF(C717="EGP",E717/$E$2,E717)))))</f>
        <v>0</v>
      </c>
      <c r="G717" s="15" t="str">
        <f>VLOOKUP(B717,SPECIFICATIONF!$C$2:$D$65,2,0)</f>
        <v>GLOBAL RETAIL</v>
      </c>
      <c r="H717" s="12">
        <f t="shared" si="32"/>
        <v>5</v>
      </c>
      <c r="I717" s="12">
        <f t="shared" si="33"/>
        <v>2025</v>
      </c>
    </row>
    <row r="718" spans="1:9" ht="19.5" customHeight="1" x14ac:dyDescent="0.35">
      <c r="A718" s="41">
        <v>45790</v>
      </c>
      <c r="B718" s="8" t="s">
        <v>24</v>
      </c>
      <c r="C718" s="42" t="s">
        <v>33</v>
      </c>
      <c r="D718" s="43" t="s">
        <v>29</v>
      </c>
      <c r="E718" s="46">
        <v>0</v>
      </c>
      <c r="F718" s="2">
        <f>IF(C718="GBP",E718*$C$3,IF(C718="TRY",E718/$C$1,IF(C718="EUR",E718*$E$1,IF(C718="RUB",E718/#REF!,IF(C718="EGP",E718/$E$2,E718)))))</f>
        <v>0</v>
      </c>
      <c r="G718" s="15" t="str">
        <f>VLOOKUP(B718,SPECIFICATIONF!$C$2:$D$65,2,0)</f>
        <v>GLOBAL RETAIL</v>
      </c>
      <c r="H718" s="12">
        <f t="shared" si="32"/>
        <v>5</v>
      </c>
      <c r="I718" s="12">
        <f t="shared" si="33"/>
        <v>2025</v>
      </c>
    </row>
    <row r="719" spans="1:9" ht="19.5" customHeight="1" x14ac:dyDescent="0.35">
      <c r="A719" s="41">
        <v>45791</v>
      </c>
      <c r="B719" s="8" t="s">
        <v>32</v>
      </c>
      <c r="C719" s="42" t="s">
        <v>11</v>
      </c>
      <c r="D719" s="43" t="s">
        <v>30</v>
      </c>
      <c r="E719" s="46">
        <v>2838235.41</v>
      </c>
      <c r="F719" s="2">
        <f>IF(C719="GBP",E719*$C$3,IF(C719="TRY",E719/$C$1,IF(C719="EUR",E719*$E$1,IF(C719="RUB",E719/#REF!,IF(C719="EGP",E719/$E$2,E719)))))</f>
        <v>77830.454741148817</v>
      </c>
      <c r="G719" s="15" t="str">
        <f>VLOOKUP(B719,SPECIFICATIONF!$C$2:$D$65,2,0)</f>
        <v>GLOBAL HFT</v>
      </c>
      <c r="H719" s="12">
        <f t="shared" si="32"/>
        <v>5</v>
      </c>
      <c r="I719" s="12">
        <f t="shared" si="33"/>
        <v>2025</v>
      </c>
    </row>
    <row r="720" spans="1:9" ht="19.5" customHeight="1" x14ac:dyDescent="0.35">
      <c r="A720" s="41">
        <v>45791</v>
      </c>
      <c r="B720" s="8" t="s">
        <v>32</v>
      </c>
      <c r="C720" s="42" t="s">
        <v>33</v>
      </c>
      <c r="D720" s="43" t="s">
        <v>30</v>
      </c>
      <c r="E720" s="46">
        <v>17481.78</v>
      </c>
      <c r="F720" s="2">
        <f>IF(C720="GBP",E720*$C$3,IF(C720="TRY",E720/$C$1,IF(C720="EUR",E720*$E$1,IF(C720="RUB",E720/#REF!,IF(C720="EGP",E720/$E$2,E720)))))</f>
        <v>17481.78</v>
      </c>
      <c r="G720" s="15" t="str">
        <f>VLOOKUP(B720,SPECIFICATIONF!$C$2:$D$65,2,0)</f>
        <v>GLOBAL HFT</v>
      </c>
      <c r="H720" s="12">
        <f t="shared" si="32"/>
        <v>5</v>
      </c>
      <c r="I720" s="12">
        <f t="shared" si="33"/>
        <v>2025</v>
      </c>
    </row>
    <row r="721" spans="1:9" ht="19.5" customHeight="1" x14ac:dyDescent="0.35">
      <c r="A721" s="41">
        <v>45791</v>
      </c>
      <c r="B721" s="8" t="s">
        <v>32</v>
      </c>
      <c r="C721" s="42" t="s">
        <v>11</v>
      </c>
      <c r="D721" s="43" t="s">
        <v>29</v>
      </c>
      <c r="E721" s="47">
        <v>10648715731</v>
      </c>
      <c r="F721" s="2">
        <f>IF(C721="GBP",E721*$C$3,IF(C721="TRY",E721/$C$1,IF(C721="EUR",E721*$E$1,IF(C721="RUB",E721/#REF!,IF(C721="EGP",E721/$E$2,E721)))))</f>
        <v>292010445.93864572</v>
      </c>
      <c r="G721" s="15" t="str">
        <f>VLOOKUP(B721,SPECIFICATIONF!$C$2:$D$65,2,0)</f>
        <v>GLOBAL HFT</v>
      </c>
      <c r="H721" s="12">
        <f t="shared" si="32"/>
        <v>5</v>
      </c>
      <c r="I721" s="12">
        <f t="shared" si="33"/>
        <v>2025</v>
      </c>
    </row>
    <row r="722" spans="1:9" ht="19.5" customHeight="1" x14ac:dyDescent="0.35">
      <c r="A722" s="41">
        <v>45791</v>
      </c>
      <c r="B722" s="8" t="s">
        <v>32</v>
      </c>
      <c r="C722" s="42" t="s">
        <v>33</v>
      </c>
      <c r="D722" s="43" t="s">
        <v>29</v>
      </c>
      <c r="E722" s="46">
        <v>62236773</v>
      </c>
      <c r="F722" s="2">
        <f>IF(C722="GBP",E722*$C$3,IF(C722="TRY",E722/$C$1,IF(C722="EUR",E722*$E$1,IF(C722="RUB",E722/#REF!,IF(C722="EGP",E722/$E$2,E722)))))</f>
        <v>62236773</v>
      </c>
      <c r="G722" s="15" t="str">
        <f>VLOOKUP(B722,SPECIFICATIONF!$C$2:$D$65,2,0)</f>
        <v>GLOBAL HFT</v>
      </c>
      <c r="H722" s="12">
        <f t="shared" si="32"/>
        <v>5</v>
      </c>
      <c r="I722" s="12">
        <f t="shared" si="33"/>
        <v>2025</v>
      </c>
    </row>
    <row r="723" spans="1:9" ht="19.5" customHeight="1" x14ac:dyDescent="0.35">
      <c r="A723" s="41">
        <v>45791</v>
      </c>
      <c r="B723" s="8" t="s">
        <v>24</v>
      </c>
      <c r="C723" s="42" t="s">
        <v>11</v>
      </c>
      <c r="D723" s="43" t="s">
        <v>30</v>
      </c>
      <c r="E723" s="46">
        <v>0</v>
      </c>
      <c r="F723" s="2">
        <f>IF(C723="GBP",E723*$C$3,IF(C723="TRY",E723/$C$1,IF(C723="EUR",E723*$E$1,IF(C723="RUB",E723/#REF!,IF(C723="EGP",E723/$E$2,E723)))))</f>
        <v>0</v>
      </c>
      <c r="G723" s="15" t="str">
        <f>VLOOKUP(B723,SPECIFICATIONF!$C$2:$D$65,2,0)</f>
        <v>GLOBAL RETAIL</v>
      </c>
      <c r="H723" s="12">
        <f t="shared" si="32"/>
        <v>5</v>
      </c>
      <c r="I723" s="12">
        <f t="shared" si="33"/>
        <v>2025</v>
      </c>
    </row>
    <row r="724" spans="1:9" ht="19.5" customHeight="1" x14ac:dyDescent="0.35">
      <c r="A724" s="41">
        <v>45791</v>
      </c>
      <c r="B724" s="8" t="s">
        <v>24</v>
      </c>
      <c r="C724" s="42" t="s">
        <v>33</v>
      </c>
      <c r="D724" s="43" t="s">
        <v>30</v>
      </c>
      <c r="E724" s="46">
        <v>7.88</v>
      </c>
      <c r="F724" s="2">
        <f>IF(C724="GBP",E724*$C$3,IF(C724="TRY",E724/$C$1,IF(C724="EUR",E724*$E$1,IF(C724="RUB",E724/#REF!,IF(C724="EGP",E724/$E$2,E724)))))</f>
        <v>7.88</v>
      </c>
      <c r="G724" s="15" t="str">
        <f>VLOOKUP(B724,SPECIFICATIONF!$C$2:$D$65,2,0)</f>
        <v>GLOBAL RETAIL</v>
      </c>
      <c r="H724" s="12">
        <f t="shared" si="32"/>
        <v>5</v>
      </c>
      <c r="I724" s="12">
        <f t="shared" si="33"/>
        <v>2025</v>
      </c>
    </row>
    <row r="725" spans="1:9" ht="19.5" customHeight="1" x14ac:dyDescent="0.35">
      <c r="A725" s="41">
        <v>45791</v>
      </c>
      <c r="B725" s="8" t="s">
        <v>24</v>
      </c>
      <c r="C725" s="42" t="s">
        <v>11</v>
      </c>
      <c r="D725" s="43" t="s">
        <v>29</v>
      </c>
      <c r="E725" s="47">
        <v>0</v>
      </c>
      <c r="F725" s="2">
        <f>IF(C725="GBP",E725*$C$3,IF(C725="TRY",E725/$C$1,IF(C725="EUR",E725*$E$1,IF(C725="RUB",E725/#REF!,IF(C725="EGP",E725/$E$2,E725)))))</f>
        <v>0</v>
      </c>
      <c r="G725" s="15" t="str">
        <f>VLOOKUP(B725,SPECIFICATIONF!$C$2:$D$65,2,0)</f>
        <v>GLOBAL RETAIL</v>
      </c>
      <c r="H725" s="12">
        <f t="shared" si="32"/>
        <v>5</v>
      </c>
      <c r="I725" s="12">
        <f t="shared" si="33"/>
        <v>2025</v>
      </c>
    </row>
    <row r="726" spans="1:9" ht="19.5" customHeight="1" x14ac:dyDescent="0.35">
      <c r="A726" s="41">
        <v>45791</v>
      </c>
      <c r="B726" s="8" t="s">
        <v>24</v>
      </c>
      <c r="C726" s="42" t="s">
        <v>33</v>
      </c>
      <c r="D726" s="43" t="s">
        <v>29</v>
      </c>
      <c r="E726" s="46">
        <v>7875</v>
      </c>
      <c r="F726" s="2">
        <f>IF(C726="GBP",E726*$C$3,IF(C726="TRY",E726/$C$1,IF(C726="EUR",E726*$E$1,IF(C726="RUB",E726/#REF!,IF(C726="EGP",E726/$E$2,E726)))))</f>
        <v>7875</v>
      </c>
      <c r="G726" s="15" t="str">
        <f>VLOOKUP(B726,SPECIFICATIONF!$C$2:$D$65,2,0)</f>
        <v>GLOBAL RETAIL</v>
      </c>
      <c r="H726" s="12">
        <f t="shared" si="32"/>
        <v>5</v>
      </c>
      <c r="I726" s="12">
        <f t="shared" si="33"/>
        <v>2025</v>
      </c>
    </row>
    <row r="727" spans="1:9" ht="19.5" customHeight="1" x14ac:dyDescent="0.35">
      <c r="A727" s="41">
        <v>45792</v>
      </c>
      <c r="B727" s="8" t="s">
        <v>32</v>
      </c>
      <c r="C727" s="42" t="s">
        <v>11</v>
      </c>
      <c r="D727" s="43" t="s">
        <v>30</v>
      </c>
      <c r="E727" s="46">
        <v>2330219.9700000002</v>
      </c>
      <c r="F727" s="2">
        <f>IF(C727="GBP",E727*$C$3,IF(C727="TRY",E727/$C$1,IF(C727="EUR",E727*$E$1,IF(C727="RUB",E727/#REF!,IF(C727="EGP",E727/$E$2,E727)))))</f>
        <v>63899.590313407505</v>
      </c>
      <c r="G727" s="15" t="str">
        <f>VLOOKUP(B727,SPECIFICATIONF!$C$2:$D$65,2,0)</f>
        <v>GLOBAL HFT</v>
      </c>
      <c r="H727" s="12">
        <f t="shared" si="32"/>
        <v>5</v>
      </c>
      <c r="I727" s="12">
        <f t="shared" si="33"/>
        <v>2025</v>
      </c>
    </row>
    <row r="728" spans="1:9" ht="19.5" customHeight="1" x14ac:dyDescent="0.35">
      <c r="A728" s="41">
        <v>45792</v>
      </c>
      <c r="B728" s="8" t="s">
        <v>32</v>
      </c>
      <c r="C728" s="42" t="s">
        <v>33</v>
      </c>
      <c r="D728" s="43" t="s">
        <v>30</v>
      </c>
      <c r="E728" s="46">
        <v>14718.53</v>
      </c>
      <c r="F728" s="2">
        <f>IF(C728="GBP",E728*$C$3,IF(C728="TRY",E728/$C$1,IF(C728="EUR",E728*$E$1,IF(C728="RUB",E728/#REF!,IF(C728="EGP",E728/$E$2,E728)))))</f>
        <v>14718.53</v>
      </c>
      <c r="G728" s="15" t="str">
        <f>VLOOKUP(B728,SPECIFICATIONF!$C$2:$D$65,2,0)</f>
        <v>GLOBAL HFT</v>
      </c>
      <c r="H728" s="12">
        <f t="shared" si="32"/>
        <v>5</v>
      </c>
      <c r="I728" s="12">
        <f t="shared" si="33"/>
        <v>2025</v>
      </c>
    </row>
    <row r="729" spans="1:9" ht="19.5" customHeight="1" x14ac:dyDescent="0.35">
      <c r="A729" s="41">
        <v>45792</v>
      </c>
      <c r="B729" s="8" t="s">
        <v>32</v>
      </c>
      <c r="C729" s="42" t="s">
        <v>11</v>
      </c>
      <c r="D729" s="43" t="s">
        <v>29</v>
      </c>
      <c r="E729" s="47">
        <v>8909096301</v>
      </c>
      <c r="F729" s="2">
        <f>IF(C729="GBP",E729*$C$3,IF(C729="TRY",E729/$C$1,IF(C729="EUR",E729*$E$1,IF(C729="RUB",E729/#REF!,IF(C729="EGP",E729/$E$2,E729)))))</f>
        <v>244306379.23706153</v>
      </c>
      <c r="G729" s="15" t="str">
        <f>VLOOKUP(B729,SPECIFICATIONF!$C$2:$D$65,2,0)</f>
        <v>GLOBAL HFT</v>
      </c>
      <c r="H729" s="12">
        <f t="shared" si="32"/>
        <v>5</v>
      </c>
      <c r="I729" s="12">
        <f t="shared" si="33"/>
        <v>2025</v>
      </c>
    </row>
    <row r="730" spans="1:9" ht="19.5" customHeight="1" x14ac:dyDescent="0.35">
      <c r="A730" s="41">
        <v>45792</v>
      </c>
      <c r="B730" s="8" t="s">
        <v>32</v>
      </c>
      <c r="C730" s="42" t="s">
        <v>33</v>
      </c>
      <c r="D730" s="43" t="s">
        <v>29</v>
      </c>
      <c r="E730" s="46">
        <v>52799232</v>
      </c>
      <c r="F730" s="2">
        <f>IF(C730="GBP",E730*$C$3,IF(C730="TRY",E730/$C$1,IF(C730="EUR",E730*$E$1,IF(C730="RUB",E730/#REF!,IF(C730="EGP",E730/$E$2,E730)))))</f>
        <v>52799232</v>
      </c>
      <c r="G730" s="15" t="str">
        <f>VLOOKUP(B730,SPECIFICATIONF!$C$2:$D$65,2,0)</f>
        <v>GLOBAL HFT</v>
      </c>
      <c r="H730" s="12">
        <f t="shared" si="32"/>
        <v>5</v>
      </c>
      <c r="I730" s="12">
        <f t="shared" si="33"/>
        <v>2025</v>
      </c>
    </row>
    <row r="731" spans="1:9" ht="19.5" customHeight="1" x14ac:dyDescent="0.35">
      <c r="A731" s="41">
        <v>45792</v>
      </c>
      <c r="B731" s="8" t="s">
        <v>24</v>
      </c>
      <c r="C731" s="42" t="s">
        <v>11</v>
      </c>
      <c r="D731" s="43" t="s">
        <v>30</v>
      </c>
      <c r="E731" s="46">
        <v>0</v>
      </c>
      <c r="F731" s="2">
        <f>IF(C731="GBP",E731*$C$3,IF(C731="TRY",E731/$C$1,IF(C731="EUR",E731*$E$1,IF(C731="RUB",E731/#REF!,IF(C731="EGP",E731/$E$2,E731)))))</f>
        <v>0</v>
      </c>
      <c r="G731" s="15" t="str">
        <f>VLOOKUP(B731,SPECIFICATIONF!$C$2:$D$65,2,0)</f>
        <v>GLOBAL RETAIL</v>
      </c>
      <c r="H731" s="12">
        <f t="shared" si="32"/>
        <v>5</v>
      </c>
      <c r="I731" s="12">
        <f t="shared" si="33"/>
        <v>2025</v>
      </c>
    </row>
    <row r="732" spans="1:9" ht="19.5" customHeight="1" x14ac:dyDescent="0.35">
      <c r="A732" s="41">
        <v>45792</v>
      </c>
      <c r="B732" s="8" t="s">
        <v>24</v>
      </c>
      <c r="C732" s="42" t="s">
        <v>33</v>
      </c>
      <c r="D732" s="43" t="s">
        <v>30</v>
      </c>
      <c r="E732" s="46">
        <v>0</v>
      </c>
      <c r="F732" s="2">
        <f>IF(C732="GBP",E732*$C$3,IF(C732="TRY",E732/$C$1,IF(C732="EUR",E732*$E$1,IF(C732="RUB",E732/#REF!,IF(C732="EGP",E732/$E$2,E732)))))</f>
        <v>0</v>
      </c>
      <c r="G732" s="15" t="str">
        <f>VLOOKUP(B732,SPECIFICATIONF!$C$2:$D$65,2,0)</f>
        <v>GLOBAL RETAIL</v>
      </c>
      <c r="H732" s="12">
        <f t="shared" si="32"/>
        <v>5</v>
      </c>
      <c r="I732" s="12">
        <f t="shared" si="33"/>
        <v>2025</v>
      </c>
    </row>
    <row r="733" spans="1:9" ht="19.5" customHeight="1" x14ac:dyDescent="0.35">
      <c r="A733" s="41">
        <v>45792</v>
      </c>
      <c r="B733" s="8" t="s">
        <v>24</v>
      </c>
      <c r="C733" s="42" t="s">
        <v>11</v>
      </c>
      <c r="D733" s="43" t="s">
        <v>29</v>
      </c>
      <c r="E733" s="47">
        <v>0</v>
      </c>
      <c r="F733" s="2">
        <f>IF(C733="GBP",E733*$C$3,IF(C733="TRY",E733/$C$1,IF(C733="EUR",E733*$E$1,IF(C733="RUB",E733/#REF!,IF(C733="EGP",E733/$E$2,E733)))))</f>
        <v>0</v>
      </c>
      <c r="G733" s="15" t="str">
        <f>VLOOKUP(B733,SPECIFICATIONF!$C$2:$D$65,2,0)</f>
        <v>GLOBAL RETAIL</v>
      </c>
      <c r="H733" s="12">
        <f t="shared" si="32"/>
        <v>5</v>
      </c>
      <c r="I733" s="12">
        <f t="shared" si="33"/>
        <v>2025</v>
      </c>
    </row>
    <row r="734" spans="1:9" ht="19.5" customHeight="1" x14ac:dyDescent="0.35">
      <c r="A734" s="41">
        <v>45792</v>
      </c>
      <c r="B734" s="8" t="s">
        <v>24</v>
      </c>
      <c r="C734" s="42" t="s">
        <v>33</v>
      </c>
      <c r="D734" s="43" t="s">
        <v>29</v>
      </c>
      <c r="E734" s="46">
        <v>0</v>
      </c>
      <c r="F734" s="2">
        <f>IF(C734="GBP",E734*$C$3,IF(C734="TRY",E734/$C$1,IF(C734="EUR",E734*$E$1,IF(C734="RUB",E734/#REF!,IF(C734="EGP",E734/$E$2,E734)))))</f>
        <v>0</v>
      </c>
      <c r="G734" s="15" t="str">
        <f>VLOOKUP(B734,SPECIFICATIONF!$C$2:$D$65,2,0)</f>
        <v>GLOBAL RETAIL</v>
      </c>
      <c r="H734" s="12">
        <f t="shared" si="32"/>
        <v>5</v>
      </c>
      <c r="I734" s="12">
        <f t="shared" si="33"/>
        <v>2025</v>
      </c>
    </row>
    <row r="735" spans="1:9" ht="19.5" customHeight="1" x14ac:dyDescent="0.35">
      <c r="A735" s="41">
        <v>45793</v>
      </c>
      <c r="B735" s="8" t="s">
        <v>32</v>
      </c>
      <c r="C735" s="42" t="s">
        <v>11</v>
      </c>
      <c r="D735" s="43" t="s">
        <v>30</v>
      </c>
      <c r="E735" s="46">
        <v>2015975.27</v>
      </c>
      <c r="F735" s="2">
        <f>IF(C735="GBP",E735*$C$3,IF(C735="TRY",E735/$C$1,IF(C735="EUR",E735*$E$1,IF(C735="RUB",E735/#REF!,IF(C735="EGP",E735/$E$2,E735)))))</f>
        <v>55282.331922921876</v>
      </c>
      <c r="G735" s="15" t="str">
        <f>VLOOKUP(B735,SPECIFICATIONF!$C$2:$D$65,2,0)</f>
        <v>GLOBAL HFT</v>
      </c>
      <c r="H735" s="12">
        <f t="shared" si="32"/>
        <v>5</v>
      </c>
      <c r="I735" s="12">
        <f t="shared" si="33"/>
        <v>2025</v>
      </c>
    </row>
    <row r="736" spans="1:9" ht="19.5" customHeight="1" x14ac:dyDescent="0.35">
      <c r="A736" s="41">
        <v>45793</v>
      </c>
      <c r="B736" s="8" t="s">
        <v>32</v>
      </c>
      <c r="C736" s="42" t="s">
        <v>33</v>
      </c>
      <c r="D736" s="43" t="s">
        <v>30</v>
      </c>
      <c r="E736" s="46">
        <v>11825.22</v>
      </c>
      <c r="F736" s="2">
        <f>IF(C736="GBP",E736*$C$3,IF(C736="TRY",E736/$C$1,IF(C736="EUR",E736*$E$1,IF(C736="RUB",E736/#REF!,IF(C736="EGP",E736/$E$2,E736)))))</f>
        <v>11825.22</v>
      </c>
      <c r="G736" s="15" t="str">
        <f>VLOOKUP(B736,SPECIFICATIONF!$C$2:$D$65,2,0)</f>
        <v>GLOBAL HFT</v>
      </c>
      <c r="H736" s="12">
        <f t="shared" si="32"/>
        <v>5</v>
      </c>
      <c r="I736" s="12">
        <f t="shared" si="33"/>
        <v>2025</v>
      </c>
    </row>
    <row r="737" spans="1:9" ht="19.5" customHeight="1" x14ac:dyDescent="0.35">
      <c r="A737" s="41">
        <v>45793</v>
      </c>
      <c r="B737" s="8" t="s">
        <v>32</v>
      </c>
      <c r="C737" s="42" t="s">
        <v>11</v>
      </c>
      <c r="D737" s="43" t="s">
        <v>29</v>
      </c>
      <c r="E737" s="47">
        <v>7497370514</v>
      </c>
      <c r="F737" s="2">
        <f>IF(C737="GBP",E737*$C$3,IF(C737="TRY",E737/$C$1,IF(C737="EUR",E737*$E$1,IF(C737="RUB",E737/#REF!,IF(C737="EGP",E737/$E$2,E737)))))</f>
        <v>205593853.98813719</v>
      </c>
      <c r="G737" s="15" t="str">
        <f>VLOOKUP(B737,SPECIFICATIONF!$C$2:$D$65,2,0)</f>
        <v>GLOBAL HFT</v>
      </c>
      <c r="H737" s="12">
        <f t="shared" si="32"/>
        <v>5</v>
      </c>
      <c r="I737" s="12">
        <f t="shared" si="33"/>
        <v>2025</v>
      </c>
    </row>
    <row r="738" spans="1:9" ht="19.5" customHeight="1" x14ac:dyDescent="0.35">
      <c r="A738" s="41">
        <v>45793</v>
      </c>
      <c r="B738" s="8" t="s">
        <v>32</v>
      </c>
      <c r="C738" s="42" t="s">
        <v>33</v>
      </c>
      <c r="D738" s="43" t="s">
        <v>29</v>
      </c>
      <c r="E738" s="46">
        <v>40010672</v>
      </c>
      <c r="F738" s="2">
        <f>IF(C738="GBP",E738*$C$3,IF(C738="TRY",E738/$C$1,IF(C738="EUR",E738*$E$1,IF(C738="RUB",E738/#REF!,IF(C738="EGP",E738/$E$2,E738)))))</f>
        <v>40010672</v>
      </c>
      <c r="G738" s="15" t="str">
        <f>VLOOKUP(B738,SPECIFICATIONF!$C$2:$D$65,2,0)</f>
        <v>GLOBAL HFT</v>
      </c>
      <c r="H738" s="12">
        <f t="shared" si="32"/>
        <v>5</v>
      </c>
      <c r="I738" s="12">
        <f t="shared" si="33"/>
        <v>2025</v>
      </c>
    </row>
    <row r="739" spans="1:9" ht="19.5" customHeight="1" x14ac:dyDescent="0.35">
      <c r="A739" s="41">
        <v>45793</v>
      </c>
      <c r="B739" s="8" t="s">
        <v>24</v>
      </c>
      <c r="C739" s="42" t="s">
        <v>11</v>
      </c>
      <c r="D739" s="43" t="s">
        <v>30</v>
      </c>
      <c r="E739" s="46">
        <v>0</v>
      </c>
      <c r="F739" s="2">
        <f>IF(C739="GBP",E739*$C$3,IF(C739="TRY",E739/$C$1,IF(C739="EUR",E739*$E$1,IF(C739="RUB",E739/#REF!,IF(C739="EGP",E739/$E$2,E739)))))</f>
        <v>0</v>
      </c>
      <c r="G739" s="15" t="str">
        <f>VLOOKUP(B739,SPECIFICATIONF!$C$2:$D$65,2,0)</f>
        <v>GLOBAL RETAIL</v>
      </c>
      <c r="H739" s="12">
        <f t="shared" si="32"/>
        <v>5</v>
      </c>
      <c r="I739" s="12">
        <f t="shared" si="33"/>
        <v>2025</v>
      </c>
    </row>
    <row r="740" spans="1:9" ht="19.5" customHeight="1" x14ac:dyDescent="0.35">
      <c r="A740" s="41">
        <v>45793</v>
      </c>
      <c r="B740" s="8" t="s">
        <v>24</v>
      </c>
      <c r="C740" s="42" t="s">
        <v>33</v>
      </c>
      <c r="D740" s="43" t="s">
        <v>30</v>
      </c>
      <c r="E740" s="46">
        <v>0</v>
      </c>
      <c r="F740" s="2">
        <f>IF(C740="GBP",E740*$C$3,IF(C740="TRY",E740/$C$1,IF(C740="EUR",E740*$E$1,IF(C740="RUB",E740/#REF!,IF(C740="EGP",E740/$E$2,E740)))))</f>
        <v>0</v>
      </c>
      <c r="G740" s="15" t="str">
        <f>VLOOKUP(B740,SPECIFICATIONF!$C$2:$D$65,2,0)</f>
        <v>GLOBAL RETAIL</v>
      </c>
      <c r="H740" s="12">
        <f t="shared" si="32"/>
        <v>5</v>
      </c>
      <c r="I740" s="12">
        <f t="shared" si="33"/>
        <v>2025</v>
      </c>
    </row>
    <row r="741" spans="1:9" ht="19.5" customHeight="1" x14ac:dyDescent="0.35">
      <c r="A741" s="41">
        <v>45793</v>
      </c>
      <c r="B741" s="8" t="s">
        <v>24</v>
      </c>
      <c r="C741" s="42" t="s">
        <v>11</v>
      </c>
      <c r="D741" s="43" t="s">
        <v>29</v>
      </c>
      <c r="E741" s="47">
        <v>0</v>
      </c>
      <c r="F741" s="2">
        <f>IF(C741="GBP",E741*$C$3,IF(C741="TRY",E741/$C$1,IF(C741="EUR",E741*$E$1,IF(C741="RUB",E741/#REF!,IF(C741="EGP",E741/$E$2,E741)))))</f>
        <v>0</v>
      </c>
      <c r="G741" s="15" t="str">
        <f>VLOOKUP(B741,SPECIFICATIONF!$C$2:$D$65,2,0)</f>
        <v>GLOBAL RETAIL</v>
      </c>
      <c r="H741" s="12">
        <f t="shared" si="32"/>
        <v>5</v>
      </c>
      <c r="I741" s="12">
        <f t="shared" si="33"/>
        <v>2025</v>
      </c>
    </row>
    <row r="742" spans="1:9" ht="19.5" customHeight="1" x14ac:dyDescent="0.35">
      <c r="A742" s="41">
        <v>45793</v>
      </c>
      <c r="B742" s="8" t="s">
        <v>24</v>
      </c>
      <c r="C742" s="42" t="s">
        <v>33</v>
      </c>
      <c r="D742" s="43" t="s">
        <v>29</v>
      </c>
      <c r="E742" s="46">
        <v>0</v>
      </c>
      <c r="F742" s="2">
        <f>IF(C742="GBP",E742*$C$3,IF(C742="TRY",E742/$C$1,IF(C742="EUR",E742*$E$1,IF(C742="RUB",E742/#REF!,IF(C742="EGP",E742/$E$2,E742)))))</f>
        <v>0</v>
      </c>
      <c r="G742" s="15" t="str">
        <f>VLOOKUP(B742,SPECIFICATIONF!$C$2:$D$65,2,0)</f>
        <v>GLOBAL RETAIL</v>
      </c>
      <c r="H742" s="12">
        <f t="shared" ref="H742:H805" si="34">MONTH(A742)</f>
        <v>5</v>
      </c>
      <c r="I742" s="12">
        <f t="shared" ref="I742:I805" si="35">YEAR(A742)</f>
        <v>2025</v>
      </c>
    </row>
    <row r="743" spans="1:9" ht="19.5" customHeight="1" x14ac:dyDescent="0.35">
      <c r="A743" s="41">
        <v>45794</v>
      </c>
      <c r="B743" s="8" t="s">
        <v>32</v>
      </c>
      <c r="C743" s="42" t="s">
        <v>11</v>
      </c>
      <c r="D743" s="43" t="s">
        <v>30</v>
      </c>
      <c r="E743" s="46">
        <v>1265935.3600000001</v>
      </c>
      <c r="F743" s="2">
        <f>IF(C743="GBP",E743*$C$3,IF(C743="TRY",E743/$C$1,IF(C743="EUR",E743*$E$1,IF(C743="RUB",E743/#REF!,IF(C743="EGP",E743/$E$2,E743)))))</f>
        <v>34714.641496809432</v>
      </c>
      <c r="G743" s="15" t="str">
        <f>VLOOKUP(B743,SPECIFICATIONF!$C$2:$D$65,2,0)</f>
        <v>GLOBAL HFT</v>
      </c>
      <c r="H743" s="12">
        <f t="shared" si="34"/>
        <v>5</v>
      </c>
      <c r="I743" s="12">
        <f t="shared" si="35"/>
        <v>2025</v>
      </c>
    </row>
    <row r="744" spans="1:9" ht="19.5" customHeight="1" x14ac:dyDescent="0.35">
      <c r="A744" s="41">
        <v>45794</v>
      </c>
      <c r="B744" s="8" t="s">
        <v>32</v>
      </c>
      <c r="C744" s="42" t="s">
        <v>33</v>
      </c>
      <c r="D744" s="43" t="s">
        <v>30</v>
      </c>
      <c r="E744" s="46">
        <v>7804.3</v>
      </c>
      <c r="F744" s="2">
        <f>IF(C744="GBP",E744*$C$3,IF(C744="TRY",E744/$C$1,IF(C744="EUR",E744*$E$1,IF(C744="RUB",E744/#REF!,IF(C744="EGP",E744/$E$2,E744)))))</f>
        <v>7804.3</v>
      </c>
      <c r="G744" s="15" t="str">
        <f>VLOOKUP(B744,SPECIFICATIONF!$C$2:$D$65,2,0)</f>
        <v>GLOBAL HFT</v>
      </c>
      <c r="H744" s="12">
        <f t="shared" si="34"/>
        <v>5</v>
      </c>
      <c r="I744" s="12">
        <f t="shared" si="35"/>
        <v>2025</v>
      </c>
    </row>
    <row r="745" spans="1:9" ht="19.5" customHeight="1" x14ac:dyDescent="0.35">
      <c r="A745" s="41">
        <v>45794</v>
      </c>
      <c r="B745" s="8" t="s">
        <v>32</v>
      </c>
      <c r="C745" s="42" t="s">
        <v>11</v>
      </c>
      <c r="D745" s="43" t="s">
        <v>29</v>
      </c>
      <c r="E745" s="47">
        <v>5004993982</v>
      </c>
      <c r="F745" s="2">
        <f>IF(C745="GBP",E745*$C$3,IF(C745="TRY",E745/$C$1,IF(C745="EUR",E745*$E$1,IF(C745="RUB",E745/#REF!,IF(C745="EGP",E745/$E$2,E745)))))</f>
        <v>137247585.67358342</v>
      </c>
      <c r="G745" s="15" t="str">
        <f>VLOOKUP(B745,SPECIFICATIONF!$C$2:$D$65,2,0)</f>
        <v>GLOBAL HFT</v>
      </c>
      <c r="H745" s="12">
        <f t="shared" si="34"/>
        <v>5</v>
      </c>
      <c r="I745" s="12">
        <f t="shared" si="35"/>
        <v>2025</v>
      </c>
    </row>
    <row r="746" spans="1:9" ht="19.5" customHeight="1" x14ac:dyDescent="0.35">
      <c r="A746" s="41">
        <v>45794</v>
      </c>
      <c r="B746" s="8" t="s">
        <v>32</v>
      </c>
      <c r="C746" s="42" t="s">
        <v>33</v>
      </c>
      <c r="D746" s="43" t="s">
        <v>29</v>
      </c>
      <c r="E746" s="46">
        <v>27882898</v>
      </c>
      <c r="F746" s="2">
        <f>IF(C746="GBP",E746*$C$3,IF(C746="TRY",E746/$C$1,IF(C746="EUR",E746*$E$1,IF(C746="RUB",E746/#REF!,IF(C746="EGP",E746/$E$2,E746)))))</f>
        <v>27882898</v>
      </c>
      <c r="G746" s="15" t="str">
        <f>VLOOKUP(B746,SPECIFICATIONF!$C$2:$D$65,2,0)</f>
        <v>GLOBAL HFT</v>
      </c>
      <c r="H746" s="12">
        <f t="shared" si="34"/>
        <v>5</v>
      </c>
      <c r="I746" s="12">
        <f t="shared" si="35"/>
        <v>2025</v>
      </c>
    </row>
    <row r="747" spans="1:9" ht="19.5" customHeight="1" x14ac:dyDescent="0.35">
      <c r="A747" s="41">
        <v>45794</v>
      </c>
      <c r="B747" s="8" t="s">
        <v>24</v>
      </c>
      <c r="C747" s="42" t="s">
        <v>11</v>
      </c>
      <c r="D747" s="43" t="s">
        <v>30</v>
      </c>
      <c r="E747" s="46">
        <v>0</v>
      </c>
      <c r="F747" s="2">
        <f>IF(C747="GBP",E747*$C$3,IF(C747="TRY",E747/$C$1,IF(C747="EUR",E747*$E$1,IF(C747="RUB",E747/#REF!,IF(C747="EGP",E747/$E$2,E747)))))</f>
        <v>0</v>
      </c>
      <c r="G747" s="15" t="str">
        <f>VLOOKUP(B747,SPECIFICATIONF!$C$2:$D$65,2,0)</f>
        <v>GLOBAL RETAIL</v>
      </c>
      <c r="H747" s="12">
        <f t="shared" si="34"/>
        <v>5</v>
      </c>
      <c r="I747" s="12">
        <f t="shared" si="35"/>
        <v>2025</v>
      </c>
    </row>
    <row r="748" spans="1:9" ht="19.5" customHeight="1" x14ac:dyDescent="0.35">
      <c r="A748" s="41">
        <v>45794</v>
      </c>
      <c r="B748" s="8" t="s">
        <v>24</v>
      </c>
      <c r="C748" s="42" t="s">
        <v>33</v>
      </c>
      <c r="D748" s="43" t="s">
        <v>30</v>
      </c>
      <c r="E748" s="46">
        <v>0</v>
      </c>
      <c r="F748" s="2">
        <f>IF(C748="GBP",E748*$C$3,IF(C748="TRY",E748/$C$1,IF(C748="EUR",E748*$E$1,IF(C748="RUB",E748/#REF!,IF(C748="EGP",E748/$E$2,E748)))))</f>
        <v>0</v>
      </c>
      <c r="G748" s="15" t="str">
        <f>VLOOKUP(B748,SPECIFICATIONF!$C$2:$D$65,2,0)</f>
        <v>GLOBAL RETAIL</v>
      </c>
      <c r="H748" s="12">
        <f t="shared" si="34"/>
        <v>5</v>
      </c>
      <c r="I748" s="12">
        <f t="shared" si="35"/>
        <v>2025</v>
      </c>
    </row>
    <row r="749" spans="1:9" ht="19.5" customHeight="1" x14ac:dyDescent="0.35">
      <c r="A749" s="41">
        <v>45794</v>
      </c>
      <c r="B749" s="8" t="s">
        <v>24</v>
      </c>
      <c r="C749" s="42" t="s">
        <v>11</v>
      </c>
      <c r="D749" s="43" t="s">
        <v>29</v>
      </c>
      <c r="E749" s="47">
        <v>0</v>
      </c>
      <c r="F749" s="2">
        <f>IF(C749="GBP",E749*$C$3,IF(C749="TRY",E749/$C$1,IF(C749="EUR",E749*$E$1,IF(C749="RUB",E749/#REF!,IF(C749="EGP",E749/$E$2,E749)))))</f>
        <v>0</v>
      </c>
      <c r="G749" s="15" t="str">
        <f>VLOOKUP(B749,SPECIFICATIONF!$C$2:$D$65,2,0)</f>
        <v>GLOBAL RETAIL</v>
      </c>
      <c r="H749" s="12">
        <f t="shared" si="34"/>
        <v>5</v>
      </c>
      <c r="I749" s="12">
        <f t="shared" si="35"/>
        <v>2025</v>
      </c>
    </row>
    <row r="750" spans="1:9" ht="19.5" customHeight="1" x14ac:dyDescent="0.35">
      <c r="A750" s="41">
        <v>45794</v>
      </c>
      <c r="B750" s="8" t="s">
        <v>24</v>
      </c>
      <c r="C750" s="42" t="s">
        <v>33</v>
      </c>
      <c r="D750" s="43" t="s">
        <v>29</v>
      </c>
      <c r="E750" s="46">
        <v>0</v>
      </c>
      <c r="F750" s="2">
        <f>IF(C750="GBP",E750*$C$3,IF(C750="TRY",E750/$C$1,IF(C750="EUR",E750*$E$1,IF(C750="RUB",E750/#REF!,IF(C750="EGP",E750/$E$2,E750)))))</f>
        <v>0</v>
      </c>
      <c r="G750" s="15" t="str">
        <f>VLOOKUP(B750,SPECIFICATIONF!$C$2:$D$65,2,0)</f>
        <v>GLOBAL RETAIL</v>
      </c>
      <c r="H750" s="12">
        <f t="shared" si="34"/>
        <v>5</v>
      </c>
      <c r="I750" s="12">
        <f t="shared" si="35"/>
        <v>2025</v>
      </c>
    </row>
    <row r="751" spans="1:9" ht="19.5" customHeight="1" x14ac:dyDescent="0.35">
      <c r="A751" s="41">
        <v>45795</v>
      </c>
      <c r="B751" s="8" t="s">
        <v>32</v>
      </c>
      <c r="C751" s="42" t="s">
        <v>11</v>
      </c>
      <c r="D751" s="43" t="s">
        <v>30</v>
      </c>
      <c r="E751" s="46">
        <v>2106722.35</v>
      </c>
      <c r="F751" s="2">
        <f>IF(C751="GBP",E751*$C$3,IF(C751="TRY",E751/$C$1,IF(C751="EUR",E751*$E$1,IF(C751="RUB",E751/#REF!,IF(C751="EGP",E751/$E$2,E751)))))</f>
        <v>57770.809967395086</v>
      </c>
      <c r="G751" s="15" t="str">
        <f>VLOOKUP(B751,SPECIFICATIONF!$C$2:$D$65,2,0)</f>
        <v>GLOBAL HFT</v>
      </c>
      <c r="H751" s="12">
        <f t="shared" si="34"/>
        <v>5</v>
      </c>
      <c r="I751" s="12">
        <f t="shared" si="35"/>
        <v>2025</v>
      </c>
    </row>
    <row r="752" spans="1:9" ht="19.5" customHeight="1" x14ac:dyDescent="0.35">
      <c r="A752" s="41">
        <v>45795</v>
      </c>
      <c r="B752" s="8" t="s">
        <v>32</v>
      </c>
      <c r="C752" s="42" t="s">
        <v>33</v>
      </c>
      <c r="D752" s="43" t="s">
        <v>30</v>
      </c>
      <c r="E752" s="46">
        <v>12656</v>
      </c>
      <c r="F752" s="2">
        <f>IF(C752="GBP",E752*$C$3,IF(C752="TRY",E752/$C$1,IF(C752="EUR",E752*$E$1,IF(C752="RUB",E752/#REF!,IF(C752="EGP",E752/$E$2,E752)))))</f>
        <v>12656</v>
      </c>
      <c r="G752" s="15" t="str">
        <f>VLOOKUP(B752,SPECIFICATIONF!$C$2:$D$65,2,0)</f>
        <v>GLOBAL HFT</v>
      </c>
      <c r="H752" s="12">
        <f t="shared" si="34"/>
        <v>5</v>
      </c>
      <c r="I752" s="12">
        <f t="shared" si="35"/>
        <v>2025</v>
      </c>
    </row>
    <row r="753" spans="1:9" ht="19.5" customHeight="1" x14ac:dyDescent="0.35">
      <c r="A753" s="41">
        <v>45795</v>
      </c>
      <c r="B753" s="8" t="s">
        <v>32</v>
      </c>
      <c r="C753" s="42" t="s">
        <v>11</v>
      </c>
      <c r="D753" s="43" t="s">
        <v>29</v>
      </c>
      <c r="E753" s="47">
        <v>8011475248</v>
      </c>
      <c r="F753" s="2">
        <f>IF(C753="GBP",E753*$C$3,IF(C753="TRY",E753/$C$1,IF(C753="EUR",E753*$E$1,IF(C753="RUB",E753/#REF!,IF(C753="EGP",E753/$E$2,E753)))))</f>
        <v>219691699.81544906</v>
      </c>
      <c r="G753" s="15" t="str">
        <f>VLOOKUP(B753,SPECIFICATIONF!$C$2:$D$65,2,0)</f>
        <v>GLOBAL HFT</v>
      </c>
      <c r="H753" s="12">
        <f t="shared" si="34"/>
        <v>5</v>
      </c>
      <c r="I753" s="12">
        <f t="shared" si="35"/>
        <v>2025</v>
      </c>
    </row>
    <row r="754" spans="1:9" ht="19.5" customHeight="1" x14ac:dyDescent="0.35">
      <c r="A754" s="41">
        <v>45795</v>
      </c>
      <c r="B754" s="8" t="s">
        <v>32</v>
      </c>
      <c r="C754" s="42" t="s">
        <v>33</v>
      </c>
      <c r="D754" s="43" t="s">
        <v>29</v>
      </c>
      <c r="E754" s="46">
        <v>43754682</v>
      </c>
      <c r="F754" s="2">
        <f>IF(C754="GBP",E754*$C$3,IF(C754="TRY",E754/$C$1,IF(C754="EUR",E754*$E$1,IF(C754="RUB",E754/#REF!,IF(C754="EGP",E754/$E$2,E754)))))</f>
        <v>43754682</v>
      </c>
      <c r="G754" s="15" t="str">
        <f>VLOOKUP(B754,SPECIFICATIONF!$C$2:$D$65,2,0)</f>
        <v>GLOBAL HFT</v>
      </c>
      <c r="H754" s="12">
        <f t="shared" si="34"/>
        <v>5</v>
      </c>
      <c r="I754" s="12">
        <f t="shared" si="35"/>
        <v>2025</v>
      </c>
    </row>
    <row r="755" spans="1:9" ht="19.5" customHeight="1" x14ac:dyDescent="0.35">
      <c r="A755" s="41">
        <v>45795</v>
      </c>
      <c r="B755" s="8" t="s">
        <v>24</v>
      </c>
      <c r="C755" s="42" t="s">
        <v>11</v>
      </c>
      <c r="D755" s="43" t="s">
        <v>30</v>
      </c>
      <c r="E755" s="46">
        <v>0</v>
      </c>
      <c r="F755" s="2">
        <f>IF(C755="GBP",E755*$C$3,IF(C755="TRY",E755/$C$1,IF(C755="EUR",E755*$E$1,IF(C755="RUB",E755/#REF!,IF(C755="EGP",E755/$E$2,E755)))))</f>
        <v>0</v>
      </c>
      <c r="G755" s="15" t="str">
        <f>VLOOKUP(B755,SPECIFICATIONF!$C$2:$D$65,2,0)</f>
        <v>GLOBAL RETAIL</v>
      </c>
      <c r="H755" s="12">
        <f t="shared" si="34"/>
        <v>5</v>
      </c>
      <c r="I755" s="12">
        <f t="shared" si="35"/>
        <v>2025</v>
      </c>
    </row>
    <row r="756" spans="1:9" ht="19.5" customHeight="1" x14ac:dyDescent="0.35">
      <c r="A756" s="41">
        <v>45795</v>
      </c>
      <c r="B756" s="8" t="s">
        <v>24</v>
      </c>
      <c r="C756" s="42" t="s">
        <v>33</v>
      </c>
      <c r="D756" s="43" t="s">
        <v>30</v>
      </c>
      <c r="E756" s="46">
        <v>0</v>
      </c>
      <c r="F756" s="2">
        <f>IF(C756="GBP",E756*$C$3,IF(C756="TRY",E756/$C$1,IF(C756="EUR",E756*$E$1,IF(C756="RUB",E756/#REF!,IF(C756="EGP",E756/$E$2,E756)))))</f>
        <v>0</v>
      </c>
      <c r="G756" s="15" t="str">
        <f>VLOOKUP(B756,SPECIFICATIONF!$C$2:$D$65,2,0)</f>
        <v>GLOBAL RETAIL</v>
      </c>
      <c r="H756" s="12">
        <f t="shared" si="34"/>
        <v>5</v>
      </c>
      <c r="I756" s="12">
        <f t="shared" si="35"/>
        <v>2025</v>
      </c>
    </row>
    <row r="757" spans="1:9" ht="19.5" customHeight="1" x14ac:dyDescent="0.35">
      <c r="A757" s="41">
        <v>45795</v>
      </c>
      <c r="B757" s="8" t="s">
        <v>24</v>
      </c>
      <c r="C757" s="42" t="s">
        <v>11</v>
      </c>
      <c r="D757" s="43" t="s">
        <v>29</v>
      </c>
      <c r="E757" s="47">
        <v>0</v>
      </c>
      <c r="F757" s="2">
        <f>IF(C757="GBP",E757*$C$3,IF(C757="TRY",E757/$C$1,IF(C757="EUR",E757*$E$1,IF(C757="RUB",E757/#REF!,IF(C757="EGP",E757/$E$2,E757)))))</f>
        <v>0</v>
      </c>
      <c r="G757" s="15" t="str">
        <f>VLOOKUP(B757,SPECIFICATIONF!$C$2:$D$65,2,0)</f>
        <v>GLOBAL RETAIL</v>
      </c>
      <c r="H757" s="12">
        <f t="shared" si="34"/>
        <v>5</v>
      </c>
      <c r="I757" s="12">
        <f t="shared" si="35"/>
        <v>2025</v>
      </c>
    </row>
    <row r="758" spans="1:9" ht="19.5" customHeight="1" x14ac:dyDescent="0.35">
      <c r="A758" s="41">
        <v>45795</v>
      </c>
      <c r="B758" s="8" t="s">
        <v>24</v>
      </c>
      <c r="C758" s="42" t="s">
        <v>33</v>
      </c>
      <c r="D758" s="43" t="s">
        <v>29</v>
      </c>
      <c r="E758" s="46">
        <v>0</v>
      </c>
      <c r="F758" s="2">
        <f>IF(C758="GBP",E758*$C$3,IF(C758="TRY",E758/$C$1,IF(C758="EUR",E758*$E$1,IF(C758="RUB",E758/#REF!,IF(C758="EGP",E758/$E$2,E758)))))</f>
        <v>0</v>
      </c>
      <c r="G758" s="15" t="str">
        <f>VLOOKUP(B758,SPECIFICATIONF!$C$2:$D$65,2,0)</f>
        <v>GLOBAL RETAIL</v>
      </c>
      <c r="H758" s="12">
        <f t="shared" si="34"/>
        <v>5</v>
      </c>
      <c r="I758" s="12">
        <f t="shared" si="35"/>
        <v>2025</v>
      </c>
    </row>
    <row r="759" spans="1:9" ht="19.5" customHeight="1" x14ac:dyDescent="0.35">
      <c r="A759" s="41">
        <v>45796</v>
      </c>
      <c r="B759" s="8" t="s">
        <v>32</v>
      </c>
      <c r="C759" s="42" t="s">
        <v>11</v>
      </c>
      <c r="D759" s="43" t="s">
        <v>30</v>
      </c>
      <c r="E759" s="46">
        <v>1614503.3</v>
      </c>
      <c r="F759" s="2">
        <f>IF(C759="GBP",E759*$C$3,IF(C759="TRY",E759/$C$1,IF(C759="EUR",E759*$E$1,IF(C759="RUB",E759/#REF!,IF(C759="EGP",E759/$E$2,E759)))))</f>
        <v>44273.116168360895</v>
      </c>
      <c r="G759" s="15" t="str">
        <f>VLOOKUP(B759,SPECIFICATIONF!$C$2:$D$65,2,0)</f>
        <v>GLOBAL HFT</v>
      </c>
      <c r="H759" s="12">
        <f t="shared" si="34"/>
        <v>5</v>
      </c>
      <c r="I759" s="12">
        <f t="shared" si="35"/>
        <v>2025</v>
      </c>
    </row>
    <row r="760" spans="1:9" ht="19.5" customHeight="1" x14ac:dyDescent="0.35">
      <c r="A760" s="41">
        <v>45796</v>
      </c>
      <c r="B760" s="8" t="s">
        <v>32</v>
      </c>
      <c r="C760" s="42" t="s">
        <v>33</v>
      </c>
      <c r="D760" s="43" t="s">
        <v>30</v>
      </c>
      <c r="E760" s="46">
        <v>12067.68</v>
      </c>
      <c r="F760" s="2">
        <f>IF(C760="GBP",E760*$C$3,IF(C760="TRY",E760/$C$1,IF(C760="EUR",E760*$E$1,IF(C760="RUB",E760/#REF!,IF(C760="EGP",E760/$E$2,E760)))))</f>
        <v>12067.68</v>
      </c>
      <c r="G760" s="15" t="str">
        <f>VLOOKUP(B760,SPECIFICATIONF!$C$2:$D$65,2,0)</f>
        <v>GLOBAL HFT</v>
      </c>
      <c r="H760" s="12">
        <f t="shared" si="34"/>
        <v>5</v>
      </c>
      <c r="I760" s="12">
        <f t="shared" si="35"/>
        <v>2025</v>
      </c>
    </row>
    <row r="761" spans="1:9" ht="19.5" customHeight="1" x14ac:dyDescent="0.35">
      <c r="A761" s="41">
        <v>45796</v>
      </c>
      <c r="B761" s="8" t="s">
        <v>32</v>
      </c>
      <c r="C761" s="42" t="s">
        <v>11</v>
      </c>
      <c r="D761" s="43" t="s">
        <v>29</v>
      </c>
      <c r="E761" s="47">
        <v>6227575108</v>
      </c>
      <c r="F761" s="2">
        <f>IF(C761="GBP",E761*$C$3,IF(C761="TRY",E761/$C$1,IF(C761="EUR",E761*$E$1,IF(C761="RUB",E761/#REF!,IF(C761="EGP",E761/$E$2,E761)))))</f>
        <v>170773361.81578362</v>
      </c>
      <c r="G761" s="15" t="str">
        <f>VLOOKUP(B761,SPECIFICATIONF!$C$2:$D$65,2,0)</f>
        <v>GLOBAL HFT</v>
      </c>
      <c r="H761" s="12">
        <f t="shared" si="34"/>
        <v>5</v>
      </c>
      <c r="I761" s="12">
        <f t="shared" si="35"/>
        <v>2025</v>
      </c>
    </row>
    <row r="762" spans="1:9" ht="19.5" customHeight="1" x14ac:dyDescent="0.35">
      <c r="A762" s="41">
        <v>45796</v>
      </c>
      <c r="B762" s="8" t="s">
        <v>32</v>
      </c>
      <c r="C762" s="42" t="s">
        <v>33</v>
      </c>
      <c r="D762" s="43" t="s">
        <v>29</v>
      </c>
      <c r="E762" s="46">
        <v>40728780</v>
      </c>
      <c r="F762" s="2">
        <f>IF(C762="GBP",E762*$C$3,IF(C762="TRY",E762/$C$1,IF(C762="EUR",E762*$E$1,IF(C762="RUB",E762/#REF!,IF(C762="EGP",E762/$E$2,E762)))))</f>
        <v>40728780</v>
      </c>
      <c r="G762" s="15" t="str">
        <f>VLOOKUP(B762,SPECIFICATIONF!$C$2:$D$65,2,0)</f>
        <v>GLOBAL HFT</v>
      </c>
      <c r="H762" s="12">
        <f t="shared" si="34"/>
        <v>5</v>
      </c>
      <c r="I762" s="12">
        <f t="shared" si="35"/>
        <v>2025</v>
      </c>
    </row>
    <row r="763" spans="1:9" ht="19.5" customHeight="1" x14ac:dyDescent="0.35">
      <c r="A763" s="41">
        <v>45796</v>
      </c>
      <c r="B763" s="8" t="s">
        <v>24</v>
      </c>
      <c r="C763" s="42" t="s">
        <v>11</v>
      </c>
      <c r="D763" s="43" t="s">
        <v>30</v>
      </c>
      <c r="E763" s="46">
        <v>0</v>
      </c>
      <c r="F763" s="2">
        <f>IF(C763="GBP",E763*$C$3,IF(C763="TRY",E763/$C$1,IF(C763="EUR",E763*$E$1,IF(C763="RUB",E763/#REF!,IF(C763="EGP",E763/$E$2,E763)))))</f>
        <v>0</v>
      </c>
      <c r="G763" s="15" t="str">
        <f>VLOOKUP(B763,SPECIFICATIONF!$C$2:$D$65,2,0)</f>
        <v>GLOBAL RETAIL</v>
      </c>
      <c r="H763" s="12">
        <f t="shared" si="34"/>
        <v>5</v>
      </c>
      <c r="I763" s="12">
        <f t="shared" si="35"/>
        <v>2025</v>
      </c>
    </row>
    <row r="764" spans="1:9" ht="19.5" customHeight="1" x14ac:dyDescent="0.35">
      <c r="A764" s="41">
        <v>45796</v>
      </c>
      <c r="B764" s="8" t="s">
        <v>24</v>
      </c>
      <c r="C764" s="42" t="s">
        <v>33</v>
      </c>
      <c r="D764" s="43" t="s">
        <v>30</v>
      </c>
      <c r="E764" s="46">
        <v>0</v>
      </c>
      <c r="F764" s="2">
        <f>IF(C764="GBP",E764*$C$3,IF(C764="TRY",E764/$C$1,IF(C764="EUR",E764*$E$1,IF(C764="RUB",E764/#REF!,IF(C764="EGP",E764/$E$2,E764)))))</f>
        <v>0</v>
      </c>
      <c r="G764" s="15" t="str">
        <f>VLOOKUP(B764,SPECIFICATIONF!$C$2:$D$65,2,0)</f>
        <v>GLOBAL RETAIL</v>
      </c>
      <c r="H764" s="12">
        <f t="shared" si="34"/>
        <v>5</v>
      </c>
      <c r="I764" s="12">
        <f t="shared" si="35"/>
        <v>2025</v>
      </c>
    </row>
    <row r="765" spans="1:9" ht="19.5" customHeight="1" x14ac:dyDescent="0.35">
      <c r="A765" s="41">
        <v>45796</v>
      </c>
      <c r="B765" s="8" t="s">
        <v>24</v>
      </c>
      <c r="C765" s="42" t="s">
        <v>11</v>
      </c>
      <c r="D765" s="43" t="s">
        <v>29</v>
      </c>
      <c r="E765" s="47">
        <v>0</v>
      </c>
      <c r="F765" s="2">
        <f>IF(C765="GBP",E765*$C$3,IF(C765="TRY",E765/$C$1,IF(C765="EUR",E765*$E$1,IF(C765="RUB",E765/#REF!,IF(C765="EGP",E765/$E$2,E765)))))</f>
        <v>0</v>
      </c>
      <c r="G765" s="15" t="str">
        <f>VLOOKUP(B765,SPECIFICATIONF!$C$2:$D$65,2,0)</f>
        <v>GLOBAL RETAIL</v>
      </c>
      <c r="H765" s="12">
        <f t="shared" si="34"/>
        <v>5</v>
      </c>
      <c r="I765" s="12">
        <f t="shared" si="35"/>
        <v>2025</v>
      </c>
    </row>
    <row r="766" spans="1:9" ht="19.5" customHeight="1" x14ac:dyDescent="0.35">
      <c r="A766" s="41">
        <v>45796</v>
      </c>
      <c r="B766" s="8" t="s">
        <v>24</v>
      </c>
      <c r="C766" s="42" t="s">
        <v>33</v>
      </c>
      <c r="D766" s="43" t="s">
        <v>29</v>
      </c>
      <c r="E766" s="46">
        <v>0</v>
      </c>
      <c r="F766" s="2">
        <f>IF(C766="GBP",E766*$C$3,IF(C766="TRY",E766/$C$1,IF(C766="EUR",E766*$E$1,IF(C766="RUB",E766/#REF!,IF(C766="EGP",E766/$E$2,E766)))))</f>
        <v>0</v>
      </c>
      <c r="G766" s="15" t="str">
        <f>VLOOKUP(B766,SPECIFICATIONF!$C$2:$D$65,2,0)</f>
        <v>GLOBAL RETAIL</v>
      </c>
      <c r="H766" s="12">
        <f t="shared" si="34"/>
        <v>5</v>
      </c>
      <c r="I766" s="12">
        <f t="shared" si="35"/>
        <v>2025</v>
      </c>
    </row>
    <row r="767" spans="1:9" ht="19.5" customHeight="1" x14ac:dyDescent="0.35">
      <c r="A767" s="41">
        <v>45797</v>
      </c>
      <c r="B767" s="8" t="s">
        <v>32</v>
      </c>
      <c r="C767" s="42" t="s">
        <v>11</v>
      </c>
      <c r="D767" s="43" t="s">
        <v>30</v>
      </c>
      <c r="E767" s="46">
        <v>1300987.1000000001</v>
      </c>
      <c r="F767" s="2">
        <f>IF(C767="GBP",E767*$C$3,IF(C767="TRY",E767/$C$1,IF(C767="EUR",E767*$E$1,IF(C767="RUB",E767/#REF!,IF(C767="EGP",E767/$E$2,E767)))))</f>
        <v>35675.834798132004</v>
      </c>
      <c r="G767" s="15" t="str">
        <f>VLOOKUP(B767,SPECIFICATIONF!$C$2:$D$65,2,0)</f>
        <v>GLOBAL HFT</v>
      </c>
      <c r="H767" s="12">
        <f t="shared" si="34"/>
        <v>5</v>
      </c>
      <c r="I767" s="12">
        <f t="shared" si="35"/>
        <v>2025</v>
      </c>
    </row>
    <row r="768" spans="1:9" ht="19.5" customHeight="1" x14ac:dyDescent="0.35">
      <c r="A768" s="41">
        <v>45797</v>
      </c>
      <c r="B768" s="8" t="s">
        <v>32</v>
      </c>
      <c r="C768" s="42" t="s">
        <v>33</v>
      </c>
      <c r="D768" s="43" t="s">
        <v>30</v>
      </c>
      <c r="E768" s="46">
        <v>8804.57</v>
      </c>
      <c r="F768" s="2">
        <f>IF(C768="GBP",E768*$C$3,IF(C768="TRY",E768/$C$1,IF(C768="EUR",E768*$E$1,IF(C768="RUB",E768/#REF!,IF(C768="EGP",E768/$E$2,E768)))))</f>
        <v>8804.57</v>
      </c>
      <c r="G768" s="15" t="str">
        <f>VLOOKUP(B768,SPECIFICATIONF!$C$2:$D$65,2,0)</f>
        <v>GLOBAL HFT</v>
      </c>
      <c r="H768" s="12">
        <f t="shared" si="34"/>
        <v>5</v>
      </c>
      <c r="I768" s="12">
        <f t="shared" si="35"/>
        <v>2025</v>
      </c>
    </row>
    <row r="769" spans="1:9" ht="19.5" customHeight="1" x14ac:dyDescent="0.35">
      <c r="A769" s="41">
        <v>45797</v>
      </c>
      <c r="B769" s="8" t="s">
        <v>32</v>
      </c>
      <c r="C769" s="42" t="s">
        <v>11</v>
      </c>
      <c r="D769" s="43" t="s">
        <v>29</v>
      </c>
      <c r="E769" s="47">
        <v>5053989787</v>
      </c>
      <c r="F769" s="2">
        <f>IF(C769="GBP",E769*$C$3,IF(C769="TRY",E769/$C$1,IF(C769="EUR",E769*$E$1,IF(C769="RUB",E769/#REF!,IF(C769="EGP",E769/$E$2,E769)))))</f>
        <v>138591154.91034335</v>
      </c>
      <c r="G769" s="15" t="str">
        <f>VLOOKUP(B769,SPECIFICATIONF!$C$2:$D$65,2,0)</f>
        <v>GLOBAL HFT</v>
      </c>
      <c r="H769" s="12">
        <f t="shared" si="34"/>
        <v>5</v>
      </c>
      <c r="I769" s="12">
        <f t="shared" si="35"/>
        <v>2025</v>
      </c>
    </row>
    <row r="770" spans="1:9" ht="19.5" customHeight="1" x14ac:dyDescent="0.35">
      <c r="A770" s="41">
        <v>45797</v>
      </c>
      <c r="B770" s="8" t="s">
        <v>32</v>
      </c>
      <c r="C770" s="42" t="s">
        <v>33</v>
      </c>
      <c r="D770" s="43" t="s">
        <v>29</v>
      </c>
      <c r="E770" s="46">
        <v>30311965</v>
      </c>
      <c r="F770" s="2">
        <f>IF(C770="GBP",E770*$C$3,IF(C770="TRY",E770/$C$1,IF(C770="EUR",E770*$E$1,IF(C770="RUB",E770/#REF!,IF(C770="EGP",E770/$E$2,E770)))))</f>
        <v>30311965</v>
      </c>
      <c r="G770" s="15" t="str">
        <f>VLOOKUP(B770,SPECIFICATIONF!$C$2:$D$65,2,0)</f>
        <v>GLOBAL HFT</v>
      </c>
      <c r="H770" s="12">
        <f t="shared" si="34"/>
        <v>5</v>
      </c>
      <c r="I770" s="12">
        <f t="shared" si="35"/>
        <v>2025</v>
      </c>
    </row>
    <row r="771" spans="1:9" ht="19.5" customHeight="1" x14ac:dyDescent="0.35">
      <c r="A771" s="41">
        <v>45797</v>
      </c>
      <c r="B771" s="8" t="s">
        <v>24</v>
      </c>
      <c r="C771" s="42" t="s">
        <v>11</v>
      </c>
      <c r="D771" s="43" t="s">
        <v>30</v>
      </c>
      <c r="E771" s="46">
        <v>0</v>
      </c>
      <c r="F771" s="2">
        <f>IF(C771="GBP",E771*$C$3,IF(C771="TRY",E771/$C$1,IF(C771="EUR",E771*$E$1,IF(C771="RUB",E771/#REF!,IF(C771="EGP",E771/$E$2,E771)))))</f>
        <v>0</v>
      </c>
      <c r="G771" s="15" t="str">
        <f>VLOOKUP(B771,SPECIFICATIONF!$C$2:$D$65,2,0)</f>
        <v>GLOBAL RETAIL</v>
      </c>
      <c r="H771" s="12">
        <f t="shared" si="34"/>
        <v>5</v>
      </c>
      <c r="I771" s="12">
        <f t="shared" si="35"/>
        <v>2025</v>
      </c>
    </row>
    <row r="772" spans="1:9" ht="19.5" customHeight="1" x14ac:dyDescent="0.35">
      <c r="A772" s="41">
        <v>45797</v>
      </c>
      <c r="B772" s="8" t="s">
        <v>24</v>
      </c>
      <c r="C772" s="42" t="s">
        <v>33</v>
      </c>
      <c r="D772" s="43" t="s">
        <v>30</v>
      </c>
      <c r="E772" s="46">
        <v>0.16</v>
      </c>
      <c r="F772" s="2">
        <f>IF(C772="GBP",E772*$C$3,IF(C772="TRY",E772/$C$1,IF(C772="EUR",E772*$E$1,IF(C772="RUB",E772/#REF!,IF(C772="EGP",E772/$E$2,E772)))))</f>
        <v>0.16</v>
      </c>
      <c r="G772" s="15" t="str">
        <f>VLOOKUP(B772,SPECIFICATIONF!$C$2:$D$65,2,0)</f>
        <v>GLOBAL RETAIL</v>
      </c>
      <c r="H772" s="12">
        <f t="shared" si="34"/>
        <v>5</v>
      </c>
      <c r="I772" s="12">
        <f t="shared" si="35"/>
        <v>2025</v>
      </c>
    </row>
    <row r="773" spans="1:9" ht="19.5" customHeight="1" x14ac:dyDescent="0.35">
      <c r="A773" s="41">
        <v>45797</v>
      </c>
      <c r="B773" s="8" t="s">
        <v>24</v>
      </c>
      <c r="C773" s="42" t="s">
        <v>11</v>
      </c>
      <c r="D773" s="43" t="s">
        <v>29</v>
      </c>
      <c r="E773" s="47">
        <v>0</v>
      </c>
      <c r="F773" s="2">
        <f>IF(C773="GBP",E773*$C$3,IF(C773="TRY",E773/$C$1,IF(C773="EUR",E773*$E$1,IF(C773="RUB",E773/#REF!,IF(C773="EGP",E773/$E$2,E773)))))</f>
        <v>0</v>
      </c>
      <c r="G773" s="15" t="str">
        <f>VLOOKUP(B773,SPECIFICATIONF!$C$2:$D$65,2,0)</f>
        <v>GLOBAL RETAIL</v>
      </c>
      <c r="H773" s="12">
        <f t="shared" si="34"/>
        <v>5</v>
      </c>
      <c r="I773" s="12">
        <f t="shared" si="35"/>
        <v>2025</v>
      </c>
    </row>
    <row r="774" spans="1:9" ht="19.5" customHeight="1" x14ac:dyDescent="0.35">
      <c r="A774" s="41">
        <v>45797</v>
      </c>
      <c r="B774" s="8" t="s">
        <v>24</v>
      </c>
      <c r="C774" s="42" t="s">
        <v>33</v>
      </c>
      <c r="D774" s="43" t="s">
        <v>29</v>
      </c>
      <c r="E774" s="46">
        <v>131</v>
      </c>
      <c r="F774" s="2">
        <f>IF(C774="GBP",E774*$C$3,IF(C774="TRY",E774/$C$1,IF(C774="EUR",E774*$E$1,IF(C774="RUB",E774/#REF!,IF(C774="EGP",E774/$E$2,E774)))))</f>
        <v>131</v>
      </c>
      <c r="G774" s="15" t="str">
        <f>VLOOKUP(B774,SPECIFICATIONF!$C$2:$D$65,2,0)</f>
        <v>GLOBAL RETAIL</v>
      </c>
      <c r="H774" s="12">
        <f t="shared" si="34"/>
        <v>5</v>
      </c>
      <c r="I774" s="12">
        <f t="shared" si="35"/>
        <v>2025</v>
      </c>
    </row>
    <row r="775" spans="1:9" ht="19.5" customHeight="1" x14ac:dyDescent="0.35">
      <c r="A775" s="41">
        <v>45798</v>
      </c>
      <c r="B775" s="8" t="s">
        <v>32</v>
      </c>
      <c r="C775" s="42" t="s">
        <v>11</v>
      </c>
      <c r="D775" s="43" t="s">
        <v>30</v>
      </c>
      <c r="E775" s="46">
        <v>2597192.9900000002</v>
      </c>
      <c r="F775" s="2">
        <f>IF(C775="GBP",E775*$C$3,IF(C775="TRY",E775/$C$1,IF(C775="EUR",E775*$E$1,IF(C775="RUB",E775/#REF!,IF(C775="EGP",E775/$E$2,E775)))))</f>
        <v>71220.558643591867</v>
      </c>
      <c r="G775" s="15" t="str">
        <f>VLOOKUP(B775,SPECIFICATIONF!$C$2:$D$65,2,0)</f>
        <v>GLOBAL HFT</v>
      </c>
      <c r="H775" s="12">
        <f t="shared" si="34"/>
        <v>5</v>
      </c>
      <c r="I775" s="12">
        <f t="shared" si="35"/>
        <v>2025</v>
      </c>
    </row>
    <row r="776" spans="1:9" ht="19.5" customHeight="1" x14ac:dyDescent="0.35">
      <c r="A776" s="41">
        <v>45798</v>
      </c>
      <c r="B776" s="8" t="s">
        <v>32</v>
      </c>
      <c r="C776" s="42" t="s">
        <v>33</v>
      </c>
      <c r="D776" s="43" t="s">
        <v>30</v>
      </c>
      <c r="E776" s="46">
        <v>20066.5</v>
      </c>
      <c r="F776" s="2">
        <f>IF(C776="GBP",E776*$C$3,IF(C776="TRY",E776/$C$1,IF(C776="EUR",E776*$E$1,IF(C776="RUB",E776/#REF!,IF(C776="EGP",E776/$E$2,E776)))))</f>
        <v>20066.5</v>
      </c>
      <c r="G776" s="15" t="str">
        <f>VLOOKUP(B776,SPECIFICATIONF!$C$2:$D$65,2,0)</f>
        <v>GLOBAL HFT</v>
      </c>
      <c r="H776" s="12">
        <f t="shared" si="34"/>
        <v>5</v>
      </c>
      <c r="I776" s="12">
        <f t="shared" si="35"/>
        <v>2025</v>
      </c>
    </row>
    <row r="777" spans="1:9" ht="19.5" customHeight="1" x14ac:dyDescent="0.35">
      <c r="A777" s="41">
        <v>45798</v>
      </c>
      <c r="B777" s="8" t="s">
        <v>32</v>
      </c>
      <c r="C777" s="42" t="s">
        <v>11</v>
      </c>
      <c r="D777" s="43" t="s">
        <v>29</v>
      </c>
      <c r="E777" s="47">
        <v>9533508977</v>
      </c>
      <c r="F777" s="2">
        <f>IF(C777="GBP",E777*$C$3,IF(C777="TRY",E777/$C$1,IF(C777="EUR",E777*$E$1,IF(C777="RUB",E777/#REF!,IF(C777="EGP",E777/$E$2,E777)))))</f>
        <v>261429103.57063526</v>
      </c>
      <c r="G777" s="15" t="str">
        <f>VLOOKUP(B777,SPECIFICATIONF!$C$2:$D$65,2,0)</f>
        <v>GLOBAL HFT</v>
      </c>
      <c r="H777" s="12">
        <f t="shared" si="34"/>
        <v>5</v>
      </c>
      <c r="I777" s="12">
        <f t="shared" si="35"/>
        <v>2025</v>
      </c>
    </row>
    <row r="778" spans="1:9" ht="19.5" customHeight="1" x14ac:dyDescent="0.35">
      <c r="A778" s="41">
        <v>45798</v>
      </c>
      <c r="B778" s="8" t="s">
        <v>32</v>
      </c>
      <c r="C778" s="42" t="s">
        <v>33</v>
      </c>
      <c r="D778" s="43" t="s">
        <v>29</v>
      </c>
      <c r="E778" s="46">
        <v>68568059</v>
      </c>
      <c r="F778" s="2">
        <f>IF(C778="GBP",E778*$C$3,IF(C778="TRY",E778/$C$1,IF(C778="EUR",E778*$E$1,IF(C778="RUB",E778/#REF!,IF(C778="EGP",E778/$E$2,E778)))))</f>
        <v>68568059</v>
      </c>
      <c r="G778" s="15" t="str">
        <f>VLOOKUP(B778,SPECIFICATIONF!$C$2:$D$65,2,0)</f>
        <v>GLOBAL HFT</v>
      </c>
      <c r="H778" s="12">
        <f t="shared" si="34"/>
        <v>5</v>
      </c>
      <c r="I778" s="12">
        <f t="shared" si="35"/>
        <v>2025</v>
      </c>
    </row>
    <row r="779" spans="1:9" ht="19.5" customHeight="1" x14ac:dyDescent="0.35">
      <c r="A779" s="41">
        <v>45798</v>
      </c>
      <c r="B779" s="8" t="s">
        <v>24</v>
      </c>
      <c r="C779" s="42" t="s">
        <v>11</v>
      </c>
      <c r="D779" s="43" t="s">
        <v>30</v>
      </c>
      <c r="E779" s="46">
        <v>0</v>
      </c>
      <c r="F779" s="2">
        <f>IF(C779="GBP",E779*$C$3,IF(C779="TRY",E779/$C$1,IF(C779="EUR",E779*$E$1,IF(C779="RUB",E779/#REF!,IF(C779="EGP",E779/$E$2,E779)))))</f>
        <v>0</v>
      </c>
      <c r="G779" s="15" t="str">
        <f>VLOOKUP(B779,SPECIFICATIONF!$C$2:$D$65,2,0)</f>
        <v>GLOBAL RETAIL</v>
      </c>
      <c r="H779" s="12">
        <f t="shared" si="34"/>
        <v>5</v>
      </c>
      <c r="I779" s="12">
        <f t="shared" si="35"/>
        <v>2025</v>
      </c>
    </row>
    <row r="780" spans="1:9" ht="19.5" customHeight="1" x14ac:dyDescent="0.35">
      <c r="A780" s="41">
        <v>45798</v>
      </c>
      <c r="B780" s="8" t="s">
        <v>24</v>
      </c>
      <c r="C780" s="42" t="s">
        <v>33</v>
      </c>
      <c r="D780" s="43" t="s">
        <v>30</v>
      </c>
      <c r="E780" s="46">
        <v>182.62</v>
      </c>
      <c r="F780" s="2">
        <f>IF(C780="GBP",E780*$C$3,IF(C780="TRY",E780/$C$1,IF(C780="EUR",E780*$E$1,IF(C780="RUB",E780/#REF!,IF(C780="EGP",E780/$E$2,E780)))))</f>
        <v>182.62</v>
      </c>
      <c r="G780" s="15" t="str">
        <f>VLOOKUP(B780,SPECIFICATIONF!$C$2:$D$65,2,0)</f>
        <v>GLOBAL RETAIL</v>
      </c>
      <c r="H780" s="12">
        <f t="shared" si="34"/>
        <v>5</v>
      </c>
      <c r="I780" s="12">
        <f t="shared" si="35"/>
        <v>2025</v>
      </c>
    </row>
    <row r="781" spans="1:9" ht="19.5" customHeight="1" x14ac:dyDescent="0.35">
      <c r="A781" s="41">
        <v>45798</v>
      </c>
      <c r="B781" s="8" t="s">
        <v>24</v>
      </c>
      <c r="C781" s="42" t="s">
        <v>11</v>
      </c>
      <c r="D781" s="43" t="s">
        <v>29</v>
      </c>
      <c r="E781" s="47">
        <v>0</v>
      </c>
      <c r="F781" s="2">
        <f>IF(C781="GBP",E781*$C$3,IF(C781="TRY",E781/$C$1,IF(C781="EUR",E781*$E$1,IF(C781="RUB",E781/#REF!,IF(C781="EGP",E781/$E$2,E781)))))</f>
        <v>0</v>
      </c>
      <c r="G781" s="15" t="str">
        <f>VLOOKUP(B781,SPECIFICATIONF!$C$2:$D$65,2,0)</f>
        <v>GLOBAL RETAIL</v>
      </c>
      <c r="H781" s="12">
        <f t="shared" si="34"/>
        <v>5</v>
      </c>
      <c r="I781" s="12">
        <f t="shared" si="35"/>
        <v>2025</v>
      </c>
    </row>
    <row r="782" spans="1:9" ht="19.5" customHeight="1" x14ac:dyDescent="0.35">
      <c r="A782" s="41">
        <v>45798</v>
      </c>
      <c r="B782" s="8" t="s">
        <v>24</v>
      </c>
      <c r="C782" s="42" t="s">
        <v>33</v>
      </c>
      <c r="D782" s="43" t="s">
        <v>29</v>
      </c>
      <c r="E782" s="46">
        <v>217087</v>
      </c>
      <c r="F782" s="2">
        <f>IF(C782="GBP",E782*$C$3,IF(C782="TRY",E782/$C$1,IF(C782="EUR",E782*$E$1,IF(C782="RUB",E782/#REF!,IF(C782="EGP",E782/$E$2,E782)))))</f>
        <v>217087</v>
      </c>
      <c r="G782" s="15" t="str">
        <f>VLOOKUP(B782,SPECIFICATIONF!$C$2:$D$65,2,0)</f>
        <v>GLOBAL RETAIL</v>
      </c>
      <c r="H782" s="12">
        <f t="shared" si="34"/>
        <v>5</v>
      </c>
      <c r="I782" s="12">
        <f t="shared" si="35"/>
        <v>2025</v>
      </c>
    </row>
    <row r="783" spans="1:9" ht="19.5" customHeight="1" x14ac:dyDescent="0.35">
      <c r="A783" s="41">
        <v>45799</v>
      </c>
      <c r="B783" s="8" t="s">
        <v>32</v>
      </c>
      <c r="C783" s="42" t="s">
        <v>11</v>
      </c>
      <c r="D783" s="43" t="s">
        <v>30</v>
      </c>
      <c r="E783" s="46">
        <v>2606828.35</v>
      </c>
      <c r="F783" s="2">
        <f>IF(C783="GBP",E783*$C$3,IF(C783="TRY",E783/$C$1,IF(C783="EUR",E783*$E$1,IF(C783="RUB",E783/#REF!,IF(C783="EGP",E783/$E$2,E783)))))</f>
        <v>71484.780718953349</v>
      </c>
      <c r="G783" s="15" t="str">
        <f>VLOOKUP(B783,SPECIFICATIONF!$C$2:$D$65,2,0)</f>
        <v>GLOBAL HFT</v>
      </c>
      <c r="H783" s="12">
        <f t="shared" si="34"/>
        <v>5</v>
      </c>
      <c r="I783" s="12">
        <f t="shared" si="35"/>
        <v>2025</v>
      </c>
    </row>
    <row r="784" spans="1:9" ht="19.5" customHeight="1" x14ac:dyDescent="0.35">
      <c r="A784" s="41">
        <v>45799</v>
      </c>
      <c r="B784" s="8" t="s">
        <v>32</v>
      </c>
      <c r="C784" s="42" t="s">
        <v>33</v>
      </c>
      <c r="D784" s="43" t="s">
        <v>30</v>
      </c>
      <c r="E784" s="46">
        <v>18898.97</v>
      </c>
      <c r="F784" s="2">
        <f>IF(C784="GBP",E784*$C$3,IF(C784="TRY",E784/$C$1,IF(C784="EUR",E784*$E$1,IF(C784="RUB",E784/#REF!,IF(C784="EGP",E784/$E$2,E784)))))</f>
        <v>18898.97</v>
      </c>
      <c r="G784" s="15" t="str">
        <f>VLOOKUP(B784,SPECIFICATIONF!$C$2:$D$65,2,0)</f>
        <v>GLOBAL HFT</v>
      </c>
      <c r="H784" s="12">
        <f t="shared" si="34"/>
        <v>5</v>
      </c>
      <c r="I784" s="12">
        <f t="shared" si="35"/>
        <v>2025</v>
      </c>
    </row>
    <row r="785" spans="1:9" ht="19.5" customHeight="1" x14ac:dyDescent="0.35">
      <c r="A785" s="41">
        <v>45799</v>
      </c>
      <c r="B785" s="8" t="s">
        <v>32</v>
      </c>
      <c r="C785" s="42" t="s">
        <v>11</v>
      </c>
      <c r="D785" s="43" t="s">
        <v>29</v>
      </c>
      <c r="E785" s="47">
        <v>9817355770</v>
      </c>
      <c r="F785" s="2">
        <f>IF(C785="GBP",E785*$C$3,IF(C785="TRY",E785/$C$1,IF(C785="EUR",E785*$E$1,IF(C785="RUB",E785/#REF!,IF(C785="EGP",E785/$E$2,E785)))))</f>
        <v>269212786.66407067</v>
      </c>
      <c r="G785" s="15" t="str">
        <f>VLOOKUP(B785,SPECIFICATIONF!$C$2:$D$65,2,0)</f>
        <v>GLOBAL HFT</v>
      </c>
      <c r="H785" s="12">
        <f t="shared" si="34"/>
        <v>5</v>
      </c>
      <c r="I785" s="12">
        <f t="shared" si="35"/>
        <v>2025</v>
      </c>
    </row>
    <row r="786" spans="1:9" ht="19.5" customHeight="1" x14ac:dyDescent="0.35">
      <c r="A786" s="41">
        <v>45799</v>
      </c>
      <c r="B786" s="8" t="s">
        <v>32</v>
      </c>
      <c r="C786" s="42" t="s">
        <v>33</v>
      </c>
      <c r="D786" s="43" t="s">
        <v>29</v>
      </c>
      <c r="E786" s="46">
        <v>67252486</v>
      </c>
      <c r="F786" s="2">
        <f>IF(C786="GBP",E786*$C$3,IF(C786="TRY",E786/$C$1,IF(C786="EUR",E786*$E$1,IF(C786="RUB",E786/#REF!,IF(C786="EGP",E786/$E$2,E786)))))</f>
        <v>67252486</v>
      </c>
      <c r="G786" s="15" t="str">
        <f>VLOOKUP(B786,SPECIFICATIONF!$C$2:$D$65,2,0)</f>
        <v>GLOBAL HFT</v>
      </c>
      <c r="H786" s="12">
        <f t="shared" si="34"/>
        <v>5</v>
      </c>
      <c r="I786" s="12">
        <f t="shared" si="35"/>
        <v>2025</v>
      </c>
    </row>
    <row r="787" spans="1:9" ht="19.5" customHeight="1" x14ac:dyDescent="0.35">
      <c r="A787" s="41">
        <v>45799</v>
      </c>
      <c r="B787" s="8" t="s">
        <v>24</v>
      </c>
      <c r="C787" s="42" t="s">
        <v>11</v>
      </c>
      <c r="D787" s="43" t="s">
        <v>30</v>
      </c>
      <c r="E787" s="46">
        <v>0</v>
      </c>
      <c r="F787" s="2">
        <f>IF(C787="GBP",E787*$C$3,IF(C787="TRY",E787/$C$1,IF(C787="EUR",E787*$E$1,IF(C787="RUB",E787/#REF!,IF(C787="EGP",E787/$E$2,E787)))))</f>
        <v>0</v>
      </c>
      <c r="G787" s="15" t="str">
        <f>VLOOKUP(B787,SPECIFICATIONF!$C$2:$D$65,2,0)</f>
        <v>GLOBAL RETAIL</v>
      </c>
      <c r="H787" s="12">
        <f t="shared" si="34"/>
        <v>5</v>
      </c>
      <c r="I787" s="12">
        <f t="shared" si="35"/>
        <v>2025</v>
      </c>
    </row>
    <row r="788" spans="1:9" ht="19.5" customHeight="1" x14ac:dyDescent="0.35">
      <c r="A788" s="41">
        <v>45799</v>
      </c>
      <c r="B788" s="8" t="s">
        <v>24</v>
      </c>
      <c r="C788" s="42" t="s">
        <v>33</v>
      </c>
      <c r="D788" s="43" t="s">
        <v>30</v>
      </c>
      <c r="E788" s="46">
        <v>87.6</v>
      </c>
      <c r="F788" s="2">
        <f>IF(C788="GBP",E788*$C$3,IF(C788="TRY",E788/$C$1,IF(C788="EUR",E788*$E$1,IF(C788="RUB",E788/#REF!,IF(C788="EGP",E788/$E$2,E788)))))</f>
        <v>87.6</v>
      </c>
      <c r="G788" s="15" t="str">
        <f>VLOOKUP(B788,SPECIFICATIONF!$C$2:$D$65,2,0)</f>
        <v>GLOBAL RETAIL</v>
      </c>
      <c r="H788" s="12">
        <f t="shared" si="34"/>
        <v>5</v>
      </c>
      <c r="I788" s="12">
        <f t="shared" si="35"/>
        <v>2025</v>
      </c>
    </row>
    <row r="789" spans="1:9" ht="19.5" customHeight="1" x14ac:dyDescent="0.35">
      <c r="A789" s="41">
        <v>45799</v>
      </c>
      <c r="B789" s="8" t="s">
        <v>24</v>
      </c>
      <c r="C789" s="42" t="s">
        <v>11</v>
      </c>
      <c r="D789" s="43" t="s">
        <v>29</v>
      </c>
      <c r="E789" s="47">
        <v>0</v>
      </c>
      <c r="F789" s="2">
        <f>IF(C789="GBP",E789*$C$3,IF(C789="TRY",E789/$C$1,IF(C789="EUR",E789*$E$1,IF(C789="RUB",E789/#REF!,IF(C789="EGP",E789/$E$2,E789)))))</f>
        <v>0</v>
      </c>
      <c r="G789" s="15" t="str">
        <f>VLOOKUP(B789,SPECIFICATIONF!$C$2:$D$65,2,0)</f>
        <v>GLOBAL RETAIL</v>
      </c>
      <c r="H789" s="12">
        <f t="shared" si="34"/>
        <v>5</v>
      </c>
      <c r="I789" s="12">
        <f t="shared" si="35"/>
        <v>2025</v>
      </c>
    </row>
    <row r="790" spans="1:9" ht="19.5" customHeight="1" x14ac:dyDescent="0.35">
      <c r="A790" s="41">
        <v>45799</v>
      </c>
      <c r="B790" s="8" t="s">
        <v>24</v>
      </c>
      <c r="C790" s="42" t="s">
        <v>33</v>
      </c>
      <c r="D790" s="43" t="s">
        <v>29</v>
      </c>
      <c r="E790" s="46">
        <v>109500</v>
      </c>
      <c r="F790" s="2">
        <f>IF(C790="GBP",E790*$C$3,IF(C790="TRY",E790/$C$1,IF(C790="EUR",E790*$E$1,IF(C790="RUB",E790/#REF!,IF(C790="EGP",E790/$E$2,E790)))))</f>
        <v>109500</v>
      </c>
      <c r="G790" s="15" t="str">
        <f>VLOOKUP(B790,SPECIFICATIONF!$C$2:$D$65,2,0)</f>
        <v>GLOBAL RETAIL</v>
      </c>
      <c r="H790" s="12">
        <f t="shared" si="34"/>
        <v>5</v>
      </c>
      <c r="I790" s="12">
        <f t="shared" si="35"/>
        <v>2025</v>
      </c>
    </row>
    <row r="791" spans="1:9" ht="19.5" customHeight="1" x14ac:dyDescent="0.35">
      <c r="A791" s="41">
        <v>45800</v>
      </c>
      <c r="B791" s="8" t="s">
        <v>32</v>
      </c>
      <c r="C791" s="42" t="s">
        <v>11</v>
      </c>
      <c r="D791" s="43" t="s">
        <v>30</v>
      </c>
      <c r="E791" s="46">
        <v>2659534.17</v>
      </c>
      <c r="F791" s="2">
        <f>IF(C791="GBP",E791*$C$3,IF(C791="TRY",E791/$C$1,IF(C791="EUR",E791*$E$1,IF(C791="RUB",E791/#REF!,IF(C791="EGP",E791/$E$2,E791)))))</f>
        <v>72930.086461969608</v>
      </c>
      <c r="G791" s="15" t="str">
        <f>VLOOKUP(B791,SPECIFICATIONF!$C$2:$D$65,2,0)</f>
        <v>GLOBAL HFT</v>
      </c>
      <c r="H791" s="12">
        <f t="shared" si="34"/>
        <v>5</v>
      </c>
      <c r="I791" s="12">
        <f t="shared" si="35"/>
        <v>2025</v>
      </c>
    </row>
    <row r="792" spans="1:9" ht="19.5" customHeight="1" x14ac:dyDescent="0.35">
      <c r="A792" s="41">
        <v>45800</v>
      </c>
      <c r="B792" s="8" t="s">
        <v>32</v>
      </c>
      <c r="C792" s="42" t="s">
        <v>33</v>
      </c>
      <c r="D792" s="43" t="s">
        <v>30</v>
      </c>
      <c r="E792" s="46">
        <v>21957.38</v>
      </c>
      <c r="F792" s="2">
        <f>IF(C792="GBP",E792*$C$3,IF(C792="TRY",E792/$C$1,IF(C792="EUR",E792*$E$1,IF(C792="RUB",E792/#REF!,IF(C792="EGP",E792/$E$2,E792)))))</f>
        <v>21957.38</v>
      </c>
      <c r="G792" s="15" t="str">
        <f>VLOOKUP(B792,SPECIFICATIONF!$C$2:$D$65,2,0)</f>
        <v>GLOBAL HFT</v>
      </c>
      <c r="H792" s="12">
        <f t="shared" si="34"/>
        <v>5</v>
      </c>
      <c r="I792" s="12">
        <f t="shared" si="35"/>
        <v>2025</v>
      </c>
    </row>
    <row r="793" spans="1:9" ht="19.5" customHeight="1" x14ac:dyDescent="0.35">
      <c r="A793" s="41">
        <v>45800</v>
      </c>
      <c r="B793" s="8" t="s">
        <v>32</v>
      </c>
      <c r="C793" s="42" t="s">
        <v>11</v>
      </c>
      <c r="D793" s="43" t="s">
        <v>29</v>
      </c>
      <c r="E793" s="47">
        <v>9980275041</v>
      </c>
      <c r="F793" s="2">
        <f>IF(C793="GBP",E793*$C$3,IF(C793="TRY",E793/$C$1,IF(C793="EUR",E793*$E$1,IF(C793="RUB",E793/#REF!,IF(C793="EGP",E793/$E$2,E793)))))</f>
        <v>273680379.76905084</v>
      </c>
      <c r="G793" s="15" t="str">
        <f>VLOOKUP(B793,SPECIFICATIONF!$C$2:$D$65,2,0)</f>
        <v>GLOBAL HFT</v>
      </c>
      <c r="H793" s="12">
        <f t="shared" si="34"/>
        <v>5</v>
      </c>
      <c r="I793" s="12">
        <f t="shared" si="35"/>
        <v>2025</v>
      </c>
    </row>
    <row r="794" spans="1:9" ht="19.5" customHeight="1" x14ac:dyDescent="0.35">
      <c r="A794" s="41">
        <v>45800</v>
      </c>
      <c r="B794" s="8" t="s">
        <v>32</v>
      </c>
      <c r="C794" s="42" t="s">
        <v>33</v>
      </c>
      <c r="D794" s="43" t="s">
        <v>29</v>
      </c>
      <c r="E794" s="46">
        <v>78644987</v>
      </c>
      <c r="F794" s="2">
        <f>IF(C794="GBP",E794*$C$3,IF(C794="TRY",E794/$C$1,IF(C794="EUR",E794*$E$1,IF(C794="RUB",E794/#REF!,IF(C794="EGP",E794/$E$2,E794)))))</f>
        <v>78644987</v>
      </c>
      <c r="G794" s="15" t="str">
        <f>VLOOKUP(B794,SPECIFICATIONF!$C$2:$D$65,2,0)</f>
        <v>GLOBAL HFT</v>
      </c>
      <c r="H794" s="12">
        <f t="shared" si="34"/>
        <v>5</v>
      </c>
      <c r="I794" s="12">
        <f t="shared" si="35"/>
        <v>2025</v>
      </c>
    </row>
    <row r="795" spans="1:9" ht="19.5" customHeight="1" x14ac:dyDescent="0.35">
      <c r="A795" s="41">
        <v>45800</v>
      </c>
      <c r="B795" s="8" t="s">
        <v>24</v>
      </c>
      <c r="C795" s="42" t="s">
        <v>11</v>
      </c>
      <c r="D795" s="43" t="s">
        <v>30</v>
      </c>
      <c r="E795" s="46">
        <v>0</v>
      </c>
      <c r="F795" s="2">
        <f>IF(C795="GBP",E795*$C$3,IF(C795="TRY",E795/$C$1,IF(C795="EUR",E795*$E$1,IF(C795="RUB",E795/#REF!,IF(C795="EGP",E795/$E$2,E795)))))</f>
        <v>0</v>
      </c>
      <c r="G795" s="15" t="str">
        <f>VLOOKUP(B795,SPECIFICATIONF!$C$2:$D$65,2,0)</f>
        <v>GLOBAL RETAIL</v>
      </c>
      <c r="H795" s="12">
        <f t="shared" si="34"/>
        <v>5</v>
      </c>
      <c r="I795" s="12">
        <f t="shared" si="35"/>
        <v>2025</v>
      </c>
    </row>
    <row r="796" spans="1:9" ht="19.5" customHeight="1" x14ac:dyDescent="0.35">
      <c r="A796" s="41">
        <v>45800</v>
      </c>
      <c r="B796" s="8" t="s">
        <v>24</v>
      </c>
      <c r="C796" s="42" t="s">
        <v>33</v>
      </c>
      <c r="D796" s="43" t="s">
        <v>30</v>
      </c>
      <c r="E796" s="46">
        <v>0</v>
      </c>
      <c r="F796" s="2">
        <f>IF(C796="GBP",E796*$C$3,IF(C796="TRY",E796/$C$1,IF(C796="EUR",E796*$E$1,IF(C796="RUB",E796/#REF!,IF(C796="EGP",E796/$E$2,E796)))))</f>
        <v>0</v>
      </c>
      <c r="G796" s="15" t="str">
        <f>VLOOKUP(B796,SPECIFICATIONF!$C$2:$D$65,2,0)</f>
        <v>GLOBAL RETAIL</v>
      </c>
      <c r="H796" s="12">
        <f t="shared" si="34"/>
        <v>5</v>
      </c>
      <c r="I796" s="12">
        <f t="shared" si="35"/>
        <v>2025</v>
      </c>
    </row>
    <row r="797" spans="1:9" ht="19.5" customHeight="1" x14ac:dyDescent="0.35">
      <c r="A797" s="41">
        <v>45800</v>
      </c>
      <c r="B797" s="8" t="s">
        <v>24</v>
      </c>
      <c r="C797" s="42" t="s">
        <v>11</v>
      </c>
      <c r="D797" s="43" t="s">
        <v>29</v>
      </c>
      <c r="E797" s="47">
        <v>0</v>
      </c>
      <c r="F797" s="2">
        <f>IF(C797="GBP",E797*$C$3,IF(C797="TRY",E797/$C$1,IF(C797="EUR",E797*$E$1,IF(C797="RUB",E797/#REF!,IF(C797="EGP",E797/$E$2,E797)))))</f>
        <v>0</v>
      </c>
      <c r="G797" s="15" t="str">
        <f>VLOOKUP(B797,SPECIFICATIONF!$C$2:$D$65,2,0)</f>
        <v>GLOBAL RETAIL</v>
      </c>
      <c r="H797" s="12">
        <f t="shared" si="34"/>
        <v>5</v>
      </c>
      <c r="I797" s="12">
        <f t="shared" si="35"/>
        <v>2025</v>
      </c>
    </row>
    <row r="798" spans="1:9" ht="19.5" customHeight="1" x14ac:dyDescent="0.35">
      <c r="A798" s="41">
        <v>45800</v>
      </c>
      <c r="B798" s="8" t="s">
        <v>24</v>
      </c>
      <c r="C798" s="42" t="s">
        <v>33</v>
      </c>
      <c r="D798" s="43" t="s">
        <v>29</v>
      </c>
      <c r="E798" s="46">
        <v>0</v>
      </c>
      <c r="F798" s="2">
        <f>IF(C798="GBP",E798*$C$3,IF(C798="TRY",E798/$C$1,IF(C798="EUR",E798*$E$1,IF(C798="RUB",E798/#REF!,IF(C798="EGP",E798/$E$2,E798)))))</f>
        <v>0</v>
      </c>
      <c r="G798" s="15" t="str">
        <f>VLOOKUP(B798,SPECIFICATIONF!$C$2:$D$65,2,0)</f>
        <v>GLOBAL RETAIL</v>
      </c>
      <c r="H798" s="12">
        <f t="shared" si="34"/>
        <v>5</v>
      </c>
      <c r="I798" s="12">
        <f t="shared" si="35"/>
        <v>2025</v>
      </c>
    </row>
    <row r="799" spans="1:9" ht="19.5" customHeight="1" x14ac:dyDescent="0.35">
      <c r="A799" s="41">
        <v>45801</v>
      </c>
      <c r="B799" s="8" t="s">
        <v>32</v>
      </c>
      <c r="C799" s="42" t="s">
        <v>11</v>
      </c>
      <c r="D799" s="43" t="s">
        <v>30</v>
      </c>
      <c r="E799" s="46">
        <v>1049500.45</v>
      </c>
      <c r="F799" s="2">
        <f>IF(C799="GBP",E799*$C$3,IF(C799="TRY",E799/$C$1,IF(C799="EUR",E799*$E$1,IF(C799="RUB",E799/#REF!,IF(C799="EGP",E799/$E$2,E799)))))</f>
        <v>28779.535688528496</v>
      </c>
      <c r="G799" s="15" t="str">
        <f>VLOOKUP(B799,SPECIFICATIONF!$C$2:$D$65,2,0)</f>
        <v>GLOBAL HFT</v>
      </c>
      <c r="H799" s="12">
        <f t="shared" si="34"/>
        <v>5</v>
      </c>
      <c r="I799" s="12">
        <f t="shared" si="35"/>
        <v>2025</v>
      </c>
    </row>
    <row r="800" spans="1:9" ht="19.5" customHeight="1" x14ac:dyDescent="0.35">
      <c r="A800" s="41">
        <v>45801</v>
      </c>
      <c r="B800" s="8" t="s">
        <v>32</v>
      </c>
      <c r="C800" s="42" t="s">
        <v>33</v>
      </c>
      <c r="D800" s="43" t="s">
        <v>30</v>
      </c>
      <c r="E800" s="46">
        <v>6972.76</v>
      </c>
      <c r="F800" s="2">
        <f>IF(C800="GBP",E800*$C$3,IF(C800="TRY",E800/$C$1,IF(C800="EUR",E800*$E$1,IF(C800="RUB",E800/#REF!,IF(C800="EGP",E800/$E$2,E800)))))</f>
        <v>6972.76</v>
      </c>
      <c r="G800" s="15" t="str">
        <f>VLOOKUP(B800,SPECIFICATIONF!$C$2:$D$65,2,0)</f>
        <v>GLOBAL HFT</v>
      </c>
      <c r="H800" s="12">
        <f t="shared" si="34"/>
        <v>5</v>
      </c>
      <c r="I800" s="12">
        <f t="shared" si="35"/>
        <v>2025</v>
      </c>
    </row>
    <row r="801" spans="1:9" ht="19.5" customHeight="1" x14ac:dyDescent="0.35">
      <c r="A801" s="41">
        <v>45801</v>
      </c>
      <c r="B801" s="8" t="s">
        <v>32</v>
      </c>
      <c r="C801" s="42" t="s">
        <v>11</v>
      </c>
      <c r="D801" s="43" t="s">
        <v>29</v>
      </c>
      <c r="E801" s="47">
        <v>4164068086</v>
      </c>
      <c r="F801" s="2">
        <f>IF(C801="GBP",E801*$C$3,IF(C801="TRY",E801/$C$1,IF(C801="EUR",E801*$E$1,IF(C801="RUB",E801/#REF!,IF(C801="EGP",E801/$E$2,E801)))))</f>
        <v>114187608.10488415</v>
      </c>
      <c r="G801" s="15" t="str">
        <f>VLOOKUP(B801,SPECIFICATIONF!$C$2:$D$65,2,0)</f>
        <v>GLOBAL HFT</v>
      </c>
      <c r="H801" s="12">
        <f t="shared" si="34"/>
        <v>5</v>
      </c>
      <c r="I801" s="12">
        <f t="shared" si="35"/>
        <v>2025</v>
      </c>
    </row>
    <row r="802" spans="1:9" ht="19.5" customHeight="1" x14ac:dyDescent="0.35">
      <c r="A802" s="41">
        <v>45801</v>
      </c>
      <c r="B802" s="8" t="s">
        <v>32</v>
      </c>
      <c r="C802" s="42" t="s">
        <v>33</v>
      </c>
      <c r="D802" s="43" t="s">
        <v>29</v>
      </c>
      <c r="E802" s="46">
        <v>24566544</v>
      </c>
      <c r="F802" s="2">
        <f>IF(C802="GBP",E802*$C$3,IF(C802="TRY",E802/$C$1,IF(C802="EUR",E802*$E$1,IF(C802="RUB",E802/#REF!,IF(C802="EGP",E802/$E$2,E802)))))</f>
        <v>24566544</v>
      </c>
      <c r="G802" s="15" t="str">
        <f>VLOOKUP(B802,SPECIFICATIONF!$C$2:$D$65,2,0)</f>
        <v>GLOBAL HFT</v>
      </c>
      <c r="H802" s="12">
        <f t="shared" si="34"/>
        <v>5</v>
      </c>
      <c r="I802" s="12">
        <f t="shared" si="35"/>
        <v>2025</v>
      </c>
    </row>
    <row r="803" spans="1:9" ht="19.5" customHeight="1" x14ac:dyDescent="0.35">
      <c r="A803" s="41">
        <v>45801</v>
      </c>
      <c r="B803" s="8" t="s">
        <v>24</v>
      </c>
      <c r="C803" s="42" t="s">
        <v>11</v>
      </c>
      <c r="D803" s="43" t="s">
        <v>30</v>
      </c>
      <c r="E803" s="46">
        <v>0</v>
      </c>
      <c r="F803" s="2">
        <f>IF(C803="GBP",E803*$C$3,IF(C803="TRY",E803/$C$1,IF(C803="EUR",E803*$E$1,IF(C803="RUB",E803/#REF!,IF(C803="EGP",E803/$E$2,E803)))))</f>
        <v>0</v>
      </c>
      <c r="G803" s="15" t="str">
        <f>VLOOKUP(B803,SPECIFICATIONF!$C$2:$D$65,2,0)</f>
        <v>GLOBAL RETAIL</v>
      </c>
      <c r="H803" s="12">
        <f t="shared" si="34"/>
        <v>5</v>
      </c>
      <c r="I803" s="12">
        <f t="shared" si="35"/>
        <v>2025</v>
      </c>
    </row>
    <row r="804" spans="1:9" ht="19.5" customHeight="1" x14ac:dyDescent="0.35">
      <c r="A804" s="41">
        <v>45801</v>
      </c>
      <c r="B804" s="8" t="s">
        <v>24</v>
      </c>
      <c r="C804" s="42" t="s">
        <v>33</v>
      </c>
      <c r="D804" s="43" t="s">
        <v>30</v>
      </c>
      <c r="E804" s="46">
        <v>0</v>
      </c>
      <c r="F804" s="2">
        <f>IF(C804="GBP",E804*$C$3,IF(C804="TRY",E804/$C$1,IF(C804="EUR",E804*$E$1,IF(C804="RUB",E804/#REF!,IF(C804="EGP",E804/$E$2,E804)))))</f>
        <v>0</v>
      </c>
      <c r="G804" s="15" t="str">
        <f>VLOOKUP(B804,SPECIFICATIONF!$C$2:$D$65,2,0)</f>
        <v>GLOBAL RETAIL</v>
      </c>
      <c r="H804" s="12">
        <f t="shared" si="34"/>
        <v>5</v>
      </c>
      <c r="I804" s="12">
        <f t="shared" si="35"/>
        <v>2025</v>
      </c>
    </row>
    <row r="805" spans="1:9" ht="19.5" customHeight="1" x14ac:dyDescent="0.35">
      <c r="A805" s="41">
        <v>45801</v>
      </c>
      <c r="B805" s="8" t="s">
        <v>24</v>
      </c>
      <c r="C805" s="42" t="s">
        <v>11</v>
      </c>
      <c r="D805" s="43" t="s">
        <v>29</v>
      </c>
      <c r="E805" s="47">
        <v>0</v>
      </c>
      <c r="F805" s="2">
        <f>IF(C805="GBP",E805*$C$3,IF(C805="TRY",E805/$C$1,IF(C805="EUR",E805*$E$1,IF(C805="RUB",E805/#REF!,IF(C805="EGP",E805/$E$2,E805)))))</f>
        <v>0</v>
      </c>
      <c r="G805" s="15" t="str">
        <f>VLOOKUP(B805,SPECIFICATIONF!$C$2:$D$65,2,0)</f>
        <v>GLOBAL RETAIL</v>
      </c>
      <c r="H805" s="12">
        <f t="shared" si="34"/>
        <v>5</v>
      </c>
      <c r="I805" s="12">
        <f t="shared" si="35"/>
        <v>2025</v>
      </c>
    </row>
    <row r="806" spans="1:9" ht="19.5" customHeight="1" x14ac:dyDescent="0.35">
      <c r="A806" s="41">
        <v>45801</v>
      </c>
      <c r="B806" s="8" t="s">
        <v>24</v>
      </c>
      <c r="C806" s="42" t="s">
        <v>33</v>
      </c>
      <c r="D806" s="43" t="s">
        <v>29</v>
      </c>
      <c r="E806" s="46">
        <v>0</v>
      </c>
      <c r="F806" s="2">
        <f>IF(C806="GBP",E806*$C$3,IF(C806="TRY",E806/$C$1,IF(C806="EUR",E806*$E$1,IF(C806="RUB",E806/#REF!,IF(C806="EGP",E806/$E$2,E806)))))</f>
        <v>0</v>
      </c>
      <c r="G806" s="15" t="str">
        <f>VLOOKUP(B806,SPECIFICATIONF!$C$2:$D$65,2,0)</f>
        <v>GLOBAL RETAIL</v>
      </c>
      <c r="H806" s="12">
        <f t="shared" ref="H806:H869" si="36">MONTH(A806)</f>
        <v>5</v>
      </c>
      <c r="I806" s="12">
        <f t="shared" ref="I806:I869" si="37">YEAR(A806)</f>
        <v>2025</v>
      </c>
    </row>
    <row r="807" spans="1:9" ht="19.5" customHeight="1" x14ac:dyDescent="0.35">
      <c r="A807" s="41">
        <v>45802</v>
      </c>
      <c r="B807" s="8" t="s">
        <v>32</v>
      </c>
      <c r="C807" s="42" t="s">
        <v>11</v>
      </c>
      <c r="D807" s="43" t="s">
        <v>30</v>
      </c>
      <c r="E807" s="46">
        <v>1012940.31</v>
      </c>
      <c r="F807" s="2">
        <f>IF(C807="GBP",E807*$C$3,IF(C807="TRY",E807/$C$1,IF(C807="EUR",E807*$E$1,IF(C807="RUB",E807/#REF!,IF(C807="EGP",E807/$E$2,E807)))))</f>
        <v>27776.978849312665</v>
      </c>
      <c r="G807" s="15" t="str">
        <f>VLOOKUP(B807,SPECIFICATIONF!$C$2:$D$65,2,0)</f>
        <v>GLOBAL HFT</v>
      </c>
      <c r="H807" s="12">
        <f t="shared" si="36"/>
        <v>5</v>
      </c>
      <c r="I807" s="12">
        <f t="shared" si="37"/>
        <v>2025</v>
      </c>
    </row>
    <row r="808" spans="1:9" ht="19.5" customHeight="1" x14ac:dyDescent="0.35">
      <c r="A808" s="41">
        <v>45802</v>
      </c>
      <c r="B808" s="8" t="s">
        <v>32</v>
      </c>
      <c r="C808" s="42" t="s">
        <v>33</v>
      </c>
      <c r="D808" s="43" t="s">
        <v>30</v>
      </c>
      <c r="E808" s="46">
        <v>6463.35</v>
      </c>
      <c r="F808" s="2">
        <f>IF(C808="GBP",E808*$C$3,IF(C808="TRY",E808/$C$1,IF(C808="EUR",E808*$E$1,IF(C808="RUB",E808/#REF!,IF(C808="EGP",E808/$E$2,E808)))))</f>
        <v>6463.35</v>
      </c>
      <c r="G808" s="15" t="str">
        <f>VLOOKUP(B808,SPECIFICATIONF!$C$2:$D$65,2,0)</f>
        <v>GLOBAL HFT</v>
      </c>
      <c r="H808" s="12">
        <f t="shared" si="36"/>
        <v>5</v>
      </c>
      <c r="I808" s="12">
        <f t="shared" si="37"/>
        <v>2025</v>
      </c>
    </row>
    <row r="809" spans="1:9" ht="19.5" customHeight="1" x14ac:dyDescent="0.35">
      <c r="A809" s="41">
        <v>45802</v>
      </c>
      <c r="B809" s="8" t="s">
        <v>32</v>
      </c>
      <c r="C809" s="42" t="s">
        <v>11</v>
      </c>
      <c r="D809" s="43" t="s">
        <v>29</v>
      </c>
      <c r="E809" s="47">
        <v>3987508286</v>
      </c>
      <c r="F809" s="2">
        <f>IF(C809="GBP",E809*$C$3,IF(C809="TRY",E809/$C$1,IF(C809="EUR",E809*$E$1,IF(C809="RUB",E809/#REF!,IF(C809="EGP",E809/$E$2,E809)))))</f>
        <v>109345962.66751492</v>
      </c>
      <c r="G809" s="15" t="str">
        <f>VLOOKUP(B809,SPECIFICATIONF!$C$2:$D$65,2,0)</f>
        <v>GLOBAL HFT</v>
      </c>
      <c r="H809" s="12">
        <f t="shared" si="36"/>
        <v>5</v>
      </c>
      <c r="I809" s="12">
        <f t="shared" si="37"/>
        <v>2025</v>
      </c>
    </row>
    <row r="810" spans="1:9" ht="19.5" customHeight="1" x14ac:dyDescent="0.35">
      <c r="A810" s="41">
        <v>45802</v>
      </c>
      <c r="B810" s="8" t="s">
        <v>32</v>
      </c>
      <c r="C810" s="42" t="s">
        <v>33</v>
      </c>
      <c r="D810" s="43" t="s">
        <v>29</v>
      </c>
      <c r="E810" s="46">
        <v>22567295</v>
      </c>
      <c r="F810" s="2">
        <f>IF(C810="GBP",E810*$C$3,IF(C810="TRY",E810/$C$1,IF(C810="EUR",E810*$E$1,IF(C810="RUB",E810/#REF!,IF(C810="EGP",E810/$E$2,E810)))))</f>
        <v>22567295</v>
      </c>
      <c r="G810" s="15" t="str">
        <f>VLOOKUP(B810,SPECIFICATIONF!$C$2:$D$65,2,0)</f>
        <v>GLOBAL HFT</v>
      </c>
      <c r="H810" s="12">
        <f t="shared" si="36"/>
        <v>5</v>
      </c>
      <c r="I810" s="12">
        <f t="shared" si="37"/>
        <v>2025</v>
      </c>
    </row>
    <row r="811" spans="1:9" ht="19.5" customHeight="1" x14ac:dyDescent="0.35">
      <c r="A811" s="41">
        <v>45802</v>
      </c>
      <c r="B811" s="8" t="s">
        <v>24</v>
      </c>
      <c r="C811" s="42" t="s">
        <v>11</v>
      </c>
      <c r="D811" s="43" t="s">
        <v>30</v>
      </c>
      <c r="E811" s="46">
        <v>0</v>
      </c>
      <c r="F811" s="2">
        <f>IF(C811="GBP",E811*$C$3,IF(C811="TRY",E811/$C$1,IF(C811="EUR",E811*$E$1,IF(C811="RUB",E811/#REF!,IF(C811="EGP",E811/$E$2,E811)))))</f>
        <v>0</v>
      </c>
      <c r="G811" s="15" t="str">
        <f>VLOOKUP(B811,SPECIFICATIONF!$C$2:$D$65,2,0)</f>
        <v>GLOBAL RETAIL</v>
      </c>
      <c r="H811" s="12">
        <f t="shared" si="36"/>
        <v>5</v>
      </c>
      <c r="I811" s="12">
        <f t="shared" si="37"/>
        <v>2025</v>
      </c>
    </row>
    <row r="812" spans="1:9" ht="19.5" customHeight="1" x14ac:dyDescent="0.35">
      <c r="A812" s="41">
        <v>45802</v>
      </c>
      <c r="B812" s="8" t="s">
        <v>24</v>
      </c>
      <c r="C812" s="42" t="s">
        <v>33</v>
      </c>
      <c r="D812" s="43" t="s">
        <v>30</v>
      </c>
      <c r="E812" s="46">
        <v>0</v>
      </c>
      <c r="F812" s="2">
        <f>IF(C812="GBP",E812*$C$3,IF(C812="TRY",E812/$C$1,IF(C812="EUR",E812*$E$1,IF(C812="RUB",E812/#REF!,IF(C812="EGP",E812/$E$2,E812)))))</f>
        <v>0</v>
      </c>
      <c r="G812" s="15" t="str">
        <f>VLOOKUP(B812,SPECIFICATIONF!$C$2:$D$65,2,0)</f>
        <v>GLOBAL RETAIL</v>
      </c>
      <c r="H812" s="12">
        <f t="shared" si="36"/>
        <v>5</v>
      </c>
      <c r="I812" s="12">
        <f t="shared" si="37"/>
        <v>2025</v>
      </c>
    </row>
    <row r="813" spans="1:9" ht="19.5" customHeight="1" x14ac:dyDescent="0.35">
      <c r="A813" s="41">
        <v>45802</v>
      </c>
      <c r="B813" s="8" t="s">
        <v>24</v>
      </c>
      <c r="C813" s="42" t="s">
        <v>11</v>
      </c>
      <c r="D813" s="43" t="s">
        <v>29</v>
      </c>
      <c r="E813" s="47">
        <v>0</v>
      </c>
      <c r="F813" s="2">
        <f>IF(C813="GBP",E813*$C$3,IF(C813="TRY",E813/$C$1,IF(C813="EUR",E813*$E$1,IF(C813="RUB",E813/#REF!,IF(C813="EGP",E813/$E$2,E813)))))</f>
        <v>0</v>
      </c>
      <c r="G813" s="15" t="str">
        <f>VLOOKUP(B813,SPECIFICATIONF!$C$2:$D$65,2,0)</f>
        <v>GLOBAL RETAIL</v>
      </c>
      <c r="H813" s="12">
        <f t="shared" si="36"/>
        <v>5</v>
      </c>
      <c r="I813" s="12">
        <f t="shared" si="37"/>
        <v>2025</v>
      </c>
    </row>
    <row r="814" spans="1:9" ht="19.5" customHeight="1" x14ac:dyDescent="0.35">
      <c r="A814" s="41">
        <v>45802</v>
      </c>
      <c r="B814" s="8" t="s">
        <v>24</v>
      </c>
      <c r="C814" s="42" t="s">
        <v>33</v>
      </c>
      <c r="D814" s="43" t="s">
        <v>29</v>
      </c>
      <c r="E814" s="46">
        <v>0</v>
      </c>
      <c r="F814" s="2">
        <f>IF(C814="GBP",E814*$C$3,IF(C814="TRY",E814/$C$1,IF(C814="EUR",E814*$E$1,IF(C814="RUB",E814/#REF!,IF(C814="EGP",E814/$E$2,E814)))))</f>
        <v>0</v>
      </c>
      <c r="G814" s="15" t="str">
        <f>VLOOKUP(B814,SPECIFICATIONF!$C$2:$D$65,2,0)</f>
        <v>GLOBAL RETAIL</v>
      </c>
      <c r="H814" s="12">
        <f t="shared" si="36"/>
        <v>5</v>
      </c>
      <c r="I814" s="12">
        <f t="shared" si="37"/>
        <v>2025</v>
      </c>
    </row>
    <row r="815" spans="1:9" ht="19.5" customHeight="1" x14ac:dyDescent="0.35">
      <c r="A815" s="41">
        <v>45803</v>
      </c>
      <c r="B815" s="8" t="s">
        <v>32</v>
      </c>
      <c r="C815" s="42" t="s">
        <v>11</v>
      </c>
      <c r="D815" s="43" t="s">
        <v>30</v>
      </c>
      <c r="E815" s="46">
        <v>1163227.06</v>
      </c>
      <c r="F815" s="2">
        <f>IF(C815="GBP",E815*$C$3,IF(C815="TRY",E815/$C$1,IF(C815="EUR",E815*$E$1,IF(C815="RUB",E815/#REF!,IF(C815="EGP",E815/$E$2,E815)))))</f>
        <v>31898.161346316796</v>
      </c>
      <c r="G815" s="15" t="str">
        <f>VLOOKUP(B815,SPECIFICATIONF!$C$2:$D$65,2,0)</f>
        <v>GLOBAL HFT</v>
      </c>
      <c r="H815" s="12">
        <f t="shared" si="36"/>
        <v>5</v>
      </c>
      <c r="I815" s="12">
        <f t="shared" si="37"/>
        <v>2025</v>
      </c>
    </row>
    <row r="816" spans="1:9" ht="19.5" customHeight="1" x14ac:dyDescent="0.35">
      <c r="A816" s="41">
        <v>45803</v>
      </c>
      <c r="B816" s="8" t="s">
        <v>32</v>
      </c>
      <c r="C816" s="42" t="s">
        <v>33</v>
      </c>
      <c r="D816" s="43" t="s">
        <v>30</v>
      </c>
      <c r="E816" s="46">
        <v>8419.31</v>
      </c>
      <c r="F816" s="2">
        <f>IF(C816="GBP",E816*$C$3,IF(C816="TRY",E816/$C$1,IF(C816="EUR",E816*$E$1,IF(C816="RUB",E816/#REF!,IF(C816="EGP",E816/$E$2,E816)))))</f>
        <v>8419.31</v>
      </c>
      <c r="G816" s="15" t="str">
        <f>VLOOKUP(B816,SPECIFICATIONF!$C$2:$D$65,2,0)</f>
        <v>GLOBAL HFT</v>
      </c>
      <c r="H816" s="12">
        <f t="shared" si="36"/>
        <v>5</v>
      </c>
      <c r="I816" s="12">
        <f t="shared" si="37"/>
        <v>2025</v>
      </c>
    </row>
    <row r="817" spans="1:9" ht="19.5" customHeight="1" x14ac:dyDescent="0.35">
      <c r="A817" s="41">
        <v>45803</v>
      </c>
      <c r="B817" s="8" t="s">
        <v>32</v>
      </c>
      <c r="C817" s="42" t="s">
        <v>11</v>
      </c>
      <c r="D817" s="43" t="s">
        <v>29</v>
      </c>
      <c r="E817" s="47">
        <v>4529948994</v>
      </c>
      <c r="F817" s="2">
        <f>IF(C817="GBP",E817*$C$3,IF(C817="TRY",E817/$C$1,IF(C817="EUR",E817*$E$1,IF(C817="RUB",E817/#REF!,IF(C817="EGP",E817/$E$2,E817)))))</f>
        <v>124220841.20119889</v>
      </c>
      <c r="G817" s="15" t="str">
        <f>VLOOKUP(B817,SPECIFICATIONF!$C$2:$D$65,2,0)</f>
        <v>GLOBAL HFT</v>
      </c>
      <c r="H817" s="12">
        <f t="shared" si="36"/>
        <v>5</v>
      </c>
      <c r="I817" s="12">
        <f t="shared" si="37"/>
        <v>2025</v>
      </c>
    </row>
    <row r="818" spans="1:9" ht="19.5" customHeight="1" x14ac:dyDescent="0.35">
      <c r="A818" s="41">
        <v>45803</v>
      </c>
      <c r="B818" s="8" t="s">
        <v>32</v>
      </c>
      <c r="C818" s="42" t="s">
        <v>33</v>
      </c>
      <c r="D818" s="43" t="s">
        <v>29</v>
      </c>
      <c r="E818" s="46">
        <v>29911562</v>
      </c>
      <c r="F818" s="2">
        <f>IF(C818="GBP",E818*$C$3,IF(C818="TRY",E818/$C$1,IF(C818="EUR",E818*$E$1,IF(C818="RUB",E818/#REF!,IF(C818="EGP",E818/$E$2,E818)))))</f>
        <v>29911562</v>
      </c>
      <c r="G818" s="15" t="str">
        <f>VLOOKUP(B818,SPECIFICATIONF!$C$2:$D$65,2,0)</f>
        <v>GLOBAL HFT</v>
      </c>
      <c r="H818" s="12">
        <f t="shared" si="36"/>
        <v>5</v>
      </c>
      <c r="I818" s="12">
        <f t="shared" si="37"/>
        <v>2025</v>
      </c>
    </row>
    <row r="819" spans="1:9" ht="19.5" customHeight="1" x14ac:dyDescent="0.35">
      <c r="A819" s="41">
        <v>45803</v>
      </c>
      <c r="B819" s="8" t="s">
        <v>24</v>
      </c>
      <c r="C819" s="42" t="s">
        <v>11</v>
      </c>
      <c r="D819" s="43" t="s">
        <v>30</v>
      </c>
      <c r="E819" s="46">
        <v>0</v>
      </c>
      <c r="F819" s="2">
        <f>IF(C819="GBP",E819*$C$3,IF(C819="TRY",E819/$C$1,IF(C819="EUR",E819*$E$1,IF(C819="RUB",E819/#REF!,IF(C819="EGP",E819/$E$2,E819)))))</f>
        <v>0</v>
      </c>
      <c r="G819" s="15" t="str">
        <f>VLOOKUP(B819,SPECIFICATIONF!$C$2:$D$65,2,0)</f>
        <v>GLOBAL RETAIL</v>
      </c>
      <c r="H819" s="12">
        <f t="shared" si="36"/>
        <v>5</v>
      </c>
      <c r="I819" s="12">
        <f t="shared" si="37"/>
        <v>2025</v>
      </c>
    </row>
    <row r="820" spans="1:9" ht="19.5" customHeight="1" x14ac:dyDescent="0.35">
      <c r="A820" s="41">
        <v>45803</v>
      </c>
      <c r="B820" s="8" t="s">
        <v>24</v>
      </c>
      <c r="C820" s="42" t="s">
        <v>33</v>
      </c>
      <c r="D820" s="43" t="s">
        <v>30</v>
      </c>
      <c r="E820" s="46">
        <v>0</v>
      </c>
      <c r="F820" s="2">
        <f>IF(C820="GBP",E820*$C$3,IF(C820="TRY",E820/$C$1,IF(C820="EUR",E820*$E$1,IF(C820="RUB",E820/#REF!,IF(C820="EGP",E820/$E$2,E820)))))</f>
        <v>0</v>
      </c>
      <c r="G820" s="15" t="str">
        <f>VLOOKUP(B820,SPECIFICATIONF!$C$2:$D$65,2,0)</f>
        <v>GLOBAL RETAIL</v>
      </c>
      <c r="H820" s="12">
        <f t="shared" si="36"/>
        <v>5</v>
      </c>
      <c r="I820" s="12">
        <f t="shared" si="37"/>
        <v>2025</v>
      </c>
    </row>
    <row r="821" spans="1:9" ht="19.5" customHeight="1" x14ac:dyDescent="0.35">
      <c r="A821" s="41">
        <v>45803</v>
      </c>
      <c r="B821" s="8" t="s">
        <v>24</v>
      </c>
      <c r="C821" s="42" t="s">
        <v>11</v>
      </c>
      <c r="D821" s="43" t="s">
        <v>29</v>
      </c>
      <c r="E821" s="47">
        <v>0</v>
      </c>
      <c r="F821" s="2">
        <f>IF(C821="GBP",E821*$C$3,IF(C821="TRY",E821/$C$1,IF(C821="EUR",E821*$E$1,IF(C821="RUB",E821/#REF!,IF(C821="EGP",E821/$E$2,E821)))))</f>
        <v>0</v>
      </c>
      <c r="G821" s="15" t="str">
        <f>VLOOKUP(B821,SPECIFICATIONF!$C$2:$D$65,2,0)</f>
        <v>GLOBAL RETAIL</v>
      </c>
      <c r="H821" s="12">
        <f t="shared" si="36"/>
        <v>5</v>
      </c>
      <c r="I821" s="12">
        <f t="shared" si="37"/>
        <v>2025</v>
      </c>
    </row>
    <row r="822" spans="1:9" ht="19.5" customHeight="1" x14ac:dyDescent="0.35">
      <c r="A822" s="41">
        <v>45803</v>
      </c>
      <c r="B822" s="8" t="s">
        <v>24</v>
      </c>
      <c r="C822" s="42" t="s">
        <v>33</v>
      </c>
      <c r="D822" s="43" t="s">
        <v>29</v>
      </c>
      <c r="E822" s="46">
        <v>0</v>
      </c>
      <c r="F822" s="2">
        <f>IF(C822="GBP",E822*$C$3,IF(C822="TRY",E822/$C$1,IF(C822="EUR",E822*$E$1,IF(C822="RUB",E822/#REF!,IF(C822="EGP",E822/$E$2,E822)))))</f>
        <v>0</v>
      </c>
      <c r="G822" s="15" t="str">
        <f>VLOOKUP(B822,SPECIFICATIONF!$C$2:$D$65,2,0)</f>
        <v>GLOBAL RETAIL</v>
      </c>
      <c r="H822" s="12">
        <f t="shared" si="36"/>
        <v>5</v>
      </c>
      <c r="I822" s="12">
        <f t="shared" si="37"/>
        <v>2025</v>
      </c>
    </row>
    <row r="823" spans="1:9" ht="19.5" customHeight="1" x14ac:dyDescent="0.35">
      <c r="A823" s="41">
        <v>45804</v>
      </c>
      <c r="B823" s="8" t="s">
        <v>32</v>
      </c>
      <c r="C823" s="42" t="s">
        <v>11</v>
      </c>
      <c r="D823" s="43" t="s">
        <v>30</v>
      </c>
      <c r="E823" s="46">
        <v>1475807.57</v>
      </c>
      <c r="F823" s="2">
        <f>IF(C823="GBP",E823*$C$3,IF(C823="TRY",E823/$C$1,IF(C823="EUR",E823*$E$1,IF(C823="RUB",E823/#REF!,IF(C823="EGP",E823/$E$2,E823)))))</f>
        <v>40469.784105586157</v>
      </c>
      <c r="G823" s="15" t="str">
        <f>VLOOKUP(B823,SPECIFICATIONF!$C$2:$D$65,2,0)</f>
        <v>GLOBAL HFT</v>
      </c>
      <c r="H823" s="12">
        <f t="shared" si="36"/>
        <v>5</v>
      </c>
      <c r="I823" s="12">
        <f t="shared" si="37"/>
        <v>2025</v>
      </c>
    </row>
    <row r="824" spans="1:9" ht="19.5" customHeight="1" x14ac:dyDescent="0.35">
      <c r="A824" s="41">
        <v>45804</v>
      </c>
      <c r="B824" s="8" t="s">
        <v>32</v>
      </c>
      <c r="C824" s="42" t="s">
        <v>33</v>
      </c>
      <c r="D824" s="43" t="s">
        <v>30</v>
      </c>
      <c r="E824" s="46">
        <v>10196.030000000001</v>
      </c>
      <c r="F824" s="2">
        <f>IF(C824="GBP",E824*$C$3,IF(C824="TRY",E824/$C$1,IF(C824="EUR",E824*$E$1,IF(C824="RUB",E824/#REF!,IF(C824="EGP",E824/$E$2,E824)))))</f>
        <v>10196.030000000001</v>
      </c>
      <c r="G824" s="15" t="str">
        <f>VLOOKUP(B824,SPECIFICATIONF!$C$2:$D$65,2,0)</f>
        <v>GLOBAL HFT</v>
      </c>
      <c r="H824" s="12">
        <f t="shared" si="36"/>
        <v>5</v>
      </c>
      <c r="I824" s="12">
        <f t="shared" si="37"/>
        <v>2025</v>
      </c>
    </row>
    <row r="825" spans="1:9" ht="19.5" customHeight="1" x14ac:dyDescent="0.35">
      <c r="A825" s="41">
        <v>45804</v>
      </c>
      <c r="B825" s="8" t="s">
        <v>32</v>
      </c>
      <c r="C825" s="42" t="s">
        <v>11</v>
      </c>
      <c r="D825" s="43" t="s">
        <v>29</v>
      </c>
      <c r="E825" s="47">
        <v>5599863678</v>
      </c>
      <c r="F825" s="2">
        <f>IF(C825="GBP",E825*$C$3,IF(C825="TRY",E825/$C$1,IF(C825="EUR",E825*$E$1,IF(C825="RUB",E825/#REF!,IF(C825="EGP",E825/$E$2,E825)))))</f>
        <v>153560178.62774187</v>
      </c>
      <c r="G825" s="15" t="str">
        <f>VLOOKUP(B825,SPECIFICATIONF!$C$2:$D$65,2,0)</f>
        <v>GLOBAL HFT</v>
      </c>
      <c r="H825" s="12">
        <f t="shared" si="36"/>
        <v>5</v>
      </c>
      <c r="I825" s="12">
        <f t="shared" si="37"/>
        <v>2025</v>
      </c>
    </row>
    <row r="826" spans="1:9" ht="19.5" customHeight="1" x14ac:dyDescent="0.35">
      <c r="A826" s="41">
        <v>45804</v>
      </c>
      <c r="B826" s="8" t="s">
        <v>32</v>
      </c>
      <c r="C826" s="42" t="s">
        <v>33</v>
      </c>
      <c r="D826" s="43" t="s">
        <v>29</v>
      </c>
      <c r="E826" s="46">
        <v>35013957</v>
      </c>
      <c r="F826" s="2">
        <f>IF(C826="GBP",E826*$C$3,IF(C826="TRY",E826/$C$1,IF(C826="EUR",E826*$E$1,IF(C826="RUB",E826/#REF!,IF(C826="EGP",E826/$E$2,E826)))))</f>
        <v>35013957</v>
      </c>
      <c r="G826" s="15" t="str">
        <f>VLOOKUP(B826,SPECIFICATIONF!$C$2:$D$65,2,0)</f>
        <v>GLOBAL HFT</v>
      </c>
      <c r="H826" s="12">
        <f t="shared" si="36"/>
        <v>5</v>
      </c>
      <c r="I826" s="12">
        <f t="shared" si="37"/>
        <v>2025</v>
      </c>
    </row>
    <row r="827" spans="1:9" ht="19.5" customHeight="1" x14ac:dyDescent="0.35">
      <c r="A827" s="41">
        <v>45804</v>
      </c>
      <c r="B827" s="8" t="s">
        <v>24</v>
      </c>
      <c r="C827" s="42" t="s">
        <v>11</v>
      </c>
      <c r="D827" s="43" t="s">
        <v>30</v>
      </c>
      <c r="E827" s="46">
        <v>0</v>
      </c>
      <c r="F827" s="2">
        <f>IF(C827="GBP",E827*$C$3,IF(C827="TRY",E827/$C$1,IF(C827="EUR",E827*$E$1,IF(C827="RUB",E827/#REF!,IF(C827="EGP",E827/$E$2,E827)))))</f>
        <v>0</v>
      </c>
      <c r="G827" s="15" t="str">
        <f>VLOOKUP(B827,SPECIFICATIONF!$C$2:$D$65,2,0)</f>
        <v>GLOBAL RETAIL</v>
      </c>
      <c r="H827" s="12">
        <f t="shared" si="36"/>
        <v>5</v>
      </c>
      <c r="I827" s="12">
        <f t="shared" si="37"/>
        <v>2025</v>
      </c>
    </row>
    <row r="828" spans="1:9" ht="19.5" customHeight="1" x14ac:dyDescent="0.35">
      <c r="A828" s="41">
        <v>45804</v>
      </c>
      <c r="B828" s="8" t="s">
        <v>24</v>
      </c>
      <c r="C828" s="42" t="s">
        <v>33</v>
      </c>
      <c r="D828" s="43" t="s">
        <v>30</v>
      </c>
      <c r="E828" s="46">
        <v>0</v>
      </c>
      <c r="F828" s="2">
        <f>IF(C828="GBP",E828*$C$3,IF(C828="TRY",E828/$C$1,IF(C828="EUR",E828*$E$1,IF(C828="RUB",E828/#REF!,IF(C828="EGP",E828/$E$2,E828)))))</f>
        <v>0</v>
      </c>
      <c r="G828" s="15" t="str">
        <f>VLOOKUP(B828,SPECIFICATIONF!$C$2:$D$65,2,0)</f>
        <v>GLOBAL RETAIL</v>
      </c>
      <c r="H828" s="12">
        <f t="shared" si="36"/>
        <v>5</v>
      </c>
      <c r="I828" s="12">
        <f t="shared" si="37"/>
        <v>2025</v>
      </c>
    </row>
    <row r="829" spans="1:9" ht="19.5" customHeight="1" x14ac:dyDescent="0.35">
      <c r="A829" s="41">
        <v>45804</v>
      </c>
      <c r="B829" s="8" t="s">
        <v>24</v>
      </c>
      <c r="C829" s="42" t="s">
        <v>11</v>
      </c>
      <c r="D829" s="43" t="s">
        <v>29</v>
      </c>
      <c r="E829" s="47">
        <v>0</v>
      </c>
      <c r="F829" s="2">
        <f>IF(C829="GBP",E829*$C$3,IF(C829="TRY",E829/$C$1,IF(C829="EUR",E829*$E$1,IF(C829="RUB",E829/#REF!,IF(C829="EGP",E829/$E$2,E829)))))</f>
        <v>0</v>
      </c>
      <c r="G829" s="15" t="str">
        <f>VLOOKUP(B829,SPECIFICATIONF!$C$2:$D$65,2,0)</f>
        <v>GLOBAL RETAIL</v>
      </c>
      <c r="H829" s="12">
        <f t="shared" si="36"/>
        <v>5</v>
      </c>
      <c r="I829" s="12">
        <f t="shared" si="37"/>
        <v>2025</v>
      </c>
    </row>
    <row r="830" spans="1:9" ht="19.5" customHeight="1" x14ac:dyDescent="0.35">
      <c r="A830" s="41">
        <v>45804</v>
      </c>
      <c r="B830" s="8" t="s">
        <v>24</v>
      </c>
      <c r="C830" s="42" t="s">
        <v>33</v>
      </c>
      <c r="D830" s="43" t="s">
        <v>29</v>
      </c>
      <c r="E830" s="46">
        <v>0</v>
      </c>
      <c r="F830" s="2">
        <f>IF(C830="GBP",E830*$C$3,IF(C830="TRY",E830/$C$1,IF(C830="EUR",E830*$E$1,IF(C830="RUB",E830/#REF!,IF(C830="EGP",E830/$E$2,E830)))))</f>
        <v>0</v>
      </c>
      <c r="G830" s="15" t="str">
        <f>VLOOKUP(B830,SPECIFICATIONF!$C$2:$D$65,2,0)</f>
        <v>GLOBAL RETAIL</v>
      </c>
      <c r="H830" s="12">
        <f t="shared" si="36"/>
        <v>5</v>
      </c>
      <c r="I830" s="12">
        <f t="shared" si="37"/>
        <v>2025</v>
      </c>
    </row>
    <row r="831" spans="1:9" ht="19.5" customHeight="1" x14ac:dyDescent="0.35">
      <c r="A831" s="41">
        <v>45805</v>
      </c>
      <c r="B831" s="8" t="s">
        <v>32</v>
      </c>
      <c r="C831" s="42" t="s">
        <v>11</v>
      </c>
      <c r="D831" s="43" t="s">
        <v>30</v>
      </c>
      <c r="E831" s="46">
        <v>1206180.5900000001</v>
      </c>
      <c r="F831" s="2">
        <f>IF(C831="GBP",E831*$C$3,IF(C831="TRY",E831/$C$1,IF(C831="EUR",E831*$E$1,IF(C831="RUB",E831/#REF!,IF(C831="EGP",E831/$E$2,E831)))))</f>
        <v>33076.038544543131</v>
      </c>
      <c r="G831" s="15" t="str">
        <f>VLOOKUP(B831,SPECIFICATIONF!$C$2:$D$65,2,0)</f>
        <v>GLOBAL HFT</v>
      </c>
      <c r="H831" s="12">
        <f t="shared" si="36"/>
        <v>5</v>
      </c>
      <c r="I831" s="12">
        <f t="shared" si="37"/>
        <v>2025</v>
      </c>
    </row>
    <row r="832" spans="1:9" ht="19.5" customHeight="1" x14ac:dyDescent="0.35">
      <c r="A832" s="41">
        <v>45805</v>
      </c>
      <c r="B832" s="8" t="s">
        <v>32</v>
      </c>
      <c r="C832" s="42" t="s">
        <v>33</v>
      </c>
      <c r="D832" s="43" t="s">
        <v>30</v>
      </c>
      <c r="E832" s="46">
        <v>7803.49</v>
      </c>
      <c r="F832" s="2">
        <f>IF(C832="GBP",E832*$C$3,IF(C832="TRY",E832/$C$1,IF(C832="EUR",E832*$E$1,IF(C832="RUB",E832/#REF!,IF(C832="EGP",E832/$E$2,E832)))))</f>
        <v>7803.49</v>
      </c>
      <c r="G832" s="15" t="str">
        <f>VLOOKUP(B832,SPECIFICATIONF!$C$2:$D$65,2,0)</f>
        <v>GLOBAL HFT</v>
      </c>
      <c r="H832" s="12">
        <f t="shared" si="36"/>
        <v>5</v>
      </c>
      <c r="I832" s="12">
        <f t="shared" si="37"/>
        <v>2025</v>
      </c>
    </row>
    <row r="833" spans="1:9" ht="19.5" customHeight="1" x14ac:dyDescent="0.35">
      <c r="A833" s="41">
        <v>45805</v>
      </c>
      <c r="B833" s="8" t="s">
        <v>32</v>
      </c>
      <c r="C833" s="42" t="s">
        <v>11</v>
      </c>
      <c r="D833" s="43" t="s">
        <v>29</v>
      </c>
      <c r="E833" s="47">
        <v>4720753473</v>
      </c>
      <c r="F833" s="2">
        <f>IF(C833="GBP",E833*$C$3,IF(C833="TRY",E833/$C$1,IF(C833="EUR",E833*$E$1,IF(C833="RUB",E833/#REF!,IF(C833="EGP",E833/$E$2,E833)))))</f>
        <v>129453106.04959565</v>
      </c>
      <c r="G833" s="15" t="str">
        <f>VLOOKUP(B833,SPECIFICATIONF!$C$2:$D$65,2,0)</f>
        <v>GLOBAL HFT</v>
      </c>
      <c r="H833" s="12">
        <f t="shared" si="36"/>
        <v>5</v>
      </c>
      <c r="I833" s="12">
        <f t="shared" si="37"/>
        <v>2025</v>
      </c>
    </row>
    <row r="834" spans="1:9" ht="19.5" customHeight="1" x14ac:dyDescent="0.35">
      <c r="A834" s="41">
        <v>45805</v>
      </c>
      <c r="B834" s="8" t="s">
        <v>32</v>
      </c>
      <c r="C834" s="42" t="s">
        <v>33</v>
      </c>
      <c r="D834" s="43" t="s">
        <v>29</v>
      </c>
      <c r="E834" s="46">
        <v>28299726</v>
      </c>
      <c r="F834" s="2">
        <f>IF(C834="GBP",E834*$C$3,IF(C834="TRY",E834/$C$1,IF(C834="EUR",E834*$E$1,IF(C834="RUB",E834/#REF!,IF(C834="EGP",E834/$E$2,E834)))))</f>
        <v>28299726</v>
      </c>
      <c r="G834" s="15" t="str">
        <f>VLOOKUP(B834,SPECIFICATIONF!$C$2:$D$65,2,0)</f>
        <v>GLOBAL HFT</v>
      </c>
      <c r="H834" s="12">
        <f t="shared" si="36"/>
        <v>5</v>
      </c>
      <c r="I834" s="12">
        <f t="shared" si="37"/>
        <v>2025</v>
      </c>
    </row>
    <row r="835" spans="1:9" ht="19.5" customHeight="1" x14ac:dyDescent="0.35">
      <c r="A835" s="41">
        <v>45805</v>
      </c>
      <c r="B835" s="8" t="s">
        <v>24</v>
      </c>
      <c r="C835" s="42" t="s">
        <v>11</v>
      </c>
      <c r="D835" s="43" t="s">
        <v>30</v>
      </c>
      <c r="E835" s="46">
        <v>0</v>
      </c>
      <c r="F835" s="2">
        <f>IF(C835="GBP",E835*$C$3,IF(C835="TRY",E835/$C$1,IF(C835="EUR",E835*$E$1,IF(C835="RUB",E835/#REF!,IF(C835="EGP",E835/$E$2,E835)))))</f>
        <v>0</v>
      </c>
      <c r="G835" s="15" t="str">
        <f>VLOOKUP(B835,SPECIFICATIONF!$C$2:$D$65,2,0)</f>
        <v>GLOBAL RETAIL</v>
      </c>
      <c r="H835" s="12">
        <f t="shared" si="36"/>
        <v>5</v>
      </c>
      <c r="I835" s="12">
        <f t="shared" si="37"/>
        <v>2025</v>
      </c>
    </row>
    <row r="836" spans="1:9" ht="19.5" customHeight="1" x14ac:dyDescent="0.35">
      <c r="A836" s="41">
        <v>45805</v>
      </c>
      <c r="B836" s="8" t="s">
        <v>24</v>
      </c>
      <c r="C836" s="42" t="s">
        <v>33</v>
      </c>
      <c r="D836" s="43" t="s">
        <v>30</v>
      </c>
      <c r="E836" s="46">
        <v>0</v>
      </c>
      <c r="F836" s="2">
        <f>IF(C836="GBP",E836*$C$3,IF(C836="TRY",E836/$C$1,IF(C836="EUR",E836*$E$1,IF(C836="RUB",E836/#REF!,IF(C836="EGP",E836/$E$2,E836)))))</f>
        <v>0</v>
      </c>
      <c r="G836" s="15" t="str">
        <f>VLOOKUP(B836,SPECIFICATIONF!$C$2:$D$65,2,0)</f>
        <v>GLOBAL RETAIL</v>
      </c>
      <c r="H836" s="12">
        <f t="shared" si="36"/>
        <v>5</v>
      </c>
      <c r="I836" s="12">
        <f t="shared" si="37"/>
        <v>2025</v>
      </c>
    </row>
    <row r="837" spans="1:9" ht="19.5" customHeight="1" x14ac:dyDescent="0.35">
      <c r="A837" s="41">
        <v>45805</v>
      </c>
      <c r="B837" s="8" t="s">
        <v>24</v>
      </c>
      <c r="C837" s="42" t="s">
        <v>11</v>
      </c>
      <c r="D837" s="43" t="s">
        <v>29</v>
      </c>
      <c r="E837" s="47">
        <v>0</v>
      </c>
      <c r="F837" s="2">
        <f>IF(C837="GBP",E837*$C$3,IF(C837="TRY",E837/$C$1,IF(C837="EUR",E837*$E$1,IF(C837="RUB",E837/#REF!,IF(C837="EGP",E837/$E$2,E837)))))</f>
        <v>0</v>
      </c>
      <c r="G837" s="15" t="str">
        <f>VLOOKUP(B837,SPECIFICATIONF!$C$2:$D$65,2,0)</f>
        <v>GLOBAL RETAIL</v>
      </c>
      <c r="H837" s="12">
        <f t="shared" si="36"/>
        <v>5</v>
      </c>
      <c r="I837" s="12">
        <f t="shared" si="37"/>
        <v>2025</v>
      </c>
    </row>
    <row r="838" spans="1:9" ht="19.5" customHeight="1" x14ac:dyDescent="0.35">
      <c r="A838" s="41">
        <v>45805</v>
      </c>
      <c r="B838" s="8" t="s">
        <v>24</v>
      </c>
      <c r="C838" s="42" t="s">
        <v>33</v>
      </c>
      <c r="D838" s="43" t="s">
        <v>29</v>
      </c>
      <c r="E838" s="46">
        <v>0</v>
      </c>
      <c r="F838" s="2">
        <f>IF(C838="GBP",E838*$C$3,IF(C838="TRY",E838/$C$1,IF(C838="EUR",E838*$E$1,IF(C838="RUB",E838/#REF!,IF(C838="EGP",E838/$E$2,E838)))))</f>
        <v>0</v>
      </c>
      <c r="G838" s="15" t="str">
        <f>VLOOKUP(B838,SPECIFICATIONF!$C$2:$D$65,2,0)</f>
        <v>GLOBAL RETAIL</v>
      </c>
      <c r="H838" s="12">
        <f t="shared" si="36"/>
        <v>5</v>
      </c>
      <c r="I838" s="12">
        <f t="shared" si="37"/>
        <v>2025</v>
      </c>
    </row>
    <row r="839" spans="1:9" ht="19.5" customHeight="1" x14ac:dyDescent="0.35">
      <c r="A839" s="41">
        <v>45806</v>
      </c>
      <c r="B839" s="8" t="s">
        <v>32</v>
      </c>
      <c r="C839" s="42" t="s">
        <v>11</v>
      </c>
      <c r="D839" s="43" t="s">
        <v>30</v>
      </c>
      <c r="E839" s="46">
        <v>1352370.36</v>
      </c>
      <c r="F839" s="2">
        <f>IF(C839="GBP",E839*$C$3,IF(C839="TRY",E839/$C$1,IF(C839="EUR",E839*$E$1,IF(C839="RUB",E839/#REF!,IF(C839="EGP",E839/$E$2,E839)))))</f>
        <v>37084.87313152475</v>
      </c>
      <c r="G839" s="15" t="str">
        <f>VLOOKUP(B839,SPECIFICATIONF!$C$2:$D$65,2,0)</f>
        <v>GLOBAL HFT</v>
      </c>
      <c r="H839" s="12">
        <f t="shared" si="36"/>
        <v>5</v>
      </c>
      <c r="I839" s="12">
        <f t="shared" si="37"/>
        <v>2025</v>
      </c>
    </row>
    <row r="840" spans="1:9" ht="19.5" customHeight="1" x14ac:dyDescent="0.35">
      <c r="A840" s="41">
        <v>45806</v>
      </c>
      <c r="B840" s="8" t="s">
        <v>32</v>
      </c>
      <c r="C840" s="42" t="s">
        <v>33</v>
      </c>
      <c r="D840" s="43" t="s">
        <v>30</v>
      </c>
      <c r="E840" s="46">
        <v>10260</v>
      </c>
      <c r="F840" s="2">
        <f>IF(C840="GBP",E840*$C$3,IF(C840="TRY",E840/$C$1,IF(C840="EUR",E840*$E$1,IF(C840="RUB",E840/#REF!,IF(C840="EGP",E840/$E$2,E840)))))</f>
        <v>10260</v>
      </c>
      <c r="G840" s="15" t="str">
        <f>VLOOKUP(B840,SPECIFICATIONF!$C$2:$D$65,2,0)</f>
        <v>GLOBAL HFT</v>
      </c>
      <c r="H840" s="12">
        <f t="shared" si="36"/>
        <v>5</v>
      </c>
      <c r="I840" s="12">
        <f t="shared" si="37"/>
        <v>2025</v>
      </c>
    </row>
    <row r="841" spans="1:9" ht="19.5" customHeight="1" x14ac:dyDescent="0.35">
      <c r="A841" s="41">
        <v>45806</v>
      </c>
      <c r="B841" s="8" t="s">
        <v>32</v>
      </c>
      <c r="C841" s="42" t="s">
        <v>11</v>
      </c>
      <c r="D841" s="43" t="s">
        <v>29</v>
      </c>
      <c r="E841" s="47">
        <v>5147002891</v>
      </c>
      <c r="F841" s="2">
        <f>IF(C841="GBP",E841*$C$3,IF(C841="TRY",E841/$C$1,IF(C841="EUR",E841*$E$1,IF(C841="RUB",E841/#REF!,IF(C841="EGP",E841/$E$2,E841)))))</f>
        <v>141141772.15502277</v>
      </c>
      <c r="G841" s="15" t="str">
        <f>VLOOKUP(B841,SPECIFICATIONF!$C$2:$D$65,2,0)</f>
        <v>GLOBAL HFT</v>
      </c>
      <c r="H841" s="12">
        <f t="shared" si="36"/>
        <v>5</v>
      </c>
      <c r="I841" s="12">
        <f t="shared" si="37"/>
        <v>2025</v>
      </c>
    </row>
    <row r="842" spans="1:9" ht="19.5" customHeight="1" x14ac:dyDescent="0.35">
      <c r="A842" s="41">
        <v>45806</v>
      </c>
      <c r="B842" s="8" t="s">
        <v>32</v>
      </c>
      <c r="C842" s="42" t="s">
        <v>33</v>
      </c>
      <c r="D842" s="43" t="s">
        <v>29</v>
      </c>
      <c r="E842" s="46">
        <v>37137412</v>
      </c>
      <c r="F842" s="2">
        <f>IF(C842="GBP",E842*$C$3,IF(C842="TRY",E842/$C$1,IF(C842="EUR",E842*$E$1,IF(C842="RUB",E842/#REF!,IF(C842="EGP",E842/$E$2,E842)))))</f>
        <v>37137412</v>
      </c>
      <c r="G842" s="15" t="str">
        <f>VLOOKUP(B842,SPECIFICATIONF!$C$2:$D$65,2,0)</f>
        <v>GLOBAL HFT</v>
      </c>
      <c r="H842" s="12">
        <f t="shared" si="36"/>
        <v>5</v>
      </c>
      <c r="I842" s="12">
        <f t="shared" si="37"/>
        <v>2025</v>
      </c>
    </row>
    <row r="843" spans="1:9" ht="19.5" customHeight="1" x14ac:dyDescent="0.35">
      <c r="A843" s="41">
        <v>45806</v>
      </c>
      <c r="B843" s="8" t="s">
        <v>24</v>
      </c>
      <c r="C843" s="42" t="s">
        <v>11</v>
      </c>
      <c r="D843" s="43" t="s">
        <v>30</v>
      </c>
      <c r="E843" s="46">
        <v>0</v>
      </c>
      <c r="F843" s="2">
        <f>IF(C843="GBP",E843*$C$3,IF(C843="TRY",E843/$C$1,IF(C843="EUR",E843*$E$1,IF(C843="RUB",E843/#REF!,IF(C843="EGP",E843/$E$2,E843)))))</f>
        <v>0</v>
      </c>
      <c r="G843" s="15" t="str">
        <f>VLOOKUP(B843,SPECIFICATIONF!$C$2:$D$65,2,0)</f>
        <v>GLOBAL RETAIL</v>
      </c>
      <c r="H843" s="12">
        <f t="shared" si="36"/>
        <v>5</v>
      </c>
      <c r="I843" s="12">
        <f t="shared" si="37"/>
        <v>2025</v>
      </c>
    </row>
    <row r="844" spans="1:9" ht="19.5" customHeight="1" x14ac:dyDescent="0.35">
      <c r="A844" s="41">
        <v>45806</v>
      </c>
      <c r="B844" s="8" t="s">
        <v>24</v>
      </c>
      <c r="C844" s="42" t="s">
        <v>33</v>
      </c>
      <c r="D844" s="43" t="s">
        <v>30</v>
      </c>
      <c r="E844" s="46">
        <v>10.35</v>
      </c>
      <c r="F844" s="2">
        <f>IF(C844="GBP",E844*$C$3,IF(C844="TRY",E844/$C$1,IF(C844="EUR",E844*$E$1,IF(C844="RUB",E844/#REF!,IF(C844="EGP",E844/$E$2,E844)))))</f>
        <v>10.35</v>
      </c>
      <c r="G844" s="15" t="str">
        <f>VLOOKUP(B844,SPECIFICATIONF!$C$2:$D$65,2,0)</f>
        <v>GLOBAL RETAIL</v>
      </c>
      <c r="H844" s="12">
        <f t="shared" si="36"/>
        <v>5</v>
      </c>
      <c r="I844" s="12">
        <f t="shared" si="37"/>
        <v>2025</v>
      </c>
    </row>
    <row r="845" spans="1:9" ht="19.5" customHeight="1" x14ac:dyDescent="0.35">
      <c r="A845" s="41">
        <v>45806</v>
      </c>
      <c r="B845" s="8" t="s">
        <v>24</v>
      </c>
      <c r="C845" s="42" t="s">
        <v>11</v>
      </c>
      <c r="D845" s="43" t="s">
        <v>29</v>
      </c>
      <c r="E845" s="47">
        <v>0</v>
      </c>
      <c r="F845" s="2">
        <f>IF(C845="GBP",E845*$C$3,IF(C845="TRY",E845/$C$1,IF(C845="EUR",E845*$E$1,IF(C845="RUB",E845/#REF!,IF(C845="EGP",E845/$E$2,E845)))))</f>
        <v>0</v>
      </c>
      <c r="G845" s="15" t="str">
        <f>VLOOKUP(B845,SPECIFICATIONF!$C$2:$D$65,2,0)</f>
        <v>GLOBAL RETAIL</v>
      </c>
      <c r="H845" s="12">
        <f t="shared" si="36"/>
        <v>5</v>
      </c>
      <c r="I845" s="12">
        <f t="shared" si="37"/>
        <v>2025</v>
      </c>
    </row>
    <row r="846" spans="1:9" ht="19.5" customHeight="1" x14ac:dyDescent="0.35">
      <c r="A846" s="41">
        <v>45806</v>
      </c>
      <c r="B846" s="8" t="s">
        <v>24</v>
      </c>
      <c r="C846" s="42" t="s">
        <v>33</v>
      </c>
      <c r="D846" s="43" t="s">
        <v>29</v>
      </c>
      <c r="E846" s="46">
        <v>8628</v>
      </c>
      <c r="F846" s="2">
        <f>IF(C846="GBP",E846*$C$3,IF(C846="TRY",E846/$C$1,IF(C846="EUR",E846*$E$1,IF(C846="RUB",E846/#REF!,IF(C846="EGP",E846/$E$2,E846)))))</f>
        <v>8628</v>
      </c>
      <c r="G846" s="15" t="str">
        <f>VLOOKUP(B846,SPECIFICATIONF!$C$2:$D$65,2,0)</f>
        <v>GLOBAL RETAIL</v>
      </c>
      <c r="H846" s="12">
        <f t="shared" si="36"/>
        <v>5</v>
      </c>
      <c r="I846" s="12">
        <f t="shared" si="37"/>
        <v>2025</v>
      </c>
    </row>
    <row r="847" spans="1:9" ht="19.5" customHeight="1" x14ac:dyDescent="0.35">
      <c r="A847" s="41">
        <v>45807</v>
      </c>
      <c r="B847" s="8" t="s">
        <v>32</v>
      </c>
      <c r="C847" s="42" t="s">
        <v>11</v>
      </c>
      <c r="D847" s="43" t="s">
        <v>30</v>
      </c>
      <c r="E847" s="46">
        <v>2741700.46</v>
      </c>
      <c r="F847" s="2">
        <f>IF(C847="GBP",E847*$C$3,IF(C847="TRY",E847/$C$1,IF(C847="EUR",E847*$E$1,IF(C847="RUB",E847/#REF!,IF(C847="EGP",E847/$E$2,E847)))))</f>
        <v>75183.260984618915</v>
      </c>
      <c r="G847" s="15" t="str">
        <f>VLOOKUP(B847,SPECIFICATIONF!$C$2:$D$65,2,0)</f>
        <v>GLOBAL HFT</v>
      </c>
      <c r="H847" s="12">
        <f t="shared" si="36"/>
        <v>5</v>
      </c>
      <c r="I847" s="12">
        <f t="shared" si="37"/>
        <v>2025</v>
      </c>
    </row>
    <row r="848" spans="1:9" ht="19.5" customHeight="1" x14ac:dyDescent="0.35">
      <c r="A848" s="41">
        <v>45807</v>
      </c>
      <c r="B848" s="8" t="s">
        <v>32</v>
      </c>
      <c r="C848" s="42" t="s">
        <v>33</v>
      </c>
      <c r="D848" s="43" t="s">
        <v>30</v>
      </c>
      <c r="E848" s="46">
        <v>17358.62</v>
      </c>
      <c r="F848" s="2">
        <f>IF(C848="GBP",E848*$C$3,IF(C848="TRY",E848/$C$1,IF(C848="EUR",E848*$E$1,IF(C848="RUB",E848/#REF!,IF(C848="EGP",E848/$E$2,E848)))))</f>
        <v>17358.62</v>
      </c>
      <c r="G848" s="15" t="str">
        <f>VLOOKUP(B848,SPECIFICATIONF!$C$2:$D$65,2,0)</f>
        <v>GLOBAL HFT</v>
      </c>
      <c r="H848" s="12">
        <f t="shared" si="36"/>
        <v>5</v>
      </c>
      <c r="I848" s="12">
        <f t="shared" si="37"/>
        <v>2025</v>
      </c>
    </row>
    <row r="849" spans="1:9" ht="19.5" customHeight="1" x14ac:dyDescent="0.35">
      <c r="A849" s="41">
        <v>45807</v>
      </c>
      <c r="B849" s="8" t="s">
        <v>32</v>
      </c>
      <c r="C849" s="42" t="s">
        <v>11</v>
      </c>
      <c r="D849" s="43" t="s">
        <v>29</v>
      </c>
      <c r="E849" s="47">
        <v>10350238341</v>
      </c>
      <c r="F849" s="2">
        <f>IF(C849="GBP",E849*$C$3,IF(C849="TRY",E849/$C$1,IF(C849="EUR",E849*$E$1,IF(C849="RUB",E849/#REF!,IF(C849="EGP",E849/$E$2,E849)))))</f>
        <v>283825560.74138463</v>
      </c>
      <c r="G849" s="15" t="str">
        <f>VLOOKUP(B849,SPECIFICATIONF!$C$2:$D$65,2,0)</f>
        <v>GLOBAL HFT</v>
      </c>
      <c r="H849" s="12">
        <f t="shared" si="36"/>
        <v>5</v>
      </c>
      <c r="I849" s="12">
        <f t="shared" si="37"/>
        <v>2025</v>
      </c>
    </row>
    <row r="850" spans="1:9" ht="19.5" customHeight="1" x14ac:dyDescent="0.35">
      <c r="A850" s="41">
        <v>45807</v>
      </c>
      <c r="B850" s="8" t="s">
        <v>32</v>
      </c>
      <c r="C850" s="42" t="s">
        <v>33</v>
      </c>
      <c r="D850" s="43" t="s">
        <v>29</v>
      </c>
      <c r="E850" s="46">
        <v>60364386</v>
      </c>
      <c r="F850" s="2">
        <f>IF(C850="GBP",E850*$C$3,IF(C850="TRY",E850/$C$1,IF(C850="EUR",E850*$E$1,IF(C850="RUB",E850/#REF!,IF(C850="EGP",E850/$E$2,E850)))))</f>
        <v>60364386</v>
      </c>
      <c r="G850" s="15" t="str">
        <f>VLOOKUP(B850,SPECIFICATIONF!$C$2:$D$65,2,0)</f>
        <v>GLOBAL HFT</v>
      </c>
      <c r="H850" s="12">
        <f t="shared" si="36"/>
        <v>5</v>
      </c>
      <c r="I850" s="12">
        <f t="shared" si="37"/>
        <v>2025</v>
      </c>
    </row>
    <row r="851" spans="1:9" ht="19.5" customHeight="1" x14ac:dyDescent="0.35">
      <c r="A851" s="41">
        <v>45807</v>
      </c>
      <c r="B851" s="8" t="s">
        <v>24</v>
      </c>
      <c r="C851" s="42" t="s">
        <v>11</v>
      </c>
      <c r="D851" s="43" t="s">
        <v>30</v>
      </c>
      <c r="E851" s="46">
        <v>0</v>
      </c>
      <c r="F851" s="2">
        <f>IF(C851="GBP",E851*$C$3,IF(C851="TRY",E851/$C$1,IF(C851="EUR",E851*$E$1,IF(C851="RUB",E851/#REF!,IF(C851="EGP",E851/$E$2,E851)))))</f>
        <v>0</v>
      </c>
      <c r="G851" s="15" t="str">
        <f>VLOOKUP(B851,SPECIFICATIONF!$C$2:$D$65,2,0)</f>
        <v>GLOBAL RETAIL</v>
      </c>
      <c r="H851" s="12">
        <f t="shared" si="36"/>
        <v>5</v>
      </c>
      <c r="I851" s="12">
        <f t="shared" si="37"/>
        <v>2025</v>
      </c>
    </row>
    <row r="852" spans="1:9" ht="19.5" customHeight="1" x14ac:dyDescent="0.35">
      <c r="A852" s="41">
        <v>45807</v>
      </c>
      <c r="B852" s="8" t="s">
        <v>24</v>
      </c>
      <c r="C852" s="42" t="s">
        <v>33</v>
      </c>
      <c r="D852" s="43" t="s">
        <v>30</v>
      </c>
      <c r="E852" s="46">
        <v>0</v>
      </c>
      <c r="F852" s="2">
        <f>IF(C852="GBP",E852*$C$3,IF(C852="TRY",E852/$C$1,IF(C852="EUR",E852*$E$1,IF(C852="RUB",E852/#REF!,IF(C852="EGP",E852/$E$2,E852)))))</f>
        <v>0</v>
      </c>
      <c r="G852" s="15" t="str">
        <f>VLOOKUP(B852,SPECIFICATIONF!$C$2:$D$65,2,0)</f>
        <v>GLOBAL RETAIL</v>
      </c>
      <c r="H852" s="12">
        <f t="shared" si="36"/>
        <v>5</v>
      </c>
      <c r="I852" s="12">
        <f t="shared" si="37"/>
        <v>2025</v>
      </c>
    </row>
    <row r="853" spans="1:9" ht="19.5" customHeight="1" x14ac:dyDescent="0.35">
      <c r="A853" s="41">
        <v>45807</v>
      </c>
      <c r="B853" s="8" t="s">
        <v>24</v>
      </c>
      <c r="C853" s="42" t="s">
        <v>11</v>
      </c>
      <c r="D853" s="43" t="s">
        <v>29</v>
      </c>
      <c r="E853" s="47">
        <v>0</v>
      </c>
      <c r="F853" s="2">
        <f>IF(C853="GBP",E853*$C$3,IF(C853="TRY",E853/$C$1,IF(C853="EUR",E853*$E$1,IF(C853="RUB",E853/#REF!,IF(C853="EGP",E853/$E$2,E853)))))</f>
        <v>0</v>
      </c>
      <c r="G853" s="15" t="str">
        <f>VLOOKUP(B853,SPECIFICATIONF!$C$2:$D$65,2,0)</f>
        <v>GLOBAL RETAIL</v>
      </c>
      <c r="H853" s="12">
        <f t="shared" si="36"/>
        <v>5</v>
      </c>
      <c r="I853" s="12">
        <f t="shared" si="37"/>
        <v>2025</v>
      </c>
    </row>
    <row r="854" spans="1:9" ht="19.5" customHeight="1" x14ac:dyDescent="0.35">
      <c r="A854" s="41">
        <v>45807</v>
      </c>
      <c r="B854" s="8" t="s">
        <v>24</v>
      </c>
      <c r="C854" s="42" t="s">
        <v>33</v>
      </c>
      <c r="D854" s="43" t="s">
        <v>29</v>
      </c>
      <c r="E854" s="46">
        <v>0</v>
      </c>
      <c r="F854" s="2">
        <f>IF(C854="GBP",E854*$C$3,IF(C854="TRY",E854/$C$1,IF(C854="EUR",E854*$E$1,IF(C854="RUB",E854/#REF!,IF(C854="EGP",E854/$E$2,E854)))))</f>
        <v>0</v>
      </c>
      <c r="G854" s="15" t="str">
        <f>VLOOKUP(B854,SPECIFICATIONF!$C$2:$D$65,2,0)</f>
        <v>GLOBAL RETAIL</v>
      </c>
      <c r="H854" s="12">
        <f t="shared" si="36"/>
        <v>5</v>
      </c>
      <c r="I854" s="12">
        <f t="shared" si="37"/>
        <v>2025</v>
      </c>
    </row>
    <row r="855" spans="1:9" ht="19.5" customHeight="1" x14ac:dyDescent="0.35">
      <c r="A855" s="41">
        <v>45808</v>
      </c>
      <c r="B855" s="8" t="s">
        <v>32</v>
      </c>
      <c r="C855" s="42" t="s">
        <v>11</v>
      </c>
      <c r="D855" s="43" t="s">
        <v>30</v>
      </c>
      <c r="E855" s="46">
        <v>2166070.75</v>
      </c>
      <c r="F855" s="2">
        <f>IF(C855="GBP",E855*$C$3,IF(C855="TRY",E855/$C$1,IF(C855="EUR",E855*$E$1,IF(C855="RUB",E855/#REF!,IF(C855="EGP",E855/$E$2,E855)))))</f>
        <v>59398.269389501162</v>
      </c>
      <c r="G855" s="15" t="str">
        <f>VLOOKUP(B855,SPECIFICATIONF!$C$2:$D$65,2,0)</f>
        <v>GLOBAL HFT</v>
      </c>
      <c r="H855" s="12">
        <f t="shared" si="36"/>
        <v>5</v>
      </c>
      <c r="I855" s="12">
        <f t="shared" si="37"/>
        <v>2025</v>
      </c>
    </row>
    <row r="856" spans="1:9" ht="19.5" customHeight="1" x14ac:dyDescent="0.35">
      <c r="A856" s="41">
        <v>45808</v>
      </c>
      <c r="B856" s="8" t="s">
        <v>32</v>
      </c>
      <c r="C856" s="42" t="s">
        <v>33</v>
      </c>
      <c r="D856" s="43" t="s">
        <v>30</v>
      </c>
      <c r="E856" s="46">
        <v>10762.83</v>
      </c>
      <c r="F856" s="2">
        <f>IF(C856="GBP",E856*$C$3,IF(C856="TRY",E856/$C$1,IF(C856="EUR",E856*$E$1,IF(C856="RUB",E856/#REF!,IF(C856="EGP",E856/$E$2,E856)))))</f>
        <v>10762.83</v>
      </c>
      <c r="G856" s="15" t="str">
        <f>VLOOKUP(B856,SPECIFICATIONF!$C$2:$D$65,2,0)</f>
        <v>GLOBAL HFT</v>
      </c>
      <c r="H856" s="12">
        <f t="shared" si="36"/>
        <v>5</v>
      </c>
      <c r="I856" s="12">
        <f t="shared" si="37"/>
        <v>2025</v>
      </c>
    </row>
    <row r="857" spans="1:9" ht="19.5" customHeight="1" x14ac:dyDescent="0.35">
      <c r="A857" s="41">
        <v>45808</v>
      </c>
      <c r="B857" s="8" t="s">
        <v>32</v>
      </c>
      <c r="C857" s="42" t="s">
        <v>11</v>
      </c>
      <c r="D857" s="43" t="s">
        <v>29</v>
      </c>
      <c r="E857" s="47">
        <v>8451492767</v>
      </c>
      <c r="F857" s="2">
        <f>IF(C857="GBP",E857*$C$3,IF(C857="TRY",E857/$C$1,IF(C857="EUR",E857*$E$1,IF(C857="RUB",E857/#REF!,IF(C857="EGP",E857/$E$2,E857)))))</f>
        <v>231757916.54898003</v>
      </c>
      <c r="G857" s="15" t="str">
        <f>VLOOKUP(B857,SPECIFICATIONF!$C$2:$D$65,2,0)</f>
        <v>GLOBAL HFT</v>
      </c>
      <c r="H857" s="12">
        <f t="shared" si="36"/>
        <v>5</v>
      </c>
      <c r="I857" s="12">
        <f t="shared" si="37"/>
        <v>2025</v>
      </c>
    </row>
    <row r="858" spans="1:9" ht="19.5" customHeight="1" x14ac:dyDescent="0.35">
      <c r="A858" s="41">
        <v>45808</v>
      </c>
      <c r="B858" s="8" t="s">
        <v>32</v>
      </c>
      <c r="C858" s="42" t="s">
        <v>33</v>
      </c>
      <c r="D858" s="43" t="s">
        <v>29</v>
      </c>
      <c r="E858" s="46">
        <v>38992409</v>
      </c>
      <c r="F858" s="2">
        <f>IF(C858="GBP",E858*$C$3,IF(C858="TRY",E858/$C$1,IF(C858="EUR",E858*$E$1,IF(C858="RUB",E858/#REF!,IF(C858="EGP",E858/$E$2,E858)))))</f>
        <v>38992409</v>
      </c>
      <c r="G858" s="15" t="str">
        <f>VLOOKUP(B858,SPECIFICATIONF!$C$2:$D$65,2,0)</f>
        <v>GLOBAL HFT</v>
      </c>
      <c r="H858" s="12">
        <f t="shared" si="36"/>
        <v>5</v>
      </c>
      <c r="I858" s="12">
        <f t="shared" si="37"/>
        <v>2025</v>
      </c>
    </row>
    <row r="859" spans="1:9" ht="19.5" customHeight="1" x14ac:dyDescent="0.35">
      <c r="A859" s="41">
        <v>45808</v>
      </c>
      <c r="B859" s="8" t="s">
        <v>24</v>
      </c>
      <c r="C859" s="42" t="s">
        <v>11</v>
      </c>
      <c r="D859" s="43" t="s">
        <v>30</v>
      </c>
      <c r="E859" s="46">
        <v>0</v>
      </c>
      <c r="F859" s="2">
        <f>IF(C859="GBP",E859*$C$3,IF(C859="TRY",E859/$C$1,IF(C859="EUR",E859*$E$1,IF(C859="RUB",E859/#REF!,IF(C859="EGP",E859/$E$2,E859)))))</f>
        <v>0</v>
      </c>
      <c r="G859" s="15" t="str">
        <f>VLOOKUP(B859,SPECIFICATIONF!$C$2:$D$65,2,0)</f>
        <v>GLOBAL RETAIL</v>
      </c>
      <c r="H859" s="12">
        <f t="shared" si="36"/>
        <v>5</v>
      </c>
      <c r="I859" s="12">
        <f t="shared" si="37"/>
        <v>2025</v>
      </c>
    </row>
    <row r="860" spans="1:9" ht="19.5" customHeight="1" x14ac:dyDescent="0.35">
      <c r="A860" s="41">
        <v>45808</v>
      </c>
      <c r="B860" s="8" t="s">
        <v>24</v>
      </c>
      <c r="C860" s="42" t="s">
        <v>33</v>
      </c>
      <c r="D860" s="43" t="s">
        <v>30</v>
      </c>
      <c r="E860" s="46">
        <v>0</v>
      </c>
      <c r="F860" s="2">
        <f>IF(C860="GBP",E860*$C$3,IF(C860="TRY",E860/$C$1,IF(C860="EUR",E860*$E$1,IF(C860="RUB",E860/#REF!,IF(C860="EGP",E860/$E$2,E860)))))</f>
        <v>0</v>
      </c>
      <c r="G860" s="15" t="str">
        <f>VLOOKUP(B860,SPECIFICATIONF!$C$2:$D$65,2,0)</f>
        <v>GLOBAL RETAIL</v>
      </c>
      <c r="H860" s="12">
        <f t="shared" si="36"/>
        <v>5</v>
      </c>
      <c r="I860" s="12">
        <f t="shared" si="37"/>
        <v>2025</v>
      </c>
    </row>
    <row r="861" spans="1:9" ht="19.5" customHeight="1" x14ac:dyDescent="0.35">
      <c r="A861" s="41">
        <v>45808</v>
      </c>
      <c r="B861" s="8" t="s">
        <v>24</v>
      </c>
      <c r="C861" s="42" t="s">
        <v>11</v>
      </c>
      <c r="D861" s="43" t="s">
        <v>29</v>
      </c>
      <c r="E861" s="47">
        <v>0</v>
      </c>
      <c r="F861" s="2">
        <f>IF(C861="GBP",E861*$C$3,IF(C861="TRY",E861/$C$1,IF(C861="EUR",E861*$E$1,IF(C861="RUB",E861/#REF!,IF(C861="EGP",E861/$E$2,E861)))))</f>
        <v>0</v>
      </c>
      <c r="G861" s="15" t="str">
        <f>VLOOKUP(B861,SPECIFICATIONF!$C$2:$D$65,2,0)</f>
        <v>GLOBAL RETAIL</v>
      </c>
      <c r="H861" s="12">
        <f t="shared" si="36"/>
        <v>5</v>
      </c>
      <c r="I861" s="12">
        <f t="shared" si="37"/>
        <v>2025</v>
      </c>
    </row>
    <row r="862" spans="1:9" ht="19.5" customHeight="1" x14ac:dyDescent="0.35">
      <c r="A862" s="41">
        <v>45808</v>
      </c>
      <c r="B862" s="8" t="s">
        <v>24</v>
      </c>
      <c r="C862" s="42" t="s">
        <v>33</v>
      </c>
      <c r="D862" s="43" t="s">
        <v>29</v>
      </c>
      <c r="E862" s="46">
        <v>0</v>
      </c>
      <c r="F862" s="2">
        <f>IF(C862="GBP",E862*$C$3,IF(C862="TRY",E862/$C$1,IF(C862="EUR",E862*$E$1,IF(C862="RUB",E862/#REF!,IF(C862="EGP",E862/$E$2,E862)))))</f>
        <v>0</v>
      </c>
      <c r="G862" s="15" t="str">
        <f>VLOOKUP(B862,SPECIFICATIONF!$C$2:$D$65,2,0)</f>
        <v>GLOBAL RETAIL</v>
      </c>
      <c r="H862" s="12">
        <f t="shared" si="36"/>
        <v>5</v>
      </c>
      <c r="I862" s="12">
        <f t="shared" si="37"/>
        <v>2025</v>
      </c>
    </row>
    <row r="863" spans="1:9" ht="19.5" customHeight="1" x14ac:dyDescent="0.35">
      <c r="A863" s="41">
        <v>45809</v>
      </c>
      <c r="B863" s="8" t="s">
        <v>32</v>
      </c>
      <c r="C863" s="42" t="s">
        <v>11</v>
      </c>
      <c r="D863" s="43" t="s">
        <v>30</v>
      </c>
      <c r="E863" s="46">
        <v>1328920.79</v>
      </c>
      <c r="F863" s="2">
        <f>IF(C863="GBP",E863*$C$3,IF(C863="TRY",E863/$C$1,IF(C863="EUR",E863*$E$1,IF(C863="RUB",E863/#REF!,IF(C863="EGP",E863/$E$2,E863)))))</f>
        <v>36441.83602115891</v>
      </c>
      <c r="G863" s="15" t="str">
        <f>VLOOKUP(B863,SPECIFICATIONF!$C$2:$D$65,2,0)</f>
        <v>GLOBAL HFT</v>
      </c>
      <c r="H863" s="12">
        <f t="shared" si="36"/>
        <v>6</v>
      </c>
      <c r="I863" s="12">
        <f t="shared" si="37"/>
        <v>2025</v>
      </c>
    </row>
    <row r="864" spans="1:9" ht="19.5" customHeight="1" x14ac:dyDescent="0.35">
      <c r="A864" s="41">
        <v>45809</v>
      </c>
      <c r="B864" s="8" t="s">
        <v>32</v>
      </c>
      <c r="C864" s="42" t="s">
        <v>33</v>
      </c>
      <c r="D864" s="43" t="s">
        <v>30</v>
      </c>
      <c r="E864" s="46">
        <v>6943.26</v>
      </c>
      <c r="F864" s="2">
        <f>IF(C864="GBP",E864*$C$3,IF(C864="TRY",E864/$C$1,IF(C864="EUR",E864*$E$1,IF(C864="RUB",E864/#REF!,IF(C864="EGP",E864/$E$2,E864)))))</f>
        <v>6943.26</v>
      </c>
      <c r="G864" s="15" t="str">
        <f>VLOOKUP(B864,SPECIFICATIONF!$C$2:$D$65,2,0)</f>
        <v>GLOBAL HFT</v>
      </c>
      <c r="H864" s="12">
        <f t="shared" si="36"/>
        <v>6</v>
      </c>
      <c r="I864" s="12">
        <f t="shared" si="37"/>
        <v>2025</v>
      </c>
    </row>
    <row r="865" spans="1:9" ht="19.5" customHeight="1" x14ac:dyDescent="0.35">
      <c r="A865" s="41">
        <v>45809</v>
      </c>
      <c r="B865" s="8" t="s">
        <v>32</v>
      </c>
      <c r="C865" s="42" t="s">
        <v>11</v>
      </c>
      <c r="D865" s="43" t="s">
        <v>29</v>
      </c>
      <c r="E865" s="47">
        <v>5494204102</v>
      </c>
      <c r="F865" s="2">
        <f>IF(C865="GBP",E865*$C$3,IF(C865="TRY",E865/$C$1,IF(C865="EUR",E865*$E$1,IF(C865="RUB",E865/#REF!,IF(C865="EGP",E865/$E$2,E865)))))</f>
        <v>150662768.20897853</v>
      </c>
      <c r="G865" s="15" t="str">
        <f>VLOOKUP(B865,SPECIFICATIONF!$C$2:$D$65,2,0)</f>
        <v>GLOBAL HFT</v>
      </c>
      <c r="H865" s="12">
        <f t="shared" si="36"/>
        <v>6</v>
      </c>
      <c r="I865" s="12">
        <f t="shared" si="37"/>
        <v>2025</v>
      </c>
    </row>
    <row r="866" spans="1:9" ht="19.5" customHeight="1" x14ac:dyDescent="0.35">
      <c r="A866" s="41">
        <v>45809</v>
      </c>
      <c r="B866" s="8" t="s">
        <v>32</v>
      </c>
      <c r="C866" s="42" t="s">
        <v>33</v>
      </c>
      <c r="D866" s="43" t="s">
        <v>29</v>
      </c>
      <c r="E866" s="46">
        <v>24943925</v>
      </c>
      <c r="F866" s="2">
        <f>IF(C866="GBP",E866*$C$3,IF(C866="TRY",E866/$C$1,IF(C866="EUR",E866*$E$1,IF(C866="RUB",E866/#REF!,IF(C866="EGP",E866/$E$2,E866)))))</f>
        <v>24943925</v>
      </c>
      <c r="G866" s="15" t="str">
        <f>VLOOKUP(B866,SPECIFICATIONF!$C$2:$D$65,2,0)</f>
        <v>GLOBAL HFT</v>
      </c>
      <c r="H866" s="12">
        <f t="shared" si="36"/>
        <v>6</v>
      </c>
      <c r="I866" s="12">
        <f t="shared" si="37"/>
        <v>2025</v>
      </c>
    </row>
    <row r="867" spans="1:9" ht="19.5" customHeight="1" x14ac:dyDescent="0.35">
      <c r="A867" s="41">
        <v>45809</v>
      </c>
      <c r="B867" s="8" t="s">
        <v>24</v>
      </c>
      <c r="C867" s="42" t="s">
        <v>11</v>
      </c>
      <c r="D867" s="43" t="s">
        <v>30</v>
      </c>
      <c r="E867" s="46">
        <v>0</v>
      </c>
      <c r="F867" s="2">
        <f>IF(C867="GBP",E867*$C$3,IF(C867="TRY",E867/$C$1,IF(C867="EUR",E867*$E$1,IF(C867="RUB",E867/#REF!,IF(C867="EGP",E867/$E$2,E867)))))</f>
        <v>0</v>
      </c>
      <c r="G867" s="15" t="str">
        <f>VLOOKUP(B867,SPECIFICATIONF!$C$2:$D$65,2,0)</f>
        <v>GLOBAL RETAIL</v>
      </c>
      <c r="H867" s="12">
        <f t="shared" si="36"/>
        <v>6</v>
      </c>
      <c r="I867" s="12">
        <f t="shared" si="37"/>
        <v>2025</v>
      </c>
    </row>
    <row r="868" spans="1:9" ht="19.5" customHeight="1" x14ac:dyDescent="0.35">
      <c r="A868" s="41">
        <v>45809</v>
      </c>
      <c r="B868" s="8" t="s">
        <v>24</v>
      </c>
      <c r="C868" s="42" t="s">
        <v>33</v>
      </c>
      <c r="D868" s="43" t="s">
        <v>30</v>
      </c>
      <c r="E868" s="46">
        <v>0</v>
      </c>
      <c r="F868" s="2">
        <f>IF(C868="GBP",E868*$C$3,IF(C868="TRY",E868/$C$1,IF(C868="EUR",E868*$E$1,IF(C868="RUB",E868/#REF!,IF(C868="EGP",E868/$E$2,E868)))))</f>
        <v>0</v>
      </c>
      <c r="G868" s="15" t="str">
        <f>VLOOKUP(B868,SPECIFICATIONF!$C$2:$D$65,2,0)</f>
        <v>GLOBAL RETAIL</v>
      </c>
      <c r="H868" s="12">
        <f t="shared" si="36"/>
        <v>6</v>
      </c>
      <c r="I868" s="12">
        <f t="shared" si="37"/>
        <v>2025</v>
      </c>
    </row>
    <row r="869" spans="1:9" ht="19.5" customHeight="1" x14ac:dyDescent="0.35">
      <c r="A869" s="41">
        <v>45809</v>
      </c>
      <c r="B869" s="8" t="s">
        <v>24</v>
      </c>
      <c r="C869" s="42" t="s">
        <v>11</v>
      </c>
      <c r="D869" s="43" t="s">
        <v>29</v>
      </c>
      <c r="E869" s="47">
        <v>0</v>
      </c>
      <c r="F869" s="2">
        <f>IF(C869="GBP",E869*$C$3,IF(C869="TRY",E869/$C$1,IF(C869="EUR",E869*$E$1,IF(C869="RUB",E869/#REF!,IF(C869="EGP",E869/$E$2,E869)))))</f>
        <v>0</v>
      </c>
      <c r="G869" s="15" t="str">
        <f>VLOOKUP(B869,SPECIFICATIONF!$C$2:$D$65,2,0)</f>
        <v>GLOBAL RETAIL</v>
      </c>
      <c r="H869" s="12">
        <f t="shared" si="36"/>
        <v>6</v>
      </c>
      <c r="I869" s="12">
        <f t="shared" si="37"/>
        <v>2025</v>
      </c>
    </row>
    <row r="870" spans="1:9" ht="19.5" customHeight="1" x14ac:dyDescent="0.35">
      <c r="A870" s="41">
        <v>45809</v>
      </c>
      <c r="B870" s="8" t="s">
        <v>24</v>
      </c>
      <c r="C870" s="42" t="s">
        <v>33</v>
      </c>
      <c r="D870" s="43" t="s">
        <v>29</v>
      </c>
      <c r="E870" s="46">
        <v>0</v>
      </c>
      <c r="F870" s="2">
        <f>IF(C870="GBP",E870*$C$3,IF(C870="TRY",E870/$C$1,IF(C870="EUR",E870*$E$1,IF(C870="RUB",E870/#REF!,IF(C870="EGP",E870/$E$2,E870)))))</f>
        <v>0</v>
      </c>
      <c r="G870" s="15" t="str">
        <f>VLOOKUP(B870,SPECIFICATIONF!$C$2:$D$65,2,0)</f>
        <v>GLOBAL RETAIL</v>
      </c>
      <c r="H870" s="12">
        <f t="shared" ref="H870:H933" si="38">MONTH(A870)</f>
        <v>6</v>
      </c>
      <c r="I870" s="12">
        <f t="shared" ref="I870:I933" si="39">YEAR(A870)</f>
        <v>2025</v>
      </c>
    </row>
    <row r="871" spans="1:9" ht="19.5" customHeight="1" x14ac:dyDescent="0.35">
      <c r="A871" s="41">
        <v>45810</v>
      </c>
      <c r="B871" s="8" t="s">
        <v>32</v>
      </c>
      <c r="C871" s="42" t="s">
        <v>11</v>
      </c>
      <c r="D871" s="43" t="s">
        <v>30</v>
      </c>
      <c r="E871" s="46">
        <v>1080450.8899999999</v>
      </c>
      <c r="F871" s="2">
        <f>IF(C871="GBP",E871*$C$3,IF(C871="TRY",E871/$C$1,IF(C871="EUR",E871*$E$1,IF(C871="RUB",E871/#REF!,IF(C871="EGP",E871/$E$2,E871)))))</f>
        <v>29628.262616235541</v>
      </c>
      <c r="G871" s="15" t="str">
        <f>VLOOKUP(B871,SPECIFICATIONF!$C$2:$D$65,2,0)</f>
        <v>GLOBAL HFT</v>
      </c>
      <c r="H871" s="12">
        <f t="shared" si="38"/>
        <v>6</v>
      </c>
      <c r="I871" s="12">
        <f t="shared" si="39"/>
        <v>2025</v>
      </c>
    </row>
    <row r="872" spans="1:9" ht="19.5" customHeight="1" x14ac:dyDescent="0.35">
      <c r="A872" s="41">
        <v>45810</v>
      </c>
      <c r="B872" s="8" t="s">
        <v>32</v>
      </c>
      <c r="C872" s="42" t="s">
        <v>33</v>
      </c>
      <c r="D872" s="43" t="s">
        <v>30</v>
      </c>
      <c r="E872" s="46">
        <v>5931.21</v>
      </c>
      <c r="F872" s="2">
        <f>IF(C872="GBP",E872*$C$3,IF(C872="TRY",E872/$C$1,IF(C872="EUR",E872*$E$1,IF(C872="RUB",E872/#REF!,IF(C872="EGP",E872/$E$2,E872)))))</f>
        <v>5931.21</v>
      </c>
      <c r="G872" s="15" t="str">
        <f>VLOOKUP(B872,SPECIFICATIONF!$C$2:$D$65,2,0)</f>
        <v>GLOBAL HFT</v>
      </c>
      <c r="H872" s="12">
        <f t="shared" si="38"/>
        <v>6</v>
      </c>
      <c r="I872" s="12">
        <f t="shared" si="39"/>
        <v>2025</v>
      </c>
    </row>
    <row r="873" spans="1:9" ht="19.5" customHeight="1" x14ac:dyDescent="0.35">
      <c r="A873" s="41">
        <v>45810</v>
      </c>
      <c r="B873" s="8" t="s">
        <v>32</v>
      </c>
      <c r="C873" s="42" t="s">
        <v>11</v>
      </c>
      <c r="D873" s="43" t="s">
        <v>29</v>
      </c>
      <c r="E873" s="47">
        <v>4458871896</v>
      </c>
      <c r="F873" s="2">
        <f>IF(C873="GBP",E873*$C$3,IF(C873="TRY",E873/$C$1,IF(C873="EUR",E873*$E$1,IF(C873="RUB",E873/#REF!,IF(C873="EGP",E873/$E$2,E873)))))</f>
        <v>122271755.92112298</v>
      </c>
      <c r="G873" s="15" t="str">
        <f>VLOOKUP(B873,SPECIFICATIONF!$C$2:$D$65,2,0)</f>
        <v>GLOBAL HFT</v>
      </c>
      <c r="H873" s="12">
        <f t="shared" si="38"/>
        <v>6</v>
      </c>
      <c r="I873" s="12">
        <f t="shared" si="39"/>
        <v>2025</v>
      </c>
    </row>
    <row r="874" spans="1:9" ht="19.5" customHeight="1" x14ac:dyDescent="0.35">
      <c r="A874" s="41">
        <v>45810</v>
      </c>
      <c r="B874" s="8" t="s">
        <v>32</v>
      </c>
      <c r="C874" s="42" t="s">
        <v>33</v>
      </c>
      <c r="D874" s="43" t="s">
        <v>29</v>
      </c>
      <c r="E874" s="46">
        <v>21151712</v>
      </c>
      <c r="F874" s="2">
        <f>IF(C874="GBP",E874*$C$3,IF(C874="TRY",E874/$C$1,IF(C874="EUR",E874*$E$1,IF(C874="RUB",E874/#REF!,IF(C874="EGP",E874/$E$2,E874)))))</f>
        <v>21151712</v>
      </c>
      <c r="G874" s="15" t="str">
        <f>VLOOKUP(B874,SPECIFICATIONF!$C$2:$D$65,2,0)</f>
        <v>GLOBAL HFT</v>
      </c>
      <c r="H874" s="12">
        <f t="shared" si="38"/>
        <v>6</v>
      </c>
      <c r="I874" s="12">
        <f t="shared" si="39"/>
        <v>2025</v>
      </c>
    </row>
    <row r="875" spans="1:9" ht="19.5" customHeight="1" x14ac:dyDescent="0.35">
      <c r="A875" s="41">
        <v>45810</v>
      </c>
      <c r="B875" s="8" t="s">
        <v>24</v>
      </c>
      <c r="C875" s="42" t="s">
        <v>11</v>
      </c>
      <c r="D875" s="43" t="s">
        <v>30</v>
      </c>
      <c r="E875" s="46">
        <v>0</v>
      </c>
      <c r="F875" s="2">
        <f>IF(C875="GBP",E875*$C$3,IF(C875="TRY",E875/$C$1,IF(C875="EUR",E875*$E$1,IF(C875="RUB",E875/#REF!,IF(C875="EGP",E875/$E$2,E875)))))</f>
        <v>0</v>
      </c>
      <c r="G875" s="15" t="str">
        <f>VLOOKUP(B875,SPECIFICATIONF!$C$2:$D$65,2,0)</f>
        <v>GLOBAL RETAIL</v>
      </c>
      <c r="H875" s="12">
        <f t="shared" si="38"/>
        <v>6</v>
      </c>
      <c r="I875" s="12">
        <f t="shared" si="39"/>
        <v>2025</v>
      </c>
    </row>
    <row r="876" spans="1:9" ht="19.5" customHeight="1" x14ac:dyDescent="0.35">
      <c r="A876" s="41">
        <v>45810</v>
      </c>
      <c r="B876" s="8" t="s">
        <v>24</v>
      </c>
      <c r="C876" s="42" t="s">
        <v>33</v>
      </c>
      <c r="D876" s="43" t="s">
        <v>30</v>
      </c>
      <c r="E876" s="46">
        <v>0</v>
      </c>
      <c r="F876" s="2">
        <f>IF(C876="GBP",E876*$C$3,IF(C876="TRY",E876/$C$1,IF(C876="EUR",E876*$E$1,IF(C876="RUB",E876/#REF!,IF(C876="EGP",E876/$E$2,E876)))))</f>
        <v>0</v>
      </c>
      <c r="G876" s="15" t="str">
        <f>VLOOKUP(B876,SPECIFICATIONF!$C$2:$D$65,2,0)</f>
        <v>GLOBAL RETAIL</v>
      </c>
      <c r="H876" s="12">
        <f t="shared" si="38"/>
        <v>6</v>
      </c>
      <c r="I876" s="12">
        <f t="shared" si="39"/>
        <v>2025</v>
      </c>
    </row>
    <row r="877" spans="1:9" ht="19.5" customHeight="1" x14ac:dyDescent="0.35">
      <c r="A877" s="41">
        <v>45810</v>
      </c>
      <c r="B877" s="8" t="s">
        <v>24</v>
      </c>
      <c r="C877" s="42" t="s">
        <v>11</v>
      </c>
      <c r="D877" s="43" t="s">
        <v>29</v>
      </c>
      <c r="E877" s="47">
        <v>0</v>
      </c>
      <c r="F877" s="2">
        <f>IF(C877="GBP",E877*$C$3,IF(C877="TRY",E877/$C$1,IF(C877="EUR",E877*$E$1,IF(C877="RUB",E877/#REF!,IF(C877="EGP",E877/$E$2,E877)))))</f>
        <v>0</v>
      </c>
      <c r="G877" s="15" t="str">
        <f>VLOOKUP(B877,SPECIFICATIONF!$C$2:$D$65,2,0)</f>
        <v>GLOBAL RETAIL</v>
      </c>
      <c r="H877" s="12">
        <f t="shared" si="38"/>
        <v>6</v>
      </c>
      <c r="I877" s="12">
        <f t="shared" si="39"/>
        <v>2025</v>
      </c>
    </row>
    <row r="878" spans="1:9" ht="19.5" customHeight="1" x14ac:dyDescent="0.35">
      <c r="A878" s="41">
        <v>45810</v>
      </c>
      <c r="B878" s="8" t="s">
        <v>24</v>
      </c>
      <c r="C878" s="42" t="s">
        <v>33</v>
      </c>
      <c r="D878" s="43" t="s">
        <v>29</v>
      </c>
      <c r="E878" s="46">
        <v>0</v>
      </c>
      <c r="F878" s="2">
        <f>IF(C878="GBP",E878*$C$3,IF(C878="TRY",E878/$C$1,IF(C878="EUR",E878*$E$1,IF(C878="RUB",E878/#REF!,IF(C878="EGP",E878/$E$2,E878)))))</f>
        <v>0</v>
      </c>
      <c r="G878" s="15" t="str">
        <f>VLOOKUP(B878,SPECIFICATIONF!$C$2:$D$65,2,0)</f>
        <v>GLOBAL RETAIL</v>
      </c>
      <c r="H878" s="12">
        <f t="shared" si="38"/>
        <v>6</v>
      </c>
      <c r="I878" s="12">
        <f t="shared" si="39"/>
        <v>2025</v>
      </c>
    </row>
    <row r="879" spans="1:9" ht="19.5" customHeight="1" x14ac:dyDescent="0.35">
      <c r="A879" s="41">
        <v>45811</v>
      </c>
      <c r="B879" s="8" t="s">
        <v>32</v>
      </c>
      <c r="C879" s="42" t="s">
        <v>11</v>
      </c>
      <c r="D879" s="43" t="s">
        <v>30</v>
      </c>
      <c r="E879" s="46">
        <v>1299905.6599999999</v>
      </c>
      <c r="F879" s="2">
        <f>IF(C879="GBP",E879*$C$3,IF(C879="TRY",E879/$C$1,IF(C879="EUR",E879*$E$1,IF(C879="RUB",E879/#REF!,IF(C879="EGP",E879/$E$2,E879)))))</f>
        <v>35646.179412014724</v>
      </c>
      <c r="G879" s="15" t="str">
        <f>VLOOKUP(B879,SPECIFICATIONF!$C$2:$D$65,2,0)</f>
        <v>GLOBAL HFT</v>
      </c>
      <c r="H879" s="12">
        <f t="shared" si="38"/>
        <v>6</v>
      </c>
      <c r="I879" s="12">
        <f t="shared" si="39"/>
        <v>2025</v>
      </c>
    </row>
    <row r="880" spans="1:9" ht="19.5" customHeight="1" x14ac:dyDescent="0.35">
      <c r="A880" s="41">
        <v>45811</v>
      </c>
      <c r="B880" s="8" t="s">
        <v>32</v>
      </c>
      <c r="C880" s="42" t="s">
        <v>33</v>
      </c>
      <c r="D880" s="43" t="s">
        <v>30</v>
      </c>
      <c r="E880" s="46">
        <v>8418.4</v>
      </c>
      <c r="F880" s="2">
        <f>IF(C880="GBP",E880*$C$3,IF(C880="TRY",E880/$C$1,IF(C880="EUR",E880*$E$1,IF(C880="RUB",E880/#REF!,IF(C880="EGP",E880/$E$2,E880)))))</f>
        <v>8418.4</v>
      </c>
      <c r="G880" s="15" t="str">
        <f>VLOOKUP(B880,SPECIFICATIONF!$C$2:$D$65,2,0)</f>
        <v>GLOBAL HFT</v>
      </c>
      <c r="H880" s="12">
        <f t="shared" si="38"/>
        <v>6</v>
      </c>
      <c r="I880" s="12">
        <f t="shared" si="39"/>
        <v>2025</v>
      </c>
    </row>
    <row r="881" spans="1:9" ht="19.5" customHeight="1" x14ac:dyDescent="0.35">
      <c r="A881" s="41">
        <v>45811</v>
      </c>
      <c r="B881" s="8" t="s">
        <v>32</v>
      </c>
      <c r="C881" s="42" t="s">
        <v>11</v>
      </c>
      <c r="D881" s="43" t="s">
        <v>29</v>
      </c>
      <c r="E881" s="47">
        <v>5152366631</v>
      </c>
      <c r="F881" s="2">
        <f>IF(C881="GBP",E881*$C$3,IF(C881="TRY",E881/$C$1,IF(C881="EUR",E881*$E$1,IF(C881="RUB",E881/#REF!,IF(C881="EGP",E881/$E$2,E881)))))</f>
        <v>141288857.31992573</v>
      </c>
      <c r="G881" s="15" t="str">
        <f>VLOOKUP(B881,SPECIFICATIONF!$C$2:$D$65,2,0)</f>
        <v>GLOBAL HFT</v>
      </c>
      <c r="H881" s="12">
        <f t="shared" si="38"/>
        <v>6</v>
      </c>
      <c r="I881" s="12">
        <f t="shared" si="39"/>
        <v>2025</v>
      </c>
    </row>
    <row r="882" spans="1:9" ht="19.5" customHeight="1" x14ac:dyDescent="0.35">
      <c r="A882" s="41">
        <v>45811</v>
      </c>
      <c r="B882" s="8" t="s">
        <v>32</v>
      </c>
      <c r="C882" s="42" t="s">
        <v>33</v>
      </c>
      <c r="D882" s="43" t="s">
        <v>29</v>
      </c>
      <c r="E882" s="46">
        <v>28705715</v>
      </c>
      <c r="F882" s="2">
        <f>IF(C882="GBP",E882*$C$3,IF(C882="TRY",E882/$C$1,IF(C882="EUR",E882*$E$1,IF(C882="RUB",E882/#REF!,IF(C882="EGP",E882/$E$2,E882)))))</f>
        <v>28705715</v>
      </c>
      <c r="G882" s="15" t="str">
        <f>VLOOKUP(B882,SPECIFICATIONF!$C$2:$D$65,2,0)</f>
        <v>GLOBAL HFT</v>
      </c>
      <c r="H882" s="12">
        <f t="shared" si="38"/>
        <v>6</v>
      </c>
      <c r="I882" s="12">
        <f t="shared" si="39"/>
        <v>2025</v>
      </c>
    </row>
    <row r="883" spans="1:9" ht="19.5" customHeight="1" x14ac:dyDescent="0.35">
      <c r="A883" s="41">
        <v>45811</v>
      </c>
      <c r="B883" s="8" t="s">
        <v>24</v>
      </c>
      <c r="C883" s="42" t="s">
        <v>11</v>
      </c>
      <c r="D883" s="43" t="s">
        <v>30</v>
      </c>
      <c r="E883" s="46">
        <v>0</v>
      </c>
      <c r="F883" s="2">
        <f>IF(C883="GBP",E883*$C$3,IF(C883="TRY",E883/$C$1,IF(C883="EUR",E883*$E$1,IF(C883="RUB",E883/#REF!,IF(C883="EGP",E883/$E$2,E883)))))</f>
        <v>0</v>
      </c>
      <c r="G883" s="15" t="str">
        <f>VLOOKUP(B883,SPECIFICATIONF!$C$2:$D$65,2,0)</f>
        <v>GLOBAL RETAIL</v>
      </c>
      <c r="H883" s="12">
        <f t="shared" si="38"/>
        <v>6</v>
      </c>
      <c r="I883" s="12">
        <f t="shared" si="39"/>
        <v>2025</v>
      </c>
    </row>
    <row r="884" spans="1:9" ht="19.5" customHeight="1" x14ac:dyDescent="0.35">
      <c r="A884" s="41">
        <v>45811</v>
      </c>
      <c r="B884" s="8" t="s">
        <v>24</v>
      </c>
      <c r="C884" s="42" t="s">
        <v>33</v>
      </c>
      <c r="D884" s="43" t="s">
        <v>30</v>
      </c>
      <c r="E884" s="46">
        <v>0</v>
      </c>
      <c r="F884" s="2">
        <f>IF(C884="GBP",E884*$C$3,IF(C884="TRY",E884/$C$1,IF(C884="EUR",E884*$E$1,IF(C884="RUB",E884/#REF!,IF(C884="EGP",E884/$E$2,E884)))))</f>
        <v>0</v>
      </c>
      <c r="G884" s="15" t="str">
        <f>VLOOKUP(B884,SPECIFICATIONF!$C$2:$D$65,2,0)</f>
        <v>GLOBAL RETAIL</v>
      </c>
      <c r="H884" s="12">
        <f t="shared" si="38"/>
        <v>6</v>
      </c>
      <c r="I884" s="12">
        <f t="shared" si="39"/>
        <v>2025</v>
      </c>
    </row>
    <row r="885" spans="1:9" ht="19.5" customHeight="1" x14ac:dyDescent="0.35">
      <c r="A885" s="41">
        <v>45811</v>
      </c>
      <c r="B885" s="8" t="s">
        <v>24</v>
      </c>
      <c r="C885" s="42" t="s">
        <v>11</v>
      </c>
      <c r="D885" s="43" t="s">
        <v>29</v>
      </c>
      <c r="E885" s="47">
        <v>0</v>
      </c>
      <c r="F885" s="2">
        <f>IF(C885="GBP",E885*$C$3,IF(C885="TRY",E885/$C$1,IF(C885="EUR",E885*$E$1,IF(C885="RUB",E885/#REF!,IF(C885="EGP",E885/$E$2,E885)))))</f>
        <v>0</v>
      </c>
      <c r="G885" s="15" t="str">
        <f>VLOOKUP(B885,SPECIFICATIONF!$C$2:$D$65,2,0)</f>
        <v>GLOBAL RETAIL</v>
      </c>
      <c r="H885" s="12">
        <f t="shared" si="38"/>
        <v>6</v>
      </c>
      <c r="I885" s="12">
        <f t="shared" si="39"/>
        <v>2025</v>
      </c>
    </row>
    <row r="886" spans="1:9" ht="19.5" customHeight="1" x14ac:dyDescent="0.35">
      <c r="A886" s="41">
        <v>45811</v>
      </c>
      <c r="B886" s="8" t="s">
        <v>24</v>
      </c>
      <c r="C886" s="42" t="s">
        <v>33</v>
      </c>
      <c r="D886" s="43" t="s">
        <v>29</v>
      </c>
      <c r="E886" s="46">
        <v>0</v>
      </c>
      <c r="F886" s="2">
        <f>IF(C886="GBP",E886*$C$3,IF(C886="TRY",E886/$C$1,IF(C886="EUR",E886*$E$1,IF(C886="RUB",E886/#REF!,IF(C886="EGP",E886/$E$2,E886)))))</f>
        <v>0</v>
      </c>
      <c r="G886" s="15" t="str">
        <f>VLOOKUP(B886,SPECIFICATIONF!$C$2:$D$65,2,0)</f>
        <v>GLOBAL RETAIL</v>
      </c>
      <c r="H886" s="12">
        <f t="shared" si="38"/>
        <v>6</v>
      </c>
      <c r="I886" s="12">
        <f t="shared" si="39"/>
        <v>2025</v>
      </c>
    </row>
    <row r="887" spans="1:9" ht="19.5" customHeight="1" x14ac:dyDescent="0.35">
      <c r="A887" s="41">
        <v>45812</v>
      </c>
      <c r="B887" s="8" t="s">
        <v>32</v>
      </c>
      <c r="C887" s="42" t="s">
        <v>11</v>
      </c>
      <c r="D887" s="43" t="s">
        <v>30</v>
      </c>
      <c r="E887" s="46">
        <v>1349859.44</v>
      </c>
      <c r="F887" s="2">
        <f>IF(C887="GBP",E887*$C$3,IF(C887="TRY",E887/$C$1,IF(C887="EUR",E887*$E$1,IF(C887="RUB",E887/#REF!,IF(C887="EGP",E887/$E$2,E887)))))</f>
        <v>37016.018361856914</v>
      </c>
      <c r="G887" s="15" t="str">
        <f>VLOOKUP(B887,SPECIFICATIONF!$C$2:$D$65,2,0)</f>
        <v>GLOBAL HFT</v>
      </c>
      <c r="H887" s="12">
        <f t="shared" si="38"/>
        <v>6</v>
      </c>
      <c r="I887" s="12">
        <f t="shared" si="39"/>
        <v>2025</v>
      </c>
    </row>
    <row r="888" spans="1:9" ht="19.5" customHeight="1" x14ac:dyDescent="0.35">
      <c r="A888" s="41">
        <v>45812</v>
      </c>
      <c r="B888" s="8" t="s">
        <v>32</v>
      </c>
      <c r="C888" s="42" t="s">
        <v>33</v>
      </c>
      <c r="D888" s="43" t="s">
        <v>30</v>
      </c>
      <c r="E888" s="46">
        <v>7210.3</v>
      </c>
      <c r="F888" s="2">
        <f>IF(C888="GBP",E888*$C$3,IF(C888="TRY",E888/$C$1,IF(C888="EUR",E888*$E$1,IF(C888="RUB",E888/#REF!,IF(C888="EGP",E888/$E$2,E888)))))</f>
        <v>7210.3</v>
      </c>
      <c r="G888" s="15" t="str">
        <f>VLOOKUP(B888,SPECIFICATIONF!$C$2:$D$65,2,0)</f>
        <v>GLOBAL HFT</v>
      </c>
      <c r="H888" s="12">
        <f t="shared" si="38"/>
        <v>6</v>
      </c>
      <c r="I888" s="12">
        <f t="shared" si="39"/>
        <v>2025</v>
      </c>
    </row>
    <row r="889" spans="1:9" ht="19.5" customHeight="1" x14ac:dyDescent="0.35">
      <c r="A889" s="41">
        <v>45812</v>
      </c>
      <c r="B889" s="8" t="s">
        <v>32</v>
      </c>
      <c r="C889" s="42" t="s">
        <v>11</v>
      </c>
      <c r="D889" s="43" t="s">
        <v>29</v>
      </c>
      <c r="E889" s="47">
        <v>5403204092</v>
      </c>
      <c r="F889" s="2">
        <f>IF(C889="GBP",E889*$C$3,IF(C889="TRY",E889/$C$1,IF(C889="EUR",E889*$E$1,IF(C889="RUB",E889/#REF!,IF(C889="EGP",E889/$E$2,E889)))))</f>
        <v>148167354.28566727</v>
      </c>
      <c r="G889" s="15" t="str">
        <f>VLOOKUP(B889,SPECIFICATIONF!$C$2:$D$65,2,0)</f>
        <v>GLOBAL HFT</v>
      </c>
      <c r="H889" s="12">
        <f t="shared" si="38"/>
        <v>6</v>
      </c>
      <c r="I889" s="12">
        <f t="shared" si="39"/>
        <v>2025</v>
      </c>
    </row>
    <row r="890" spans="1:9" ht="19.5" customHeight="1" x14ac:dyDescent="0.35">
      <c r="A890" s="41">
        <v>45812</v>
      </c>
      <c r="B890" s="8" t="s">
        <v>32</v>
      </c>
      <c r="C890" s="42" t="s">
        <v>33</v>
      </c>
      <c r="D890" s="43" t="s">
        <v>29</v>
      </c>
      <c r="E890" s="46">
        <v>25387584</v>
      </c>
      <c r="F890" s="2">
        <f>IF(C890="GBP",E890*$C$3,IF(C890="TRY",E890/$C$1,IF(C890="EUR",E890*$E$1,IF(C890="RUB",E890/#REF!,IF(C890="EGP",E890/$E$2,E890)))))</f>
        <v>25387584</v>
      </c>
      <c r="G890" s="15" t="str">
        <f>VLOOKUP(B890,SPECIFICATIONF!$C$2:$D$65,2,0)</f>
        <v>GLOBAL HFT</v>
      </c>
      <c r="H890" s="12">
        <f t="shared" si="38"/>
        <v>6</v>
      </c>
      <c r="I890" s="12">
        <f t="shared" si="39"/>
        <v>2025</v>
      </c>
    </row>
    <row r="891" spans="1:9" ht="19.5" customHeight="1" x14ac:dyDescent="0.35">
      <c r="A891" s="41">
        <v>45812</v>
      </c>
      <c r="B891" s="8" t="s">
        <v>24</v>
      </c>
      <c r="C891" s="42" t="s">
        <v>11</v>
      </c>
      <c r="D891" s="43" t="s">
        <v>30</v>
      </c>
      <c r="E891" s="46">
        <v>0</v>
      </c>
      <c r="F891" s="2">
        <f>IF(C891="GBP",E891*$C$3,IF(C891="TRY",E891/$C$1,IF(C891="EUR",E891*$E$1,IF(C891="RUB",E891/#REF!,IF(C891="EGP",E891/$E$2,E891)))))</f>
        <v>0</v>
      </c>
      <c r="G891" s="15" t="str">
        <f>VLOOKUP(B891,SPECIFICATIONF!$C$2:$D$65,2,0)</f>
        <v>GLOBAL RETAIL</v>
      </c>
      <c r="H891" s="12">
        <f t="shared" si="38"/>
        <v>6</v>
      </c>
      <c r="I891" s="12">
        <f t="shared" si="39"/>
        <v>2025</v>
      </c>
    </row>
    <row r="892" spans="1:9" ht="19.5" customHeight="1" x14ac:dyDescent="0.35">
      <c r="A892" s="41">
        <v>45812</v>
      </c>
      <c r="B892" s="8" t="s">
        <v>24</v>
      </c>
      <c r="C892" s="42" t="s">
        <v>33</v>
      </c>
      <c r="D892" s="43" t="s">
        <v>30</v>
      </c>
      <c r="E892" s="46">
        <v>0</v>
      </c>
      <c r="F892" s="2">
        <f>IF(C892="GBP",E892*$C$3,IF(C892="TRY",E892/$C$1,IF(C892="EUR",E892*$E$1,IF(C892="RUB",E892/#REF!,IF(C892="EGP",E892/$E$2,E892)))))</f>
        <v>0</v>
      </c>
      <c r="G892" s="15" t="str">
        <f>VLOOKUP(B892,SPECIFICATIONF!$C$2:$D$65,2,0)</f>
        <v>GLOBAL RETAIL</v>
      </c>
      <c r="H892" s="12">
        <f t="shared" si="38"/>
        <v>6</v>
      </c>
      <c r="I892" s="12">
        <f t="shared" si="39"/>
        <v>2025</v>
      </c>
    </row>
    <row r="893" spans="1:9" ht="19.5" customHeight="1" x14ac:dyDescent="0.35">
      <c r="A893" s="41">
        <v>45812</v>
      </c>
      <c r="B893" s="8" t="s">
        <v>24</v>
      </c>
      <c r="C893" s="42" t="s">
        <v>11</v>
      </c>
      <c r="D893" s="43" t="s">
        <v>29</v>
      </c>
      <c r="E893" s="47">
        <v>0</v>
      </c>
      <c r="F893" s="2">
        <f>IF(C893="GBP",E893*$C$3,IF(C893="TRY",E893/$C$1,IF(C893="EUR",E893*$E$1,IF(C893="RUB",E893/#REF!,IF(C893="EGP",E893/$E$2,E893)))))</f>
        <v>0</v>
      </c>
      <c r="G893" s="15" t="str">
        <f>VLOOKUP(B893,SPECIFICATIONF!$C$2:$D$65,2,0)</f>
        <v>GLOBAL RETAIL</v>
      </c>
      <c r="H893" s="12">
        <f t="shared" si="38"/>
        <v>6</v>
      </c>
      <c r="I893" s="12">
        <f t="shared" si="39"/>
        <v>2025</v>
      </c>
    </row>
    <row r="894" spans="1:9" ht="19.5" customHeight="1" x14ac:dyDescent="0.35">
      <c r="A894" s="41">
        <v>45812</v>
      </c>
      <c r="B894" s="8" t="s">
        <v>24</v>
      </c>
      <c r="C894" s="42" t="s">
        <v>33</v>
      </c>
      <c r="D894" s="43" t="s">
        <v>29</v>
      </c>
      <c r="E894" s="46">
        <v>0</v>
      </c>
      <c r="F894" s="2">
        <f>IF(C894="GBP",E894*$C$3,IF(C894="TRY",E894/$C$1,IF(C894="EUR",E894*$E$1,IF(C894="RUB",E894/#REF!,IF(C894="EGP",E894/$E$2,E894)))))</f>
        <v>0</v>
      </c>
      <c r="G894" s="15" t="str">
        <f>VLOOKUP(B894,SPECIFICATIONF!$C$2:$D$65,2,0)</f>
        <v>GLOBAL RETAIL</v>
      </c>
      <c r="H894" s="12">
        <f t="shared" si="38"/>
        <v>6</v>
      </c>
      <c r="I894" s="12">
        <f t="shared" si="39"/>
        <v>2025</v>
      </c>
    </row>
    <row r="895" spans="1:9" ht="19.5" customHeight="1" x14ac:dyDescent="0.35">
      <c r="A895" s="41">
        <v>45813</v>
      </c>
      <c r="B895" s="8" t="s">
        <v>32</v>
      </c>
      <c r="C895" s="42" t="s">
        <v>11</v>
      </c>
      <c r="D895" s="43" t="s">
        <v>30</v>
      </c>
      <c r="E895" s="46">
        <v>1510514.05</v>
      </c>
      <c r="F895" s="2">
        <f>IF(C895="GBP",E895*$C$3,IF(C895="TRY",E895/$C$1,IF(C895="EUR",E895*$E$1,IF(C895="RUB",E895/#REF!,IF(C895="EGP",E895/$E$2,E895)))))</f>
        <v>41421.509642991317</v>
      </c>
      <c r="G895" s="15" t="str">
        <f>VLOOKUP(B895,SPECIFICATIONF!$C$2:$D$65,2,0)</f>
        <v>GLOBAL HFT</v>
      </c>
      <c r="H895" s="12">
        <f t="shared" si="38"/>
        <v>6</v>
      </c>
      <c r="I895" s="12">
        <f t="shared" si="39"/>
        <v>2025</v>
      </c>
    </row>
    <row r="896" spans="1:9" ht="19.5" customHeight="1" x14ac:dyDescent="0.35">
      <c r="A896" s="41">
        <v>45813</v>
      </c>
      <c r="B896" s="8" t="s">
        <v>32</v>
      </c>
      <c r="C896" s="42" t="s">
        <v>33</v>
      </c>
      <c r="D896" s="43" t="s">
        <v>30</v>
      </c>
      <c r="E896" s="46">
        <v>11931.98</v>
      </c>
      <c r="F896" s="2">
        <f>IF(C896="GBP",E896*$C$3,IF(C896="TRY",E896/$C$1,IF(C896="EUR",E896*$E$1,IF(C896="RUB",E896/#REF!,IF(C896="EGP",E896/$E$2,E896)))))</f>
        <v>11931.98</v>
      </c>
      <c r="G896" s="15" t="str">
        <f>VLOOKUP(B896,SPECIFICATIONF!$C$2:$D$65,2,0)</f>
        <v>GLOBAL HFT</v>
      </c>
      <c r="H896" s="12">
        <f t="shared" si="38"/>
        <v>6</v>
      </c>
      <c r="I896" s="12">
        <f t="shared" si="39"/>
        <v>2025</v>
      </c>
    </row>
    <row r="897" spans="1:9" ht="19.5" customHeight="1" x14ac:dyDescent="0.35">
      <c r="A897" s="41">
        <v>45813</v>
      </c>
      <c r="B897" s="8" t="s">
        <v>32</v>
      </c>
      <c r="C897" s="42" t="s">
        <v>11</v>
      </c>
      <c r="D897" s="43" t="s">
        <v>29</v>
      </c>
      <c r="E897" s="47">
        <v>5917188869</v>
      </c>
      <c r="F897" s="2">
        <f>IF(C897="GBP",E897*$C$3,IF(C897="TRY",E897/$C$1,IF(C897="EUR",E897*$E$1,IF(C897="RUB",E897/#REF!,IF(C897="EGP",E897/$E$2,E897)))))</f>
        <v>162261910.63676924</v>
      </c>
      <c r="G897" s="15" t="str">
        <f>VLOOKUP(B897,SPECIFICATIONF!$C$2:$D$65,2,0)</f>
        <v>GLOBAL HFT</v>
      </c>
      <c r="H897" s="12">
        <f t="shared" si="38"/>
        <v>6</v>
      </c>
      <c r="I897" s="12">
        <f t="shared" si="39"/>
        <v>2025</v>
      </c>
    </row>
    <row r="898" spans="1:9" ht="19.5" customHeight="1" x14ac:dyDescent="0.35">
      <c r="A898" s="41">
        <v>45813</v>
      </c>
      <c r="B898" s="8" t="s">
        <v>32</v>
      </c>
      <c r="C898" s="42" t="s">
        <v>33</v>
      </c>
      <c r="D898" s="43" t="s">
        <v>29</v>
      </c>
      <c r="E898" s="46">
        <v>43204599</v>
      </c>
      <c r="F898" s="2">
        <f>IF(C898="GBP",E898*$C$3,IF(C898="TRY",E898/$C$1,IF(C898="EUR",E898*$E$1,IF(C898="RUB",E898/#REF!,IF(C898="EGP",E898/$E$2,E898)))))</f>
        <v>43204599</v>
      </c>
      <c r="G898" s="15" t="str">
        <f>VLOOKUP(B898,SPECIFICATIONF!$C$2:$D$65,2,0)</f>
        <v>GLOBAL HFT</v>
      </c>
      <c r="H898" s="12">
        <f t="shared" si="38"/>
        <v>6</v>
      </c>
      <c r="I898" s="12">
        <f t="shared" si="39"/>
        <v>2025</v>
      </c>
    </row>
    <row r="899" spans="1:9" ht="19.5" customHeight="1" x14ac:dyDescent="0.35">
      <c r="A899" s="41">
        <v>45813</v>
      </c>
      <c r="B899" s="8" t="s">
        <v>24</v>
      </c>
      <c r="C899" s="42" t="s">
        <v>11</v>
      </c>
      <c r="D899" s="43" t="s">
        <v>30</v>
      </c>
      <c r="E899" s="46">
        <v>0</v>
      </c>
      <c r="F899" s="2">
        <f>IF(C899="GBP",E899*$C$3,IF(C899="TRY",E899/$C$1,IF(C899="EUR",E899*$E$1,IF(C899="RUB",E899/#REF!,IF(C899="EGP",E899/$E$2,E899)))))</f>
        <v>0</v>
      </c>
      <c r="G899" s="15" t="str">
        <f>VLOOKUP(B899,SPECIFICATIONF!$C$2:$D$65,2,0)</f>
        <v>GLOBAL RETAIL</v>
      </c>
      <c r="H899" s="12">
        <f t="shared" si="38"/>
        <v>6</v>
      </c>
      <c r="I899" s="12">
        <f t="shared" si="39"/>
        <v>2025</v>
      </c>
    </row>
    <row r="900" spans="1:9" ht="19.5" customHeight="1" x14ac:dyDescent="0.35">
      <c r="A900" s="41">
        <v>45813</v>
      </c>
      <c r="B900" s="8" t="s">
        <v>24</v>
      </c>
      <c r="C900" s="42" t="s">
        <v>33</v>
      </c>
      <c r="D900" s="43" t="s">
        <v>30</v>
      </c>
      <c r="E900" s="46">
        <v>0</v>
      </c>
      <c r="F900" s="2">
        <f>IF(C900="GBP",E900*$C$3,IF(C900="TRY",E900/$C$1,IF(C900="EUR",E900*$E$1,IF(C900="RUB",E900/#REF!,IF(C900="EGP",E900/$E$2,E900)))))</f>
        <v>0</v>
      </c>
      <c r="G900" s="15" t="str">
        <f>VLOOKUP(B900,SPECIFICATIONF!$C$2:$D$65,2,0)</f>
        <v>GLOBAL RETAIL</v>
      </c>
      <c r="H900" s="12">
        <f t="shared" si="38"/>
        <v>6</v>
      </c>
      <c r="I900" s="12">
        <f t="shared" si="39"/>
        <v>2025</v>
      </c>
    </row>
    <row r="901" spans="1:9" ht="19.5" customHeight="1" x14ac:dyDescent="0.35">
      <c r="A901" s="41">
        <v>45813</v>
      </c>
      <c r="B901" s="8" t="s">
        <v>24</v>
      </c>
      <c r="C901" s="42" t="s">
        <v>11</v>
      </c>
      <c r="D901" s="43" t="s">
        <v>29</v>
      </c>
      <c r="E901" s="47">
        <v>0</v>
      </c>
      <c r="F901" s="2">
        <f>IF(C901="GBP",E901*$C$3,IF(C901="TRY",E901/$C$1,IF(C901="EUR",E901*$E$1,IF(C901="RUB",E901/#REF!,IF(C901="EGP",E901/$E$2,E901)))))</f>
        <v>0</v>
      </c>
      <c r="G901" s="15" t="str">
        <f>VLOOKUP(B901,SPECIFICATIONF!$C$2:$D$65,2,0)</f>
        <v>GLOBAL RETAIL</v>
      </c>
      <c r="H901" s="12">
        <f t="shared" si="38"/>
        <v>6</v>
      </c>
      <c r="I901" s="12">
        <f t="shared" si="39"/>
        <v>2025</v>
      </c>
    </row>
    <row r="902" spans="1:9" ht="19.5" customHeight="1" x14ac:dyDescent="0.35">
      <c r="A902" s="41">
        <v>45813</v>
      </c>
      <c r="B902" s="8" t="s">
        <v>24</v>
      </c>
      <c r="C902" s="42" t="s">
        <v>33</v>
      </c>
      <c r="D902" s="43" t="s">
        <v>29</v>
      </c>
      <c r="E902" s="46">
        <v>0</v>
      </c>
      <c r="F902" s="2">
        <f>IF(C902="GBP",E902*$C$3,IF(C902="TRY",E902/$C$1,IF(C902="EUR",E902*$E$1,IF(C902="RUB",E902/#REF!,IF(C902="EGP",E902/$E$2,E902)))))</f>
        <v>0</v>
      </c>
      <c r="G902" s="15" t="str">
        <f>VLOOKUP(B902,SPECIFICATIONF!$C$2:$D$65,2,0)</f>
        <v>GLOBAL RETAIL</v>
      </c>
      <c r="H902" s="12">
        <f t="shared" si="38"/>
        <v>6</v>
      </c>
      <c r="I902" s="12">
        <f t="shared" si="39"/>
        <v>2025</v>
      </c>
    </row>
    <row r="903" spans="1:9" ht="19.5" customHeight="1" x14ac:dyDescent="0.35">
      <c r="A903" s="41">
        <v>45814</v>
      </c>
      <c r="B903" s="8" t="s">
        <v>32</v>
      </c>
      <c r="C903" s="42" t="s">
        <v>11</v>
      </c>
      <c r="D903" s="43" t="s">
        <v>30</v>
      </c>
      <c r="E903" s="46">
        <v>1298015.01</v>
      </c>
      <c r="F903" s="2">
        <f>IF(C903="GBP",E903*$C$3,IF(C903="TRY",E903/$C$1,IF(C903="EUR",E903*$E$1,IF(C903="RUB",E903/#REF!,IF(C903="EGP",E903/$E$2,E903)))))</f>
        <v>35594.333765688883</v>
      </c>
      <c r="G903" s="15" t="str">
        <f>VLOOKUP(B903,SPECIFICATIONF!$C$2:$D$65,2,0)</f>
        <v>GLOBAL HFT</v>
      </c>
      <c r="H903" s="12">
        <f t="shared" si="38"/>
        <v>6</v>
      </c>
      <c r="I903" s="12">
        <f t="shared" si="39"/>
        <v>2025</v>
      </c>
    </row>
    <row r="904" spans="1:9" ht="19.5" customHeight="1" x14ac:dyDescent="0.35">
      <c r="A904" s="41">
        <v>45814</v>
      </c>
      <c r="B904" s="8" t="s">
        <v>32</v>
      </c>
      <c r="C904" s="42" t="s">
        <v>33</v>
      </c>
      <c r="D904" s="43" t="s">
        <v>30</v>
      </c>
      <c r="E904" s="46">
        <v>9299.41</v>
      </c>
      <c r="F904" s="2">
        <f>IF(C904="GBP",E904*$C$3,IF(C904="TRY",E904/$C$1,IF(C904="EUR",E904*$E$1,IF(C904="RUB",E904/#REF!,IF(C904="EGP",E904/$E$2,E904)))))</f>
        <v>9299.41</v>
      </c>
      <c r="G904" s="15" t="str">
        <f>VLOOKUP(B904,SPECIFICATIONF!$C$2:$D$65,2,0)</f>
        <v>GLOBAL HFT</v>
      </c>
      <c r="H904" s="12">
        <f t="shared" si="38"/>
        <v>6</v>
      </c>
      <c r="I904" s="12">
        <f t="shared" si="39"/>
        <v>2025</v>
      </c>
    </row>
    <row r="905" spans="1:9" ht="19.5" customHeight="1" x14ac:dyDescent="0.35">
      <c r="A905" s="41">
        <v>45814</v>
      </c>
      <c r="B905" s="8" t="s">
        <v>32</v>
      </c>
      <c r="C905" s="42" t="s">
        <v>11</v>
      </c>
      <c r="D905" s="43" t="s">
        <v>29</v>
      </c>
      <c r="E905" s="47">
        <v>5161153346</v>
      </c>
      <c r="F905" s="2">
        <f>IF(C905="GBP",E905*$C$3,IF(C905="TRY",E905/$C$1,IF(C905="EUR",E905*$E$1,IF(C905="RUB",E905/#REF!,IF(C905="EGP",E905/$E$2,E905)))))</f>
        <v>141529807.74346051</v>
      </c>
      <c r="G905" s="15" t="str">
        <f>VLOOKUP(B905,SPECIFICATIONF!$C$2:$D$65,2,0)</f>
        <v>GLOBAL HFT</v>
      </c>
      <c r="H905" s="12">
        <f t="shared" si="38"/>
        <v>6</v>
      </c>
      <c r="I905" s="12">
        <f t="shared" si="39"/>
        <v>2025</v>
      </c>
    </row>
    <row r="906" spans="1:9" ht="19.5" customHeight="1" x14ac:dyDescent="0.35">
      <c r="A906" s="41">
        <v>45814</v>
      </c>
      <c r="B906" s="8" t="s">
        <v>32</v>
      </c>
      <c r="C906" s="42" t="s">
        <v>33</v>
      </c>
      <c r="D906" s="43" t="s">
        <v>29</v>
      </c>
      <c r="E906" s="46">
        <v>32032140</v>
      </c>
      <c r="F906" s="2">
        <f>IF(C906="GBP",E906*$C$3,IF(C906="TRY",E906/$C$1,IF(C906="EUR",E906*$E$1,IF(C906="RUB",E906/#REF!,IF(C906="EGP",E906/$E$2,E906)))))</f>
        <v>32032140</v>
      </c>
      <c r="G906" s="15" t="str">
        <f>VLOOKUP(B906,SPECIFICATIONF!$C$2:$D$65,2,0)</f>
        <v>GLOBAL HFT</v>
      </c>
      <c r="H906" s="12">
        <f t="shared" si="38"/>
        <v>6</v>
      </c>
      <c r="I906" s="12">
        <f t="shared" si="39"/>
        <v>2025</v>
      </c>
    </row>
    <row r="907" spans="1:9" ht="19.5" customHeight="1" x14ac:dyDescent="0.35">
      <c r="A907" s="41">
        <v>45814</v>
      </c>
      <c r="B907" s="8" t="s">
        <v>24</v>
      </c>
      <c r="C907" s="42" t="s">
        <v>11</v>
      </c>
      <c r="D907" s="43" t="s">
        <v>30</v>
      </c>
      <c r="E907" s="46">
        <v>0</v>
      </c>
      <c r="F907" s="2">
        <f>IF(C907="GBP",E907*$C$3,IF(C907="TRY",E907/$C$1,IF(C907="EUR",E907*$E$1,IF(C907="RUB",E907/#REF!,IF(C907="EGP",E907/$E$2,E907)))))</f>
        <v>0</v>
      </c>
      <c r="G907" s="15" t="str">
        <f>VLOOKUP(B907,SPECIFICATIONF!$C$2:$D$65,2,0)</f>
        <v>GLOBAL RETAIL</v>
      </c>
      <c r="H907" s="12">
        <f t="shared" si="38"/>
        <v>6</v>
      </c>
      <c r="I907" s="12">
        <f t="shared" si="39"/>
        <v>2025</v>
      </c>
    </row>
    <row r="908" spans="1:9" ht="19.5" customHeight="1" x14ac:dyDescent="0.35">
      <c r="A908" s="41">
        <v>45814</v>
      </c>
      <c r="B908" s="8" t="s">
        <v>24</v>
      </c>
      <c r="C908" s="42" t="s">
        <v>33</v>
      </c>
      <c r="D908" s="43" t="s">
        <v>30</v>
      </c>
      <c r="E908" s="46">
        <v>0</v>
      </c>
      <c r="F908" s="2">
        <f>IF(C908="GBP",E908*$C$3,IF(C908="TRY",E908/$C$1,IF(C908="EUR",E908*$E$1,IF(C908="RUB",E908/#REF!,IF(C908="EGP",E908/$E$2,E908)))))</f>
        <v>0</v>
      </c>
      <c r="G908" s="15" t="str">
        <f>VLOOKUP(B908,SPECIFICATIONF!$C$2:$D$65,2,0)</f>
        <v>GLOBAL RETAIL</v>
      </c>
      <c r="H908" s="12">
        <f t="shared" si="38"/>
        <v>6</v>
      </c>
      <c r="I908" s="12">
        <f t="shared" si="39"/>
        <v>2025</v>
      </c>
    </row>
    <row r="909" spans="1:9" ht="19.5" customHeight="1" x14ac:dyDescent="0.35">
      <c r="A909" s="41">
        <v>45814</v>
      </c>
      <c r="B909" s="8" t="s">
        <v>24</v>
      </c>
      <c r="C909" s="42" t="s">
        <v>11</v>
      </c>
      <c r="D909" s="43" t="s">
        <v>29</v>
      </c>
      <c r="E909" s="47">
        <v>0</v>
      </c>
      <c r="F909" s="2">
        <f>IF(C909="GBP",E909*$C$3,IF(C909="TRY",E909/$C$1,IF(C909="EUR",E909*$E$1,IF(C909="RUB",E909/#REF!,IF(C909="EGP",E909/$E$2,E909)))))</f>
        <v>0</v>
      </c>
      <c r="G909" s="15" t="str">
        <f>VLOOKUP(B909,SPECIFICATIONF!$C$2:$D$65,2,0)</f>
        <v>GLOBAL RETAIL</v>
      </c>
      <c r="H909" s="12">
        <f t="shared" si="38"/>
        <v>6</v>
      </c>
      <c r="I909" s="12">
        <f t="shared" si="39"/>
        <v>2025</v>
      </c>
    </row>
    <row r="910" spans="1:9" ht="19.5" customHeight="1" x14ac:dyDescent="0.35">
      <c r="A910" s="41">
        <v>45814</v>
      </c>
      <c r="B910" s="8" t="s">
        <v>24</v>
      </c>
      <c r="C910" s="42" t="s">
        <v>33</v>
      </c>
      <c r="D910" s="43" t="s">
        <v>29</v>
      </c>
      <c r="E910" s="46">
        <v>0</v>
      </c>
      <c r="F910" s="2">
        <f>IF(C910="GBP",E910*$C$3,IF(C910="TRY",E910/$C$1,IF(C910="EUR",E910*$E$1,IF(C910="RUB",E910/#REF!,IF(C910="EGP",E910/$E$2,E910)))))</f>
        <v>0</v>
      </c>
      <c r="G910" s="15" t="str">
        <f>VLOOKUP(B910,SPECIFICATIONF!$C$2:$D$65,2,0)</f>
        <v>GLOBAL RETAIL</v>
      </c>
      <c r="H910" s="12">
        <f t="shared" si="38"/>
        <v>6</v>
      </c>
      <c r="I910" s="12">
        <f t="shared" si="39"/>
        <v>2025</v>
      </c>
    </row>
    <row r="911" spans="1:9" ht="19.5" customHeight="1" x14ac:dyDescent="0.35">
      <c r="A911" s="41">
        <v>45815</v>
      </c>
      <c r="B911" s="8" t="s">
        <v>32</v>
      </c>
      <c r="C911" s="42" t="s">
        <v>11</v>
      </c>
      <c r="D911" s="43" t="s">
        <v>30</v>
      </c>
      <c r="E911" s="46">
        <v>834614.77</v>
      </c>
      <c r="F911" s="2">
        <f>IF(C911="GBP",E911*$C$3,IF(C911="TRY",E911/$C$1,IF(C911="EUR",E911*$E$1,IF(C911="RUB",E911/#REF!,IF(C911="EGP",E911/$E$2,E911)))))</f>
        <v>22886.913063627562</v>
      </c>
      <c r="G911" s="15" t="str">
        <f>VLOOKUP(B911,SPECIFICATIONF!$C$2:$D$65,2,0)</f>
        <v>GLOBAL HFT</v>
      </c>
      <c r="H911" s="12">
        <f t="shared" si="38"/>
        <v>6</v>
      </c>
      <c r="I911" s="12">
        <f t="shared" si="39"/>
        <v>2025</v>
      </c>
    </row>
    <row r="912" spans="1:9" ht="19.5" customHeight="1" x14ac:dyDescent="0.35">
      <c r="A912" s="41">
        <v>45815</v>
      </c>
      <c r="B912" s="8" t="s">
        <v>32</v>
      </c>
      <c r="C912" s="42" t="s">
        <v>33</v>
      </c>
      <c r="D912" s="43" t="s">
        <v>30</v>
      </c>
      <c r="E912" s="46">
        <v>4892.67</v>
      </c>
      <c r="F912" s="2">
        <f>IF(C912="GBP",E912*$C$3,IF(C912="TRY",E912/$C$1,IF(C912="EUR",E912*$E$1,IF(C912="RUB",E912/#REF!,IF(C912="EGP",E912/$E$2,E912)))))</f>
        <v>4892.67</v>
      </c>
      <c r="G912" s="15" t="str">
        <f>VLOOKUP(B912,SPECIFICATIONF!$C$2:$D$65,2,0)</f>
        <v>GLOBAL HFT</v>
      </c>
      <c r="H912" s="12">
        <f t="shared" si="38"/>
        <v>6</v>
      </c>
      <c r="I912" s="12">
        <f t="shared" si="39"/>
        <v>2025</v>
      </c>
    </row>
    <row r="913" spans="1:9" ht="19.5" customHeight="1" x14ac:dyDescent="0.35">
      <c r="A913" s="41">
        <v>45815</v>
      </c>
      <c r="B913" s="8" t="s">
        <v>32</v>
      </c>
      <c r="C913" s="42" t="s">
        <v>11</v>
      </c>
      <c r="D913" s="43" t="s">
        <v>29</v>
      </c>
      <c r="E913" s="47">
        <v>3312981413</v>
      </c>
      <c r="F913" s="2">
        <f>IF(C913="GBP",E913*$C$3,IF(C913="TRY",E913/$C$1,IF(C913="EUR",E913*$E$1,IF(C913="RUB",E913/#REF!,IF(C913="EGP",E913/$E$2,E913)))))</f>
        <v>90849000.408589706</v>
      </c>
      <c r="G913" s="15" t="str">
        <f>VLOOKUP(B913,SPECIFICATIONF!$C$2:$D$65,2,0)</f>
        <v>GLOBAL HFT</v>
      </c>
      <c r="H913" s="12">
        <f t="shared" si="38"/>
        <v>6</v>
      </c>
      <c r="I913" s="12">
        <f t="shared" si="39"/>
        <v>2025</v>
      </c>
    </row>
    <row r="914" spans="1:9" ht="19.5" customHeight="1" x14ac:dyDescent="0.35">
      <c r="A914" s="41">
        <v>45815</v>
      </c>
      <c r="B914" s="8" t="s">
        <v>32</v>
      </c>
      <c r="C914" s="42" t="s">
        <v>33</v>
      </c>
      <c r="D914" s="43" t="s">
        <v>29</v>
      </c>
      <c r="E914" s="46">
        <v>17638648</v>
      </c>
      <c r="F914" s="2">
        <f>IF(C914="GBP",E914*$C$3,IF(C914="TRY",E914/$C$1,IF(C914="EUR",E914*$E$1,IF(C914="RUB",E914/#REF!,IF(C914="EGP",E914/$E$2,E914)))))</f>
        <v>17638648</v>
      </c>
      <c r="G914" s="15" t="str">
        <f>VLOOKUP(B914,SPECIFICATIONF!$C$2:$D$65,2,0)</f>
        <v>GLOBAL HFT</v>
      </c>
      <c r="H914" s="12">
        <f t="shared" si="38"/>
        <v>6</v>
      </c>
      <c r="I914" s="12">
        <f t="shared" si="39"/>
        <v>2025</v>
      </c>
    </row>
    <row r="915" spans="1:9" ht="19.5" customHeight="1" x14ac:dyDescent="0.35">
      <c r="A915" s="41">
        <v>45815</v>
      </c>
      <c r="B915" s="8" t="s">
        <v>24</v>
      </c>
      <c r="C915" s="42" t="s">
        <v>11</v>
      </c>
      <c r="D915" s="43" t="s">
        <v>30</v>
      </c>
      <c r="E915" s="46">
        <v>0</v>
      </c>
      <c r="F915" s="2">
        <f>IF(C915="GBP",E915*$C$3,IF(C915="TRY",E915/$C$1,IF(C915="EUR",E915*$E$1,IF(C915="RUB",E915/#REF!,IF(C915="EGP",E915/$E$2,E915)))))</f>
        <v>0</v>
      </c>
      <c r="G915" s="15" t="str">
        <f>VLOOKUP(B915,SPECIFICATIONF!$C$2:$D$65,2,0)</f>
        <v>GLOBAL RETAIL</v>
      </c>
      <c r="H915" s="12">
        <f t="shared" si="38"/>
        <v>6</v>
      </c>
      <c r="I915" s="12">
        <f t="shared" si="39"/>
        <v>2025</v>
      </c>
    </row>
    <row r="916" spans="1:9" ht="19.5" customHeight="1" x14ac:dyDescent="0.35">
      <c r="A916" s="41">
        <v>45815</v>
      </c>
      <c r="B916" s="8" t="s">
        <v>24</v>
      </c>
      <c r="C916" s="42" t="s">
        <v>33</v>
      </c>
      <c r="D916" s="43" t="s">
        <v>30</v>
      </c>
      <c r="E916" s="46">
        <v>0</v>
      </c>
      <c r="F916" s="2">
        <f>IF(C916="GBP",E916*$C$3,IF(C916="TRY",E916/$C$1,IF(C916="EUR",E916*$E$1,IF(C916="RUB",E916/#REF!,IF(C916="EGP",E916/$E$2,E916)))))</f>
        <v>0</v>
      </c>
      <c r="G916" s="15" t="str">
        <f>VLOOKUP(B916,SPECIFICATIONF!$C$2:$D$65,2,0)</f>
        <v>GLOBAL RETAIL</v>
      </c>
      <c r="H916" s="12">
        <f t="shared" si="38"/>
        <v>6</v>
      </c>
      <c r="I916" s="12">
        <f t="shared" si="39"/>
        <v>2025</v>
      </c>
    </row>
    <row r="917" spans="1:9" ht="19.5" customHeight="1" x14ac:dyDescent="0.35">
      <c r="A917" s="41">
        <v>45815</v>
      </c>
      <c r="B917" s="8" t="s">
        <v>24</v>
      </c>
      <c r="C917" s="42" t="s">
        <v>11</v>
      </c>
      <c r="D917" s="43" t="s">
        <v>29</v>
      </c>
      <c r="E917" s="47">
        <v>0</v>
      </c>
      <c r="F917" s="2">
        <f>IF(C917="GBP",E917*$C$3,IF(C917="TRY",E917/$C$1,IF(C917="EUR",E917*$E$1,IF(C917="RUB",E917/#REF!,IF(C917="EGP",E917/$E$2,E917)))))</f>
        <v>0</v>
      </c>
      <c r="G917" s="15" t="str">
        <f>VLOOKUP(B917,SPECIFICATIONF!$C$2:$D$65,2,0)</f>
        <v>GLOBAL RETAIL</v>
      </c>
      <c r="H917" s="12">
        <f t="shared" si="38"/>
        <v>6</v>
      </c>
      <c r="I917" s="12">
        <f t="shared" si="39"/>
        <v>2025</v>
      </c>
    </row>
    <row r="918" spans="1:9" ht="19.5" customHeight="1" x14ac:dyDescent="0.35">
      <c r="A918" s="41">
        <v>45815</v>
      </c>
      <c r="B918" s="8" t="s">
        <v>24</v>
      </c>
      <c r="C918" s="42" t="s">
        <v>33</v>
      </c>
      <c r="D918" s="43" t="s">
        <v>29</v>
      </c>
      <c r="E918" s="46">
        <v>0</v>
      </c>
      <c r="F918" s="2">
        <f>IF(C918="GBP",E918*$C$3,IF(C918="TRY",E918/$C$1,IF(C918="EUR",E918*$E$1,IF(C918="RUB",E918/#REF!,IF(C918="EGP",E918/$E$2,E918)))))</f>
        <v>0</v>
      </c>
      <c r="G918" s="15" t="str">
        <f>VLOOKUP(B918,SPECIFICATIONF!$C$2:$D$65,2,0)</f>
        <v>GLOBAL RETAIL</v>
      </c>
      <c r="H918" s="12">
        <f t="shared" si="38"/>
        <v>6</v>
      </c>
      <c r="I918" s="12">
        <f t="shared" si="39"/>
        <v>2025</v>
      </c>
    </row>
    <row r="919" spans="1:9" ht="19.5" customHeight="1" x14ac:dyDescent="0.35">
      <c r="A919" s="41">
        <v>45816</v>
      </c>
      <c r="B919" s="8" t="s">
        <v>32</v>
      </c>
      <c r="C919" s="42" t="s">
        <v>11</v>
      </c>
      <c r="D919" s="43" t="s">
        <v>30</v>
      </c>
      <c r="E919" s="46">
        <v>823939.46</v>
      </c>
      <c r="F919" s="2">
        <f>IF(C919="GBP",E919*$C$3,IF(C919="TRY",E919/$C$1,IF(C919="EUR",E919*$E$1,IF(C919="RUB",E919/#REF!,IF(C919="EGP",E919/$E$2,E919)))))</f>
        <v>22594.173346240012</v>
      </c>
      <c r="G919" s="15" t="str">
        <f>VLOOKUP(B919,SPECIFICATIONF!$C$2:$D$65,2,0)</f>
        <v>GLOBAL HFT</v>
      </c>
      <c r="H919" s="12">
        <f t="shared" si="38"/>
        <v>6</v>
      </c>
      <c r="I919" s="12">
        <f t="shared" si="39"/>
        <v>2025</v>
      </c>
    </row>
    <row r="920" spans="1:9" ht="19.5" customHeight="1" x14ac:dyDescent="0.35">
      <c r="A920" s="41">
        <v>45816</v>
      </c>
      <c r="B920" s="8" t="s">
        <v>32</v>
      </c>
      <c r="C920" s="42" t="s">
        <v>33</v>
      </c>
      <c r="D920" s="43" t="s">
        <v>30</v>
      </c>
      <c r="E920" s="46">
        <v>5345.38</v>
      </c>
      <c r="F920" s="2">
        <f>IF(C920="GBP",E920*$C$3,IF(C920="TRY",E920/$C$1,IF(C920="EUR",E920*$E$1,IF(C920="RUB",E920/#REF!,IF(C920="EGP",E920/$E$2,E920)))))</f>
        <v>5345.38</v>
      </c>
      <c r="G920" s="15" t="str">
        <f>VLOOKUP(B920,SPECIFICATIONF!$C$2:$D$65,2,0)</f>
        <v>GLOBAL HFT</v>
      </c>
      <c r="H920" s="12">
        <f t="shared" si="38"/>
        <v>6</v>
      </c>
      <c r="I920" s="12">
        <f t="shared" si="39"/>
        <v>2025</v>
      </c>
    </row>
    <row r="921" spans="1:9" ht="19.5" customHeight="1" x14ac:dyDescent="0.35">
      <c r="A921" s="41">
        <v>45816</v>
      </c>
      <c r="B921" s="8" t="s">
        <v>32</v>
      </c>
      <c r="C921" s="42" t="s">
        <v>11</v>
      </c>
      <c r="D921" s="43" t="s">
        <v>29</v>
      </c>
      <c r="E921" s="47">
        <v>3267297099</v>
      </c>
      <c r="F921" s="2">
        <f>IF(C921="GBP",E921*$C$3,IF(C921="TRY",E921/$C$1,IF(C921="EUR",E921*$E$1,IF(C921="RUB",E921/#REF!,IF(C921="EGP",E921/$E$2,E921)))))</f>
        <v>89596239.301942304</v>
      </c>
      <c r="G921" s="15" t="str">
        <f>VLOOKUP(B921,SPECIFICATIONF!$C$2:$D$65,2,0)</f>
        <v>GLOBAL HFT</v>
      </c>
      <c r="H921" s="12">
        <f t="shared" si="38"/>
        <v>6</v>
      </c>
      <c r="I921" s="12">
        <f t="shared" si="39"/>
        <v>2025</v>
      </c>
    </row>
    <row r="922" spans="1:9" ht="19.5" customHeight="1" x14ac:dyDescent="0.35">
      <c r="A922" s="41">
        <v>45816</v>
      </c>
      <c r="B922" s="8" t="s">
        <v>32</v>
      </c>
      <c r="C922" s="42" t="s">
        <v>33</v>
      </c>
      <c r="D922" s="43" t="s">
        <v>29</v>
      </c>
      <c r="E922" s="46">
        <v>18210548</v>
      </c>
      <c r="F922" s="2">
        <f>IF(C922="GBP",E922*$C$3,IF(C922="TRY",E922/$C$1,IF(C922="EUR",E922*$E$1,IF(C922="RUB",E922/#REF!,IF(C922="EGP",E922/$E$2,E922)))))</f>
        <v>18210548</v>
      </c>
      <c r="G922" s="15" t="str">
        <f>VLOOKUP(B922,SPECIFICATIONF!$C$2:$D$65,2,0)</f>
        <v>GLOBAL HFT</v>
      </c>
      <c r="H922" s="12">
        <f t="shared" si="38"/>
        <v>6</v>
      </c>
      <c r="I922" s="12">
        <f t="shared" si="39"/>
        <v>2025</v>
      </c>
    </row>
    <row r="923" spans="1:9" ht="19.5" customHeight="1" x14ac:dyDescent="0.35">
      <c r="A923" s="41">
        <v>45816</v>
      </c>
      <c r="B923" s="8" t="s">
        <v>24</v>
      </c>
      <c r="C923" s="42" t="s">
        <v>11</v>
      </c>
      <c r="D923" s="43" t="s">
        <v>30</v>
      </c>
      <c r="E923" s="46">
        <v>0</v>
      </c>
      <c r="F923" s="2">
        <f>IF(C923="GBP",E923*$C$3,IF(C923="TRY",E923/$C$1,IF(C923="EUR",E923*$E$1,IF(C923="RUB",E923/#REF!,IF(C923="EGP",E923/$E$2,E923)))))</f>
        <v>0</v>
      </c>
      <c r="G923" s="15" t="str">
        <f>VLOOKUP(B923,SPECIFICATIONF!$C$2:$D$65,2,0)</f>
        <v>GLOBAL RETAIL</v>
      </c>
      <c r="H923" s="12">
        <f t="shared" si="38"/>
        <v>6</v>
      </c>
      <c r="I923" s="12">
        <f t="shared" si="39"/>
        <v>2025</v>
      </c>
    </row>
    <row r="924" spans="1:9" ht="19.5" customHeight="1" x14ac:dyDescent="0.35">
      <c r="A924" s="41">
        <v>45816</v>
      </c>
      <c r="B924" s="8" t="s">
        <v>24</v>
      </c>
      <c r="C924" s="42" t="s">
        <v>33</v>
      </c>
      <c r="D924" s="43" t="s">
        <v>30</v>
      </c>
      <c r="E924" s="46">
        <v>0</v>
      </c>
      <c r="F924" s="2">
        <f>IF(C924="GBP",E924*$C$3,IF(C924="TRY",E924/$C$1,IF(C924="EUR",E924*$E$1,IF(C924="RUB",E924/#REF!,IF(C924="EGP",E924/$E$2,E924)))))</f>
        <v>0</v>
      </c>
      <c r="G924" s="15" t="str">
        <f>VLOOKUP(B924,SPECIFICATIONF!$C$2:$D$65,2,0)</f>
        <v>GLOBAL RETAIL</v>
      </c>
      <c r="H924" s="12">
        <f t="shared" si="38"/>
        <v>6</v>
      </c>
      <c r="I924" s="12">
        <f t="shared" si="39"/>
        <v>2025</v>
      </c>
    </row>
    <row r="925" spans="1:9" ht="19.5" customHeight="1" x14ac:dyDescent="0.35">
      <c r="A925" s="41">
        <v>45816</v>
      </c>
      <c r="B925" s="8" t="s">
        <v>24</v>
      </c>
      <c r="C925" s="42" t="s">
        <v>11</v>
      </c>
      <c r="D925" s="43" t="s">
        <v>29</v>
      </c>
      <c r="E925" s="47">
        <v>0</v>
      </c>
      <c r="F925" s="2">
        <f>IF(C925="GBP",E925*$C$3,IF(C925="TRY",E925/$C$1,IF(C925="EUR",E925*$E$1,IF(C925="RUB",E925/#REF!,IF(C925="EGP",E925/$E$2,E925)))))</f>
        <v>0</v>
      </c>
      <c r="G925" s="15" t="str">
        <f>VLOOKUP(B925,SPECIFICATIONF!$C$2:$D$65,2,0)</f>
        <v>GLOBAL RETAIL</v>
      </c>
      <c r="H925" s="12">
        <f t="shared" si="38"/>
        <v>6</v>
      </c>
      <c r="I925" s="12">
        <f t="shared" si="39"/>
        <v>2025</v>
      </c>
    </row>
    <row r="926" spans="1:9" ht="19.5" customHeight="1" x14ac:dyDescent="0.35">
      <c r="A926" s="41">
        <v>45816</v>
      </c>
      <c r="B926" s="8" t="s">
        <v>24</v>
      </c>
      <c r="C926" s="42" t="s">
        <v>33</v>
      </c>
      <c r="D926" s="43" t="s">
        <v>29</v>
      </c>
      <c r="E926" s="46">
        <v>0</v>
      </c>
      <c r="F926" s="2">
        <f>IF(C926="GBP",E926*$C$3,IF(C926="TRY",E926/$C$1,IF(C926="EUR",E926*$E$1,IF(C926="RUB",E926/#REF!,IF(C926="EGP",E926/$E$2,E926)))))</f>
        <v>0</v>
      </c>
      <c r="G926" s="15" t="str">
        <f>VLOOKUP(B926,SPECIFICATIONF!$C$2:$D$65,2,0)</f>
        <v>GLOBAL RETAIL</v>
      </c>
      <c r="H926" s="12">
        <f t="shared" si="38"/>
        <v>6</v>
      </c>
      <c r="I926" s="12">
        <f t="shared" si="39"/>
        <v>2025</v>
      </c>
    </row>
    <row r="927" spans="1:9" ht="19.5" customHeight="1" x14ac:dyDescent="0.35">
      <c r="A927" s="41">
        <v>45817</v>
      </c>
      <c r="B927" s="8" t="s">
        <v>32</v>
      </c>
      <c r="C927" s="42" t="s">
        <v>11</v>
      </c>
      <c r="D927" s="43" t="s">
        <v>30</v>
      </c>
      <c r="E927" s="46">
        <v>1179892.1000000001</v>
      </c>
      <c r="F927" s="2">
        <f>IF(C927="GBP",E927*$C$3,IF(C927="TRY",E927/$C$1,IF(C927="EUR",E927*$E$1,IF(C927="RUB",E927/#REF!,IF(C927="EGP",E927/$E$2,E927)))))</f>
        <v>32355.152206521532</v>
      </c>
      <c r="G927" s="15" t="str">
        <f>VLOOKUP(B927,SPECIFICATIONF!$C$2:$D$65,2,0)</f>
        <v>GLOBAL HFT</v>
      </c>
      <c r="H927" s="12">
        <f t="shared" si="38"/>
        <v>6</v>
      </c>
      <c r="I927" s="12">
        <f t="shared" si="39"/>
        <v>2025</v>
      </c>
    </row>
    <row r="928" spans="1:9" ht="19.5" customHeight="1" x14ac:dyDescent="0.35">
      <c r="A928" s="41">
        <v>45817</v>
      </c>
      <c r="B928" s="8" t="s">
        <v>32</v>
      </c>
      <c r="C928" s="42" t="s">
        <v>33</v>
      </c>
      <c r="D928" s="43" t="s">
        <v>30</v>
      </c>
      <c r="E928" s="46">
        <v>7620.96</v>
      </c>
      <c r="F928" s="2">
        <f>IF(C928="GBP",E928*$C$3,IF(C928="TRY",E928/$C$1,IF(C928="EUR",E928*$E$1,IF(C928="RUB",E928/#REF!,IF(C928="EGP",E928/$E$2,E928)))))</f>
        <v>7620.96</v>
      </c>
      <c r="G928" s="15" t="str">
        <f>VLOOKUP(B928,SPECIFICATIONF!$C$2:$D$65,2,0)</f>
        <v>GLOBAL HFT</v>
      </c>
      <c r="H928" s="12">
        <f t="shared" si="38"/>
        <v>6</v>
      </c>
      <c r="I928" s="12">
        <f t="shared" si="39"/>
        <v>2025</v>
      </c>
    </row>
    <row r="929" spans="1:9" ht="19.5" customHeight="1" x14ac:dyDescent="0.35">
      <c r="A929" s="41">
        <v>45817</v>
      </c>
      <c r="B929" s="8" t="s">
        <v>32</v>
      </c>
      <c r="C929" s="42" t="s">
        <v>11</v>
      </c>
      <c r="D929" s="43" t="s">
        <v>29</v>
      </c>
      <c r="E929" s="47">
        <v>4560354338</v>
      </c>
      <c r="F929" s="2">
        <f>IF(C929="GBP",E929*$C$3,IF(C929="TRY",E929/$C$1,IF(C929="EUR",E929*$E$1,IF(C929="RUB",E929/#REF!,IF(C929="EGP",E929/$E$2,E929)))))</f>
        <v>125054620.43661511</v>
      </c>
      <c r="G929" s="15" t="str">
        <f>VLOOKUP(B929,SPECIFICATIONF!$C$2:$D$65,2,0)</f>
        <v>GLOBAL HFT</v>
      </c>
      <c r="H929" s="12">
        <f t="shared" si="38"/>
        <v>6</v>
      </c>
      <c r="I929" s="12">
        <f t="shared" si="39"/>
        <v>2025</v>
      </c>
    </row>
    <row r="930" spans="1:9" ht="19.5" customHeight="1" x14ac:dyDescent="0.35">
      <c r="A930" s="41">
        <v>45817</v>
      </c>
      <c r="B930" s="8" t="s">
        <v>32</v>
      </c>
      <c r="C930" s="42" t="s">
        <v>33</v>
      </c>
      <c r="D930" s="43" t="s">
        <v>29</v>
      </c>
      <c r="E930" s="46">
        <v>26376614</v>
      </c>
      <c r="F930" s="2">
        <f>IF(C930="GBP",E930*$C$3,IF(C930="TRY",E930/$C$1,IF(C930="EUR",E930*$E$1,IF(C930="RUB",E930/#REF!,IF(C930="EGP",E930/$E$2,E930)))))</f>
        <v>26376614</v>
      </c>
      <c r="G930" s="15" t="str">
        <f>VLOOKUP(B930,SPECIFICATIONF!$C$2:$D$65,2,0)</f>
        <v>GLOBAL HFT</v>
      </c>
      <c r="H930" s="12">
        <f t="shared" si="38"/>
        <v>6</v>
      </c>
      <c r="I930" s="12">
        <f t="shared" si="39"/>
        <v>2025</v>
      </c>
    </row>
    <row r="931" spans="1:9" ht="19.5" customHeight="1" x14ac:dyDescent="0.35">
      <c r="A931" s="41">
        <v>45817</v>
      </c>
      <c r="B931" s="8" t="s">
        <v>24</v>
      </c>
      <c r="C931" s="42" t="s">
        <v>11</v>
      </c>
      <c r="D931" s="43" t="s">
        <v>30</v>
      </c>
      <c r="E931" s="46">
        <v>0</v>
      </c>
      <c r="F931" s="2">
        <f>IF(C931="GBP",E931*$C$3,IF(C931="TRY",E931/$C$1,IF(C931="EUR",E931*$E$1,IF(C931="RUB",E931/#REF!,IF(C931="EGP",E931/$E$2,E931)))))</f>
        <v>0</v>
      </c>
      <c r="G931" s="15" t="str">
        <f>VLOOKUP(B931,SPECIFICATIONF!$C$2:$D$65,2,0)</f>
        <v>GLOBAL RETAIL</v>
      </c>
      <c r="H931" s="12">
        <f t="shared" si="38"/>
        <v>6</v>
      </c>
      <c r="I931" s="12">
        <f t="shared" si="39"/>
        <v>2025</v>
      </c>
    </row>
    <row r="932" spans="1:9" ht="19.5" customHeight="1" x14ac:dyDescent="0.35">
      <c r="A932" s="41">
        <v>45817</v>
      </c>
      <c r="B932" s="8" t="s">
        <v>24</v>
      </c>
      <c r="C932" s="42" t="s">
        <v>33</v>
      </c>
      <c r="D932" s="43" t="s">
        <v>30</v>
      </c>
      <c r="E932" s="46">
        <v>0</v>
      </c>
      <c r="F932" s="2">
        <f>IF(C932="GBP",E932*$C$3,IF(C932="TRY",E932/$C$1,IF(C932="EUR",E932*$E$1,IF(C932="RUB",E932/#REF!,IF(C932="EGP",E932/$E$2,E932)))))</f>
        <v>0</v>
      </c>
      <c r="G932" s="15" t="str">
        <f>VLOOKUP(B932,SPECIFICATIONF!$C$2:$D$65,2,0)</f>
        <v>GLOBAL RETAIL</v>
      </c>
      <c r="H932" s="12">
        <f t="shared" si="38"/>
        <v>6</v>
      </c>
      <c r="I932" s="12">
        <f t="shared" si="39"/>
        <v>2025</v>
      </c>
    </row>
    <row r="933" spans="1:9" ht="19.5" customHeight="1" x14ac:dyDescent="0.35">
      <c r="A933" s="41">
        <v>45817</v>
      </c>
      <c r="B933" s="8" t="s">
        <v>24</v>
      </c>
      <c r="C933" s="42" t="s">
        <v>11</v>
      </c>
      <c r="D933" s="43" t="s">
        <v>29</v>
      </c>
      <c r="E933" s="47">
        <v>0</v>
      </c>
      <c r="F933" s="2">
        <f>IF(C933="GBP",E933*$C$3,IF(C933="TRY",E933/$C$1,IF(C933="EUR",E933*$E$1,IF(C933="RUB",E933/#REF!,IF(C933="EGP",E933/$E$2,E933)))))</f>
        <v>0</v>
      </c>
      <c r="G933" s="15" t="str">
        <f>VLOOKUP(B933,SPECIFICATIONF!$C$2:$D$65,2,0)</f>
        <v>GLOBAL RETAIL</v>
      </c>
      <c r="H933" s="12">
        <f t="shared" si="38"/>
        <v>6</v>
      </c>
      <c r="I933" s="12">
        <f t="shared" si="39"/>
        <v>2025</v>
      </c>
    </row>
    <row r="934" spans="1:9" ht="19.5" customHeight="1" x14ac:dyDescent="0.35">
      <c r="A934" s="41">
        <v>45817</v>
      </c>
      <c r="B934" s="8" t="s">
        <v>24</v>
      </c>
      <c r="C934" s="42" t="s">
        <v>33</v>
      </c>
      <c r="D934" s="43" t="s">
        <v>29</v>
      </c>
      <c r="E934" s="46">
        <v>0</v>
      </c>
      <c r="F934" s="2">
        <f>IF(C934="GBP",E934*$C$3,IF(C934="TRY",E934/$C$1,IF(C934="EUR",E934*$E$1,IF(C934="RUB",E934/#REF!,IF(C934="EGP",E934/$E$2,E934)))))</f>
        <v>0</v>
      </c>
      <c r="G934" s="15" t="str">
        <f>VLOOKUP(B934,SPECIFICATIONF!$C$2:$D$65,2,0)</f>
        <v>GLOBAL RETAIL</v>
      </c>
      <c r="H934" s="12">
        <f t="shared" ref="H934:H997" si="40">MONTH(A934)</f>
        <v>6</v>
      </c>
      <c r="I934" s="12">
        <f t="shared" ref="I934:I997" si="41">YEAR(A934)</f>
        <v>2025</v>
      </c>
    </row>
    <row r="935" spans="1:9" ht="19.5" customHeight="1" x14ac:dyDescent="0.35">
      <c r="A935" s="41">
        <v>45818</v>
      </c>
      <c r="B935" s="8" t="s">
        <v>32</v>
      </c>
      <c r="C935" s="42" t="s">
        <v>11</v>
      </c>
      <c r="D935" s="43" t="s">
        <v>30</v>
      </c>
      <c r="E935" s="46">
        <v>2070493.4</v>
      </c>
      <c r="F935" s="2">
        <f>IF(C935="GBP",E935*$C$3,IF(C935="TRY",E935/$C$1,IF(C935="EUR",E935*$E$1,IF(C935="RUB",E935/#REF!,IF(C935="EGP",E935/$E$2,E935)))))</f>
        <v>56777.335062755534</v>
      </c>
      <c r="G935" s="15" t="str">
        <f>VLOOKUP(B935,SPECIFICATIONF!$C$2:$D$65,2,0)</f>
        <v>GLOBAL HFT</v>
      </c>
      <c r="H935" s="12">
        <f t="shared" si="40"/>
        <v>6</v>
      </c>
      <c r="I935" s="12">
        <f t="shared" si="41"/>
        <v>2025</v>
      </c>
    </row>
    <row r="936" spans="1:9" ht="19.5" customHeight="1" x14ac:dyDescent="0.35">
      <c r="A936" s="41">
        <v>45818</v>
      </c>
      <c r="B936" s="8" t="s">
        <v>32</v>
      </c>
      <c r="C936" s="42" t="s">
        <v>33</v>
      </c>
      <c r="D936" s="43" t="s">
        <v>30</v>
      </c>
      <c r="E936" s="46">
        <v>17306.310000000001</v>
      </c>
      <c r="F936" s="2">
        <f>IF(C936="GBP",E936*$C$3,IF(C936="TRY",E936/$C$1,IF(C936="EUR",E936*$E$1,IF(C936="RUB",E936/#REF!,IF(C936="EGP",E936/$E$2,E936)))))</f>
        <v>17306.310000000001</v>
      </c>
      <c r="G936" s="15" t="str">
        <f>VLOOKUP(B936,SPECIFICATIONF!$C$2:$D$65,2,0)</f>
        <v>GLOBAL HFT</v>
      </c>
      <c r="H936" s="12">
        <f t="shared" si="40"/>
        <v>6</v>
      </c>
      <c r="I936" s="12">
        <f t="shared" si="41"/>
        <v>2025</v>
      </c>
    </row>
    <row r="937" spans="1:9" ht="19.5" customHeight="1" x14ac:dyDescent="0.35">
      <c r="A937" s="41">
        <v>45818</v>
      </c>
      <c r="B937" s="8" t="s">
        <v>32</v>
      </c>
      <c r="C937" s="42" t="s">
        <v>11</v>
      </c>
      <c r="D937" s="43" t="s">
        <v>29</v>
      </c>
      <c r="E937" s="47">
        <v>7794269797</v>
      </c>
      <c r="F937" s="2">
        <f>IF(C937="GBP",E937*$C$3,IF(C937="TRY",E937/$C$1,IF(C937="EUR",E937*$E$1,IF(C937="RUB",E937/#REF!,IF(C937="EGP",E937/$E$2,E937)))))</f>
        <v>213735464.13322765</v>
      </c>
      <c r="G937" s="15" t="str">
        <f>VLOOKUP(B937,SPECIFICATIONF!$C$2:$D$65,2,0)</f>
        <v>GLOBAL HFT</v>
      </c>
      <c r="H937" s="12">
        <f t="shared" si="40"/>
        <v>6</v>
      </c>
      <c r="I937" s="12">
        <f t="shared" si="41"/>
        <v>2025</v>
      </c>
    </row>
    <row r="938" spans="1:9" ht="19.5" customHeight="1" x14ac:dyDescent="0.35">
      <c r="A938" s="41">
        <v>45818</v>
      </c>
      <c r="B938" s="8" t="s">
        <v>32</v>
      </c>
      <c r="C938" s="42" t="s">
        <v>33</v>
      </c>
      <c r="D938" s="43" t="s">
        <v>29</v>
      </c>
      <c r="E938" s="46">
        <v>55994686</v>
      </c>
      <c r="F938" s="2">
        <f>IF(C938="GBP",E938*$C$3,IF(C938="TRY",E938/$C$1,IF(C938="EUR",E938*$E$1,IF(C938="RUB",E938/#REF!,IF(C938="EGP",E938/$E$2,E938)))))</f>
        <v>55994686</v>
      </c>
      <c r="G938" s="15" t="str">
        <f>VLOOKUP(B938,SPECIFICATIONF!$C$2:$D$65,2,0)</f>
        <v>GLOBAL HFT</v>
      </c>
      <c r="H938" s="12">
        <f t="shared" si="40"/>
        <v>6</v>
      </c>
      <c r="I938" s="12">
        <f t="shared" si="41"/>
        <v>2025</v>
      </c>
    </row>
    <row r="939" spans="1:9" ht="19.5" customHeight="1" x14ac:dyDescent="0.35">
      <c r="A939" s="41">
        <v>45818</v>
      </c>
      <c r="B939" s="8" t="s">
        <v>24</v>
      </c>
      <c r="C939" s="42" t="s">
        <v>11</v>
      </c>
      <c r="D939" s="43" t="s">
        <v>30</v>
      </c>
      <c r="E939" s="46">
        <v>0</v>
      </c>
      <c r="F939" s="2">
        <f>IF(C939="GBP",E939*$C$3,IF(C939="TRY",E939/$C$1,IF(C939="EUR",E939*$E$1,IF(C939="RUB",E939/#REF!,IF(C939="EGP",E939/$E$2,E939)))))</f>
        <v>0</v>
      </c>
      <c r="G939" s="15" t="str">
        <f>VLOOKUP(B939,SPECIFICATIONF!$C$2:$D$65,2,0)</f>
        <v>GLOBAL RETAIL</v>
      </c>
      <c r="H939" s="12">
        <f t="shared" si="40"/>
        <v>6</v>
      </c>
      <c r="I939" s="12">
        <f t="shared" si="41"/>
        <v>2025</v>
      </c>
    </row>
    <row r="940" spans="1:9" ht="19.5" customHeight="1" x14ac:dyDescent="0.35">
      <c r="A940" s="41">
        <v>45818</v>
      </c>
      <c r="B940" s="8" t="s">
        <v>24</v>
      </c>
      <c r="C940" s="42" t="s">
        <v>33</v>
      </c>
      <c r="D940" s="43" t="s">
        <v>30</v>
      </c>
      <c r="E940" s="46">
        <v>0</v>
      </c>
      <c r="F940" s="2">
        <f>IF(C940="GBP",E940*$C$3,IF(C940="TRY",E940/$C$1,IF(C940="EUR",E940*$E$1,IF(C940="RUB",E940/#REF!,IF(C940="EGP",E940/$E$2,E940)))))</f>
        <v>0</v>
      </c>
      <c r="G940" s="15" t="str">
        <f>VLOOKUP(B940,SPECIFICATIONF!$C$2:$D$65,2,0)</f>
        <v>GLOBAL RETAIL</v>
      </c>
      <c r="H940" s="12">
        <f t="shared" si="40"/>
        <v>6</v>
      </c>
      <c r="I940" s="12">
        <f t="shared" si="41"/>
        <v>2025</v>
      </c>
    </row>
    <row r="941" spans="1:9" ht="19.5" customHeight="1" x14ac:dyDescent="0.35">
      <c r="A941" s="41">
        <v>45818</v>
      </c>
      <c r="B941" s="8" t="s">
        <v>24</v>
      </c>
      <c r="C941" s="42" t="s">
        <v>11</v>
      </c>
      <c r="D941" s="43" t="s">
        <v>29</v>
      </c>
      <c r="E941" s="47">
        <v>0</v>
      </c>
      <c r="F941" s="2">
        <f>IF(C941="GBP",E941*$C$3,IF(C941="TRY",E941/$C$1,IF(C941="EUR",E941*$E$1,IF(C941="RUB",E941/#REF!,IF(C941="EGP",E941/$E$2,E941)))))</f>
        <v>0</v>
      </c>
      <c r="G941" s="15" t="str">
        <f>VLOOKUP(B941,SPECIFICATIONF!$C$2:$D$65,2,0)</f>
        <v>GLOBAL RETAIL</v>
      </c>
      <c r="H941" s="12">
        <f t="shared" si="40"/>
        <v>6</v>
      </c>
      <c r="I941" s="12">
        <f t="shared" si="41"/>
        <v>2025</v>
      </c>
    </row>
    <row r="942" spans="1:9" ht="19.5" customHeight="1" x14ac:dyDescent="0.35">
      <c r="A942" s="41">
        <v>45818</v>
      </c>
      <c r="B942" s="8" t="s">
        <v>24</v>
      </c>
      <c r="C942" s="42" t="s">
        <v>33</v>
      </c>
      <c r="D942" s="43" t="s">
        <v>29</v>
      </c>
      <c r="E942" s="46">
        <v>0</v>
      </c>
      <c r="F942" s="2">
        <f>IF(C942="GBP",E942*$C$3,IF(C942="TRY",E942/$C$1,IF(C942="EUR",E942*$E$1,IF(C942="RUB",E942/#REF!,IF(C942="EGP",E942/$E$2,E942)))))</f>
        <v>0</v>
      </c>
      <c r="G942" s="15" t="str">
        <f>VLOOKUP(B942,SPECIFICATIONF!$C$2:$D$65,2,0)</f>
        <v>GLOBAL RETAIL</v>
      </c>
      <c r="H942" s="12">
        <f t="shared" si="40"/>
        <v>6</v>
      </c>
      <c r="I942" s="12">
        <f t="shared" si="41"/>
        <v>2025</v>
      </c>
    </row>
    <row r="943" spans="1:9" ht="19.5" customHeight="1" x14ac:dyDescent="0.35">
      <c r="A943" s="41">
        <v>45819</v>
      </c>
      <c r="B943" s="8" t="s">
        <v>32</v>
      </c>
      <c r="C943" s="42" t="s">
        <v>11</v>
      </c>
      <c r="D943" s="43" t="s">
        <v>30</v>
      </c>
      <c r="E943" s="46">
        <v>1603981</v>
      </c>
      <c r="F943" s="2">
        <f>IF(C943="GBP",E943*$C$3,IF(C943="TRY",E943/$C$1,IF(C943="EUR",E943*$E$1,IF(C943="RUB",E943/#REF!,IF(C943="EGP",E943/$E$2,E943)))))</f>
        <v>43984.572310780459</v>
      </c>
      <c r="G943" s="15" t="str">
        <f>VLOOKUP(B943,SPECIFICATIONF!$C$2:$D$65,2,0)</f>
        <v>GLOBAL HFT</v>
      </c>
      <c r="H943" s="12">
        <f t="shared" si="40"/>
        <v>6</v>
      </c>
      <c r="I943" s="12">
        <f t="shared" si="41"/>
        <v>2025</v>
      </c>
    </row>
    <row r="944" spans="1:9" ht="19.5" customHeight="1" x14ac:dyDescent="0.35">
      <c r="A944" s="41">
        <v>45819</v>
      </c>
      <c r="B944" s="8" t="s">
        <v>32</v>
      </c>
      <c r="C944" s="42" t="s">
        <v>33</v>
      </c>
      <c r="D944" s="43" t="s">
        <v>30</v>
      </c>
      <c r="E944" s="46">
        <v>16169.92</v>
      </c>
      <c r="F944" s="2">
        <f>IF(C944="GBP",E944*$C$3,IF(C944="TRY",E944/$C$1,IF(C944="EUR",E944*$E$1,IF(C944="RUB",E944/#REF!,IF(C944="EGP",E944/$E$2,E944)))))</f>
        <v>16169.92</v>
      </c>
      <c r="G944" s="15" t="str">
        <f>VLOOKUP(B944,SPECIFICATIONF!$C$2:$D$65,2,0)</f>
        <v>GLOBAL HFT</v>
      </c>
      <c r="H944" s="12">
        <f t="shared" si="40"/>
        <v>6</v>
      </c>
      <c r="I944" s="12">
        <f t="shared" si="41"/>
        <v>2025</v>
      </c>
    </row>
    <row r="945" spans="1:9" ht="19.5" customHeight="1" x14ac:dyDescent="0.35">
      <c r="A945" s="41">
        <v>45819</v>
      </c>
      <c r="B945" s="8" t="s">
        <v>32</v>
      </c>
      <c r="C945" s="42" t="s">
        <v>11</v>
      </c>
      <c r="D945" s="43" t="s">
        <v>29</v>
      </c>
      <c r="E945" s="47">
        <v>6203988161</v>
      </c>
      <c r="F945" s="2">
        <f>IF(C945="GBP",E945*$C$3,IF(C945="TRY",E945/$C$1,IF(C945="EUR",E945*$E$1,IF(C945="RUB",E945/#REF!,IF(C945="EGP",E945/$E$2,E945)))))</f>
        <v>170126557.53573787</v>
      </c>
      <c r="G945" s="15" t="str">
        <f>VLOOKUP(B945,SPECIFICATIONF!$C$2:$D$65,2,0)</f>
        <v>GLOBAL HFT</v>
      </c>
      <c r="H945" s="12">
        <f t="shared" si="40"/>
        <v>6</v>
      </c>
      <c r="I945" s="12">
        <f t="shared" si="41"/>
        <v>2025</v>
      </c>
    </row>
    <row r="946" spans="1:9" ht="19.5" customHeight="1" x14ac:dyDescent="0.35">
      <c r="A946" s="41">
        <v>45819</v>
      </c>
      <c r="B946" s="8" t="s">
        <v>32</v>
      </c>
      <c r="C946" s="42" t="s">
        <v>33</v>
      </c>
      <c r="D946" s="43" t="s">
        <v>29</v>
      </c>
      <c r="E946" s="46">
        <v>49444678</v>
      </c>
      <c r="F946" s="2">
        <f>IF(C946="GBP",E946*$C$3,IF(C946="TRY",E946/$C$1,IF(C946="EUR",E946*$E$1,IF(C946="RUB",E946/#REF!,IF(C946="EGP",E946/$E$2,E946)))))</f>
        <v>49444678</v>
      </c>
      <c r="G946" s="15" t="str">
        <f>VLOOKUP(B946,SPECIFICATIONF!$C$2:$D$65,2,0)</f>
        <v>GLOBAL HFT</v>
      </c>
      <c r="H946" s="12">
        <f t="shared" si="40"/>
        <v>6</v>
      </c>
      <c r="I946" s="12">
        <f t="shared" si="41"/>
        <v>2025</v>
      </c>
    </row>
    <row r="947" spans="1:9" ht="19.5" customHeight="1" x14ac:dyDescent="0.35">
      <c r="A947" s="41">
        <v>45819</v>
      </c>
      <c r="B947" s="8" t="s">
        <v>24</v>
      </c>
      <c r="C947" s="42" t="s">
        <v>11</v>
      </c>
      <c r="D947" s="43" t="s">
        <v>30</v>
      </c>
      <c r="E947" s="46">
        <v>0</v>
      </c>
      <c r="F947" s="2">
        <f>IF(C947="GBP",E947*$C$3,IF(C947="TRY",E947/$C$1,IF(C947="EUR",E947*$E$1,IF(C947="RUB",E947/#REF!,IF(C947="EGP",E947/$E$2,E947)))))</f>
        <v>0</v>
      </c>
      <c r="G947" s="15" t="str">
        <f>VLOOKUP(B947,SPECIFICATIONF!$C$2:$D$65,2,0)</f>
        <v>GLOBAL RETAIL</v>
      </c>
      <c r="H947" s="12">
        <f t="shared" si="40"/>
        <v>6</v>
      </c>
      <c r="I947" s="12">
        <f t="shared" si="41"/>
        <v>2025</v>
      </c>
    </row>
    <row r="948" spans="1:9" ht="19.5" customHeight="1" x14ac:dyDescent="0.35">
      <c r="A948" s="41">
        <v>45819</v>
      </c>
      <c r="B948" s="8" t="s">
        <v>24</v>
      </c>
      <c r="C948" s="42" t="s">
        <v>33</v>
      </c>
      <c r="D948" s="43" t="s">
        <v>30</v>
      </c>
      <c r="E948" s="46">
        <v>0</v>
      </c>
      <c r="F948" s="2">
        <f>IF(C948="GBP",E948*$C$3,IF(C948="TRY",E948/$C$1,IF(C948="EUR",E948*$E$1,IF(C948="RUB",E948/#REF!,IF(C948="EGP",E948/$E$2,E948)))))</f>
        <v>0</v>
      </c>
      <c r="G948" s="15" t="str">
        <f>VLOOKUP(B948,SPECIFICATIONF!$C$2:$D$65,2,0)</f>
        <v>GLOBAL RETAIL</v>
      </c>
      <c r="H948" s="12">
        <f t="shared" si="40"/>
        <v>6</v>
      </c>
      <c r="I948" s="12">
        <f t="shared" si="41"/>
        <v>2025</v>
      </c>
    </row>
    <row r="949" spans="1:9" ht="19.5" customHeight="1" x14ac:dyDescent="0.35">
      <c r="A949" s="41">
        <v>45819</v>
      </c>
      <c r="B949" s="8" t="s">
        <v>24</v>
      </c>
      <c r="C949" s="42" t="s">
        <v>11</v>
      </c>
      <c r="D949" s="43" t="s">
        <v>29</v>
      </c>
      <c r="E949" s="47">
        <v>0</v>
      </c>
      <c r="F949" s="2">
        <f>IF(C949="GBP",E949*$C$3,IF(C949="TRY",E949/$C$1,IF(C949="EUR",E949*$E$1,IF(C949="RUB",E949/#REF!,IF(C949="EGP",E949/$E$2,E949)))))</f>
        <v>0</v>
      </c>
      <c r="G949" s="15" t="str">
        <f>VLOOKUP(B949,SPECIFICATIONF!$C$2:$D$65,2,0)</f>
        <v>GLOBAL RETAIL</v>
      </c>
      <c r="H949" s="12">
        <f t="shared" si="40"/>
        <v>6</v>
      </c>
      <c r="I949" s="12">
        <f t="shared" si="41"/>
        <v>2025</v>
      </c>
    </row>
    <row r="950" spans="1:9" ht="19.5" customHeight="1" x14ac:dyDescent="0.35">
      <c r="A950" s="41">
        <v>45819</v>
      </c>
      <c r="B950" s="8" t="s">
        <v>24</v>
      </c>
      <c r="C950" s="42" t="s">
        <v>33</v>
      </c>
      <c r="D950" s="43" t="s">
        <v>29</v>
      </c>
      <c r="E950" s="46">
        <v>0</v>
      </c>
      <c r="F950" s="2">
        <f>IF(C950="GBP",E950*$C$3,IF(C950="TRY",E950/$C$1,IF(C950="EUR",E950*$E$1,IF(C950="RUB",E950/#REF!,IF(C950="EGP",E950/$E$2,E950)))))</f>
        <v>0</v>
      </c>
      <c r="G950" s="15" t="str">
        <f>VLOOKUP(B950,SPECIFICATIONF!$C$2:$D$65,2,0)</f>
        <v>GLOBAL RETAIL</v>
      </c>
      <c r="H950" s="12">
        <f t="shared" si="40"/>
        <v>6</v>
      </c>
      <c r="I950" s="12">
        <f t="shared" si="41"/>
        <v>2025</v>
      </c>
    </row>
    <row r="951" spans="1:9" ht="19.5" customHeight="1" x14ac:dyDescent="0.35">
      <c r="A951" s="41">
        <v>45820</v>
      </c>
      <c r="B951" s="8" t="s">
        <v>32</v>
      </c>
      <c r="C951" s="42" t="s">
        <v>11</v>
      </c>
      <c r="D951" s="43" t="s">
        <v>30</v>
      </c>
      <c r="E951" s="46">
        <v>1158233.69</v>
      </c>
      <c r="F951" s="2">
        <f>IF(C951="GBP",E951*$C$3,IF(C951="TRY",E951/$C$1,IF(C951="EUR",E951*$E$1,IF(C951="RUB",E951/#REF!,IF(C951="EGP",E951/$E$2,E951)))))</f>
        <v>31761.232514965624</v>
      </c>
      <c r="G951" s="15" t="str">
        <f>VLOOKUP(B951,SPECIFICATIONF!$C$2:$D$65,2,0)</f>
        <v>GLOBAL HFT</v>
      </c>
      <c r="H951" s="12">
        <f t="shared" si="40"/>
        <v>6</v>
      </c>
      <c r="I951" s="12">
        <f t="shared" si="41"/>
        <v>2025</v>
      </c>
    </row>
    <row r="952" spans="1:9" ht="19.5" customHeight="1" x14ac:dyDescent="0.35">
      <c r="A952" s="41">
        <v>45820</v>
      </c>
      <c r="B952" s="8" t="s">
        <v>32</v>
      </c>
      <c r="C952" s="42" t="s">
        <v>33</v>
      </c>
      <c r="D952" s="43" t="s">
        <v>30</v>
      </c>
      <c r="E952" s="46">
        <v>11451.56</v>
      </c>
      <c r="F952" s="2">
        <f>IF(C952="GBP",E952*$C$3,IF(C952="TRY",E952/$C$1,IF(C952="EUR",E952*$E$1,IF(C952="RUB",E952/#REF!,IF(C952="EGP",E952/$E$2,E952)))))</f>
        <v>11451.56</v>
      </c>
      <c r="G952" s="15" t="str">
        <f>VLOOKUP(B952,SPECIFICATIONF!$C$2:$D$65,2,0)</f>
        <v>GLOBAL HFT</v>
      </c>
      <c r="H952" s="12">
        <f t="shared" si="40"/>
        <v>6</v>
      </c>
      <c r="I952" s="12">
        <f t="shared" si="41"/>
        <v>2025</v>
      </c>
    </row>
    <row r="953" spans="1:9" ht="19.5" customHeight="1" x14ac:dyDescent="0.35">
      <c r="A953" s="41">
        <v>45820</v>
      </c>
      <c r="B953" s="8" t="s">
        <v>32</v>
      </c>
      <c r="C953" s="42" t="s">
        <v>11</v>
      </c>
      <c r="D953" s="43" t="s">
        <v>29</v>
      </c>
      <c r="E953" s="47">
        <v>4522794946</v>
      </c>
      <c r="F953" s="2">
        <f>IF(C953="GBP",E953*$C$3,IF(C953="TRY",E953/$C$1,IF(C953="EUR",E953*$E$1,IF(C953="RUB",E953/#REF!,IF(C953="EGP",E953/$E$2,E953)))))</f>
        <v>124024661.98113905</v>
      </c>
      <c r="G953" s="15" t="str">
        <f>VLOOKUP(B953,SPECIFICATIONF!$C$2:$D$65,2,0)</f>
        <v>GLOBAL HFT</v>
      </c>
      <c r="H953" s="12">
        <f t="shared" si="40"/>
        <v>6</v>
      </c>
      <c r="I953" s="12">
        <f t="shared" si="41"/>
        <v>2025</v>
      </c>
    </row>
    <row r="954" spans="1:9" ht="19.5" customHeight="1" x14ac:dyDescent="0.35">
      <c r="A954" s="41">
        <v>45820</v>
      </c>
      <c r="B954" s="8" t="s">
        <v>32</v>
      </c>
      <c r="C954" s="42" t="s">
        <v>33</v>
      </c>
      <c r="D954" s="43" t="s">
        <v>29</v>
      </c>
      <c r="E954" s="46">
        <v>36877268</v>
      </c>
      <c r="F954" s="2">
        <f>IF(C954="GBP",E954*$C$3,IF(C954="TRY",E954/$C$1,IF(C954="EUR",E954*$E$1,IF(C954="RUB",E954/#REF!,IF(C954="EGP",E954/$E$2,E954)))))</f>
        <v>36877268</v>
      </c>
      <c r="G954" s="15" t="str">
        <f>VLOOKUP(B954,SPECIFICATIONF!$C$2:$D$65,2,0)</f>
        <v>GLOBAL HFT</v>
      </c>
      <c r="H954" s="12">
        <f t="shared" si="40"/>
        <v>6</v>
      </c>
      <c r="I954" s="12">
        <f t="shared" si="41"/>
        <v>2025</v>
      </c>
    </row>
    <row r="955" spans="1:9" ht="19.5" customHeight="1" x14ac:dyDescent="0.35">
      <c r="A955" s="41">
        <v>45820</v>
      </c>
      <c r="B955" s="8" t="s">
        <v>24</v>
      </c>
      <c r="C955" s="42" t="s">
        <v>11</v>
      </c>
      <c r="D955" s="43" t="s">
        <v>30</v>
      </c>
      <c r="E955" s="46">
        <v>0</v>
      </c>
      <c r="F955" s="2">
        <f>IF(C955="GBP",E955*$C$3,IF(C955="TRY",E955/$C$1,IF(C955="EUR",E955*$E$1,IF(C955="RUB",E955/#REF!,IF(C955="EGP",E955/$E$2,E955)))))</f>
        <v>0</v>
      </c>
      <c r="G955" s="15" t="str">
        <f>VLOOKUP(B955,SPECIFICATIONF!$C$2:$D$65,2,0)</f>
        <v>GLOBAL RETAIL</v>
      </c>
      <c r="H955" s="12">
        <f t="shared" si="40"/>
        <v>6</v>
      </c>
      <c r="I955" s="12">
        <f t="shared" si="41"/>
        <v>2025</v>
      </c>
    </row>
    <row r="956" spans="1:9" ht="19.5" customHeight="1" x14ac:dyDescent="0.35">
      <c r="A956" s="41">
        <v>45820</v>
      </c>
      <c r="B956" s="8" t="s">
        <v>24</v>
      </c>
      <c r="C956" s="42" t="s">
        <v>33</v>
      </c>
      <c r="D956" s="43" t="s">
        <v>30</v>
      </c>
      <c r="E956" s="46">
        <v>0</v>
      </c>
      <c r="F956" s="2">
        <f>IF(C956="GBP",E956*$C$3,IF(C956="TRY",E956/$C$1,IF(C956="EUR",E956*$E$1,IF(C956="RUB",E956/#REF!,IF(C956="EGP",E956/$E$2,E956)))))</f>
        <v>0</v>
      </c>
      <c r="G956" s="15" t="str">
        <f>VLOOKUP(B956,SPECIFICATIONF!$C$2:$D$65,2,0)</f>
        <v>GLOBAL RETAIL</v>
      </c>
      <c r="H956" s="12">
        <f t="shared" si="40"/>
        <v>6</v>
      </c>
      <c r="I956" s="12">
        <f t="shared" si="41"/>
        <v>2025</v>
      </c>
    </row>
    <row r="957" spans="1:9" ht="19.5" customHeight="1" x14ac:dyDescent="0.35">
      <c r="A957" s="41">
        <v>45820</v>
      </c>
      <c r="B957" s="8" t="s">
        <v>24</v>
      </c>
      <c r="C957" s="42" t="s">
        <v>11</v>
      </c>
      <c r="D957" s="43" t="s">
        <v>29</v>
      </c>
      <c r="E957" s="47">
        <v>0</v>
      </c>
      <c r="F957" s="2">
        <f>IF(C957="GBP",E957*$C$3,IF(C957="TRY",E957/$C$1,IF(C957="EUR",E957*$E$1,IF(C957="RUB",E957/#REF!,IF(C957="EGP",E957/$E$2,E957)))))</f>
        <v>0</v>
      </c>
      <c r="G957" s="15" t="str">
        <f>VLOOKUP(B957,SPECIFICATIONF!$C$2:$D$65,2,0)</f>
        <v>GLOBAL RETAIL</v>
      </c>
      <c r="H957" s="12">
        <f t="shared" si="40"/>
        <v>6</v>
      </c>
      <c r="I957" s="12">
        <f t="shared" si="41"/>
        <v>2025</v>
      </c>
    </row>
    <row r="958" spans="1:9" ht="19.5" customHeight="1" x14ac:dyDescent="0.35">
      <c r="A958" s="41">
        <v>45820</v>
      </c>
      <c r="B958" s="8" t="s">
        <v>24</v>
      </c>
      <c r="C958" s="42" t="s">
        <v>33</v>
      </c>
      <c r="D958" s="43" t="s">
        <v>29</v>
      </c>
      <c r="E958" s="46">
        <v>0</v>
      </c>
      <c r="F958" s="2">
        <f>IF(C958="GBP",E958*$C$3,IF(C958="TRY",E958/$C$1,IF(C958="EUR",E958*$E$1,IF(C958="RUB",E958/#REF!,IF(C958="EGP",E958/$E$2,E958)))))</f>
        <v>0</v>
      </c>
      <c r="G958" s="15" t="str">
        <f>VLOOKUP(B958,SPECIFICATIONF!$C$2:$D$65,2,0)</f>
        <v>GLOBAL RETAIL</v>
      </c>
      <c r="H958" s="12">
        <f t="shared" si="40"/>
        <v>6</v>
      </c>
      <c r="I958" s="12">
        <f t="shared" si="41"/>
        <v>2025</v>
      </c>
    </row>
    <row r="959" spans="1:9" ht="19.5" customHeight="1" x14ac:dyDescent="0.35">
      <c r="A959" s="41">
        <v>45821</v>
      </c>
      <c r="B959" s="8" t="s">
        <v>32</v>
      </c>
      <c r="C959" s="42" t="s">
        <v>11</v>
      </c>
      <c r="D959" s="43" t="s">
        <v>30</v>
      </c>
      <c r="E959" s="46">
        <v>1461516.78</v>
      </c>
      <c r="F959" s="2">
        <f>IF(C959="GBP",E959*$C$3,IF(C959="TRY",E959/$C$1,IF(C959="EUR",E959*$E$1,IF(C959="RUB",E959/#REF!,IF(C959="EGP",E959/$E$2,E959)))))</f>
        <v>40077.900232813867</v>
      </c>
      <c r="G959" s="15" t="str">
        <f>VLOOKUP(B959,SPECIFICATIONF!$C$2:$D$65,2,0)</f>
        <v>GLOBAL HFT</v>
      </c>
      <c r="H959" s="12">
        <f t="shared" si="40"/>
        <v>6</v>
      </c>
      <c r="I959" s="12">
        <f t="shared" si="41"/>
        <v>2025</v>
      </c>
    </row>
    <row r="960" spans="1:9" ht="19.5" customHeight="1" x14ac:dyDescent="0.35">
      <c r="A960" s="41">
        <v>45821</v>
      </c>
      <c r="B960" s="8" t="s">
        <v>32</v>
      </c>
      <c r="C960" s="42" t="s">
        <v>33</v>
      </c>
      <c r="D960" s="43" t="s">
        <v>30</v>
      </c>
      <c r="E960" s="46">
        <v>14042.45</v>
      </c>
      <c r="F960" s="2">
        <f>IF(C960="GBP",E960*$C$3,IF(C960="TRY",E960/$C$1,IF(C960="EUR",E960*$E$1,IF(C960="RUB",E960/#REF!,IF(C960="EGP",E960/$E$2,E960)))))</f>
        <v>14042.45</v>
      </c>
      <c r="G960" s="15" t="str">
        <f>VLOOKUP(B960,SPECIFICATIONF!$C$2:$D$65,2,0)</f>
        <v>GLOBAL HFT</v>
      </c>
      <c r="H960" s="12">
        <f t="shared" si="40"/>
        <v>6</v>
      </c>
      <c r="I960" s="12">
        <f t="shared" si="41"/>
        <v>2025</v>
      </c>
    </row>
    <row r="961" spans="1:9" ht="19.5" customHeight="1" x14ac:dyDescent="0.35">
      <c r="A961" s="41">
        <v>45821</v>
      </c>
      <c r="B961" s="8" t="s">
        <v>32</v>
      </c>
      <c r="C961" s="42" t="s">
        <v>11</v>
      </c>
      <c r="D961" s="43" t="s">
        <v>29</v>
      </c>
      <c r="E961" s="47">
        <v>5691572475</v>
      </c>
      <c r="F961" s="2">
        <f>IF(C961="GBP",E961*$C$3,IF(C961="TRY",E961/$C$1,IF(C961="EUR",E961*$E$1,IF(C961="RUB",E961/#REF!,IF(C961="EGP",E961/$E$2,E961)))))</f>
        <v>156075028.99890035</v>
      </c>
      <c r="G961" s="15" t="str">
        <f>VLOOKUP(B961,SPECIFICATIONF!$C$2:$D$65,2,0)</f>
        <v>GLOBAL HFT</v>
      </c>
      <c r="H961" s="12">
        <f t="shared" si="40"/>
        <v>6</v>
      </c>
      <c r="I961" s="12">
        <f t="shared" si="41"/>
        <v>2025</v>
      </c>
    </row>
    <row r="962" spans="1:9" ht="19.5" customHeight="1" x14ac:dyDescent="0.35">
      <c r="A962" s="41">
        <v>45821</v>
      </c>
      <c r="B962" s="8" t="s">
        <v>32</v>
      </c>
      <c r="C962" s="42" t="s">
        <v>33</v>
      </c>
      <c r="D962" s="43" t="s">
        <v>29</v>
      </c>
      <c r="E962" s="46">
        <v>45027351</v>
      </c>
      <c r="F962" s="2">
        <f>IF(C962="GBP",E962*$C$3,IF(C962="TRY",E962/$C$1,IF(C962="EUR",E962*$E$1,IF(C962="RUB",E962/#REF!,IF(C962="EGP",E962/$E$2,E962)))))</f>
        <v>45027351</v>
      </c>
      <c r="G962" s="15" t="str">
        <f>VLOOKUP(B962,SPECIFICATIONF!$C$2:$D$65,2,0)</f>
        <v>GLOBAL HFT</v>
      </c>
      <c r="H962" s="12">
        <f t="shared" si="40"/>
        <v>6</v>
      </c>
      <c r="I962" s="12">
        <f t="shared" si="41"/>
        <v>2025</v>
      </c>
    </row>
    <row r="963" spans="1:9" ht="19.5" customHeight="1" x14ac:dyDescent="0.35">
      <c r="A963" s="41">
        <v>45821</v>
      </c>
      <c r="B963" s="8" t="s">
        <v>24</v>
      </c>
      <c r="C963" s="42" t="s">
        <v>11</v>
      </c>
      <c r="D963" s="43" t="s">
        <v>30</v>
      </c>
      <c r="E963" s="46">
        <v>0</v>
      </c>
      <c r="F963" s="2">
        <f>IF(C963="GBP",E963*$C$3,IF(C963="TRY",E963/$C$1,IF(C963="EUR",E963*$E$1,IF(C963="RUB",E963/#REF!,IF(C963="EGP",E963/$E$2,E963)))))</f>
        <v>0</v>
      </c>
      <c r="G963" s="15" t="str">
        <f>VLOOKUP(B963,SPECIFICATIONF!$C$2:$D$65,2,0)</f>
        <v>GLOBAL RETAIL</v>
      </c>
      <c r="H963" s="12">
        <f t="shared" si="40"/>
        <v>6</v>
      </c>
      <c r="I963" s="12">
        <f t="shared" si="41"/>
        <v>2025</v>
      </c>
    </row>
    <row r="964" spans="1:9" ht="19.5" customHeight="1" x14ac:dyDescent="0.35">
      <c r="A964" s="41">
        <v>45821</v>
      </c>
      <c r="B964" s="8" t="s">
        <v>24</v>
      </c>
      <c r="C964" s="42" t="s">
        <v>33</v>
      </c>
      <c r="D964" s="43" t="s">
        <v>30</v>
      </c>
      <c r="E964" s="46">
        <v>0.1</v>
      </c>
      <c r="F964" s="2">
        <f>IF(C964="GBP",E964*$C$3,IF(C964="TRY",E964/$C$1,IF(C964="EUR",E964*$E$1,IF(C964="RUB",E964/#REF!,IF(C964="EGP",E964/$E$2,E964)))))</f>
        <v>0.1</v>
      </c>
      <c r="G964" s="15" t="str">
        <f>VLOOKUP(B964,SPECIFICATIONF!$C$2:$D$65,2,0)</f>
        <v>GLOBAL RETAIL</v>
      </c>
      <c r="H964" s="12">
        <f t="shared" si="40"/>
        <v>6</v>
      </c>
      <c r="I964" s="12">
        <f t="shared" si="41"/>
        <v>2025</v>
      </c>
    </row>
    <row r="965" spans="1:9" ht="19.5" customHeight="1" x14ac:dyDescent="0.35">
      <c r="A965" s="41">
        <v>45821</v>
      </c>
      <c r="B965" s="8" t="s">
        <v>24</v>
      </c>
      <c r="C965" s="42" t="s">
        <v>11</v>
      </c>
      <c r="D965" s="43" t="s">
        <v>29</v>
      </c>
      <c r="E965" s="47">
        <v>0</v>
      </c>
      <c r="F965" s="2">
        <f>IF(C965="GBP",E965*$C$3,IF(C965="TRY",E965/$C$1,IF(C965="EUR",E965*$E$1,IF(C965="RUB",E965/#REF!,IF(C965="EGP",E965/$E$2,E965)))))</f>
        <v>0</v>
      </c>
      <c r="G965" s="15" t="str">
        <f>VLOOKUP(B965,SPECIFICATIONF!$C$2:$D$65,2,0)</f>
        <v>GLOBAL RETAIL</v>
      </c>
      <c r="H965" s="12">
        <f t="shared" si="40"/>
        <v>6</v>
      </c>
      <c r="I965" s="12">
        <f t="shared" si="41"/>
        <v>2025</v>
      </c>
    </row>
    <row r="966" spans="1:9" ht="19.5" customHeight="1" x14ac:dyDescent="0.35">
      <c r="A966" s="41">
        <v>45821</v>
      </c>
      <c r="B966" s="8" t="s">
        <v>24</v>
      </c>
      <c r="C966" s="42" t="s">
        <v>33</v>
      </c>
      <c r="D966" s="43" t="s">
        <v>29</v>
      </c>
      <c r="E966" s="46">
        <v>103</v>
      </c>
      <c r="F966" s="2">
        <f>IF(C966="GBP",E966*$C$3,IF(C966="TRY",E966/$C$1,IF(C966="EUR",E966*$E$1,IF(C966="RUB",E966/#REF!,IF(C966="EGP",E966/$E$2,E966)))))</f>
        <v>103</v>
      </c>
      <c r="G966" s="15" t="str">
        <f>VLOOKUP(B966,SPECIFICATIONF!$C$2:$D$65,2,0)</f>
        <v>GLOBAL RETAIL</v>
      </c>
      <c r="H966" s="12">
        <f t="shared" si="40"/>
        <v>6</v>
      </c>
      <c r="I966" s="12">
        <f t="shared" si="41"/>
        <v>2025</v>
      </c>
    </row>
    <row r="967" spans="1:9" ht="19.5" customHeight="1" x14ac:dyDescent="0.35">
      <c r="A967" s="41">
        <v>45822</v>
      </c>
      <c r="B967" s="8" t="s">
        <v>32</v>
      </c>
      <c r="C967" s="42" t="s">
        <v>11</v>
      </c>
      <c r="D967" s="43" t="s">
        <v>30</v>
      </c>
      <c r="E967" s="46">
        <v>746853.51</v>
      </c>
      <c r="F967" s="2">
        <f>IF(C967="GBP",E967*$C$3,IF(C967="TRY",E967/$C$1,IF(C967="EUR",E967*$E$1,IF(C967="RUB",E967/#REF!,IF(C967="EGP",E967/$E$2,E967)))))</f>
        <v>20480.31255741508</v>
      </c>
      <c r="G967" s="15" t="str">
        <f>VLOOKUP(B967,SPECIFICATIONF!$C$2:$D$65,2,0)</f>
        <v>GLOBAL HFT</v>
      </c>
      <c r="H967" s="12">
        <f t="shared" si="40"/>
        <v>6</v>
      </c>
      <c r="I967" s="12">
        <f t="shared" si="41"/>
        <v>2025</v>
      </c>
    </row>
    <row r="968" spans="1:9" ht="19.5" customHeight="1" x14ac:dyDescent="0.35">
      <c r="A968" s="41">
        <v>45822</v>
      </c>
      <c r="B968" s="8" t="s">
        <v>32</v>
      </c>
      <c r="C968" s="42" t="s">
        <v>33</v>
      </c>
      <c r="D968" s="43" t="s">
        <v>30</v>
      </c>
      <c r="E968" s="46">
        <v>5396.09</v>
      </c>
      <c r="F968" s="2">
        <f>IF(C968="GBP",E968*$C$3,IF(C968="TRY",E968/$C$1,IF(C968="EUR",E968*$E$1,IF(C968="RUB",E968/#REF!,IF(C968="EGP",E968/$E$2,E968)))))</f>
        <v>5396.09</v>
      </c>
      <c r="G968" s="15" t="str">
        <f>VLOOKUP(B968,SPECIFICATIONF!$C$2:$D$65,2,0)</f>
        <v>GLOBAL HFT</v>
      </c>
      <c r="H968" s="12">
        <f t="shared" si="40"/>
        <v>6</v>
      </c>
      <c r="I968" s="12">
        <f t="shared" si="41"/>
        <v>2025</v>
      </c>
    </row>
    <row r="969" spans="1:9" ht="19.5" customHeight="1" x14ac:dyDescent="0.35">
      <c r="A969" s="41">
        <v>45822</v>
      </c>
      <c r="B969" s="8" t="s">
        <v>32</v>
      </c>
      <c r="C969" s="42" t="s">
        <v>11</v>
      </c>
      <c r="D969" s="43" t="s">
        <v>29</v>
      </c>
      <c r="E969" s="47">
        <v>3050911677</v>
      </c>
      <c r="F969" s="2">
        <f>IF(C969="GBP",E969*$C$3,IF(C969="TRY",E969/$C$1,IF(C969="EUR",E969*$E$1,IF(C969="RUB",E969/#REF!,IF(C969="EGP",E969/$E$2,E969)))))</f>
        <v>83662490.559932426</v>
      </c>
      <c r="G969" s="15" t="str">
        <f>VLOOKUP(B969,SPECIFICATIONF!$C$2:$D$65,2,0)</f>
        <v>GLOBAL HFT</v>
      </c>
      <c r="H969" s="12">
        <f t="shared" si="40"/>
        <v>6</v>
      </c>
      <c r="I969" s="12">
        <f t="shared" si="41"/>
        <v>2025</v>
      </c>
    </row>
    <row r="970" spans="1:9" ht="19.5" customHeight="1" x14ac:dyDescent="0.35">
      <c r="A970" s="41">
        <v>45822</v>
      </c>
      <c r="B970" s="8" t="s">
        <v>32</v>
      </c>
      <c r="C970" s="42" t="s">
        <v>33</v>
      </c>
      <c r="D970" s="43" t="s">
        <v>29</v>
      </c>
      <c r="E970" s="46">
        <v>17568981</v>
      </c>
      <c r="F970" s="2">
        <f>IF(C970="GBP",E970*$C$3,IF(C970="TRY",E970/$C$1,IF(C970="EUR",E970*$E$1,IF(C970="RUB",E970/#REF!,IF(C970="EGP",E970/$E$2,E970)))))</f>
        <v>17568981</v>
      </c>
      <c r="G970" s="15" t="str">
        <f>VLOOKUP(B970,SPECIFICATIONF!$C$2:$D$65,2,0)</f>
        <v>GLOBAL HFT</v>
      </c>
      <c r="H970" s="12">
        <f t="shared" si="40"/>
        <v>6</v>
      </c>
      <c r="I970" s="12">
        <f t="shared" si="41"/>
        <v>2025</v>
      </c>
    </row>
    <row r="971" spans="1:9" ht="19.5" customHeight="1" x14ac:dyDescent="0.35">
      <c r="A971" s="41">
        <v>45822</v>
      </c>
      <c r="B971" s="8" t="s">
        <v>24</v>
      </c>
      <c r="C971" s="42" t="s">
        <v>11</v>
      </c>
      <c r="D971" s="43" t="s">
        <v>30</v>
      </c>
      <c r="E971" s="46">
        <v>0</v>
      </c>
      <c r="F971" s="2">
        <f>IF(C971="GBP",E971*$C$3,IF(C971="TRY",E971/$C$1,IF(C971="EUR",E971*$E$1,IF(C971="RUB",E971/#REF!,IF(C971="EGP",E971/$E$2,E971)))))</f>
        <v>0</v>
      </c>
      <c r="G971" s="15" t="str">
        <f>VLOOKUP(B971,SPECIFICATIONF!$C$2:$D$65,2,0)</f>
        <v>GLOBAL RETAIL</v>
      </c>
      <c r="H971" s="12">
        <f t="shared" si="40"/>
        <v>6</v>
      </c>
      <c r="I971" s="12">
        <f t="shared" si="41"/>
        <v>2025</v>
      </c>
    </row>
    <row r="972" spans="1:9" ht="19.5" customHeight="1" x14ac:dyDescent="0.35">
      <c r="A972" s="41">
        <v>45822</v>
      </c>
      <c r="B972" s="8" t="s">
        <v>24</v>
      </c>
      <c r="C972" s="42" t="s">
        <v>33</v>
      </c>
      <c r="D972" s="43" t="s">
        <v>30</v>
      </c>
      <c r="E972" s="46">
        <v>0</v>
      </c>
      <c r="F972" s="2">
        <f>IF(C972="GBP",E972*$C$3,IF(C972="TRY",E972/$C$1,IF(C972="EUR",E972*$E$1,IF(C972="RUB",E972/#REF!,IF(C972="EGP",E972/$E$2,E972)))))</f>
        <v>0</v>
      </c>
      <c r="G972" s="15" t="str">
        <f>VLOOKUP(B972,SPECIFICATIONF!$C$2:$D$65,2,0)</f>
        <v>GLOBAL RETAIL</v>
      </c>
      <c r="H972" s="12">
        <f t="shared" si="40"/>
        <v>6</v>
      </c>
      <c r="I972" s="12">
        <f t="shared" si="41"/>
        <v>2025</v>
      </c>
    </row>
    <row r="973" spans="1:9" ht="19.5" customHeight="1" x14ac:dyDescent="0.35">
      <c r="A973" s="41">
        <v>45822</v>
      </c>
      <c r="B973" s="8" t="s">
        <v>24</v>
      </c>
      <c r="C973" s="42" t="s">
        <v>11</v>
      </c>
      <c r="D973" s="43" t="s">
        <v>29</v>
      </c>
      <c r="E973" s="47">
        <v>0</v>
      </c>
      <c r="F973" s="2">
        <f>IF(C973="GBP",E973*$C$3,IF(C973="TRY",E973/$C$1,IF(C973="EUR",E973*$E$1,IF(C973="RUB",E973/#REF!,IF(C973="EGP",E973/$E$2,E973)))))</f>
        <v>0</v>
      </c>
      <c r="G973" s="15" t="str">
        <f>VLOOKUP(B973,SPECIFICATIONF!$C$2:$D$65,2,0)</f>
        <v>GLOBAL RETAIL</v>
      </c>
      <c r="H973" s="12">
        <f t="shared" si="40"/>
        <v>6</v>
      </c>
      <c r="I973" s="12">
        <f t="shared" si="41"/>
        <v>2025</v>
      </c>
    </row>
    <row r="974" spans="1:9" ht="19.5" customHeight="1" x14ac:dyDescent="0.35">
      <c r="A974" s="41">
        <v>45822</v>
      </c>
      <c r="B974" s="8" t="s">
        <v>24</v>
      </c>
      <c r="C974" s="42" t="s">
        <v>33</v>
      </c>
      <c r="D974" s="43" t="s">
        <v>29</v>
      </c>
      <c r="E974" s="46">
        <v>0</v>
      </c>
      <c r="F974" s="2">
        <f>IF(C974="GBP",E974*$C$3,IF(C974="TRY",E974/$C$1,IF(C974="EUR",E974*$E$1,IF(C974="RUB",E974/#REF!,IF(C974="EGP",E974/$E$2,E974)))))</f>
        <v>0</v>
      </c>
      <c r="G974" s="15" t="str">
        <f>VLOOKUP(B974,SPECIFICATIONF!$C$2:$D$65,2,0)</f>
        <v>GLOBAL RETAIL</v>
      </c>
      <c r="H974" s="12">
        <f t="shared" si="40"/>
        <v>6</v>
      </c>
      <c r="I974" s="12">
        <f t="shared" si="41"/>
        <v>2025</v>
      </c>
    </row>
    <row r="975" spans="1:9" ht="19.5" customHeight="1" x14ac:dyDescent="0.35">
      <c r="A975" s="41">
        <v>45823</v>
      </c>
      <c r="B975" s="8" t="s">
        <v>32</v>
      </c>
      <c r="C975" s="42" t="s">
        <v>11</v>
      </c>
      <c r="D975" s="43" t="s">
        <v>30</v>
      </c>
      <c r="E975" s="46">
        <v>729836.74</v>
      </c>
      <c r="F975" s="2">
        <f>IF(C975="GBP",E975*$C$3,IF(C975="TRY",E975/$C$1,IF(C975="EUR",E975*$E$1,IF(C975="RUB",E975/#REF!,IF(C975="EGP",E975/$E$2,E975)))))</f>
        <v>20013.676512124694</v>
      </c>
      <c r="G975" s="15" t="str">
        <f>VLOOKUP(B975,SPECIFICATIONF!$C$2:$D$65,2,0)</f>
        <v>GLOBAL HFT</v>
      </c>
      <c r="H975" s="12">
        <f t="shared" si="40"/>
        <v>6</v>
      </c>
      <c r="I975" s="12">
        <f t="shared" si="41"/>
        <v>2025</v>
      </c>
    </row>
    <row r="976" spans="1:9" ht="19.5" customHeight="1" x14ac:dyDescent="0.35">
      <c r="A976" s="41">
        <v>45823</v>
      </c>
      <c r="B976" s="8" t="s">
        <v>32</v>
      </c>
      <c r="C976" s="42" t="s">
        <v>33</v>
      </c>
      <c r="D976" s="43" t="s">
        <v>30</v>
      </c>
      <c r="E976" s="46">
        <v>5603.75</v>
      </c>
      <c r="F976" s="2">
        <f>IF(C976="GBP",E976*$C$3,IF(C976="TRY",E976/$C$1,IF(C976="EUR",E976*$E$1,IF(C976="RUB",E976/#REF!,IF(C976="EGP",E976/$E$2,E976)))))</f>
        <v>5603.75</v>
      </c>
      <c r="G976" s="15" t="str">
        <f>VLOOKUP(B976,SPECIFICATIONF!$C$2:$D$65,2,0)</f>
        <v>GLOBAL HFT</v>
      </c>
      <c r="H976" s="12">
        <f t="shared" si="40"/>
        <v>6</v>
      </c>
      <c r="I976" s="12">
        <f t="shared" si="41"/>
        <v>2025</v>
      </c>
    </row>
    <row r="977" spans="1:9" ht="19.5" customHeight="1" x14ac:dyDescent="0.35">
      <c r="A977" s="41">
        <v>45823</v>
      </c>
      <c r="B977" s="8" t="s">
        <v>32</v>
      </c>
      <c r="C977" s="42" t="s">
        <v>11</v>
      </c>
      <c r="D977" s="43" t="s">
        <v>29</v>
      </c>
      <c r="E977" s="47">
        <v>2970655767</v>
      </c>
      <c r="F977" s="2">
        <f>IF(C977="GBP",E977*$C$3,IF(C977="TRY",E977/$C$1,IF(C977="EUR",E977*$E$1,IF(C977="RUB",E977/#REF!,IF(C977="EGP",E977/$E$2,E977)))))</f>
        <v>81461702.722194642</v>
      </c>
      <c r="G977" s="15" t="str">
        <f>VLOOKUP(B977,SPECIFICATIONF!$C$2:$D$65,2,0)</f>
        <v>GLOBAL HFT</v>
      </c>
      <c r="H977" s="12">
        <f t="shared" si="40"/>
        <v>6</v>
      </c>
      <c r="I977" s="12">
        <f t="shared" si="41"/>
        <v>2025</v>
      </c>
    </row>
    <row r="978" spans="1:9" ht="19.5" customHeight="1" x14ac:dyDescent="0.35">
      <c r="A978" s="41">
        <v>45823</v>
      </c>
      <c r="B978" s="8" t="s">
        <v>32</v>
      </c>
      <c r="C978" s="42" t="s">
        <v>33</v>
      </c>
      <c r="D978" s="43" t="s">
        <v>29</v>
      </c>
      <c r="E978" s="46">
        <v>17987050</v>
      </c>
      <c r="F978" s="2">
        <f>IF(C978="GBP",E978*$C$3,IF(C978="TRY",E978/$C$1,IF(C978="EUR",E978*$E$1,IF(C978="RUB",E978/#REF!,IF(C978="EGP",E978/$E$2,E978)))))</f>
        <v>17987050</v>
      </c>
      <c r="G978" s="15" t="str">
        <f>VLOOKUP(B978,SPECIFICATIONF!$C$2:$D$65,2,0)</f>
        <v>GLOBAL HFT</v>
      </c>
      <c r="H978" s="12">
        <f t="shared" si="40"/>
        <v>6</v>
      </c>
      <c r="I978" s="12">
        <f t="shared" si="41"/>
        <v>2025</v>
      </c>
    </row>
    <row r="979" spans="1:9" ht="19.5" customHeight="1" x14ac:dyDescent="0.35">
      <c r="A979" s="41">
        <v>45823</v>
      </c>
      <c r="B979" s="8" t="s">
        <v>24</v>
      </c>
      <c r="C979" s="42" t="s">
        <v>11</v>
      </c>
      <c r="D979" s="43" t="s">
        <v>30</v>
      </c>
      <c r="E979" s="46">
        <v>4.43</v>
      </c>
      <c r="F979" s="2">
        <f>IF(C979="GBP",E979*$C$3,IF(C979="TRY",E979/$C$1,IF(C979="EUR",E979*$E$1,IF(C979="RUB",E979/#REF!,IF(C979="EGP",E979/$E$2,E979)))))</f>
        <v>0.12148002709306246</v>
      </c>
      <c r="G979" s="15" t="str">
        <f>VLOOKUP(B979,SPECIFICATIONF!$C$2:$D$65,2,0)</f>
        <v>GLOBAL RETAIL</v>
      </c>
      <c r="H979" s="12">
        <f t="shared" si="40"/>
        <v>6</v>
      </c>
      <c r="I979" s="12">
        <f t="shared" si="41"/>
        <v>2025</v>
      </c>
    </row>
    <row r="980" spans="1:9" ht="19.5" customHeight="1" x14ac:dyDescent="0.35">
      <c r="A980" s="41">
        <v>45823</v>
      </c>
      <c r="B980" s="8" t="s">
        <v>24</v>
      </c>
      <c r="C980" s="42" t="s">
        <v>33</v>
      </c>
      <c r="D980" s="43" t="s">
        <v>30</v>
      </c>
      <c r="E980" s="46">
        <v>0</v>
      </c>
      <c r="F980" s="2">
        <f>IF(C980="GBP",E980*$C$3,IF(C980="TRY",E980/$C$1,IF(C980="EUR",E980*$E$1,IF(C980="RUB",E980/#REF!,IF(C980="EGP",E980/$E$2,E980)))))</f>
        <v>0</v>
      </c>
      <c r="G980" s="15" t="str">
        <f>VLOOKUP(B980,SPECIFICATIONF!$C$2:$D$65,2,0)</f>
        <v>GLOBAL RETAIL</v>
      </c>
      <c r="H980" s="12">
        <f t="shared" si="40"/>
        <v>6</v>
      </c>
      <c r="I980" s="12">
        <f t="shared" si="41"/>
        <v>2025</v>
      </c>
    </row>
    <row r="981" spans="1:9" ht="19.5" customHeight="1" x14ac:dyDescent="0.35">
      <c r="A981" s="41">
        <v>45823</v>
      </c>
      <c r="B981" s="8" t="s">
        <v>24</v>
      </c>
      <c r="C981" s="42" t="s">
        <v>11</v>
      </c>
      <c r="D981" s="43" t="s">
        <v>29</v>
      </c>
      <c r="E981" s="47">
        <v>4025</v>
      </c>
      <c r="F981" s="2">
        <f>IF(C981="GBP",E981*$C$3,IF(C981="TRY",E981/$C$1,IF(C981="EUR",E981*$E$1,IF(C981="RUB",E981/#REF!,IF(C981="EGP",E981/$E$2,E981)))))</f>
        <v>110.37406524821138</v>
      </c>
      <c r="G981" s="15" t="str">
        <f>VLOOKUP(B981,SPECIFICATIONF!$C$2:$D$65,2,0)</f>
        <v>GLOBAL RETAIL</v>
      </c>
      <c r="H981" s="12">
        <f t="shared" si="40"/>
        <v>6</v>
      </c>
      <c r="I981" s="12">
        <f t="shared" si="41"/>
        <v>2025</v>
      </c>
    </row>
    <row r="982" spans="1:9" ht="19.5" customHeight="1" x14ac:dyDescent="0.35">
      <c r="A982" s="41">
        <v>45823</v>
      </c>
      <c r="B982" s="8" t="s">
        <v>24</v>
      </c>
      <c r="C982" s="42" t="s">
        <v>33</v>
      </c>
      <c r="D982" s="43" t="s">
        <v>29</v>
      </c>
      <c r="E982" s="46">
        <v>0</v>
      </c>
      <c r="F982" s="2">
        <f>IF(C982="GBP",E982*$C$3,IF(C982="TRY",E982/$C$1,IF(C982="EUR",E982*$E$1,IF(C982="RUB",E982/#REF!,IF(C982="EGP",E982/$E$2,E982)))))</f>
        <v>0</v>
      </c>
      <c r="G982" s="15" t="str">
        <f>VLOOKUP(B982,SPECIFICATIONF!$C$2:$D$65,2,0)</f>
        <v>GLOBAL RETAIL</v>
      </c>
      <c r="H982" s="12">
        <f t="shared" si="40"/>
        <v>6</v>
      </c>
      <c r="I982" s="12">
        <f t="shared" si="41"/>
        <v>2025</v>
      </c>
    </row>
    <row r="983" spans="1:9" ht="19.5" customHeight="1" x14ac:dyDescent="0.35">
      <c r="A983" s="41">
        <v>45824</v>
      </c>
      <c r="B983" s="8" t="s">
        <v>32</v>
      </c>
      <c r="C983" s="42" t="s">
        <v>11</v>
      </c>
      <c r="D983" s="43" t="s">
        <v>30</v>
      </c>
      <c r="E983" s="46">
        <v>1339287.81</v>
      </c>
      <c r="F983" s="2">
        <f>IF(C983="GBP",E983*$C$3,IF(C983="TRY",E983/$C$1,IF(C983="EUR",E983*$E$1,IF(C983="RUB",E983/#REF!,IF(C983="EGP",E983/$E$2,E983)))))</f>
        <v>36726.121770701648</v>
      </c>
      <c r="G983" s="15" t="str">
        <f>VLOOKUP(B983,SPECIFICATIONF!$C$2:$D$65,2,0)</f>
        <v>GLOBAL HFT</v>
      </c>
      <c r="H983" s="12">
        <f t="shared" si="40"/>
        <v>6</v>
      </c>
      <c r="I983" s="12">
        <f t="shared" si="41"/>
        <v>2025</v>
      </c>
    </row>
    <row r="984" spans="1:9" ht="19.5" customHeight="1" x14ac:dyDescent="0.35">
      <c r="A984" s="41">
        <v>45824</v>
      </c>
      <c r="B984" s="8" t="s">
        <v>32</v>
      </c>
      <c r="C984" s="42" t="s">
        <v>33</v>
      </c>
      <c r="D984" s="43" t="s">
        <v>30</v>
      </c>
      <c r="E984" s="46">
        <v>11130.41</v>
      </c>
      <c r="F984" s="2">
        <f>IF(C984="GBP",E984*$C$3,IF(C984="TRY",E984/$C$1,IF(C984="EUR",E984*$E$1,IF(C984="RUB",E984/#REF!,IF(C984="EGP",E984/$E$2,E984)))))</f>
        <v>11130.41</v>
      </c>
      <c r="G984" s="15" t="str">
        <f>VLOOKUP(B984,SPECIFICATIONF!$C$2:$D$65,2,0)</f>
        <v>GLOBAL HFT</v>
      </c>
      <c r="H984" s="12">
        <f t="shared" si="40"/>
        <v>6</v>
      </c>
      <c r="I984" s="12">
        <f t="shared" si="41"/>
        <v>2025</v>
      </c>
    </row>
    <row r="985" spans="1:9" ht="19.5" customHeight="1" x14ac:dyDescent="0.35">
      <c r="A985" s="41">
        <v>45824</v>
      </c>
      <c r="B985" s="8" t="s">
        <v>32</v>
      </c>
      <c r="C985" s="42" t="s">
        <v>11</v>
      </c>
      <c r="D985" s="43" t="s">
        <v>29</v>
      </c>
      <c r="E985" s="47">
        <v>5215605181</v>
      </c>
      <c r="F985" s="2">
        <f>IF(C985="GBP",E985*$C$3,IF(C985="TRY",E985/$C$1,IF(C985="EUR",E985*$E$1,IF(C985="RUB",E985/#REF!,IF(C985="EGP",E985/$E$2,E985)))))</f>
        <v>143022992.9333176</v>
      </c>
      <c r="G985" s="15" t="str">
        <f>VLOOKUP(B985,SPECIFICATIONF!$C$2:$D$65,2,0)</f>
        <v>GLOBAL HFT</v>
      </c>
      <c r="H985" s="12">
        <f t="shared" si="40"/>
        <v>6</v>
      </c>
      <c r="I985" s="12">
        <f t="shared" si="41"/>
        <v>2025</v>
      </c>
    </row>
    <row r="986" spans="1:9" ht="19.5" customHeight="1" x14ac:dyDescent="0.35">
      <c r="A986" s="41">
        <v>45824</v>
      </c>
      <c r="B986" s="8" t="s">
        <v>32</v>
      </c>
      <c r="C986" s="42" t="s">
        <v>33</v>
      </c>
      <c r="D986" s="43" t="s">
        <v>29</v>
      </c>
      <c r="E986" s="46">
        <v>35061304</v>
      </c>
      <c r="F986" s="2">
        <f>IF(C986="GBP",E986*$C$3,IF(C986="TRY",E986/$C$1,IF(C986="EUR",E986*$E$1,IF(C986="RUB",E986/#REF!,IF(C986="EGP",E986/$E$2,E986)))))</f>
        <v>35061304</v>
      </c>
      <c r="G986" s="15" t="str">
        <f>VLOOKUP(B986,SPECIFICATIONF!$C$2:$D$65,2,0)</f>
        <v>GLOBAL HFT</v>
      </c>
      <c r="H986" s="12">
        <f t="shared" si="40"/>
        <v>6</v>
      </c>
      <c r="I986" s="12">
        <f t="shared" si="41"/>
        <v>2025</v>
      </c>
    </row>
    <row r="987" spans="1:9" ht="19.5" customHeight="1" x14ac:dyDescent="0.35">
      <c r="A987" s="41">
        <v>45824</v>
      </c>
      <c r="B987" s="8" t="s">
        <v>24</v>
      </c>
      <c r="C987" s="42" t="s">
        <v>11</v>
      </c>
      <c r="D987" s="43" t="s">
        <v>30</v>
      </c>
      <c r="E987" s="46">
        <v>2.14</v>
      </c>
      <c r="F987" s="2">
        <f>IF(C987="GBP",E987*$C$3,IF(C987="TRY",E987/$C$1,IF(C987="EUR",E987*$E$1,IF(C987="RUB",E987/#REF!,IF(C987="EGP",E987/$E$2,E987)))))</f>
        <v>5.8683353945632885E-2</v>
      </c>
      <c r="G987" s="15" t="str">
        <f>VLOOKUP(B987,SPECIFICATIONF!$C$2:$D$65,2,0)</f>
        <v>GLOBAL RETAIL</v>
      </c>
      <c r="H987" s="12">
        <f t="shared" si="40"/>
        <v>6</v>
      </c>
      <c r="I987" s="12">
        <f t="shared" si="41"/>
        <v>2025</v>
      </c>
    </row>
    <row r="988" spans="1:9" ht="19.5" customHeight="1" x14ac:dyDescent="0.35">
      <c r="A988" s="41">
        <v>45824</v>
      </c>
      <c r="B988" s="8" t="s">
        <v>24</v>
      </c>
      <c r="C988" s="42" t="s">
        <v>33</v>
      </c>
      <c r="D988" s="43" t="s">
        <v>30</v>
      </c>
      <c r="E988" s="46">
        <v>0</v>
      </c>
      <c r="F988" s="2">
        <f>IF(C988="GBP",E988*$C$3,IF(C988="TRY",E988/$C$1,IF(C988="EUR",E988*$E$1,IF(C988="RUB",E988/#REF!,IF(C988="EGP",E988/$E$2,E988)))))</f>
        <v>0</v>
      </c>
      <c r="G988" s="15" t="str">
        <f>VLOOKUP(B988,SPECIFICATIONF!$C$2:$D$65,2,0)</f>
        <v>GLOBAL RETAIL</v>
      </c>
      <c r="H988" s="12">
        <f t="shared" si="40"/>
        <v>6</v>
      </c>
      <c r="I988" s="12">
        <f t="shared" si="41"/>
        <v>2025</v>
      </c>
    </row>
    <row r="989" spans="1:9" ht="19.5" customHeight="1" x14ac:dyDescent="0.35">
      <c r="A989" s="41">
        <v>45824</v>
      </c>
      <c r="B989" s="8" t="s">
        <v>24</v>
      </c>
      <c r="C989" s="42" t="s">
        <v>11</v>
      </c>
      <c r="D989" s="43" t="s">
        <v>29</v>
      </c>
      <c r="E989" s="47">
        <v>1781</v>
      </c>
      <c r="F989" s="2">
        <f>IF(C989="GBP",E989*$C$3,IF(C989="TRY",E989/$C$1,IF(C989="EUR",E989*$E$1,IF(C989="RUB",E989/#REF!,IF(C989="EGP",E989/$E$2,E989)))))</f>
        <v>48.838809989332788</v>
      </c>
      <c r="G989" s="15" t="str">
        <f>VLOOKUP(B989,SPECIFICATIONF!$C$2:$D$65,2,0)</f>
        <v>GLOBAL RETAIL</v>
      </c>
      <c r="H989" s="12">
        <f t="shared" si="40"/>
        <v>6</v>
      </c>
      <c r="I989" s="12">
        <f t="shared" si="41"/>
        <v>2025</v>
      </c>
    </row>
    <row r="990" spans="1:9" ht="19.5" customHeight="1" x14ac:dyDescent="0.35">
      <c r="A990" s="41">
        <v>45824</v>
      </c>
      <c r="B990" s="8" t="s">
        <v>24</v>
      </c>
      <c r="C990" s="42" t="s">
        <v>33</v>
      </c>
      <c r="D990" s="43" t="s">
        <v>29</v>
      </c>
      <c r="E990" s="46">
        <v>0</v>
      </c>
      <c r="F990" s="2">
        <f>IF(C990="GBP",E990*$C$3,IF(C990="TRY",E990/$C$1,IF(C990="EUR",E990*$E$1,IF(C990="RUB",E990/#REF!,IF(C990="EGP",E990/$E$2,E990)))))</f>
        <v>0</v>
      </c>
      <c r="G990" s="15" t="str">
        <f>VLOOKUP(B990,SPECIFICATIONF!$C$2:$D$65,2,0)</f>
        <v>GLOBAL RETAIL</v>
      </c>
      <c r="H990" s="12">
        <f t="shared" si="40"/>
        <v>6</v>
      </c>
      <c r="I990" s="12">
        <f t="shared" si="41"/>
        <v>2025</v>
      </c>
    </row>
    <row r="991" spans="1:9" ht="19.399999999999999" customHeight="1" x14ac:dyDescent="0.35">
      <c r="A991" s="41">
        <v>45825</v>
      </c>
      <c r="B991" s="8" t="s">
        <v>32</v>
      </c>
      <c r="C991" s="42" t="s">
        <v>11</v>
      </c>
      <c r="D991" s="43" t="s">
        <v>30</v>
      </c>
      <c r="E991" s="46">
        <v>1217205.78</v>
      </c>
      <c r="F991" s="2">
        <f>IF(C991="GBP",E991*$C$3,IF(C991="TRY",E991/$C$1,IF(C991="EUR",E991*$E$1,IF(C991="RUB",E991/#REF!,IF(C991="EGP",E991/$E$2,E991)))))</f>
        <v>33378.37271607951</v>
      </c>
      <c r="G991" s="15" t="str">
        <f>VLOOKUP(B991,SPECIFICATIONF!$C$2:$D$65,2,0)</f>
        <v>GLOBAL HFT</v>
      </c>
      <c r="H991" s="12">
        <f t="shared" si="40"/>
        <v>6</v>
      </c>
      <c r="I991" s="12">
        <f t="shared" si="41"/>
        <v>2025</v>
      </c>
    </row>
    <row r="992" spans="1:9" ht="19.5" customHeight="1" x14ac:dyDescent="0.35">
      <c r="A992" s="41">
        <v>45825</v>
      </c>
      <c r="B992" s="8" t="s">
        <v>32</v>
      </c>
      <c r="C992" s="42" t="s">
        <v>33</v>
      </c>
      <c r="D992" s="43" t="s">
        <v>30</v>
      </c>
      <c r="E992" s="46">
        <v>11771.14</v>
      </c>
      <c r="F992" s="2">
        <f>IF(C992="GBP",E992*$C$3,IF(C992="TRY",E992/$C$1,IF(C992="EUR",E992*$E$1,IF(C992="RUB",E992/#REF!,IF(C992="EGP",E992/$E$2,E992)))))</f>
        <v>11771.14</v>
      </c>
      <c r="G992" s="15" t="str">
        <f>VLOOKUP(B992,SPECIFICATIONF!$C$2:$D$65,2,0)</f>
        <v>GLOBAL HFT</v>
      </c>
      <c r="H992" s="12">
        <f t="shared" si="40"/>
        <v>6</v>
      </c>
      <c r="I992" s="12">
        <f t="shared" si="41"/>
        <v>2025</v>
      </c>
    </row>
    <row r="993" spans="1:9" ht="19.5" customHeight="1" x14ac:dyDescent="0.35">
      <c r="A993" s="41">
        <v>45825</v>
      </c>
      <c r="B993" s="8" t="s">
        <v>32</v>
      </c>
      <c r="C993" s="42" t="s">
        <v>11</v>
      </c>
      <c r="D993" s="43" t="s">
        <v>29</v>
      </c>
      <c r="E993" s="47">
        <v>4778939206</v>
      </c>
      <c r="F993" s="2">
        <f>IF(C993="GBP",E993*$C$3,IF(C993="TRY",E993/$C$1,IF(C993="EUR",E993*$E$1,IF(C993="RUB",E993/#REF!,IF(C993="EGP",E993/$E$2,E993)))))</f>
        <v>131048682.66839242</v>
      </c>
      <c r="G993" s="15" t="str">
        <f>VLOOKUP(B993,SPECIFICATIONF!$C$2:$D$65,2,0)</f>
        <v>GLOBAL HFT</v>
      </c>
      <c r="H993" s="12">
        <f t="shared" si="40"/>
        <v>6</v>
      </c>
      <c r="I993" s="12">
        <f t="shared" si="41"/>
        <v>2025</v>
      </c>
    </row>
    <row r="994" spans="1:9" ht="19.5" customHeight="1" x14ac:dyDescent="0.35">
      <c r="A994" s="41">
        <v>45825</v>
      </c>
      <c r="B994" s="8" t="s">
        <v>32</v>
      </c>
      <c r="C994" s="42" t="s">
        <v>33</v>
      </c>
      <c r="D994" s="43" t="s">
        <v>29</v>
      </c>
      <c r="E994" s="46">
        <v>38035930</v>
      </c>
      <c r="F994" s="2">
        <f>IF(C994="GBP",E994*$C$3,IF(C994="TRY",E994/$C$1,IF(C994="EUR",E994*$E$1,IF(C994="RUB",E994/#REF!,IF(C994="EGP",E994/$E$2,E994)))))</f>
        <v>38035930</v>
      </c>
      <c r="G994" s="15" t="str">
        <f>VLOOKUP(B994,SPECIFICATIONF!$C$2:$D$65,2,0)</f>
        <v>GLOBAL HFT</v>
      </c>
      <c r="H994" s="12">
        <f t="shared" si="40"/>
        <v>6</v>
      </c>
      <c r="I994" s="12">
        <f t="shared" si="41"/>
        <v>2025</v>
      </c>
    </row>
    <row r="995" spans="1:9" ht="19.5" customHeight="1" x14ac:dyDescent="0.35">
      <c r="A995" s="41">
        <v>45825</v>
      </c>
      <c r="B995" s="8" t="s">
        <v>24</v>
      </c>
      <c r="C995" s="42" t="s">
        <v>11</v>
      </c>
      <c r="D995" s="43" t="s">
        <v>30</v>
      </c>
      <c r="E995" s="46">
        <v>0</v>
      </c>
      <c r="F995" s="2">
        <f>IF(C995="GBP",E995*$C$3,IF(C995="TRY",E995/$C$1,IF(C995="EUR",E995*$E$1,IF(C995="RUB",E995/#REF!,IF(C995="EGP",E995/$E$2,E995)))))</f>
        <v>0</v>
      </c>
      <c r="G995" s="15" t="str">
        <f>VLOOKUP(B995,SPECIFICATIONF!$C$2:$D$65,2,0)</f>
        <v>GLOBAL RETAIL</v>
      </c>
      <c r="H995" s="12">
        <f t="shared" si="40"/>
        <v>6</v>
      </c>
      <c r="I995" s="12">
        <f t="shared" si="41"/>
        <v>2025</v>
      </c>
    </row>
    <row r="996" spans="1:9" ht="19.5" customHeight="1" x14ac:dyDescent="0.35">
      <c r="A996" s="41">
        <v>45825</v>
      </c>
      <c r="B996" s="8" t="s">
        <v>24</v>
      </c>
      <c r="C996" s="42" t="s">
        <v>33</v>
      </c>
      <c r="D996" s="43" t="s">
        <v>30</v>
      </c>
      <c r="E996" s="46">
        <v>0</v>
      </c>
      <c r="F996" s="2">
        <f>IF(C996="GBP",E996*$C$3,IF(C996="TRY",E996/$C$1,IF(C996="EUR",E996*$E$1,IF(C996="RUB",E996/#REF!,IF(C996="EGP",E996/$E$2,E996)))))</f>
        <v>0</v>
      </c>
      <c r="G996" s="15" t="str">
        <f>VLOOKUP(B996,SPECIFICATIONF!$C$2:$D$65,2,0)</f>
        <v>GLOBAL RETAIL</v>
      </c>
      <c r="H996" s="12">
        <f t="shared" si="40"/>
        <v>6</v>
      </c>
      <c r="I996" s="12">
        <f t="shared" si="41"/>
        <v>2025</v>
      </c>
    </row>
    <row r="997" spans="1:9" ht="19.5" customHeight="1" x14ac:dyDescent="0.35">
      <c r="A997" s="41">
        <v>45825</v>
      </c>
      <c r="B997" s="8" t="s">
        <v>24</v>
      </c>
      <c r="C997" s="42" t="s">
        <v>11</v>
      </c>
      <c r="D997" s="43" t="s">
        <v>29</v>
      </c>
      <c r="E997" s="47">
        <v>0</v>
      </c>
      <c r="F997" s="2">
        <f>IF(C997="GBP",E997*$C$3,IF(C997="TRY",E997/$C$1,IF(C997="EUR",E997*$E$1,IF(C997="RUB",E997/#REF!,IF(C997="EGP",E997/$E$2,E997)))))</f>
        <v>0</v>
      </c>
      <c r="G997" s="15" t="str">
        <f>VLOOKUP(B997,SPECIFICATIONF!$C$2:$D$65,2,0)</f>
        <v>GLOBAL RETAIL</v>
      </c>
      <c r="H997" s="12">
        <f t="shared" si="40"/>
        <v>6</v>
      </c>
      <c r="I997" s="12">
        <f t="shared" si="41"/>
        <v>2025</v>
      </c>
    </row>
    <row r="998" spans="1:9" ht="19.5" customHeight="1" x14ac:dyDescent="0.35">
      <c r="A998" s="41">
        <v>45825</v>
      </c>
      <c r="B998" s="8" t="s">
        <v>24</v>
      </c>
      <c r="C998" s="42" t="s">
        <v>33</v>
      </c>
      <c r="D998" s="43" t="s">
        <v>29</v>
      </c>
      <c r="E998" s="46">
        <v>0</v>
      </c>
      <c r="F998" s="2">
        <f>IF(C998="GBP",E998*$C$3,IF(C998="TRY",E998/$C$1,IF(C998="EUR",E998*$E$1,IF(C998="RUB",E998/#REF!,IF(C998="EGP",E998/$E$2,E998)))))</f>
        <v>0</v>
      </c>
      <c r="G998" s="15" t="str">
        <f>VLOOKUP(B998,SPECIFICATIONF!$C$2:$D$65,2,0)</f>
        <v>GLOBAL RETAIL</v>
      </c>
      <c r="H998" s="12">
        <f t="shared" ref="H998:H1061" si="42">MONTH(A998)</f>
        <v>6</v>
      </c>
      <c r="I998" s="12">
        <f t="shared" ref="I998:I1061" si="43">YEAR(A998)</f>
        <v>2025</v>
      </c>
    </row>
    <row r="999" spans="1:9" ht="19.5" customHeight="1" x14ac:dyDescent="0.35">
      <c r="A999" s="41">
        <v>45826</v>
      </c>
      <c r="B999" s="8" t="s">
        <v>32</v>
      </c>
      <c r="C999" s="42" t="s">
        <v>11</v>
      </c>
      <c r="D999" s="43" t="s">
        <v>30</v>
      </c>
      <c r="E999" s="46">
        <v>839574.02</v>
      </c>
      <c r="F999" s="2">
        <f>IF(C999="GBP",E999*$C$3,IF(C999="TRY",E999/$C$1,IF(C999="EUR",E999*$E$1,IF(C999="RUB",E999/#REF!,IF(C999="EGP",E999/$E$2,E999)))))</f>
        <v>23022.906251970966</v>
      </c>
      <c r="G999" s="15" t="str">
        <f>VLOOKUP(B999,SPECIFICATIONF!$C$2:$D$65,2,0)</f>
        <v>GLOBAL HFT</v>
      </c>
      <c r="H999" s="12">
        <f t="shared" si="42"/>
        <v>6</v>
      </c>
      <c r="I999" s="12">
        <f t="shared" si="43"/>
        <v>2025</v>
      </c>
    </row>
    <row r="1000" spans="1:9" ht="19.5" customHeight="1" x14ac:dyDescent="0.35">
      <c r="A1000" s="41">
        <v>45826</v>
      </c>
      <c r="B1000" s="8" t="s">
        <v>32</v>
      </c>
      <c r="C1000" s="42" t="s">
        <v>33</v>
      </c>
      <c r="D1000" s="43" t="s">
        <v>30</v>
      </c>
      <c r="E1000" s="46">
        <v>7402.81</v>
      </c>
      <c r="F1000" s="2">
        <f>IF(C1000="GBP",E1000*$C$3,IF(C1000="TRY",E1000/$C$1,IF(C1000="EUR",E1000*$E$1,IF(C1000="RUB",E1000/#REF!,IF(C1000="EGP",E1000/$E$2,E1000)))))</f>
        <v>7402.81</v>
      </c>
      <c r="G1000" s="15" t="str">
        <f>VLOOKUP(B1000,SPECIFICATIONF!$C$2:$D$65,2,0)</f>
        <v>GLOBAL HFT</v>
      </c>
      <c r="H1000" s="12">
        <f t="shared" si="42"/>
        <v>6</v>
      </c>
      <c r="I1000" s="12">
        <f t="shared" si="43"/>
        <v>2025</v>
      </c>
    </row>
    <row r="1001" spans="1:9" ht="19.5" customHeight="1" x14ac:dyDescent="0.35">
      <c r="A1001" s="41">
        <v>45826</v>
      </c>
      <c r="B1001" s="8" t="s">
        <v>32</v>
      </c>
      <c r="C1001" s="42" t="s">
        <v>11</v>
      </c>
      <c r="D1001" s="43" t="s">
        <v>29</v>
      </c>
      <c r="E1001" s="47">
        <v>3363735264</v>
      </c>
      <c r="F1001" s="2">
        <f>IF(C1001="GBP",E1001*$C$3,IF(C1001="TRY",E1001/$C$1,IF(C1001="EUR",E1001*$E$1,IF(C1001="RUB",E1001/#REF!,IF(C1001="EGP",E1001/$E$2,E1001)))))</f>
        <v>92240779.00781256</v>
      </c>
      <c r="G1001" s="15" t="str">
        <f>VLOOKUP(B1001,SPECIFICATIONF!$C$2:$D$65,2,0)</f>
        <v>GLOBAL HFT</v>
      </c>
      <c r="H1001" s="12">
        <f t="shared" si="42"/>
        <v>6</v>
      </c>
      <c r="I1001" s="12">
        <f t="shared" si="43"/>
        <v>2025</v>
      </c>
    </row>
    <row r="1002" spans="1:9" ht="19.5" customHeight="1" x14ac:dyDescent="0.35">
      <c r="A1002" s="41">
        <v>45826</v>
      </c>
      <c r="B1002" s="8" t="s">
        <v>32</v>
      </c>
      <c r="C1002" s="42" t="s">
        <v>33</v>
      </c>
      <c r="D1002" s="43" t="s">
        <v>29</v>
      </c>
      <c r="E1002" s="46">
        <v>24316850</v>
      </c>
      <c r="F1002" s="2">
        <f>IF(C1002="GBP",E1002*$C$3,IF(C1002="TRY",E1002/$C$1,IF(C1002="EUR",E1002*$E$1,IF(C1002="RUB",E1002/#REF!,IF(C1002="EGP",E1002/$E$2,E1002)))))</f>
        <v>24316850</v>
      </c>
      <c r="G1002" s="15" t="str">
        <f>VLOOKUP(B1002,SPECIFICATIONF!$C$2:$D$65,2,0)</f>
        <v>GLOBAL HFT</v>
      </c>
      <c r="H1002" s="12">
        <f t="shared" si="42"/>
        <v>6</v>
      </c>
      <c r="I1002" s="12">
        <f t="shared" si="43"/>
        <v>2025</v>
      </c>
    </row>
    <row r="1003" spans="1:9" ht="19.5" customHeight="1" x14ac:dyDescent="0.35">
      <c r="A1003" s="41">
        <v>45826</v>
      </c>
      <c r="B1003" s="8" t="s">
        <v>24</v>
      </c>
      <c r="C1003" s="42" t="s">
        <v>11</v>
      </c>
      <c r="D1003" s="43" t="s">
        <v>30</v>
      </c>
      <c r="E1003" s="46">
        <v>0</v>
      </c>
      <c r="F1003" s="2">
        <f>IF(C1003="GBP",E1003*$C$3,IF(C1003="TRY",E1003/$C$1,IF(C1003="EUR",E1003*$E$1,IF(C1003="RUB",E1003/#REF!,IF(C1003="EGP",E1003/$E$2,E1003)))))</f>
        <v>0</v>
      </c>
      <c r="G1003" s="15" t="str">
        <f>VLOOKUP(B1003,SPECIFICATIONF!$C$2:$D$65,2,0)</f>
        <v>GLOBAL RETAIL</v>
      </c>
      <c r="H1003" s="12">
        <f t="shared" si="42"/>
        <v>6</v>
      </c>
      <c r="I1003" s="12">
        <f t="shared" si="43"/>
        <v>2025</v>
      </c>
    </row>
    <row r="1004" spans="1:9" ht="19.5" customHeight="1" x14ac:dyDescent="0.35">
      <c r="A1004" s="41">
        <v>45826</v>
      </c>
      <c r="B1004" s="8" t="s">
        <v>24</v>
      </c>
      <c r="C1004" s="42" t="s">
        <v>33</v>
      </c>
      <c r="D1004" s="43" t="s">
        <v>30</v>
      </c>
      <c r="E1004" s="46">
        <v>0</v>
      </c>
      <c r="F1004" s="2">
        <f>IF(C1004="GBP",E1004*$C$3,IF(C1004="TRY",E1004/$C$1,IF(C1004="EUR",E1004*$E$1,IF(C1004="RUB",E1004/#REF!,IF(C1004="EGP",E1004/$E$2,E1004)))))</f>
        <v>0</v>
      </c>
      <c r="G1004" s="15" t="str">
        <f>VLOOKUP(B1004,SPECIFICATIONF!$C$2:$D$65,2,0)</f>
        <v>GLOBAL RETAIL</v>
      </c>
      <c r="H1004" s="12">
        <f t="shared" si="42"/>
        <v>6</v>
      </c>
      <c r="I1004" s="12">
        <f t="shared" si="43"/>
        <v>2025</v>
      </c>
    </row>
    <row r="1005" spans="1:9" ht="19.5" customHeight="1" x14ac:dyDescent="0.35">
      <c r="A1005" s="41">
        <v>45826</v>
      </c>
      <c r="B1005" s="8" t="s">
        <v>24</v>
      </c>
      <c r="C1005" s="42" t="s">
        <v>11</v>
      </c>
      <c r="D1005" s="43" t="s">
        <v>29</v>
      </c>
      <c r="E1005" s="47">
        <v>0</v>
      </c>
      <c r="F1005" s="2">
        <f>IF(C1005="GBP",E1005*$C$3,IF(C1005="TRY",E1005/$C$1,IF(C1005="EUR",E1005*$E$1,IF(C1005="RUB",E1005/#REF!,IF(C1005="EGP",E1005/$E$2,E1005)))))</f>
        <v>0</v>
      </c>
      <c r="G1005" s="15" t="str">
        <f>VLOOKUP(B1005,SPECIFICATIONF!$C$2:$D$65,2,0)</f>
        <v>GLOBAL RETAIL</v>
      </c>
      <c r="H1005" s="12">
        <f t="shared" si="42"/>
        <v>6</v>
      </c>
      <c r="I1005" s="12">
        <f t="shared" si="43"/>
        <v>2025</v>
      </c>
    </row>
    <row r="1006" spans="1:9" ht="19.5" customHeight="1" x14ac:dyDescent="0.35">
      <c r="A1006" s="41">
        <v>45826</v>
      </c>
      <c r="B1006" s="8" t="s">
        <v>24</v>
      </c>
      <c r="C1006" s="42" t="s">
        <v>33</v>
      </c>
      <c r="D1006" s="43" t="s">
        <v>29</v>
      </c>
      <c r="E1006" s="46">
        <v>0</v>
      </c>
      <c r="F1006" s="2">
        <f>IF(C1006="GBP",E1006*$C$3,IF(C1006="TRY",E1006/$C$1,IF(C1006="EUR",E1006*$E$1,IF(C1006="RUB",E1006/#REF!,IF(C1006="EGP",E1006/$E$2,E1006)))))</f>
        <v>0</v>
      </c>
      <c r="G1006" s="15" t="str">
        <f>VLOOKUP(B1006,SPECIFICATIONF!$C$2:$D$65,2,0)</f>
        <v>GLOBAL RETAIL</v>
      </c>
      <c r="H1006" s="12">
        <f t="shared" si="42"/>
        <v>6</v>
      </c>
      <c r="I1006" s="12">
        <f t="shared" si="43"/>
        <v>2025</v>
      </c>
    </row>
    <row r="1007" spans="1:9" ht="19.5" customHeight="1" x14ac:dyDescent="0.35">
      <c r="A1007" s="41">
        <v>45827</v>
      </c>
      <c r="B1007" s="8" t="s">
        <v>32</v>
      </c>
      <c r="C1007" s="42" t="s">
        <v>11</v>
      </c>
      <c r="D1007" s="43" t="s">
        <v>30</v>
      </c>
      <c r="E1007" s="46">
        <v>613349.96</v>
      </c>
      <c r="F1007" s="2">
        <f>IF(C1007="GBP",E1007*$C$3,IF(C1007="TRY",E1007/$C$1,IF(C1007="EUR",E1007*$E$1,IF(C1007="RUB",E1007/#REF!,IF(C1007="EGP",E1007/$E$2,E1007)))))</f>
        <v>16819.361119261575</v>
      </c>
      <c r="G1007" s="15" t="str">
        <f>VLOOKUP(B1007,SPECIFICATIONF!$C$2:$D$65,2,0)</f>
        <v>GLOBAL HFT</v>
      </c>
      <c r="H1007" s="12">
        <f t="shared" si="42"/>
        <v>6</v>
      </c>
      <c r="I1007" s="12">
        <f t="shared" si="43"/>
        <v>2025</v>
      </c>
    </row>
    <row r="1008" spans="1:9" ht="19.5" customHeight="1" x14ac:dyDescent="0.35">
      <c r="A1008" s="41">
        <v>45827</v>
      </c>
      <c r="B1008" s="8" t="s">
        <v>32</v>
      </c>
      <c r="C1008" s="42" t="s">
        <v>33</v>
      </c>
      <c r="D1008" s="43" t="s">
        <v>30</v>
      </c>
      <c r="E1008" s="46">
        <v>5036.5600000000004</v>
      </c>
      <c r="F1008" s="2">
        <f>IF(C1008="GBP",E1008*$C$3,IF(C1008="TRY",E1008/$C$1,IF(C1008="EUR",E1008*$E$1,IF(C1008="RUB",E1008/#REF!,IF(C1008="EGP",E1008/$E$2,E1008)))))</f>
        <v>5036.5600000000004</v>
      </c>
      <c r="G1008" s="15" t="str">
        <f>VLOOKUP(B1008,SPECIFICATIONF!$C$2:$D$65,2,0)</f>
        <v>GLOBAL HFT</v>
      </c>
      <c r="H1008" s="12">
        <f t="shared" si="42"/>
        <v>6</v>
      </c>
      <c r="I1008" s="12">
        <f t="shared" si="43"/>
        <v>2025</v>
      </c>
    </row>
    <row r="1009" spans="1:9" ht="19.5" customHeight="1" x14ac:dyDescent="0.35">
      <c r="A1009" s="41">
        <v>45827</v>
      </c>
      <c r="B1009" s="8" t="s">
        <v>32</v>
      </c>
      <c r="C1009" s="42" t="s">
        <v>11</v>
      </c>
      <c r="D1009" s="43" t="s">
        <v>29</v>
      </c>
      <c r="E1009" s="47">
        <v>2489157552</v>
      </c>
      <c r="F1009" s="2">
        <f>IF(C1009="GBP",E1009*$C$3,IF(C1009="TRY",E1009/$C$1,IF(C1009="EUR",E1009*$E$1,IF(C1009="RUB",E1009/#REF!,IF(C1009="EGP",E1009/$E$2,E1009)))))</f>
        <v>68257997.03292574</v>
      </c>
      <c r="G1009" s="15" t="str">
        <f>VLOOKUP(B1009,SPECIFICATIONF!$C$2:$D$65,2,0)</f>
        <v>GLOBAL HFT</v>
      </c>
      <c r="H1009" s="12">
        <f t="shared" si="42"/>
        <v>6</v>
      </c>
      <c r="I1009" s="12">
        <f t="shared" si="43"/>
        <v>2025</v>
      </c>
    </row>
    <row r="1010" spans="1:9" ht="19.5" customHeight="1" x14ac:dyDescent="0.35">
      <c r="A1010" s="41">
        <v>45827</v>
      </c>
      <c r="B1010" s="8" t="s">
        <v>32</v>
      </c>
      <c r="C1010" s="42" t="s">
        <v>33</v>
      </c>
      <c r="D1010" s="43" t="s">
        <v>29</v>
      </c>
      <c r="E1010" s="46">
        <v>16406217</v>
      </c>
      <c r="F1010" s="2">
        <f>IF(C1010="GBP",E1010*$C$3,IF(C1010="TRY",E1010/$C$1,IF(C1010="EUR",E1010*$E$1,IF(C1010="RUB",E1010/#REF!,IF(C1010="EGP",E1010/$E$2,E1010)))))</f>
        <v>16406217</v>
      </c>
      <c r="G1010" s="15" t="str">
        <f>VLOOKUP(B1010,SPECIFICATIONF!$C$2:$D$65,2,0)</f>
        <v>GLOBAL HFT</v>
      </c>
      <c r="H1010" s="12">
        <f t="shared" si="42"/>
        <v>6</v>
      </c>
      <c r="I1010" s="12">
        <f t="shared" si="43"/>
        <v>2025</v>
      </c>
    </row>
    <row r="1011" spans="1:9" ht="19.5" customHeight="1" x14ac:dyDescent="0.35">
      <c r="A1011" s="41">
        <v>45827</v>
      </c>
      <c r="B1011" s="8" t="s">
        <v>24</v>
      </c>
      <c r="C1011" s="42" t="s">
        <v>11</v>
      </c>
      <c r="D1011" s="43" t="s">
        <v>30</v>
      </c>
      <c r="E1011" s="46">
        <v>0</v>
      </c>
      <c r="F1011" s="2">
        <f>IF(C1011="GBP",E1011*$C$3,IF(C1011="TRY",E1011/$C$1,IF(C1011="EUR",E1011*$E$1,IF(C1011="RUB",E1011/#REF!,IF(C1011="EGP",E1011/$E$2,E1011)))))</f>
        <v>0</v>
      </c>
      <c r="G1011" s="15" t="str">
        <f>VLOOKUP(B1011,SPECIFICATIONF!$C$2:$D$65,2,0)</f>
        <v>GLOBAL RETAIL</v>
      </c>
      <c r="H1011" s="12">
        <f t="shared" si="42"/>
        <v>6</v>
      </c>
      <c r="I1011" s="12">
        <f t="shared" si="43"/>
        <v>2025</v>
      </c>
    </row>
    <row r="1012" spans="1:9" ht="19.5" customHeight="1" x14ac:dyDescent="0.35">
      <c r="A1012" s="41">
        <v>45827</v>
      </c>
      <c r="B1012" s="8" t="s">
        <v>24</v>
      </c>
      <c r="C1012" s="42" t="s">
        <v>33</v>
      </c>
      <c r="D1012" s="43" t="s">
        <v>30</v>
      </c>
      <c r="E1012" s="46">
        <v>0</v>
      </c>
      <c r="F1012" s="2">
        <f>IF(C1012="GBP",E1012*$C$3,IF(C1012="TRY",E1012/$C$1,IF(C1012="EUR",E1012*$E$1,IF(C1012="RUB",E1012/#REF!,IF(C1012="EGP",E1012/$E$2,E1012)))))</f>
        <v>0</v>
      </c>
      <c r="G1012" s="15" t="str">
        <f>VLOOKUP(B1012,SPECIFICATIONF!$C$2:$D$65,2,0)</f>
        <v>GLOBAL RETAIL</v>
      </c>
      <c r="H1012" s="12">
        <f t="shared" si="42"/>
        <v>6</v>
      </c>
      <c r="I1012" s="12">
        <f t="shared" si="43"/>
        <v>2025</v>
      </c>
    </row>
    <row r="1013" spans="1:9" ht="19.5" customHeight="1" x14ac:dyDescent="0.35">
      <c r="A1013" s="41">
        <v>45827</v>
      </c>
      <c r="B1013" s="8" t="s">
        <v>24</v>
      </c>
      <c r="C1013" s="42" t="s">
        <v>11</v>
      </c>
      <c r="D1013" s="43" t="s">
        <v>29</v>
      </c>
      <c r="E1013" s="47">
        <v>0</v>
      </c>
      <c r="F1013" s="2">
        <f>IF(C1013="GBP",E1013*$C$3,IF(C1013="TRY",E1013/$C$1,IF(C1013="EUR",E1013*$E$1,IF(C1013="RUB",E1013/#REF!,IF(C1013="EGP",E1013/$E$2,E1013)))))</f>
        <v>0</v>
      </c>
      <c r="G1013" s="15" t="str">
        <f>VLOOKUP(B1013,SPECIFICATIONF!$C$2:$D$65,2,0)</f>
        <v>GLOBAL RETAIL</v>
      </c>
      <c r="H1013" s="12">
        <f t="shared" si="42"/>
        <v>6</v>
      </c>
      <c r="I1013" s="12">
        <f t="shared" si="43"/>
        <v>2025</v>
      </c>
    </row>
    <row r="1014" spans="1:9" ht="19.5" customHeight="1" x14ac:dyDescent="0.35">
      <c r="A1014" s="41">
        <v>45827</v>
      </c>
      <c r="B1014" s="8" t="s">
        <v>24</v>
      </c>
      <c r="C1014" s="42" t="s">
        <v>33</v>
      </c>
      <c r="D1014" s="43" t="s">
        <v>29</v>
      </c>
      <c r="E1014" s="46">
        <v>0</v>
      </c>
      <c r="F1014" s="2">
        <f>IF(C1014="GBP",E1014*$C$3,IF(C1014="TRY",E1014/$C$1,IF(C1014="EUR",E1014*$E$1,IF(C1014="RUB",E1014/#REF!,IF(C1014="EGP",E1014/$E$2,E1014)))))</f>
        <v>0</v>
      </c>
      <c r="G1014" s="15" t="str">
        <f>VLOOKUP(B1014,SPECIFICATIONF!$C$2:$D$65,2,0)</f>
        <v>GLOBAL RETAIL</v>
      </c>
      <c r="H1014" s="12">
        <f t="shared" si="42"/>
        <v>6</v>
      </c>
      <c r="I1014" s="12">
        <f t="shared" si="43"/>
        <v>2025</v>
      </c>
    </row>
    <row r="1015" spans="1:9" ht="19.5" customHeight="1" x14ac:dyDescent="0.35">
      <c r="A1015" s="41">
        <v>45828</v>
      </c>
      <c r="B1015" s="8" t="s">
        <v>32</v>
      </c>
      <c r="C1015" s="42" t="s">
        <v>11</v>
      </c>
      <c r="D1015" s="43" t="s">
        <v>30</v>
      </c>
      <c r="E1015" s="46">
        <v>1090722.1499999999</v>
      </c>
      <c r="F1015" s="2">
        <f>IF(C1015="GBP",E1015*$C$3,IF(C1015="TRY",E1015/$C$1,IF(C1015="EUR",E1015*$E$1,IF(C1015="RUB",E1015/#REF!,IF(C1015="EGP",E1015/$E$2,E1015)))))</f>
        <v>29909.922422799849</v>
      </c>
      <c r="G1015" s="15" t="str">
        <f>VLOOKUP(B1015,SPECIFICATIONF!$C$2:$D$65,2,0)</f>
        <v>GLOBAL HFT</v>
      </c>
      <c r="H1015" s="12">
        <f t="shared" si="42"/>
        <v>6</v>
      </c>
      <c r="I1015" s="12">
        <f t="shared" si="43"/>
        <v>2025</v>
      </c>
    </row>
    <row r="1016" spans="1:9" ht="19.5" customHeight="1" x14ac:dyDescent="0.35">
      <c r="A1016" s="41">
        <v>45828</v>
      </c>
      <c r="B1016" s="8" t="s">
        <v>32</v>
      </c>
      <c r="C1016" s="42" t="s">
        <v>33</v>
      </c>
      <c r="D1016" s="43" t="s">
        <v>30</v>
      </c>
      <c r="E1016" s="46">
        <v>9267.0499999999993</v>
      </c>
      <c r="F1016" s="2">
        <f>IF(C1016="GBP",E1016*$C$3,IF(C1016="TRY",E1016/$C$1,IF(C1016="EUR",E1016*$E$1,IF(C1016="RUB",E1016/#REF!,IF(C1016="EGP",E1016/$E$2,E1016)))))</f>
        <v>9267.0499999999993</v>
      </c>
      <c r="G1016" s="15" t="str">
        <f>VLOOKUP(B1016,SPECIFICATIONF!$C$2:$D$65,2,0)</f>
        <v>GLOBAL HFT</v>
      </c>
      <c r="H1016" s="12">
        <f t="shared" si="42"/>
        <v>6</v>
      </c>
      <c r="I1016" s="12">
        <f t="shared" si="43"/>
        <v>2025</v>
      </c>
    </row>
    <row r="1017" spans="1:9" ht="19.5" customHeight="1" x14ac:dyDescent="0.35">
      <c r="A1017" s="41">
        <v>45828</v>
      </c>
      <c r="B1017" s="8" t="s">
        <v>32</v>
      </c>
      <c r="C1017" s="42" t="s">
        <v>11</v>
      </c>
      <c r="D1017" s="43" t="s">
        <v>29</v>
      </c>
      <c r="E1017" s="47">
        <v>4147880587</v>
      </c>
      <c r="F1017" s="2">
        <f>IF(C1017="GBP",E1017*$C$3,IF(C1017="TRY",E1017/$C$1,IF(C1017="EUR",E1017*$E$1,IF(C1017="RUB",E1017/#REF!,IF(C1017="EGP",E1017/$E$2,E1017)))))</f>
        <v>113743712.43511239</v>
      </c>
      <c r="G1017" s="15" t="str">
        <f>VLOOKUP(B1017,SPECIFICATIONF!$C$2:$D$65,2,0)</f>
        <v>GLOBAL HFT</v>
      </c>
      <c r="H1017" s="12">
        <f t="shared" si="42"/>
        <v>6</v>
      </c>
      <c r="I1017" s="12">
        <f t="shared" si="43"/>
        <v>2025</v>
      </c>
    </row>
    <row r="1018" spans="1:9" ht="19.5" customHeight="1" x14ac:dyDescent="0.35">
      <c r="A1018" s="41">
        <v>45828</v>
      </c>
      <c r="B1018" s="8" t="s">
        <v>32</v>
      </c>
      <c r="C1018" s="42" t="s">
        <v>33</v>
      </c>
      <c r="D1018" s="43" t="s">
        <v>29</v>
      </c>
      <c r="E1018" s="46">
        <v>29181020</v>
      </c>
      <c r="F1018" s="2">
        <f>IF(C1018="GBP",E1018*$C$3,IF(C1018="TRY",E1018/$C$1,IF(C1018="EUR",E1018*$E$1,IF(C1018="RUB",E1018/#REF!,IF(C1018="EGP",E1018/$E$2,E1018)))))</f>
        <v>29181020</v>
      </c>
      <c r="G1018" s="15" t="str">
        <f>VLOOKUP(B1018,SPECIFICATIONF!$C$2:$D$65,2,0)</f>
        <v>GLOBAL HFT</v>
      </c>
      <c r="H1018" s="12">
        <f t="shared" si="42"/>
        <v>6</v>
      </c>
      <c r="I1018" s="12">
        <f t="shared" si="43"/>
        <v>2025</v>
      </c>
    </row>
    <row r="1019" spans="1:9" ht="19.5" customHeight="1" x14ac:dyDescent="0.35">
      <c r="A1019" s="41">
        <v>45828</v>
      </c>
      <c r="B1019" s="8" t="s">
        <v>24</v>
      </c>
      <c r="C1019" s="42" t="s">
        <v>11</v>
      </c>
      <c r="D1019" s="43" t="s">
        <v>30</v>
      </c>
      <c r="E1019" s="46">
        <v>0</v>
      </c>
      <c r="F1019" s="2">
        <f>IF(C1019="GBP",E1019*$C$3,IF(C1019="TRY",E1019/$C$1,IF(C1019="EUR",E1019*$E$1,IF(C1019="RUB",E1019/#REF!,IF(C1019="EGP",E1019/$E$2,E1019)))))</f>
        <v>0</v>
      </c>
      <c r="G1019" s="15" t="str">
        <f>VLOOKUP(B1019,SPECIFICATIONF!$C$2:$D$65,2,0)</f>
        <v>GLOBAL RETAIL</v>
      </c>
      <c r="H1019" s="12">
        <f t="shared" si="42"/>
        <v>6</v>
      </c>
      <c r="I1019" s="12">
        <f t="shared" si="43"/>
        <v>2025</v>
      </c>
    </row>
    <row r="1020" spans="1:9" ht="19.5" customHeight="1" x14ac:dyDescent="0.35">
      <c r="A1020" s="41">
        <v>45828</v>
      </c>
      <c r="B1020" s="8" t="s">
        <v>24</v>
      </c>
      <c r="C1020" s="42" t="s">
        <v>33</v>
      </c>
      <c r="D1020" s="43" t="s">
        <v>30</v>
      </c>
      <c r="E1020" s="46">
        <v>0</v>
      </c>
      <c r="F1020" s="2">
        <f>IF(C1020="GBP",E1020*$C$3,IF(C1020="TRY",E1020/$C$1,IF(C1020="EUR",E1020*$E$1,IF(C1020="RUB",E1020/#REF!,IF(C1020="EGP",E1020/$E$2,E1020)))))</f>
        <v>0</v>
      </c>
      <c r="G1020" s="15" t="str">
        <f>VLOOKUP(B1020,SPECIFICATIONF!$C$2:$D$65,2,0)</f>
        <v>GLOBAL RETAIL</v>
      </c>
      <c r="H1020" s="12">
        <f t="shared" si="42"/>
        <v>6</v>
      </c>
      <c r="I1020" s="12">
        <f t="shared" si="43"/>
        <v>2025</v>
      </c>
    </row>
    <row r="1021" spans="1:9" ht="19.5" customHeight="1" x14ac:dyDescent="0.35">
      <c r="A1021" s="41">
        <v>45828</v>
      </c>
      <c r="B1021" s="8" t="s">
        <v>24</v>
      </c>
      <c r="C1021" s="42" t="s">
        <v>11</v>
      </c>
      <c r="D1021" s="43" t="s">
        <v>29</v>
      </c>
      <c r="E1021" s="47">
        <v>0</v>
      </c>
      <c r="F1021" s="2">
        <f>IF(C1021="GBP",E1021*$C$3,IF(C1021="TRY",E1021/$C$1,IF(C1021="EUR",E1021*$E$1,IF(C1021="RUB",E1021/#REF!,IF(C1021="EGP",E1021/$E$2,E1021)))))</f>
        <v>0</v>
      </c>
      <c r="G1021" s="15" t="str">
        <f>VLOOKUP(B1021,SPECIFICATIONF!$C$2:$D$65,2,0)</f>
        <v>GLOBAL RETAIL</v>
      </c>
      <c r="H1021" s="12">
        <f t="shared" si="42"/>
        <v>6</v>
      </c>
      <c r="I1021" s="12">
        <f t="shared" si="43"/>
        <v>2025</v>
      </c>
    </row>
    <row r="1022" spans="1:9" ht="19.5" customHeight="1" x14ac:dyDescent="0.35">
      <c r="A1022" s="41">
        <v>45828</v>
      </c>
      <c r="B1022" s="8" t="s">
        <v>24</v>
      </c>
      <c r="C1022" s="42" t="s">
        <v>33</v>
      </c>
      <c r="D1022" s="43" t="s">
        <v>29</v>
      </c>
      <c r="E1022" s="46">
        <v>0</v>
      </c>
      <c r="F1022" s="2">
        <f>IF(C1022="GBP",E1022*$C$3,IF(C1022="TRY",E1022/$C$1,IF(C1022="EUR",E1022*$E$1,IF(C1022="RUB",E1022/#REF!,IF(C1022="EGP",E1022/$E$2,E1022)))))</f>
        <v>0</v>
      </c>
      <c r="G1022" s="15" t="str">
        <f>VLOOKUP(B1022,SPECIFICATIONF!$C$2:$D$65,2,0)</f>
        <v>GLOBAL RETAIL</v>
      </c>
      <c r="H1022" s="12">
        <f t="shared" si="42"/>
        <v>6</v>
      </c>
      <c r="I1022" s="12">
        <f t="shared" si="43"/>
        <v>2025</v>
      </c>
    </row>
    <row r="1023" spans="1:9" ht="19.5" customHeight="1" x14ac:dyDescent="0.35">
      <c r="A1023" s="41">
        <v>45829</v>
      </c>
      <c r="B1023" s="8" t="s">
        <v>32</v>
      </c>
      <c r="C1023" s="42" t="s">
        <v>11</v>
      </c>
      <c r="D1023" s="43" t="s">
        <v>30</v>
      </c>
      <c r="E1023" s="46">
        <v>712527.49</v>
      </c>
      <c r="F1023" s="2">
        <f>IF(C1023="GBP",E1023*$C$3,IF(C1023="TRY",E1023/$C$1,IF(C1023="EUR",E1023*$E$1,IF(C1023="RUB",E1023/#REF!,IF(C1023="EGP",E1023/$E$2,E1023)))))</f>
        <v>19539.020042833363</v>
      </c>
      <c r="G1023" s="15" t="str">
        <f>VLOOKUP(B1023,SPECIFICATIONF!$C$2:$D$65,2,0)</f>
        <v>GLOBAL HFT</v>
      </c>
      <c r="H1023" s="12">
        <f t="shared" si="42"/>
        <v>6</v>
      </c>
      <c r="I1023" s="12">
        <f t="shared" si="43"/>
        <v>2025</v>
      </c>
    </row>
    <row r="1024" spans="1:9" ht="19.5" customHeight="1" x14ac:dyDescent="0.35">
      <c r="A1024" s="41">
        <v>45829</v>
      </c>
      <c r="B1024" s="8" t="s">
        <v>32</v>
      </c>
      <c r="C1024" s="42" t="s">
        <v>33</v>
      </c>
      <c r="D1024" s="43" t="s">
        <v>30</v>
      </c>
      <c r="E1024" s="46">
        <v>5278.58</v>
      </c>
      <c r="F1024" s="2">
        <f>IF(C1024="GBP",E1024*$C$3,IF(C1024="TRY",E1024/$C$1,IF(C1024="EUR",E1024*$E$1,IF(C1024="RUB",E1024/#REF!,IF(C1024="EGP",E1024/$E$2,E1024)))))</f>
        <v>5278.58</v>
      </c>
      <c r="G1024" s="15" t="str">
        <f>VLOOKUP(B1024,SPECIFICATIONF!$C$2:$D$65,2,0)</f>
        <v>GLOBAL HFT</v>
      </c>
      <c r="H1024" s="12">
        <f t="shared" si="42"/>
        <v>6</v>
      </c>
      <c r="I1024" s="12">
        <f t="shared" si="43"/>
        <v>2025</v>
      </c>
    </row>
    <row r="1025" spans="1:9" ht="19.5" customHeight="1" x14ac:dyDescent="0.35">
      <c r="A1025" s="41">
        <v>45829</v>
      </c>
      <c r="B1025" s="8" t="s">
        <v>32</v>
      </c>
      <c r="C1025" s="42" t="s">
        <v>11</v>
      </c>
      <c r="D1025" s="43" t="s">
        <v>29</v>
      </c>
      <c r="E1025" s="47">
        <v>2735043232</v>
      </c>
      <c r="F1025" s="2">
        <f>IF(C1025="GBP",E1025*$C$3,IF(C1025="TRY",E1025/$C$1,IF(C1025="EUR",E1025*$E$1,IF(C1025="RUB",E1025/#REF!,IF(C1025="EGP",E1025/$E$2,E1025)))))</f>
        <v>75000705.626197994</v>
      </c>
      <c r="G1025" s="15" t="str">
        <f>VLOOKUP(B1025,SPECIFICATIONF!$C$2:$D$65,2,0)</f>
        <v>GLOBAL HFT</v>
      </c>
      <c r="H1025" s="12">
        <f t="shared" si="42"/>
        <v>6</v>
      </c>
      <c r="I1025" s="12">
        <f t="shared" si="43"/>
        <v>2025</v>
      </c>
    </row>
    <row r="1026" spans="1:9" ht="19.5" customHeight="1" x14ac:dyDescent="0.35">
      <c r="A1026" s="41">
        <v>45829</v>
      </c>
      <c r="B1026" s="8" t="s">
        <v>32</v>
      </c>
      <c r="C1026" s="42" t="s">
        <v>33</v>
      </c>
      <c r="D1026" s="43" t="s">
        <v>29</v>
      </c>
      <c r="E1026" s="46">
        <v>17372676</v>
      </c>
      <c r="F1026" s="2">
        <f>IF(C1026="GBP",E1026*$C$3,IF(C1026="TRY",E1026/$C$1,IF(C1026="EUR",E1026*$E$1,IF(C1026="RUB",E1026/#REF!,IF(C1026="EGP",E1026/$E$2,E1026)))))</f>
        <v>17372676</v>
      </c>
      <c r="G1026" s="15" t="str">
        <f>VLOOKUP(B1026,SPECIFICATIONF!$C$2:$D$65,2,0)</f>
        <v>GLOBAL HFT</v>
      </c>
      <c r="H1026" s="12">
        <f t="shared" si="42"/>
        <v>6</v>
      </c>
      <c r="I1026" s="12">
        <f t="shared" si="43"/>
        <v>2025</v>
      </c>
    </row>
    <row r="1027" spans="1:9" ht="19.5" customHeight="1" x14ac:dyDescent="0.35">
      <c r="A1027" s="41">
        <v>45829</v>
      </c>
      <c r="B1027" s="8" t="s">
        <v>24</v>
      </c>
      <c r="C1027" s="42" t="s">
        <v>11</v>
      </c>
      <c r="D1027" s="43" t="s">
        <v>30</v>
      </c>
      <c r="E1027" s="46">
        <v>0</v>
      </c>
      <c r="F1027" s="2">
        <f>IF(C1027="GBP",E1027*$C$3,IF(C1027="TRY",E1027/$C$1,IF(C1027="EUR",E1027*$E$1,IF(C1027="RUB",E1027/#REF!,IF(C1027="EGP",E1027/$E$2,E1027)))))</f>
        <v>0</v>
      </c>
      <c r="G1027" s="15" t="str">
        <f>VLOOKUP(B1027,SPECIFICATIONF!$C$2:$D$65,2,0)</f>
        <v>GLOBAL RETAIL</v>
      </c>
      <c r="H1027" s="12">
        <f t="shared" si="42"/>
        <v>6</v>
      </c>
      <c r="I1027" s="12">
        <f t="shared" si="43"/>
        <v>2025</v>
      </c>
    </row>
    <row r="1028" spans="1:9" ht="19.5" customHeight="1" x14ac:dyDescent="0.35">
      <c r="A1028" s="41">
        <v>45829</v>
      </c>
      <c r="B1028" s="8" t="s">
        <v>24</v>
      </c>
      <c r="C1028" s="42" t="s">
        <v>33</v>
      </c>
      <c r="D1028" s="43" t="s">
        <v>30</v>
      </c>
      <c r="E1028" s="46">
        <v>0</v>
      </c>
      <c r="F1028" s="2">
        <f>IF(C1028="GBP",E1028*$C$3,IF(C1028="TRY",E1028/$C$1,IF(C1028="EUR",E1028*$E$1,IF(C1028="RUB",E1028/#REF!,IF(C1028="EGP",E1028/$E$2,E1028)))))</f>
        <v>0</v>
      </c>
      <c r="G1028" s="15" t="str">
        <f>VLOOKUP(B1028,SPECIFICATIONF!$C$2:$D$65,2,0)</f>
        <v>GLOBAL RETAIL</v>
      </c>
      <c r="H1028" s="12">
        <f t="shared" si="42"/>
        <v>6</v>
      </c>
      <c r="I1028" s="12">
        <f t="shared" si="43"/>
        <v>2025</v>
      </c>
    </row>
    <row r="1029" spans="1:9" ht="19.5" customHeight="1" x14ac:dyDescent="0.35">
      <c r="A1029" s="41">
        <v>45829</v>
      </c>
      <c r="B1029" s="8" t="s">
        <v>24</v>
      </c>
      <c r="C1029" s="42" t="s">
        <v>11</v>
      </c>
      <c r="D1029" s="43" t="s">
        <v>29</v>
      </c>
      <c r="E1029" s="47">
        <v>0</v>
      </c>
      <c r="F1029" s="2">
        <f>IF(C1029="GBP",E1029*$C$3,IF(C1029="TRY",E1029/$C$1,IF(C1029="EUR",E1029*$E$1,IF(C1029="RUB",E1029/#REF!,IF(C1029="EGP",E1029/$E$2,E1029)))))</f>
        <v>0</v>
      </c>
      <c r="G1029" s="15" t="str">
        <f>VLOOKUP(B1029,SPECIFICATIONF!$C$2:$D$65,2,0)</f>
        <v>GLOBAL RETAIL</v>
      </c>
      <c r="H1029" s="12">
        <f t="shared" si="42"/>
        <v>6</v>
      </c>
      <c r="I1029" s="12">
        <f t="shared" si="43"/>
        <v>2025</v>
      </c>
    </row>
    <row r="1030" spans="1:9" ht="19.5" customHeight="1" x14ac:dyDescent="0.35">
      <c r="A1030" s="41">
        <v>45829</v>
      </c>
      <c r="B1030" s="8" t="s">
        <v>24</v>
      </c>
      <c r="C1030" s="42" t="s">
        <v>33</v>
      </c>
      <c r="D1030" s="43" t="s">
        <v>29</v>
      </c>
      <c r="E1030" s="46">
        <v>0</v>
      </c>
      <c r="F1030" s="2">
        <f>IF(C1030="GBP",E1030*$C$3,IF(C1030="TRY",E1030/$C$1,IF(C1030="EUR",E1030*$E$1,IF(C1030="RUB",E1030/#REF!,IF(C1030="EGP",E1030/$E$2,E1030)))))</f>
        <v>0</v>
      </c>
      <c r="G1030" s="15" t="str">
        <f>VLOOKUP(B1030,SPECIFICATIONF!$C$2:$D$65,2,0)</f>
        <v>GLOBAL RETAIL</v>
      </c>
      <c r="H1030" s="12">
        <f t="shared" si="42"/>
        <v>6</v>
      </c>
      <c r="I1030" s="12">
        <f t="shared" si="43"/>
        <v>2025</v>
      </c>
    </row>
    <row r="1031" spans="1:9" ht="19.5" customHeight="1" x14ac:dyDescent="0.35">
      <c r="A1031" s="41">
        <v>45830</v>
      </c>
      <c r="B1031" s="8" t="s">
        <v>32</v>
      </c>
      <c r="C1031" s="42" t="s">
        <v>11</v>
      </c>
      <c r="D1031" s="43" t="s">
        <v>30</v>
      </c>
      <c r="E1031" s="46">
        <v>1156385.72</v>
      </c>
      <c r="F1031" s="2">
        <f>IF(C1031="GBP",E1031*$C$3,IF(C1031="TRY",E1031/$C$1,IF(C1031="EUR",E1031*$E$1,IF(C1031="RUB",E1031/#REF!,IF(C1031="EGP",E1031/$E$2,E1031)))))</f>
        <v>31710.55724506333</v>
      </c>
      <c r="G1031" s="15" t="str">
        <f>VLOOKUP(B1031,SPECIFICATIONF!$C$2:$D$65,2,0)</f>
        <v>GLOBAL HFT</v>
      </c>
      <c r="H1031" s="12">
        <f t="shared" si="42"/>
        <v>6</v>
      </c>
      <c r="I1031" s="12">
        <f t="shared" si="43"/>
        <v>2025</v>
      </c>
    </row>
    <row r="1032" spans="1:9" ht="19.5" customHeight="1" x14ac:dyDescent="0.35">
      <c r="A1032" s="41">
        <v>45830</v>
      </c>
      <c r="B1032" s="8" t="s">
        <v>32</v>
      </c>
      <c r="C1032" s="42" t="s">
        <v>33</v>
      </c>
      <c r="D1032" s="43" t="s">
        <v>30</v>
      </c>
      <c r="E1032" s="46">
        <v>12322.36</v>
      </c>
      <c r="F1032" s="2">
        <f>IF(C1032="GBP",E1032*$C$3,IF(C1032="TRY",E1032/$C$1,IF(C1032="EUR",E1032*$E$1,IF(C1032="RUB",E1032/#REF!,IF(C1032="EGP",E1032/$E$2,E1032)))))</f>
        <v>12322.36</v>
      </c>
      <c r="G1032" s="15" t="str">
        <f>VLOOKUP(B1032,SPECIFICATIONF!$C$2:$D$65,2,0)</f>
        <v>GLOBAL HFT</v>
      </c>
      <c r="H1032" s="12">
        <f t="shared" si="42"/>
        <v>6</v>
      </c>
      <c r="I1032" s="12">
        <f t="shared" si="43"/>
        <v>2025</v>
      </c>
    </row>
    <row r="1033" spans="1:9" ht="19.5" customHeight="1" x14ac:dyDescent="0.35">
      <c r="A1033" s="41">
        <v>45830</v>
      </c>
      <c r="B1033" s="8" t="s">
        <v>32</v>
      </c>
      <c r="C1033" s="42" t="s">
        <v>11</v>
      </c>
      <c r="D1033" s="43" t="s">
        <v>29</v>
      </c>
      <c r="E1033" s="47">
        <v>4320300718</v>
      </c>
      <c r="F1033" s="2">
        <f>IF(C1033="GBP",E1033*$C$3,IF(C1033="TRY",E1033/$C$1,IF(C1033="EUR",E1033*$E$1,IF(C1033="RUB",E1033/#REF!,IF(C1033="EGP",E1033/$E$2,E1033)))))</f>
        <v>118471839.33923639</v>
      </c>
      <c r="G1033" s="15" t="str">
        <f>VLOOKUP(B1033,SPECIFICATIONF!$C$2:$D$65,2,0)</f>
        <v>GLOBAL HFT</v>
      </c>
      <c r="H1033" s="12">
        <f t="shared" si="42"/>
        <v>6</v>
      </c>
      <c r="I1033" s="12">
        <f t="shared" si="43"/>
        <v>2025</v>
      </c>
    </row>
    <row r="1034" spans="1:9" ht="19.5" customHeight="1" x14ac:dyDescent="0.35">
      <c r="A1034" s="41">
        <v>45830</v>
      </c>
      <c r="B1034" s="8" t="s">
        <v>32</v>
      </c>
      <c r="C1034" s="42" t="s">
        <v>33</v>
      </c>
      <c r="D1034" s="43" t="s">
        <v>29</v>
      </c>
      <c r="E1034" s="46">
        <v>40604254</v>
      </c>
      <c r="F1034" s="2">
        <f>IF(C1034="GBP",E1034*$C$3,IF(C1034="TRY",E1034/$C$1,IF(C1034="EUR",E1034*$E$1,IF(C1034="RUB",E1034/#REF!,IF(C1034="EGP",E1034/$E$2,E1034)))))</f>
        <v>40604254</v>
      </c>
      <c r="G1034" s="15" t="str">
        <f>VLOOKUP(B1034,SPECIFICATIONF!$C$2:$D$65,2,0)</f>
        <v>GLOBAL HFT</v>
      </c>
      <c r="H1034" s="12">
        <f t="shared" si="42"/>
        <v>6</v>
      </c>
      <c r="I1034" s="12">
        <f t="shared" si="43"/>
        <v>2025</v>
      </c>
    </row>
    <row r="1035" spans="1:9" ht="19.5" customHeight="1" x14ac:dyDescent="0.35">
      <c r="A1035" s="41">
        <v>45830</v>
      </c>
      <c r="B1035" s="8" t="s">
        <v>24</v>
      </c>
      <c r="C1035" s="42" t="s">
        <v>11</v>
      </c>
      <c r="D1035" s="43" t="s">
        <v>30</v>
      </c>
      <c r="E1035" s="46">
        <v>0</v>
      </c>
      <c r="F1035" s="2">
        <f>IF(C1035="GBP",E1035*$C$3,IF(C1035="TRY",E1035/$C$1,IF(C1035="EUR",E1035*$E$1,IF(C1035="RUB",E1035/#REF!,IF(C1035="EGP",E1035/$E$2,E1035)))))</f>
        <v>0</v>
      </c>
      <c r="G1035" s="15" t="str">
        <f>VLOOKUP(B1035,SPECIFICATIONF!$C$2:$D$65,2,0)</f>
        <v>GLOBAL RETAIL</v>
      </c>
      <c r="H1035" s="12">
        <f t="shared" si="42"/>
        <v>6</v>
      </c>
      <c r="I1035" s="12">
        <f t="shared" si="43"/>
        <v>2025</v>
      </c>
    </row>
    <row r="1036" spans="1:9" ht="19.5" customHeight="1" x14ac:dyDescent="0.35">
      <c r="A1036" s="41">
        <v>45830</v>
      </c>
      <c r="B1036" s="8" t="s">
        <v>24</v>
      </c>
      <c r="C1036" s="42" t="s">
        <v>33</v>
      </c>
      <c r="D1036" s="43" t="s">
        <v>30</v>
      </c>
      <c r="E1036" s="46">
        <v>0</v>
      </c>
      <c r="F1036" s="2">
        <f>IF(C1036="GBP",E1036*$C$3,IF(C1036="TRY",E1036/$C$1,IF(C1036="EUR",E1036*$E$1,IF(C1036="RUB",E1036/#REF!,IF(C1036="EGP",E1036/$E$2,E1036)))))</f>
        <v>0</v>
      </c>
      <c r="G1036" s="15" t="str">
        <f>VLOOKUP(B1036,SPECIFICATIONF!$C$2:$D$65,2,0)</f>
        <v>GLOBAL RETAIL</v>
      </c>
      <c r="H1036" s="12">
        <f t="shared" si="42"/>
        <v>6</v>
      </c>
      <c r="I1036" s="12">
        <f t="shared" si="43"/>
        <v>2025</v>
      </c>
    </row>
    <row r="1037" spans="1:9" ht="19.5" customHeight="1" x14ac:dyDescent="0.35">
      <c r="A1037" s="41">
        <v>45830</v>
      </c>
      <c r="B1037" s="8" t="s">
        <v>24</v>
      </c>
      <c r="C1037" s="42" t="s">
        <v>11</v>
      </c>
      <c r="D1037" s="43" t="s">
        <v>29</v>
      </c>
      <c r="E1037" s="47">
        <v>0</v>
      </c>
      <c r="F1037" s="2">
        <f>IF(C1037="GBP",E1037*$C$3,IF(C1037="TRY",E1037/$C$1,IF(C1037="EUR",E1037*$E$1,IF(C1037="RUB",E1037/#REF!,IF(C1037="EGP",E1037/$E$2,E1037)))))</f>
        <v>0</v>
      </c>
      <c r="G1037" s="15" t="str">
        <f>VLOOKUP(B1037,SPECIFICATIONF!$C$2:$D$65,2,0)</f>
        <v>GLOBAL RETAIL</v>
      </c>
      <c r="H1037" s="12">
        <f t="shared" si="42"/>
        <v>6</v>
      </c>
      <c r="I1037" s="12">
        <f t="shared" si="43"/>
        <v>2025</v>
      </c>
    </row>
    <row r="1038" spans="1:9" ht="19.5" customHeight="1" x14ac:dyDescent="0.35">
      <c r="A1038" s="41">
        <v>45830</v>
      </c>
      <c r="B1038" s="8" t="s">
        <v>24</v>
      </c>
      <c r="C1038" s="42" t="s">
        <v>33</v>
      </c>
      <c r="D1038" s="43" t="s">
        <v>29</v>
      </c>
      <c r="E1038" s="46">
        <v>0</v>
      </c>
      <c r="F1038" s="2">
        <f>IF(C1038="GBP",E1038*$C$3,IF(C1038="TRY",E1038/$C$1,IF(C1038="EUR",E1038*$E$1,IF(C1038="RUB",E1038/#REF!,IF(C1038="EGP",E1038/$E$2,E1038)))))</f>
        <v>0</v>
      </c>
      <c r="G1038" s="15" t="str">
        <f>VLOOKUP(B1038,SPECIFICATIONF!$C$2:$D$65,2,0)</f>
        <v>GLOBAL RETAIL</v>
      </c>
      <c r="H1038" s="12">
        <f t="shared" si="42"/>
        <v>6</v>
      </c>
      <c r="I1038" s="12">
        <f t="shared" si="43"/>
        <v>2025</v>
      </c>
    </row>
    <row r="1039" spans="1:9" ht="19.5" customHeight="1" x14ac:dyDescent="0.35">
      <c r="A1039" s="41">
        <v>45831</v>
      </c>
      <c r="B1039" s="8" t="s">
        <v>32</v>
      </c>
      <c r="C1039" s="42" t="s">
        <v>11</v>
      </c>
      <c r="D1039" s="43" t="s">
        <v>30</v>
      </c>
      <c r="E1039" s="46">
        <v>1561335.5</v>
      </c>
      <c r="F1039" s="2">
        <f>IF(C1039="GBP",E1039*$C$3,IF(C1039="TRY",E1039/$C$1,IF(C1039="EUR",E1039*$E$1,IF(C1039="RUB",E1039/#REF!,IF(C1039="EGP",E1039/$E$2,E1039)))))</f>
        <v>42815.141950645651</v>
      </c>
      <c r="G1039" s="15" t="str">
        <f>VLOOKUP(B1039,SPECIFICATIONF!$C$2:$D$65,2,0)</f>
        <v>GLOBAL HFT</v>
      </c>
      <c r="H1039" s="12">
        <f t="shared" si="42"/>
        <v>6</v>
      </c>
      <c r="I1039" s="12">
        <f t="shared" si="43"/>
        <v>2025</v>
      </c>
    </row>
    <row r="1040" spans="1:9" ht="19.5" customHeight="1" x14ac:dyDescent="0.35">
      <c r="A1040" s="41">
        <v>45831</v>
      </c>
      <c r="B1040" s="8" t="s">
        <v>32</v>
      </c>
      <c r="C1040" s="42" t="s">
        <v>33</v>
      </c>
      <c r="D1040" s="43" t="s">
        <v>30</v>
      </c>
      <c r="E1040" s="46">
        <v>12852.08</v>
      </c>
      <c r="F1040" s="2">
        <f>IF(C1040="GBP",E1040*$C$3,IF(C1040="TRY",E1040/$C$1,IF(C1040="EUR",E1040*$E$1,IF(C1040="RUB",E1040/#REF!,IF(C1040="EGP",E1040/$E$2,E1040)))))</f>
        <v>12852.08</v>
      </c>
      <c r="G1040" s="15" t="str">
        <f>VLOOKUP(B1040,SPECIFICATIONF!$C$2:$D$65,2,0)</f>
        <v>GLOBAL HFT</v>
      </c>
      <c r="H1040" s="12">
        <f t="shared" si="42"/>
        <v>6</v>
      </c>
      <c r="I1040" s="12">
        <f t="shared" si="43"/>
        <v>2025</v>
      </c>
    </row>
    <row r="1041" spans="1:9" ht="19.5" customHeight="1" x14ac:dyDescent="0.35">
      <c r="A1041" s="41">
        <v>45831</v>
      </c>
      <c r="B1041" s="8" t="s">
        <v>32</v>
      </c>
      <c r="C1041" s="42" t="s">
        <v>11</v>
      </c>
      <c r="D1041" s="43" t="s">
        <v>29</v>
      </c>
      <c r="E1041" s="46">
        <v>5786743413</v>
      </c>
      <c r="F1041" s="2">
        <f>IF(C1041="GBP",E1041*$C$3,IF(C1041="TRY",E1041/$C$1,IF(C1041="EUR",E1041*$E$1,IF(C1041="RUB",E1041/#REF!,IF(C1041="EGP",E1041/$E$2,E1041)))))</f>
        <v>158684818.64375639</v>
      </c>
      <c r="G1041" s="15" t="str">
        <f>VLOOKUP(B1041,SPECIFICATIONF!$C$2:$D$65,2,0)</f>
        <v>GLOBAL HFT</v>
      </c>
      <c r="H1041" s="12">
        <f t="shared" si="42"/>
        <v>6</v>
      </c>
      <c r="I1041" s="12">
        <f t="shared" si="43"/>
        <v>2025</v>
      </c>
    </row>
    <row r="1042" spans="1:9" ht="19.5" customHeight="1" x14ac:dyDescent="0.35">
      <c r="A1042" s="41">
        <v>45831</v>
      </c>
      <c r="B1042" s="8" t="s">
        <v>32</v>
      </c>
      <c r="C1042" s="42" t="s">
        <v>33</v>
      </c>
      <c r="D1042" s="43" t="s">
        <v>29</v>
      </c>
      <c r="E1042" s="46">
        <v>44403113</v>
      </c>
      <c r="F1042" s="2">
        <f>IF(C1042="GBP",E1042*$C$3,IF(C1042="TRY",E1042/$C$1,IF(C1042="EUR",E1042*$E$1,IF(C1042="RUB",E1042/#REF!,IF(C1042="EGP",E1042/$E$2,E1042)))))</f>
        <v>44403113</v>
      </c>
      <c r="G1042" s="15" t="str">
        <f>VLOOKUP(B1042,SPECIFICATIONF!$C$2:$D$65,2,0)</f>
        <v>GLOBAL HFT</v>
      </c>
      <c r="H1042" s="12">
        <f t="shared" si="42"/>
        <v>6</v>
      </c>
      <c r="I1042" s="12">
        <f t="shared" si="43"/>
        <v>2025</v>
      </c>
    </row>
    <row r="1043" spans="1:9" ht="19.5" customHeight="1" x14ac:dyDescent="0.35">
      <c r="A1043" s="41">
        <v>45831</v>
      </c>
      <c r="B1043" s="8" t="s">
        <v>24</v>
      </c>
      <c r="C1043" s="42" t="s">
        <v>11</v>
      </c>
      <c r="D1043" s="43" t="s">
        <v>30</v>
      </c>
      <c r="E1043" s="46">
        <v>0</v>
      </c>
      <c r="F1043" s="2">
        <f>IF(C1043="GBP",E1043*$C$3,IF(C1043="TRY",E1043/$C$1,IF(C1043="EUR",E1043*$E$1,IF(C1043="RUB",E1043/#REF!,IF(C1043="EGP",E1043/$E$2,E1043)))))</f>
        <v>0</v>
      </c>
      <c r="G1043" s="15" t="str">
        <f>VLOOKUP(B1043,SPECIFICATIONF!$C$2:$D$65,2,0)</f>
        <v>GLOBAL RETAIL</v>
      </c>
      <c r="H1043" s="12">
        <f t="shared" si="42"/>
        <v>6</v>
      </c>
      <c r="I1043" s="12">
        <f t="shared" si="43"/>
        <v>2025</v>
      </c>
    </row>
    <row r="1044" spans="1:9" ht="19.5" customHeight="1" x14ac:dyDescent="0.35">
      <c r="A1044" s="41">
        <v>45831</v>
      </c>
      <c r="B1044" s="8" t="s">
        <v>24</v>
      </c>
      <c r="C1044" s="42" t="s">
        <v>33</v>
      </c>
      <c r="D1044" s="43" t="s">
        <v>30</v>
      </c>
      <c r="E1044" s="46">
        <v>0</v>
      </c>
      <c r="F1044" s="2">
        <f>IF(C1044="GBP",E1044*$C$3,IF(C1044="TRY",E1044/$C$1,IF(C1044="EUR",E1044*$E$1,IF(C1044="RUB",E1044/#REF!,IF(C1044="EGP",E1044/$E$2,E1044)))))</f>
        <v>0</v>
      </c>
      <c r="G1044" s="15" t="str">
        <f>VLOOKUP(B1044,SPECIFICATIONF!$C$2:$D$65,2,0)</f>
        <v>GLOBAL RETAIL</v>
      </c>
      <c r="H1044" s="12">
        <f t="shared" si="42"/>
        <v>6</v>
      </c>
      <c r="I1044" s="12">
        <f t="shared" si="43"/>
        <v>2025</v>
      </c>
    </row>
    <row r="1045" spans="1:9" ht="19.5" customHeight="1" x14ac:dyDescent="0.35">
      <c r="A1045" s="41">
        <v>45831</v>
      </c>
      <c r="B1045" s="8" t="s">
        <v>24</v>
      </c>
      <c r="C1045" s="42" t="s">
        <v>11</v>
      </c>
      <c r="D1045" s="43" t="s">
        <v>29</v>
      </c>
      <c r="E1045" s="46">
        <v>0</v>
      </c>
      <c r="F1045" s="2">
        <f>IF(C1045="GBP",E1045*$C$3,IF(C1045="TRY",E1045/$C$1,IF(C1045="EUR",E1045*$E$1,IF(C1045="RUB",E1045/#REF!,IF(C1045="EGP",E1045/$E$2,E1045)))))</f>
        <v>0</v>
      </c>
      <c r="G1045" s="15" t="str">
        <f>VLOOKUP(B1045,SPECIFICATIONF!$C$2:$D$65,2,0)</f>
        <v>GLOBAL RETAIL</v>
      </c>
      <c r="H1045" s="12">
        <f t="shared" si="42"/>
        <v>6</v>
      </c>
      <c r="I1045" s="12">
        <f t="shared" si="43"/>
        <v>2025</v>
      </c>
    </row>
    <row r="1046" spans="1:9" ht="19.5" customHeight="1" x14ac:dyDescent="0.35">
      <c r="A1046" s="41">
        <v>45831</v>
      </c>
      <c r="B1046" s="8" t="s">
        <v>24</v>
      </c>
      <c r="C1046" s="42" t="s">
        <v>33</v>
      </c>
      <c r="D1046" s="43" t="s">
        <v>29</v>
      </c>
      <c r="E1046" s="46">
        <v>0</v>
      </c>
      <c r="F1046" s="2">
        <f>IF(C1046="GBP",E1046*$C$3,IF(C1046="TRY",E1046/$C$1,IF(C1046="EUR",E1046*$E$1,IF(C1046="RUB",E1046/#REF!,IF(C1046="EGP",E1046/$E$2,E1046)))))</f>
        <v>0</v>
      </c>
      <c r="G1046" s="15" t="str">
        <f>VLOOKUP(B1046,SPECIFICATIONF!$C$2:$D$65,2,0)</f>
        <v>GLOBAL RETAIL</v>
      </c>
      <c r="H1046" s="12">
        <f t="shared" si="42"/>
        <v>6</v>
      </c>
      <c r="I1046" s="12">
        <f t="shared" si="43"/>
        <v>2025</v>
      </c>
    </row>
    <row r="1047" spans="1:9" ht="19.5" customHeight="1" x14ac:dyDescent="0.35">
      <c r="A1047" s="41">
        <v>45832</v>
      </c>
      <c r="B1047" s="8" t="s">
        <v>32</v>
      </c>
      <c r="C1047" s="42" t="s">
        <v>11</v>
      </c>
      <c r="D1047" s="43" t="s">
        <v>30</v>
      </c>
      <c r="E1047" s="46">
        <v>1457252.31</v>
      </c>
      <c r="F1047" s="2">
        <f>IF(C1047="GBP",E1047*$C$3,IF(C1047="TRY",E1047/$C$1,IF(C1047="EUR",E1047*$E$1,IF(C1047="RUB",E1047/#REF!,IF(C1047="EGP",E1047/$E$2,E1047)))))</f>
        <v>39960.959390570628</v>
      </c>
      <c r="G1047" s="15" t="str">
        <f>VLOOKUP(B1047,SPECIFICATIONF!$C$2:$D$65,2,0)</f>
        <v>GLOBAL HFT</v>
      </c>
      <c r="H1047" s="12">
        <f t="shared" si="42"/>
        <v>6</v>
      </c>
      <c r="I1047" s="12">
        <f t="shared" si="43"/>
        <v>2025</v>
      </c>
    </row>
    <row r="1048" spans="1:9" ht="19.5" customHeight="1" x14ac:dyDescent="0.35">
      <c r="A1048" s="41">
        <v>45832</v>
      </c>
      <c r="B1048" s="8" t="s">
        <v>32</v>
      </c>
      <c r="C1048" s="42" t="s">
        <v>33</v>
      </c>
      <c r="D1048" s="43" t="s">
        <v>30</v>
      </c>
      <c r="E1048" s="46">
        <v>11494.33</v>
      </c>
      <c r="F1048" s="2">
        <f>IF(C1048="GBP",E1048*$C$3,IF(C1048="TRY",E1048/$C$1,IF(C1048="EUR",E1048*$E$1,IF(C1048="RUB",E1048/#REF!,IF(C1048="EGP",E1048/$E$2,E1048)))))</f>
        <v>11494.33</v>
      </c>
      <c r="G1048" s="15" t="str">
        <f>VLOOKUP(B1048,SPECIFICATIONF!$C$2:$D$65,2,0)</f>
        <v>GLOBAL HFT</v>
      </c>
      <c r="H1048" s="12">
        <f t="shared" si="42"/>
        <v>6</v>
      </c>
      <c r="I1048" s="12">
        <f t="shared" si="43"/>
        <v>2025</v>
      </c>
    </row>
    <row r="1049" spans="1:9" ht="19.5" customHeight="1" x14ac:dyDescent="0.35">
      <c r="A1049" s="41">
        <v>45832</v>
      </c>
      <c r="B1049" s="8" t="s">
        <v>32</v>
      </c>
      <c r="C1049" s="42" t="s">
        <v>11</v>
      </c>
      <c r="D1049" s="43" t="s">
        <v>29</v>
      </c>
      <c r="E1049" s="46">
        <v>5485048514</v>
      </c>
      <c r="F1049" s="2">
        <f>IF(C1049="GBP",E1049*$C$3,IF(C1049="TRY",E1049/$C$1,IF(C1049="EUR",E1049*$E$1,IF(C1049="RUB",E1049/#REF!,IF(C1049="EGP",E1049/$E$2,E1049)))))</f>
        <v>150411702.5028176</v>
      </c>
      <c r="G1049" s="15" t="str">
        <f>VLOOKUP(B1049,SPECIFICATIONF!$C$2:$D$65,2,0)</f>
        <v>GLOBAL HFT</v>
      </c>
      <c r="H1049" s="12">
        <f t="shared" si="42"/>
        <v>6</v>
      </c>
      <c r="I1049" s="12">
        <f t="shared" si="43"/>
        <v>2025</v>
      </c>
    </row>
    <row r="1050" spans="1:9" ht="19.5" customHeight="1" x14ac:dyDescent="0.35">
      <c r="A1050" s="41">
        <v>45832</v>
      </c>
      <c r="B1050" s="8" t="s">
        <v>32</v>
      </c>
      <c r="C1050" s="42" t="s">
        <v>33</v>
      </c>
      <c r="D1050" s="43" t="s">
        <v>29</v>
      </c>
      <c r="E1050" s="46">
        <v>39412083</v>
      </c>
      <c r="F1050" s="2">
        <f>IF(C1050="GBP",E1050*$C$3,IF(C1050="TRY",E1050/$C$1,IF(C1050="EUR",E1050*$E$1,IF(C1050="RUB",E1050/#REF!,IF(C1050="EGP",E1050/$E$2,E1050)))))</f>
        <v>39412083</v>
      </c>
      <c r="G1050" s="15" t="str">
        <f>VLOOKUP(B1050,SPECIFICATIONF!$C$2:$D$65,2,0)</f>
        <v>GLOBAL HFT</v>
      </c>
      <c r="H1050" s="12">
        <f t="shared" si="42"/>
        <v>6</v>
      </c>
      <c r="I1050" s="12">
        <f t="shared" si="43"/>
        <v>2025</v>
      </c>
    </row>
    <row r="1051" spans="1:9" ht="19.5" customHeight="1" x14ac:dyDescent="0.35">
      <c r="A1051" s="41">
        <v>45832</v>
      </c>
      <c r="B1051" s="8" t="s">
        <v>24</v>
      </c>
      <c r="C1051" s="42" t="s">
        <v>11</v>
      </c>
      <c r="D1051" s="43" t="s">
        <v>30</v>
      </c>
      <c r="E1051" s="46">
        <v>0</v>
      </c>
      <c r="F1051" s="2">
        <f>IF(C1051="GBP",E1051*$C$3,IF(C1051="TRY",E1051/$C$1,IF(C1051="EUR",E1051*$E$1,IF(C1051="RUB",E1051/#REF!,IF(C1051="EGP",E1051/$E$2,E1051)))))</f>
        <v>0</v>
      </c>
      <c r="G1051" s="15" t="str">
        <f>VLOOKUP(B1051,SPECIFICATIONF!$C$2:$D$65,2,0)</f>
        <v>GLOBAL RETAIL</v>
      </c>
      <c r="H1051" s="12">
        <f t="shared" si="42"/>
        <v>6</v>
      </c>
      <c r="I1051" s="12">
        <f t="shared" si="43"/>
        <v>2025</v>
      </c>
    </row>
    <row r="1052" spans="1:9" ht="19.5" customHeight="1" x14ac:dyDescent="0.35">
      <c r="A1052" s="41">
        <v>45832</v>
      </c>
      <c r="B1052" s="8" t="s">
        <v>24</v>
      </c>
      <c r="C1052" s="42" t="s">
        <v>33</v>
      </c>
      <c r="D1052" s="43" t="s">
        <v>30</v>
      </c>
      <c r="E1052" s="46">
        <v>1.17</v>
      </c>
      <c r="F1052" s="2">
        <f>IF(C1052="GBP",E1052*$C$3,IF(C1052="TRY",E1052/$C$1,IF(C1052="EUR",E1052*$E$1,IF(C1052="RUB",E1052/#REF!,IF(C1052="EGP",E1052/$E$2,E1052)))))</f>
        <v>1.17</v>
      </c>
      <c r="G1052" s="15" t="str">
        <f>VLOOKUP(B1052,SPECIFICATIONF!$C$2:$D$65,2,0)</f>
        <v>GLOBAL RETAIL</v>
      </c>
      <c r="H1052" s="12">
        <f t="shared" si="42"/>
        <v>6</v>
      </c>
      <c r="I1052" s="12">
        <f t="shared" si="43"/>
        <v>2025</v>
      </c>
    </row>
    <row r="1053" spans="1:9" ht="19.5" customHeight="1" x14ac:dyDescent="0.35">
      <c r="A1053" s="41">
        <v>45832</v>
      </c>
      <c r="B1053" s="8" t="s">
        <v>24</v>
      </c>
      <c r="C1053" s="42" t="s">
        <v>11</v>
      </c>
      <c r="D1053" s="43" t="s">
        <v>29</v>
      </c>
      <c r="E1053" s="46">
        <v>0</v>
      </c>
      <c r="F1053" s="2">
        <f>IF(C1053="GBP",E1053*$C$3,IF(C1053="TRY",E1053/$C$1,IF(C1053="EUR",E1053*$E$1,IF(C1053="RUB",E1053/#REF!,IF(C1053="EGP",E1053/$E$2,E1053)))))</f>
        <v>0</v>
      </c>
      <c r="G1053" s="15" t="str">
        <f>VLOOKUP(B1053,SPECIFICATIONF!$C$2:$D$65,2,0)</f>
        <v>GLOBAL RETAIL</v>
      </c>
      <c r="H1053" s="12">
        <f t="shared" si="42"/>
        <v>6</v>
      </c>
      <c r="I1053" s="12">
        <f t="shared" si="43"/>
        <v>2025</v>
      </c>
    </row>
    <row r="1054" spans="1:9" ht="19.5" customHeight="1" x14ac:dyDescent="0.35">
      <c r="A1054" s="41">
        <v>45832</v>
      </c>
      <c r="B1054" s="8" t="s">
        <v>24</v>
      </c>
      <c r="C1054" s="42" t="s">
        <v>33</v>
      </c>
      <c r="D1054" s="43" t="s">
        <v>29</v>
      </c>
      <c r="E1054" s="46">
        <v>996</v>
      </c>
      <c r="F1054" s="2">
        <f>IF(C1054="GBP",E1054*$C$3,IF(C1054="TRY",E1054/$C$1,IF(C1054="EUR",E1054*$E$1,IF(C1054="RUB",E1054/#REF!,IF(C1054="EGP",E1054/$E$2,E1054)))))</f>
        <v>996</v>
      </c>
      <c r="G1054" s="15" t="str">
        <f>VLOOKUP(B1054,SPECIFICATIONF!$C$2:$D$65,2,0)</f>
        <v>GLOBAL RETAIL</v>
      </c>
      <c r="H1054" s="12">
        <f t="shared" si="42"/>
        <v>6</v>
      </c>
      <c r="I1054" s="12">
        <f t="shared" si="43"/>
        <v>2025</v>
      </c>
    </row>
    <row r="1055" spans="1:9" ht="19.399999999999999" customHeight="1" x14ac:dyDescent="0.35">
      <c r="A1055" s="41">
        <v>45833</v>
      </c>
      <c r="B1055" s="8" t="s">
        <v>32</v>
      </c>
      <c r="C1055" s="42" t="s">
        <v>11</v>
      </c>
      <c r="D1055" s="43" t="s">
        <v>30</v>
      </c>
      <c r="E1055" s="46">
        <v>1095075.51</v>
      </c>
      <c r="F1055" s="2">
        <f>IF(C1055="GBP",E1055*$C$3,IF(C1055="TRY",E1055/$C$1,IF(C1055="EUR",E1055*$E$1,IF(C1055="RUB",E1055/#REF!,IF(C1055="EGP",E1055/$E$2,E1055)))))</f>
        <v>30029.300818002077</v>
      </c>
      <c r="G1055" s="15" t="str">
        <f>VLOOKUP(B1055,SPECIFICATIONF!$C$2:$D$65,2,0)</f>
        <v>GLOBAL HFT</v>
      </c>
      <c r="H1055" s="12">
        <f t="shared" si="42"/>
        <v>6</v>
      </c>
      <c r="I1055" s="12">
        <f t="shared" si="43"/>
        <v>2025</v>
      </c>
    </row>
    <row r="1056" spans="1:9" ht="19.5" customHeight="1" x14ac:dyDescent="0.35">
      <c r="A1056" s="41">
        <v>45833</v>
      </c>
      <c r="B1056" s="8" t="s">
        <v>32</v>
      </c>
      <c r="C1056" s="42" t="s">
        <v>33</v>
      </c>
      <c r="D1056" s="43" t="s">
        <v>30</v>
      </c>
      <c r="E1056" s="46">
        <v>7483.85</v>
      </c>
      <c r="F1056" s="2">
        <f>IF(C1056="GBP",E1056*$C$3,IF(C1056="TRY",E1056/$C$1,IF(C1056="EUR",E1056*$E$1,IF(C1056="RUB",E1056/#REF!,IF(C1056="EGP",E1056/$E$2,E1056)))))</f>
        <v>7483.85</v>
      </c>
      <c r="G1056" s="15" t="str">
        <f>VLOOKUP(B1056,SPECIFICATIONF!$C$2:$D$65,2,0)</f>
        <v>GLOBAL HFT</v>
      </c>
      <c r="H1056" s="12">
        <f t="shared" si="42"/>
        <v>6</v>
      </c>
      <c r="I1056" s="12">
        <f t="shared" si="43"/>
        <v>2025</v>
      </c>
    </row>
    <row r="1057" spans="1:9" ht="19.5" customHeight="1" x14ac:dyDescent="0.35">
      <c r="A1057" s="41">
        <v>45833</v>
      </c>
      <c r="B1057" s="8" t="s">
        <v>32</v>
      </c>
      <c r="C1057" s="42" t="s">
        <v>11</v>
      </c>
      <c r="D1057" s="43" t="s">
        <v>29</v>
      </c>
      <c r="E1057" s="46">
        <v>4245654287</v>
      </c>
      <c r="F1057" s="2">
        <f>IF(C1057="GBP",E1057*$C$3,IF(C1057="TRY",E1057/$C$1,IF(C1057="EUR",E1057*$E$1,IF(C1057="RUB",E1057/#REF!,IF(C1057="EGP",E1057/$E$2,E1057)))))</f>
        <v>116424875.35271712</v>
      </c>
      <c r="G1057" s="15" t="str">
        <f>VLOOKUP(B1057,SPECIFICATIONF!$C$2:$D$65,2,0)</f>
        <v>GLOBAL HFT</v>
      </c>
      <c r="H1057" s="12">
        <f t="shared" si="42"/>
        <v>6</v>
      </c>
      <c r="I1057" s="12">
        <f t="shared" si="43"/>
        <v>2025</v>
      </c>
    </row>
    <row r="1058" spans="1:9" ht="19.5" customHeight="1" x14ac:dyDescent="0.35">
      <c r="A1058" s="41">
        <v>45833</v>
      </c>
      <c r="B1058" s="8" t="s">
        <v>32</v>
      </c>
      <c r="C1058" s="42" t="s">
        <v>33</v>
      </c>
      <c r="D1058" s="43" t="s">
        <v>29</v>
      </c>
      <c r="E1058" s="46">
        <v>25130249</v>
      </c>
      <c r="F1058" s="2">
        <f>IF(C1058="GBP",E1058*$C$3,IF(C1058="TRY",E1058/$C$1,IF(C1058="EUR",E1058*$E$1,IF(C1058="RUB",E1058/#REF!,IF(C1058="EGP",E1058/$E$2,E1058)))))</f>
        <v>25130249</v>
      </c>
      <c r="G1058" s="15" t="str">
        <f>VLOOKUP(B1058,SPECIFICATIONF!$C$2:$D$65,2,0)</f>
        <v>GLOBAL HFT</v>
      </c>
      <c r="H1058" s="12">
        <f t="shared" si="42"/>
        <v>6</v>
      </c>
      <c r="I1058" s="12">
        <f t="shared" si="43"/>
        <v>2025</v>
      </c>
    </row>
    <row r="1059" spans="1:9" ht="19.5" customHeight="1" x14ac:dyDescent="0.35">
      <c r="A1059" s="41">
        <v>45833</v>
      </c>
      <c r="B1059" s="8" t="s">
        <v>24</v>
      </c>
      <c r="C1059" s="42" t="s">
        <v>11</v>
      </c>
      <c r="D1059" s="43" t="s">
        <v>30</v>
      </c>
      <c r="E1059" s="46">
        <v>0</v>
      </c>
      <c r="F1059" s="2">
        <f>IF(C1059="GBP",E1059*$C$3,IF(C1059="TRY",E1059/$C$1,IF(C1059="EUR",E1059*$E$1,IF(C1059="RUB",E1059/#REF!,IF(C1059="EGP",E1059/$E$2,E1059)))))</f>
        <v>0</v>
      </c>
      <c r="G1059" s="15" t="str">
        <f>VLOOKUP(B1059,SPECIFICATIONF!$C$2:$D$65,2,0)</f>
        <v>GLOBAL RETAIL</v>
      </c>
      <c r="H1059" s="12">
        <f t="shared" si="42"/>
        <v>6</v>
      </c>
      <c r="I1059" s="12">
        <f t="shared" si="43"/>
        <v>2025</v>
      </c>
    </row>
    <row r="1060" spans="1:9" ht="19.5" customHeight="1" x14ac:dyDescent="0.35">
      <c r="A1060" s="41">
        <v>45833</v>
      </c>
      <c r="B1060" s="8" t="s">
        <v>24</v>
      </c>
      <c r="C1060" s="42" t="s">
        <v>33</v>
      </c>
      <c r="D1060" s="43" t="s">
        <v>30</v>
      </c>
      <c r="E1060" s="46">
        <v>0</v>
      </c>
      <c r="F1060" s="2">
        <f>IF(C1060="GBP",E1060*$C$3,IF(C1060="TRY",E1060/$C$1,IF(C1060="EUR",E1060*$E$1,IF(C1060="RUB",E1060/#REF!,IF(C1060="EGP",E1060/$E$2,E1060)))))</f>
        <v>0</v>
      </c>
      <c r="G1060" s="15" t="str">
        <f>VLOOKUP(B1060,SPECIFICATIONF!$C$2:$D$65,2,0)</f>
        <v>GLOBAL RETAIL</v>
      </c>
      <c r="H1060" s="12">
        <f t="shared" si="42"/>
        <v>6</v>
      </c>
      <c r="I1060" s="12">
        <f t="shared" si="43"/>
        <v>2025</v>
      </c>
    </row>
    <row r="1061" spans="1:9" ht="19.5" customHeight="1" x14ac:dyDescent="0.35">
      <c r="A1061" s="41">
        <v>45833</v>
      </c>
      <c r="B1061" s="8" t="s">
        <v>24</v>
      </c>
      <c r="C1061" s="42" t="s">
        <v>11</v>
      </c>
      <c r="D1061" s="43" t="s">
        <v>29</v>
      </c>
      <c r="E1061" s="46">
        <v>0</v>
      </c>
      <c r="F1061" s="2">
        <f>IF(C1061="GBP",E1061*$C$3,IF(C1061="TRY",E1061/$C$1,IF(C1061="EUR",E1061*$E$1,IF(C1061="RUB",E1061/#REF!,IF(C1061="EGP",E1061/$E$2,E1061)))))</f>
        <v>0</v>
      </c>
      <c r="G1061" s="15" t="str">
        <f>VLOOKUP(B1061,SPECIFICATIONF!$C$2:$D$65,2,0)</f>
        <v>GLOBAL RETAIL</v>
      </c>
      <c r="H1061" s="12">
        <f t="shared" si="42"/>
        <v>6</v>
      </c>
      <c r="I1061" s="12">
        <f t="shared" si="43"/>
        <v>2025</v>
      </c>
    </row>
    <row r="1062" spans="1:9" ht="19.5" customHeight="1" x14ac:dyDescent="0.35">
      <c r="A1062" s="41">
        <v>45833</v>
      </c>
      <c r="B1062" s="8" t="s">
        <v>24</v>
      </c>
      <c r="C1062" s="42" t="s">
        <v>33</v>
      </c>
      <c r="D1062" s="43" t="s">
        <v>29</v>
      </c>
      <c r="E1062" s="46">
        <v>0</v>
      </c>
      <c r="F1062" s="2">
        <f>IF(C1062="GBP",E1062*$C$3,IF(C1062="TRY",E1062/$C$1,IF(C1062="EUR",E1062*$E$1,IF(C1062="RUB",E1062/#REF!,IF(C1062="EGP",E1062/$E$2,E1062)))))</f>
        <v>0</v>
      </c>
      <c r="G1062" s="15" t="str">
        <f>VLOOKUP(B1062,SPECIFICATIONF!$C$2:$D$65,2,0)</f>
        <v>GLOBAL RETAIL</v>
      </c>
      <c r="H1062" s="12">
        <f t="shared" ref="H1062:H1125" si="44">MONTH(A1062)</f>
        <v>6</v>
      </c>
      <c r="I1062" s="12">
        <f t="shared" ref="I1062:I1125" si="45">YEAR(A1062)</f>
        <v>2025</v>
      </c>
    </row>
    <row r="1063" spans="1:9" ht="19.5" customHeight="1" x14ac:dyDescent="0.35">
      <c r="A1063" s="41">
        <v>45834</v>
      </c>
      <c r="B1063" s="8" t="s">
        <v>32</v>
      </c>
      <c r="C1063" s="42" t="s">
        <v>11</v>
      </c>
      <c r="D1063" s="43" t="s">
        <v>30</v>
      </c>
      <c r="E1063" s="46">
        <v>1063444.1000000001</v>
      </c>
      <c r="F1063" s="2">
        <f>IF(C1063="GBP",E1063*$C$3,IF(C1063="TRY",E1063/$C$1,IF(C1063="EUR",E1063*$E$1,IF(C1063="RUB",E1063/#REF!,IF(C1063="EGP",E1063/$E$2,E1063)))))</f>
        <v>29161.900243782718</v>
      </c>
      <c r="G1063" s="15" t="str">
        <f>VLOOKUP(B1063,SPECIFICATIONF!$C$2:$D$65,2,0)</f>
        <v>GLOBAL HFT</v>
      </c>
      <c r="H1063" s="12">
        <f t="shared" si="44"/>
        <v>6</v>
      </c>
      <c r="I1063" s="12">
        <f t="shared" si="45"/>
        <v>2025</v>
      </c>
    </row>
    <row r="1064" spans="1:9" ht="19.5" customHeight="1" x14ac:dyDescent="0.35">
      <c r="A1064" s="41">
        <v>45834</v>
      </c>
      <c r="B1064" s="8" t="s">
        <v>32</v>
      </c>
      <c r="C1064" s="42" t="s">
        <v>33</v>
      </c>
      <c r="D1064" s="43" t="s">
        <v>30</v>
      </c>
      <c r="E1064" s="46">
        <v>6685.74</v>
      </c>
      <c r="F1064" s="2">
        <f>IF(C1064="GBP",E1064*$C$3,IF(C1064="TRY",E1064/$C$1,IF(C1064="EUR",E1064*$E$1,IF(C1064="RUB",E1064/#REF!,IF(C1064="EGP",E1064/$E$2,E1064)))))</f>
        <v>6685.74</v>
      </c>
      <c r="G1064" s="15" t="str">
        <f>VLOOKUP(B1064,SPECIFICATIONF!$C$2:$D$65,2,0)</f>
        <v>GLOBAL HFT</v>
      </c>
      <c r="H1064" s="12">
        <f t="shared" si="44"/>
        <v>6</v>
      </c>
      <c r="I1064" s="12">
        <f t="shared" si="45"/>
        <v>2025</v>
      </c>
    </row>
    <row r="1065" spans="1:9" ht="19.5" customHeight="1" x14ac:dyDescent="0.35">
      <c r="A1065" s="41">
        <v>45834</v>
      </c>
      <c r="B1065" s="8" t="s">
        <v>32</v>
      </c>
      <c r="C1065" s="42" t="s">
        <v>11</v>
      </c>
      <c r="D1065" s="43" t="s">
        <v>29</v>
      </c>
      <c r="E1065" s="46">
        <v>4129984014</v>
      </c>
      <c r="F1065" s="2">
        <f>IF(C1065="GBP",E1065*$C$3,IF(C1065="TRY",E1065/$C$1,IF(C1065="EUR",E1065*$E$1,IF(C1065="RUB",E1065/#REF!,IF(C1065="EGP",E1065/$E$2,E1065)))))</f>
        <v>113252950.31933068</v>
      </c>
      <c r="G1065" s="15" t="str">
        <f>VLOOKUP(B1065,SPECIFICATIONF!$C$2:$D$65,2,0)</f>
        <v>GLOBAL HFT</v>
      </c>
      <c r="H1065" s="12">
        <f t="shared" si="44"/>
        <v>6</v>
      </c>
      <c r="I1065" s="12">
        <f t="shared" si="45"/>
        <v>2025</v>
      </c>
    </row>
    <row r="1066" spans="1:9" ht="19.5" customHeight="1" x14ac:dyDescent="0.35">
      <c r="A1066" s="41">
        <v>45834</v>
      </c>
      <c r="B1066" s="8" t="s">
        <v>32</v>
      </c>
      <c r="C1066" s="42" t="s">
        <v>33</v>
      </c>
      <c r="D1066" s="43" t="s">
        <v>29</v>
      </c>
      <c r="E1066" s="46">
        <v>22873231</v>
      </c>
      <c r="F1066" s="2">
        <f>IF(C1066="GBP",E1066*$C$3,IF(C1066="TRY",E1066/$C$1,IF(C1066="EUR",E1066*$E$1,IF(C1066="RUB",E1066/#REF!,IF(C1066="EGP",E1066/$E$2,E1066)))))</f>
        <v>22873231</v>
      </c>
      <c r="G1066" s="15" t="str">
        <f>VLOOKUP(B1066,SPECIFICATIONF!$C$2:$D$65,2,0)</f>
        <v>GLOBAL HFT</v>
      </c>
      <c r="H1066" s="12">
        <f t="shared" si="44"/>
        <v>6</v>
      </c>
      <c r="I1066" s="12">
        <f t="shared" si="45"/>
        <v>2025</v>
      </c>
    </row>
    <row r="1067" spans="1:9" ht="19.5" customHeight="1" x14ac:dyDescent="0.35">
      <c r="A1067" s="41">
        <v>45834</v>
      </c>
      <c r="B1067" s="8" t="s">
        <v>24</v>
      </c>
      <c r="C1067" s="42" t="s">
        <v>11</v>
      </c>
      <c r="D1067" s="43" t="s">
        <v>30</v>
      </c>
      <c r="E1067" s="46">
        <v>0</v>
      </c>
      <c r="F1067" s="2">
        <f>IF(C1067="GBP",E1067*$C$3,IF(C1067="TRY",E1067/$C$1,IF(C1067="EUR",E1067*$E$1,IF(C1067="RUB",E1067/#REF!,IF(C1067="EGP",E1067/$E$2,E1067)))))</f>
        <v>0</v>
      </c>
      <c r="G1067" s="15" t="str">
        <f>VLOOKUP(B1067,SPECIFICATIONF!$C$2:$D$65,2,0)</f>
        <v>GLOBAL RETAIL</v>
      </c>
      <c r="H1067" s="12">
        <f t="shared" si="44"/>
        <v>6</v>
      </c>
      <c r="I1067" s="12">
        <f t="shared" si="45"/>
        <v>2025</v>
      </c>
    </row>
    <row r="1068" spans="1:9" ht="19.5" customHeight="1" x14ac:dyDescent="0.35">
      <c r="A1068" s="41">
        <v>45834</v>
      </c>
      <c r="B1068" s="8" t="s">
        <v>24</v>
      </c>
      <c r="C1068" s="42" t="s">
        <v>33</v>
      </c>
      <c r="D1068" s="43" t="s">
        <v>30</v>
      </c>
      <c r="E1068" s="46">
        <v>0</v>
      </c>
      <c r="F1068" s="2">
        <f>IF(C1068="GBP",E1068*$C$3,IF(C1068="TRY",E1068/$C$1,IF(C1068="EUR",E1068*$E$1,IF(C1068="RUB",E1068/#REF!,IF(C1068="EGP",E1068/$E$2,E1068)))))</f>
        <v>0</v>
      </c>
      <c r="G1068" s="15" t="str">
        <f>VLOOKUP(B1068,SPECIFICATIONF!$C$2:$D$65,2,0)</f>
        <v>GLOBAL RETAIL</v>
      </c>
      <c r="H1068" s="12">
        <f t="shared" si="44"/>
        <v>6</v>
      </c>
      <c r="I1068" s="12">
        <f t="shared" si="45"/>
        <v>2025</v>
      </c>
    </row>
    <row r="1069" spans="1:9" ht="19.5" customHeight="1" x14ac:dyDescent="0.35">
      <c r="A1069" s="41">
        <v>45834</v>
      </c>
      <c r="B1069" s="8" t="s">
        <v>24</v>
      </c>
      <c r="C1069" s="42" t="s">
        <v>11</v>
      </c>
      <c r="D1069" s="43" t="s">
        <v>29</v>
      </c>
      <c r="E1069" s="46">
        <v>0</v>
      </c>
      <c r="F1069" s="2">
        <f>IF(C1069="GBP",E1069*$C$3,IF(C1069="TRY",E1069/$C$1,IF(C1069="EUR",E1069*$E$1,IF(C1069="RUB",E1069/#REF!,IF(C1069="EGP",E1069/$E$2,E1069)))))</f>
        <v>0</v>
      </c>
      <c r="G1069" s="15" t="str">
        <f>VLOOKUP(B1069,SPECIFICATIONF!$C$2:$D$65,2,0)</f>
        <v>GLOBAL RETAIL</v>
      </c>
      <c r="H1069" s="12">
        <f t="shared" si="44"/>
        <v>6</v>
      </c>
      <c r="I1069" s="12">
        <f t="shared" si="45"/>
        <v>2025</v>
      </c>
    </row>
    <row r="1070" spans="1:9" ht="19.5" customHeight="1" x14ac:dyDescent="0.35">
      <c r="A1070" s="41">
        <v>45834</v>
      </c>
      <c r="B1070" s="8" t="s">
        <v>24</v>
      </c>
      <c r="C1070" s="42" t="s">
        <v>33</v>
      </c>
      <c r="D1070" s="43" t="s">
        <v>29</v>
      </c>
      <c r="E1070" s="46">
        <v>0</v>
      </c>
      <c r="F1070" s="2">
        <f>IF(C1070="GBP",E1070*$C$3,IF(C1070="TRY",E1070/$C$1,IF(C1070="EUR",E1070*$E$1,IF(C1070="RUB",E1070/#REF!,IF(C1070="EGP",E1070/$E$2,E1070)))))</f>
        <v>0</v>
      </c>
      <c r="G1070" s="15" t="str">
        <f>VLOOKUP(B1070,SPECIFICATIONF!$C$2:$D$65,2,0)</f>
        <v>GLOBAL RETAIL</v>
      </c>
      <c r="H1070" s="12">
        <f t="shared" si="44"/>
        <v>6</v>
      </c>
      <c r="I1070" s="12">
        <f t="shared" si="45"/>
        <v>2025</v>
      </c>
    </row>
    <row r="1071" spans="1:9" ht="19.5" customHeight="1" x14ac:dyDescent="0.35">
      <c r="A1071" s="41">
        <v>45835</v>
      </c>
      <c r="B1071" s="8" t="s">
        <v>32</v>
      </c>
      <c r="C1071" s="42" t="s">
        <v>11</v>
      </c>
      <c r="D1071" s="43" t="s">
        <v>30</v>
      </c>
      <c r="E1071" s="46">
        <v>1006137.41</v>
      </c>
      <c r="F1071" s="2">
        <f>IF(C1071="GBP",E1071*$C$3,IF(C1071="TRY",E1071/$C$1,IF(C1071="EUR",E1071*$E$1,IF(C1071="RUB",E1071/#REF!,IF(C1071="EGP",E1071/$E$2,E1071)))))</f>
        <v>27590.428854659978</v>
      </c>
      <c r="G1071" s="15" t="str">
        <f>VLOOKUP(B1071,SPECIFICATIONF!$C$2:$D$65,2,0)</f>
        <v>GLOBAL HFT</v>
      </c>
      <c r="H1071" s="12">
        <f t="shared" si="44"/>
        <v>6</v>
      </c>
      <c r="I1071" s="12">
        <f t="shared" si="45"/>
        <v>2025</v>
      </c>
    </row>
    <row r="1072" spans="1:9" ht="19.5" customHeight="1" x14ac:dyDescent="0.35">
      <c r="A1072" s="41">
        <v>45835</v>
      </c>
      <c r="B1072" s="8" t="s">
        <v>32</v>
      </c>
      <c r="C1072" s="42" t="s">
        <v>33</v>
      </c>
      <c r="D1072" s="43" t="s">
        <v>30</v>
      </c>
      <c r="E1072" s="46">
        <v>5359.32</v>
      </c>
      <c r="F1072" s="2">
        <f>IF(C1072="GBP",E1072*$C$3,IF(C1072="TRY",E1072/$C$1,IF(C1072="EUR",E1072*$E$1,IF(C1072="RUB",E1072/#REF!,IF(C1072="EGP",E1072/$E$2,E1072)))))</f>
        <v>5359.32</v>
      </c>
      <c r="G1072" s="15" t="str">
        <f>VLOOKUP(B1072,SPECIFICATIONF!$C$2:$D$65,2,0)</f>
        <v>GLOBAL HFT</v>
      </c>
      <c r="H1072" s="12">
        <f t="shared" si="44"/>
        <v>6</v>
      </c>
      <c r="I1072" s="12">
        <f t="shared" si="45"/>
        <v>2025</v>
      </c>
    </row>
    <row r="1073" spans="1:9" ht="19.5" customHeight="1" x14ac:dyDescent="0.35">
      <c r="A1073" s="41">
        <v>45835</v>
      </c>
      <c r="B1073" s="8" t="s">
        <v>32</v>
      </c>
      <c r="C1073" s="42" t="s">
        <v>11</v>
      </c>
      <c r="D1073" s="43" t="s">
        <v>29</v>
      </c>
      <c r="E1073" s="46">
        <v>3670835035</v>
      </c>
      <c r="F1073" s="2">
        <f>IF(C1073="GBP",E1073*$C$3,IF(C1073="TRY",E1073/$C$1,IF(C1073="EUR",E1073*$E$1,IF(C1073="RUB",E1073/#REF!,IF(C1073="EGP",E1073/$E$2,E1073)))))</f>
        <v>100662108.24062368</v>
      </c>
      <c r="G1073" s="15" t="str">
        <f>VLOOKUP(B1073,SPECIFICATIONF!$C$2:$D$65,2,0)</f>
        <v>GLOBAL HFT</v>
      </c>
      <c r="H1073" s="12">
        <f t="shared" si="44"/>
        <v>6</v>
      </c>
      <c r="I1073" s="12">
        <f t="shared" si="45"/>
        <v>2025</v>
      </c>
    </row>
    <row r="1074" spans="1:9" ht="19.5" customHeight="1" x14ac:dyDescent="0.35">
      <c r="A1074" s="41">
        <v>45835</v>
      </c>
      <c r="B1074" s="8" t="s">
        <v>32</v>
      </c>
      <c r="C1074" s="42" t="s">
        <v>33</v>
      </c>
      <c r="D1074" s="43" t="s">
        <v>29</v>
      </c>
      <c r="E1074" s="46">
        <v>18261943</v>
      </c>
      <c r="F1074" s="2">
        <f>IF(C1074="GBP",E1074*$C$3,IF(C1074="TRY",E1074/$C$1,IF(C1074="EUR",E1074*$E$1,IF(C1074="RUB",E1074/#REF!,IF(C1074="EGP",E1074/$E$2,E1074)))))</f>
        <v>18261943</v>
      </c>
      <c r="G1074" s="15" t="str">
        <f>VLOOKUP(B1074,SPECIFICATIONF!$C$2:$D$65,2,0)</f>
        <v>GLOBAL HFT</v>
      </c>
      <c r="H1074" s="12">
        <f t="shared" si="44"/>
        <v>6</v>
      </c>
      <c r="I1074" s="12">
        <f t="shared" si="45"/>
        <v>2025</v>
      </c>
    </row>
    <row r="1075" spans="1:9" ht="19.5" customHeight="1" x14ac:dyDescent="0.35">
      <c r="A1075" s="41">
        <v>45835</v>
      </c>
      <c r="B1075" s="8" t="s">
        <v>24</v>
      </c>
      <c r="C1075" s="42" t="s">
        <v>11</v>
      </c>
      <c r="D1075" s="43" t="s">
        <v>30</v>
      </c>
      <c r="E1075" s="46">
        <v>0</v>
      </c>
      <c r="F1075" s="2">
        <f>IF(C1075="GBP",E1075*$C$3,IF(C1075="TRY",E1075/$C$1,IF(C1075="EUR",E1075*$E$1,IF(C1075="RUB",E1075/#REF!,IF(C1075="EGP",E1075/$E$2,E1075)))))</f>
        <v>0</v>
      </c>
      <c r="G1075" s="15" t="str">
        <f>VLOOKUP(B1075,SPECIFICATIONF!$C$2:$D$65,2,0)</f>
        <v>GLOBAL RETAIL</v>
      </c>
      <c r="H1075" s="12">
        <f t="shared" si="44"/>
        <v>6</v>
      </c>
      <c r="I1075" s="12">
        <f t="shared" si="45"/>
        <v>2025</v>
      </c>
    </row>
    <row r="1076" spans="1:9" ht="19.5" customHeight="1" x14ac:dyDescent="0.35">
      <c r="A1076" s="41">
        <v>45835</v>
      </c>
      <c r="B1076" s="8" t="s">
        <v>24</v>
      </c>
      <c r="C1076" s="42" t="s">
        <v>33</v>
      </c>
      <c r="D1076" s="43" t="s">
        <v>30</v>
      </c>
      <c r="E1076" s="46">
        <v>0</v>
      </c>
      <c r="F1076" s="2">
        <f>IF(C1076="GBP",E1076*$C$3,IF(C1076="TRY",E1076/$C$1,IF(C1076="EUR",E1076*$E$1,IF(C1076="RUB",E1076/#REF!,IF(C1076="EGP",E1076/$E$2,E1076)))))</f>
        <v>0</v>
      </c>
      <c r="G1076" s="15" t="str">
        <f>VLOOKUP(B1076,SPECIFICATIONF!$C$2:$D$65,2,0)</f>
        <v>GLOBAL RETAIL</v>
      </c>
      <c r="H1076" s="12">
        <f t="shared" si="44"/>
        <v>6</v>
      </c>
      <c r="I1076" s="12">
        <f t="shared" si="45"/>
        <v>2025</v>
      </c>
    </row>
    <row r="1077" spans="1:9" ht="19.5" customHeight="1" x14ac:dyDescent="0.35">
      <c r="A1077" s="41">
        <v>45835</v>
      </c>
      <c r="B1077" s="8" t="s">
        <v>24</v>
      </c>
      <c r="C1077" s="42" t="s">
        <v>11</v>
      </c>
      <c r="D1077" s="43" t="s">
        <v>29</v>
      </c>
      <c r="E1077" s="46">
        <v>0</v>
      </c>
      <c r="F1077" s="2">
        <f>IF(C1077="GBP",E1077*$C$3,IF(C1077="TRY",E1077/$C$1,IF(C1077="EUR",E1077*$E$1,IF(C1077="RUB",E1077/#REF!,IF(C1077="EGP",E1077/$E$2,E1077)))))</f>
        <v>0</v>
      </c>
      <c r="G1077" s="15" t="str">
        <f>VLOOKUP(B1077,SPECIFICATIONF!$C$2:$D$65,2,0)</f>
        <v>GLOBAL RETAIL</v>
      </c>
      <c r="H1077" s="12">
        <f t="shared" si="44"/>
        <v>6</v>
      </c>
      <c r="I1077" s="12">
        <f t="shared" si="45"/>
        <v>2025</v>
      </c>
    </row>
    <row r="1078" spans="1:9" ht="19.5" customHeight="1" x14ac:dyDescent="0.35">
      <c r="A1078" s="41">
        <v>45835</v>
      </c>
      <c r="B1078" s="8" t="s">
        <v>24</v>
      </c>
      <c r="C1078" s="42" t="s">
        <v>33</v>
      </c>
      <c r="D1078" s="43" t="s">
        <v>29</v>
      </c>
      <c r="E1078" s="46">
        <v>0</v>
      </c>
      <c r="F1078" s="2">
        <f>IF(C1078="GBP",E1078*$C$3,IF(C1078="TRY",E1078/$C$1,IF(C1078="EUR",E1078*$E$1,IF(C1078="RUB",E1078/#REF!,IF(C1078="EGP",E1078/$E$2,E1078)))))</f>
        <v>0</v>
      </c>
      <c r="G1078" s="15" t="str">
        <f>VLOOKUP(B1078,SPECIFICATIONF!$C$2:$D$65,2,0)</f>
        <v>GLOBAL RETAIL</v>
      </c>
      <c r="H1078" s="12">
        <f t="shared" si="44"/>
        <v>6</v>
      </c>
      <c r="I1078" s="12">
        <f t="shared" si="45"/>
        <v>2025</v>
      </c>
    </row>
    <row r="1079" spans="1:9" ht="19.5" customHeight="1" x14ac:dyDescent="0.35">
      <c r="A1079" s="41">
        <v>45836</v>
      </c>
      <c r="B1079" s="8" t="s">
        <v>32</v>
      </c>
      <c r="C1079" s="42" t="s">
        <v>11</v>
      </c>
      <c r="D1079" s="43" t="s">
        <v>30</v>
      </c>
      <c r="E1079" s="46">
        <v>842619.04</v>
      </c>
      <c r="F1079" s="2">
        <f>IF(C1079="GBP",E1079*$C$3,IF(C1079="TRY",E1079/$C$1,IF(C1079="EUR",E1079*$E$1,IF(C1079="RUB",E1079/#REF!,IF(C1079="EGP",E1079/$E$2,E1079)))))</f>
        <v>23106.407180209997</v>
      </c>
      <c r="G1079" s="15" t="str">
        <f>VLOOKUP(B1079,SPECIFICATIONF!$C$2:$D$65,2,0)</f>
        <v>GLOBAL HFT</v>
      </c>
      <c r="H1079" s="12">
        <f t="shared" si="44"/>
        <v>6</v>
      </c>
      <c r="I1079" s="12">
        <f t="shared" si="45"/>
        <v>2025</v>
      </c>
    </row>
    <row r="1080" spans="1:9" ht="19.5" customHeight="1" x14ac:dyDescent="0.35">
      <c r="A1080" s="41">
        <v>45836</v>
      </c>
      <c r="B1080" s="8" t="s">
        <v>32</v>
      </c>
      <c r="C1080" s="42" t="s">
        <v>33</v>
      </c>
      <c r="D1080" s="43" t="s">
        <v>30</v>
      </c>
      <c r="E1080" s="46">
        <v>5270.35</v>
      </c>
      <c r="F1080" s="2">
        <f>IF(C1080="GBP",E1080*$C$3,IF(C1080="TRY",E1080/$C$1,IF(C1080="EUR",E1080*$E$1,IF(C1080="RUB",E1080/#REF!,IF(C1080="EGP",E1080/$E$2,E1080)))))</f>
        <v>5270.35</v>
      </c>
      <c r="G1080" s="15" t="str">
        <f>VLOOKUP(B1080,SPECIFICATIONF!$C$2:$D$65,2,0)</f>
        <v>GLOBAL HFT</v>
      </c>
      <c r="H1080" s="12">
        <f t="shared" si="44"/>
        <v>6</v>
      </c>
      <c r="I1080" s="12">
        <f t="shared" si="45"/>
        <v>2025</v>
      </c>
    </row>
    <row r="1081" spans="1:9" ht="19.5" customHeight="1" x14ac:dyDescent="0.35">
      <c r="A1081" s="41">
        <v>45836</v>
      </c>
      <c r="B1081" s="8" t="s">
        <v>32</v>
      </c>
      <c r="C1081" s="42" t="s">
        <v>11</v>
      </c>
      <c r="D1081" s="43" t="s">
        <v>29</v>
      </c>
      <c r="E1081" s="46">
        <v>3335640028</v>
      </c>
      <c r="F1081" s="2">
        <f>IF(C1081="GBP",E1081*$C$3,IF(C1081="TRY",E1081/$C$1,IF(C1081="EUR",E1081*$E$1,IF(C1081="RUB",E1081/#REF!,IF(C1081="EGP",E1081/$E$2,E1081)))))</f>
        <v>91470347.84969382</v>
      </c>
      <c r="G1081" s="15" t="str">
        <f>VLOOKUP(B1081,SPECIFICATIONF!$C$2:$D$65,2,0)</f>
        <v>GLOBAL HFT</v>
      </c>
      <c r="H1081" s="12">
        <f t="shared" si="44"/>
        <v>6</v>
      </c>
      <c r="I1081" s="12">
        <f t="shared" si="45"/>
        <v>2025</v>
      </c>
    </row>
    <row r="1082" spans="1:9" ht="19.5" customHeight="1" x14ac:dyDescent="0.35">
      <c r="A1082" s="41">
        <v>45836</v>
      </c>
      <c r="B1082" s="8" t="s">
        <v>32</v>
      </c>
      <c r="C1082" s="42" t="s">
        <v>33</v>
      </c>
      <c r="D1082" s="43" t="s">
        <v>29</v>
      </c>
      <c r="E1082" s="46">
        <v>17549319</v>
      </c>
      <c r="F1082" s="2">
        <f>IF(C1082="GBP",E1082*$C$3,IF(C1082="TRY",E1082/$C$1,IF(C1082="EUR",E1082*$E$1,IF(C1082="RUB",E1082/#REF!,IF(C1082="EGP",E1082/$E$2,E1082)))))</f>
        <v>17549319</v>
      </c>
      <c r="G1082" s="15" t="str">
        <f>VLOOKUP(B1082,SPECIFICATIONF!$C$2:$D$65,2,0)</f>
        <v>GLOBAL HFT</v>
      </c>
      <c r="H1082" s="12">
        <f t="shared" si="44"/>
        <v>6</v>
      </c>
      <c r="I1082" s="12">
        <f t="shared" si="45"/>
        <v>2025</v>
      </c>
    </row>
    <row r="1083" spans="1:9" ht="19.5" customHeight="1" x14ac:dyDescent="0.35">
      <c r="A1083" s="41">
        <v>45836</v>
      </c>
      <c r="B1083" s="8" t="s">
        <v>24</v>
      </c>
      <c r="C1083" s="42" t="s">
        <v>11</v>
      </c>
      <c r="D1083" s="43" t="s">
        <v>30</v>
      </c>
      <c r="E1083" s="46">
        <v>0</v>
      </c>
      <c r="F1083" s="2">
        <f>IF(C1083="GBP",E1083*$C$3,IF(C1083="TRY",E1083/$C$1,IF(C1083="EUR",E1083*$E$1,IF(C1083="RUB",E1083/#REF!,IF(C1083="EGP",E1083/$E$2,E1083)))))</f>
        <v>0</v>
      </c>
      <c r="G1083" s="15" t="str">
        <f>VLOOKUP(B1083,SPECIFICATIONF!$C$2:$D$65,2,0)</f>
        <v>GLOBAL RETAIL</v>
      </c>
      <c r="H1083" s="12">
        <f t="shared" si="44"/>
        <v>6</v>
      </c>
      <c r="I1083" s="12">
        <f t="shared" si="45"/>
        <v>2025</v>
      </c>
    </row>
    <row r="1084" spans="1:9" ht="19.5" customHeight="1" x14ac:dyDescent="0.35">
      <c r="A1084" s="41">
        <v>45836</v>
      </c>
      <c r="B1084" s="8" t="s">
        <v>24</v>
      </c>
      <c r="C1084" s="42" t="s">
        <v>33</v>
      </c>
      <c r="D1084" s="43" t="s">
        <v>30</v>
      </c>
      <c r="E1084" s="46">
        <v>0</v>
      </c>
      <c r="F1084" s="2">
        <f>IF(C1084="GBP",E1084*$C$3,IF(C1084="TRY",E1084/$C$1,IF(C1084="EUR",E1084*$E$1,IF(C1084="RUB",E1084/#REF!,IF(C1084="EGP",E1084/$E$2,E1084)))))</f>
        <v>0</v>
      </c>
      <c r="G1084" s="15" t="str">
        <f>VLOOKUP(B1084,SPECIFICATIONF!$C$2:$D$65,2,0)</f>
        <v>GLOBAL RETAIL</v>
      </c>
      <c r="H1084" s="12">
        <f t="shared" si="44"/>
        <v>6</v>
      </c>
      <c r="I1084" s="12">
        <f t="shared" si="45"/>
        <v>2025</v>
      </c>
    </row>
    <row r="1085" spans="1:9" ht="19.5" customHeight="1" x14ac:dyDescent="0.35">
      <c r="A1085" s="41">
        <v>45836</v>
      </c>
      <c r="B1085" s="8" t="s">
        <v>24</v>
      </c>
      <c r="C1085" s="42" t="s">
        <v>11</v>
      </c>
      <c r="D1085" s="43" t="s">
        <v>29</v>
      </c>
      <c r="E1085" s="46">
        <v>0</v>
      </c>
      <c r="F1085" s="2">
        <f>IF(C1085="GBP",E1085*$C$3,IF(C1085="TRY",E1085/$C$1,IF(C1085="EUR",E1085*$E$1,IF(C1085="RUB",E1085/#REF!,IF(C1085="EGP",E1085/$E$2,E1085)))))</f>
        <v>0</v>
      </c>
      <c r="G1085" s="15" t="str">
        <f>VLOOKUP(B1085,SPECIFICATIONF!$C$2:$D$65,2,0)</f>
        <v>GLOBAL RETAIL</v>
      </c>
      <c r="H1085" s="12">
        <f t="shared" si="44"/>
        <v>6</v>
      </c>
      <c r="I1085" s="12">
        <f t="shared" si="45"/>
        <v>2025</v>
      </c>
    </row>
    <row r="1086" spans="1:9" ht="19.5" customHeight="1" x14ac:dyDescent="0.35">
      <c r="A1086" s="41">
        <v>45836</v>
      </c>
      <c r="B1086" s="8" t="s">
        <v>24</v>
      </c>
      <c r="C1086" s="42" t="s">
        <v>33</v>
      </c>
      <c r="D1086" s="43" t="s">
        <v>29</v>
      </c>
      <c r="E1086" s="46">
        <v>0</v>
      </c>
      <c r="F1086" s="2">
        <f>IF(C1086="GBP",E1086*$C$3,IF(C1086="TRY",E1086/$C$1,IF(C1086="EUR",E1086*$E$1,IF(C1086="RUB",E1086/#REF!,IF(C1086="EGP",E1086/$E$2,E1086)))))</f>
        <v>0</v>
      </c>
      <c r="G1086" s="15" t="str">
        <f>VLOOKUP(B1086,SPECIFICATIONF!$C$2:$D$65,2,0)</f>
        <v>GLOBAL RETAIL</v>
      </c>
      <c r="H1086" s="12">
        <f t="shared" si="44"/>
        <v>6</v>
      </c>
      <c r="I1086" s="12">
        <f t="shared" si="45"/>
        <v>2025</v>
      </c>
    </row>
    <row r="1087" spans="1:9" ht="19.5" customHeight="1" x14ac:dyDescent="0.35">
      <c r="A1087" s="41">
        <v>45837</v>
      </c>
      <c r="B1087" s="8" t="s">
        <v>32</v>
      </c>
      <c r="C1087" s="42" t="s">
        <v>11</v>
      </c>
      <c r="D1087" s="43" t="s">
        <v>30</v>
      </c>
      <c r="E1087" s="46">
        <v>1116588.94</v>
      </c>
      <c r="F1087" s="2">
        <f>IF(C1087="GBP",E1087*$C$3,IF(C1087="TRY",E1087/$C$1,IF(C1087="EUR",E1087*$E$1,IF(C1087="RUB",E1087/#REF!,IF(C1087="EGP",E1087/$E$2,E1087)))))</f>
        <v>30619.244849438801</v>
      </c>
      <c r="G1087" s="15" t="str">
        <f>VLOOKUP(B1087,SPECIFICATIONF!$C$2:$D$65,2,0)</f>
        <v>GLOBAL HFT</v>
      </c>
      <c r="H1087" s="12">
        <f t="shared" si="44"/>
        <v>6</v>
      </c>
      <c r="I1087" s="12">
        <f t="shared" si="45"/>
        <v>2025</v>
      </c>
    </row>
    <row r="1088" spans="1:9" ht="19.5" customHeight="1" x14ac:dyDescent="0.35">
      <c r="A1088" s="41">
        <v>45837</v>
      </c>
      <c r="B1088" s="8" t="s">
        <v>32</v>
      </c>
      <c r="C1088" s="42" t="s">
        <v>33</v>
      </c>
      <c r="D1088" s="43" t="s">
        <v>30</v>
      </c>
      <c r="E1088" s="46">
        <v>6781.19</v>
      </c>
      <c r="F1088" s="2">
        <f>IF(C1088="GBP",E1088*$C$3,IF(C1088="TRY",E1088/$C$1,IF(C1088="EUR",E1088*$E$1,IF(C1088="RUB",E1088/#REF!,IF(C1088="EGP",E1088/$E$2,E1088)))))</f>
        <v>6781.19</v>
      </c>
      <c r="G1088" s="15" t="str">
        <f>VLOOKUP(B1088,SPECIFICATIONF!$C$2:$D$65,2,0)</f>
        <v>GLOBAL HFT</v>
      </c>
      <c r="H1088" s="12">
        <f t="shared" si="44"/>
        <v>6</v>
      </c>
      <c r="I1088" s="12">
        <f t="shared" si="45"/>
        <v>2025</v>
      </c>
    </row>
    <row r="1089" spans="1:9" ht="19.5" customHeight="1" x14ac:dyDescent="0.35">
      <c r="A1089" s="41">
        <v>45837</v>
      </c>
      <c r="B1089" s="8" t="s">
        <v>32</v>
      </c>
      <c r="C1089" s="42" t="s">
        <v>11</v>
      </c>
      <c r="D1089" s="43" t="s">
        <v>29</v>
      </c>
      <c r="E1089" s="46">
        <v>4224843697</v>
      </c>
      <c r="F1089" s="2">
        <f>IF(C1089="GBP",E1089*$C$3,IF(C1089="TRY",E1089/$C$1,IF(C1089="EUR",E1089*$E$1,IF(C1089="RUB",E1089/#REF!,IF(C1089="EGP",E1089/$E$2,E1089)))))</f>
        <v>115854204.68973233</v>
      </c>
      <c r="G1089" s="15" t="str">
        <f>VLOOKUP(B1089,SPECIFICATIONF!$C$2:$D$65,2,0)</f>
        <v>GLOBAL HFT</v>
      </c>
      <c r="H1089" s="12">
        <f t="shared" si="44"/>
        <v>6</v>
      </c>
      <c r="I1089" s="12">
        <f t="shared" si="45"/>
        <v>2025</v>
      </c>
    </row>
    <row r="1090" spans="1:9" ht="19.5" customHeight="1" x14ac:dyDescent="0.35">
      <c r="A1090" s="41">
        <v>45837</v>
      </c>
      <c r="B1090" s="8" t="s">
        <v>32</v>
      </c>
      <c r="C1090" s="42" t="s">
        <v>33</v>
      </c>
      <c r="D1090" s="43" t="s">
        <v>29</v>
      </c>
      <c r="E1090" s="46">
        <v>22608168</v>
      </c>
      <c r="F1090" s="2">
        <f>IF(C1090="GBP",E1090*$C$3,IF(C1090="TRY",E1090/$C$1,IF(C1090="EUR",E1090*$E$1,IF(C1090="RUB",E1090/#REF!,IF(C1090="EGP",E1090/$E$2,E1090)))))</f>
        <v>22608168</v>
      </c>
      <c r="G1090" s="15" t="str">
        <f>VLOOKUP(B1090,SPECIFICATIONF!$C$2:$D$65,2,0)</f>
        <v>GLOBAL HFT</v>
      </c>
      <c r="H1090" s="12">
        <f t="shared" si="44"/>
        <v>6</v>
      </c>
      <c r="I1090" s="12">
        <f t="shared" si="45"/>
        <v>2025</v>
      </c>
    </row>
    <row r="1091" spans="1:9" ht="19.5" customHeight="1" x14ac:dyDescent="0.35">
      <c r="A1091" s="41">
        <v>45837</v>
      </c>
      <c r="B1091" s="8" t="s">
        <v>24</v>
      </c>
      <c r="C1091" s="42" t="s">
        <v>11</v>
      </c>
      <c r="D1091" s="43" t="s">
        <v>30</v>
      </c>
      <c r="E1091" s="46">
        <v>0</v>
      </c>
      <c r="F1091" s="2">
        <f>IF(C1091="GBP",E1091*$C$3,IF(C1091="TRY",E1091/$C$1,IF(C1091="EUR",E1091*$E$1,IF(C1091="RUB",E1091/#REF!,IF(C1091="EGP",E1091/$E$2,E1091)))))</f>
        <v>0</v>
      </c>
      <c r="G1091" s="15" t="str">
        <f>VLOOKUP(B1091,SPECIFICATIONF!$C$2:$D$65,2,0)</f>
        <v>GLOBAL RETAIL</v>
      </c>
      <c r="H1091" s="12">
        <f t="shared" si="44"/>
        <v>6</v>
      </c>
      <c r="I1091" s="12">
        <f t="shared" si="45"/>
        <v>2025</v>
      </c>
    </row>
    <row r="1092" spans="1:9" ht="19.5" customHeight="1" x14ac:dyDescent="0.35">
      <c r="A1092" s="41">
        <v>45837</v>
      </c>
      <c r="B1092" s="8" t="s">
        <v>24</v>
      </c>
      <c r="C1092" s="42" t="s">
        <v>33</v>
      </c>
      <c r="D1092" s="43" t="s">
        <v>30</v>
      </c>
      <c r="E1092" s="46">
        <v>0</v>
      </c>
      <c r="F1092" s="2">
        <f>IF(C1092="GBP",E1092*$C$3,IF(C1092="TRY",E1092/$C$1,IF(C1092="EUR",E1092*$E$1,IF(C1092="RUB",E1092/#REF!,IF(C1092="EGP",E1092/$E$2,E1092)))))</f>
        <v>0</v>
      </c>
      <c r="G1092" s="15" t="str">
        <f>VLOOKUP(B1092,SPECIFICATIONF!$C$2:$D$65,2,0)</f>
        <v>GLOBAL RETAIL</v>
      </c>
      <c r="H1092" s="12">
        <f t="shared" si="44"/>
        <v>6</v>
      </c>
      <c r="I1092" s="12">
        <f t="shared" si="45"/>
        <v>2025</v>
      </c>
    </row>
    <row r="1093" spans="1:9" ht="19.5" customHeight="1" x14ac:dyDescent="0.35">
      <c r="A1093" s="41">
        <v>45837</v>
      </c>
      <c r="B1093" s="8" t="s">
        <v>24</v>
      </c>
      <c r="C1093" s="42" t="s">
        <v>11</v>
      </c>
      <c r="D1093" s="43" t="s">
        <v>29</v>
      </c>
      <c r="E1093" s="46">
        <v>0</v>
      </c>
      <c r="F1093" s="2">
        <f>IF(C1093="GBP",E1093*$C$3,IF(C1093="TRY",E1093/$C$1,IF(C1093="EUR",E1093*$E$1,IF(C1093="RUB",E1093/#REF!,IF(C1093="EGP",E1093/$E$2,E1093)))))</f>
        <v>0</v>
      </c>
      <c r="G1093" s="15" t="str">
        <f>VLOOKUP(B1093,SPECIFICATIONF!$C$2:$D$65,2,0)</f>
        <v>GLOBAL RETAIL</v>
      </c>
      <c r="H1093" s="12">
        <f t="shared" si="44"/>
        <v>6</v>
      </c>
      <c r="I1093" s="12">
        <f t="shared" si="45"/>
        <v>2025</v>
      </c>
    </row>
    <row r="1094" spans="1:9" ht="19.5" customHeight="1" x14ac:dyDescent="0.35">
      <c r="A1094" s="41">
        <v>45837</v>
      </c>
      <c r="B1094" s="8" t="s">
        <v>24</v>
      </c>
      <c r="C1094" s="42" t="s">
        <v>33</v>
      </c>
      <c r="D1094" s="43" t="s">
        <v>29</v>
      </c>
      <c r="E1094" s="46">
        <v>0</v>
      </c>
      <c r="F1094" s="2">
        <f>IF(C1094="GBP",E1094*$C$3,IF(C1094="TRY",E1094/$C$1,IF(C1094="EUR",E1094*$E$1,IF(C1094="RUB",E1094/#REF!,IF(C1094="EGP",E1094/$E$2,E1094)))))</f>
        <v>0</v>
      </c>
      <c r="G1094" s="15" t="str">
        <f>VLOOKUP(B1094,SPECIFICATIONF!$C$2:$D$65,2,0)</f>
        <v>GLOBAL RETAIL</v>
      </c>
      <c r="H1094" s="12">
        <f t="shared" si="44"/>
        <v>6</v>
      </c>
      <c r="I1094" s="12">
        <f t="shared" si="45"/>
        <v>2025</v>
      </c>
    </row>
    <row r="1095" spans="1:9" ht="19.5" customHeight="1" x14ac:dyDescent="0.35">
      <c r="A1095" s="41">
        <v>45838</v>
      </c>
      <c r="B1095" s="8" t="s">
        <v>32</v>
      </c>
      <c r="C1095" s="42" t="s">
        <v>11</v>
      </c>
      <c r="D1095" s="43" t="s">
        <v>30</v>
      </c>
      <c r="E1095" s="46">
        <v>1386095.97</v>
      </c>
      <c r="F1095" s="2">
        <f>IF(C1095="GBP",E1095*$C$3,IF(C1095="TRY",E1095/$C$1,IF(C1095="EUR",E1095*$E$1,IF(C1095="RUB",E1095/#REF!,IF(C1095="EGP",E1095/$E$2,E1095)))))</f>
        <v>38009.701126226792</v>
      </c>
      <c r="G1095" s="15" t="str">
        <f>VLOOKUP(B1095,SPECIFICATIONF!$C$2:$D$65,2,0)</f>
        <v>GLOBAL HFT</v>
      </c>
      <c r="H1095" s="12">
        <f t="shared" si="44"/>
        <v>6</v>
      </c>
      <c r="I1095" s="12">
        <f t="shared" si="45"/>
        <v>2025</v>
      </c>
    </row>
    <row r="1096" spans="1:9" ht="19.5" customHeight="1" x14ac:dyDescent="0.35">
      <c r="A1096" s="41">
        <v>45838</v>
      </c>
      <c r="B1096" s="8" t="s">
        <v>32</v>
      </c>
      <c r="C1096" s="42" t="s">
        <v>33</v>
      </c>
      <c r="D1096" s="43" t="s">
        <v>30</v>
      </c>
      <c r="E1096" s="46">
        <v>13042</v>
      </c>
      <c r="F1096" s="2">
        <f>IF(C1096="GBP",E1096*$C$3,IF(C1096="TRY",E1096/$C$1,IF(C1096="EUR",E1096*$E$1,IF(C1096="RUB",E1096/#REF!,IF(C1096="EGP",E1096/$E$2,E1096)))))</f>
        <v>13042</v>
      </c>
      <c r="G1096" s="15" t="str">
        <f>VLOOKUP(B1096,SPECIFICATIONF!$C$2:$D$65,2,0)</f>
        <v>GLOBAL HFT</v>
      </c>
      <c r="H1096" s="12">
        <f t="shared" si="44"/>
        <v>6</v>
      </c>
      <c r="I1096" s="12">
        <f t="shared" si="45"/>
        <v>2025</v>
      </c>
    </row>
    <row r="1097" spans="1:9" ht="19.5" customHeight="1" x14ac:dyDescent="0.35">
      <c r="A1097" s="41">
        <v>45838</v>
      </c>
      <c r="B1097" s="8" t="s">
        <v>32</v>
      </c>
      <c r="C1097" s="42" t="s">
        <v>11</v>
      </c>
      <c r="D1097" s="43" t="s">
        <v>29</v>
      </c>
      <c r="E1097" s="46">
        <v>5171466446</v>
      </c>
      <c r="F1097" s="2">
        <f>IF(C1097="GBP",E1097*$C$3,IF(C1097="TRY",E1097/$C$1,IF(C1097="EUR",E1097*$E$1,IF(C1097="RUB",E1097/#REF!,IF(C1097="EGP",E1097/$E$2,E1097)))))</f>
        <v>141812614.89186084</v>
      </c>
      <c r="G1097" s="15" t="str">
        <f>VLOOKUP(B1097,SPECIFICATIONF!$C$2:$D$65,2,0)</f>
        <v>GLOBAL HFT</v>
      </c>
      <c r="H1097" s="12">
        <f t="shared" si="44"/>
        <v>6</v>
      </c>
      <c r="I1097" s="12">
        <f t="shared" si="45"/>
        <v>2025</v>
      </c>
    </row>
    <row r="1098" spans="1:9" ht="19.5" customHeight="1" x14ac:dyDescent="0.35">
      <c r="A1098" s="41">
        <v>45838</v>
      </c>
      <c r="B1098" s="8" t="s">
        <v>32</v>
      </c>
      <c r="C1098" s="42" t="s">
        <v>33</v>
      </c>
      <c r="D1098" s="43" t="s">
        <v>29</v>
      </c>
      <c r="E1098" s="46">
        <v>42115028</v>
      </c>
      <c r="F1098" s="2">
        <f>IF(C1098="GBP",E1098*$C$3,IF(C1098="TRY",E1098/$C$1,IF(C1098="EUR",E1098*$E$1,IF(C1098="RUB",E1098/#REF!,IF(C1098="EGP",E1098/$E$2,E1098)))))</f>
        <v>42115028</v>
      </c>
      <c r="G1098" s="15" t="str">
        <f>VLOOKUP(B1098,SPECIFICATIONF!$C$2:$D$65,2,0)</f>
        <v>GLOBAL HFT</v>
      </c>
      <c r="H1098" s="12">
        <f t="shared" si="44"/>
        <v>6</v>
      </c>
      <c r="I1098" s="12">
        <f t="shared" si="45"/>
        <v>2025</v>
      </c>
    </row>
    <row r="1099" spans="1:9" ht="19.5" customHeight="1" x14ac:dyDescent="0.35">
      <c r="A1099" s="41">
        <v>45838</v>
      </c>
      <c r="B1099" s="8" t="s">
        <v>24</v>
      </c>
      <c r="C1099" s="42" t="s">
        <v>11</v>
      </c>
      <c r="D1099" s="43" t="s">
        <v>30</v>
      </c>
      <c r="E1099" s="46">
        <v>0</v>
      </c>
      <c r="F1099" s="2">
        <f>IF(C1099="GBP",E1099*$C$3,IF(C1099="TRY",E1099/$C$1,IF(C1099="EUR",E1099*$E$1,IF(C1099="RUB",E1099/#REF!,IF(C1099="EGP",E1099/$E$2,E1099)))))</f>
        <v>0</v>
      </c>
      <c r="G1099" s="15" t="str">
        <f>VLOOKUP(B1099,SPECIFICATIONF!$C$2:$D$65,2,0)</f>
        <v>GLOBAL RETAIL</v>
      </c>
      <c r="H1099" s="12">
        <f t="shared" si="44"/>
        <v>6</v>
      </c>
      <c r="I1099" s="12">
        <f t="shared" si="45"/>
        <v>2025</v>
      </c>
    </row>
    <row r="1100" spans="1:9" ht="19.5" customHeight="1" x14ac:dyDescent="0.35">
      <c r="A1100" s="41">
        <v>45838</v>
      </c>
      <c r="B1100" s="8" t="s">
        <v>24</v>
      </c>
      <c r="C1100" s="42" t="s">
        <v>33</v>
      </c>
      <c r="D1100" s="43" t="s">
        <v>30</v>
      </c>
      <c r="E1100" s="46">
        <v>0</v>
      </c>
      <c r="F1100" s="2">
        <f>IF(C1100="GBP",E1100*$C$3,IF(C1100="TRY",E1100/$C$1,IF(C1100="EUR",E1100*$E$1,IF(C1100="RUB",E1100/#REF!,IF(C1100="EGP",E1100/$E$2,E1100)))))</f>
        <v>0</v>
      </c>
      <c r="G1100" s="15" t="str">
        <f>VLOOKUP(B1100,SPECIFICATIONF!$C$2:$D$65,2,0)</f>
        <v>GLOBAL RETAIL</v>
      </c>
      <c r="H1100" s="12">
        <f t="shared" si="44"/>
        <v>6</v>
      </c>
      <c r="I1100" s="12">
        <f t="shared" si="45"/>
        <v>2025</v>
      </c>
    </row>
    <row r="1101" spans="1:9" ht="19.5" customHeight="1" x14ac:dyDescent="0.35">
      <c r="A1101" s="41">
        <v>45838</v>
      </c>
      <c r="B1101" s="8" t="s">
        <v>24</v>
      </c>
      <c r="C1101" s="42" t="s">
        <v>11</v>
      </c>
      <c r="D1101" s="43" t="s">
        <v>29</v>
      </c>
      <c r="E1101" s="46">
        <v>0</v>
      </c>
      <c r="F1101" s="2">
        <f>IF(C1101="GBP",E1101*$C$3,IF(C1101="TRY",E1101/$C$1,IF(C1101="EUR",E1101*$E$1,IF(C1101="RUB",E1101/#REF!,IF(C1101="EGP",E1101/$E$2,E1101)))))</f>
        <v>0</v>
      </c>
      <c r="G1101" s="15" t="str">
        <f>VLOOKUP(B1101,SPECIFICATIONF!$C$2:$D$65,2,0)</f>
        <v>GLOBAL RETAIL</v>
      </c>
      <c r="H1101" s="12">
        <f t="shared" si="44"/>
        <v>6</v>
      </c>
      <c r="I1101" s="12">
        <f t="shared" si="45"/>
        <v>2025</v>
      </c>
    </row>
    <row r="1102" spans="1:9" ht="19.5" customHeight="1" x14ac:dyDescent="0.35">
      <c r="A1102" s="41">
        <v>45838</v>
      </c>
      <c r="B1102" s="8" t="s">
        <v>24</v>
      </c>
      <c r="C1102" s="42" t="s">
        <v>33</v>
      </c>
      <c r="D1102" s="43" t="s">
        <v>29</v>
      </c>
      <c r="E1102" s="46">
        <v>0</v>
      </c>
      <c r="F1102" s="2">
        <f>IF(C1102="GBP",E1102*$C$3,IF(C1102="TRY",E1102/$C$1,IF(C1102="EUR",E1102*$E$1,IF(C1102="RUB",E1102/#REF!,IF(C1102="EGP",E1102/$E$2,E1102)))))</f>
        <v>0</v>
      </c>
      <c r="G1102" s="15" t="str">
        <f>VLOOKUP(B1102,SPECIFICATIONF!$C$2:$D$65,2,0)</f>
        <v>GLOBAL RETAIL</v>
      </c>
      <c r="H1102" s="12">
        <f t="shared" si="44"/>
        <v>6</v>
      </c>
      <c r="I1102" s="12">
        <f t="shared" si="45"/>
        <v>2025</v>
      </c>
    </row>
    <row r="1103" spans="1:9" ht="19.5" customHeight="1" x14ac:dyDescent="0.35">
      <c r="A1103" s="41">
        <v>45839</v>
      </c>
      <c r="B1103" s="8" t="s">
        <v>32</v>
      </c>
      <c r="C1103" s="42" t="s">
        <v>11</v>
      </c>
      <c r="D1103" s="43" t="s">
        <v>30</v>
      </c>
      <c r="E1103" s="46">
        <v>1051739.3899999999</v>
      </c>
      <c r="F1103" s="2">
        <f>IF(C1103="GBP",E1103*$C$3,IF(C1103="TRY",E1103/$C$1,IF(C1103="EUR",E1103*$E$1,IF(C1103="RUB",E1103/#REF!,IF(C1103="EGP",E1103/$E$2,E1103)))))</f>
        <v>28840.932187819635</v>
      </c>
      <c r="G1103" s="15" t="str">
        <f>VLOOKUP(B1103,SPECIFICATIONF!$C$2:$D$65,2,0)</f>
        <v>GLOBAL HFT</v>
      </c>
      <c r="H1103" s="12">
        <f t="shared" si="44"/>
        <v>7</v>
      </c>
      <c r="I1103" s="12">
        <f t="shared" si="45"/>
        <v>2025</v>
      </c>
    </row>
    <row r="1104" spans="1:9" ht="19.5" customHeight="1" x14ac:dyDescent="0.35">
      <c r="A1104" s="41">
        <v>45839</v>
      </c>
      <c r="B1104" s="8" t="s">
        <v>32</v>
      </c>
      <c r="C1104" s="42" t="s">
        <v>33</v>
      </c>
      <c r="D1104" s="43" t="s">
        <v>30</v>
      </c>
      <c r="E1104" s="46">
        <v>7634.78</v>
      </c>
      <c r="F1104" s="2">
        <f>IF(C1104="GBP",E1104*$C$3,IF(C1104="TRY",E1104/$C$1,IF(C1104="EUR",E1104*$E$1,IF(C1104="RUB",E1104/#REF!,IF(C1104="EGP",E1104/$E$2,E1104)))))</f>
        <v>7634.78</v>
      </c>
      <c r="G1104" s="15" t="str">
        <f>VLOOKUP(B1104,SPECIFICATIONF!$C$2:$D$65,2,0)</f>
        <v>GLOBAL HFT</v>
      </c>
      <c r="H1104" s="12">
        <f t="shared" si="44"/>
        <v>7</v>
      </c>
      <c r="I1104" s="12">
        <f t="shared" si="45"/>
        <v>2025</v>
      </c>
    </row>
    <row r="1105" spans="1:9" ht="19.5" customHeight="1" x14ac:dyDescent="0.35">
      <c r="A1105" s="41">
        <v>45839</v>
      </c>
      <c r="B1105" s="8" t="s">
        <v>32</v>
      </c>
      <c r="C1105" s="42" t="s">
        <v>11</v>
      </c>
      <c r="D1105" s="43" t="s">
        <v>29</v>
      </c>
      <c r="E1105" s="46">
        <v>4171582077</v>
      </c>
      <c r="F1105" s="2">
        <f>IF(C1105="GBP",E1105*$C$3,IF(C1105="TRY",E1105/$C$1,IF(C1105="EUR",E1105*$E$1,IF(C1105="RUB",E1105/#REF!,IF(C1105="EGP",E1105/$E$2,E1105)))))</f>
        <v>114393657.72796699</v>
      </c>
      <c r="G1105" s="15" t="str">
        <f>VLOOKUP(B1105,SPECIFICATIONF!$C$2:$D$65,2,0)</f>
        <v>GLOBAL HFT</v>
      </c>
      <c r="H1105" s="12">
        <f t="shared" si="44"/>
        <v>7</v>
      </c>
      <c r="I1105" s="12">
        <f t="shared" si="45"/>
        <v>2025</v>
      </c>
    </row>
    <row r="1106" spans="1:9" ht="19.5" customHeight="1" x14ac:dyDescent="0.35">
      <c r="A1106" s="41">
        <v>45839</v>
      </c>
      <c r="B1106" s="8" t="s">
        <v>32</v>
      </c>
      <c r="C1106" s="42" t="s">
        <v>33</v>
      </c>
      <c r="D1106" s="43" t="s">
        <v>29</v>
      </c>
      <c r="E1106" s="46">
        <v>25983523</v>
      </c>
      <c r="F1106" s="2">
        <f>IF(C1106="GBP",E1106*$C$3,IF(C1106="TRY",E1106/$C$1,IF(C1106="EUR",E1106*$E$1,IF(C1106="RUB",E1106/#REF!,IF(C1106="EGP",E1106/$E$2,E1106)))))</f>
        <v>25983523</v>
      </c>
      <c r="G1106" s="15" t="str">
        <f>VLOOKUP(B1106,SPECIFICATIONF!$C$2:$D$65,2,0)</f>
        <v>GLOBAL HFT</v>
      </c>
      <c r="H1106" s="12">
        <f t="shared" si="44"/>
        <v>7</v>
      </c>
      <c r="I1106" s="12">
        <f t="shared" si="45"/>
        <v>2025</v>
      </c>
    </row>
    <row r="1107" spans="1:9" ht="19.5" customHeight="1" x14ac:dyDescent="0.35">
      <c r="A1107" s="41">
        <v>45839</v>
      </c>
      <c r="B1107" s="8" t="s">
        <v>24</v>
      </c>
      <c r="C1107" s="42" t="s">
        <v>11</v>
      </c>
      <c r="D1107" s="43" t="s">
        <v>30</v>
      </c>
      <c r="E1107" s="46">
        <v>0</v>
      </c>
      <c r="F1107" s="2">
        <f>IF(C1107="GBP",E1107*$C$3,IF(C1107="TRY",E1107/$C$1,IF(C1107="EUR",E1107*$E$1,IF(C1107="RUB",E1107/#REF!,IF(C1107="EGP",E1107/$E$2,E1107)))))</f>
        <v>0</v>
      </c>
      <c r="G1107" s="15" t="str">
        <f>VLOOKUP(B1107,SPECIFICATIONF!$C$2:$D$65,2,0)</f>
        <v>GLOBAL RETAIL</v>
      </c>
      <c r="H1107" s="12">
        <f t="shared" si="44"/>
        <v>7</v>
      </c>
      <c r="I1107" s="12">
        <f t="shared" si="45"/>
        <v>2025</v>
      </c>
    </row>
    <row r="1108" spans="1:9" ht="19.5" customHeight="1" x14ac:dyDescent="0.35">
      <c r="A1108" s="41">
        <v>45839</v>
      </c>
      <c r="B1108" s="8" t="s">
        <v>24</v>
      </c>
      <c r="C1108" s="42" t="s">
        <v>33</v>
      </c>
      <c r="D1108" s="43" t="s">
        <v>30</v>
      </c>
      <c r="E1108" s="46">
        <v>0</v>
      </c>
      <c r="F1108" s="2">
        <f>IF(C1108="GBP",E1108*$C$3,IF(C1108="TRY",E1108/$C$1,IF(C1108="EUR",E1108*$E$1,IF(C1108="RUB",E1108/#REF!,IF(C1108="EGP",E1108/$E$2,E1108)))))</f>
        <v>0</v>
      </c>
      <c r="G1108" s="15" t="str">
        <f>VLOOKUP(B1108,SPECIFICATIONF!$C$2:$D$65,2,0)</f>
        <v>GLOBAL RETAIL</v>
      </c>
      <c r="H1108" s="12">
        <f t="shared" si="44"/>
        <v>7</v>
      </c>
      <c r="I1108" s="12">
        <f t="shared" si="45"/>
        <v>2025</v>
      </c>
    </row>
    <row r="1109" spans="1:9" ht="19.5" customHeight="1" x14ac:dyDescent="0.35">
      <c r="A1109" s="41">
        <v>45839</v>
      </c>
      <c r="B1109" s="8" t="s">
        <v>24</v>
      </c>
      <c r="C1109" s="42" t="s">
        <v>11</v>
      </c>
      <c r="D1109" s="43" t="s">
        <v>29</v>
      </c>
      <c r="E1109" s="46">
        <v>0</v>
      </c>
      <c r="F1109" s="2">
        <f>IF(C1109="GBP",E1109*$C$3,IF(C1109="TRY",E1109/$C$1,IF(C1109="EUR",E1109*$E$1,IF(C1109="RUB",E1109/#REF!,IF(C1109="EGP",E1109/$E$2,E1109)))))</f>
        <v>0</v>
      </c>
      <c r="G1109" s="15" t="str">
        <f>VLOOKUP(B1109,SPECIFICATIONF!$C$2:$D$65,2,0)</f>
        <v>GLOBAL RETAIL</v>
      </c>
      <c r="H1109" s="12">
        <f t="shared" si="44"/>
        <v>7</v>
      </c>
      <c r="I1109" s="12">
        <f t="shared" si="45"/>
        <v>2025</v>
      </c>
    </row>
    <row r="1110" spans="1:9" ht="19.5" customHeight="1" x14ac:dyDescent="0.35">
      <c r="A1110" s="41">
        <v>45839</v>
      </c>
      <c r="B1110" s="8" t="s">
        <v>24</v>
      </c>
      <c r="C1110" s="42" t="s">
        <v>33</v>
      </c>
      <c r="D1110" s="43" t="s">
        <v>29</v>
      </c>
      <c r="E1110" s="46">
        <v>0</v>
      </c>
      <c r="F1110" s="2">
        <f>IF(C1110="GBP",E1110*$C$3,IF(C1110="TRY",E1110/$C$1,IF(C1110="EUR",E1110*$E$1,IF(C1110="RUB",E1110/#REF!,IF(C1110="EGP",E1110/$E$2,E1110)))))</f>
        <v>0</v>
      </c>
      <c r="G1110" s="15" t="str">
        <f>VLOOKUP(B1110,SPECIFICATIONF!$C$2:$D$65,2,0)</f>
        <v>GLOBAL RETAIL</v>
      </c>
      <c r="H1110" s="12">
        <f t="shared" si="44"/>
        <v>7</v>
      </c>
      <c r="I1110" s="12">
        <f t="shared" si="45"/>
        <v>2025</v>
      </c>
    </row>
    <row r="1111" spans="1:9" ht="19.5" customHeight="1" x14ac:dyDescent="0.35">
      <c r="A1111" s="41">
        <v>45840</v>
      </c>
      <c r="B1111" s="8" t="s">
        <v>32</v>
      </c>
      <c r="C1111" s="42" t="s">
        <v>11</v>
      </c>
      <c r="D1111" s="43" t="s">
        <v>30</v>
      </c>
      <c r="E1111" s="46">
        <v>1573929.31</v>
      </c>
      <c r="F1111" s="2">
        <f>IF(C1111="GBP",E1111*$C$3,IF(C1111="TRY",E1111/$C$1,IF(C1111="EUR",E1111*$E$1,IF(C1111="RUB",E1111/#REF!,IF(C1111="EGP",E1111/$E$2,E1111)))))</f>
        <v>43160.491020624184</v>
      </c>
      <c r="G1111" s="15" t="str">
        <f>VLOOKUP(B1111,SPECIFICATIONF!$C$2:$D$65,2,0)</f>
        <v>GLOBAL HFT</v>
      </c>
      <c r="H1111" s="12">
        <f t="shared" si="44"/>
        <v>7</v>
      </c>
      <c r="I1111" s="12">
        <f t="shared" si="45"/>
        <v>2025</v>
      </c>
    </row>
    <row r="1112" spans="1:9" ht="19.5" customHeight="1" x14ac:dyDescent="0.35">
      <c r="A1112" s="41">
        <v>45840</v>
      </c>
      <c r="B1112" s="8" t="s">
        <v>32</v>
      </c>
      <c r="C1112" s="42" t="s">
        <v>33</v>
      </c>
      <c r="D1112" s="43" t="s">
        <v>30</v>
      </c>
      <c r="E1112" s="46">
        <v>10897.28</v>
      </c>
      <c r="F1112" s="2">
        <f>IF(C1112="GBP",E1112*$C$3,IF(C1112="TRY",E1112/$C$1,IF(C1112="EUR",E1112*$E$1,IF(C1112="RUB",E1112/#REF!,IF(C1112="EGP",E1112/$E$2,E1112)))))</f>
        <v>10897.28</v>
      </c>
      <c r="G1112" s="15" t="str">
        <f>VLOOKUP(B1112,SPECIFICATIONF!$C$2:$D$65,2,0)</f>
        <v>GLOBAL HFT</v>
      </c>
      <c r="H1112" s="12">
        <f t="shared" si="44"/>
        <v>7</v>
      </c>
      <c r="I1112" s="12">
        <f t="shared" si="45"/>
        <v>2025</v>
      </c>
    </row>
    <row r="1113" spans="1:9" ht="19.5" customHeight="1" x14ac:dyDescent="0.35">
      <c r="A1113" s="41">
        <v>45840</v>
      </c>
      <c r="B1113" s="8" t="s">
        <v>32</v>
      </c>
      <c r="C1113" s="42" t="s">
        <v>11</v>
      </c>
      <c r="D1113" s="43" t="s">
        <v>29</v>
      </c>
      <c r="E1113" s="46">
        <v>5695469343</v>
      </c>
      <c r="F1113" s="2">
        <f>IF(C1113="GBP",E1113*$C$3,IF(C1113="TRY",E1113/$C$1,IF(C1113="EUR",E1113*$E$1,IF(C1113="RUB",E1113/#REF!,IF(C1113="EGP",E1113/$E$2,E1113)))))</f>
        <v>156181889.41204214</v>
      </c>
      <c r="G1113" s="15" t="str">
        <f>VLOOKUP(B1113,SPECIFICATIONF!$C$2:$D$65,2,0)</f>
        <v>GLOBAL HFT</v>
      </c>
      <c r="H1113" s="12">
        <f t="shared" si="44"/>
        <v>7</v>
      </c>
      <c r="I1113" s="12">
        <f t="shared" si="45"/>
        <v>2025</v>
      </c>
    </row>
    <row r="1114" spans="1:9" ht="19.5" customHeight="1" x14ac:dyDescent="0.35">
      <c r="A1114" s="41">
        <v>45840</v>
      </c>
      <c r="B1114" s="8" t="s">
        <v>32</v>
      </c>
      <c r="C1114" s="42" t="s">
        <v>33</v>
      </c>
      <c r="D1114" s="43" t="s">
        <v>29</v>
      </c>
      <c r="E1114" s="46">
        <v>36815954</v>
      </c>
      <c r="F1114" s="2">
        <f>IF(C1114="GBP",E1114*$C$3,IF(C1114="TRY",E1114/$C$1,IF(C1114="EUR",E1114*$E$1,IF(C1114="RUB",E1114/#REF!,IF(C1114="EGP",E1114/$E$2,E1114)))))</f>
        <v>36815954</v>
      </c>
      <c r="G1114" s="15" t="str">
        <f>VLOOKUP(B1114,SPECIFICATIONF!$C$2:$D$65,2,0)</f>
        <v>GLOBAL HFT</v>
      </c>
      <c r="H1114" s="12">
        <f t="shared" si="44"/>
        <v>7</v>
      </c>
      <c r="I1114" s="12">
        <f t="shared" si="45"/>
        <v>2025</v>
      </c>
    </row>
    <row r="1115" spans="1:9" ht="19.5" customHeight="1" x14ac:dyDescent="0.35">
      <c r="A1115" s="41">
        <v>45840</v>
      </c>
      <c r="B1115" s="8" t="s">
        <v>24</v>
      </c>
      <c r="C1115" s="42" t="s">
        <v>11</v>
      </c>
      <c r="D1115" s="43" t="s">
        <v>30</v>
      </c>
      <c r="E1115" s="46">
        <v>0</v>
      </c>
      <c r="F1115" s="2">
        <f>IF(C1115="GBP",E1115*$C$3,IF(C1115="TRY",E1115/$C$1,IF(C1115="EUR",E1115*$E$1,IF(C1115="RUB",E1115/#REF!,IF(C1115="EGP",E1115/$E$2,E1115)))))</f>
        <v>0</v>
      </c>
      <c r="G1115" s="15" t="str">
        <f>VLOOKUP(B1115,SPECIFICATIONF!$C$2:$D$65,2,0)</f>
        <v>GLOBAL RETAIL</v>
      </c>
      <c r="H1115" s="12">
        <f t="shared" si="44"/>
        <v>7</v>
      </c>
      <c r="I1115" s="12">
        <f t="shared" si="45"/>
        <v>2025</v>
      </c>
    </row>
    <row r="1116" spans="1:9" ht="19.5" customHeight="1" x14ac:dyDescent="0.35">
      <c r="A1116" s="41">
        <v>45840</v>
      </c>
      <c r="B1116" s="8" t="s">
        <v>24</v>
      </c>
      <c r="C1116" s="42" t="s">
        <v>33</v>
      </c>
      <c r="D1116" s="43" t="s">
        <v>30</v>
      </c>
      <c r="E1116" s="46">
        <v>0</v>
      </c>
      <c r="F1116" s="2">
        <f>IF(C1116="GBP",E1116*$C$3,IF(C1116="TRY",E1116/$C$1,IF(C1116="EUR",E1116*$E$1,IF(C1116="RUB",E1116/#REF!,IF(C1116="EGP",E1116/$E$2,E1116)))))</f>
        <v>0</v>
      </c>
      <c r="G1116" s="15" t="str">
        <f>VLOOKUP(B1116,SPECIFICATIONF!$C$2:$D$65,2,0)</f>
        <v>GLOBAL RETAIL</v>
      </c>
      <c r="H1116" s="12">
        <f t="shared" si="44"/>
        <v>7</v>
      </c>
      <c r="I1116" s="12">
        <f t="shared" si="45"/>
        <v>2025</v>
      </c>
    </row>
    <row r="1117" spans="1:9" ht="19.5" customHeight="1" x14ac:dyDescent="0.35">
      <c r="A1117" s="41">
        <v>45840</v>
      </c>
      <c r="B1117" s="8" t="s">
        <v>24</v>
      </c>
      <c r="C1117" s="42" t="s">
        <v>11</v>
      </c>
      <c r="D1117" s="43" t="s">
        <v>29</v>
      </c>
      <c r="E1117" s="46">
        <v>0</v>
      </c>
      <c r="F1117" s="2">
        <f>IF(C1117="GBP",E1117*$C$3,IF(C1117="TRY",E1117/$C$1,IF(C1117="EUR",E1117*$E$1,IF(C1117="RUB",E1117/#REF!,IF(C1117="EGP",E1117/$E$2,E1117)))))</f>
        <v>0</v>
      </c>
      <c r="G1117" s="15" t="str">
        <f>VLOOKUP(B1117,SPECIFICATIONF!$C$2:$D$65,2,0)</f>
        <v>GLOBAL RETAIL</v>
      </c>
      <c r="H1117" s="12">
        <f t="shared" si="44"/>
        <v>7</v>
      </c>
      <c r="I1117" s="12">
        <f t="shared" si="45"/>
        <v>2025</v>
      </c>
    </row>
    <row r="1118" spans="1:9" ht="19.5" customHeight="1" x14ac:dyDescent="0.35">
      <c r="A1118" s="41">
        <v>45840</v>
      </c>
      <c r="B1118" s="8" t="s">
        <v>24</v>
      </c>
      <c r="C1118" s="42" t="s">
        <v>33</v>
      </c>
      <c r="D1118" s="43" t="s">
        <v>29</v>
      </c>
      <c r="E1118" s="46">
        <v>0</v>
      </c>
      <c r="F1118" s="2">
        <f>IF(C1118="GBP",E1118*$C$3,IF(C1118="TRY",E1118/$C$1,IF(C1118="EUR",E1118*$E$1,IF(C1118="RUB",E1118/#REF!,IF(C1118="EGP",E1118/$E$2,E1118)))))</f>
        <v>0</v>
      </c>
      <c r="G1118" s="15" t="str">
        <f>VLOOKUP(B1118,SPECIFICATIONF!$C$2:$D$65,2,0)</f>
        <v>GLOBAL RETAIL</v>
      </c>
      <c r="H1118" s="12">
        <f t="shared" si="44"/>
        <v>7</v>
      </c>
      <c r="I1118" s="12">
        <f t="shared" si="45"/>
        <v>2025</v>
      </c>
    </row>
    <row r="1119" spans="1:9" ht="19.5" customHeight="1" x14ac:dyDescent="0.35">
      <c r="A1119" s="41">
        <v>45841</v>
      </c>
      <c r="B1119" s="8" t="s">
        <v>32</v>
      </c>
      <c r="C1119" s="42" t="s">
        <v>11</v>
      </c>
      <c r="D1119" s="43" t="s">
        <v>30</v>
      </c>
      <c r="E1119" s="46">
        <v>1646995.12</v>
      </c>
      <c r="F1119" s="2">
        <f>IF(C1119="GBP",E1119*$C$3,IF(C1119="TRY",E1119/$C$1,IF(C1119="EUR",E1119*$E$1,IF(C1119="RUB",E1119/#REF!,IF(C1119="EGP",E1119/$E$2,E1119)))))</f>
        <v>45164.111015743045</v>
      </c>
      <c r="G1119" s="15" t="str">
        <f>VLOOKUP(B1119,SPECIFICATIONF!$C$2:$D$65,2,0)</f>
        <v>GLOBAL HFT</v>
      </c>
      <c r="H1119" s="12">
        <f t="shared" si="44"/>
        <v>7</v>
      </c>
      <c r="I1119" s="12">
        <f t="shared" si="45"/>
        <v>2025</v>
      </c>
    </row>
    <row r="1120" spans="1:9" ht="19.5" customHeight="1" x14ac:dyDescent="0.35">
      <c r="A1120" s="41">
        <v>45841</v>
      </c>
      <c r="B1120" s="8" t="s">
        <v>32</v>
      </c>
      <c r="C1120" s="42" t="s">
        <v>33</v>
      </c>
      <c r="D1120" s="43" t="s">
        <v>30</v>
      </c>
      <c r="E1120" s="46">
        <v>11378.51</v>
      </c>
      <c r="F1120" s="2">
        <f>IF(C1120="GBP",E1120*$C$3,IF(C1120="TRY",E1120/$C$1,IF(C1120="EUR",E1120*$E$1,IF(C1120="RUB",E1120/#REF!,IF(C1120="EGP",E1120/$E$2,E1120)))))</f>
        <v>11378.51</v>
      </c>
      <c r="G1120" s="15" t="str">
        <f>VLOOKUP(B1120,SPECIFICATIONF!$C$2:$D$65,2,0)</f>
        <v>GLOBAL HFT</v>
      </c>
      <c r="H1120" s="12">
        <f t="shared" si="44"/>
        <v>7</v>
      </c>
      <c r="I1120" s="12">
        <f t="shared" si="45"/>
        <v>2025</v>
      </c>
    </row>
    <row r="1121" spans="1:9" ht="19.5" customHeight="1" x14ac:dyDescent="0.35">
      <c r="A1121" s="41">
        <v>45841</v>
      </c>
      <c r="B1121" s="8" t="s">
        <v>32</v>
      </c>
      <c r="C1121" s="42" t="s">
        <v>11</v>
      </c>
      <c r="D1121" s="43" t="s">
        <v>29</v>
      </c>
      <c r="E1121" s="46">
        <v>6133749378</v>
      </c>
      <c r="F1121" s="2">
        <f>IF(C1121="GBP",E1121*$C$3,IF(C1121="TRY",E1121/$C$1,IF(C1121="EUR",E1121*$E$1,IF(C1121="RUB",E1121/#REF!,IF(C1121="EGP",E1121/$E$2,E1121)))))</f>
        <v>168200460.63690633</v>
      </c>
      <c r="G1121" s="15" t="str">
        <f>VLOOKUP(B1121,SPECIFICATIONF!$C$2:$D$65,2,0)</f>
        <v>GLOBAL HFT</v>
      </c>
      <c r="H1121" s="12">
        <f t="shared" si="44"/>
        <v>7</v>
      </c>
      <c r="I1121" s="12">
        <f t="shared" si="45"/>
        <v>2025</v>
      </c>
    </row>
    <row r="1122" spans="1:9" ht="19.5" customHeight="1" x14ac:dyDescent="0.35">
      <c r="A1122" s="41">
        <v>45841</v>
      </c>
      <c r="B1122" s="8" t="s">
        <v>32</v>
      </c>
      <c r="C1122" s="42" t="s">
        <v>33</v>
      </c>
      <c r="D1122" s="43" t="s">
        <v>29</v>
      </c>
      <c r="E1122" s="46">
        <v>38415163</v>
      </c>
      <c r="F1122" s="2">
        <f>IF(C1122="GBP",E1122*$C$3,IF(C1122="TRY",E1122/$C$1,IF(C1122="EUR",E1122*$E$1,IF(C1122="RUB",E1122/#REF!,IF(C1122="EGP",E1122/$E$2,E1122)))))</f>
        <v>38415163</v>
      </c>
      <c r="G1122" s="15" t="str">
        <f>VLOOKUP(B1122,SPECIFICATIONF!$C$2:$D$65,2,0)</f>
        <v>GLOBAL HFT</v>
      </c>
      <c r="H1122" s="12">
        <f t="shared" si="44"/>
        <v>7</v>
      </c>
      <c r="I1122" s="12">
        <f t="shared" si="45"/>
        <v>2025</v>
      </c>
    </row>
    <row r="1123" spans="1:9" ht="19.5" customHeight="1" x14ac:dyDescent="0.35">
      <c r="A1123" s="41">
        <v>45841</v>
      </c>
      <c r="B1123" s="8" t="s">
        <v>24</v>
      </c>
      <c r="C1123" s="42" t="s">
        <v>11</v>
      </c>
      <c r="D1123" s="43" t="s">
        <v>30</v>
      </c>
      <c r="E1123" s="46">
        <v>0</v>
      </c>
      <c r="F1123" s="2">
        <f>IF(C1123="GBP",E1123*$C$3,IF(C1123="TRY",E1123/$C$1,IF(C1123="EUR",E1123*$E$1,IF(C1123="RUB",E1123/#REF!,IF(C1123="EGP",E1123/$E$2,E1123)))))</f>
        <v>0</v>
      </c>
      <c r="G1123" s="15" t="str">
        <f>VLOOKUP(B1123,SPECIFICATIONF!$C$2:$D$65,2,0)</f>
        <v>GLOBAL RETAIL</v>
      </c>
      <c r="H1123" s="12">
        <f t="shared" si="44"/>
        <v>7</v>
      </c>
      <c r="I1123" s="12">
        <f t="shared" si="45"/>
        <v>2025</v>
      </c>
    </row>
    <row r="1124" spans="1:9" ht="19.5" customHeight="1" x14ac:dyDescent="0.35">
      <c r="A1124" s="41">
        <v>45841</v>
      </c>
      <c r="B1124" s="8" t="s">
        <v>24</v>
      </c>
      <c r="C1124" s="42" t="s">
        <v>33</v>
      </c>
      <c r="D1124" s="43" t="s">
        <v>30</v>
      </c>
      <c r="E1124" s="46">
        <v>0</v>
      </c>
      <c r="F1124" s="2">
        <f>IF(C1124="GBP",E1124*$C$3,IF(C1124="TRY",E1124/$C$1,IF(C1124="EUR",E1124*$E$1,IF(C1124="RUB",E1124/#REF!,IF(C1124="EGP",E1124/$E$2,E1124)))))</f>
        <v>0</v>
      </c>
      <c r="G1124" s="15" t="str">
        <f>VLOOKUP(B1124,SPECIFICATIONF!$C$2:$D$65,2,0)</f>
        <v>GLOBAL RETAIL</v>
      </c>
      <c r="H1124" s="12">
        <f t="shared" si="44"/>
        <v>7</v>
      </c>
      <c r="I1124" s="12">
        <f t="shared" si="45"/>
        <v>2025</v>
      </c>
    </row>
    <row r="1125" spans="1:9" ht="19.5" customHeight="1" x14ac:dyDescent="0.35">
      <c r="A1125" s="41">
        <v>45841</v>
      </c>
      <c r="B1125" s="8" t="s">
        <v>24</v>
      </c>
      <c r="C1125" s="42" t="s">
        <v>11</v>
      </c>
      <c r="D1125" s="43" t="s">
        <v>29</v>
      </c>
      <c r="E1125" s="46">
        <v>0</v>
      </c>
      <c r="F1125" s="2">
        <f>IF(C1125="GBP",E1125*$C$3,IF(C1125="TRY",E1125/$C$1,IF(C1125="EUR",E1125*$E$1,IF(C1125="RUB",E1125/#REF!,IF(C1125="EGP",E1125/$E$2,E1125)))))</f>
        <v>0</v>
      </c>
      <c r="G1125" s="15" t="str">
        <f>VLOOKUP(B1125,SPECIFICATIONF!$C$2:$D$65,2,0)</f>
        <v>GLOBAL RETAIL</v>
      </c>
      <c r="H1125" s="12">
        <f t="shared" si="44"/>
        <v>7</v>
      </c>
      <c r="I1125" s="12">
        <f t="shared" si="45"/>
        <v>2025</v>
      </c>
    </row>
    <row r="1126" spans="1:9" ht="19.5" customHeight="1" x14ac:dyDescent="0.35">
      <c r="A1126" s="41">
        <v>45841</v>
      </c>
      <c r="B1126" s="8" t="s">
        <v>24</v>
      </c>
      <c r="C1126" s="42" t="s">
        <v>33</v>
      </c>
      <c r="D1126" s="43" t="s">
        <v>29</v>
      </c>
      <c r="E1126" s="46">
        <v>0</v>
      </c>
      <c r="F1126" s="2">
        <f>IF(C1126="GBP",E1126*$C$3,IF(C1126="TRY",E1126/$C$1,IF(C1126="EUR",E1126*$E$1,IF(C1126="RUB",E1126/#REF!,IF(C1126="EGP",E1126/$E$2,E1126)))))</f>
        <v>0</v>
      </c>
      <c r="G1126" s="15" t="str">
        <f>VLOOKUP(B1126,SPECIFICATIONF!$C$2:$D$65,2,0)</f>
        <v>GLOBAL RETAIL</v>
      </c>
      <c r="H1126" s="12">
        <f t="shared" ref="H1126:H1189" si="46">MONTH(A1126)</f>
        <v>7</v>
      </c>
      <c r="I1126" s="12">
        <f t="shared" ref="I1126:I1189" si="47">YEAR(A1126)</f>
        <v>2025</v>
      </c>
    </row>
    <row r="1127" spans="1:9" ht="19.5" customHeight="1" x14ac:dyDescent="0.35">
      <c r="A1127" s="41">
        <v>45842</v>
      </c>
      <c r="B1127" s="8" t="s">
        <v>32</v>
      </c>
      <c r="C1127" s="42" t="s">
        <v>11</v>
      </c>
      <c r="D1127" s="43" t="s">
        <v>30</v>
      </c>
      <c r="E1127" s="46">
        <v>998667.27</v>
      </c>
      <c r="F1127" s="2">
        <f>IF(C1127="GBP",E1127*$C$3,IF(C1127="TRY",E1127/$C$1,IF(C1127="EUR",E1127*$E$1,IF(C1127="RUB",E1127/#REF!,IF(C1127="EGP",E1127/$E$2,E1127)))))</f>
        <v>27385.58171931258</v>
      </c>
      <c r="G1127" s="15" t="str">
        <f>VLOOKUP(B1127,SPECIFICATIONF!$C$2:$D$65,2,0)</f>
        <v>GLOBAL HFT</v>
      </c>
      <c r="H1127" s="12">
        <f t="shared" si="46"/>
        <v>7</v>
      </c>
      <c r="I1127" s="12">
        <f t="shared" si="47"/>
        <v>2025</v>
      </c>
    </row>
    <row r="1128" spans="1:9" ht="19.5" customHeight="1" x14ac:dyDescent="0.35">
      <c r="A1128" s="41">
        <v>45842</v>
      </c>
      <c r="B1128" s="8" t="s">
        <v>32</v>
      </c>
      <c r="C1128" s="42" t="s">
        <v>33</v>
      </c>
      <c r="D1128" s="43" t="s">
        <v>30</v>
      </c>
      <c r="E1128" s="46">
        <v>6860.76</v>
      </c>
      <c r="F1128" s="2">
        <f>IF(C1128="GBP",E1128*$C$3,IF(C1128="TRY",E1128/$C$1,IF(C1128="EUR",E1128*$E$1,IF(C1128="RUB",E1128/#REF!,IF(C1128="EGP",E1128/$E$2,E1128)))))</f>
        <v>6860.76</v>
      </c>
      <c r="G1128" s="15" t="str">
        <f>VLOOKUP(B1128,SPECIFICATIONF!$C$2:$D$65,2,0)</f>
        <v>GLOBAL HFT</v>
      </c>
      <c r="H1128" s="12">
        <f t="shared" si="46"/>
        <v>7</v>
      </c>
      <c r="I1128" s="12">
        <f t="shared" si="47"/>
        <v>2025</v>
      </c>
    </row>
    <row r="1129" spans="1:9" ht="19.5" customHeight="1" x14ac:dyDescent="0.35">
      <c r="A1129" s="41">
        <v>45842</v>
      </c>
      <c r="B1129" s="8" t="s">
        <v>32</v>
      </c>
      <c r="C1129" s="42" t="s">
        <v>11</v>
      </c>
      <c r="D1129" s="43" t="s">
        <v>29</v>
      </c>
      <c r="E1129" s="46">
        <v>3829021422</v>
      </c>
      <c r="F1129" s="2">
        <f>IF(C1129="GBP",E1129*$C$3,IF(C1129="TRY",E1129/$C$1,IF(C1129="EUR",E1129*$E$1,IF(C1129="RUB",E1129/#REF!,IF(C1129="EGP",E1129/$E$2,E1129)))))</f>
        <v>104999915.59468997</v>
      </c>
      <c r="G1129" s="15" t="str">
        <f>VLOOKUP(B1129,SPECIFICATIONF!$C$2:$D$65,2,0)</f>
        <v>GLOBAL HFT</v>
      </c>
      <c r="H1129" s="12">
        <f t="shared" si="46"/>
        <v>7</v>
      </c>
      <c r="I1129" s="12">
        <f t="shared" si="47"/>
        <v>2025</v>
      </c>
    </row>
    <row r="1130" spans="1:9" ht="19.5" customHeight="1" x14ac:dyDescent="0.35">
      <c r="A1130" s="41">
        <v>45842</v>
      </c>
      <c r="B1130" s="8" t="s">
        <v>32</v>
      </c>
      <c r="C1130" s="42" t="s">
        <v>33</v>
      </c>
      <c r="D1130" s="43" t="s">
        <v>29</v>
      </c>
      <c r="E1130" s="46">
        <v>23312291</v>
      </c>
      <c r="F1130" s="2">
        <f>IF(C1130="GBP",E1130*$C$3,IF(C1130="TRY",E1130/$C$1,IF(C1130="EUR",E1130*$E$1,IF(C1130="RUB",E1130/#REF!,IF(C1130="EGP",E1130/$E$2,E1130)))))</f>
        <v>23312291</v>
      </c>
      <c r="G1130" s="15" t="str">
        <f>VLOOKUP(B1130,SPECIFICATIONF!$C$2:$D$65,2,0)</f>
        <v>GLOBAL HFT</v>
      </c>
      <c r="H1130" s="12">
        <f t="shared" si="46"/>
        <v>7</v>
      </c>
      <c r="I1130" s="12">
        <f t="shared" si="47"/>
        <v>2025</v>
      </c>
    </row>
    <row r="1131" spans="1:9" ht="19.5" customHeight="1" x14ac:dyDescent="0.35">
      <c r="A1131" s="41">
        <v>45842</v>
      </c>
      <c r="B1131" s="8" t="s">
        <v>24</v>
      </c>
      <c r="C1131" s="42" t="s">
        <v>11</v>
      </c>
      <c r="D1131" s="43" t="s">
        <v>30</v>
      </c>
      <c r="E1131" s="46">
        <v>0</v>
      </c>
      <c r="F1131" s="2">
        <f>IF(C1131="GBP",E1131*$C$3,IF(C1131="TRY",E1131/$C$1,IF(C1131="EUR",E1131*$E$1,IF(C1131="RUB",E1131/#REF!,IF(C1131="EGP",E1131/$E$2,E1131)))))</f>
        <v>0</v>
      </c>
      <c r="G1131" s="15" t="str">
        <f>VLOOKUP(B1131,SPECIFICATIONF!$C$2:$D$65,2,0)</f>
        <v>GLOBAL RETAIL</v>
      </c>
      <c r="H1131" s="12">
        <f t="shared" si="46"/>
        <v>7</v>
      </c>
      <c r="I1131" s="12">
        <f t="shared" si="47"/>
        <v>2025</v>
      </c>
    </row>
    <row r="1132" spans="1:9" ht="19.5" customHeight="1" x14ac:dyDescent="0.35">
      <c r="A1132" s="41">
        <v>45842</v>
      </c>
      <c r="B1132" s="8" t="s">
        <v>24</v>
      </c>
      <c r="C1132" s="42" t="s">
        <v>33</v>
      </c>
      <c r="D1132" s="43" t="s">
        <v>30</v>
      </c>
      <c r="E1132" s="46">
        <v>0</v>
      </c>
      <c r="F1132" s="2">
        <f>IF(C1132="GBP",E1132*$C$3,IF(C1132="TRY",E1132/$C$1,IF(C1132="EUR",E1132*$E$1,IF(C1132="RUB",E1132/#REF!,IF(C1132="EGP",E1132/$E$2,E1132)))))</f>
        <v>0</v>
      </c>
      <c r="G1132" s="15" t="str">
        <f>VLOOKUP(B1132,SPECIFICATIONF!$C$2:$D$65,2,0)</f>
        <v>GLOBAL RETAIL</v>
      </c>
      <c r="H1132" s="12">
        <f t="shared" si="46"/>
        <v>7</v>
      </c>
      <c r="I1132" s="12">
        <f t="shared" si="47"/>
        <v>2025</v>
      </c>
    </row>
    <row r="1133" spans="1:9" ht="19.5" customHeight="1" x14ac:dyDescent="0.35">
      <c r="A1133" s="41">
        <v>45842</v>
      </c>
      <c r="B1133" s="8" t="s">
        <v>24</v>
      </c>
      <c r="C1133" s="42" t="s">
        <v>11</v>
      </c>
      <c r="D1133" s="43" t="s">
        <v>29</v>
      </c>
      <c r="E1133" s="46">
        <v>0</v>
      </c>
      <c r="F1133" s="2">
        <f>IF(C1133="GBP",E1133*$C$3,IF(C1133="TRY",E1133/$C$1,IF(C1133="EUR",E1133*$E$1,IF(C1133="RUB",E1133/#REF!,IF(C1133="EGP",E1133/$E$2,E1133)))))</f>
        <v>0</v>
      </c>
      <c r="G1133" s="15" t="str">
        <f>VLOOKUP(B1133,SPECIFICATIONF!$C$2:$D$65,2,0)</f>
        <v>GLOBAL RETAIL</v>
      </c>
      <c r="H1133" s="12">
        <f t="shared" si="46"/>
        <v>7</v>
      </c>
      <c r="I1133" s="12">
        <f t="shared" si="47"/>
        <v>2025</v>
      </c>
    </row>
    <row r="1134" spans="1:9" ht="19.5" customHeight="1" x14ac:dyDescent="0.35">
      <c r="A1134" s="41">
        <v>45842</v>
      </c>
      <c r="B1134" s="8" t="s">
        <v>24</v>
      </c>
      <c r="C1134" s="42" t="s">
        <v>33</v>
      </c>
      <c r="D1134" s="43" t="s">
        <v>29</v>
      </c>
      <c r="E1134" s="46">
        <v>0</v>
      </c>
      <c r="F1134" s="2">
        <f>IF(C1134="GBP",E1134*$C$3,IF(C1134="TRY",E1134/$C$1,IF(C1134="EUR",E1134*$E$1,IF(C1134="RUB",E1134/#REF!,IF(C1134="EGP",E1134/$E$2,E1134)))))</f>
        <v>0</v>
      </c>
      <c r="G1134" s="15" t="str">
        <f>VLOOKUP(B1134,SPECIFICATIONF!$C$2:$D$65,2,0)</f>
        <v>GLOBAL RETAIL</v>
      </c>
      <c r="H1134" s="12">
        <f t="shared" si="46"/>
        <v>7</v>
      </c>
      <c r="I1134" s="12">
        <f t="shared" si="47"/>
        <v>2025</v>
      </c>
    </row>
    <row r="1135" spans="1:9" ht="19.5" customHeight="1" x14ac:dyDescent="0.35">
      <c r="A1135" s="41">
        <v>45843</v>
      </c>
      <c r="B1135" s="8" t="s">
        <v>32</v>
      </c>
      <c r="C1135" s="42" t="s">
        <v>11</v>
      </c>
      <c r="D1135" s="43" t="s">
        <v>30</v>
      </c>
      <c r="E1135" s="46">
        <v>819428.01</v>
      </c>
      <c r="F1135" s="2">
        <f>IF(C1135="GBP",E1135*$C$3,IF(C1135="TRY",E1135/$C$1,IF(C1135="EUR",E1135*$E$1,IF(C1135="RUB",E1135/#REF!,IF(C1135="EGP",E1135/$E$2,E1135)))))</f>
        <v>22470.459786820375</v>
      </c>
      <c r="G1135" s="15" t="str">
        <f>VLOOKUP(B1135,SPECIFICATIONF!$C$2:$D$65,2,0)</f>
        <v>GLOBAL HFT</v>
      </c>
      <c r="H1135" s="12">
        <f t="shared" si="46"/>
        <v>7</v>
      </c>
      <c r="I1135" s="12">
        <f t="shared" si="47"/>
        <v>2025</v>
      </c>
    </row>
    <row r="1136" spans="1:9" ht="19.5" customHeight="1" x14ac:dyDescent="0.35">
      <c r="A1136" s="41">
        <v>45843</v>
      </c>
      <c r="B1136" s="8" t="s">
        <v>32</v>
      </c>
      <c r="C1136" s="42" t="s">
        <v>33</v>
      </c>
      <c r="D1136" s="43" t="s">
        <v>30</v>
      </c>
      <c r="E1136" s="46">
        <v>4725.03</v>
      </c>
      <c r="F1136" s="2">
        <f>IF(C1136="GBP",E1136*$C$3,IF(C1136="TRY",E1136/$C$1,IF(C1136="EUR",E1136*$E$1,IF(C1136="RUB",E1136/#REF!,IF(C1136="EGP",E1136/$E$2,E1136)))))</f>
        <v>4725.03</v>
      </c>
      <c r="G1136" s="15" t="str">
        <f>VLOOKUP(B1136,SPECIFICATIONF!$C$2:$D$65,2,0)</f>
        <v>GLOBAL HFT</v>
      </c>
      <c r="H1136" s="12">
        <f t="shared" si="46"/>
        <v>7</v>
      </c>
      <c r="I1136" s="12">
        <f t="shared" si="47"/>
        <v>2025</v>
      </c>
    </row>
    <row r="1137" spans="1:9" ht="19.5" customHeight="1" x14ac:dyDescent="0.35">
      <c r="A1137" s="41">
        <v>45843</v>
      </c>
      <c r="B1137" s="8" t="s">
        <v>32</v>
      </c>
      <c r="C1137" s="42" t="s">
        <v>11</v>
      </c>
      <c r="D1137" s="43" t="s">
        <v>29</v>
      </c>
      <c r="E1137" s="46">
        <v>3147752805</v>
      </c>
      <c r="F1137" s="2">
        <f>IF(C1137="GBP",E1137*$C$3,IF(C1137="TRY",E1137/$C$1,IF(C1137="EUR",E1137*$E$1,IF(C1137="RUB",E1137/#REF!,IF(C1137="EGP",E1137/$E$2,E1137)))))</f>
        <v>86318080.368772775</v>
      </c>
      <c r="G1137" s="15" t="str">
        <f>VLOOKUP(B1137,SPECIFICATIONF!$C$2:$D$65,2,0)</f>
        <v>GLOBAL HFT</v>
      </c>
      <c r="H1137" s="12">
        <f t="shared" si="46"/>
        <v>7</v>
      </c>
      <c r="I1137" s="12">
        <f t="shared" si="47"/>
        <v>2025</v>
      </c>
    </row>
    <row r="1138" spans="1:9" ht="19.5" customHeight="1" x14ac:dyDescent="0.35">
      <c r="A1138" s="41">
        <v>45843</v>
      </c>
      <c r="B1138" s="8" t="s">
        <v>32</v>
      </c>
      <c r="C1138" s="42" t="s">
        <v>33</v>
      </c>
      <c r="D1138" s="43" t="s">
        <v>29</v>
      </c>
      <c r="E1138" s="46">
        <v>15842558</v>
      </c>
      <c r="F1138" s="2">
        <f>IF(C1138="GBP",E1138*$C$3,IF(C1138="TRY",E1138/$C$1,IF(C1138="EUR",E1138*$E$1,IF(C1138="RUB",E1138/#REF!,IF(C1138="EGP",E1138/$E$2,E1138)))))</f>
        <v>15842558</v>
      </c>
      <c r="G1138" s="15" t="str">
        <f>VLOOKUP(B1138,SPECIFICATIONF!$C$2:$D$65,2,0)</f>
        <v>GLOBAL HFT</v>
      </c>
      <c r="H1138" s="12">
        <f t="shared" si="46"/>
        <v>7</v>
      </c>
      <c r="I1138" s="12">
        <f t="shared" si="47"/>
        <v>2025</v>
      </c>
    </row>
    <row r="1139" spans="1:9" ht="19.5" customHeight="1" x14ac:dyDescent="0.35">
      <c r="A1139" s="41">
        <v>45843</v>
      </c>
      <c r="B1139" s="8" t="s">
        <v>24</v>
      </c>
      <c r="C1139" s="42" t="s">
        <v>11</v>
      </c>
      <c r="D1139" s="43" t="s">
        <v>30</v>
      </c>
      <c r="E1139" s="46">
        <v>0</v>
      </c>
      <c r="F1139" s="2">
        <f>IF(C1139="GBP",E1139*$C$3,IF(C1139="TRY",E1139/$C$1,IF(C1139="EUR",E1139*$E$1,IF(C1139="RUB",E1139/#REF!,IF(C1139="EGP",E1139/$E$2,E1139)))))</f>
        <v>0</v>
      </c>
      <c r="G1139" s="15" t="str">
        <f>VLOOKUP(B1139,SPECIFICATIONF!$C$2:$D$65,2,0)</f>
        <v>GLOBAL RETAIL</v>
      </c>
      <c r="H1139" s="12">
        <f t="shared" si="46"/>
        <v>7</v>
      </c>
      <c r="I1139" s="12">
        <f t="shared" si="47"/>
        <v>2025</v>
      </c>
    </row>
    <row r="1140" spans="1:9" ht="19.5" customHeight="1" x14ac:dyDescent="0.35">
      <c r="A1140" s="41">
        <v>45843</v>
      </c>
      <c r="B1140" s="8" t="s">
        <v>24</v>
      </c>
      <c r="C1140" s="42" t="s">
        <v>33</v>
      </c>
      <c r="D1140" s="43" t="s">
        <v>30</v>
      </c>
      <c r="E1140" s="46">
        <v>0</v>
      </c>
      <c r="F1140" s="2">
        <f>IF(C1140="GBP",E1140*$C$3,IF(C1140="TRY",E1140/$C$1,IF(C1140="EUR",E1140*$E$1,IF(C1140="RUB",E1140/#REF!,IF(C1140="EGP",E1140/$E$2,E1140)))))</f>
        <v>0</v>
      </c>
      <c r="G1140" s="15" t="str">
        <f>VLOOKUP(B1140,SPECIFICATIONF!$C$2:$D$65,2,0)</f>
        <v>GLOBAL RETAIL</v>
      </c>
      <c r="H1140" s="12">
        <f t="shared" si="46"/>
        <v>7</v>
      </c>
      <c r="I1140" s="12">
        <f t="shared" si="47"/>
        <v>2025</v>
      </c>
    </row>
    <row r="1141" spans="1:9" ht="19.5" customHeight="1" x14ac:dyDescent="0.35">
      <c r="A1141" s="41">
        <v>45843</v>
      </c>
      <c r="B1141" s="8" t="s">
        <v>24</v>
      </c>
      <c r="C1141" s="42" t="s">
        <v>11</v>
      </c>
      <c r="D1141" s="43" t="s">
        <v>29</v>
      </c>
      <c r="E1141" s="46">
        <v>0</v>
      </c>
      <c r="F1141" s="2">
        <f>IF(C1141="GBP",E1141*$C$3,IF(C1141="TRY",E1141/$C$1,IF(C1141="EUR",E1141*$E$1,IF(C1141="RUB",E1141/#REF!,IF(C1141="EGP",E1141/$E$2,E1141)))))</f>
        <v>0</v>
      </c>
      <c r="G1141" s="15" t="str">
        <f>VLOOKUP(B1141,SPECIFICATIONF!$C$2:$D$65,2,0)</f>
        <v>GLOBAL RETAIL</v>
      </c>
      <c r="H1141" s="12">
        <f t="shared" si="46"/>
        <v>7</v>
      </c>
      <c r="I1141" s="12">
        <f t="shared" si="47"/>
        <v>2025</v>
      </c>
    </row>
    <row r="1142" spans="1:9" ht="19.5" customHeight="1" x14ac:dyDescent="0.35">
      <c r="A1142" s="41">
        <v>45843</v>
      </c>
      <c r="B1142" s="8" t="s">
        <v>24</v>
      </c>
      <c r="C1142" s="42" t="s">
        <v>33</v>
      </c>
      <c r="D1142" s="43" t="s">
        <v>29</v>
      </c>
      <c r="E1142" s="46">
        <v>0</v>
      </c>
      <c r="F1142" s="2">
        <f>IF(C1142="GBP",E1142*$C$3,IF(C1142="TRY",E1142/$C$1,IF(C1142="EUR",E1142*$E$1,IF(C1142="RUB",E1142/#REF!,IF(C1142="EGP",E1142/$E$2,E1142)))))</f>
        <v>0</v>
      </c>
      <c r="G1142" s="15" t="str">
        <f>VLOOKUP(B1142,SPECIFICATIONF!$C$2:$D$65,2,0)</f>
        <v>GLOBAL RETAIL</v>
      </c>
      <c r="H1142" s="12">
        <f t="shared" si="46"/>
        <v>7</v>
      </c>
      <c r="I1142" s="12">
        <f t="shared" si="47"/>
        <v>2025</v>
      </c>
    </row>
    <row r="1143" spans="1:9" ht="19.5" customHeight="1" x14ac:dyDescent="0.35">
      <c r="A1143" s="41">
        <v>45844</v>
      </c>
      <c r="B1143" s="8" t="s">
        <v>32</v>
      </c>
      <c r="C1143" s="42" t="s">
        <v>11</v>
      </c>
      <c r="D1143" s="43" t="s">
        <v>30</v>
      </c>
      <c r="E1143" s="46">
        <v>954965.35</v>
      </c>
      <c r="F1143" s="2">
        <f>IF(C1143="GBP",E1143*$C$3,IF(C1143="TRY",E1143/$C$1,IF(C1143="EUR",E1143*$E$1,IF(C1143="RUB",E1143/#REF!,IF(C1143="EGP",E1143/$E$2,E1143)))))</f>
        <v>26187.18207470336</v>
      </c>
      <c r="G1143" s="15" t="str">
        <f>VLOOKUP(B1143,SPECIFICATIONF!$C$2:$D$65,2,0)</f>
        <v>GLOBAL HFT</v>
      </c>
      <c r="H1143" s="12">
        <f t="shared" si="46"/>
        <v>7</v>
      </c>
      <c r="I1143" s="12">
        <f t="shared" si="47"/>
        <v>2025</v>
      </c>
    </row>
    <row r="1144" spans="1:9" ht="19.5" customHeight="1" x14ac:dyDescent="0.35">
      <c r="A1144" s="41">
        <v>45844</v>
      </c>
      <c r="B1144" s="8" t="s">
        <v>32</v>
      </c>
      <c r="C1144" s="42" t="s">
        <v>33</v>
      </c>
      <c r="D1144" s="43" t="s">
        <v>30</v>
      </c>
      <c r="E1144" s="46">
        <v>6961.79</v>
      </c>
      <c r="F1144" s="2">
        <f>IF(C1144="GBP",E1144*$C$3,IF(C1144="TRY",E1144/$C$1,IF(C1144="EUR",E1144*$E$1,IF(C1144="RUB",E1144/#REF!,IF(C1144="EGP",E1144/$E$2,E1144)))))</f>
        <v>6961.79</v>
      </c>
      <c r="G1144" s="15" t="str">
        <f>VLOOKUP(B1144,SPECIFICATIONF!$C$2:$D$65,2,0)</f>
        <v>GLOBAL HFT</v>
      </c>
      <c r="H1144" s="12">
        <f t="shared" si="46"/>
        <v>7</v>
      </c>
      <c r="I1144" s="12">
        <f t="shared" si="47"/>
        <v>2025</v>
      </c>
    </row>
    <row r="1145" spans="1:9" ht="19.5" customHeight="1" x14ac:dyDescent="0.35">
      <c r="A1145" s="41">
        <v>45844</v>
      </c>
      <c r="B1145" s="8" t="s">
        <v>32</v>
      </c>
      <c r="C1145" s="42" t="s">
        <v>11</v>
      </c>
      <c r="D1145" s="43" t="s">
        <v>29</v>
      </c>
      <c r="E1145" s="46">
        <v>3765289459</v>
      </c>
      <c r="F1145" s="2">
        <f>IF(C1145="GBP",E1145*$C$3,IF(C1145="TRY",E1145/$C$1,IF(C1145="EUR",E1145*$E$1,IF(C1145="RUB",E1145/#REF!,IF(C1145="EGP",E1145/$E$2,E1145)))))</f>
        <v>103252249.54684933</v>
      </c>
      <c r="G1145" s="15" t="str">
        <f>VLOOKUP(B1145,SPECIFICATIONF!$C$2:$D$65,2,0)</f>
        <v>GLOBAL HFT</v>
      </c>
      <c r="H1145" s="12">
        <f t="shared" si="46"/>
        <v>7</v>
      </c>
      <c r="I1145" s="12">
        <f t="shared" si="47"/>
        <v>2025</v>
      </c>
    </row>
    <row r="1146" spans="1:9" ht="19.5" customHeight="1" x14ac:dyDescent="0.35">
      <c r="A1146" s="41">
        <v>45844</v>
      </c>
      <c r="B1146" s="8" t="s">
        <v>32</v>
      </c>
      <c r="C1146" s="42" t="s">
        <v>33</v>
      </c>
      <c r="D1146" s="43" t="s">
        <v>29</v>
      </c>
      <c r="E1146" s="46">
        <v>24043574</v>
      </c>
      <c r="F1146" s="2">
        <f>IF(C1146="GBP",E1146*$C$3,IF(C1146="TRY",E1146/$C$1,IF(C1146="EUR",E1146*$E$1,IF(C1146="RUB",E1146/#REF!,IF(C1146="EGP",E1146/$E$2,E1146)))))</f>
        <v>24043574</v>
      </c>
      <c r="G1146" s="15" t="str">
        <f>VLOOKUP(B1146,SPECIFICATIONF!$C$2:$D$65,2,0)</f>
        <v>GLOBAL HFT</v>
      </c>
      <c r="H1146" s="12">
        <f t="shared" si="46"/>
        <v>7</v>
      </c>
      <c r="I1146" s="12">
        <f t="shared" si="47"/>
        <v>2025</v>
      </c>
    </row>
    <row r="1147" spans="1:9" ht="19.5" customHeight="1" x14ac:dyDescent="0.35">
      <c r="A1147" s="41">
        <v>45844</v>
      </c>
      <c r="B1147" s="8" t="s">
        <v>24</v>
      </c>
      <c r="C1147" s="42" t="s">
        <v>11</v>
      </c>
      <c r="D1147" s="43" t="s">
        <v>30</v>
      </c>
      <c r="E1147" s="46">
        <v>0</v>
      </c>
      <c r="F1147" s="2">
        <f>IF(C1147="GBP",E1147*$C$3,IF(C1147="TRY",E1147/$C$1,IF(C1147="EUR",E1147*$E$1,IF(C1147="RUB",E1147/#REF!,IF(C1147="EGP",E1147/$E$2,E1147)))))</f>
        <v>0</v>
      </c>
      <c r="G1147" s="15" t="str">
        <f>VLOOKUP(B1147,SPECIFICATIONF!$C$2:$D$65,2,0)</f>
        <v>GLOBAL RETAIL</v>
      </c>
      <c r="H1147" s="12">
        <f t="shared" si="46"/>
        <v>7</v>
      </c>
      <c r="I1147" s="12">
        <f t="shared" si="47"/>
        <v>2025</v>
      </c>
    </row>
    <row r="1148" spans="1:9" ht="19.5" customHeight="1" x14ac:dyDescent="0.35">
      <c r="A1148" s="41">
        <v>45844</v>
      </c>
      <c r="B1148" s="8" t="s">
        <v>24</v>
      </c>
      <c r="C1148" s="42" t="s">
        <v>33</v>
      </c>
      <c r="D1148" s="43" t="s">
        <v>30</v>
      </c>
      <c r="E1148" s="46">
        <v>0</v>
      </c>
      <c r="F1148" s="2">
        <f>IF(C1148="GBP",E1148*$C$3,IF(C1148="TRY",E1148/$C$1,IF(C1148="EUR",E1148*$E$1,IF(C1148="RUB",E1148/#REF!,IF(C1148="EGP",E1148/$E$2,E1148)))))</f>
        <v>0</v>
      </c>
      <c r="G1148" s="15" t="str">
        <f>VLOOKUP(B1148,SPECIFICATIONF!$C$2:$D$65,2,0)</f>
        <v>GLOBAL RETAIL</v>
      </c>
      <c r="H1148" s="12">
        <f t="shared" si="46"/>
        <v>7</v>
      </c>
      <c r="I1148" s="12">
        <f t="shared" si="47"/>
        <v>2025</v>
      </c>
    </row>
    <row r="1149" spans="1:9" ht="19.5" customHeight="1" x14ac:dyDescent="0.35">
      <c r="A1149" s="41">
        <v>45844</v>
      </c>
      <c r="B1149" s="8" t="s">
        <v>24</v>
      </c>
      <c r="C1149" s="42" t="s">
        <v>11</v>
      </c>
      <c r="D1149" s="43" t="s">
        <v>29</v>
      </c>
      <c r="E1149" s="46">
        <v>0</v>
      </c>
      <c r="F1149" s="2">
        <f>IF(C1149="GBP",E1149*$C$3,IF(C1149="TRY",E1149/$C$1,IF(C1149="EUR",E1149*$E$1,IF(C1149="RUB",E1149/#REF!,IF(C1149="EGP",E1149/$E$2,E1149)))))</f>
        <v>0</v>
      </c>
      <c r="G1149" s="15" t="str">
        <f>VLOOKUP(B1149,SPECIFICATIONF!$C$2:$D$65,2,0)</f>
        <v>GLOBAL RETAIL</v>
      </c>
      <c r="H1149" s="12">
        <f t="shared" si="46"/>
        <v>7</v>
      </c>
      <c r="I1149" s="12">
        <f t="shared" si="47"/>
        <v>2025</v>
      </c>
    </row>
    <row r="1150" spans="1:9" ht="19.5" customHeight="1" x14ac:dyDescent="0.35">
      <c r="A1150" s="41">
        <v>45844</v>
      </c>
      <c r="B1150" s="8" t="s">
        <v>24</v>
      </c>
      <c r="C1150" s="42" t="s">
        <v>33</v>
      </c>
      <c r="D1150" s="43" t="s">
        <v>29</v>
      </c>
      <c r="E1150" s="46">
        <v>0</v>
      </c>
      <c r="F1150" s="2">
        <f>IF(C1150="GBP",E1150*$C$3,IF(C1150="TRY",E1150/$C$1,IF(C1150="EUR",E1150*$E$1,IF(C1150="RUB",E1150/#REF!,IF(C1150="EGP",E1150/$E$2,E1150)))))</f>
        <v>0</v>
      </c>
      <c r="G1150" s="15" t="str">
        <f>VLOOKUP(B1150,SPECIFICATIONF!$C$2:$D$65,2,0)</f>
        <v>GLOBAL RETAIL</v>
      </c>
      <c r="H1150" s="12">
        <f t="shared" si="46"/>
        <v>7</v>
      </c>
      <c r="I1150" s="12">
        <f t="shared" si="47"/>
        <v>2025</v>
      </c>
    </row>
    <row r="1151" spans="1:9" ht="19.5" customHeight="1" x14ac:dyDescent="0.35">
      <c r="A1151" s="41">
        <v>45845</v>
      </c>
      <c r="B1151" s="8" t="s">
        <v>32</v>
      </c>
      <c r="C1151" s="42" t="s">
        <v>11</v>
      </c>
      <c r="D1151" s="43" t="s">
        <v>30</v>
      </c>
      <c r="E1151" s="46">
        <v>1123405.07</v>
      </c>
      <c r="F1151" s="2">
        <f>IF(C1151="GBP",E1151*$C$3,IF(C1151="TRY",E1151/$C$1,IF(C1151="EUR",E1151*$E$1,IF(C1151="RUB",E1151/#REF!,IF(C1151="EGP",E1151/$E$2,E1151)))))</f>
        <v>30806.157638845089</v>
      </c>
      <c r="G1151" s="15" t="str">
        <f>VLOOKUP(B1151,SPECIFICATIONF!$C$2:$D$65,2,0)</f>
        <v>GLOBAL HFT</v>
      </c>
      <c r="H1151" s="12">
        <f t="shared" si="46"/>
        <v>7</v>
      </c>
      <c r="I1151" s="12">
        <f t="shared" si="47"/>
        <v>2025</v>
      </c>
    </row>
    <row r="1152" spans="1:9" ht="19.5" customHeight="1" x14ac:dyDescent="0.35">
      <c r="A1152" s="41">
        <v>45845</v>
      </c>
      <c r="B1152" s="8" t="s">
        <v>32</v>
      </c>
      <c r="C1152" s="42" t="s">
        <v>33</v>
      </c>
      <c r="D1152" s="43" t="s">
        <v>30</v>
      </c>
      <c r="E1152" s="46">
        <v>8474.86</v>
      </c>
      <c r="F1152" s="2">
        <f>IF(C1152="GBP",E1152*$C$3,IF(C1152="TRY",E1152/$C$1,IF(C1152="EUR",E1152*$E$1,IF(C1152="RUB",E1152/#REF!,IF(C1152="EGP",E1152/$E$2,E1152)))))</f>
        <v>8474.86</v>
      </c>
      <c r="G1152" s="15" t="str">
        <f>VLOOKUP(B1152,SPECIFICATIONF!$C$2:$D$65,2,0)</f>
        <v>GLOBAL HFT</v>
      </c>
      <c r="H1152" s="12">
        <f t="shared" si="46"/>
        <v>7</v>
      </c>
      <c r="I1152" s="12">
        <f t="shared" si="47"/>
        <v>2025</v>
      </c>
    </row>
    <row r="1153" spans="1:9" ht="19.5" customHeight="1" x14ac:dyDescent="0.35">
      <c r="A1153" s="41">
        <v>45845</v>
      </c>
      <c r="B1153" s="8" t="s">
        <v>32</v>
      </c>
      <c r="C1153" s="42" t="s">
        <v>11</v>
      </c>
      <c r="D1153" s="43" t="s">
        <v>29</v>
      </c>
      <c r="E1153" s="46">
        <v>4262144887</v>
      </c>
      <c r="F1153" s="2">
        <f>IF(C1153="GBP",E1153*$C$3,IF(C1153="TRY",E1153/$C$1,IF(C1153="EUR",E1153*$E$1,IF(C1153="RUB",E1153/#REF!,IF(C1153="EGP",E1153/$E$2,E1153)))))</f>
        <v>116877082.69691144</v>
      </c>
      <c r="G1153" s="15" t="str">
        <f>VLOOKUP(B1153,SPECIFICATIONF!$C$2:$D$65,2,0)</f>
        <v>GLOBAL HFT</v>
      </c>
      <c r="H1153" s="12">
        <f t="shared" si="46"/>
        <v>7</v>
      </c>
      <c r="I1153" s="12">
        <f t="shared" si="47"/>
        <v>2025</v>
      </c>
    </row>
    <row r="1154" spans="1:9" ht="19.5" customHeight="1" x14ac:dyDescent="0.35">
      <c r="A1154" s="41">
        <v>45845</v>
      </c>
      <c r="B1154" s="8" t="s">
        <v>32</v>
      </c>
      <c r="C1154" s="42" t="s">
        <v>33</v>
      </c>
      <c r="D1154" s="43" t="s">
        <v>29</v>
      </c>
      <c r="E1154" s="46">
        <v>30095989</v>
      </c>
      <c r="F1154" s="2">
        <f>IF(C1154="GBP",E1154*$C$3,IF(C1154="TRY",E1154/$C$1,IF(C1154="EUR",E1154*$E$1,IF(C1154="RUB",E1154/#REF!,IF(C1154="EGP",E1154/$E$2,E1154)))))</f>
        <v>30095989</v>
      </c>
      <c r="G1154" s="15" t="str">
        <f>VLOOKUP(B1154,SPECIFICATIONF!$C$2:$D$65,2,0)</f>
        <v>GLOBAL HFT</v>
      </c>
      <c r="H1154" s="12">
        <f t="shared" si="46"/>
        <v>7</v>
      </c>
      <c r="I1154" s="12">
        <f t="shared" si="47"/>
        <v>2025</v>
      </c>
    </row>
    <row r="1155" spans="1:9" ht="19.5" customHeight="1" x14ac:dyDescent="0.35">
      <c r="A1155" s="41">
        <v>45845</v>
      </c>
      <c r="B1155" s="8" t="s">
        <v>24</v>
      </c>
      <c r="C1155" s="42" t="s">
        <v>11</v>
      </c>
      <c r="D1155" s="43" t="s">
        <v>30</v>
      </c>
      <c r="E1155" s="46">
        <v>0</v>
      </c>
      <c r="F1155" s="2">
        <f>IF(C1155="GBP",E1155*$C$3,IF(C1155="TRY",E1155/$C$1,IF(C1155="EUR",E1155*$E$1,IF(C1155="RUB",E1155/#REF!,IF(C1155="EGP",E1155/$E$2,E1155)))))</f>
        <v>0</v>
      </c>
      <c r="G1155" s="15" t="str">
        <f>VLOOKUP(B1155,SPECIFICATIONF!$C$2:$D$65,2,0)</f>
        <v>GLOBAL RETAIL</v>
      </c>
      <c r="H1155" s="12">
        <f t="shared" si="46"/>
        <v>7</v>
      </c>
      <c r="I1155" s="12">
        <f t="shared" si="47"/>
        <v>2025</v>
      </c>
    </row>
    <row r="1156" spans="1:9" ht="19.5" customHeight="1" x14ac:dyDescent="0.35">
      <c r="A1156" s="41">
        <v>45845</v>
      </c>
      <c r="B1156" s="8" t="s">
        <v>24</v>
      </c>
      <c r="C1156" s="42" t="s">
        <v>33</v>
      </c>
      <c r="D1156" s="43" t="s">
        <v>30</v>
      </c>
      <c r="E1156" s="46">
        <v>0</v>
      </c>
      <c r="F1156" s="2">
        <f>IF(C1156="GBP",E1156*$C$3,IF(C1156="TRY",E1156/$C$1,IF(C1156="EUR",E1156*$E$1,IF(C1156="RUB",E1156/#REF!,IF(C1156="EGP",E1156/$E$2,E1156)))))</f>
        <v>0</v>
      </c>
      <c r="G1156" s="15" t="str">
        <f>VLOOKUP(B1156,SPECIFICATIONF!$C$2:$D$65,2,0)</f>
        <v>GLOBAL RETAIL</v>
      </c>
      <c r="H1156" s="12">
        <f t="shared" si="46"/>
        <v>7</v>
      </c>
      <c r="I1156" s="12">
        <f t="shared" si="47"/>
        <v>2025</v>
      </c>
    </row>
    <row r="1157" spans="1:9" ht="19.5" customHeight="1" x14ac:dyDescent="0.35">
      <c r="A1157" s="41">
        <v>45845</v>
      </c>
      <c r="B1157" s="8" t="s">
        <v>24</v>
      </c>
      <c r="C1157" s="42" t="s">
        <v>11</v>
      </c>
      <c r="D1157" s="43" t="s">
        <v>29</v>
      </c>
      <c r="E1157" s="46">
        <v>0</v>
      </c>
      <c r="F1157" s="2">
        <f>IF(C1157="GBP",E1157*$C$3,IF(C1157="TRY",E1157/$C$1,IF(C1157="EUR",E1157*$E$1,IF(C1157="RUB",E1157/#REF!,IF(C1157="EGP",E1157/$E$2,E1157)))))</f>
        <v>0</v>
      </c>
      <c r="G1157" s="15" t="str">
        <f>VLOOKUP(B1157,SPECIFICATIONF!$C$2:$D$65,2,0)</f>
        <v>GLOBAL RETAIL</v>
      </c>
      <c r="H1157" s="12">
        <f t="shared" si="46"/>
        <v>7</v>
      </c>
      <c r="I1157" s="12">
        <f t="shared" si="47"/>
        <v>2025</v>
      </c>
    </row>
    <row r="1158" spans="1:9" ht="19.5" customHeight="1" x14ac:dyDescent="0.35">
      <c r="A1158" s="41">
        <v>45845</v>
      </c>
      <c r="B1158" s="8" t="s">
        <v>24</v>
      </c>
      <c r="C1158" s="42" t="s">
        <v>33</v>
      </c>
      <c r="D1158" s="43" t="s">
        <v>29</v>
      </c>
      <c r="E1158" s="46">
        <v>0</v>
      </c>
      <c r="F1158" s="2">
        <f>IF(C1158="GBP",E1158*$C$3,IF(C1158="TRY",E1158/$C$1,IF(C1158="EUR",E1158*$E$1,IF(C1158="RUB",E1158/#REF!,IF(C1158="EGP",E1158/$E$2,E1158)))))</f>
        <v>0</v>
      </c>
      <c r="G1158" s="15" t="str">
        <f>VLOOKUP(B1158,SPECIFICATIONF!$C$2:$D$65,2,0)</f>
        <v>GLOBAL RETAIL</v>
      </c>
      <c r="H1158" s="12">
        <f t="shared" si="46"/>
        <v>7</v>
      </c>
      <c r="I1158" s="12">
        <f t="shared" si="47"/>
        <v>2025</v>
      </c>
    </row>
    <row r="1159" spans="1:9" ht="19.5" customHeight="1" x14ac:dyDescent="0.35">
      <c r="A1159" s="41">
        <v>45846</v>
      </c>
      <c r="B1159" s="8" t="s">
        <v>32</v>
      </c>
      <c r="C1159" s="42" t="s">
        <v>11</v>
      </c>
      <c r="D1159" s="43" t="s">
        <v>30</v>
      </c>
      <c r="E1159" s="46">
        <v>1614770.96</v>
      </c>
      <c r="F1159" s="2">
        <f>IF(C1159="GBP",E1159*$C$3,IF(C1159="TRY",E1159/$C$1,IF(C1159="EUR",E1159*$E$1,IF(C1159="RUB",E1159/#REF!,IF(C1159="EGP",E1159/$E$2,E1159)))))</f>
        <v>44280.455975144578</v>
      </c>
      <c r="G1159" s="15" t="str">
        <f>VLOOKUP(B1159,SPECIFICATIONF!$C$2:$D$65,2,0)</f>
        <v>GLOBAL HFT</v>
      </c>
      <c r="H1159" s="12">
        <f t="shared" si="46"/>
        <v>7</v>
      </c>
      <c r="I1159" s="12">
        <f t="shared" si="47"/>
        <v>2025</v>
      </c>
    </row>
    <row r="1160" spans="1:9" ht="19.5" customHeight="1" x14ac:dyDescent="0.35">
      <c r="A1160" s="41">
        <v>45846</v>
      </c>
      <c r="B1160" s="8" t="s">
        <v>32</v>
      </c>
      <c r="C1160" s="42" t="s">
        <v>33</v>
      </c>
      <c r="D1160" s="43" t="s">
        <v>30</v>
      </c>
      <c r="E1160" s="46">
        <v>9933.76</v>
      </c>
      <c r="F1160" s="2">
        <f>IF(C1160="GBP",E1160*$C$3,IF(C1160="TRY",E1160/$C$1,IF(C1160="EUR",E1160*$E$1,IF(C1160="RUB",E1160/#REF!,IF(C1160="EGP",E1160/$E$2,E1160)))))</f>
        <v>9933.76</v>
      </c>
      <c r="G1160" s="15" t="str">
        <f>VLOOKUP(B1160,SPECIFICATIONF!$C$2:$D$65,2,0)</f>
        <v>GLOBAL HFT</v>
      </c>
      <c r="H1160" s="12">
        <f t="shared" si="46"/>
        <v>7</v>
      </c>
      <c r="I1160" s="12">
        <f t="shared" si="47"/>
        <v>2025</v>
      </c>
    </row>
    <row r="1161" spans="1:9" ht="19.5" customHeight="1" x14ac:dyDescent="0.35">
      <c r="A1161" s="41">
        <v>45846</v>
      </c>
      <c r="B1161" s="8" t="s">
        <v>32</v>
      </c>
      <c r="C1161" s="42" t="s">
        <v>11</v>
      </c>
      <c r="D1161" s="43" t="s">
        <v>29</v>
      </c>
      <c r="E1161" s="46">
        <v>5886976027</v>
      </c>
      <c r="F1161" s="2">
        <f>IF(C1161="GBP",E1161*$C$3,IF(C1161="TRY",E1161/$C$1,IF(C1161="EUR",E1161*$E$1,IF(C1161="RUB",E1161/#REF!,IF(C1161="EGP",E1161/$E$2,E1161)))))</f>
        <v>161433410.21583956</v>
      </c>
      <c r="G1161" s="15" t="str">
        <f>VLOOKUP(B1161,SPECIFICATIONF!$C$2:$D$65,2,0)</f>
        <v>GLOBAL HFT</v>
      </c>
      <c r="H1161" s="12">
        <f t="shared" si="46"/>
        <v>7</v>
      </c>
      <c r="I1161" s="12">
        <f t="shared" si="47"/>
        <v>2025</v>
      </c>
    </row>
    <row r="1162" spans="1:9" ht="19.5" customHeight="1" x14ac:dyDescent="0.35">
      <c r="A1162" s="41">
        <v>45846</v>
      </c>
      <c r="B1162" s="8" t="s">
        <v>32</v>
      </c>
      <c r="C1162" s="42" t="s">
        <v>33</v>
      </c>
      <c r="D1162" s="43" t="s">
        <v>29</v>
      </c>
      <c r="E1162" s="46">
        <v>34192494</v>
      </c>
      <c r="F1162" s="2">
        <f>IF(C1162="GBP",E1162*$C$3,IF(C1162="TRY",E1162/$C$1,IF(C1162="EUR",E1162*$E$1,IF(C1162="RUB",E1162/#REF!,IF(C1162="EGP",E1162/$E$2,E1162)))))</f>
        <v>34192494</v>
      </c>
      <c r="G1162" s="15" t="str">
        <f>VLOOKUP(B1162,SPECIFICATIONF!$C$2:$D$65,2,0)</f>
        <v>GLOBAL HFT</v>
      </c>
      <c r="H1162" s="12">
        <f t="shared" si="46"/>
        <v>7</v>
      </c>
      <c r="I1162" s="12">
        <f t="shared" si="47"/>
        <v>2025</v>
      </c>
    </row>
    <row r="1163" spans="1:9" ht="19.5" customHeight="1" x14ac:dyDescent="0.35">
      <c r="A1163" s="41">
        <v>45846</v>
      </c>
      <c r="B1163" s="8" t="s">
        <v>24</v>
      </c>
      <c r="C1163" s="42" t="s">
        <v>11</v>
      </c>
      <c r="D1163" s="43" t="s">
        <v>30</v>
      </c>
      <c r="E1163" s="46">
        <v>0</v>
      </c>
      <c r="F1163" s="2">
        <f>IF(C1163="GBP",E1163*$C$3,IF(C1163="TRY",E1163/$C$1,IF(C1163="EUR",E1163*$E$1,IF(C1163="RUB",E1163/#REF!,IF(C1163="EGP",E1163/$E$2,E1163)))))</f>
        <v>0</v>
      </c>
      <c r="G1163" s="15" t="str">
        <f>VLOOKUP(B1163,SPECIFICATIONF!$C$2:$D$65,2,0)</f>
        <v>GLOBAL RETAIL</v>
      </c>
      <c r="H1163" s="12">
        <f t="shared" si="46"/>
        <v>7</v>
      </c>
      <c r="I1163" s="12">
        <f t="shared" si="47"/>
        <v>2025</v>
      </c>
    </row>
    <row r="1164" spans="1:9" ht="19.5" customHeight="1" x14ac:dyDescent="0.35">
      <c r="A1164" s="41">
        <v>45846</v>
      </c>
      <c r="B1164" s="8" t="s">
        <v>24</v>
      </c>
      <c r="C1164" s="42" t="s">
        <v>33</v>
      </c>
      <c r="D1164" s="43" t="s">
        <v>30</v>
      </c>
      <c r="E1164" s="46">
        <v>0</v>
      </c>
      <c r="F1164" s="2">
        <f>IF(C1164="GBP",E1164*$C$3,IF(C1164="TRY",E1164/$C$1,IF(C1164="EUR",E1164*$E$1,IF(C1164="RUB",E1164/#REF!,IF(C1164="EGP",E1164/$E$2,E1164)))))</f>
        <v>0</v>
      </c>
      <c r="G1164" s="15" t="str">
        <f>VLOOKUP(B1164,SPECIFICATIONF!$C$2:$D$65,2,0)</f>
        <v>GLOBAL RETAIL</v>
      </c>
      <c r="H1164" s="12">
        <f t="shared" si="46"/>
        <v>7</v>
      </c>
      <c r="I1164" s="12">
        <f t="shared" si="47"/>
        <v>2025</v>
      </c>
    </row>
    <row r="1165" spans="1:9" ht="19.5" customHeight="1" x14ac:dyDescent="0.35">
      <c r="A1165" s="41">
        <v>45846</v>
      </c>
      <c r="B1165" s="8" t="s">
        <v>24</v>
      </c>
      <c r="C1165" s="42" t="s">
        <v>11</v>
      </c>
      <c r="D1165" s="43" t="s">
        <v>29</v>
      </c>
      <c r="E1165" s="46">
        <v>0</v>
      </c>
      <c r="F1165" s="2">
        <f>IF(C1165="GBP",E1165*$C$3,IF(C1165="TRY",E1165/$C$1,IF(C1165="EUR",E1165*$E$1,IF(C1165="RUB",E1165/#REF!,IF(C1165="EGP",E1165/$E$2,E1165)))))</f>
        <v>0</v>
      </c>
      <c r="G1165" s="15" t="str">
        <f>VLOOKUP(B1165,SPECIFICATIONF!$C$2:$D$65,2,0)</f>
        <v>GLOBAL RETAIL</v>
      </c>
      <c r="H1165" s="12">
        <f t="shared" si="46"/>
        <v>7</v>
      </c>
      <c r="I1165" s="12">
        <f t="shared" si="47"/>
        <v>2025</v>
      </c>
    </row>
    <row r="1166" spans="1:9" ht="19.5" customHeight="1" x14ac:dyDescent="0.35">
      <c r="A1166" s="41">
        <v>45846</v>
      </c>
      <c r="B1166" s="8" t="s">
        <v>24</v>
      </c>
      <c r="C1166" s="42" t="s">
        <v>33</v>
      </c>
      <c r="D1166" s="43" t="s">
        <v>29</v>
      </c>
      <c r="E1166" s="46">
        <v>0</v>
      </c>
      <c r="F1166" s="2">
        <f>IF(C1166="GBP",E1166*$C$3,IF(C1166="TRY",E1166/$C$1,IF(C1166="EUR",E1166*$E$1,IF(C1166="RUB",E1166/#REF!,IF(C1166="EGP",E1166/$E$2,E1166)))))</f>
        <v>0</v>
      </c>
      <c r="G1166" s="15" t="str">
        <f>VLOOKUP(B1166,SPECIFICATIONF!$C$2:$D$65,2,0)</f>
        <v>GLOBAL RETAIL</v>
      </c>
      <c r="H1166" s="12">
        <f t="shared" si="46"/>
        <v>7</v>
      </c>
      <c r="I1166" s="12">
        <f t="shared" si="47"/>
        <v>2025</v>
      </c>
    </row>
    <row r="1167" spans="1:9" ht="19.5" customHeight="1" x14ac:dyDescent="0.35">
      <c r="A1167" s="41">
        <v>45847</v>
      </c>
      <c r="B1167" s="8" t="s">
        <v>32</v>
      </c>
      <c r="C1167" s="42" t="s">
        <v>11</v>
      </c>
      <c r="D1167" s="43" t="s">
        <v>30</v>
      </c>
      <c r="E1167" s="46">
        <v>1937349.06</v>
      </c>
      <c r="F1167" s="2">
        <f>IF(C1167="GBP",E1167*$C$3,IF(C1167="TRY",E1167/$C$1,IF(C1167="EUR",E1167*$E$1,IF(C1167="RUB",E1167/#REF!,IF(C1167="EGP",E1167/$E$2,E1167)))))</f>
        <v>53126.23392720522</v>
      </c>
      <c r="G1167" s="15" t="str">
        <f>VLOOKUP(B1167,SPECIFICATIONF!$C$2:$D$65,2,0)</f>
        <v>GLOBAL HFT</v>
      </c>
      <c r="H1167" s="12">
        <f t="shared" si="46"/>
        <v>7</v>
      </c>
      <c r="I1167" s="12">
        <f t="shared" si="47"/>
        <v>2025</v>
      </c>
    </row>
    <row r="1168" spans="1:9" ht="19.5" customHeight="1" x14ac:dyDescent="0.35">
      <c r="A1168" s="41">
        <v>45847</v>
      </c>
      <c r="B1168" s="8" t="s">
        <v>32</v>
      </c>
      <c r="C1168" s="42" t="s">
        <v>33</v>
      </c>
      <c r="D1168" s="43" t="s">
        <v>30</v>
      </c>
      <c r="E1168" s="46">
        <v>14217.07</v>
      </c>
      <c r="F1168" s="2">
        <f>IF(C1168="GBP",E1168*$C$3,IF(C1168="TRY",E1168/$C$1,IF(C1168="EUR",E1168*$E$1,IF(C1168="RUB",E1168/#REF!,IF(C1168="EGP",E1168/$E$2,E1168)))))</f>
        <v>14217.07</v>
      </c>
      <c r="G1168" s="15" t="str">
        <f>VLOOKUP(B1168,SPECIFICATIONF!$C$2:$D$65,2,0)</f>
        <v>GLOBAL HFT</v>
      </c>
      <c r="H1168" s="12">
        <f t="shared" si="46"/>
        <v>7</v>
      </c>
      <c r="I1168" s="12">
        <f t="shared" si="47"/>
        <v>2025</v>
      </c>
    </row>
    <row r="1169" spans="1:9" ht="19.5" customHeight="1" x14ac:dyDescent="0.35">
      <c r="A1169" s="41">
        <v>45847</v>
      </c>
      <c r="B1169" s="8" t="s">
        <v>32</v>
      </c>
      <c r="C1169" s="42" t="s">
        <v>11</v>
      </c>
      <c r="D1169" s="43" t="s">
        <v>29</v>
      </c>
      <c r="E1169" s="46">
        <v>6950231754</v>
      </c>
      <c r="F1169" s="2">
        <f>IF(C1169="GBP",E1169*$C$3,IF(C1169="TRY",E1169/$C$1,IF(C1169="EUR",E1169*$E$1,IF(C1169="RUB",E1169/#REF!,IF(C1169="EGP",E1169/$E$2,E1169)))))</f>
        <v>190590144.87110227</v>
      </c>
      <c r="G1169" s="15" t="str">
        <f>VLOOKUP(B1169,SPECIFICATIONF!$C$2:$D$65,2,0)</f>
        <v>GLOBAL HFT</v>
      </c>
      <c r="H1169" s="12">
        <f t="shared" si="46"/>
        <v>7</v>
      </c>
      <c r="I1169" s="12">
        <f t="shared" si="47"/>
        <v>2025</v>
      </c>
    </row>
    <row r="1170" spans="1:9" ht="19.5" customHeight="1" x14ac:dyDescent="0.35">
      <c r="A1170" s="41">
        <v>45847</v>
      </c>
      <c r="B1170" s="8" t="s">
        <v>32</v>
      </c>
      <c r="C1170" s="42" t="s">
        <v>33</v>
      </c>
      <c r="D1170" s="43" t="s">
        <v>29</v>
      </c>
      <c r="E1170" s="46">
        <v>48592710</v>
      </c>
      <c r="F1170" s="2">
        <f>IF(C1170="GBP",E1170*$C$3,IF(C1170="TRY",E1170/$C$1,IF(C1170="EUR",E1170*$E$1,IF(C1170="RUB",E1170/#REF!,IF(C1170="EGP",E1170/$E$2,E1170)))))</f>
        <v>48592710</v>
      </c>
      <c r="G1170" s="15" t="str">
        <f>VLOOKUP(B1170,SPECIFICATIONF!$C$2:$D$65,2,0)</f>
        <v>GLOBAL HFT</v>
      </c>
      <c r="H1170" s="12">
        <f t="shared" si="46"/>
        <v>7</v>
      </c>
      <c r="I1170" s="12">
        <f t="shared" si="47"/>
        <v>2025</v>
      </c>
    </row>
    <row r="1171" spans="1:9" ht="19.5" customHeight="1" x14ac:dyDescent="0.35">
      <c r="A1171" s="41">
        <v>45847</v>
      </c>
      <c r="B1171" s="8" t="s">
        <v>24</v>
      </c>
      <c r="C1171" s="42" t="s">
        <v>11</v>
      </c>
      <c r="D1171" s="43" t="s">
        <v>30</v>
      </c>
      <c r="E1171" s="46">
        <v>0</v>
      </c>
      <c r="F1171" s="2">
        <f>IF(C1171="GBP",E1171*$C$3,IF(C1171="TRY",E1171/$C$1,IF(C1171="EUR",E1171*$E$1,IF(C1171="RUB",E1171/#REF!,IF(C1171="EGP",E1171/$E$2,E1171)))))</f>
        <v>0</v>
      </c>
      <c r="G1171" s="15" t="str">
        <f>VLOOKUP(B1171,SPECIFICATIONF!$C$2:$D$65,2,0)</f>
        <v>GLOBAL RETAIL</v>
      </c>
      <c r="H1171" s="12">
        <f t="shared" si="46"/>
        <v>7</v>
      </c>
      <c r="I1171" s="12">
        <f t="shared" si="47"/>
        <v>2025</v>
      </c>
    </row>
    <row r="1172" spans="1:9" ht="19.5" customHeight="1" x14ac:dyDescent="0.35">
      <c r="A1172" s="41">
        <v>45847</v>
      </c>
      <c r="B1172" s="8" t="s">
        <v>24</v>
      </c>
      <c r="C1172" s="42" t="s">
        <v>33</v>
      </c>
      <c r="D1172" s="43" t="s">
        <v>30</v>
      </c>
      <c r="E1172" s="46">
        <v>0</v>
      </c>
      <c r="F1172" s="2">
        <f>IF(C1172="GBP",E1172*$C$3,IF(C1172="TRY",E1172/$C$1,IF(C1172="EUR",E1172*$E$1,IF(C1172="RUB",E1172/#REF!,IF(C1172="EGP",E1172/$E$2,E1172)))))</f>
        <v>0</v>
      </c>
      <c r="G1172" s="15" t="str">
        <f>VLOOKUP(B1172,SPECIFICATIONF!$C$2:$D$65,2,0)</f>
        <v>GLOBAL RETAIL</v>
      </c>
      <c r="H1172" s="12">
        <f t="shared" si="46"/>
        <v>7</v>
      </c>
      <c r="I1172" s="12">
        <f t="shared" si="47"/>
        <v>2025</v>
      </c>
    </row>
    <row r="1173" spans="1:9" ht="19.5" customHeight="1" x14ac:dyDescent="0.35">
      <c r="A1173" s="41">
        <v>45847</v>
      </c>
      <c r="B1173" s="8" t="s">
        <v>24</v>
      </c>
      <c r="C1173" s="42" t="s">
        <v>11</v>
      </c>
      <c r="D1173" s="43" t="s">
        <v>29</v>
      </c>
      <c r="E1173" s="46">
        <v>0</v>
      </c>
      <c r="F1173" s="2">
        <f>IF(C1173="GBP",E1173*$C$3,IF(C1173="TRY",E1173/$C$1,IF(C1173="EUR",E1173*$E$1,IF(C1173="RUB",E1173/#REF!,IF(C1173="EGP",E1173/$E$2,E1173)))))</f>
        <v>0</v>
      </c>
      <c r="G1173" s="15" t="str">
        <f>VLOOKUP(B1173,SPECIFICATIONF!$C$2:$D$65,2,0)</f>
        <v>GLOBAL RETAIL</v>
      </c>
      <c r="H1173" s="12">
        <f t="shared" si="46"/>
        <v>7</v>
      </c>
      <c r="I1173" s="12">
        <f t="shared" si="47"/>
        <v>2025</v>
      </c>
    </row>
    <row r="1174" spans="1:9" ht="19.5" customHeight="1" x14ac:dyDescent="0.35">
      <c r="A1174" s="41">
        <v>45847</v>
      </c>
      <c r="B1174" s="8" t="s">
        <v>24</v>
      </c>
      <c r="C1174" s="42" t="s">
        <v>33</v>
      </c>
      <c r="D1174" s="43" t="s">
        <v>29</v>
      </c>
      <c r="E1174" s="46">
        <v>0</v>
      </c>
      <c r="F1174" s="2">
        <f>IF(C1174="GBP",E1174*$C$3,IF(C1174="TRY",E1174/$C$1,IF(C1174="EUR",E1174*$E$1,IF(C1174="RUB",E1174/#REF!,IF(C1174="EGP",E1174/$E$2,E1174)))))</f>
        <v>0</v>
      </c>
      <c r="G1174" s="15" t="str">
        <f>VLOOKUP(B1174,SPECIFICATIONF!$C$2:$D$65,2,0)</f>
        <v>GLOBAL RETAIL</v>
      </c>
      <c r="H1174" s="12">
        <f t="shared" si="46"/>
        <v>7</v>
      </c>
      <c r="I1174" s="12">
        <f t="shared" si="47"/>
        <v>2025</v>
      </c>
    </row>
    <row r="1175" spans="1:9" ht="19.5" customHeight="1" x14ac:dyDescent="0.35">
      <c r="A1175" s="41">
        <v>45848</v>
      </c>
      <c r="B1175" s="8" t="s">
        <v>32</v>
      </c>
      <c r="C1175" s="42" t="s">
        <v>11</v>
      </c>
      <c r="D1175" s="43" t="s">
        <v>30</v>
      </c>
      <c r="E1175" s="46">
        <v>2359739.89</v>
      </c>
      <c r="F1175" s="2">
        <f>IF(C1175="GBP",E1175*$C$3,IF(C1175="TRY",E1175/$C$1,IF(C1175="EUR",E1175*$E$1,IF(C1175="RUB",E1175/#REF!,IF(C1175="EGP",E1175/$E$2,E1175)))))</f>
        <v>64709.089338550846</v>
      </c>
      <c r="G1175" s="15" t="str">
        <f>VLOOKUP(B1175,SPECIFICATIONF!$C$2:$D$65,2,0)</f>
        <v>GLOBAL HFT</v>
      </c>
      <c r="H1175" s="12">
        <f t="shared" si="46"/>
        <v>7</v>
      </c>
      <c r="I1175" s="12">
        <f t="shared" si="47"/>
        <v>2025</v>
      </c>
    </row>
    <row r="1176" spans="1:9" ht="19.5" customHeight="1" x14ac:dyDescent="0.35">
      <c r="A1176" s="41">
        <v>45848</v>
      </c>
      <c r="B1176" s="8" t="s">
        <v>32</v>
      </c>
      <c r="C1176" s="42" t="s">
        <v>33</v>
      </c>
      <c r="D1176" s="43" t="s">
        <v>30</v>
      </c>
      <c r="E1176" s="46">
        <v>15630.07</v>
      </c>
      <c r="F1176" s="2">
        <f>IF(C1176="GBP",E1176*$C$3,IF(C1176="TRY",E1176/$C$1,IF(C1176="EUR",E1176*$E$1,IF(C1176="RUB",E1176/#REF!,IF(C1176="EGP",E1176/$E$2,E1176)))))</f>
        <v>15630.07</v>
      </c>
      <c r="G1176" s="15" t="str">
        <f>VLOOKUP(B1176,SPECIFICATIONF!$C$2:$D$65,2,0)</f>
        <v>GLOBAL HFT</v>
      </c>
      <c r="H1176" s="12">
        <f t="shared" si="46"/>
        <v>7</v>
      </c>
      <c r="I1176" s="12">
        <f t="shared" si="47"/>
        <v>2025</v>
      </c>
    </row>
    <row r="1177" spans="1:9" ht="19.5" customHeight="1" x14ac:dyDescent="0.35">
      <c r="A1177" s="41">
        <v>45848</v>
      </c>
      <c r="B1177" s="8" t="s">
        <v>32</v>
      </c>
      <c r="C1177" s="42" t="s">
        <v>11</v>
      </c>
      <c r="D1177" s="43" t="s">
        <v>29</v>
      </c>
      <c r="E1177" s="46">
        <v>8500008715</v>
      </c>
      <c r="F1177" s="2">
        <f>IF(C1177="GBP",E1177*$C$3,IF(C1177="TRY",E1177/$C$1,IF(C1177="EUR",E1177*$E$1,IF(C1177="RUB",E1177/#REF!,IF(C1177="EGP",E1177/$E$2,E1177)))))</f>
        <v>233088327.08565849</v>
      </c>
      <c r="G1177" s="15" t="str">
        <f>VLOOKUP(B1177,SPECIFICATIONF!$C$2:$D$65,2,0)</f>
        <v>GLOBAL HFT</v>
      </c>
      <c r="H1177" s="12">
        <f t="shared" si="46"/>
        <v>7</v>
      </c>
      <c r="I1177" s="12">
        <f t="shared" si="47"/>
        <v>2025</v>
      </c>
    </row>
    <row r="1178" spans="1:9" ht="19.5" customHeight="1" x14ac:dyDescent="0.35">
      <c r="A1178" s="41">
        <v>45848</v>
      </c>
      <c r="B1178" s="8" t="s">
        <v>32</v>
      </c>
      <c r="C1178" s="42" t="s">
        <v>33</v>
      </c>
      <c r="D1178" s="43" t="s">
        <v>29</v>
      </c>
      <c r="E1178" s="46">
        <v>55420017</v>
      </c>
      <c r="F1178" s="2">
        <f>IF(C1178="GBP",E1178*$C$3,IF(C1178="TRY",E1178/$C$1,IF(C1178="EUR",E1178*$E$1,IF(C1178="RUB",E1178/#REF!,IF(C1178="EGP",E1178/$E$2,E1178)))))</f>
        <v>55420017</v>
      </c>
      <c r="G1178" s="15" t="str">
        <f>VLOOKUP(B1178,SPECIFICATIONF!$C$2:$D$65,2,0)</f>
        <v>GLOBAL HFT</v>
      </c>
      <c r="H1178" s="12">
        <f t="shared" si="46"/>
        <v>7</v>
      </c>
      <c r="I1178" s="12">
        <f t="shared" si="47"/>
        <v>2025</v>
      </c>
    </row>
    <row r="1179" spans="1:9" ht="19.5" customHeight="1" x14ac:dyDescent="0.35">
      <c r="A1179" s="41">
        <v>45848</v>
      </c>
      <c r="B1179" s="8" t="s">
        <v>24</v>
      </c>
      <c r="C1179" s="42" t="s">
        <v>11</v>
      </c>
      <c r="D1179" s="43" t="s">
        <v>30</v>
      </c>
      <c r="E1179" s="46">
        <v>0</v>
      </c>
      <c r="F1179" s="2">
        <f>IF(C1179="GBP",E1179*$C$3,IF(C1179="TRY",E1179/$C$1,IF(C1179="EUR",E1179*$E$1,IF(C1179="RUB",E1179/#REF!,IF(C1179="EGP",E1179/$E$2,E1179)))))</f>
        <v>0</v>
      </c>
      <c r="G1179" s="15" t="str">
        <f>VLOOKUP(B1179,SPECIFICATIONF!$C$2:$D$65,2,0)</f>
        <v>GLOBAL RETAIL</v>
      </c>
      <c r="H1179" s="12">
        <f t="shared" si="46"/>
        <v>7</v>
      </c>
      <c r="I1179" s="12">
        <f t="shared" si="47"/>
        <v>2025</v>
      </c>
    </row>
    <row r="1180" spans="1:9" ht="19.5" customHeight="1" x14ac:dyDescent="0.35">
      <c r="A1180" s="41">
        <v>45848</v>
      </c>
      <c r="B1180" s="8" t="s">
        <v>24</v>
      </c>
      <c r="C1180" s="42" t="s">
        <v>33</v>
      </c>
      <c r="D1180" s="43" t="s">
        <v>30</v>
      </c>
      <c r="E1180" s="46">
        <v>1.1200000000000001</v>
      </c>
      <c r="F1180" s="2">
        <f>IF(C1180="GBP",E1180*$C$3,IF(C1180="TRY",E1180/$C$1,IF(C1180="EUR",E1180*$E$1,IF(C1180="RUB",E1180/#REF!,IF(C1180="EGP",E1180/$E$2,E1180)))))</f>
        <v>1.1200000000000001</v>
      </c>
      <c r="G1180" s="15" t="str">
        <f>VLOOKUP(B1180,SPECIFICATIONF!$C$2:$D$65,2,0)</f>
        <v>GLOBAL RETAIL</v>
      </c>
      <c r="H1180" s="12">
        <f t="shared" si="46"/>
        <v>7</v>
      </c>
      <c r="I1180" s="12">
        <f t="shared" si="47"/>
        <v>2025</v>
      </c>
    </row>
    <row r="1181" spans="1:9" ht="19.5" customHeight="1" x14ac:dyDescent="0.35">
      <c r="A1181" s="41">
        <v>45848</v>
      </c>
      <c r="B1181" s="8" t="s">
        <v>24</v>
      </c>
      <c r="C1181" s="42" t="s">
        <v>11</v>
      </c>
      <c r="D1181" s="43" t="s">
        <v>29</v>
      </c>
      <c r="E1181" s="46">
        <v>0</v>
      </c>
      <c r="F1181" s="2">
        <f>IF(C1181="GBP",E1181*$C$3,IF(C1181="TRY",E1181/$C$1,IF(C1181="EUR",E1181*$E$1,IF(C1181="RUB",E1181/#REF!,IF(C1181="EGP",E1181/$E$2,E1181)))))</f>
        <v>0</v>
      </c>
      <c r="G1181" s="15" t="str">
        <f>VLOOKUP(B1181,SPECIFICATIONF!$C$2:$D$65,2,0)</f>
        <v>GLOBAL RETAIL</v>
      </c>
      <c r="H1181" s="12">
        <f t="shared" si="46"/>
        <v>7</v>
      </c>
      <c r="I1181" s="12">
        <f t="shared" si="47"/>
        <v>2025</v>
      </c>
    </row>
    <row r="1182" spans="1:9" ht="19.5" customHeight="1" x14ac:dyDescent="0.35">
      <c r="A1182" s="41">
        <v>45848</v>
      </c>
      <c r="B1182" s="8" t="s">
        <v>24</v>
      </c>
      <c r="C1182" s="42" t="s">
        <v>33</v>
      </c>
      <c r="D1182" s="43" t="s">
        <v>29</v>
      </c>
      <c r="E1182" s="46">
        <v>1122</v>
      </c>
      <c r="F1182" s="2">
        <f>IF(C1182="GBP",E1182*$C$3,IF(C1182="TRY",E1182/$C$1,IF(C1182="EUR",E1182*$E$1,IF(C1182="RUB",E1182/#REF!,IF(C1182="EGP",E1182/$E$2,E1182)))))</f>
        <v>1122</v>
      </c>
      <c r="G1182" s="15" t="str">
        <f>VLOOKUP(B1182,SPECIFICATIONF!$C$2:$D$65,2,0)</f>
        <v>GLOBAL RETAIL</v>
      </c>
      <c r="H1182" s="12">
        <f t="shared" si="46"/>
        <v>7</v>
      </c>
      <c r="I1182" s="12">
        <f t="shared" si="47"/>
        <v>2025</v>
      </c>
    </row>
    <row r="1183" spans="1:9" ht="19.5" customHeight="1" x14ac:dyDescent="0.35">
      <c r="A1183" s="41">
        <v>45849</v>
      </c>
      <c r="B1183" s="8" t="s">
        <v>32</v>
      </c>
      <c r="C1183" s="42" t="s">
        <v>11</v>
      </c>
      <c r="D1183" s="43" t="s">
        <v>30</v>
      </c>
      <c r="E1183" s="46">
        <v>4054380.8</v>
      </c>
      <c r="F1183" s="2">
        <f>IF(C1183="GBP",E1183*$C$3,IF(C1183="TRY",E1183/$C$1,IF(C1183="EUR",E1183*$E$1,IF(C1183="RUB",E1183/#REF!,IF(C1183="EGP",E1183/$E$2,E1183)))))</f>
        <v>111179.74930690569</v>
      </c>
      <c r="G1183" s="15" t="str">
        <f>VLOOKUP(B1183,SPECIFICATIONF!$C$2:$D$65,2,0)</f>
        <v>GLOBAL HFT</v>
      </c>
      <c r="H1183" s="12">
        <f t="shared" si="46"/>
        <v>7</v>
      </c>
      <c r="I1183" s="12">
        <f t="shared" si="47"/>
        <v>2025</v>
      </c>
    </row>
    <row r="1184" spans="1:9" ht="19.5" customHeight="1" x14ac:dyDescent="0.35">
      <c r="A1184" s="41">
        <v>45849</v>
      </c>
      <c r="B1184" s="8" t="s">
        <v>32</v>
      </c>
      <c r="C1184" s="42" t="s">
        <v>33</v>
      </c>
      <c r="D1184" s="43" t="s">
        <v>30</v>
      </c>
      <c r="E1184" s="46">
        <v>30173.79</v>
      </c>
      <c r="F1184" s="2">
        <f>IF(C1184="GBP",E1184*$C$3,IF(C1184="TRY",E1184/$C$1,IF(C1184="EUR",E1184*$E$1,IF(C1184="RUB",E1184/#REF!,IF(C1184="EGP",E1184/$E$2,E1184)))))</f>
        <v>30173.79</v>
      </c>
      <c r="G1184" s="15" t="str">
        <f>VLOOKUP(B1184,SPECIFICATIONF!$C$2:$D$65,2,0)</f>
        <v>GLOBAL HFT</v>
      </c>
      <c r="H1184" s="12">
        <f t="shared" si="46"/>
        <v>7</v>
      </c>
      <c r="I1184" s="12">
        <f t="shared" si="47"/>
        <v>2025</v>
      </c>
    </row>
    <row r="1185" spans="1:9" ht="19.5" customHeight="1" x14ac:dyDescent="0.35">
      <c r="A1185" s="41">
        <v>45849</v>
      </c>
      <c r="B1185" s="8" t="s">
        <v>32</v>
      </c>
      <c r="C1185" s="42" t="s">
        <v>11</v>
      </c>
      <c r="D1185" s="43" t="s">
        <v>29</v>
      </c>
      <c r="E1185" s="46">
        <v>14212588766</v>
      </c>
      <c r="F1185" s="2">
        <f>IF(C1185="GBP",E1185*$C$3,IF(C1185="TRY",E1185/$C$1,IF(C1185="EUR",E1185*$E$1,IF(C1185="RUB",E1185/#REF!,IF(C1185="EGP",E1185/$E$2,E1185)))))</f>
        <v>389739428.52285218</v>
      </c>
      <c r="G1185" s="15" t="str">
        <f>VLOOKUP(B1185,SPECIFICATIONF!$C$2:$D$65,2,0)</f>
        <v>GLOBAL HFT</v>
      </c>
      <c r="H1185" s="12">
        <f t="shared" si="46"/>
        <v>7</v>
      </c>
      <c r="I1185" s="12">
        <f t="shared" si="47"/>
        <v>2025</v>
      </c>
    </row>
    <row r="1186" spans="1:9" ht="19.5" customHeight="1" x14ac:dyDescent="0.35">
      <c r="A1186" s="41">
        <v>45849</v>
      </c>
      <c r="B1186" s="8" t="s">
        <v>32</v>
      </c>
      <c r="C1186" s="42" t="s">
        <v>33</v>
      </c>
      <c r="D1186" s="43" t="s">
        <v>29</v>
      </c>
      <c r="E1186" s="46">
        <v>104785466</v>
      </c>
      <c r="F1186" s="2">
        <f>IF(C1186="GBP",E1186*$C$3,IF(C1186="TRY",E1186/$C$1,IF(C1186="EUR",E1186*$E$1,IF(C1186="RUB",E1186/#REF!,IF(C1186="EGP",E1186/$E$2,E1186)))))</f>
        <v>104785466</v>
      </c>
      <c r="G1186" s="15" t="str">
        <f>VLOOKUP(B1186,SPECIFICATIONF!$C$2:$D$65,2,0)</f>
        <v>GLOBAL HFT</v>
      </c>
      <c r="H1186" s="12">
        <f t="shared" si="46"/>
        <v>7</v>
      </c>
      <c r="I1186" s="12">
        <f t="shared" si="47"/>
        <v>2025</v>
      </c>
    </row>
    <row r="1187" spans="1:9" ht="19.5" customHeight="1" x14ac:dyDescent="0.35">
      <c r="A1187" s="41">
        <v>45849</v>
      </c>
      <c r="B1187" s="8" t="s">
        <v>24</v>
      </c>
      <c r="C1187" s="42" t="s">
        <v>11</v>
      </c>
      <c r="D1187" s="43" t="s">
        <v>30</v>
      </c>
      <c r="E1187" s="46">
        <v>482.82</v>
      </c>
      <c r="F1187" s="2">
        <f>IF(C1187="GBP",E1187*$C$3,IF(C1187="TRY",E1187/$C$1,IF(C1187="EUR",E1187*$E$1,IF(C1187="RUB",E1187/#REF!,IF(C1187="EGP",E1187/$E$2,E1187)))))</f>
        <v>13.23995184674321</v>
      </c>
      <c r="G1187" s="15" t="str">
        <f>VLOOKUP(B1187,SPECIFICATIONF!$C$2:$D$65,2,0)</f>
        <v>GLOBAL RETAIL</v>
      </c>
      <c r="H1187" s="12">
        <f t="shared" si="46"/>
        <v>7</v>
      </c>
      <c r="I1187" s="12">
        <f t="shared" si="47"/>
        <v>2025</v>
      </c>
    </row>
    <row r="1188" spans="1:9" ht="19.5" customHeight="1" x14ac:dyDescent="0.35">
      <c r="A1188" s="41">
        <v>45849</v>
      </c>
      <c r="B1188" s="8" t="s">
        <v>24</v>
      </c>
      <c r="C1188" s="42" t="s">
        <v>33</v>
      </c>
      <c r="D1188" s="43" t="s">
        <v>30</v>
      </c>
      <c r="E1188" s="46">
        <v>0.11</v>
      </c>
      <c r="F1188" s="2">
        <f>IF(C1188="GBP",E1188*$C$3,IF(C1188="TRY",E1188/$C$1,IF(C1188="EUR",E1188*$E$1,IF(C1188="RUB",E1188/#REF!,IF(C1188="EGP",E1188/$E$2,E1188)))))</f>
        <v>0.11</v>
      </c>
      <c r="G1188" s="15" t="str">
        <f>VLOOKUP(B1188,SPECIFICATIONF!$C$2:$D$65,2,0)</f>
        <v>GLOBAL RETAIL</v>
      </c>
      <c r="H1188" s="12">
        <f t="shared" si="46"/>
        <v>7</v>
      </c>
      <c r="I1188" s="12">
        <f t="shared" si="47"/>
        <v>2025</v>
      </c>
    </row>
    <row r="1189" spans="1:9" ht="19.5" customHeight="1" x14ac:dyDescent="0.35">
      <c r="A1189" s="41">
        <v>45849</v>
      </c>
      <c r="B1189" s="8" t="s">
        <v>24</v>
      </c>
      <c r="C1189" s="42" t="s">
        <v>11</v>
      </c>
      <c r="D1189" s="43" t="s">
        <v>29</v>
      </c>
      <c r="E1189" s="46">
        <v>402346</v>
      </c>
      <c r="F1189" s="2">
        <f>IF(C1189="GBP",E1189*$C$3,IF(C1189="TRY",E1189/$C$1,IF(C1189="EUR",E1189*$E$1,IF(C1189="RUB",E1189/#REF!,IF(C1189="EGP",E1189/$E$2,E1189)))))</f>
        <v>11033.183517107294</v>
      </c>
      <c r="G1189" s="15" t="str">
        <f>VLOOKUP(B1189,SPECIFICATIONF!$C$2:$D$65,2,0)</f>
        <v>GLOBAL RETAIL</v>
      </c>
      <c r="H1189" s="12">
        <f t="shared" si="46"/>
        <v>7</v>
      </c>
      <c r="I1189" s="12">
        <f t="shared" si="47"/>
        <v>2025</v>
      </c>
    </row>
    <row r="1190" spans="1:9" ht="19.5" customHeight="1" x14ac:dyDescent="0.35">
      <c r="A1190" s="41">
        <v>45849</v>
      </c>
      <c r="B1190" s="8" t="s">
        <v>24</v>
      </c>
      <c r="C1190" s="42" t="s">
        <v>33</v>
      </c>
      <c r="D1190" s="43" t="s">
        <v>29</v>
      </c>
      <c r="E1190" s="46">
        <v>113</v>
      </c>
      <c r="F1190" s="2">
        <f>IF(C1190="GBP",E1190*$C$3,IF(C1190="TRY",E1190/$C$1,IF(C1190="EUR",E1190*$E$1,IF(C1190="RUB",E1190/#REF!,IF(C1190="EGP",E1190/$E$2,E1190)))))</f>
        <v>113</v>
      </c>
      <c r="G1190" s="15" t="str">
        <f>VLOOKUP(B1190,SPECIFICATIONF!$C$2:$D$65,2,0)</f>
        <v>GLOBAL RETAIL</v>
      </c>
      <c r="H1190" s="12">
        <f t="shared" ref="H1190:H1253" si="48">MONTH(A1190)</f>
        <v>7</v>
      </c>
      <c r="I1190" s="12">
        <f t="shared" ref="I1190:I1253" si="49">YEAR(A1190)</f>
        <v>2025</v>
      </c>
    </row>
    <row r="1191" spans="1:9" ht="19.5" customHeight="1" x14ac:dyDescent="0.35">
      <c r="A1191" s="41">
        <v>45850</v>
      </c>
      <c r="B1191" s="8" t="s">
        <v>32</v>
      </c>
      <c r="C1191" s="42" t="s">
        <v>11</v>
      </c>
      <c r="D1191" s="43" t="s">
        <v>30</v>
      </c>
      <c r="E1191" s="46">
        <v>2205952.59</v>
      </c>
      <c r="F1191" s="2">
        <f>IF(C1191="GBP",E1191*$C$3,IF(C1191="TRY",E1191/$C$1,IF(C1191="EUR",E1191*$E$1,IF(C1191="RUB",E1191/#REF!,IF(C1191="EGP",E1191/$E$2,E1191)))))</f>
        <v>60491.914311334382</v>
      </c>
      <c r="G1191" s="15" t="str">
        <f>VLOOKUP(B1191,SPECIFICATIONF!$C$2:$D$65,2,0)</f>
        <v>GLOBAL HFT</v>
      </c>
      <c r="H1191" s="12">
        <f t="shared" si="48"/>
        <v>7</v>
      </c>
      <c r="I1191" s="12">
        <f t="shared" si="49"/>
        <v>2025</v>
      </c>
    </row>
    <row r="1192" spans="1:9" ht="19.5" customHeight="1" x14ac:dyDescent="0.35">
      <c r="A1192" s="41">
        <v>45850</v>
      </c>
      <c r="B1192" s="8" t="s">
        <v>32</v>
      </c>
      <c r="C1192" s="42" t="s">
        <v>33</v>
      </c>
      <c r="D1192" s="43" t="s">
        <v>30</v>
      </c>
      <c r="E1192" s="46">
        <v>14251.73</v>
      </c>
      <c r="F1192" s="2">
        <f>IF(C1192="GBP",E1192*$C$3,IF(C1192="TRY",E1192/$C$1,IF(C1192="EUR",E1192*$E$1,IF(C1192="RUB",E1192/#REF!,IF(C1192="EGP",E1192/$E$2,E1192)))))</f>
        <v>14251.73</v>
      </c>
      <c r="G1192" s="15" t="str">
        <f>VLOOKUP(B1192,SPECIFICATIONF!$C$2:$D$65,2,0)</f>
        <v>GLOBAL HFT</v>
      </c>
      <c r="H1192" s="12">
        <f t="shared" si="48"/>
        <v>7</v>
      </c>
      <c r="I1192" s="12">
        <f t="shared" si="49"/>
        <v>2025</v>
      </c>
    </row>
    <row r="1193" spans="1:9" ht="19.5" customHeight="1" x14ac:dyDescent="0.35">
      <c r="A1193" s="41">
        <v>45850</v>
      </c>
      <c r="B1193" s="8" t="s">
        <v>32</v>
      </c>
      <c r="C1193" s="42" t="s">
        <v>11</v>
      </c>
      <c r="D1193" s="43" t="s">
        <v>29</v>
      </c>
      <c r="E1193" s="46">
        <v>8025778567</v>
      </c>
      <c r="F1193" s="2">
        <f>IF(C1193="GBP",E1193*$C$3,IF(C1193="TRY",E1193/$C$1,IF(C1193="EUR",E1193*$E$1,IF(C1193="RUB",E1193/#REF!,IF(C1193="EGP",E1193/$E$2,E1193)))))</f>
        <v>220083927.26006323</v>
      </c>
      <c r="G1193" s="15" t="str">
        <f>VLOOKUP(B1193,SPECIFICATIONF!$C$2:$D$65,2,0)</f>
        <v>GLOBAL HFT</v>
      </c>
      <c r="H1193" s="12">
        <f t="shared" si="48"/>
        <v>7</v>
      </c>
      <c r="I1193" s="12">
        <f t="shared" si="49"/>
        <v>2025</v>
      </c>
    </row>
    <row r="1194" spans="1:9" ht="19.5" customHeight="1" x14ac:dyDescent="0.35">
      <c r="A1194" s="41">
        <v>45850</v>
      </c>
      <c r="B1194" s="8" t="s">
        <v>32</v>
      </c>
      <c r="C1194" s="42" t="s">
        <v>33</v>
      </c>
      <c r="D1194" s="43" t="s">
        <v>29</v>
      </c>
      <c r="E1194" s="46">
        <v>50086493</v>
      </c>
      <c r="F1194" s="2">
        <f>IF(C1194="GBP",E1194*$C$3,IF(C1194="TRY",E1194/$C$1,IF(C1194="EUR",E1194*$E$1,IF(C1194="RUB",E1194/#REF!,IF(C1194="EGP",E1194/$E$2,E1194)))))</f>
        <v>50086493</v>
      </c>
      <c r="G1194" s="15" t="str">
        <f>VLOOKUP(B1194,SPECIFICATIONF!$C$2:$D$65,2,0)</f>
        <v>GLOBAL HFT</v>
      </c>
      <c r="H1194" s="12">
        <f t="shared" si="48"/>
        <v>7</v>
      </c>
      <c r="I1194" s="12">
        <f t="shared" si="49"/>
        <v>2025</v>
      </c>
    </row>
    <row r="1195" spans="1:9" ht="19.5" customHeight="1" x14ac:dyDescent="0.35">
      <c r="A1195" s="41">
        <v>45850</v>
      </c>
      <c r="B1195" s="8" t="s">
        <v>24</v>
      </c>
      <c r="C1195" s="42" t="s">
        <v>11</v>
      </c>
      <c r="D1195" s="43" t="s">
        <v>30</v>
      </c>
      <c r="E1195" s="46">
        <v>0</v>
      </c>
      <c r="F1195" s="2">
        <f>IF(C1195="GBP",E1195*$C$3,IF(C1195="TRY",E1195/$C$1,IF(C1195="EUR",E1195*$E$1,IF(C1195="RUB",E1195/#REF!,IF(C1195="EGP",E1195/$E$2,E1195)))))</f>
        <v>0</v>
      </c>
      <c r="G1195" s="15" t="str">
        <f>VLOOKUP(B1195,SPECIFICATIONF!$C$2:$D$65,2,0)</f>
        <v>GLOBAL RETAIL</v>
      </c>
      <c r="H1195" s="12">
        <f t="shared" si="48"/>
        <v>7</v>
      </c>
      <c r="I1195" s="12">
        <f t="shared" si="49"/>
        <v>2025</v>
      </c>
    </row>
    <row r="1196" spans="1:9" ht="19.5" customHeight="1" x14ac:dyDescent="0.35">
      <c r="A1196" s="41">
        <v>45850</v>
      </c>
      <c r="B1196" s="8" t="s">
        <v>24</v>
      </c>
      <c r="C1196" s="42" t="s">
        <v>33</v>
      </c>
      <c r="D1196" s="43" t="s">
        <v>30</v>
      </c>
      <c r="E1196" s="46">
        <v>0</v>
      </c>
      <c r="F1196" s="2">
        <f>IF(C1196="GBP",E1196*$C$3,IF(C1196="TRY",E1196/$C$1,IF(C1196="EUR",E1196*$E$1,IF(C1196="RUB",E1196/#REF!,IF(C1196="EGP",E1196/$E$2,E1196)))))</f>
        <v>0</v>
      </c>
      <c r="G1196" s="15" t="str">
        <f>VLOOKUP(B1196,SPECIFICATIONF!$C$2:$D$65,2,0)</f>
        <v>GLOBAL RETAIL</v>
      </c>
      <c r="H1196" s="12">
        <f t="shared" si="48"/>
        <v>7</v>
      </c>
      <c r="I1196" s="12">
        <f t="shared" si="49"/>
        <v>2025</v>
      </c>
    </row>
    <row r="1197" spans="1:9" ht="19.5" customHeight="1" x14ac:dyDescent="0.35">
      <c r="A1197" s="41">
        <v>45850</v>
      </c>
      <c r="B1197" s="8" t="s">
        <v>24</v>
      </c>
      <c r="C1197" s="42" t="s">
        <v>11</v>
      </c>
      <c r="D1197" s="43" t="s">
        <v>29</v>
      </c>
      <c r="E1197" s="46">
        <v>0</v>
      </c>
      <c r="F1197" s="2">
        <f>IF(C1197="GBP",E1197*$C$3,IF(C1197="TRY",E1197/$C$1,IF(C1197="EUR",E1197*$E$1,IF(C1197="RUB",E1197/#REF!,IF(C1197="EGP",E1197/$E$2,E1197)))))</f>
        <v>0</v>
      </c>
      <c r="G1197" s="15" t="str">
        <f>VLOOKUP(B1197,SPECIFICATIONF!$C$2:$D$65,2,0)</f>
        <v>GLOBAL RETAIL</v>
      </c>
      <c r="H1197" s="12">
        <f t="shared" si="48"/>
        <v>7</v>
      </c>
      <c r="I1197" s="12">
        <f t="shared" si="49"/>
        <v>2025</v>
      </c>
    </row>
    <row r="1198" spans="1:9" ht="19.5" customHeight="1" x14ac:dyDescent="0.35">
      <c r="A1198" s="41">
        <v>45850</v>
      </c>
      <c r="B1198" s="8" t="s">
        <v>24</v>
      </c>
      <c r="C1198" s="42" t="s">
        <v>33</v>
      </c>
      <c r="D1198" s="43" t="s">
        <v>29</v>
      </c>
      <c r="E1198" s="46">
        <v>0</v>
      </c>
      <c r="F1198" s="2">
        <f>IF(C1198="GBP",E1198*$C$3,IF(C1198="TRY",E1198/$C$1,IF(C1198="EUR",E1198*$E$1,IF(C1198="RUB",E1198/#REF!,IF(C1198="EGP",E1198/$E$2,E1198)))))</f>
        <v>0</v>
      </c>
      <c r="G1198" s="15" t="str">
        <f>VLOOKUP(B1198,SPECIFICATIONF!$C$2:$D$65,2,0)</f>
        <v>GLOBAL RETAIL</v>
      </c>
      <c r="H1198" s="12">
        <f t="shared" si="48"/>
        <v>7</v>
      </c>
      <c r="I1198" s="12">
        <f t="shared" si="49"/>
        <v>2025</v>
      </c>
    </row>
    <row r="1199" spans="1:9" ht="19.5" customHeight="1" x14ac:dyDescent="0.35">
      <c r="A1199" s="41">
        <v>45851</v>
      </c>
      <c r="B1199" s="8" t="s">
        <v>32</v>
      </c>
      <c r="C1199" s="42" t="s">
        <v>11</v>
      </c>
      <c r="D1199" s="43" t="s">
        <v>30</v>
      </c>
      <c r="E1199" s="46">
        <v>2647158.09</v>
      </c>
      <c r="F1199" s="2">
        <f>IF(C1199="GBP",E1199*$C$3,IF(C1199="TRY",E1199/$C$1,IF(C1199="EUR",E1199*$E$1,IF(C1199="RUB",E1199/#REF!,IF(C1199="EGP",E1199/$E$2,E1199)))))</f>
        <v>72590.708011923125</v>
      </c>
      <c r="G1199" s="15" t="str">
        <f>VLOOKUP(B1199,SPECIFICATIONF!$C$2:$D$65,2,0)</f>
        <v>GLOBAL HFT</v>
      </c>
      <c r="H1199" s="12">
        <f t="shared" si="48"/>
        <v>7</v>
      </c>
      <c r="I1199" s="12">
        <f t="shared" si="49"/>
        <v>2025</v>
      </c>
    </row>
    <row r="1200" spans="1:9" ht="19.5" customHeight="1" x14ac:dyDescent="0.35">
      <c r="A1200" s="41">
        <v>45851</v>
      </c>
      <c r="B1200" s="8" t="s">
        <v>32</v>
      </c>
      <c r="C1200" s="42" t="s">
        <v>33</v>
      </c>
      <c r="D1200" s="43" t="s">
        <v>30</v>
      </c>
      <c r="E1200" s="46">
        <v>16575.77</v>
      </c>
      <c r="F1200" s="2">
        <f>IF(C1200="GBP",E1200*$C$3,IF(C1200="TRY",E1200/$C$1,IF(C1200="EUR",E1200*$E$1,IF(C1200="RUB",E1200/#REF!,IF(C1200="EGP",E1200/$E$2,E1200)))))</f>
        <v>16575.77</v>
      </c>
      <c r="G1200" s="15" t="str">
        <f>VLOOKUP(B1200,SPECIFICATIONF!$C$2:$D$65,2,0)</f>
        <v>GLOBAL HFT</v>
      </c>
      <c r="H1200" s="12">
        <f t="shared" si="48"/>
        <v>7</v>
      </c>
      <c r="I1200" s="12">
        <f t="shared" si="49"/>
        <v>2025</v>
      </c>
    </row>
    <row r="1201" spans="1:9" ht="19.5" customHeight="1" x14ac:dyDescent="0.35">
      <c r="A1201" s="41">
        <v>45851</v>
      </c>
      <c r="B1201" s="8" t="s">
        <v>32</v>
      </c>
      <c r="C1201" s="42" t="s">
        <v>11</v>
      </c>
      <c r="D1201" s="43" t="s">
        <v>29</v>
      </c>
      <c r="E1201" s="46">
        <v>9432010565</v>
      </c>
      <c r="F1201" s="2">
        <f>IF(C1201="GBP",E1201*$C$3,IF(C1201="TRY",E1201/$C$1,IF(C1201="EUR",E1201*$E$1,IF(C1201="RUB",E1201/#REF!,IF(C1201="EGP",E1201/$E$2,E1201)))))</f>
        <v>258645801.12375879</v>
      </c>
      <c r="G1201" s="15" t="str">
        <f>VLOOKUP(B1201,SPECIFICATIONF!$C$2:$D$65,2,0)</f>
        <v>GLOBAL HFT</v>
      </c>
      <c r="H1201" s="12">
        <f t="shared" si="48"/>
        <v>7</v>
      </c>
      <c r="I1201" s="12">
        <f t="shared" si="49"/>
        <v>2025</v>
      </c>
    </row>
    <row r="1202" spans="1:9" ht="19.5" customHeight="1" x14ac:dyDescent="0.35">
      <c r="A1202" s="41">
        <v>45851</v>
      </c>
      <c r="B1202" s="8" t="s">
        <v>32</v>
      </c>
      <c r="C1202" s="42" t="s">
        <v>33</v>
      </c>
      <c r="D1202" s="43" t="s">
        <v>29</v>
      </c>
      <c r="E1202" s="46">
        <v>57068760</v>
      </c>
      <c r="F1202" s="2">
        <f>IF(C1202="GBP",E1202*$C$3,IF(C1202="TRY",E1202/$C$1,IF(C1202="EUR",E1202*$E$1,IF(C1202="RUB",E1202/#REF!,IF(C1202="EGP",E1202/$E$2,E1202)))))</f>
        <v>57068760</v>
      </c>
      <c r="G1202" s="15" t="str">
        <f>VLOOKUP(B1202,SPECIFICATIONF!$C$2:$D$65,2,0)</f>
        <v>GLOBAL HFT</v>
      </c>
      <c r="H1202" s="12">
        <f t="shared" si="48"/>
        <v>7</v>
      </c>
      <c r="I1202" s="12">
        <f t="shared" si="49"/>
        <v>2025</v>
      </c>
    </row>
    <row r="1203" spans="1:9" ht="19.5" customHeight="1" x14ac:dyDescent="0.35">
      <c r="A1203" s="41">
        <v>45851</v>
      </c>
      <c r="B1203" s="8" t="s">
        <v>24</v>
      </c>
      <c r="C1203" s="42" t="s">
        <v>11</v>
      </c>
      <c r="D1203" s="43" t="s">
        <v>30</v>
      </c>
      <c r="E1203" s="46">
        <v>0</v>
      </c>
      <c r="F1203" s="2">
        <f>IF(C1203="GBP",E1203*$C$3,IF(C1203="TRY",E1203/$C$1,IF(C1203="EUR",E1203*$E$1,IF(C1203="RUB",E1203/#REF!,IF(C1203="EGP",E1203/$E$2,E1203)))))</f>
        <v>0</v>
      </c>
      <c r="G1203" s="15" t="str">
        <f>VLOOKUP(B1203,SPECIFICATIONF!$C$2:$D$65,2,0)</f>
        <v>GLOBAL RETAIL</v>
      </c>
      <c r="H1203" s="12">
        <f t="shared" si="48"/>
        <v>7</v>
      </c>
      <c r="I1203" s="12">
        <f t="shared" si="49"/>
        <v>2025</v>
      </c>
    </row>
    <row r="1204" spans="1:9" ht="19.5" customHeight="1" x14ac:dyDescent="0.35">
      <c r="A1204" s="41">
        <v>45851</v>
      </c>
      <c r="B1204" s="8" t="s">
        <v>24</v>
      </c>
      <c r="C1204" s="42" t="s">
        <v>33</v>
      </c>
      <c r="D1204" s="43" t="s">
        <v>30</v>
      </c>
      <c r="E1204" s="46">
        <v>0</v>
      </c>
      <c r="F1204" s="2">
        <f>IF(C1204="GBP",E1204*$C$3,IF(C1204="TRY",E1204/$C$1,IF(C1204="EUR",E1204*$E$1,IF(C1204="RUB",E1204/#REF!,IF(C1204="EGP",E1204/$E$2,E1204)))))</f>
        <v>0</v>
      </c>
      <c r="G1204" s="15" t="str">
        <f>VLOOKUP(B1204,SPECIFICATIONF!$C$2:$D$65,2,0)</f>
        <v>GLOBAL RETAIL</v>
      </c>
      <c r="H1204" s="12">
        <f t="shared" si="48"/>
        <v>7</v>
      </c>
      <c r="I1204" s="12">
        <f t="shared" si="49"/>
        <v>2025</v>
      </c>
    </row>
    <row r="1205" spans="1:9" ht="19.5" customHeight="1" x14ac:dyDescent="0.35">
      <c r="A1205" s="41">
        <v>45851</v>
      </c>
      <c r="B1205" s="8" t="s">
        <v>24</v>
      </c>
      <c r="C1205" s="42" t="s">
        <v>11</v>
      </c>
      <c r="D1205" s="43" t="s">
        <v>29</v>
      </c>
      <c r="E1205" s="46">
        <v>0</v>
      </c>
      <c r="F1205" s="2">
        <f>IF(C1205="GBP",E1205*$C$3,IF(C1205="TRY",E1205/$C$1,IF(C1205="EUR",E1205*$E$1,IF(C1205="RUB",E1205/#REF!,IF(C1205="EGP",E1205/$E$2,E1205)))))</f>
        <v>0</v>
      </c>
      <c r="G1205" s="15" t="str">
        <f>VLOOKUP(B1205,SPECIFICATIONF!$C$2:$D$65,2,0)</f>
        <v>GLOBAL RETAIL</v>
      </c>
      <c r="H1205" s="12">
        <f t="shared" si="48"/>
        <v>7</v>
      </c>
      <c r="I1205" s="12">
        <f t="shared" si="49"/>
        <v>2025</v>
      </c>
    </row>
    <row r="1206" spans="1:9" ht="19.5" customHeight="1" x14ac:dyDescent="0.35">
      <c r="A1206" s="41">
        <v>45851</v>
      </c>
      <c r="B1206" s="8" t="s">
        <v>24</v>
      </c>
      <c r="C1206" s="42" t="s">
        <v>33</v>
      </c>
      <c r="D1206" s="43" t="s">
        <v>29</v>
      </c>
      <c r="E1206" s="46">
        <v>0</v>
      </c>
      <c r="F1206" s="2">
        <f>IF(C1206="GBP",E1206*$C$3,IF(C1206="TRY",E1206/$C$1,IF(C1206="EUR",E1206*$E$1,IF(C1206="RUB",E1206/#REF!,IF(C1206="EGP",E1206/$E$2,E1206)))))</f>
        <v>0</v>
      </c>
      <c r="G1206" s="15" t="str">
        <f>VLOOKUP(B1206,SPECIFICATIONF!$C$2:$D$65,2,0)</f>
        <v>GLOBAL RETAIL</v>
      </c>
      <c r="H1206" s="12">
        <f t="shared" si="48"/>
        <v>7</v>
      </c>
      <c r="I1206" s="12">
        <f t="shared" si="49"/>
        <v>2025</v>
      </c>
    </row>
    <row r="1207" spans="1:9" ht="19.5" customHeight="1" x14ac:dyDescent="0.35">
      <c r="A1207" s="41">
        <v>45852</v>
      </c>
      <c r="B1207" s="8" t="s">
        <v>32</v>
      </c>
      <c r="C1207" s="42" t="s">
        <v>11</v>
      </c>
      <c r="D1207" s="43" t="s">
        <v>30</v>
      </c>
      <c r="E1207" s="46">
        <v>3145847.91</v>
      </c>
      <c r="F1207" s="2">
        <f>IF(C1207="GBP",E1207*$C$3,IF(C1207="TRY",E1207/$C$1,IF(C1207="EUR",E1207*$E$1,IF(C1207="RUB",E1207/#REF!,IF(C1207="EGP",E1207/$E$2,E1207)))))</f>
        <v>86265.844094233398</v>
      </c>
      <c r="G1207" s="15" t="str">
        <f>VLOOKUP(B1207,SPECIFICATIONF!$C$2:$D$65,2,0)</f>
        <v>GLOBAL HFT</v>
      </c>
      <c r="H1207" s="12">
        <f t="shared" si="48"/>
        <v>7</v>
      </c>
      <c r="I1207" s="12">
        <f t="shared" si="49"/>
        <v>2025</v>
      </c>
    </row>
    <row r="1208" spans="1:9" ht="19.5" customHeight="1" x14ac:dyDescent="0.35">
      <c r="A1208" s="41">
        <v>45852</v>
      </c>
      <c r="B1208" s="8" t="s">
        <v>32</v>
      </c>
      <c r="C1208" s="42" t="s">
        <v>33</v>
      </c>
      <c r="D1208" s="43" t="s">
        <v>30</v>
      </c>
      <c r="E1208" s="46">
        <v>23796.51</v>
      </c>
      <c r="F1208" s="2">
        <f>IF(C1208="GBP",E1208*$C$3,IF(C1208="TRY",E1208/$C$1,IF(C1208="EUR",E1208*$E$1,IF(C1208="RUB",E1208/#REF!,IF(C1208="EGP",E1208/$E$2,E1208)))))</f>
        <v>23796.51</v>
      </c>
      <c r="G1208" s="15" t="str">
        <f>VLOOKUP(B1208,SPECIFICATIONF!$C$2:$D$65,2,0)</f>
        <v>GLOBAL HFT</v>
      </c>
      <c r="H1208" s="12">
        <f t="shared" si="48"/>
        <v>7</v>
      </c>
      <c r="I1208" s="12">
        <f t="shared" si="49"/>
        <v>2025</v>
      </c>
    </row>
    <row r="1209" spans="1:9" ht="19.5" customHeight="1" x14ac:dyDescent="0.35">
      <c r="A1209" s="41">
        <v>45852</v>
      </c>
      <c r="B1209" s="8" t="s">
        <v>32</v>
      </c>
      <c r="C1209" s="42" t="s">
        <v>11</v>
      </c>
      <c r="D1209" s="43" t="s">
        <v>29</v>
      </c>
      <c r="E1209" s="46">
        <v>11089520086</v>
      </c>
      <c r="F1209" s="2">
        <f>IF(C1209="GBP",E1209*$C$3,IF(C1209="TRY",E1209/$C$1,IF(C1209="EUR",E1209*$E$1,IF(C1209="RUB",E1209/#REF!,IF(C1209="EGP",E1209/$E$2,E1209)))))</f>
        <v>304098239.38969308</v>
      </c>
      <c r="G1209" s="15" t="str">
        <f>VLOOKUP(B1209,SPECIFICATIONF!$C$2:$D$65,2,0)</f>
        <v>GLOBAL HFT</v>
      </c>
      <c r="H1209" s="12">
        <f t="shared" si="48"/>
        <v>7</v>
      </c>
      <c r="I1209" s="12">
        <f t="shared" si="49"/>
        <v>2025</v>
      </c>
    </row>
    <row r="1210" spans="1:9" ht="19.5" customHeight="1" x14ac:dyDescent="0.35">
      <c r="A1210" s="41">
        <v>45852</v>
      </c>
      <c r="B1210" s="8" t="s">
        <v>32</v>
      </c>
      <c r="C1210" s="42" t="s">
        <v>33</v>
      </c>
      <c r="D1210" s="43" t="s">
        <v>29</v>
      </c>
      <c r="E1210" s="46">
        <v>82573318</v>
      </c>
      <c r="F1210" s="2">
        <f>IF(C1210="GBP",E1210*$C$3,IF(C1210="TRY",E1210/$C$1,IF(C1210="EUR",E1210*$E$1,IF(C1210="RUB",E1210/#REF!,IF(C1210="EGP",E1210/$E$2,E1210)))))</f>
        <v>82573318</v>
      </c>
      <c r="G1210" s="15" t="str">
        <f>VLOOKUP(B1210,SPECIFICATIONF!$C$2:$D$65,2,0)</f>
        <v>GLOBAL HFT</v>
      </c>
      <c r="H1210" s="12">
        <f t="shared" si="48"/>
        <v>7</v>
      </c>
      <c r="I1210" s="12">
        <f t="shared" si="49"/>
        <v>2025</v>
      </c>
    </row>
    <row r="1211" spans="1:9" ht="19.5" customHeight="1" x14ac:dyDescent="0.35">
      <c r="A1211" s="41">
        <v>45852</v>
      </c>
      <c r="B1211" s="8" t="s">
        <v>24</v>
      </c>
      <c r="C1211" s="42" t="s">
        <v>11</v>
      </c>
      <c r="D1211" s="43" t="s">
        <v>30</v>
      </c>
      <c r="E1211" s="46">
        <v>0</v>
      </c>
      <c r="F1211" s="2">
        <f>IF(C1211="GBP",E1211*$C$3,IF(C1211="TRY",E1211/$C$1,IF(C1211="EUR",E1211*$E$1,IF(C1211="RUB",E1211/#REF!,IF(C1211="EGP",E1211/$E$2,E1211)))))</f>
        <v>0</v>
      </c>
      <c r="G1211" s="15" t="str">
        <f>VLOOKUP(B1211,SPECIFICATIONF!$C$2:$D$65,2,0)</f>
        <v>GLOBAL RETAIL</v>
      </c>
      <c r="H1211" s="12">
        <f t="shared" si="48"/>
        <v>7</v>
      </c>
      <c r="I1211" s="12">
        <f t="shared" si="49"/>
        <v>2025</v>
      </c>
    </row>
    <row r="1212" spans="1:9" ht="19.5" customHeight="1" x14ac:dyDescent="0.35">
      <c r="A1212" s="41">
        <v>45852</v>
      </c>
      <c r="B1212" s="8" t="s">
        <v>24</v>
      </c>
      <c r="C1212" s="42" t="s">
        <v>33</v>
      </c>
      <c r="D1212" s="43" t="s">
        <v>30</v>
      </c>
      <c r="E1212" s="46">
        <v>0</v>
      </c>
      <c r="F1212" s="2">
        <f>IF(C1212="GBP",E1212*$C$3,IF(C1212="TRY",E1212/$C$1,IF(C1212="EUR",E1212*$E$1,IF(C1212="RUB",E1212/#REF!,IF(C1212="EGP",E1212/$E$2,E1212)))))</f>
        <v>0</v>
      </c>
      <c r="G1212" s="15" t="str">
        <f>VLOOKUP(B1212,SPECIFICATIONF!$C$2:$D$65,2,0)</f>
        <v>GLOBAL RETAIL</v>
      </c>
      <c r="H1212" s="12">
        <f t="shared" si="48"/>
        <v>7</v>
      </c>
      <c r="I1212" s="12">
        <f t="shared" si="49"/>
        <v>2025</v>
      </c>
    </row>
    <row r="1213" spans="1:9" ht="19.5" customHeight="1" x14ac:dyDescent="0.35">
      <c r="A1213" s="41">
        <v>45852</v>
      </c>
      <c r="B1213" s="8" t="s">
        <v>24</v>
      </c>
      <c r="C1213" s="42" t="s">
        <v>11</v>
      </c>
      <c r="D1213" s="43" t="s">
        <v>29</v>
      </c>
      <c r="E1213" s="46">
        <v>0</v>
      </c>
      <c r="F1213" s="2">
        <f>IF(C1213="GBP",E1213*$C$3,IF(C1213="TRY",E1213/$C$1,IF(C1213="EUR",E1213*$E$1,IF(C1213="RUB",E1213/#REF!,IF(C1213="EGP",E1213/$E$2,E1213)))))</f>
        <v>0</v>
      </c>
      <c r="G1213" s="15" t="str">
        <f>VLOOKUP(B1213,SPECIFICATIONF!$C$2:$D$65,2,0)</f>
        <v>GLOBAL RETAIL</v>
      </c>
      <c r="H1213" s="12">
        <f t="shared" si="48"/>
        <v>7</v>
      </c>
      <c r="I1213" s="12">
        <f t="shared" si="49"/>
        <v>2025</v>
      </c>
    </row>
    <row r="1214" spans="1:9" ht="19.5" customHeight="1" x14ac:dyDescent="0.35">
      <c r="A1214" s="41">
        <v>45852</v>
      </c>
      <c r="B1214" s="8" t="s">
        <v>24</v>
      </c>
      <c r="C1214" s="42" t="s">
        <v>33</v>
      </c>
      <c r="D1214" s="43" t="s">
        <v>29</v>
      </c>
      <c r="E1214" s="46">
        <v>0</v>
      </c>
      <c r="F1214" s="2">
        <f>IF(C1214="GBP",E1214*$C$3,IF(C1214="TRY",E1214/$C$1,IF(C1214="EUR",E1214*$E$1,IF(C1214="RUB",E1214/#REF!,IF(C1214="EGP",E1214/$E$2,E1214)))))</f>
        <v>0</v>
      </c>
      <c r="G1214" s="15" t="str">
        <f>VLOOKUP(B1214,SPECIFICATIONF!$C$2:$D$65,2,0)</f>
        <v>GLOBAL RETAIL</v>
      </c>
      <c r="H1214" s="12">
        <f t="shared" si="48"/>
        <v>7</v>
      </c>
      <c r="I1214" s="12">
        <f t="shared" si="49"/>
        <v>2025</v>
      </c>
    </row>
    <row r="1215" spans="1:9" ht="19.5" customHeight="1" x14ac:dyDescent="0.35">
      <c r="A1215" s="41">
        <v>45853</v>
      </c>
      <c r="B1215" s="8" t="s">
        <v>32</v>
      </c>
      <c r="C1215" s="42" t="s">
        <v>11</v>
      </c>
      <c r="D1215" s="43" t="s">
        <v>30</v>
      </c>
      <c r="E1215" s="46">
        <v>2825180.43</v>
      </c>
      <c r="F1215" s="2">
        <f>IF(C1215="GBP",E1215*$C$3,IF(C1215="TRY",E1215/$C$1,IF(C1215="EUR",E1215*$E$1,IF(C1215="RUB",E1215/#REF!,IF(C1215="EGP",E1215/$E$2,E1215)))))</f>
        <v>77472.459408395007</v>
      </c>
      <c r="G1215" s="15" t="str">
        <f>VLOOKUP(B1215,SPECIFICATIONF!$C$2:$D$65,2,0)</f>
        <v>GLOBAL HFT</v>
      </c>
      <c r="H1215" s="12">
        <f t="shared" si="48"/>
        <v>7</v>
      </c>
      <c r="I1215" s="12">
        <f t="shared" si="49"/>
        <v>2025</v>
      </c>
    </row>
    <row r="1216" spans="1:9" ht="19.5" customHeight="1" x14ac:dyDescent="0.35">
      <c r="A1216" s="41">
        <v>45853</v>
      </c>
      <c r="B1216" s="8" t="s">
        <v>32</v>
      </c>
      <c r="C1216" s="42" t="s">
        <v>33</v>
      </c>
      <c r="D1216" s="43" t="s">
        <v>30</v>
      </c>
      <c r="E1216" s="46">
        <v>19871.82</v>
      </c>
      <c r="F1216" s="2">
        <f>IF(C1216="GBP",E1216*$C$3,IF(C1216="TRY",E1216/$C$1,IF(C1216="EUR",E1216*$E$1,IF(C1216="RUB",E1216/#REF!,IF(C1216="EGP",E1216/$E$2,E1216)))))</f>
        <v>19871.82</v>
      </c>
      <c r="G1216" s="15" t="str">
        <f>VLOOKUP(B1216,SPECIFICATIONF!$C$2:$D$65,2,0)</f>
        <v>GLOBAL HFT</v>
      </c>
      <c r="H1216" s="12">
        <f t="shared" si="48"/>
        <v>7</v>
      </c>
      <c r="I1216" s="12">
        <f t="shared" si="49"/>
        <v>2025</v>
      </c>
    </row>
    <row r="1217" spans="1:9" ht="19.5" customHeight="1" x14ac:dyDescent="0.35">
      <c r="A1217" s="41">
        <v>45853</v>
      </c>
      <c r="B1217" s="8" t="s">
        <v>32</v>
      </c>
      <c r="C1217" s="42" t="s">
        <v>11</v>
      </c>
      <c r="D1217" s="43" t="s">
        <v>29</v>
      </c>
      <c r="E1217" s="46">
        <v>10093782721</v>
      </c>
      <c r="F1217" s="2">
        <f>IF(C1217="GBP",E1217*$C$3,IF(C1217="TRY",E1217/$C$1,IF(C1217="EUR",E1217*$E$1,IF(C1217="RUB",E1217/#REF!,IF(C1217="EGP",E1217/$E$2,E1217)))))</f>
        <v>276793001.90035343</v>
      </c>
      <c r="G1217" s="15" t="str">
        <f>VLOOKUP(B1217,SPECIFICATIONF!$C$2:$D$65,2,0)</f>
        <v>GLOBAL HFT</v>
      </c>
      <c r="H1217" s="12">
        <f t="shared" si="48"/>
        <v>7</v>
      </c>
      <c r="I1217" s="12">
        <f t="shared" si="49"/>
        <v>2025</v>
      </c>
    </row>
    <row r="1218" spans="1:9" ht="19.5" customHeight="1" x14ac:dyDescent="0.35">
      <c r="A1218" s="41">
        <v>45853</v>
      </c>
      <c r="B1218" s="8" t="s">
        <v>32</v>
      </c>
      <c r="C1218" s="42" t="s">
        <v>33</v>
      </c>
      <c r="D1218" s="43" t="s">
        <v>29</v>
      </c>
      <c r="E1218" s="46">
        <v>69484349</v>
      </c>
      <c r="F1218" s="2">
        <f>IF(C1218="GBP",E1218*$C$3,IF(C1218="TRY",E1218/$C$1,IF(C1218="EUR",E1218*$E$1,IF(C1218="RUB",E1218/#REF!,IF(C1218="EGP",E1218/$E$2,E1218)))))</f>
        <v>69484349</v>
      </c>
      <c r="G1218" s="15" t="str">
        <f>VLOOKUP(B1218,SPECIFICATIONF!$C$2:$D$65,2,0)</f>
        <v>GLOBAL HFT</v>
      </c>
      <c r="H1218" s="12">
        <f t="shared" si="48"/>
        <v>7</v>
      </c>
      <c r="I1218" s="12">
        <f t="shared" si="49"/>
        <v>2025</v>
      </c>
    </row>
    <row r="1219" spans="1:9" ht="19.5" customHeight="1" x14ac:dyDescent="0.35">
      <c r="A1219" s="41">
        <v>45853</v>
      </c>
      <c r="B1219" s="8" t="s">
        <v>24</v>
      </c>
      <c r="C1219" s="42" t="s">
        <v>11</v>
      </c>
      <c r="D1219" s="43" t="s">
        <v>30</v>
      </c>
      <c r="E1219" s="46">
        <v>0</v>
      </c>
      <c r="F1219" s="2">
        <f>IF(C1219="GBP",E1219*$C$3,IF(C1219="TRY",E1219/$C$1,IF(C1219="EUR",E1219*$E$1,IF(C1219="RUB",E1219/#REF!,IF(C1219="EGP",E1219/$E$2,E1219)))))</f>
        <v>0</v>
      </c>
      <c r="G1219" s="15" t="str">
        <f>VLOOKUP(B1219,SPECIFICATIONF!$C$2:$D$65,2,0)</f>
        <v>GLOBAL RETAIL</v>
      </c>
      <c r="H1219" s="12">
        <f t="shared" si="48"/>
        <v>7</v>
      </c>
      <c r="I1219" s="12">
        <f t="shared" si="49"/>
        <v>2025</v>
      </c>
    </row>
    <row r="1220" spans="1:9" ht="19.5" customHeight="1" x14ac:dyDescent="0.35">
      <c r="A1220" s="41">
        <v>45853</v>
      </c>
      <c r="B1220" s="8" t="s">
        <v>24</v>
      </c>
      <c r="C1220" s="42" t="s">
        <v>33</v>
      </c>
      <c r="D1220" s="43" t="s">
        <v>30</v>
      </c>
      <c r="E1220" s="46">
        <v>0</v>
      </c>
      <c r="F1220" s="2">
        <f>IF(C1220="GBP",E1220*$C$3,IF(C1220="TRY",E1220/$C$1,IF(C1220="EUR",E1220*$E$1,IF(C1220="RUB",E1220/#REF!,IF(C1220="EGP",E1220/$E$2,E1220)))))</f>
        <v>0</v>
      </c>
      <c r="G1220" s="15" t="str">
        <f>VLOOKUP(B1220,SPECIFICATIONF!$C$2:$D$65,2,0)</f>
        <v>GLOBAL RETAIL</v>
      </c>
      <c r="H1220" s="12">
        <f t="shared" si="48"/>
        <v>7</v>
      </c>
      <c r="I1220" s="12">
        <f t="shared" si="49"/>
        <v>2025</v>
      </c>
    </row>
    <row r="1221" spans="1:9" ht="19.5" customHeight="1" x14ac:dyDescent="0.35">
      <c r="A1221" s="41">
        <v>45853</v>
      </c>
      <c r="B1221" s="8" t="s">
        <v>24</v>
      </c>
      <c r="C1221" s="42" t="s">
        <v>11</v>
      </c>
      <c r="D1221" s="43" t="s">
        <v>29</v>
      </c>
      <c r="E1221" s="46">
        <v>0</v>
      </c>
      <c r="F1221" s="2">
        <f>IF(C1221="GBP",E1221*$C$3,IF(C1221="TRY",E1221/$C$1,IF(C1221="EUR",E1221*$E$1,IF(C1221="RUB",E1221/#REF!,IF(C1221="EGP",E1221/$E$2,E1221)))))</f>
        <v>0</v>
      </c>
      <c r="G1221" s="15" t="str">
        <f>VLOOKUP(B1221,SPECIFICATIONF!$C$2:$D$65,2,0)</f>
        <v>GLOBAL RETAIL</v>
      </c>
      <c r="H1221" s="12">
        <f t="shared" si="48"/>
        <v>7</v>
      </c>
      <c r="I1221" s="12">
        <f t="shared" si="49"/>
        <v>2025</v>
      </c>
    </row>
    <row r="1222" spans="1:9" ht="19.5" customHeight="1" x14ac:dyDescent="0.35">
      <c r="A1222" s="41">
        <v>45853</v>
      </c>
      <c r="B1222" s="8" t="s">
        <v>24</v>
      </c>
      <c r="C1222" s="42" t="s">
        <v>33</v>
      </c>
      <c r="D1222" s="43" t="s">
        <v>29</v>
      </c>
      <c r="E1222" s="46">
        <v>0</v>
      </c>
      <c r="F1222" s="2">
        <f>IF(C1222="GBP",E1222*$C$3,IF(C1222="TRY",E1222/$C$1,IF(C1222="EUR",E1222*$E$1,IF(C1222="RUB",E1222/#REF!,IF(C1222="EGP",E1222/$E$2,E1222)))))</f>
        <v>0</v>
      </c>
      <c r="G1222" s="15" t="str">
        <f>VLOOKUP(B1222,SPECIFICATIONF!$C$2:$D$65,2,0)</f>
        <v>GLOBAL RETAIL</v>
      </c>
      <c r="H1222" s="12">
        <f t="shared" si="48"/>
        <v>7</v>
      </c>
      <c r="I1222" s="12">
        <f t="shared" si="49"/>
        <v>2025</v>
      </c>
    </row>
    <row r="1223" spans="1:9" ht="19.5" customHeight="1" x14ac:dyDescent="0.35">
      <c r="A1223" s="41">
        <v>45854</v>
      </c>
      <c r="B1223" s="8" t="s">
        <v>32</v>
      </c>
      <c r="C1223" s="42" t="s">
        <v>11</v>
      </c>
      <c r="D1223" s="43" t="s">
        <v>30</v>
      </c>
      <c r="E1223" s="46">
        <v>3700331.52</v>
      </c>
      <c r="F1223" s="2">
        <f>IF(C1223="GBP",E1223*$C$3,IF(C1223="TRY",E1223/$C$1,IF(C1223="EUR",E1223*$E$1,IF(C1223="RUB",E1223/#REF!,IF(C1223="EGP",E1223/$E$2,E1223)))))</f>
        <v>101470.96462819706</v>
      </c>
      <c r="G1223" s="15" t="str">
        <f>VLOOKUP(B1223,SPECIFICATIONF!$C$2:$D$65,2,0)</f>
        <v>GLOBAL HFT</v>
      </c>
      <c r="H1223" s="12">
        <f t="shared" si="48"/>
        <v>7</v>
      </c>
      <c r="I1223" s="12">
        <f t="shared" si="49"/>
        <v>2025</v>
      </c>
    </row>
    <row r="1224" spans="1:9" ht="19.5" customHeight="1" x14ac:dyDescent="0.35">
      <c r="A1224" s="41">
        <v>45854</v>
      </c>
      <c r="B1224" s="8" t="s">
        <v>32</v>
      </c>
      <c r="C1224" s="42" t="s">
        <v>33</v>
      </c>
      <c r="D1224" s="43" t="s">
        <v>30</v>
      </c>
      <c r="E1224" s="46">
        <v>27848.34</v>
      </c>
      <c r="F1224" s="2">
        <f>IF(C1224="GBP",E1224*$C$3,IF(C1224="TRY",E1224/$C$1,IF(C1224="EUR",E1224*$E$1,IF(C1224="RUB",E1224/#REF!,IF(C1224="EGP",E1224/$E$2,E1224)))))</f>
        <v>27848.34</v>
      </c>
      <c r="G1224" s="15" t="str">
        <f>VLOOKUP(B1224,SPECIFICATIONF!$C$2:$D$65,2,0)</f>
        <v>GLOBAL HFT</v>
      </c>
      <c r="H1224" s="12">
        <f t="shared" si="48"/>
        <v>7</v>
      </c>
      <c r="I1224" s="12">
        <f t="shared" si="49"/>
        <v>2025</v>
      </c>
    </row>
    <row r="1225" spans="1:9" ht="19.5" customHeight="1" x14ac:dyDescent="0.35">
      <c r="A1225" s="41">
        <v>45854</v>
      </c>
      <c r="B1225" s="8" t="s">
        <v>32</v>
      </c>
      <c r="C1225" s="42" t="s">
        <v>11</v>
      </c>
      <c r="D1225" s="43" t="s">
        <v>29</v>
      </c>
      <c r="E1225" s="46">
        <v>13268031605</v>
      </c>
      <c r="F1225" s="2">
        <f>IF(C1225="GBP",E1225*$C$3,IF(C1225="TRY",E1225/$C$1,IF(C1225="EUR",E1225*$E$1,IF(C1225="RUB",E1225/#REF!,IF(C1225="EGP",E1225/$E$2,E1225)))))</f>
        <v>363837661.13927972</v>
      </c>
      <c r="G1225" s="15" t="str">
        <f>VLOOKUP(B1225,SPECIFICATIONF!$C$2:$D$65,2,0)</f>
        <v>GLOBAL HFT</v>
      </c>
      <c r="H1225" s="12">
        <f t="shared" si="48"/>
        <v>7</v>
      </c>
      <c r="I1225" s="12">
        <f t="shared" si="49"/>
        <v>2025</v>
      </c>
    </row>
    <row r="1226" spans="1:9" ht="19.5" customHeight="1" x14ac:dyDescent="0.35">
      <c r="A1226" s="41">
        <v>45854</v>
      </c>
      <c r="B1226" s="8" t="s">
        <v>32</v>
      </c>
      <c r="C1226" s="42" t="s">
        <v>33</v>
      </c>
      <c r="D1226" s="43" t="s">
        <v>29</v>
      </c>
      <c r="E1226" s="46">
        <v>98468463</v>
      </c>
      <c r="F1226" s="2">
        <f>IF(C1226="GBP",E1226*$C$3,IF(C1226="TRY",E1226/$C$1,IF(C1226="EUR",E1226*$E$1,IF(C1226="RUB",E1226/#REF!,IF(C1226="EGP",E1226/$E$2,E1226)))))</f>
        <v>98468463</v>
      </c>
      <c r="G1226" s="15" t="str">
        <f>VLOOKUP(B1226,SPECIFICATIONF!$C$2:$D$65,2,0)</f>
        <v>GLOBAL HFT</v>
      </c>
      <c r="H1226" s="12">
        <f t="shared" si="48"/>
        <v>7</v>
      </c>
      <c r="I1226" s="12">
        <f t="shared" si="49"/>
        <v>2025</v>
      </c>
    </row>
    <row r="1227" spans="1:9" ht="19.5" customHeight="1" x14ac:dyDescent="0.35">
      <c r="A1227" s="41">
        <v>45854</v>
      </c>
      <c r="B1227" s="8" t="s">
        <v>24</v>
      </c>
      <c r="C1227" s="42" t="s">
        <v>11</v>
      </c>
      <c r="D1227" s="43" t="s">
        <v>30</v>
      </c>
      <c r="E1227" s="46">
        <v>0</v>
      </c>
      <c r="F1227" s="2">
        <f>IF(C1227="GBP",E1227*$C$3,IF(C1227="TRY",E1227/$C$1,IF(C1227="EUR",E1227*$E$1,IF(C1227="RUB",E1227/#REF!,IF(C1227="EGP",E1227/$E$2,E1227)))))</f>
        <v>0</v>
      </c>
      <c r="G1227" s="15" t="str">
        <f>VLOOKUP(B1227,SPECIFICATIONF!$C$2:$D$65,2,0)</f>
        <v>GLOBAL RETAIL</v>
      </c>
      <c r="H1227" s="12">
        <f t="shared" si="48"/>
        <v>7</v>
      </c>
      <c r="I1227" s="12">
        <f t="shared" si="49"/>
        <v>2025</v>
      </c>
    </row>
    <row r="1228" spans="1:9" ht="19.5" customHeight="1" x14ac:dyDescent="0.35">
      <c r="A1228" s="41">
        <v>45854</v>
      </c>
      <c r="B1228" s="8" t="s">
        <v>24</v>
      </c>
      <c r="C1228" s="42" t="s">
        <v>33</v>
      </c>
      <c r="D1228" s="43" t="s">
        <v>30</v>
      </c>
      <c r="E1228" s="46">
        <v>0</v>
      </c>
      <c r="F1228" s="2">
        <f>IF(C1228="GBP",E1228*$C$3,IF(C1228="TRY",E1228/$C$1,IF(C1228="EUR",E1228*$E$1,IF(C1228="RUB",E1228/#REF!,IF(C1228="EGP",E1228/$E$2,E1228)))))</f>
        <v>0</v>
      </c>
      <c r="G1228" s="15" t="str">
        <f>VLOOKUP(B1228,SPECIFICATIONF!$C$2:$D$65,2,0)</f>
        <v>GLOBAL RETAIL</v>
      </c>
      <c r="H1228" s="12">
        <f t="shared" si="48"/>
        <v>7</v>
      </c>
      <c r="I1228" s="12">
        <f t="shared" si="49"/>
        <v>2025</v>
      </c>
    </row>
    <row r="1229" spans="1:9" ht="19.5" customHeight="1" x14ac:dyDescent="0.35">
      <c r="A1229" s="41">
        <v>45854</v>
      </c>
      <c r="B1229" s="8" t="s">
        <v>24</v>
      </c>
      <c r="C1229" s="42" t="s">
        <v>11</v>
      </c>
      <c r="D1229" s="43" t="s">
        <v>29</v>
      </c>
      <c r="E1229" s="46">
        <v>0</v>
      </c>
      <c r="F1229" s="2">
        <f>IF(C1229="GBP",E1229*$C$3,IF(C1229="TRY",E1229/$C$1,IF(C1229="EUR",E1229*$E$1,IF(C1229="RUB",E1229/#REF!,IF(C1229="EGP",E1229/$E$2,E1229)))))</f>
        <v>0</v>
      </c>
      <c r="G1229" s="15" t="str">
        <f>VLOOKUP(B1229,SPECIFICATIONF!$C$2:$D$65,2,0)</f>
        <v>GLOBAL RETAIL</v>
      </c>
      <c r="H1229" s="12">
        <f t="shared" si="48"/>
        <v>7</v>
      </c>
      <c r="I1229" s="12">
        <f t="shared" si="49"/>
        <v>2025</v>
      </c>
    </row>
    <row r="1230" spans="1:9" ht="19.5" customHeight="1" x14ac:dyDescent="0.35">
      <c r="A1230" s="41">
        <v>45854</v>
      </c>
      <c r="B1230" s="8" t="s">
        <v>24</v>
      </c>
      <c r="C1230" s="42" t="s">
        <v>33</v>
      </c>
      <c r="D1230" s="43" t="s">
        <v>29</v>
      </c>
      <c r="E1230" s="46">
        <v>0</v>
      </c>
      <c r="F1230" s="2">
        <f>IF(C1230="GBP",E1230*$C$3,IF(C1230="TRY",E1230/$C$1,IF(C1230="EUR",E1230*$E$1,IF(C1230="RUB",E1230/#REF!,IF(C1230="EGP",E1230/$E$2,E1230)))))</f>
        <v>0</v>
      </c>
      <c r="G1230" s="15" t="str">
        <f>VLOOKUP(B1230,SPECIFICATIONF!$C$2:$D$65,2,0)</f>
        <v>GLOBAL RETAIL</v>
      </c>
      <c r="H1230" s="12">
        <f t="shared" si="48"/>
        <v>7</v>
      </c>
      <c r="I1230" s="12">
        <f t="shared" si="49"/>
        <v>2025</v>
      </c>
    </row>
    <row r="1231" spans="1:9" ht="19.5" customHeight="1" x14ac:dyDescent="0.35">
      <c r="A1231" s="41">
        <v>45855</v>
      </c>
      <c r="B1231" s="8" t="s">
        <v>32</v>
      </c>
      <c r="C1231" s="42" t="s">
        <v>11</v>
      </c>
      <c r="D1231" s="43" t="s">
        <v>30</v>
      </c>
      <c r="E1231" s="46">
        <v>3634389.68</v>
      </c>
      <c r="F1231" s="2">
        <f>IF(C1231="GBP",E1231*$C$3,IF(C1231="TRY",E1231/$C$1,IF(C1231="EUR",E1231*$E$1,IF(C1231="RUB",E1231/#REF!,IF(C1231="EGP",E1231/$E$2,E1231)))))</f>
        <v>99662.69905037171</v>
      </c>
      <c r="G1231" s="15" t="str">
        <f>VLOOKUP(B1231,SPECIFICATIONF!$C$2:$D$65,2,0)</f>
        <v>GLOBAL HFT</v>
      </c>
      <c r="H1231" s="12">
        <f t="shared" si="48"/>
        <v>7</v>
      </c>
      <c r="I1231" s="12">
        <f t="shared" si="49"/>
        <v>2025</v>
      </c>
    </row>
    <row r="1232" spans="1:9" ht="19.5" customHeight="1" x14ac:dyDescent="0.35">
      <c r="A1232" s="41">
        <v>45855</v>
      </c>
      <c r="B1232" s="8" t="s">
        <v>32</v>
      </c>
      <c r="C1232" s="42" t="s">
        <v>33</v>
      </c>
      <c r="D1232" s="43" t="s">
        <v>30</v>
      </c>
      <c r="E1232" s="46">
        <v>26176.23</v>
      </c>
      <c r="F1232" s="2">
        <f>IF(C1232="GBP",E1232*$C$3,IF(C1232="TRY",E1232/$C$1,IF(C1232="EUR",E1232*$E$1,IF(C1232="RUB",E1232/#REF!,IF(C1232="EGP",E1232/$E$2,E1232)))))</f>
        <v>26176.23</v>
      </c>
      <c r="G1232" s="15" t="str">
        <f>VLOOKUP(B1232,SPECIFICATIONF!$C$2:$D$65,2,0)</f>
        <v>GLOBAL HFT</v>
      </c>
      <c r="H1232" s="12">
        <f t="shared" si="48"/>
        <v>7</v>
      </c>
      <c r="I1232" s="12">
        <f t="shared" si="49"/>
        <v>2025</v>
      </c>
    </row>
    <row r="1233" spans="1:9" ht="19.5" customHeight="1" x14ac:dyDescent="0.35">
      <c r="A1233" s="41">
        <v>45855</v>
      </c>
      <c r="B1233" s="8" t="s">
        <v>32</v>
      </c>
      <c r="C1233" s="42" t="s">
        <v>11</v>
      </c>
      <c r="D1233" s="43" t="s">
        <v>29</v>
      </c>
      <c r="E1233" s="46">
        <v>13387161375</v>
      </c>
      <c r="F1233" s="2">
        <f>IF(C1233="GBP",E1233*$C$3,IF(C1233="TRY",E1233/$C$1,IF(C1233="EUR",E1233*$E$1,IF(C1233="RUB",E1233/#REF!,IF(C1233="EGP",E1233/$E$2,E1233)))))</f>
        <v>367104452.94225723</v>
      </c>
      <c r="G1233" s="15" t="str">
        <f>VLOOKUP(B1233,SPECIFICATIONF!$C$2:$D$65,2,0)</f>
        <v>GLOBAL HFT</v>
      </c>
      <c r="H1233" s="12">
        <f t="shared" si="48"/>
        <v>7</v>
      </c>
      <c r="I1233" s="12">
        <f t="shared" si="49"/>
        <v>2025</v>
      </c>
    </row>
    <row r="1234" spans="1:9" ht="19.5" customHeight="1" x14ac:dyDescent="0.35">
      <c r="A1234" s="41">
        <v>45855</v>
      </c>
      <c r="B1234" s="8" t="s">
        <v>32</v>
      </c>
      <c r="C1234" s="42" t="s">
        <v>33</v>
      </c>
      <c r="D1234" s="43" t="s">
        <v>29</v>
      </c>
      <c r="E1234" s="46">
        <v>94551158</v>
      </c>
      <c r="F1234" s="2">
        <f>IF(C1234="GBP",E1234*$C$3,IF(C1234="TRY",E1234/$C$1,IF(C1234="EUR",E1234*$E$1,IF(C1234="RUB",E1234/#REF!,IF(C1234="EGP",E1234/$E$2,E1234)))))</f>
        <v>94551158</v>
      </c>
      <c r="G1234" s="15" t="str">
        <f>VLOOKUP(B1234,SPECIFICATIONF!$C$2:$D$65,2,0)</f>
        <v>GLOBAL HFT</v>
      </c>
      <c r="H1234" s="12">
        <f t="shared" si="48"/>
        <v>7</v>
      </c>
      <c r="I1234" s="12">
        <f t="shared" si="49"/>
        <v>2025</v>
      </c>
    </row>
    <row r="1235" spans="1:9" ht="19.5" customHeight="1" x14ac:dyDescent="0.35">
      <c r="A1235" s="41">
        <v>45855</v>
      </c>
      <c r="B1235" s="8" t="s">
        <v>24</v>
      </c>
      <c r="C1235" s="42" t="s">
        <v>11</v>
      </c>
      <c r="D1235" s="43" t="s">
        <v>30</v>
      </c>
      <c r="E1235" s="46">
        <v>0</v>
      </c>
      <c r="F1235" s="2">
        <f>IF(C1235="GBP",E1235*$C$3,IF(C1235="TRY",E1235/$C$1,IF(C1235="EUR",E1235*$E$1,IF(C1235="RUB",E1235/#REF!,IF(C1235="EGP",E1235/$E$2,E1235)))))</f>
        <v>0</v>
      </c>
      <c r="G1235" s="15" t="str">
        <f>VLOOKUP(B1235,SPECIFICATIONF!$C$2:$D$65,2,0)</f>
        <v>GLOBAL RETAIL</v>
      </c>
      <c r="H1235" s="12">
        <f t="shared" si="48"/>
        <v>7</v>
      </c>
      <c r="I1235" s="12">
        <f t="shared" si="49"/>
        <v>2025</v>
      </c>
    </row>
    <row r="1236" spans="1:9" ht="19.5" customHeight="1" x14ac:dyDescent="0.35">
      <c r="A1236" s="41">
        <v>45855</v>
      </c>
      <c r="B1236" s="8" t="s">
        <v>24</v>
      </c>
      <c r="C1236" s="42" t="s">
        <v>33</v>
      </c>
      <c r="D1236" s="43" t="s">
        <v>30</v>
      </c>
      <c r="E1236" s="46">
        <v>0</v>
      </c>
      <c r="F1236" s="2">
        <f>IF(C1236="GBP",E1236*$C$3,IF(C1236="TRY",E1236/$C$1,IF(C1236="EUR",E1236*$E$1,IF(C1236="RUB",E1236/#REF!,IF(C1236="EGP",E1236/$E$2,E1236)))))</f>
        <v>0</v>
      </c>
      <c r="G1236" s="15" t="str">
        <f>VLOOKUP(B1236,SPECIFICATIONF!$C$2:$D$65,2,0)</f>
        <v>GLOBAL RETAIL</v>
      </c>
      <c r="H1236" s="12">
        <f t="shared" si="48"/>
        <v>7</v>
      </c>
      <c r="I1236" s="12">
        <f t="shared" si="49"/>
        <v>2025</v>
      </c>
    </row>
    <row r="1237" spans="1:9" ht="19.5" customHeight="1" x14ac:dyDescent="0.35">
      <c r="A1237" s="41">
        <v>45855</v>
      </c>
      <c r="B1237" s="8" t="s">
        <v>24</v>
      </c>
      <c r="C1237" s="42" t="s">
        <v>11</v>
      </c>
      <c r="D1237" s="43" t="s">
        <v>29</v>
      </c>
      <c r="E1237" s="46">
        <v>0</v>
      </c>
      <c r="F1237" s="2">
        <f>IF(C1237="GBP",E1237*$C$3,IF(C1237="TRY",E1237/$C$1,IF(C1237="EUR",E1237*$E$1,IF(C1237="RUB",E1237/#REF!,IF(C1237="EGP",E1237/$E$2,E1237)))))</f>
        <v>0</v>
      </c>
      <c r="G1237" s="15" t="str">
        <f>VLOOKUP(B1237,SPECIFICATIONF!$C$2:$D$65,2,0)</f>
        <v>GLOBAL RETAIL</v>
      </c>
      <c r="H1237" s="12">
        <f t="shared" si="48"/>
        <v>7</v>
      </c>
      <c r="I1237" s="12">
        <f t="shared" si="49"/>
        <v>2025</v>
      </c>
    </row>
    <row r="1238" spans="1:9" ht="19.5" customHeight="1" x14ac:dyDescent="0.35">
      <c r="A1238" s="41">
        <v>45855</v>
      </c>
      <c r="B1238" s="8" t="s">
        <v>24</v>
      </c>
      <c r="C1238" s="42" t="s">
        <v>33</v>
      </c>
      <c r="D1238" s="43" t="s">
        <v>29</v>
      </c>
      <c r="E1238" s="46">
        <v>0</v>
      </c>
      <c r="F1238" s="2">
        <f>IF(C1238="GBP",E1238*$C$3,IF(C1238="TRY",E1238/$C$1,IF(C1238="EUR",E1238*$E$1,IF(C1238="RUB",E1238/#REF!,IF(C1238="EGP",E1238/$E$2,E1238)))))</f>
        <v>0</v>
      </c>
      <c r="G1238" s="15" t="str">
        <f>VLOOKUP(B1238,SPECIFICATIONF!$C$2:$D$65,2,0)</f>
        <v>GLOBAL RETAIL</v>
      </c>
      <c r="H1238" s="12">
        <f t="shared" si="48"/>
        <v>7</v>
      </c>
      <c r="I1238" s="12">
        <f t="shared" si="49"/>
        <v>2025</v>
      </c>
    </row>
    <row r="1239" spans="1:9" ht="19.5" customHeight="1" x14ac:dyDescent="0.35">
      <c r="A1239" s="41">
        <v>45856</v>
      </c>
      <c r="B1239" s="8" t="s">
        <v>32</v>
      </c>
      <c r="C1239" s="42" t="s">
        <v>11</v>
      </c>
      <c r="D1239" s="43" t="s">
        <v>30</v>
      </c>
      <c r="E1239" s="46">
        <v>4190128.38</v>
      </c>
      <c r="F1239" s="2">
        <f>IF(C1239="GBP",E1239*$C$3,IF(C1239="TRY",E1239/$C$1,IF(C1239="EUR",E1239*$E$1,IF(C1239="RUB",E1239/#REF!,IF(C1239="EGP",E1239/$E$2,E1239)))))</f>
        <v>114902.23682298193</v>
      </c>
      <c r="G1239" s="15" t="str">
        <f>VLOOKUP(B1239,SPECIFICATIONF!$C$2:$D$65,2,0)</f>
        <v>GLOBAL HFT</v>
      </c>
      <c r="H1239" s="12">
        <f t="shared" si="48"/>
        <v>7</v>
      </c>
      <c r="I1239" s="12">
        <f t="shared" si="49"/>
        <v>2025</v>
      </c>
    </row>
    <row r="1240" spans="1:9" ht="19.5" customHeight="1" x14ac:dyDescent="0.35">
      <c r="A1240" s="41">
        <v>45856</v>
      </c>
      <c r="B1240" s="8" t="s">
        <v>32</v>
      </c>
      <c r="C1240" s="42" t="s">
        <v>33</v>
      </c>
      <c r="D1240" s="43" t="s">
        <v>30</v>
      </c>
      <c r="E1240" s="46">
        <v>32161.78</v>
      </c>
      <c r="F1240" s="2">
        <f>IF(C1240="GBP",E1240*$C$3,IF(C1240="TRY",E1240/$C$1,IF(C1240="EUR",E1240*$E$1,IF(C1240="RUB",E1240/#REF!,IF(C1240="EGP",E1240/$E$2,E1240)))))</f>
        <v>32161.78</v>
      </c>
      <c r="G1240" s="15" t="str">
        <f>VLOOKUP(B1240,SPECIFICATIONF!$C$2:$D$65,2,0)</f>
        <v>GLOBAL HFT</v>
      </c>
      <c r="H1240" s="12">
        <f t="shared" si="48"/>
        <v>7</v>
      </c>
      <c r="I1240" s="12">
        <f t="shared" si="49"/>
        <v>2025</v>
      </c>
    </row>
    <row r="1241" spans="1:9" ht="19.5" customHeight="1" x14ac:dyDescent="0.35">
      <c r="A1241" s="41">
        <v>45856</v>
      </c>
      <c r="B1241" s="8" t="s">
        <v>32</v>
      </c>
      <c r="C1241" s="42" t="s">
        <v>11</v>
      </c>
      <c r="D1241" s="43" t="s">
        <v>29</v>
      </c>
      <c r="E1241" s="46">
        <v>15513381531</v>
      </c>
      <c r="F1241" s="2">
        <f>IF(C1241="GBP",E1241*$C$3,IF(C1241="TRY",E1241/$C$1,IF(C1241="EUR",E1241*$E$1,IF(C1241="RUB",E1241/#REF!,IF(C1241="EGP",E1241/$E$2,E1241)))))</f>
        <v>425409934.24173701</v>
      </c>
      <c r="G1241" s="15" t="str">
        <f>VLOOKUP(B1241,SPECIFICATIONF!$C$2:$D$65,2,0)</f>
        <v>GLOBAL HFT</v>
      </c>
      <c r="H1241" s="12">
        <f t="shared" si="48"/>
        <v>7</v>
      </c>
      <c r="I1241" s="12">
        <f t="shared" si="49"/>
        <v>2025</v>
      </c>
    </row>
    <row r="1242" spans="1:9" ht="19.5" customHeight="1" x14ac:dyDescent="0.35">
      <c r="A1242" s="41">
        <v>45856</v>
      </c>
      <c r="B1242" s="8" t="s">
        <v>32</v>
      </c>
      <c r="C1242" s="42" t="s">
        <v>33</v>
      </c>
      <c r="D1242" s="43" t="s">
        <v>29</v>
      </c>
      <c r="E1242" s="46">
        <v>114193303</v>
      </c>
      <c r="F1242" s="2">
        <f>IF(C1242="GBP",E1242*$C$3,IF(C1242="TRY",E1242/$C$1,IF(C1242="EUR",E1242*$E$1,IF(C1242="RUB",E1242/#REF!,IF(C1242="EGP",E1242/$E$2,E1242)))))</f>
        <v>114193303</v>
      </c>
      <c r="G1242" s="15" t="str">
        <f>VLOOKUP(B1242,SPECIFICATIONF!$C$2:$D$65,2,0)</f>
        <v>GLOBAL HFT</v>
      </c>
      <c r="H1242" s="12">
        <f t="shared" si="48"/>
        <v>7</v>
      </c>
      <c r="I1242" s="12">
        <f t="shared" si="49"/>
        <v>2025</v>
      </c>
    </row>
    <row r="1243" spans="1:9" ht="19.5" customHeight="1" x14ac:dyDescent="0.35">
      <c r="A1243" s="41">
        <v>45856</v>
      </c>
      <c r="B1243" s="8" t="s">
        <v>24</v>
      </c>
      <c r="C1243" s="42" t="s">
        <v>11</v>
      </c>
      <c r="D1243" s="43" t="s">
        <v>30</v>
      </c>
      <c r="E1243" s="46">
        <v>0</v>
      </c>
      <c r="F1243" s="2">
        <f>IF(C1243="GBP",E1243*$C$3,IF(C1243="TRY",E1243/$C$1,IF(C1243="EUR",E1243*$E$1,IF(C1243="RUB",E1243/#REF!,IF(C1243="EGP",E1243/$E$2,E1243)))))</f>
        <v>0</v>
      </c>
      <c r="G1243" s="15" t="str">
        <f>VLOOKUP(B1243,SPECIFICATIONF!$C$2:$D$65,2,0)</f>
        <v>GLOBAL RETAIL</v>
      </c>
      <c r="H1243" s="12">
        <f t="shared" si="48"/>
        <v>7</v>
      </c>
      <c r="I1243" s="12">
        <f t="shared" si="49"/>
        <v>2025</v>
      </c>
    </row>
    <row r="1244" spans="1:9" ht="19.5" customHeight="1" x14ac:dyDescent="0.35">
      <c r="A1244" s="41">
        <v>45856</v>
      </c>
      <c r="B1244" s="8" t="s">
        <v>24</v>
      </c>
      <c r="C1244" s="42" t="s">
        <v>33</v>
      </c>
      <c r="D1244" s="43" t="s">
        <v>30</v>
      </c>
      <c r="E1244" s="46">
        <v>0</v>
      </c>
      <c r="F1244" s="2">
        <f>IF(C1244="GBP",E1244*$C$3,IF(C1244="TRY",E1244/$C$1,IF(C1244="EUR",E1244*$E$1,IF(C1244="RUB",E1244/#REF!,IF(C1244="EGP",E1244/$E$2,E1244)))))</f>
        <v>0</v>
      </c>
      <c r="G1244" s="15" t="str">
        <f>VLOOKUP(B1244,SPECIFICATIONF!$C$2:$D$65,2,0)</f>
        <v>GLOBAL RETAIL</v>
      </c>
      <c r="H1244" s="12">
        <f t="shared" si="48"/>
        <v>7</v>
      </c>
      <c r="I1244" s="12">
        <f t="shared" si="49"/>
        <v>2025</v>
      </c>
    </row>
    <row r="1245" spans="1:9" ht="19.5" customHeight="1" x14ac:dyDescent="0.35">
      <c r="A1245" s="41">
        <v>45856</v>
      </c>
      <c r="B1245" s="8" t="s">
        <v>24</v>
      </c>
      <c r="C1245" s="42" t="s">
        <v>11</v>
      </c>
      <c r="D1245" s="43" t="s">
        <v>29</v>
      </c>
      <c r="E1245" s="46">
        <v>0</v>
      </c>
      <c r="F1245" s="2">
        <f>IF(C1245="GBP",E1245*$C$3,IF(C1245="TRY",E1245/$C$1,IF(C1245="EUR",E1245*$E$1,IF(C1245="RUB",E1245/#REF!,IF(C1245="EGP",E1245/$E$2,E1245)))))</f>
        <v>0</v>
      </c>
      <c r="G1245" s="15" t="str">
        <f>VLOOKUP(B1245,SPECIFICATIONF!$C$2:$D$65,2,0)</f>
        <v>GLOBAL RETAIL</v>
      </c>
      <c r="H1245" s="12">
        <f t="shared" si="48"/>
        <v>7</v>
      </c>
      <c r="I1245" s="12">
        <f t="shared" si="49"/>
        <v>2025</v>
      </c>
    </row>
    <row r="1246" spans="1:9" ht="19.5" customHeight="1" x14ac:dyDescent="0.35">
      <c r="A1246" s="41">
        <v>45856</v>
      </c>
      <c r="B1246" s="8" t="s">
        <v>24</v>
      </c>
      <c r="C1246" s="42" t="s">
        <v>33</v>
      </c>
      <c r="D1246" s="43" t="s">
        <v>29</v>
      </c>
      <c r="E1246" s="46">
        <v>0</v>
      </c>
      <c r="F1246" s="2">
        <f>IF(C1246="GBP",E1246*$C$3,IF(C1246="TRY",E1246/$C$1,IF(C1246="EUR",E1246*$E$1,IF(C1246="RUB",E1246/#REF!,IF(C1246="EGP",E1246/$E$2,E1246)))))</f>
        <v>0</v>
      </c>
      <c r="G1246" s="15" t="str">
        <f>VLOOKUP(B1246,SPECIFICATIONF!$C$2:$D$65,2,0)</f>
        <v>GLOBAL RETAIL</v>
      </c>
      <c r="H1246" s="12">
        <f t="shared" si="48"/>
        <v>7</v>
      </c>
      <c r="I1246" s="12">
        <f t="shared" si="49"/>
        <v>2025</v>
      </c>
    </row>
    <row r="1247" spans="1:9" ht="19.5" customHeight="1" x14ac:dyDescent="0.35">
      <c r="A1247" s="41">
        <v>45857</v>
      </c>
      <c r="B1247" s="8" t="s">
        <v>32</v>
      </c>
      <c r="C1247" s="42" t="s">
        <v>11</v>
      </c>
      <c r="D1247" s="43" t="s">
        <v>30</v>
      </c>
      <c r="E1247" s="46">
        <v>2299032.91</v>
      </c>
      <c r="F1247" s="2">
        <f>IF(C1247="GBP",E1247*$C$3,IF(C1247="TRY",E1247/$C$1,IF(C1247="EUR",E1247*$E$1,IF(C1247="RUB",E1247/#REF!,IF(C1247="EGP",E1247/$E$2,E1247)))))</f>
        <v>63044.374761770261</v>
      </c>
      <c r="G1247" s="15" t="str">
        <f>VLOOKUP(B1247,SPECIFICATIONF!$C$2:$D$65,2,0)</f>
        <v>GLOBAL HFT</v>
      </c>
      <c r="H1247" s="12">
        <f t="shared" si="48"/>
        <v>7</v>
      </c>
      <c r="I1247" s="12">
        <f t="shared" si="49"/>
        <v>2025</v>
      </c>
    </row>
    <row r="1248" spans="1:9" ht="19.5" customHeight="1" x14ac:dyDescent="0.35">
      <c r="A1248" s="41">
        <v>45857</v>
      </c>
      <c r="B1248" s="8" t="s">
        <v>32</v>
      </c>
      <c r="C1248" s="42" t="s">
        <v>33</v>
      </c>
      <c r="D1248" s="43" t="s">
        <v>30</v>
      </c>
      <c r="E1248" s="46">
        <v>14690.74</v>
      </c>
      <c r="F1248" s="2">
        <f>IF(C1248="GBP",E1248*$C$3,IF(C1248="TRY",E1248/$C$1,IF(C1248="EUR",E1248*$E$1,IF(C1248="RUB",E1248/#REF!,IF(C1248="EGP",E1248/$E$2,E1248)))))</f>
        <v>14690.74</v>
      </c>
      <c r="G1248" s="15" t="str">
        <f>VLOOKUP(B1248,SPECIFICATIONF!$C$2:$D$65,2,0)</f>
        <v>GLOBAL HFT</v>
      </c>
      <c r="H1248" s="12">
        <f t="shared" si="48"/>
        <v>7</v>
      </c>
      <c r="I1248" s="12">
        <f t="shared" si="49"/>
        <v>2025</v>
      </c>
    </row>
    <row r="1249" spans="1:9" ht="19.5" customHeight="1" x14ac:dyDescent="0.35">
      <c r="A1249" s="41">
        <v>45857</v>
      </c>
      <c r="B1249" s="8" t="s">
        <v>32</v>
      </c>
      <c r="C1249" s="42" t="s">
        <v>11</v>
      </c>
      <c r="D1249" s="43" t="s">
        <v>29</v>
      </c>
      <c r="E1249" s="46">
        <v>8800497493</v>
      </c>
      <c r="F1249" s="2">
        <f>IF(C1249="GBP",E1249*$C$3,IF(C1249="TRY",E1249/$C$1,IF(C1249="EUR",E1249*$E$1,IF(C1249="RUB",E1249/#REF!,IF(C1249="EGP",E1249/$E$2,E1249)))))</f>
        <v>241328368.82213733</v>
      </c>
      <c r="G1249" s="15" t="str">
        <f>VLOOKUP(B1249,SPECIFICATIONF!$C$2:$D$65,2,0)</f>
        <v>GLOBAL HFT</v>
      </c>
      <c r="H1249" s="12">
        <f t="shared" si="48"/>
        <v>7</v>
      </c>
      <c r="I1249" s="12">
        <f t="shared" si="49"/>
        <v>2025</v>
      </c>
    </row>
    <row r="1250" spans="1:9" ht="19.5" customHeight="1" x14ac:dyDescent="0.35">
      <c r="A1250" s="41">
        <v>45857</v>
      </c>
      <c r="B1250" s="8" t="s">
        <v>32</v>
      </c>
      <c r="C1250" s="42" t="s">
        <v>33</v>
      </c>
      <c r="D1250" s="43" t="s">
        <v>29</v>
      </c>
      <c r="E1250" s="46">
        <v>53080779</v>
      </c>
      <c r="F1250" s="2">
        <f>IF(C1250="GBP",E1250*$C$3,IF(C1250="TRY",E1250/$C$1,IF(C1250="EUR",E1250*$E$1,IF(C1250="RUB",E1250/#REF!,IF(C1250="EGP",E1250/$E$2,E1250)))))</f>
        <v>53080779</v>
      </c>
      <c r="G1250" s="15" t="str">
        <f>VLOOKUP(B1250,SPECIFICATIONF!$C$2:$D$65,2,0)</f>
        <v>GLOBAL HFT</v>
      </c>
      <c r="H1250" s="12">
        <f t="shared" si="48"/>
        <v>7</v>
      </c>
      <c r="I1250" s="12">
        <f t="shared" si="49"/>
        <v>2025</v>
      </c>
    </row>
    <row r="1251" spans="1:9" ht="19.5" customHeight="1" x14ac:dyDescent="0.35">
      <c r="A1251" s="41">
        <v>45857</v>
      </c>
      <c r="B1251" s="8" t="s">
        <v>24</v>
      </c>
      <c r="C1251" s="42" t="s">
        <v>11</v>
      </c>
      <c r="D1251" s="43" t="s">
        <v>30</v>
      </c>
      <c r="E1251" s="46">
        <v>0</v>
      </c>
      <c r="F1251" s="2">
        <f>IF(C1251="GBP",E1251*$C$3,IF(C1251="TRY",E1251/$C$1,IF(C1251="EUR",E1251*$E$1,IF(C1251="RUB",E1251/#REF!,IF(C1251="EGP",E1251/$E$2,E1251)))))</f>
        <v>0</v>
      </c>
      <c r="G1251" s="15" t="str">
        <f>VLOOKUP(B1251,SPECIFICATIONF!$C$2:$D$65,2,0)</f>
        <v>GLOBAL RETAIL</v>
      </c>
      <c r="H1251" s="12">
        <f t="shared" si="48"/>
        <v>7</v>
      </c>
      <c r="I1251" s="12">
        <f t="shared" si="49"/>
        <v>2025</v>
      </c>
    </row>
    <row r="1252" spans="1:9" ht="19.5" customHeight="1" x14ac:dyDescent="0.35">
      <c r="A1252" s="41">
        <v>45857</v>
      </c>
      <c r="B1252" s="8" t="s">
        <v>24</v>
      </c>
      <c r="C1252" s="42" t="s">
        <v>33</v>
      </c>
      <c r="D1252" s="43" t="s">
        <v>30</v>
      </c>
      <c r="E1252" s="46">
        <v>0</v>
      </c>
      <c r="F1252" s="2">
        <f>IF(C1252="GBP",E1252*$C$3,IF(C1252="TRY",E1252/$C$1,IF(C1252="EUR",E1252*$E$1,IF(C1252="RUB",E1252/#REF!,IF(C1252="EGP",E1252/$E$2,E1252)))))</f>
        <v>0</v>
      </c>
      <c r="G1252" s="15" t="str">
        <f>VLOOKUP(B1252,SPECIFICATIONF!$C$2:$D$65,2,0)</f>
        <v>GLOBAL RETAIL</v>
      </c>
      <c r="H1252" s="12">
        <f t="shared" si="48"/>
        <v>7</v>
      </c>
      <c r="I1252" s="12">
        <f t="shared" si="49"/>
        <v>2025</v>
      </c>
    </row>
    <row r="1253" spans="1:9" ht="19.5" customHeight="1" x14ac:dyDescent="0.35">
      <c r="A1253" s="41">
        <v>45857</v>
      </c>
      <c r="B1253" s="8" t="s">
        <v>24</v>
      </c>
      <c r="C1253" s="42" t="s">
        <v>11</v>
      </c>
      <c r="D1253" s="43" t="s">
        <v>29</v>
      </c>
      <c r="E1253" s="46">
        <v>0</v>
      </c>
      <c r="F1253" s="2">
        <f>IF(C1253="GBP",E1253*$C$3,IF(C1253="TRY",E1253/$C$1,IF(C1253="EUR",E1253*$E$1,IF(C1253="RUB",E1253/#REF!,IF(C1253="EGP",E1253/$E$2,E1253)))))</f>
        <v>0</v>
      </c>
      <c r="G1253" s="15" t="str">
        <f>VLOOKUP(B1253,SPECIFICATIONF!$C$2:$D$65,2,0)</f>
        <v>GLOBAL RETAIL</v>
      </c>
      <c r="H1253" s="12">
        <f t="shared" si="48"/>
        <v>7</v>
      </c>
      <c r="I1253" s="12">
        <f t="shared" si="49"/>
        <v>2025</v>
      </c>
    </row>
    <row r="1254" spans="1:9" ht="19.5" customHeight="1" x14ac:dyDescent="0.35">
      <c r="A1254" s="41">
        <v>45857</v>
      </c>
      <c r="B1254" s="8" t="s">
        <v>24</v>
      </c>
      <c r="C1254" s="42" t="s">
        <v>33</v>
      </c>
      <c r="D1254" s="43" t="s">
        <v>29</v>
      </c>
      <c r="E1254" s="46">
        <v>0</v>
      </c>
      <c r="F1254" s="2">
        <f>IF(C1254="GBP",E1254*$C$3,IF(C1254="TRY",E1254/$C$1,IF(C1254="EUR",E1254*$E$1,IF(C1254="RUB",E1254/#REF!,IF(C1254="EGP",E1254/$E$2,E1254)))))</f>
        <v>0</v>
      </c>
      <c r="G1254" s="15" t="str">
        <f>VLOOKUP(B1254,SPECIFICATIONF!$C$2:$D$65,2,0)</f>
        <v>GLOBAL RETAIL</v>
      </c>
      <c r="H1254" s="12">
        <f t="shared" ref="H1254:H1317" si="50">MONTH(A1254)</f>
        <v>7</v>
      </c>
      <c r="I1254" s="12">
        <f t="shared" ref="I1254:I1317" si="51">YEAR(A1254)</f>
        <v>2025</v>
      </c>
    </row>
    <row r="1255" spans="1:9" ht="19.5" customHeight="1" x14ac:dyDescent="0.35">
      <c r="A1255" s="41">
        <v>45858</v>
      </c>
      <c r="B1255" s="8" t="s">
        <v>32</v>
      </c>
      <c r="C1255" s="42" t="s">
        <v>11</v>
      </c>
      <c r="D1255" s="43" t="s">
        <v>30</v>
      </c>
      <c r="E1255" s="46">
        <v>3756114.59</v>
      </c>
      <c r="F1255" s="2">
        <f>IF(C1255="GBP",E1255*$C$3,IF(C1255="TRY",E1255/$C$1,IF(C1255="EUR",E1255*$E$1,IF(C1255="RUB",E1255/#REF!,IF(C1255="EGP",E1255/$E$2,E1255)))))</f>
        <v>103000.6551146382</v>
      </c>
      <c r="G1255" s="15" t="str">
        <f>VLOOKUP(B1255,SPECIFICATIONF!$C$2:$D$65,2,0)</f>
        <v>GLOBAL HFT</v>
      </c>
      <c r="H1255" s="12">
        <f t="shared" si="50"/>
        <v>7</v>
      </c>
      <c r="I1255" s="12">
        <f t="shared" si="51"/>
        <v>2025</v>
      </c>
    </row>
    <row r="1256" spans="1:9" ht="19.5" customHeight="1" x14ac:dyDescent="0.35">
      <c r="A1256" s="41">
        <v>45858</v>
      </c>
      <c r="B1256" s="8" t="s">
        <v>32</v>
      </c>
      <c r="C1256" s="42" t="s">
        <v>33</v>
      </c>
      <c r="D1256" s="43" t="s">
        <v>30</v>
      </c>
      <c r="E1256" s="46">
        <v>24805.79</v>
      </c>
      <c r="F1256" s="2">
        <f>IF(C1256="GBP",E1256*$C$3,IF(C1256="TRY",E1256/$C$1,IF(C1256="EUR",E1256*$E$1,IF(C1256="RUB",E1256/#REF!,IF(C1256="EGP",E1256/$E$2,E1256)))))</f>
        <v>24805.79</v>
      </c>
      <c r="G1256" s="15" t="str">
        <f>VLOOKUP(B1256,SPECIFICATIONF!$C$2:$D$65,2,0)</f>
        <v>GLOBAL HFT</v>
      </c>
      <c r="H1256" s="12">
        <f t="shared" si="50"/>
        <v>7</v>
      </c>
      <c r="I1256" s="12">
        <f t="shared" si="51"/>
        <v>2025</v>
      </c>
    </row>
    <row r="1257" spans="1:9" ht="19.5" customHeight="1" x14ac:dyDescent="0.35">
      <c r="A1257" s="41">
        <v>45858</v>
      </c>
      <c r="B1257" s="8" t="s">
        <v>32</v>
      </c>
      <c r="C1257" s="42" t="s">
        <v>11</v>
      </c>
      <c r="D1257" s="43" t="s">
        <v>29</v>
      </c>
      <c r="E1257" s="46">
        <v>13584273593</v>
      </c>
      <c r="F1257" s="2">
        <f>IF(C1257="GBP",E1257*$C$3,IF(C1257="TRY",E1257/$C$1,IF(C1257="EUR",E1257*$E$1,IF(C1257="RUB",E1257/#REF!,IF(C1257="EGP",E1257/$E$2,E1257)))))</f>
        <v>372509689.41697812</v>
      </c>
      <c r="G1257" s="15" t="str">
        <f>VLOOKUP(B1257,SPECIFICATIONF!$C$2:$D$65,2,0)</f>
        <v>GLOBAL HFT</v>
      </c>
      <c r="H1257" s="12">
        <f t="shared" si="50"/>
        <v>7</v>
      </c>
      <c r="I1257" s="12">
        <f t="shared" si="51"/>
        <v>2025</v>
      </c>
    </row>
    <row r="1258" spans="1:9" ht="19.5" customHeight="1" x14ac:dyDescent="0.35">
      <c r="A1258" s="41">
        <v>45858</v>
      </c>
      <c r="B1258" s="8" t="s">
        <v>32</v>
      </c>
      <c r="C1258" s="42" t="s">
        <v>33</v>
      </c>
      <c r="D1258" s="43" t="s">
        <v>29</v>
      </c>
      <c r="E1258" s="46">
        <v>88746276</v>
      </c>
      <c r="F1258" s="2">
        <f>IF(C1258="GBP",E1258*$C$3,IF(C1258="TRY",E1258/$C$1,IF(C1258="EUR",E1258*$E$1,IF(C1258="RUB",E1258/#REF!,IF(C1258="EGP",E1258/$E$2,E1258)))))</f>
        <v>88746276</v>
      </c>
      <c r="G1258" s="15" t="str">
        <f>VLOOKUP(B1258,SPECIFICATIONF!$C$2:$D$65,2,0)</f>
        <v>GLOBAL HFT</v>
      </c>
      <c r="H1258" s="12">
        <f t="shared" si="50"/>
        <v>7</v>
      </c>
      <c r="I1258" s="12">
        <f t="shared" si="51"/>
        <v>2025</v>
      </c>
    </row>
    <row r="1259" spans="1:9" ht="19.5" customHeight="1" x14ac:dyDescent="0.35">
      <c r="A1259" s="41">
        <v>45858</v>
      </c>
      <c r="B1259" s="8" t="s">
        <v>24</v>
      </c>
      <c r="C1259" s="42" t="s">
        <v>11</v>
      </c>
      <c r="D1259" s="43" t="s">
        <v>30</v>
      </c>
      <c r="E1259" s="46">
        <v>0</v>
      </c>
      <c r="F1259" s="2">
        <f>IF(C1259="GBP",E1259*$C$3,IF(C1259="TRY",E1259/$C$1,IF(C1259="EUR",E1259*$E$1,IF(C1259="RUB",E1259/#REF!,IF(C1259="EGP",E1259/$E$2,E1259)))))</f>
        <v>0</v>
      </c>
      <c r="G1259" s="15" t="str">
        <f>VLOOKUP(B1259,SPECIFICATIONF!$C$2:$D$65,2,0)</f>
        <v>GLOBAL RETAIL</v>
      </c>
      <c r="H1259" s="12">
        <f t="shared" si="50"/>
        <v>7</v>
      </c>
      <c r="I1259" s="12">
        <f t="shared" si="51"/>
        <v>2025</v>
      </c>
    </row>
    <row r="1260" spans="1:9" ht="19.5" customHeight="1" x14ac:dyDescent="0.35">
      <c r="A1260" s="41">
        <v>45858</v>
      </c>
      <c r="B1260" s="8" t="s">
        <v>24</v>
      </c>
      <c r="C1260" s="42" t="s">
        <v>33</v>
      </c>
      <c r="D1260" s="43" t="s">
        <v>30</v>
      </c>
      <c r="E1260" s="46">
        <v>0</v>
      </c>
      <c r="F1260" s="2">
        <f>IF(C1260="GBP",E1260*$C$3,IF(C1260="TRY",E1260/$C$1,IF(C1260="EUR",E1260*$E$1,IF(C1260="RUB",E1260/#REF!,IF(C1260="EGP",E1260/$E$2,E1260)))))</f>
        <v>0</v>
      </c>
      <c r="G1260" s="15" t="str">
        <f>VLOOKUP(B1260,SPECIFICATIONF!$C$2:$D$65,2,0)</f>
        <v>GLOBAL RETAIL</v>
      </c>
      <c r="H1260" s="12">
        <f t="shared" si="50"/>
        <v>7</v>
      </c>
      <c r="I1260" s="12">
        <f t="shared" si="51"/>
        <v>2025</v>
      </c>
    </row>
    <row r="1261" spans="1:9" ht="19.5" customHeight="1" x14ac:dyDescent="0.35">
      <c r="A1261" s="41">
        <v>45858</v>
      </c>
      <c r="B1261" s="8" t="s">
        <v>24</v>
      </c>
      <c r="C1261" s="42" t="s">
        <v>11</v>
      </c>
      <c r="D1261" s="43" t="s">
        <v>29</v>
      </c>
      <c r="E1261" s="46">
        <v>0</v>
      </c>
      <c r="F1261" s="2">
        <f>IF(C1261="GBP",E1261*$C$3,IF(C1261="TRY",E1261/$C$1,IF(C1261="EUR",E1261*$E$1,IF(C1261="RUB",E1261/#REF!,IF(C1261="EGP",E1261/$E$2,E1261)))))</f>
        <v>0</v>
      </c>
      <c r="G1261" s="15" t="str">
        <f>VLOOKUP(B1261,SPECIFICATIONF!$C$2:$D$65,2,0)</f>
        <v>GLOBAL RETAIL</v>
      </c>
      <c r="H1261" s="12">
        <f t="shared" si="50"/>
        <v>7</v>
      </c>
      <c r="I1261" s="12">
        <f t="shared" si="51"/>
        <v>2025</v>
      </c>
    </row>
    <row r="1262" spans="1:9" ht="19.5" customHeight="1" x14ac:dyDescent="0.35">
      <c r="A1262" s="41">
        <v>45858</v>
      </c>
      <c r="B1262" s="8" t="s">
        <v>24</v>
      </c>
      <c r="C1262" s="42" t="s">
        <v>33</v>
      </c>
      <c r="D1262" s="43" t="s">
        <v>29</v>
      </c>
      <c r="E1262" s="46">
        <v>0</v>
      </c>
      <c r="F1262" s="2">
        <f>IF(C1262="GBP",E1262*$C$3,IF(C1262="TRY",E1262/$C$1,IF(C1262="EUR",E1262*$E$1,IF(C1262="RUB",E1262/#REF!,IF(C1262="EGP",E1262/$E$2,E1262)))))</f>
        <v>0</v>
      </c>
      <c r="G1262" s="15" t="str">
        <f>VLOOKUP(B1262,SPECIFICATIONF!$C$2:$D$65,2,0)</f>
        <v>GLOBAL RETAIL</v>
      </c>
      <c r="H1262" s="12">
        <f t="shared" si="50"/>
        <v>7</v>
      </c>
      <c r="I1262" s="12">
        <f t="shared" si="51"/>
        <v>2025</v>
      </c>
    </row>
    <row r="1263" spans="1:9" ht="19.5" customHeight="1" x14ac:dyDescent="0.35">
      <c r="A1263" s="41">
        <v>45859</v>
      </c>
      <c r="B1263" s="8" t="s">
        <v>32</v>
      </c>
      <c r="C1263" s="42" t="s">
        <v>11</v>
      </c>
      <c r="D1263" s="43" t="s">
        <v>30</v>
      </c>
      <c r="E1263" s="46">
        <v>4980978.87</v>
      </c>
      <c r="F1263" s="2">
        <f>IF(C1263="GBP",E1263*$C$3,IF(C1263="TRY",E1263/$C$1,IF(C1263="EUR",E1263*$E$1,IF(C1263="RUB",E1263/#REF!,IF(C1263="EGP",E1263/$E$2,E1263)))))</f>
        <v>136589.04019809744</v>
      </c>
      <c r="G1263" s="15" t="str">
        <f>VLOOKUP(B1263,SPECIFICATIONF!$C$2:$D$65,2,0)</f>
        <v>GLOBAL HFT</v>
      </c>
      <c r="H1263" s="12">
        <f t="shared" si="50"/>
        <v>7</v>
      </c>
      <c r="I1263" s="12">
        <f t="shared" si="51"/>
        <v>2025</v>
      </c>
    </row>
    <row r="1264" spans="1:9" ht="19.5" customHeight="1" x14ac:dyDescent="0.35">
      <c r="A1264" s="41">
        <v>45859</v>
      </c>
      <c r="B1264" s="8" t="s">
        <v>32</v>
      </c>
      <c r="C1264" s="42" t="s">
        <v>33</v>
      </c>
      <c r="D1264" s="43" t="s">
        <v>30</v>
      </c>
      <c r="E1264" s="46">
        <v>31588.2</v>
      </c>
      <c r="F1264" s="2">
        <f>IF(C1264="GBP",E1264*$C$3,IF(C1264="TRY",E1264/$C$1,IF(C1264="EUR",E1264*$E$1,IF(C1264="RUB",E1264/#REF!,IF(C1264="EGP",E1264/$E$2,E1264)))))</f>
        <v>31588.2</v>
      </c>
      <c r="G1264" s="15" t="str">
        <f>VLOOKUP(B1264,SPECIFICATIONF!$C$2:$D$65,2,0)</f>
        <v>GLOBAL HFT</v>
      </c>
      <c r="H1264" s="12">
        <f t="shared" si="50"/>
        <v>7</v>
      </c>
      <c r="I1264" s="12">
        <f t="shared" si="51"/>
        <v>2025</v>
      </c>
    </row>
    <row r="1265" spans="1:9" ht="19.5" customHeight="1" x14ac:dyDescent="0.35">
      <c r="A1265" s="41">
        <v>45859</v>
      </c>
      <c r="B1265" s="8" t="s">
        <v>32</v>
      </c>
      <c r="C1265" s="42" t="s">
        <v>11</v>
      </c>
      <c r="D1265" s="43" t="s">
        <v>29</v>
      </c>
      <c r="E1265" s="46">
        <v>18407800413</v>
      </c>
      <c r="F1265" s="2">
        <f>IF(C1265="GBP",E1265*$C$3,IF(C1265="TRY",E1265/$C$1,IF(C1265="EUR",E1265*$E$1,IF(C1265="RUB",E1265/#REF!,IF(C1265="EGP",E1265/$E$2,E1265)))))</f>
        <v>504781059.34422719</v>
      </c>
      <c r="G1265" s="15" t="str">
        <f>VLOOKUP(B1265,SPECIFICATIONF!$C$2:$D$65,2,0)</f>
        <v>GLOBAL HFT</v>
      </c>
      <c r="H1265" s="12">
        <f t="shared" si="50"/>
        <v>7</v>
      </c>
      <c r="I1265" s="12">
        <f t="shared" si="51"/>
        <v>2025</v>
      </c>
    </row>
    <row r="1266" spans="1:9" ht="19.5" customHeight="1" x14ac:dyDescent="0.35">
      <c r="A1266" s="41">
        <v>45859</v>
      </c>
      <c r="B1266" s="8" t="s">
        <v>32</v>
      </c>
      <c r="C1266" s="42" t="s">
        <v>33</v>
      </c>
      <c r="D1266" s="43" t="s">
        <v>29</v>
      </c>
      <c r="E1266" s="46">
        <v>116466751</v>
      </c>
      <c r="F1266" s="2">
        <f>IF(C1266="GBP",E1266*$C$3,IF(C1266="TRY",E1266/$C$1,IF(C1266="EUR",E1266*$E$1,IF(C1266="RUB",E1266/#REF!,IF(C1266="EGP",E1266/$E$2,E1266)))))</f>
        <v>116466751</v>
      </c>
      <c r="G1266" s="15" t="str">
        <f>VLOOKUP(B1266,SPECIFICATIONF!$C$2:$D$65,2,0)</f>
        <v>GLOBAL HFT</v>
      </c>
      <c r="H1266" s="12">
        <f t="shared" si="50"/>
        <v>7</v>
      </c>
      <c r="I1266" s="12">
        <f t="shared" si="51"/>
        <v>2025</v>
      </c>
    </row>
    <row r="1267" spans="1:9" ht="19.5" customHeight="1" x14ac:dyDescent="0.35">
      <c r="A1267" s="41">
        <v>45859</v>
      </c>
      <c r="B1267" s="8" t="s">
        <v>24</v>
      </c>
      <c r="C1267" s="42" t="s">
        <v>11</v>
      </c>
      <c r="D1267" s="43" t="s">
        <v>30</v>
      </c>
      <c r="E1267" s="46">
        <v>0</v>
      </c>
      <c r="F1267" s="2">
        <f>IF(C1267="GBP",E1267*$C$3,IF(C1267="TRY",E1267/$C$1,IF(C1267="EUR",E1267*$E$1,IF(C1267="RUB",E1267/#REF!,IF(C1267="EGP",E1267/$E$2,E1267)))))</f>
        <v>0</v>
      </c>
      <c r="G1267" s="15" t="str">
        <f>VLOOKUP(B1267,SPECIFICATIONF!$C$2:$D$65,2,0)</f>
        <v>GLOBAL RETAIL</v>
      </c>
      <c r="H1267" s="12">
        <f t="shared" si="50"/>
        <v>7</v>
      </c>
      <c r="I1267" s="12">
        <f t="shared" si="51"/>
        <v>2025</v>
      </c>
    </row>
    <row r="1268" spans="1:9" ht="19.5" customHeight="1" x14ac:dyDescent="0.35">
      <c r="A1268" s="41">
        <v>45859</v>
      </c>
      <c r="B1268" s="8" t="s">
        <v>24</v>
      </c>
      <c r="C1268" s="42" t="s">
        <v>33</v>
      </c>
      <c r="D1268" s="43" t="s">
        <v>30</v>
      </c>
      <c r="E1268" s="46">
        <v>0</v>
      </c>
      <c r="F1268" s="2">
        <f>IF(C1268="GBP",E1268*$C$3,IF(C1268="TRY",E1268/$C$1,IF(C1268="EUR",E1268*$E$1,IF(C1268="RUB",E1268/#REF!,IF(C1268="EGP",E1268/$E$2,E1268)))))</f>
        <v>0</v>
      </c>
      <c r="G1268" s="15" t="str">
        <f>VLOOKUP(B1268,SPECIFICATIONF!$C$2:$D$65,2,0)</f>
        <v>GLOBAL RETAIL</v>
      </c>
      <c r="H1268" s="12">
        <f t="shared" si="50"/>
        <v>7</v>
      </c>
      <c r="I1268" s="12">
        <f t="shared" si="51"/>
        <v>2025</v>
      </c>
    </row>
    <row r="1269" spans="1:9" ht="19.5" customHeight="1" x14ac:dyDescent="0.35">
      <c r="A1269" s="41">
        <v>45859</v>
      </c>
      <c r="B1269" s="8" t="s">
        <v>24</v>
      </c>
      <c r="C1269" s="42" t="s">
        <v>11</v>
      </c>
      <c r="D1269" s="43" t="s">
        <v>29</v>
      </c>
      <c r="E1269" s="46">
        <v>0</v>
      </c>
      <c r="F1269" s="2">
        <f>IF(C1269="GBP",E1269*$C$3,IF(C1269="TRY",E1269/$C$1,IF(C1269="EUR",E1269*$E$1,IF(C1269="RUB",E1269/#REF!,IF(C1269="EGP",E1269/$E$2,E1269)))))</f>
        <v>0</v>
      </c>
      <c r="G1269" s="15" t="str">
        <f>VLOOKUP(B1269,SPECIFICATIONF!$C$2:$D$65,2,0)</f>
        <v>GLOBAL RETAIL</v>
      </c>
      <c r="H1269" s="12">
        <f t="shared" si="50"/>
        <v>7</v>
      </c>
      <c r="I1269" s="12">
        <f t="shared" si="51"/>
        <v>2025</v>
      </c>
    </row>
    <row r="1270" spans="1:9" ht="19.5" customHeight="1" x14ac:dyDescent="0.35">
      <c r="A1270" s="41">
        <v>45859</v>
      </c>
      <c r="B1270" s="8" t="s">
        <v>24</v>
      </c>
      <c r="C1270" s="42" t="s">
        <v>33</v>
      </c>
      <c r="D1270" s="43" t="s">
        <v>29</v>
      </c>
      <c r="E1270" s="46">
        <v>0</v>
      </c>
      <c r="F1270" s="2">
        <f>IF(C1270="GBP",E1270*$C$3,IF(C1270="TRY",E1270/$C$1,IF(C1270="EUR",E1270*$E$1,IF(C1270="RUB",E1270/#REF!,IF(C1270="EGP",E1270/$E$2,E1270)))))</f>
        <v>0</v>
      </c>
      <c r="G1270" s="15" t="str">
        <f>VLOOKUP(B1270,SPECIFICATIONF!$C$2:$D$65,2,0)</f>
        <v>GLOBAL RETAIL</v>
      </c>
      <c r="H1270" s="12">
        <f t="shared" si="50"/>
        <v>7</v>
      </c>
      <c r="I1270" s="12">
        <f t="shared" si="51"/>
        <v>2025</v>
      </c>
    </row>
    <row r="1271" spans="1:9" ht="19.5" customHeight="1" x14ac:dyDescent="0.35">
      <c r="A1271" s="41">
        <v>45860</v>
      </c>
      <c r="B1271" s="8" t="s">
        <v>32</v>
      </c>
      <c r="C1271" s="42" t="s">
        <v>11</v>
      </c>
      <c r="D1271" s="43" t="s">
        <v>30</v>
      </c>
      <c r="E1271" s="46">
        <v>3357649.32</v>
      </c>
      <c r="F1271" s="2">
        <f>IF(C1271="GBP",E1271*$C$3,IF(C1271="TRY",E1271/$C$1,IF(C1271="EUR",E1271*$E$1,IF(C1271="RUB",E1271/#REF!,IF(C1271="EGP",E1271/$E$2,E1271)))))</f>
        <v>92073.889472370822</v>
      </c>
      <c r="G1271" s="15" t="str">
        <f>VLOOKUP(B1271,SPECIFICATIONF!$C$2:$D$65,2,0)</f>
        <v>GLOBAL HFT</v>
      </c>
      <c r="H1271" s="12">
        <f t="shared" si="50"/>
        <v>7</v>
      </c>
      <c r="I1271" s="12">
        <f t="shared" si="51"/>
        <v>2025</v>
      </c>
    </row>
    <row r="1272" spans="1:9" ht="19.5" customHeight="1" x14ac:dyDescent="0.35">
      <c r="A1272" s="41">
        <v>45860</v>
      </c>
      <c r="B1272" s="8" t="s">
        <v>32</v>
      </c>
      <c r="C1272" s="42" t="s">
        <v>33</v>
      </c>
      <c r="D1272" s="43" t="s">
        <v>30</v>
      </c>
      <c r="E1272" s="46">
        <v>23057.17</v>
      </c>
      <c r="F1272" s="2">
        <f>IF(C1272="GBP",E1272*$C$3,IF(C1272="TRY",E1272/$C$1,IF(C1272="EUR",E1272*$E$1,IF(C1272="RUB",E1272/#REF!,IF(C1272="EGP",E1272/$E$2,E1272)))))</f>
        <v>23057.17</v>
      </c>
      <c r="G1272" s="15" t="str">
        <f>VLOOKUP(B1272,SPECIFICATIONF!$C$2:$D$65,2,0)</f>
        <v>GLOBAL HFT</v>
      </c>
      <c r="H1272" s="12">
        <f t="shared" si="50"/>
        <v>7</v>
      </c>
      <c r="I1272" s="12">
        <f t="shared" si="51"/>
        <v>2025</v>
      </c>
    </row>
    <row r="1273" spans="1:9" ht="19.5" customHeight="1" x14ac:dyDescent="0.35">
      <c r="A1273" s="41">
        <v>45860</v>
      </c>
      <c r="B1273" s="8" t="s">
        <v>32</v>
      </c>
      <c r="C1273" s="42" t="s">
        <v>11</v>
      </c>
      <c r="D1273" s="43" t="s">
        <v>29</v>
      </c>
      <c r="E1273" s="46">
        <v>12561949638</v>
      </c>
      <c r="F1273" s="2">
        <f>IF(C1273="GBP",E1273*$C$3,IF(C1273="TRY",E1273/$C$1,IF(C1273="EUR",E1273*$E$1,IF(C1273="RUB",E1273/#REF!,IF(C1273="EGP",E1273/$E$2,E1273)))))</f>
        <v>344475391.05325651</v>
      </c>
      <c r="G1273" s="15" t="str">
        <f>VLOOKUP(B1273,SPECIFICATIONF!$C$2:$D$65,2,0)</f>
        <v>GLOBAL HFT</v>
      </c>
      <c r="H1273" s="12">
        <f t="shared" si="50"/>
        <v>7</v>
      </c>
      <c r="I1273" s="12">
        <f t="shared" si="51"/>
        <v>2025</v>
      </c>
    </row>
    <row r="1274" spans="1:9" ht="19.5" customHeight="1" x14ac:dyDescent="0.35">
      <c r="A1274" s="41">
        <v>45860</v>
      </c>
      <c r="B1274" s="8" t="s">
        <v>32</v>
      </c>
      <c r="C1274" s="42" t="s">
        <v>33</v>
      </c>
      <c r="D1274" s="43" t="s">
        <v>29</v>
      </c>
      <c r="E1274" s="46">
        <v>84052786</v>
      </c>
      <c r="F1274" s="2">
        <f>IF(C1274="GBP",E1274*$C$3,IF(C1274="TRY",E1274/$C$1,IF(C1274="EUR",E1274*$E$1,IF(C1274="RUB",E1274/#REF!,IF(C1274="EGP",E1274/$E$2,E1274)))))</f>
        <v>84052786</v>
      </c>
      <c r="G1274" s="15" t="str">
        <f>VLOOKUP(B1274,SPECIFICATIONF!$C$2:$D$65,2,0)</f>
        <v>GLOBAL HFT</v>
      </c>
      <c r="H1274" s="12">
        <f t="shared" si="50"/>
        <v>7</v>
      </c>
      <c r="I1274" s="12">
        <f t="shared" si="51"/>
        <v>2025</v>
      </c>
    </row>
    <row r="1275" spans="1:9" ht="19.5" customHeight="1" x14ac:dyDescent="0.35">
      <c r="A1275" s="41">
        <v>45860</v>
      </c>
      <c r="B1275" s="8" t="s">
        <v>24</v>
      </c>
      <c r="C1275" s="42" t="s">
        <v>11</v>
      </c>
      <c r="D1275" s="43" t="s">
        <v>30</v>
      </c>
      <c r="E1275" s="46">
        <v>0</v>
      </c>
      <c r="F1275" s="2">
        <f>IF(C1275="GBP",E1275*$C$3,IF(C1275="TRY",E1275/$C$1,IF(C1275="EUR",E1275*$E$1,IF(C1275="RUB",E1275/#REF!,IF(C1275="EGP",E1275/$E$2,E1275)))))</f>
        <v>0</v>
      </c>
      <c r="G1275" s="15" t="str">
        <f>VLOOKUP(B1275,SPECIFICATIONF!$C$2:$D$65,2,0)</f>
        <v>GLOBAL RETAIL</v>
      </c>
      <c r="H1275" s="12">
        <f t="shared" si="50"/>
        <v>7</v>
      </c>
      <c r="I1275" s="12">
        <f t="shared" si="51"/>
        <v>2025</v>
      </c>
    </row>
    <row r="1276" spans="1:9" ht="19.5" customHeight="1" x14ac:dyDescent="0.35">
      <c r="A1276" s="41">
        <v>45860</v>
      </c>
      <c r="B1276" s="8" t="s">
        <v>24</v>
      </c>
      <c r="C1276" s="42" t="s">
        <v>33</v>
      </c>
      <c r="D1276" s="43" t="s">
        <v>30</v>
      </c>
      <c r="E1276" s="46">
        <v>0</v>
      </c>
      <c r="F1276" s="2">
        <f>IF(C1276="GBP",E1276*$C$3,IF(C1276="TRY",E1276/$C$1,IF(C1276="EUR",E1276*$E$1,IF(C1276="RUB",E1276/#REF!,IF(C1276="EGP",E1276/$E$2,E1276)))))</f>
        <v>0</v>
      </c>
      <c r="G1276" s="15" t="str">
        <f>VLOOKUP(B1276,SPECIFICATIONF!$C$2:$D$65,2,0)</f>
        <v>GLOBAL RETAIL</v>
      </c>
      <c r="H1276" s="12">
        <f t="shared" si="50"/>
        <v>7</v>
      </c>
      <c r="I1276" s="12">
        <f t="shared" si="51"/>
        <v>2025</v>
      </c>
    </row>
    <row r="1277" spans="1:9" ht="19.5" customHeight="1" x14ac:dyDescent="0.35">
      <c r="A1277" s="41">
        <v>45860</v>
      </c>
      <c r="B1277" s="8" t="s">
        <v>24</v>
      </c>
      <c r="C1277" s="42" t="s">
        <v>11</v>
      </c>
      <c r="D1277" s="43" t="s">
        <v>29</v>
      </c>
      <c r="E1277" s="46">
        <v>0</v>
      </c>
      <c r="F1277" s="2">
        <f>IF(C1277="GBP",E1277*$C$3,IF(C1277="TRY",E1277/$C$1,IF(C1277="EUR",E1277*$E$1,IF(C1277="RUB",E1277/#REF!,IF(C1277="EGP",E1277/$E$2,E1277)))))</f>
        <v>0</v>
      </c>
      <c r="G1277" s="15" t="str">
        <f>VLOOKUP(B1277,SPECIFICATIONF!$C$2:$D$65,2,0)</f>
        <v>GLOBAL RETAIL</v>
      </c>
      <c r="H1277" s="12">
        <f t="shared" si="50"/>
        <v>7</v>
      </c>
      <c r="I1277" s="12">
        <f t="shared" si="51"/>
        <v>2025</v>
      </c>
    </row>
    <row r="1278" spans="1:9" ht="19.5" customHeight="1" x14ac:dyDescent="0.35">
      <c r="A1278" s="41">
        <v>45860</v>
      </c>
      <c r="B1278" s="8" t="s">
        <v>24</v>
      </c>
      <c r="C1278" s="42" t="s">
        <v>33</v>
      </c>
      <c r="D1278" s="43" t="s">
        <v>29</v>
      </c>
      <c r="E1278" s="46">
        <v>0</v>
      </c>
      <c r="F1278" s="2">
        <f>IF(C1278="GBP",E1278*$C$3,IF(C1278="TRY",E1278/$C$1,IF(C1278="EUR",E1278*$E$1,IF(C1278="RUB",E1278/#REF!,IF(C1278="EGP",E1278/$E$2,E1278)))))</f>
        <v>0</v>
      </c>
      <c r="G1278" s="15" t="str">
        <f>VLOOKUP(B1278,SPECIFICATIONF!$C$2:$D$65,2,0)</f>
        <v>GLOBAL RETAIL</v>
      </c>
      <c r="H1278" s="12">
        <f t="shared" si="50"/>
        <v>7</v>
      </c>
      <c r="I1278" s="12">
        <f t="shared" si="51"/>
        <v>2025</v>
      </c>
    </row>
    <row r="1279" spans="1:9" ht="19.5" customHeight="1" x14ac:dyDescent="0.35">
      <c r="A1279" s="41">
        <v>45861</v>
      </c>
      <c r="B1279" s="8" t="s">
        <v>32</v>
      </c>
      <c r="C1279" s="42" t="s">
        <v>11</v>
      </c>
      <c r="D1279" s="43" t="s">
        <v>30</v>
      </c>
      <c r="E1279" s="46">
        <v>2956672.51</v>
      </c>
      <c r="F1279" s="2">
        <f>IF(C1279="GBP",E1279*$C$3,IF(C1279="TRY",E1279/$C$1,IF(C1279="EUR",E1279*$E$1,IF(C1279="RUB",E1279/#REF!,IF(C1279="EGP",E1279/$E$2,E1279)))))</f>
        <v>81078.252058716243</v>
      </c>
      <c r="G1279" s="15" t="str">
        <f>VLOOKUP(B1279,SPECIFICATIONF!$C$2:$D$65,2,0)</f>
        <v>GLOBAL HFT</v>
      </c>
      <c r="H1279" s="12">
        <f t="shared" si="50"/>
        <v>7</v>
      </c>
      <c r="I1279" s="12">
        <f t="shared" si="51"/>
        <v>2025</v>
      </c>
    </row>
    <row r="1280" spans="1:9" ht="19.5" customHeight="1" x14ac:dyDescent="0.35">
      <c r="A1280" s="41">
        <v>45861</v>
      </c>
      <c r="B1280" s="8" t="s">
        <v>32</v>
      </c>
      <c r="C1280" s="42" t="s">
        <v>33</v>
      </c>
      <c r="D1280" s="43" t="s">
        <v>30</v>
      </c>
      <c r="E1280" s="46">
        <v>21581.74</v>
      </c>
      <c r="F1280" s="2">
        <f>IF(C1280="GBP",E1280*$C$3,IF(C1280="TRY",E1280/$C$1,IF(C1280="EUR",E1280*$E$1,IF(C1280="RUB",E1280/#REF!,IF(C1280="EGP",E1280/$E$2,E1280)))))</f>
        <v>21581.74</v>
      </c>
      <c r="G1280" s="15" t="str">
        <f>VLOOKUP(B1280,SPECIFICATIONF!$C$2:$D$65,2,0)</f>
        <v>GLOBAL HFT</v>
      </c>
      <c r="H1280" s="12">
        <f t="shared" si="50"/>
        <v>7</v>
      </c>
      <c r="I1280" s="12">
        <f t="shared" si="51"/>
        <v>2025</v>
      </c>
    </row>
    <row r="1281" spans="1:9" ht="19.5" customHeight="1" x14ac:dyDescent="0.35">
      <c r="A1281" s="41">
        <v>45861</v>
      </c>
      <c r="B1281" s="8" t="s">
        <v>32</v>
      </c>
      <c r="C1281" s="42" t="s">
        <v>11</v>
      </c>
      <c r="D1281" s="43" t="s">
        <v>29</v>
      </c>
      <c r="E1281" s="46">
        <v>11298231765</v>
      </c>
      <c r="F1281" s="2">
        <f>IF(C1281="GBP",E1281*$C$3,IF(C1281="TRY",E1281/$C$1,IF(C1281="EUR",E1281*$E$1,IF(C1281="RUB",E1281/#REF!,IF(C1281="EGP",E1281/$E$2,E1281)))))</f>
        <v>309821557.76882595</v>
      </c>
      <c r="G1281" s="15" t="str">
        <f>VLOOKUP(B1281,SPECIFICATIONF!$C$2:$D$65,2,0)</f>
        <v>GLOBAL HFT</v>
      </c>
      <c r="H1281" s="12">
        <f t="shared" si="50"/>
        <v>7</v>
      </c>
      <c r="I1281" s="12">
        <f t="shared" si="51"/>
        <v>2025</v>
      </c>
    </row>
    <row r="1282" spans="1:9" ht="19.5" customHeight="1" x14ac:dyDescent="0.35">
      <c r="A1282" s="41">
        <v>45861</v>
      </c>
      <c r="B1282" s="8" t="s">
        <v>32</v>
      </c>
      <c r="C1282" s="42" t="s">
        <v>33</v>
      </c>
      <c r="D1282" s="43" t="s">
        <v>29</v>
      </c>
      <c r="E1282" s="46">
        <v>79140007</v>
      </c>
      <c r="F1282" s="2">
        <f>IF(C1282="GBP",E1282*$C$3,IF(C1282="TRY",E1282/$C$1,IF(C1282="EUR",E1282*$E$1,IF(C1282="RUB",E1282/#REF!,IF(C1282="EGP",E1282/$E$2,E1282)))))</f>
        <v>79140007</v>
      </c>
      <c r="G1282" s="15" t="str">
        <f>VLOOKUP(B1282,SPECIFICATIONF!$C$2:$D$65,2,0)</f>
        <v>GLOBAL HFT</v>
      </c>
      <c r="H1282" s="12">
        <f t="shared" si="50"/>
        <v>7</v>
      </c>
      <c r="I1282" s="12">
        <f t="shared" si="51"/>
        <v>2025</v>
      </c>
    </row>
    <row r="1283" spans="1:9" ht="19.5" customHeight="1" x14ac:dyDescent="0.35">
      <c r="A1283" s="41">
        <v>45861</v>
      </c>
      <c r="B1283" s="8" t="s">
        <v>24</v>
      </c>
      <c r="C1283" s="42" t="s">
        <v>11</v>
      </c>
      <c r="D1283" s="43" t="s">
        <v>30</v>
      </c>
      <c r="E1283" s="46">
        <v>0</v>
      </c>
      <c r="F1283" s="2">
        <f>IF(C1283="GBP",E1283*$C$3,IF(C1283="TRY",E1283/$C$1,IF(C1283="EUR",E1283*$E$1,IF(C1283="RUB",E1283/#REF!,IF(C1283="EGP",E1283/$E$2,E1283)))))</f>
        <v>0</v>
      </c>
      <c r="G1283" s="15" t="str">
        <f>VLOOKUP(B1283,SPECIFICATIONF!$C$2:$D$65,2,0)</f>
        <v>GLOBAL RETAIL</v>
      </c>
      <c r="H1283" s="12">
        <f t="shared" si="50"/>
        <v>7</v>
      </c>
      <c r="I1283" s="12">
        <f t="shared" si="51"/>
        <v>2025</v>
      </c>
    </row>
    <row r="1284" spans="1:9" ht="19.5" customHeight="1" x14ac:dyDescent="0.35">
      <c r="A1284" s="41">
        <v>45861</v>
      </c>
      <c r="B1284" s="8" t="s">
        <v>24</v>
      </c>
      <c r="C1284" s="42" t="s">
        <v>33</v>
      </c>
      <c r="D1284" s="43" t="s">
        <v>30</v>
      </c>
      <c r="E1284" s="46">
        <v>0</v>
      </c>
      <c r="F1284" s="2">
        <f>IF(C1284="GBP",E1284*$C$3,IF(C1284="TRY",E1284/$C$1,IF(C1284="EUR",E1284*$E$1,IF(C1284="RUB",E1284/#REF!,IF(C1284="EGP",E1284/$E$2,E1284)))))</f>
        <v>0</v>
      </c>
      <c r="G1284" s="15" t="str">
        <f>VLOOKUP(B1284,SPECIFICATIONF!$C$2:$D$65,2,0)</f>
        <v>GLOBAL RETAIL</v>
      </c>
      <c r="H1284" s="12">
        <f t="shared" si="50"/>
        <v>7</v>
      </c>
      <c r="I1284" s="12">
        <f t="shared" si="51"/>
        <v>2025</v>
      </c>
    </row>
    <row r="1285" spans="1:9" ht="19.5" customHeight="1" x14ac:dyDescent="0.35">
      <c r="A1285" s="41">
        <v>45861</v>
      </c>
      <c r="B1285" s="8" t="s">
        <v>24</v>
      </c>
      <c r="C1285" s="42" t="s">
        <v>11</v>
      </c>
      <c r="D1285" s="43" t="s">
        <v>29</v>
      </c>
      <c r="E1285" s="46">
        <v>0</v>
      </c>
      <c r="F1285" s="2">
        <f>IF(C1285="GBP",E1285*$C$3,IF(C1285="TRY",E1285/$C$1,IF(C1285="EUR",E1285*$E$1,IF(C1285="RUB",E1285/#REF!,IF(C1285="EGP",E1285/$E$2,E1285)))))</f>
        <v>0</v>
      </c>
      <c r="G1285" s="15" t="str">
        <f>VLOOKUP(B1285,SPECIFICATIONF!$C$2:$D$65,2,0)</f>
        <v>GLOBAL RETAIL</v>
      </c>
      <c r="H1285" s="12">
        <f t="shared" si="50"/>
        <v>7</v>
      </c>
      <c r="I1285" s="12">
        <f t="shared" si="51"/>
        <v>2025</v>
      </c>
    </row>
    <row r="1286" spans="1:9" ht="19.5" customHeight="1" x14ac:dyDescent="0.35">
      <c r="A1286" s="41">
        <v>45861</v>
      </c>
      <c r="B1286" s="8" t="s">
        <v>24</v>
      </c>
      <c r="C1286" s="42" t="s">
        <v>33</v>
      </c>
      <c r="D1286" s="43" t="s">
        <v>29</v>
      </c>
      <c r="E1286" s="46">
        <v>0</v>
      </c>
      <c r="F1286" s="2">
        <f>IF(C1286="GBP",E1286*$C$3,IF(C1286="TRY",E1286/$C$1,IF(C1286="EUR",E1286*$E$1,IF(C1286="RUB",E1286/#REF!,IF(C1286="EGP",E1286/$E$2,E1286)))))</f>
        <v>0</v>
      </c>
      <c r="G1286" s="15" t="str">
        <f>VLOOKUP(B1286,SPECIFICATIONF!$C$2:$D$65,2,0)</f>
        <v>GLOBAL RETAIL</v>
      </c>
      <c r="H1286" s="12">
        <f t="shared" si="50"/>
        <v>7</v>
      </c>
      <c r="I1286" s="12">
        <f t="shared" si="51"/>
        <v>2025</v>
      </c>
    </row>
    <row r="1287" spans="1:9" ht="19.5" customHeight="1" x14ac:dyDescent="0.35">
      <c r="A1287" s="41">
        <v>45862</v>
      </c>
      <c r="B1287" s="8" t="s">
        <v>32</v>
      </c>
      <c r="C1287" s="42" t="s">
        <v>11</v>
      </c>
      <c r="D1287" s="43" t="s">
        <v>30</v>
      </c>
      <c r="E1287" s="46">
        <v>2081070.16</v>
      </c>
      <c r="F1287" s="2">
        <f>IF(C1287="GBP",E1287*$C$3,IF(C1287="TRY",E1287/$C$1,IF(C1287="EUR",E1287*$E$1,IF(C1287="RUB",E1287/#REF!,IF(C1287="EGP",E1287/$E$2,E1287)))))</f>
        <v>57067.372329427504</v>
      </c>
      <c r="G1287" s="15" t="str">
        <f>VLOOKUP(B1287,SPECIFICATIONF!$C$2:$D$65,2,0)</f>
        <v>GLOBAL HFT</v>
      </c>
      <c r="H1287" s="12">
        <f t="shared" si="50"/>
        <v>7</v>
      </c>
      <c r="I1287" s="12">
        <f t="shared" si="51"/>
        <v>2025</v>
      </c>
    </row>
    <row r="1288" spans="1:9" ht="19.5" customHeight="1" x14ac:dyDescent="0.35">
      <c r="A1288" s="41">
        <v>45862</v>
      </c>
      <c r="B1288" s="8" t="s">
        <v>32</v>
      </c>
      <c r="C1288" s="42" t="s">
        <v>33</v>
      </c>
      <c r="D1288" s="43" t="s">
        <v>30</v>
      </c>
      <c r="E1288" s="46">
        <v>17409.939999999999</v>
      </c>
      <c r="F1288" s="2">
        <f>IF(C1288="GBP",E1288*$C$3,IF(C1288="TRY",E1288/$C$1,IF(C1288="EUR",E1288*$E$1,IF(C1288="RUB",E1288/#REF!,IF(C1288="EGP",E1288/$E$2,E1288)))))</f>
        <v>17409.939999999999</v>
      </c>
      <c r="G1288" s="15" t="str">
        <f>VLOOKUP(B1288,SPECIFICATIONF!$C$2:$D$65,2,0)</f>
        <v>GLOBAL HFT</v>
      </c>
      <c r="H1288" s="12">
        <f t="shared" si="50"/>
        <v>7</v>
      </c>
      <c r="I1288" s="12">
        <f t="shared" si="51"/>
        <v>2025</v>
      </c>
    </row>
    <row r="1289" spans="1:9" ht="19.5" customHeight="1" x14ac:dyDescent="0.35">
      <c r="A1289" s="41">
        <v>45862</v>
      </c>
      <c r="B1289" s="8" t="s">
        <v>32</v>
      </c>
      <c r="C1289" s="42" t="s">
        <v>11</v>
      </c>
      <c r="D1289" s="43" t="s">
        <v>29</v>
      </c>
      <c r="E1289" s="46">
        <v>8313526722</v>
      </c>
      <c r="F1289" s="2">
        <f>IF(C1289="GBP",E1289*$C$3,IF(C1289="TRY",E1289/$C$1,IF(C1289="EUR",E1289*$E$1,IF(C1289="RUB",E1289/#REF!,IF(C1289="EGP",E1289/$E$2,E1289)))))</f>
        <v>227974594.00168371</v>
      </c>
      <c r="G1289" s="15" t="str">
        <f>VLOOKUP(B1289,SPECIFICATIONF!$C$2:$D$65,2,0)</f>
        <v>GLOBAL HFT</v>
      </c>
      <c r="H1289" s="12">
        <f t="shared" si="50"/>
        <v>7</v>
      </c>
      <c r="I1289" s="12">
        <f t="shared" si="51"/>
        <v>2025</v>
      </c>
    </row>
    <row r="1290" spans="1:9" ht="19.5" customHeight="1" x14ac:dyDescent="0.35">
      <c r="A1290" s="41">
        <v>45862</v>
      </c>
      <c r="B1290" s="8" t="s">
        <v>32</v>
      </c>
      <c r="C1290" s="42" t="s">
        <v>33</v>
      </c>
      <c r="D1290" s="43" t="s">
        <v>29</v>
      </c>
      <c r="E1290" s="46">
        <v>67507658</v>
      </c>
      <c r="F1290" s="2">
        <f>IF(C1290="GBP",E1290*$C$3,IF(C1290="TRY",E1290/$C$1,IF(C1290="EUR",E1290*$E$1,IF(C1290="RUB",E1290/#REF!,IF(C1290="EGP",E1290/$E$2,E1290)))))</f>
        <v>67507658</v>
      </c>
      <c r="G1290" s="15" t="str">
        <f>VLOOKUP(B1290,SPECIFICATIONF!$C$2:$D$65,2,0)</f>
        <v>GLOBAL HFT</v>
      </c>
      <c r="H1290" s="12">
        <f t="shared" si="50"/>
        <v>7</v>
      </c>
      <c r="I1290" s="12">
        <f t="shared" si="51"/>
        <v>2025</v>
      </c>
    </row>
    <row r="1291" spans="1:9" ht="19.5" customHeight="1" x14ac:dyDescent="0.35">
      <c r="A1291" s="41">
        <v>45862</v>
      </c>
      <c r="B1291" s="8" t="s">
        <v>24</v>
      </c>
      <c r="C1291" s="42" t="s">
        <v>11</v>
      </c>
      <c r="D1291" s="43" t="s">
        <v>30</v>
      </c>
      <c r="E1291" s="46">
        <v>0</v>
      </c>
      <c r="F1291" s="2">
        <f>IF(C1291="GBP",E1291*$C$3,IF(C1291="TRY",E1291/$C$1,IF(C1291="EUR",E1291*$E$1,IF(C1291="RUB",E1291/#REF!,IF(C1291="EGP",E1291/$E$2,E1291)))))</f>
        <v>0</v>
      </c>
      <c r="G1291" s="15" t="str">
        <f>VLOOKUP(B1291,SPECIFICATIONF!$C$2:$D$65,2,0)</f>
        <v>GLOBAL RETAIL</v>
      </c>
      <c r="H1291" s="12">
        <f t="shared" si="50"/>
        <v>7</v>
      </c>
      <c r="I1291" s="12">
        <f t="shared" si="51"/>
        <v>2025</v>
      </c>
    </row>
    <row r="1292" spans="1:9" ht="19.5" customHeight="1" x14ac:dyDescent="0.35">
      <c r="A1292" s="41">
        <v>45862</v>
      </c>
      <c r="B1292" s="8" t="s">
        <v>24</v>
      </c>
      <c r="C1292" s="42" t="s">
        <v>33</v>
      </c>
      <c r="D1292" s="43" t="s">
        <v>30</v>
      </c>
      <c r="E1292" s="46">
        <v>0</v>
      </c>
      <c r="F1292" s="2">
        <f>IF(C1292="GBP",E1292*$C$3,IF(C1292="TRY",E1292/$C$1,IF(C1292="EUR",E1292*$E$1,IF(C1292="RUB",E1292/#REF!,IF(C1292="EGP",E1292/$E$2,E1292)))))</f>
        <v>0</v>
      </c>
      <c r="G1292" s="15" t="str">
        <f>VLOOKUP(B1292,SPECIFICATIONF!$C$2:$D$65,2,0)</f>
        <v>GLOBAL RETAIL</v>
      </c>
      <c r="H1292" s="12">
        <f t="shared" si="50"/>
        <v>7</v>
      </c>
      <c r="I1292" s="12">
        <f t="shared" si="51"/>
        <v>2025</v>
      </c>
    </row>
    <row r="1293" spans="1:9" ht="19.5" customHeight="1" x14ac:dyDescent="0.35">
      <c r="A1293" s="41">
        <v>45862</v>
      </c>
      <c r="B1293" s="8" t="s">
        <v>24</v>
      </c>
      <c r="C1293" s="42" t="s">
        <v>11</v>
      </c>
      <c r="D1293" s="43" t="s">
        <v>29</v>
      </c>
      <c r="E1293" s="46">
        <v>0</v>
      </c>
      <c r="F1293" s="2">
        <f>IF(C1293="GBP",E1293*$C$3,IF(C1293="TRY",E1293/$C$1,IF(C1293="EUR",E1293*$E$1,IF(C1293="RUB",E1293/#REF!,IF(C1293="EGP",E1293/$E$2,E1293)))))</f>
        <v>0</v>
      </c>
      <c r="G1293" s="15" t="str">
        <f>VLOOKUP(B1293,SPECIFICATIONF!$C$2:$D$65,2,0)</f>
        <v>GLOBAL RETAIL</v>
      </c>
      <c r="H1293" s="12">
        <f t="shared" si="50"/>
        <v>7</v>
      </c>
      <c r="I1293" s="12">
        <f t="shared" si="51"/>
        <v>2025</v>
      </c>
    </row>
    <row r="1294" spans="1:9" ht="19.5" customHeight="1" x14ac:dyDescent="0.35">
      <c r="A1294" s="41">
        <v>45862</v>
      </c>
      <c r="B1294" s="8" t="s">
        <v>24</v>
      </c>
      <c r="C1294" s="42" t="s">
        <v>33</v>
      </c>
      <c r="D1294" s="43" t="s">
        <v>29</v>
      </c>
      <c r="E1294" s="46">
        <v>0</v>
      </c>
      <c r="F1294" s="2">
        <f>IF(C1294="GBP",E1294*$C$3,IF(C1294="TRY",E1294/$C$1,IF(C1294="EUR",E1294*$E$1,IF(C1294="RUB",E1294/#REF!,IF(C1294="EGP",E1294/$E$2,E1294)))))</f>
        <v>0</v>
      </c>
      <c r="G1294" s="15" t="str">
        <f>VLOOKUP(B1294,SPECIFICATIONF!$C$2:$D$65,2,0)</f>
        <v>GLOBAL RETAIL</v>
      </c>
      <c r="H1294" s="12">
        <f t="shared" si="50"/>
        <v>7</v>
      </c>
      <c r="I1294" s="12">
        <f t="shared" si="51"/>
        <v>2025</v>
      </c>
    </row>
    <row r="1295" spans="1:9" ht="19.5" customHeight="1" x14ac:dyDescent="0.35">
      <c r="A1295" s="41">
        <v>45863</v>
      </c>
      <c r="B1295" s="8" t="s">
        <v>32</v>
      </c>
      <c r="C1295" s="42" t="s">
        <v>11</v>
      </c>
      <c r="D1295" s="43" t="s">
        <v>30</v>
      </c>
      <c r="E1295" s="46">
        <v>1542508.69</v>
      </c>
      <c r="F1295" s="2">
        <f>IF(C1295="GBP",E1295*$C$3,IF(C1295="TRY",E1295/$C$1,IF(C1295="EUR",E1295*$E$1,IF(C1295="RUB",E1295/#REF!,IF(C1295="EGP",E1295/$E$2,E1295)))))</f>
        <v>42298.870756768461</v>
      </c>
      <c r="G1295" s="15" t="str">
        <f>VLOOKUP(B1295,SPECIFICATIONF!$C$2:$D$65,2,0)</f>
        <v>GLOBAL HFT</v>
      </c>
      <c r="H1295" s="12">
        <f t="shared" si="50"/>
        <v>7</v>
      </c>
      <c r="I1295" s="12">
        <f t="shared" si="51"/>
        <v>2025</v>
      </c>
    </row>
    <row r="1296" spans="1:9" ht="19.5" customHeight="1" x14ac:dyDescent="0.35">
      <c r="A1296" s="41">
        <v>45863</v>
      </c>
      <c r="B1296" s="8" t="s">
        <v>32</v>
      </c>
      <c r="C1296" s="42" t="s">
        <v>33</v>
      </c>
      <c r="D1296" s="43" t="s">
        <v>30</v>
      </c>
      <c r="E1296" s="46">
        <v>14027.2</v>
      </c>
      <c r="F1296" s="2">
        <f>IF(C1296="GBP",E1296*$C$3,IF(C1296="TRY",E1296/$C$1,IF(C1296="EUR",E1296*$E$1,IF(C1296="RUB",E1296/#REF!,IF(C1296="EGP",E1296/$E$2,E1296)))))</f>
        <v>14027.2</v>
      </c>
      <c r="G1296" s="15" t="str">
        <f>VLOOKUP(B1296,SPECIFICATIONF!$C$2:$D$65,2,0)</f>
        <v>GLOBAL HFT</v>
      </c>
      <c r="H1296" s="12">
        <f t="shared" si="50"/>
        <v>7</v>
      </c>
      <c r="I1296" s="12">
        <f t="shared" si="51"/>
        <v>2025</v>
      </c>
    </row>
    <row r="1297" spans="1:9" ht="19.5" customHeight="1" x14ac:dyDescent="0.35">
      <c r="A1297" s="41">
        <v>45863</v>
      </c>
      <c r="B1297" s="8" t="s">
        <v>32</v>
      </c>
      <c r="C1297" s="42" t="s">
        <v>11</v>
      </c>
      <c r="D1297" s="43" t="s">
        <v>29</v>
      </c>
      <c r="E1297" s="46">
        <v>6038110633</v>
      </c>
      <c r="F1297" s="2">
        <f>IF(C1297="GBP",E1297*$C$3,IF(C1297="TRY",E1297/$C$1,IF(C1297="EUR",E1297*$E$1,IF(C1297="RUB",E1297/#REF!,IF(C1297="EGP",E1297/$E$2,E1297)))))</f>
        <v>165577842.72861141</v>
      </c>
      <c r="G1297" s="15" t="str">
        <f>VLOOKUP(B1297,SPECIFICATIONF!$C$2:$D$65,2,0)</f>
        <v>GLOBAL HFT</v>
      </c>
      <c r="H1297" s="12">
        <f t="shared" si="50"/>
        <v>7</v>
      </c>
      <c r="I1297" s="12">
        <f t="shared" si="51"/>
        <v>2025</v>
      </c>
    </row>
    <row r="1298" spans="1:9" ht="19.5" customHeight="1" x14ac:dyDescent="0.35">
      <c r="A1298" s="41">
        <v>45863</v>
      </c>
      <c r="B1298" s="8" t="s">
        <v>32</v>
      </c>
      <c r="C1298" s="42" t="s">
        <v>33</v>
      </c>
      <c r="D1298" s="43" t="s">
        <v>29</v>
      </c>
      <c r="E1298" s="46">
        <v>52451902</v>
      </c>
      <c r="F1298" s="2">
        <f>IF(C1298="GBP",E1298*$C$3,IF(C1298="TRY",E1298/$C$1,IF(C1298="EUR",E1298*$E$1,IF(C1298="RUB",E1298/#REF!,IF(C1298="EGP",E1298/$E$2,E1298)))))</f>
        <v>52451902</v>
      </c>
      <c r="G1298" s="15" t="str">
        <f>VLOOKUP(B1298,SPECIFICATIONF!$C$2:$D$65,2,0)</f>
        <v>GLOBAL HFT</v>
      </c>
      <c r="H1298" s="12">
        <f t="shared" si="50"/>
        <v>7</v>
      </c>
      <c r="I1298" s="12">
        <f t="shared" si="51"/>
        <v>2025</v>
      </c>
    </row>
    <row r="1299" spans="1:9" ht="19.5" customHeight="1" x14ac:dyDescent="0.35">
      <c r="A1299" s="41">
        <v>45863</v>
      </c>
      <c r="B1299" s="8" t="s">
        <v>24</v>
      </c>
      <c r="C1299" s="42" t="s">
        <v>11</v>
      </c>
      <c r="D1299" s="43" t="s">
        <v>30</v>
      </c>
      <c r="E1299" s="46">
        <v>0</v>
      </c>
      <c r="F1299" s="2">
        <f>IF(C1299="GBP",E1299*$C$3,IF(C1299="TRY",E1299/$C$1,IF(C1299="EUR",E1299*$E$1,IF(C1299="RUB",E1299/#REF!,IF(C1299="EGP",E1299/$E$2,E1299)))))</f>
        <v>0</v>
      </c>
      <c r="G1299" s="15" t="str">
        <f>VLOOKUP(B1299,SPECIFICATIONF!$C$2:$D$65,2,0)</f>
        <v>GLOBAL RETAIL</v>
      </c>
      <c r="H1299" s="12">
        <f t="shared" si="50"/>
        <v>7</v>
      </c>
      <c r="I1299" s="12">
        <f t="shared" si="51"/>
        <v>2025</v>
      </c>
    </row>
    <row r="1300" spans="1:9" ht="19.5" customHeight="1" x14ac:dyDescent="0.35">
      <c r="A1300" s="41">
        <v>45863</v>
      </c>
      <c r="B1300" s="8" t="s">
        <v>24</v>
      </c>
      <c r="C1300" s="42" t="s">
        <v>33</v>
      </c>
      <c r="D1300" s="43" t="s">
        <v>30</v>
      </c>
      <c r="E1300" s="46">
        <v>213.88</v>
      </c>
      <c r="F1300" s="2">
        <f>IF(C1300="GBP",E1300*$C$3,IF(C1300="TRY",E1300/$C$1,IF(C1300="EUR",E1300*$E$1,IF(C1300="RUB",E1300/#REF!,IF(C1300="EGP",E1300/$E$2,E1300)))))</f>
        <v>213.88</v>
      </c>
      <c r="G1300" s="15" t="str">
        <f>VLOOKUP(B1300,SPECIFICATIONF!$C$2:$D$65,2,0)</f>
        <v>GLOBAL RETAIL</v>
      </c>
      <c r="H1300" s="12">
        <f t="shared" si="50"/>
        <v>7</v>
      </c>
      <c r="I1300" s="12">
        <f t="shared" si="51"/>
        <v>2025</v>
      </c>
    </row>
    <row r="1301" spans="1:9" ht="19.5" customHeight="1" x14ac:dyDescent="0.35">
      <c r="A1301" s="41">
        <v>45863</v>
      </c>
      <c r="B1301" s="8" t="s">
        <v>24</v>
      </c>
      <c r="C1301" s="42" t="s">
        <v>11</v>
      </c>
      <c r="D1301" s="43" t="s">
        <v>29</v>
      </c>
      <c r="E1301" s="46">
        <v>0</v>
      </c>
      <c r="F1301" s="2">
        <f>IF(C1301="GBP",E1301*$C$3,IF(C1301="TRY",E1301/$C$1,IF(C1301="EUR",E1301*$E$1,IF(C1301="RUB",E1301/#REF!,IF(C1301="EGP",E1301/$E$2,E1301)))))</f>
        <v>0</v>
      </c>
      <c r="G1301" s="15" t="str">
        <f>VLOOKUP(B1301,SPECIFICATIONF!$C$2:$D$65,2,0)</f>
        <v>GLOBAL RETAIL</v>
      </c>
      <c r="H1301" s="12">
        <f t="shared" si="50"/>
        <v>7</v>
      </c>
      <c r="I1301" s="12">
        <f t="shared" si="51"/>
        <v>2025</v>
      </c>
    </row>
    <row r="1302" spans="1:9" ht="19.5" customHeight="1" x14ac:dyDescent="0.35">
      <c r="A1302" s="41">
        <v>45863</v>
      </c>
      <c r="B1302" s="8" t="s">
        <v>24</v>
      </c>
      <c r="C1302" s="42" t="s">
        <v>33</v>
      </c>
      <c r="D1302" s="43" t="s">
        <v>29</v>
      </c>
      <c r="E1302" s="46">
        <v>213885</v>
      </c>
      <c r="F1302" s="2">
        <f>IF(C1302="GBP",E1302*$C$3,IF(C1302="TRY",E1302/$C$1,IF(C1302="EUR",E1302*$E$1,IF(C1302="RUB",E1302/#REF!,IF(C1302="EGP",E1302/$E$2,E1302)))))</f>
        <v>213885</v>
      </c>
      <c r="G1302" s="15" t="str">
        <f>VLOOKUP(B1302,SPECIFICATIONF!$C$2:$D$65,2,0)</f>
        <v>GLOBAL RETAIL</v>
      </c>
      <c r="H1302" s="12">
        <f t="shared" si="50"/>
        <v>7</v>
      </c>
      <c r="I1302" s="12">
        <f t="shared" si="51"/>
        <v>2025</v>
      </c>
    </row>
    <row r="1303" spans="1:9" ht="19.5" customHeight="1" x14ac:dyDescent="0.35">
      <c r="A1303" s="41">
        <v>45864</v>
      </c>
      <c r="B1303" s="8" t="s">
        <v>32</v>
      </c>
      <c r="C1303" s="42" t="s">
        <v>11</v>
      </c>
      <c r="D1303" s="43" t="s">
        <v>30</v>
      </c>
      <c r="E1303" s="46">
        <v>1881839.13</v>
      </c>
      <c r="F1303" s="2">
        <f>IF(C1303="GBP",E1303*$C$3,IF(C1303="TRY",E1303/$C$1,IF(C1303="EUR",E1303*$E$1,IF(C1303="RUB",E1303/#REF!,IF(C1303="EGP",E1303/$E$2,E1303)))))</f>
        <v>51604.033520809273</v>
      </c>
      <c r="G1303" s="15" t="str">
        <f>VLOOKUP(B1303,SPECIFICATIONF!$C$2:$D$65,2,0)</f>
        <v>GLOBAL HFT</v>
      </c>
      <c r="H1303" s="12">
        <f t="shared" si="50"/>
        <v>7</v>
      </c>
      <c r="I1303" s="12">
        <f t="shared" si="51"/>
        <v>2025</v>
      </c>
    </row>
    <row r="1304" spans="1:9" ht="19.5" customHeight="1" x14ac:dyDescent="0.35">
      <c r="A1304" s="41">
        <v>45864</v>
      </c>
      <c r="B1304" s="8" t="s">
        <v>32</v>
      </c>
      <c r="C1304" s="42" t="s">
        <v>33</v>
      </c>
      <c r="D1304" s="43" t="s">
        <v>30</v>
      </c>
      <c r="E1304" s="46">
        <v>12113.63</v>
      </c>
      <c r="F1304" s="2">
        <f>IF(C1304="GBP",E1304*$C$3,IF(C1304="TRY",E1304/$C$1,IF(C1304="EUR",E1304*$E$1,IF(C1304="RUB",E1304/#REF!,IF(C1304="EGP",E1304/$E$2,E1304)))))</f>
        <v>12113.63</v>
      </c>
      <c r="G1304" s="15" t="str">
        <f>VLOOKUP(B1304,SPECIFICATIONF!$C$2:$D$65,2,0)</f>
        <v>GLOBAL HFT</v>
      </c>
      <c r="H1304" s="12">
        <f t="shared" si="50"/>
        <v>7</v>
      </c>
      <c r="I1304" s="12">
        <f t="shared" si="51"/>
        <v>2025</v>
      </c>
    </row>
    <row r="1305" spans="1:9" ht="19.5" customHeight="1" x14ac:dyDescent="0.35">
      <c r="A1305" s="41">
        <v>45864</v>
      </c>
      <c r="B1305" s="8" t="s">
        <v>32</v>
      </c>
      <c r="C1305" s="42" t="s">
        <v>11</v>
      </c>
      <c r="D1305" s="43" t="s">
        <v>29</v>
      </c>
      <c r="E1305" s="46">
        <v>7400206244</v>
      </c>
      <c r="F1305" s="2">
        <f>IF(C1305="GBP",E1305*$C$3,IF(C1305="TRY",E1305/$C$1,IF(C1305="EUR",E1305*$E$1,IF(C1305="RUB",E1305/#REF!,IF(C1305="EGP",E1305/$E$2,E1305)))))</f>
        <v>202929402.93800679</v>
      </c>
      <c r="G1305" s="15" t="str">
        <f>VLOOKUP(B1305,SPECIFICATIONF!$C$2:$D$65,2,0)</f>
        <v>GLOBAL HFT</v>
      </c>
      <c r="H1305" s="12">
        <f t="shared" si="50"/>
        <v>7</v>
      </c>
      <c r="I1305" s="12">
        <f t="shared" si="51"/>
        <v>2025</v>
      </c>
    </row>
    <row r="1306" spans="1:9" ht="19.5" customHeight="1" x14ac:dyDescent="0.35">
      <c r="A1306" s="41">
        <v>45864</v>
      </c>
      <c r="B1306" s="8" t="s">
        <v>32</v>
      </c>
      <c r="C1306" s="42" t="s">
        <v>33</v>
      </c>
      <c r="D1306" s="43" t="s">
        <v>29</v>
      </c>
      <c r="E1306" s="46">
        <v>44115459</v>
      </c>
      <c r="F1306" s="2">
        <f>IF(C1306="GBP",E1306*$C$3,IF(C1306="TRY",E1306/$C$1,IF(C1306="EUR",E1306*$E$1,IF(C1306="RUB",E1306/#REF!,IF(C1306="EGP",E1306/$E$2,E1306)))))</f>
        <v>44115459</v>
      </c>
      <c r="G1306" s="15" t="str">
        <f>VLOOKUP(B1306,SPECIFICATIONF!$C$2:$D$65,2,0)</f>
        <v>GLOBAL HFT</v>
      </c>
      <c r="H1306" s="12">
        <f t="shared" si="50"/>
        <v>7</v>
      </c>
      <c r="I1306" s="12">
        <f t="shared" si="51"/>
        <v>2025</v>
      </c>
    </row>
    <row r="1307" spans="1:9" ht="19.5" customHeight="1" x14ac:dyDescent="0.35">
      <c r="A1307" s="41">
        <v>45864</v>
      </c>
      <c r="B1307" s="8" t="s">
        <v>24</v>
      </c>
      <c r="C1307" s="42" t="s">
        <v>11</v>
      </c>
      <c r="D1307" s="43" t="s">
        <v>30</v>
      </c>
      <c r="E1307" s="46">
        <v>0</v>
      </c>
      <c r="F1307" s="2">
        <f>IF(C1307="GBP",E1307*$C$3,IF(C1307="TRY",E1307/$C$1,IF(C1307="EUR",E1307*$E$1,IF(C1307="RUB",E1307/#REF!,IF(C1307="EGP",E1307/$E$2,E1307)))))</f>
        <v>0</v>
      </c>
      <c r="G1307" s="15" t="str">
        <f>VLOOKUP(B1307,SPECIFICATIONF!$C$2:$D$65,2,0)</f>
        <v>GLOBAL RETAIL</v>
      </c>
      <c r="H1307" s="12">
        <f t="shared" si="50"/>
        <v>7</v>
      </c>
      <c r="I1307" s="12">
        <f t="shared" si="51"/>
        <v>2025</v>
      </c>
    </row>
    <row r="1308" spans="1:9" ht="19.5" customHeight="1" x14ac:dyDescent="0.35">
      <c r="A1308" s="41">
        <v>45864</v>
      </c>
      <c r="B1308" s="8" t="s">
        <v>24</v>
      </c>
      <c r="C1308" s="42" t="s">
        <v>33</v>
      </c>
      <c r="D1308" s="43" t="s">
        <v>30</v>
      </c>
      <c r="E1308" s="46">
        <v>0</v>
      </c>
      <c r="F1308" s="2">
        <f>IF(C1308="GBP",E1308*$C$3,IF(C1308="TRY",E1308/$C$1,IF(C1308="EUR",E1308*$E$1,IF(C1308="RUB",E1308/#REF!,IF(C1308="EGP",E1308/$E$2,E1308)))))</f>
        <v>0</v>
      </c>
      <c r="G1308" s="15" t="str">
        <f>VLOOKUP(B1308,SPECIFICATIONF!$C$2:$D$65,2,0)</f>
        <v>GLOBAL RETAIL</v>
      </c>
      <c r="H1308" s="12">
        <f t="shared" si="50"/>
        <v>7</v>
      </c>
      <c r="I1308" s="12">
        <f t="shared" si="51"/>
        <v>2025</v>
      </c>
    </row>
    <row r="1309" spans="1:9" ht="19.5" customHeight="1" x14ac:dyDescent="0.35">
      <c r="A1309" s="41">
        <v>45864</v>
      </c>
      <c r="B1309" s="8" t="s">
        <v>24</v>
      </c>
      <c r="C1309" s="42" t="s">
        <v>11</v>
      </c>
      <c r="D1309" s="43" t="s">
        <v>29</v>
      </c>
      <c r="E1309" s="46">
        <v>0</v>
      </c>
      <c r="F1309" s="2">
        <f>IF(C1309="GBP",E1309*$C$3,IF(C1309="TRY",E1309/$C$1,IF(C1309="EUR",E1309*$E$1,IF(C1309="RUB",E1309/#REF!,IF(C1309="EGP",E1309/$E$2,E1309)))))</f>
        <v>0</v>
      </c>
      <c r="G1309" s="15" t="str">
        <f>VLOOKUP(B1309,SPECIFICATIONF!$C$2:$D$65,2,0)</f>
        <v>GLOBAL RETAIL</v>
      </c>
      <c r="H1309" s="12">
        <f t="shared" si="50"/>
        <v>7</v>
      </c>
      <c r="I1309" s="12">
        <f t="shared" si="51"/>
        <v>2025</v>
      </c>
    </row>
    <row r="1310" spans="1:9" ht="19.5" customHeight="1" x14ac:dyDescent="0.35">
      <c r="A1310" s="41">
        <v>45864</v>
      </c>
      <c r="B1310" s="8" t="s">
        <v>24</v>
      </c>
      <c r="C1310" s="42" t="s">
        <v>33</v>
      </c>
      <c r="D1310" s="43" t="s">
        <v>29</v>
      </c>
      <c r="E1310" s="46">
        <v>0</v>
      </c>
      <c r="F1310" s="2">
        <f>IF(C1310="GBP",E1310*$C$3,IF(C1310="TRY",E1310/$C$1,IF(C1310="EUR",E1310*$E$1,IF(C1310="RUB",E1310/#REF!,IF(C1310="EGP",E1310/$E$2,E1310)))))</f>
        <v>0</v>
      </c>
      <c r="G1310" s="15" t="str">
        <f>VLOOKUP(B1310,SPECIFICATIONF!$C$2:$D$65,2,0)</f>
        <v>GLOBAL RETAIL</v>
      </c>
      <c r="H1310" s="12">
        <f t="shared" si="50"/>
        <v>7</v>
      </c>
      <c r="I1310" s="12">
        <f t="shared" si="51"/>
        <v>2025</v>
      </c>
    </row>
    <row r="1311" spans="1:9" ht="19.5" customHeight="1" x14ac:dyDescent="0.35">
      <c r="A1311" s="41">
        <v>45865</v>
      </c>
      <c r="B1311" s="8" t="s">
        <v>32</v>
      </c>
      <c r="C1311" s="42" t="s">
        <v>11</v>
      </c>
      <c r="D1311" s="43" t="s">
        <v>30</v>
      </c>
      <c r="E1311" s="46">
        <v>2502197.39</v>
      </c>
      <c r="F1311" s="2">
        <f>IF(C1311="GBP",E1311*$C$3,IF(C1311="TRY",E1311/$C$1,IF(C1311="EUR",E1311*$E$1,IF(C1311="RUB",E1311/#REF!,IF(C1311="EGP",E1311/$E$2,E1311)))))</f>
        <v>68615.577139817207</v>
      </c>
      <c r="G1311" s="15" t="str">
        <f>VLOOKUP(B1311,SPECIFICATIONF!$C$2:$D$65,2,0)</f>
        <v>GLOBAL HFT</v>
      </c>
      <c r="H1311" s="12">
        <f t="shared" si="50"/>
        <v>7</v>
      </c>
      <c r="I1311" s="12">
        <f t="shared" si="51"/>
        <v>2025</v>
      </c>
    </row>
    <row r="1312" spans="1:9" ht="19.5" customHeight="1" x14ac:dyDescent="0.35">
      <c r="A1312" s="41">
        <v>45865</v>
      </c>
      <c r="B1312" s="8" t="s">
        <v>32</v>
      </c>
      <c r="C1312" s="42" t="s">
        <v>33</v>
      </c>
      <c r="D1312" s="43" t="s">
        <v>30</v>
      </c>
      <c r="E1312" s="46">
        <v>14199.19</v>
      </c>
      <c r="F1312" s="2">
        <f>IF(C1312="GBP",E1312*$C$3,IF(C1312="TRY",E1312/$C$1,IF(C1312="EUR",E1312*$E$1,IF(C1312="RUB",E1312/#REF!,IF(C1312="EGP",E1312/$E$2,E1312)))))</f>
        <v>14199.19</v>
      </c>
      <c r="G1312" s="15" t="str">
        <f>VLOOKUP(B1312,SPECIFICATIONF!$C$2:$D$65,2,0)</f>
        <v>GLOBAL HFT</v>
      </c>
      <c r="H1312" s="12">
        <f t="shared" si="50"/>
        <v>7</v>
      </c>
      <c r="I1312" s="12">
        <f t="shared" si="51"/>
        <v>2025</v>
      </c>
    </row>
    <row r="1313" spans="1:9" ht="19.5" customHeight="1" x14ac:dyDescent="0.35">
      <c r="A1313" s="41">
        <v>45865</v>
      </c>
      <c r="B1313" s="8" t="s">
        <v>32</v>
      </c>
      <c r="C1313" s="42" t="s">
        <v>11</v>
      </c>
      <c r="D1313" s="43" t="s">
        <v>29</v>
      </c>
      <c r="E1313" s="46">
        <v>9950055432</v>
      </c>
      <c r="F1313" s="2">
        <f>IF(C1313="GBP",E1313*$C$3,IF(C1313="TRY",E1313/$C$1,IF(C1313="EUR",E1313*$E$1,IF(C1313="RUB",E1313/#REF!,IF(C1313="EGP",E1313/$E$2,E1313)))))</f>
        <v>272851693.78258091</v>
      </c>
      <c r="G1313" s="15" t="str">
        <f>VLOOKUP(B1313,SPECIFICATIONF!$C$2:$D$65,2,0)</f>
        <v>GLOBAL HFT</v>
      </c>
      <c r="H1313" s="12">
        <f t="shared" si="50"/>
        <v>7</v>
      </c>
      <c r="I1313" s="12">
        <f t="shared" si="51"/>
        <v>2025</v>
      </c>
    </row>
    <row r="1314" spans="1:9" ht="19.5" customHeight="1" x14ac:dyDescent="0.35">
      <c r="A1314" s="41">
        <v>45865</v>
      </c>
      <c r="B1314" s="8" t="s">
        <v>32</v>
      </c>
      <c r="C1314" s="42" t="s">
        <v>33</v>
      </c>
      <c r="D1314" s="43" t="s">
        <v>29</v>
      </c>
      <c r="E1314" s="46">
        <v>51538396</v>
      </c>
      <c r="F1314" s="2">
        <f>IF(C1314="GBP",E1314*$C$3,IF(C1314="TRY",E1314/$C$1,IF(C1314="EUR",E1314*$E$1,IF(C1314="RUB",E1314/#REF!,IF(C1314="EGP",E1314/$E$2,E1314)))))</f>
        <v>51538396</v>
      </c>
      <c r="G1314" s="15" t="str">
        <f>VLOOKUP(B1314,SPECIFICATIONF!$C$2:$D$65,2,0)</f>
        <v>GLOBAL HFT</v>
      </c>
      <c r="H1314" s="12">
        <f t="shared" si="50"/>
        <v>7</v>
      </c>
      <c r="I1314" s="12">
        <f t="shared" si="51"/>
        <v>2025</v>
      </c>
    </row>
    <row r="1315" spans="1:9" ht="19.5" customHeight="1" x14ac:dyDescent="0.35">
      <c r="A1315" s="41">
        <v>45865</v>
      </c>
      <c r="B1315" s="8" t="s">
        <v>24</v>
      </c>
      <c r="C1315" s="42" t="s">
        <v>11</v>
      </c>
      <c r="D1315" s="43" t="s">
        <v>30</v>
      </c>
      <c r="E1315" s="46">
        <v>462.01</v>
      </c>
      <c r="F1315" s="2">
        <f>IF(C1315="GBP",E1315*$C$3,IF(C1315="TRY",E1315/$C$1,IF(C1315="EUR",E1315*$E$1,IF(C1315="RUB",E1315/#REF!,IF(C1315="EGP",E1315/$E$2,E1315)))))</f>
        <v>12.669297362813948</v>
      </c>
      <c r="G1315" s="15" t="str">
        <f>VLOOKUP(B1315,SPECIFICATIONF!$C$2:$D$65,2,0)</f>
        <v>GLOBAL RETAIL</v>
      </c>
      <c r="H1315" s="12">
        <f t="shared" si="50"/>
        <v>7</v>
      </c>
      <c r="I1315" s="12">
        <f t="shared" si="51"/>
        <v>2025</v>
      </c>
    </row>
    <row r="1316" spans="1:9" ht="19.5" customHeight="1" x14ac:dyDescent="0.35">
      <c r="A1316" s="41">
        <v>45865</v>
      </c>
      <c r="B1316" s="8" t="s">
        <v>24</v>
      </c>
      <c r="C1316" s="42" t="s">
        <v>33</v>
      </c>
      <c r="D1316" s="43" t="s">
        <v>30</v>
      </c>
      <c r="E1316" s="46">
        <v>0</v>
      </c>
      <c r="F1316" s="2">
        <f>IF(C1316="GBP",E1316*$C$3,IF(C1316="TRY",E1316/$C$1,IF(C1316="EUR",E1316*$E$1,IF(C1316="RUB",E1316/#REF!,IF(C1316="EGP",E1316/$E$2,E1316)))))</f>
        <v>0</v>
      </c>
      <c r="G1316" s="15" t="str">
        <f>VLOOKUP(B1316,SPECIFICATIONF!$C$2:$D$65,2,0)</f>
        <v>GLOBAL RETAIL</v>
      </c>
      <c r="H1316" s="12">
        <f t="shared" si="50"/>
        <v>7</v>
      </c>
      <c r="I1316" s="12">
        <f t="shared" si="51"/>
        <v>2025</v>
      </c>
    </row>
    <row r="1317" spans="1:9" ht="19.5" customHeight="1" x14ac:dyDescent="0.35">
      <c r="A1317" s="41">
        <v>45865</v>
      </c>
      <c r="B1317" s="8" t="s">
        <v>24</v>
      </c>
      <c r="C1317" s="42" t="s">
        <v>11</v>
      </c>
      <c r="D1317" s="43" t="s">
        <v>29</v>
      </c>
      <c r="E1317" s="46">
        <v>403125</v>
      </c>
      <c r="F1317" s="2">
        <f>IF(C1317="GBP",E1317*$C$3,IF(C1317="TRY",E1317/$C$1,IF(C1317="EUR",E1317*$E$1,IF(C1317="RUB",E1317/#REF!,IF(C1317="EGP",E1317/$E$2,E1317)))))</f>
        <v>11054.545354828624</v>
      </c>
      <c r="G1317" s="15" t="str">
        <f>VLOOKUP(B1317,SPECIFICATIONF!$C$2:$D$65,2,0)</f>
        <v>GLOBAL RETAIL</v>
      </c>
      <c r="H1317" s="12">
        <f t="shared" si="50"/>
        <v>7</v>
      </c>
      <c r="I1317" s="12">
        <f t="shared" si="51"/>
        <v>2025</v>
      </c>
    </row>
    <row r="1318" spans="1:9" ht="19.5" customHeight="1" x14ac:dyDescent="0.35">
      <c r="A1318" s="41">
        <v>45865</v>
      </c>
      <c r="B1318" s="8" t="s">
        <v>24</v>
      </c>
      <c r="C1318" s="42" t="s">
        <v>33</v>
      </c>
      <c r="D1318" s="43" t="s">
        <v>29</v>
      </c>
      <c r="E1318" s="46">
        <v>0</v>
      </c>
      <c r="F1318" s="2">
        <f>IF(C1318="GBP",E1318*$C$3,IF(C1318="TRY",E1318/$C$1,IF(C1318="EUR",E1318*$E$1,IF(C1318="RUB",E1318/#REF!,IF(C1318="EGP",E1318/$E$2,E1318)))))</f>
        <v>0</v>
      </c>
      <c r="G1318" s="15" t="str">
        <f>VLOOKUP(B1318,SPECIFICATIONF!$C$2:$D$65,2,0)</f>
        <v>GLOBAL RETAIL</v>
      </c>
      <c r="H1318" s="12">
        <f t="shared" ref="H1318:H1381" si="52">MONTH(A1318)</f>
        <v>7</v>
      </c>
      <c r="I1318" s="12">
        <f t="shared" ref="I1318:I1381" si="53">YEAR(A1318)</f>
        <v>2025</v>
      </c>
    </row>
    <row r="1319" spans="1:9" ht="19.5" customHeight="1" x14ac:dyDescent="0.35">
      <c r="A1319" s="41">
        <v>45866</v>
      </c>
      <c r="B1319" s="8" t="s">
        <v>32</v>
      </c>
      <c r="C1319" s="42" t="s">
        <v>11</v>
      </c>
      <c r="D1319" s="43" t="s">
        <v>30</v>
      </c>
      <c r="E1319" s="46">
        <v>2848249.22</v>
      </c>
      <c r="F1319" s="2">
        <f>IF(C1319="GBP",E1319*$C$3,IF(C1319="TRY",E1319/$C$1,IF(C1319="EUR",E1319*$E$1,IF(C1319="RUB",E1319/#REF!,IF(C1319="EGP",E1319/$E$2,E1319)))))</f>
        <v>78105.054720856453</v>
      </c>
      <c r="G1319" s="15" t="str">
        <f>VLOOKUP(B1319,SPECIFICATIONF!$C$2:$D$65,2,0)</f>
        <v>GLOBAL HFT</v>
      </c>
      <c r="H1319" s="12">
        <f t="shared" si="52"/>
        <v>7</v>
      </c>
      <c r="I1319" s="12">
        <f t="shared" si="53"/>
        <v>2025</v>
      </c>
    </row>
    <row r="1320" spans="1:9" ht="19.5" customHeight="1" x14ac:dyDescent="0.35">
      <c r="A1320" s="41">
        <v>45866</v>
      </c>
      <c r="B1320" s="8" t="s">
        <v>32</v>
      </c>
      <c r="C1320" s="42" t="s">
        <v>33</v>
      </c>
      <c r="D1320" s="43" t="s">
        <v>30</v>
      </c>
      <c r="E1320" s="46">
        <v>18454.97</v>
      </c>
      <c r="F1320" s="2">
        <f>IF(C1320="GBP",E1320*$C$3,IF(C1320="TRY",E1320/$C$1,IF(C1320="EUR",E1320*$E$1,IF(C1320="RUB",E1320/#REF!,IF(C1320="EGP",E1320/$E$2,E1320)))))</f>
        <v>18454.97</v>
      </c>
      <c r="G1320" s="15" t="str">
        <f>VLOOKUP(B1320,SPECIFICATIONF!$C$2:$D$65,2,0)</f>
        <v>GLOBAL HFT</v>
      </c>
      <c r="H1320" s="12">
        <f t="shared" si="52"/>
        <v>7</v>
      </c>
      <c r="I1320" s="12">
        <f t="shared" si="53"/>
        <v>2025</v>
      </c>
    </row>
    <row r="1321" spans="1:9" ht="19.5" customHeight="1" x14ac:dyDescent="0.35">
      <c r="A1321" s="41">
        <v>45866</v>
      </c>
      <c r="B1321" s="8" t="s">
        <v>32</v>
      </c>
      <c r="C1321" s="42" t="s">
        <v>11</v>
      </c>
      <c r="D1321" s="43" t="s">
        <v>29</v>
      </c>
      <c r="E1321" s="46">
        <v>11159653464</v>
      </c>
      <c r="F1321" s="2">
        <f>IF(C1321="GBP",E1321*$C$3,IF(C1321="TRY",E1321/$C$1,IF(C1321="EUR",E1321*$E$1,IF(C1321="RUB",E1321/#REF!,IF(C1321="EGP",E1321/$E$2,E1321)))))</f>
        <v>306021445.85912156</v>
      </c>
      <c r="G1321" s="15" t="str">
        <f>VLOOKUP(B1321,SPECIFICATIONF!$C$2:$D$65,2,0)</f>
        <v>GLOBAL HFT</v>
      </c>
      <c r="H1321" s="12">
        <f t="shared" si="52"/>
        <v>7</v>
      </c>
      <c r="I1321" s="12">
        <f t="shared" si="53"/>
        <v>2025</v>
      </c>
    </row>
    <row r="1322" spans="1:9" ht="19.5" customHeight="1" x14ac:dyDescent="0.35">
      <c r="A1322" s="41">
        <v>45866</v>
      </c>
      <c r="B1322" s="8" t="s">
        <v>32</v>
      </c>
      <c r="C1322" s="42" t="s">
        <v>33</v>
      </c>
      <c r="D1322" s="43" t="s">
        <v>29</v>
      </c>
      <c r="E1322" s="46">
        <v>66627181</v>
      </c>
      <c r="F1322" s="2">
        <f>IF(C1322="GBP",E1322*$C$3,IF(C1322="TRY",E1322/$C$1,IF(C1322="EUR",E1322*$E$1,IF(C1322="RUB",E1322/#REF!,IF(C1322="EGP",E1322/$E$2,E1322)))))</f>
        <v>66627181</v>
      </c>
      <c r="G1322" s="15" t="str">
        <f>VLOOKUP(B1322,SPECIFICATIONF!$C$2:$D$65,2,0)</f>
        <v>GLOBAL HFT</v>
      </c>
      <c r="H1322" s="12">
        <f t="shared" si="52"/>
        <v>7</v>
      </c>
      <c r="I1322" s="12">
        <f t="shared" si="53"/>
        <v>2025</v>
      </c>
    </row>
    <row r="1323" spans="1:9" ht="19.5" customHeight="1" x14ac:dyDescent="0.35">
      <c r="A1323" s="41">
        <v>45866</v>
      </c>
      <c r="B1323" s="8" t="s">
        <v>24</v>
      </c>
      <c r="C1323" s="42" t="s">
        <v>11</v>
      </c>
      <c r="D1323" s="43" t="s">
        <v>30</v>
      </c>
      <c r="E1323" s="46">
        <v>2644.05</v>
      </c>
      <c r="F1323" s="2">
        <f>IF(C1323="GBP",E1323*$C$3,IF(C1323="TRY",E1323/$C$1,IF(C1323="EUR",E1323*$E$1,IF(C1323="RUB",E1323/#REF!,IF(C1323="EGP",E1323/$E$2,E1323)))))</f>
        <v>72.505477570070397</v>
      </c>
      <c r="G1323" s="15" t="str">
        <f>VLOOKUP(B1323,SPECIFICATIONF!$C$2:$D$65,2,0)</f>
        <v>GLOBAL RETAIL</v>
      </c>
      <c r="H1323" s="12">
        <f t="shared" si="52"/>
        <v>7</v>
      </c>
      <c r="I1323" s="12">
        <f t="shared" si="53"/>
        <v>2025</v>
      </c>
    </row>
    <row r="1324" spans="1:9" ht="19.5" customHeight="1" x14ac:dyDescent="0.35">
      <c r="A1324" s="41">
        <v>45866</v>
      </c>
      <c r="B1324" s="8" t="s">
        <v>24</v>
      </c>
      <c r="C1324" s="42" t="s">
        <v>33</v>
      </c>
      <c r="D1324" s="43" t="s">
        <v>30</v>
      </c>
      <c r="E1324" s="46">
        <v>0</v>
      </c>
      <c r="F1324" s="2">
        <f>IF(C1324="GBP",E1324*$C$3,IF(C1324="TRY",E1324/$C$1,IF(C1324="EUR",E1324*$E$1,IF(C1324="RUB",E1324/#REF!,IF(C1324="EGP",E1324/$E$2,E1324)))))</f>
        <v>0</v>
      </c>
      <c r="G1324" s="15" t="str">
        <f>VLOOKUP(B1324,SPECIFICATIONF!$C$2:$D$65,2,0)</f>
        <v>GLOBAL RETAIL</v>
      </c>
      <c r="H1324" s="12">
        <f t="shared" si="52"/>
        <v>7</v>
      </c>
      <c r="I1324" s="12">
        <f t="shared" si="53"/>
        <v>2025</v>
      </c>
    </row>
    <row r="1325" spans="1:9" ht="19.5" customHeight="1" x14ac:dyDescent="0.35">
      <c r="A1325" s="41">
        <v>45866</v>
      </c>
      <c r="B1325" s="8" t="s">
        <v>24</v>
      </c>
      <c r="C1325" s="42" t="s">
        <v>11</v>
      </c>
      <c r="D1325" s="43" t="s">
        <v>29</v>
      </c>
      <c r="E1325" s="46">
        <v>2239073</v>
      </c>
      <c r="F1325" s="2">
        <f>IF(C1325="GBP",E1325*$C$3,IF(C1325="TRY",E1325/$C$1,IF(C1325="EUR",E1325*$E$1,IF(C1325="RUB",E1325/#REF!,IF(C1325="EGP",E1325/$E$2,E1325)))))</f>
        <v>61400.14643416358</v>
      </c>
      <c r="G1325" s="15" t="str">
        <f>VLOOKUP(B1325,SPECIFICATIONF!$C$2:$D$65,2,0)</f>
        <v>GLOBAL RETAIL</v>
      </c>
      <c r="H1325" s="12">
        <f t="shared" si="52"/>
        <v>7</v>
      </c>
      <c r="I1325" s="12">
        <f t="shared" si="53"/>
        <v>2025</v>
      </c>
    </row>
    <row r="1326" spans="1:9" ht="19.5" customHeight="1" x14ac:dyDescent="0.35">
      <c r="A1326" s="41">
        <v>45866</v>
      </c>
      <c r="B1326" s="8" t="s">
        <v>24</v>
      </c>
      <c r="C1326" s="42" t="s">
        <v>33</v>
      </c>
      <c r="D1326" s="43" t="s">
        <v>29</v>
      </c>
      <c r="E1326" s="46">
        <v>0</v>
      </c>
      <c r="F1326" s="2">
        <f>IF(C1326="GBP",E1326*$C$3,IF(C1326="TRY",E1326/$C$1,IF(C1326="EUR",E1326*$E$1,IF(C1326="RUB",E1326/#REF!,IF(C1326="EGP",E1326/$E$2,E1326)))))</f>
        <v>0</v>
      </c>
      <c r="G1326" s="15" t="str">
        <f>VLOOKUP(B1326,SPECIFICATIONF!$C$2:$D$65,2,0)</f>
        <v>GLOBAL RETAIL</v>
      </c>
      <c r="H1326" s="12">
        <f t="shared" si="52"/>
        <v>7</v>
      </c>
      <c r="I1326" s="12">
        <f t="shared" si="53"/>
        <v>2025</v>
      </c>
    </row>
    <row r="1327" spans="1:9" ht="19.5" customHeight="1" x14ac:dyDescent="0.35">
      <c r="A1327" s="41">
        <v>45867</v>
      </c>
      <c r="B1327" s="8" t="s">
        <v>32</v>
      </c>
      <c r="C1327" s="42" t="s">
        <v>11</v>
      </c>
      <c r="D1327" s="43" t="s">
        <v>30</v>
      </c>
      <c r="E1327" s="46">
        <v>1786295.08</v>
      </c>
      <c r="F1327" s="2">
        <f>IF(C1327="GBP",E1327*$C$3,IF(C1327="TRY",E1327/$C$1,IF(C1327="EUR",E1327*$E$1,IF(C1327="RUB",E1327/#REF!,IF(C1327="EGP",E1327/$E$2,E1327)))))</f>
        <v>48984.012350926452</v>
      </c>
      <c r="G1327" s="15" t="str">
        <f>VLOOKUP(B1327,SPECIFICATIONF!$C$2:$D$65,2,0)</f>
        <v>GLOBAL HFT</v>
      </c>
      <c r="H1327" s="12">
        <f t="shared" si="52"/>
        <v>7</v>
      </c>
      <c r="I1327" s="12">
        <f t="shared" si="53"/>
        <v>2025</v>
      </c>
    </row>
    <row r="1328" spans="1:9" ht="19.5" customHeight="1" x14ac:dyDescent="0.35">
      <c r="A1328" s="41">
        <v>45867</v>
      </c>
      <c r="B1328" s="8" t="s">
        <v>32</v>
      </c>
      <c r="C1328" s="42" t="s">
        <v>33</v>
      </c>
      <c r="D1328" s="43" t="s">
        <v>30</v>
      </c>
      <c r="E1328" s="46">
        <v>12232.38</v>
      </c>
      <c r="F1328" s="2">
        <f>IF(C1328="GBP",E1328*$C$3,IF(C1328="TRY",E1328/$C$1,IF(C1328="EUR",E1328*$E$1,IF(C1328="RUB",E1328/#REF!,IF(C1328="EGP",E1328/$E$2,E1328)))))</f>
        <v>12232.38</v>
      </c>
      <c r="G1328" s="15" t="str">
        <f>VLOOKUP(B1328,SPECIFICATIONF!$C$2:$D$65,2,0)</f>
        <v>GLOBAL HFT</v>
      </c>
      <c r="H1328" s="12">
        <f t="shared" si="52"/>
        <v>7</v>
      </c>
      <c r="I1328" s="12">
        <f t="shared" si="53"/>
        <v>2025</v>
      </c>
    </row>
    <row r="1329" spans="1:9" ht="19.5" customHeight="1" x14ac:dyDescent="0.35">
      <c r="A1329" s="41">
        <v>45867</v>
      </c>
      <c r="B1329" s="8" t="s">
        <v>32</v>
      </c>
      <c r="C1329" s="42" t="s">
        <v>11</v>
      </c>
      <c r="D1329" s="43" t="s">
        <v>29</v>
      </c>
      <c r="E1329" s="46">
        <v>7142328526</v>
      </c>
      <c r="F1329" s="2">
        <f>IF(C1329="GBP",E1329*$C$3,IF(C1329="TRY",E1329/$C$1,IF(C1329="EUR",E1329*$E$1,IF(C1329="RUB",E1329/#REF!,IF(C1329="EGP",E1329/$E$2,E1329)))))</f>
        <v>195857847.14357403</v>
      </c>
      <c r="G1329" s="15" t="str">
        <f>VLOOKUP(B1329,SPECIFICATIONF!$C$2:$D$65,2,0)</f>
        <v>GLOBAL HFT</v>
      </c>
      <c r="H1329" s="12">
        <f t="shared" si="52"/>
        <v>7</v>
      </c>
      <c r="I1329" s="12">
        <f t="shared" si="53"/>
        <v>2025</v>
      </c>
    </row>
    <row r="1330" spans="1:9" ht="19.5" customHeight="1" x14ac:dyDescent="0.35">
      <c r="A1330" s="41">
        <v>45867</v>
      </c>
      <c r="B1330" s="8" t="s">
        <v>32</v>
      </c>
      <c r="C1330" s="42" t="s">
        <v>33</v>
      </c>
      <c r="D1330" s="43" t="s">
        <v>29</v>
      </c>
      <c r="E1330" s="46">
        <v>48467500</v>
      </c>
      <c r="F1330" s="2">
        <f>IF(C1330="GBP",E1330*$C$3,IF(C1330="TRY",E1330/$C$1,IF(C1330="EUR",E1330*$E$1,IF(C1330="RUB",E1330/#REF!,IF(C1330="EGP",E1330/$E$2,E1330)))))</f>
        <v>48467500</v>
      </c>
      <c r="G1330" s="15" t="str">
        <f>VLOOKUP(B1330,SPECIFICATIONF!$C$2:$D$65,2,0)</f>
        <v>GLOBAL HFT</v>
      </c>
      <c r="H1330" s="12">
        <f t="shared" si="52"/>
        <v>7</v>
      </c>
      <c r="I1330" s="12">
        <f t="shared" si="53"/>
        <v>2025</v>
      </c>
    </row>
    <row r="1331" spans="1:9" ht="19.5" customHeight="1" x14ac:dyDescent="0.35">
      <c r="A1331" s="41">
        <v>45867</v>
      </c>
      <c r="B1331" s="8" t="s">
        <v>24</v>
      </c>
      <c r="C1331" s="42" t="s">
        <v>11</v>
      </c>
      <c r="D1331" s="43" t="s">
        <v>30</v>
      </c>
      <c r="E1331" s="46">
        <v>1348.36</v>
      </c>
      <c r="F1331" s="2">
        <f>IF(C1331="GBP",E1331*$C$3,IF(C1331="TRY",E1331/$C$1,IF(C1331="EUR",E1331*$E$1,IF(C1331="RUB",E1331/#REF!,IF(C1331="EGP",E1331/$E$2,E1331)))))</f>
        <v>36.974900526230634</v>
      </c>
      <c r="G1331" s="15" t="str">
        <f>VLOOKUP(B1331,SPECIFICATIONF!$C$2:$D$65,2,0)</f>
        <v>GLOBAL RETAIL</v>
      </c>
      <c r="H1331" s="12">
        <f t="shared" si="52"/>
        <v>7</v>
      </c>
      <c r="I1331" s="12">
        <f t="shared" si="53"/>
        <v>2025</v>
      </c>
    </row>
    <row r="1332" spans="1:9" ht="19.5" customHeight="1" x14ac:dyDescent="0.35">
      <c r="A1332" s="41">
        <v>45867</v>
      </c>
      <c r="B1332" s="8" t="s">
        <v>24</v>
      </c>
      <c r="C1332" s="42" t="s">
        <v>33</v>
      </c>
      <c r="D1332" s="43" t="s">
        <v>30</v>
      </c>
      <c r="E1332" s="46">
        <v>0</v>
      </c>
      <c r="F1332" s="2">
        <f>IF(C1332="GBP",E1332*$C$3,IF(C1332="TRY",E1332/$C$1,IF(C1332="EUR",E1332*$E$1,IF(C1332="RUB",E1332/#REF!,IF(C1332="EGP",E1332/$E$2,E1332)))))</f>
        <v>0</v>
      </c>
      <c r="G1332" s="15" t="str">
        <f>VLOOKUP(B1332,SPECIFICATIONF!$C$2:$D$65,2,0)</f>
        <v>GLOBAL RETAIL</v>
      </c>
      <c r="H1332" s="12">
        <f t="shared" si="52"/>
        <v>7</v>
      </c>
      <c r="I1332" s="12">
        <f t="shared" si="53"/>
        <v>2025</v>
      </c>
    </row>
    <row r="1333" spans="1:9" ht="19.5" customHeight="1" x14ac:dyDescent="0.35">
      <c r="A1333" s="41">
        <v>45867</v>
      </c>
      <c r="B1333" s="8" t="s">
        <v>24</v>
      </c>
      <c r="C1333" s="42" t="s">
        <v>11</v>
      </c>
      <c r="D1333" s="43" t="s">
        <v>29</v>
      </c>
      <c r="E1333" s="46">
        <v>1186951</v>
      </c>
      <c r="F1333" s="2">
        <f>IF(C1333="GBP",E1333*$C$3,IF(C1333="TRY",E1333/$C$1,IF(C1333="EUR",E1333*$E$1,IF(C1333="RUB",E1333/#REF!,IF(C1333="EGP",E1333/$E$2,E1333)))))</f>
        <v>32548.722265945278</v>
      </c>
      <c r="G1333" s="15" t="str">
        <f>VLOOKUP(B1333,SPECIFICATIONF!$C$2:$D$65,2,0)</f>
        <v>GLOBAL RETAIL</v>
      </c>
      <c r="H1333" s="12">
        <f t="shared" si="52"/>
        <v>7</v>
      </c>
      <c r="I1333" s="12">
        <f t="shared" si="53"/>
        <v>2025</v>
      </c>
    </row>
    <row r="1334" spans="1:9" ht="19.5" customHeight="1" x14ac:dyDescent="0.35">
      <c r="A1334" s="41">
        <v>45867</v>
      </c>
      <c r="B1334" s="8" t="s">
        <v>24</v>
      </c>
      <c r="C1334" s="42" t="s">
        <v>33</v>
      </c>
      <c r="D1334" s="43" t="s">
        <v>29</v>
      </c>
      <c r="E1334" s="46">
        <v>0</v>
      </c>
      <c r="F1334" s="2">
        <f>IF(C1334="GBP",E1334*$C$3,IF(C1334="TRY",E1334/$C$1,IF(C1334="EUR",E1334*$E$1,IF(C1334="RUB",E1334/#REF!,IF(C1334="EGP",E1334/$E$2,E1334)))))</f>
        <v>0</v>
      </c>
      <c r="G1334" s="15" t="str">
        <f>VLOOKUP(B1334,SPECIFICATIONF!$C$2:$D$65,2,0)</f>
        <v>GLOBAL RETAIL</v>
      </c>
      <c r="H1334" s="12">
        <f t="shared" si="52"/>
        <v>7</v>
      </c>
      <c r="I1334" s="12">
        <f t="shared" si="53"/>
        <v>2025</v>
      </c>
    </row>
    <row r="1335" spans="1:9" ht="19.5" customHeight="1" x14ac:dyDescent="0.35">
      <c r="A1335" s="41">
        <v>45868</v>
      </c>
      <c r="B1335" s="8" t="s">
        <v>32</v>
      </c>
      <c r="C1335" s="42" t="s">
        <v>11</v>
      </c>
      <c r="D1335" s="43" t="s">
        <v>30</v>
      </c>
      <c r="E1335" s="46">
        <v>1419053.65</v>
      </c>
      <c r="F1335" s="2">
        <f>IF(C1335="GBP",E1335*$C$3,IF(C1335="TRY",E1335/$C$1,IF(C1335="EUR",E1335*$E$1,IF(C1335="RUB",E1335/#REF!,IF(C1335="EGP",E1335/$E$2,E1335)))))</f>
        <v>38913.470846164601</v>
      </c>
      <c r="G1335" s="15" t="str">
        <f>VLOOKUP(B1335,SPECIFICATIONF!$C$2:$D$65,2,0)</f>
        <v>GLOBAL HFT</v>
      </c>
      <c r="H1335" s="12">
        <f t="shared" si="52"/>
        <v>7</v>
      </c>
      <c r="I1335" s="12">
        <f t="shared" si="53"/>
        <v>2025</v>
      </c>
    </row>
    <row r="1336" spans="1:9" ht="19.5" customHeight="1" x14ac:dyDescent="0.35">
      <c r="A1336" s="41">
        <v>45868</v>
      </c>
      <c r="B1336" s="8" t="s">
        <v>32</v>
      </c>
      <c r="C1336" s="42" t="s">
        <v>33</v>
      </c>
      <c r="D1336" s="43" t="s">
        <v>30</v>
      </c>
      <c r="E1336" s="46">
        <v>9926.68</v>
      </c>
      <c r="F1336" s="2">
        <f>IF(C1336="GBP",E1336*$C$3,IF(C1336="TRY",E1336/$C$1,IF(C1336="EUR",E1336*$E$1,IF(C1336="RUB",E1336/#REF!,IF(C1336="EGP",E1336/$E$2,E1336)))))</f>
        <v>9926.68</v>
      </c>
      <c r="G1336" s="15" t="str">
        <f>VLOOKUP(B1336,SPECIFICATIONF!$C$2:$D$65,2,0)</f>
        <v>GLOBAL HFT</v>
      </c>
      <c r="H1336" s="12">
        <f t="shared" si="52"/>
        <v>7</v>
      </c>
      <c r="I1336" s="12">
        <f t="shared" si="53"/>
        <v>2025</v>
      </c>
    </row>
    <row r="1337" spans="1:9" ht="19.5" customHeight="1" x14ac:dyDescent="0.35">
      <c r="A1337" s="41">
        <v>45868</v>
      </c>
      <c r="B1337" s="8" t="s">
        <v>32</v>
      </c>
      <c r="C1337" s="42" t="s">
        <v>11</v>
      </c>
      <c r="D1337" s="43" t="s">
        <v>29</v>
      </c>
      <c r="E1337" s="46">
        <v>5671673790</v>
      </c>
      <c r="F1337" s="2">
        <f>IF(C1337="GBP",E1337*$C$3,IF(C1337="TRY",E1337/$C$1,IF(C1337="EUR",E1337*$E$1,IF(C1337="RUB",E1337/#REF!,IF(C1337="EGP",E1337/$E$2,E1337)))))</f>
        <v>155529364.71156034</v>
      </c>
      <c r="G1337" s="15" t="str">
        <f>VLOOKUP(B1337,SPECIFICATIONF!$C$2:$D$65,2,0)</f>
        <v>GLOBAL HFT</v>
      </c>
      <c r="H1337" s="12">
        <f t="shared" si="52"/>
        <v>7</v>
      </c>
      <c r="I1337" s="12">
        <f t="shared" si="53"/>
        <v>2025</v>
      </c>
    </row>
    <row r="1338" spans="1:9" ht="19.5" customHeight="1" x14ac:dyDescent="0.35">
      <c r="A1338" s="41">
        <v>45868</v>
      </c>
      <c r="B1338" s="8" t="s">
        <v>32</v>
      </c>
      <c r="C1338" s="42" t="s">
        <v>33</v>
      </c>
      <c r="D1338" s="43" t="s">
        <v>29</v>
      </c>
      <c r="E1338" s="46">
        <v>39695589</v>
      </c>
      <c r="F1338" s="2">
        <f>IF(C1338="GBP",E1338*$C$3,IF(C1338="TRY",E1338/$C$1,IF(C1338="EUR",E1338*$E$1,IF(C1338="RUB",E1338/#REF!,IF(C1338="EGP",E1338/$E$2,E1338)))))</f>
        <v>39695589</v>
      </c>
      <c r="G1338" s="15" t="str">
        <f>VLOOKUP(B1338,SPECIFICATIONF!$C$2:$D$65,2,0)</f>
        <v>GLOBAL HFT</v>
      </c>
      <c r="H1338" s="12">
        <f t="shared" si="52"/>
        <v>7</v>
      </c>
      <c r="I1338" s="12">
        <f t="shared" si="53"/>
        <v>2025</v>
      </c>
    </row>
    <row r="1339" spans="1:9" ht="19.5" customHeight="1" x14ac:dyDescent="0.35">
      <c r="A1339" s="41">
        <v>45868</v>
      </c>
      <c r="B1339" s="8" t="s">
        <v>24</v>
      </c>
      <c r="C1339" s="42" t="s">
        <v>11</v>
      </c>
      <c r="D1339" s="43" t="s">
        <v>30</v>
      </c>
      <c r="E1339" s="46">
        <v>225.18</v>
      </c>
      <c r="F1339" s="2">
        <f>IF(C1339="GBP",E1339*$C$3,IF(C1339="TRY",E1339/$C$1,IF(C1339="EUR",E1339*$E$1,IF(C1339="RUB",E1339/#REF!,IF(C1339="EGP",E1339/$E$2,E1339)))))</f>
        <v>6.1749147857372026</v>
      </c>
      <c r="G1339" s="15" t="str">
        <f>VLOOKUP(B1339,SPECIFICATIONF!$C$2:$D$65,2,0)</f>
        <v>GLOBAL RETAIL</v>
      </c>
      <c r="H1339" s="12">
        <f t="shared" si="52"/>
        <v>7</v>
      </c>
      <c r="I1339" s="12">
        <f t="shared" si="53"/>
        <v>2025</v>
      </c>
    </row>
    <row r="1340" spans="1:9" ht="19.5" customHeight="1" x14ac:dyDescent="0.35">
      <c r="A1340" s="41">
        <v>45868</v>
      </c>
      <c r="B1340" s="8" t="s">
        <v>24</v>
      </c>
      <c r="C1340" s="42" t="s">
        <v>33</v>
      </c>
      <c r="D1340" s="43" t="s">
        <v>30</v>
      </c>
      <c r="E1340" s="46">
        <v>0</v>
      </c>
      <c r="F1340" s="2">
        <f>IF(C1340="GBP",E1340*$C$3,IF(C1340="TRY",E1340/$C$1,IF(C1340="EUR",E1340*$E$1,IF(C1340="RUB",E1340/#REF!,IF(C1340="EGP",E1340/$E$2,E1340)))))</f>
        <v>0</v>
      </c>
      <c r="G1340" s="15" t="str">
        <f>VLOOKUP(B1340,SPECIFICATIONF!$C$2:$D$65,2,0)</f>
        <v>GLOBAL RETAIL</v>
      </c>
      <c r="H1340" s="12">
        <f t="shared" si="52"/>
        <v>7</v>
      </c>
      <c r="I1340" s="12">
        <f t="shared" si="53"/>
        <v>2025</v>
      </c>
    </row>
    <row r="1341" spans="1:9" ht="19.5" customHeight="1" x14ac:dyDescent="0.35">
      <c r="A1341" s="41">
        <v>45868</v>
      </c>
      <c r="B1341" s="8" t="s">
        <v>24</v>
      </c>
      <c r="C1341" s="42" t="s">
        <v>11</v>
      </c>
      <c r="D1341" s="43" t="s">
        <v>29</v>
      </c>
      <c r="E1341" s="46">
        <v>250176</v>
      </c>
      <c r="F1341" s="2">
        <f>IF(C1341="GBP",E1341*$C$3,IF(C1341="TRY",E1341/$C$1,IF(C1341="EUR",E1341*$E$1,IF(C1341="RUB",E1341/#REF!,IF(C1341="EGP",E1341/$E$2,E1341)))))</f>
        <v>6860.3582975246036</v>
      </c>
      <c r="G1341" s="15" t="str">
        <f>VLOOKUP(B1341,SPECIFICATIONF!$C$2:$D$65,2,0)</f>
        <v>GLOBAL RETAIL</v>
      </c>
      <c r="H1341" s="12">
        <f t="shared" si="52"/>
        <v>7</v>
      </c>
      <c r="I1341" s="12">
        <f t="shared" si="53"/>
        <v>2025</v>
      </c>
    </row>
    <row r="1342" spans="1:9" ht="19.5" customHeight="1" x14ac:dyDescent="0.35">
      <c r="A1342" s="41">
        <v>45868</v>
      </c>
      <c r="B1342" s="8" t="s">
        <v>24</v>
      </c>
      <c r="C1342" s="42" t="s">
        <v>33</v>
      </c>
      <c r="D1342" s="43" t="s">
        <v>29</v>
      </c>
      <c r="E1342" s="46">
        <v>0</v>
      </c>
      <c r="F1342" s="2">
        <f>IF(C1342="GBP",E1342*$C$3,IF(C1342="TRY",E1342/$C$1,IF(C1342="EUR",E1342*$E$1,IF(C1342="RUB",E1342/#REF!,IF(C1342="EGP",E1342/$E$2,E1342)))))</f>
        <v>0</v>
      </c>
      <c r="G1342" s="15" t="str">
        <f>VLOOKUP(B1342,SPECIFICATIONF!$C$2:$D$65,2,0)</f>
        <v>GLOBAL RETAIL</v>
      </c>
      <c r="H1342" s="12">
        <f t="shared" si="52"/>
        <v>7</v>
      </c>
      <c r="I1342" s="12">
        <f t="shared" si="53"/>
        <v>2025</v>
      </c>
    </row>
    <row r="1343" spans="1:9" ht="19.5" customHeight="1" x14ac:dyDescent="0.35">
      <c r="A1343" s="41">
        <v>45869</v>
      </c>
      <c r="B1343" s="8" t="s">
        <v>32</v>
      </c>
      <c r="C1343" s="42" t="s">
        <v>11</v>
      </c>
      <c r="D1343" s="43" t="s">
        <v>30</v>
      </c>
      <c r="E1343" s="46">
        <v>1611054.25</v>
      </c>
      <c r="F1343" s="2">
        <f>IF(C1343="GBP",E1343*$C$3,IF(C1343="TRY",E1343/$C$1,IF(C1343="EUR",E1343*$E$1,IF(C1343="RUB",E1343/#REF!,IF(C1343="EGP",E1343/$E$2,E1343)))))</f>
        <v>44178.535877741182</v>
      </c>
      <c r="G1343" s="15" t="str">
        <f>VLOOKUP(B1343,SPECIFICATIONF!$C$2:$D$65,2,0)</f>
        <v>GLOBAL HFT</v>
      </c>
      <c r="H1343" s="12">
        <f t="shared" si="52"/>
        <v>7</v>
      </c>
      <c r="I1343" s="12">
        <f t="shared" si="53"/>
        <v>2025</v>
      </c>
    </row>
    <row r="1344" spans="1:9" ht="19.5" customHeight="1" x14ac:dyDescent="0.35">
      <c r="A1344" s="41">
        <v>45869</v>
      </c>
      <c r="B1344" s="8" t="s">
        <v>32</v>
      </c>
      <c r="C1344" s="42" t="s">
        <v>33</v>
      </c>
      <c r="D1344" s="43" t="s">
        <v>30</v>
      </c>
      <c r="E1344" s="46">
        <v>9768.07</v>
      </c>
      <c r="F1344" s="2">
        <f>IF(C1344="GBP",E1344*$C$3,IF(C1344="TRY",E1344/$C$1,IF(C1344="EUR",E1344*$E$1,IF(C1344="RUB",E1344/#REF!,IF(C1344="EGP",E1344/$E$2,E1344)))))</f>
        <v>9768.07</v>
      </c>
      <c r="G1344" s="15" t="str">
        <f>VLOOKUP(B1344,SPECIFICATIONF!$C$2:$D$65,2,0)</f>
        <v>GLOBAL HFT</v>
      </c>
      <c r="H1344" s="12">
        <f t="shared" si="52"/>
        <v>7</v>
      </c>
      <c r="I1344" s="12">
        <f t="shared" si="53"/>
        <v>2025</v>
      </c>
    </row>
    <row r="1345" spans="1:9" ht="19.5" customHeight="1" x14ac:dyDescent="0.35">
      <c r="A1345" s="41">
        <v>45869</v>
      </c>
      <c r="B1345" s="8" t="s">
        <v>32</v>
      </c>
      <c r="C1345" s="42" t="s">
        <v>11</v>
      </c>
      <c r="D1345" s="43" t="s">
        <v>29</v>
      </c>
      <c r="E1345" s="46">
        <v>6441917163</v>
      </c>
      <c r="F1345" s="2">
        <f>IF(C1345="GBP",E1345*$C$3,IF(C1345="TRY",E1345/$C$1,IF(C1345="EUR",E1345*$E$1,IF(C1345="RUB",E1345/#REF!,IF(C1345="EGP",E1345/$E$2,E1345)))))</f>
        <v>176651077.08634403</v>
      </c>
      <c r="G1345" s="15" t="str">
        <f>VLOOKUP(B1345,SPECIFICATIONF!$C$2:$D$65,2,0)</f>
        <v>GLOBAL HFT</v>
      </c>
      <c r="H1345" s="12">
        <f t="shared" si="52"/>
        <v>7</v>
      </c>
      <c r="I1345" s="12">
        <f t="shared" si="53"/>
        <v>2025</v>
      </c>
    </row>
    <row r="1346" spans="1:9" ht="19.5" customHeight="1" x14ac:dyDescent="0.35">
      <c r="A1346" s="41">
        <v>45869</v>
      </c>
      <c r="B1346" s="8" t="s">
        <v>32</v>
      </c>
      <c r="C1346" s="42" t="s">
        <v>33</v>
      </c>
      <c r="D1346" s="43" t="s">
        <v>29</v>
      </c>
      <c r="E1346" s="46">
        <v>38861593</v>
      </c>
      <c r="F1346" s="2">
        <f>IF(C1346="GBP",E1346*$C$3,IF(C1346="TRY",E1346/$C$1,IF(C1346="EUR",E1346*$E$1,IF(C1346="RUB",E1346/#REF!,IF(C1346="EGP",E1346/$E$2,E1346)))))</f>
        <v>38861593</v>
      </c>
      <c r="G1346" s="15" t="str">
        <f>VLOOKUP(B1346,SPECIFICATIONF!$C$2:$D$65,2,0)</f>
        <v>GLOBAL HFT</v>
      </c>
      <c r="H1346" s="12">
        <f t="shared" si="52"/>
        <v>7</v>
      </c>
      <c r="I1346" s="12">
        <f t="shared" si="53"/>
        <v>2025</v>
      </c>
    </row>
    <row r="1347" spans="1:9" ht="19.5" customHeight="1" x14ac:dyDescent="0.35">
      <c r="A1347" s="41">
        <v>45869</v>
      </c>
      <c r="B1347" s="8" t="s">
        <v>24</v>
      </c>
      <c r="C1347" s="42" t="s">
        <v>11</v>
      </c>
      <c r="D1347" s="43" t="s">
        <v>30</v>
      </c>
      <c r="E1347" s="46">
        <v>3.95</v>
      </c>
      <c r="F1347" s="2">
        <f>IF(C1347="GBP",E1347*$C$3,IF(C1347="TRY",E1347/$C$1,IF(C1347="EUR",E1347*$E$1,IF(C1347="RUB",E1347/#REF!,IF(C1347="EGP",E1347/$E$2,E1347)))))</f>
        <v>0.10831740564731304</v>
      </c>
      <c r="G1347" s="15" t="str">
        <f>VLOOKUP(B1347,SPECIFICATIONF!$C$2:$D$65,2,0)</f>
        <v>GLOBAL RETAIL</v>
      </c>
      <c r="H1347" s="12">
        <f t="shared" si="52"/>
        <v>7</v>
      </c>
      <c r="I1347" s="12">
        <f t="shared" si="53"/>
        <v>2025</v>
      </c>
    </row>
    <row r="1348" spans="1:9" ht="19.5" customHeight="1" x14ac:dyDescent="0.35">
      <c r="A1348" s="41">
        <v>45869</v>
      </c>
      <c r="B1348" s="8" t="s">
        <v>24</v>
      </c>
      <c r="C1348" s="42" t="s">
        <v>33</v>
      </c>
      <c r="D1348" s="43" t="s">
        <v>30</v>
      </c>
      <c r="E1348" s="46">
        <v>0.03</v>
      </c>
      <c r="F1348" s="2">
        <f>IF(C1348="GBP",E1348*$C$3,IF(C1348="TRY",E1348/$C$1,IF(C1348="EUR",E1348*$E$1,IF(C1348="RUB",E1348/#REF!,IF(C1348="EGP",E1348/$E$2,E1348)))))</f>
        <v>0.03</v>
      </c>
      <c r="G1348" s="15" t="str">
        <f>VLOOKUP(B1348,SPECIFICATIONF!$C$2:$D$65,2,0)</f>
        <v>GLOBAL RETAIL</v>
      </c>
      <c r="H1348" s="12">
        <f t="shared" si="52"/>
        <v>7</v>
      </c>
      <c r="I1348" s="12">
        <f t="shared" si="53"/>
        <v>2025</v>
      </c>
    </row>
    <row r="1349" spans="1:9" ht="19.5" customHeight="1" x14ac:dyDescent="0.35">
      <c r="A1349" s="41">
        <v>45869</v>
      </c>
      <c r="B1349" s="8" t="s">
        <v>24</v>
      </c>
      <c r="C1349" s="42" t="s">
        <v>11</v>
      </c>
      <c r="D1349" s="43" t="s">
        <v>29</v>
      </c>
      <c r="E1349" s="46">
        <v>3675</v>
      </c>
      <c r="F1349" s="2">
        <f>IF(C1349="GBP",E1349*$C$3,IF(C1349="TRY",E1349/$C$1,IF(C1349="EUR",E1349*$E$1,IF(C1349="RUB",E1349/#REF!,IF(C1349="EGP",E1349/$E$2,E1349)))))</f>
        <v>100.77632044401909</v>
      </c>
      <c r="G1349" s="15" t="str">
        <f>VLOOKUP(B1349,SPECIFICATIONF!$C$2:$D$65,2,0)</f>
        <v>GLOBAL RETAIL</v>
      </c>
      <c r="H1349" s="12">
        <f t="shared" si="52"/>
        <v>7</v>
      </c>
      <c r="I1349" s="12">
        <f t="shared" si="53"/>
        <v>2025</v>
      </c>
    </row>
    <row r="1350" spans="1:9" ht="19.5" customHeight="1" x14ac:dyDescent="0.35">
      <c r="A1350" s="41">
        <v>45869</v>
      </c>
      <c r="B1350" s="8" t="s">
        <v>24</v>
      </c>
      <c r="C1350" s="42" t="s">
        <v>33</v>
      </c>
      <c r="D1350" s="43" t="s">
        <v>29</v>
      </c>
      <c r="E1350" s="46">
        <v>30</v>
      </c>
      <c r="F1350" s="2">
        <f>IF(C1350="GBP",E1350*$C$3,IF(C1350="TRY",E1350/$C$1,IF(C1350="EUR",E1350*$E$1,IF(C1350="RUB",E1350/#REF!,IF(C1350="EGP",E1350/$E$2,E1350)))))</f>
        <v>30</v>
      </c>
      <c r="G1350" s="15" t="str">
        <f>VLOOKUP(B1350,SPECIFICATIONF!$C$2:$D$65,2,0)</f>
        <v>GLOBAL RETAIL</v>
      </c>
      <c r="H1350" s="12">
        <f t="shared" si="52"/>
        <v>7</v>
      </c>
      <c r="I1350" s="12">
        <f t="shared" si="53"/>
        <v>2025</v>
      </c>
    </row>
    <row r="1351" spans="1:9" ht="19.5" customHeight="1" x14ac:dyDescent="0.35">
      <c r="A1351" s="41">
        <v>45870</v>
      </c>
      <c r="B1351" s="8" t="s">
        <v>32</v>
      </c>
      <c r="C1351" s="42" t="s">
        <v>11</v>
      </c>
      <c r="D1351" s="43" t="s">
        <v>30</v>
      </c>
      <c r="E1351" s="46">
        <v>1598186.91</v>
      </c>
      <c r="F1351" s="2">
        <f>IF(C1351="GBP",E1351*$C$3,IF(C1351="TRY",E1351/$C$1,IF(C1351="EUR",E1351*$E$1,IF(C1351="RUB",E1351/#REF!,IF(C1351="EGP",E1351/$E$2,E1351)))))</f>
        <v>43825.686033087535</v>
      </c>
      <c r="G1351" s="15" t="str">
        <f>VLOOKUP(B1351,SPECIFICATIONF!$C$2:$D$65,2,0)</f>
        <v>GLOBAL HFT</v>
      </c>
      <c r="H1351" s="12">
        <f t="shared" si="52"/>
        <v>8</v>
      </c>
      <c r="I1351" s="12">
        <f t="shared" si="53"/>
        <v>2025</v>
      </c>
    </row>
    <row r="1352" spans="1:9" ht="19.5" customHeight="1" x14ac:dyDescent="0.35">
      <c r="A1352" s="41">
        <v>45870</v>
      </c>
      <c r="B1352" s="8" t="s">
        <v>32</v>
      </c>
      <c r="C1352" s="42" t="s">
        <v>33</v>
      </c>
      <c r="D1352" s="43" t="s">
        <v>30</v>
      </c>
      <c r="E1352" s="46">
        <v>11267.16</v>
      </c>
      <c r="F1352" s="2">
        <f>IF(C1352="GBP",E1352*$C$3,IF(C1352="TRY",E1352/$C$1,IF(C1352="EUR",E1352*$E$1,IF(C1352="RUB",E1352/#REF!,IF(C1352="EGP",E1352/$E$2,E1352)))))</f>
        <v>11267.16</v>
      </c>
      <c r="G1352" s="15" t="str">
        <f>VLOOKUP(B1352,SPECIFICATIONF!$C$2:$D$65,2,0)</f>
        <v>GLOBAL HFT</v>
      </c>
      <c r="H1352" s="12">
        <f t="shared" si="52"/>
        <v>8</v>
      </c>
      <c r="I1352" s="12">
        <f t="shared" si="53"/>
        <v>2025</v>
      </c>
    </row>
    <row r="1353" spans="1:9" ht="19.5" customHeight="1" x14ac:dyDescent="0.35">
      <c r="A1353" s="41">
        <v>45870</v>
      </c>
      <c r="B1353" s="8" t="s">
        <v>32</v>
      </c>
      <c r="C1353" s="42" t="s">
        <v>11</v>
      </c>
      <c r="D1353" s="43" t="s">
        <v>29</v>
      </c>
      <c r="E1353" s="46">
        <v>6410253382</v>
      </c>
      <c r="F1353" s="2">
        <f>IF(C1353="GBP",E1353*$C$3,IF(C1353="TRY",E1353/$C$1,IF(C1353="EUR",E1353*$E$1,IF(C1353="RUB",E1353/#REF!,IF(C1353="EGP",E1353/$E$2,E1353)))))</f>
        <v>175782788.8304188</v>
      </c>
      <c r="G1353" s="15" t="str">
        <f>VLOOKUP(B1353,SPECIFICATIONF!$C$2:$D$65,2,0)</f>
        <v>GLOBAL HFT</v>
      </c>
      <c r="H1353" s="12">
        <f t="shared" si="52"/>
        <v>8</v>
      </c>
      <c r="I1353" s="12">
        <f t="shared" si="53"/>
        <v>2025</v>
      </c>
    </row>
    <row r="1354" spans="1:9" ht="19.5" customHeight="1" x14ac:dyDescent="0.35">
      <c r="A1354" s="41">
        <v>45870</v>
      </c>
      <c r="B1354" s="8" t="s">
        <v>32</v>
      </c>
      <c r="C1354" s="42" t="s">
        <v>33</v>
      </c>
      <c r="D1354" s="43" t="s">
        <v>29</v>
      </c>
      <c r="E1354" s="46">
        <v>44625696</v>
      </c>
      <c r="F1354" s="2">
        <f>IF(C1354="GBP",E1354*$C$3,IF(C1354="TRY",E1354/$C$1,IF(C1354="EUR",E1354*$E$1,IF(C1354="RUB",E1354/#REF!,IF(C1354="EGP",E1354/$E$2,E1354)))))</f>
        <v>44625696</v>
      </c>
      <c r="G1354" s="15" t="str">
        <f>VLOOKUP(B1354,SPECIFICATIONF!$C$2:$D$65,2,0)</f>
        <v>GLOBAL HFT</v>
      </c>
      <c r="H1354" s="12">
        <f t="shared" si="52"/>
        <v>8</v>
      </c>
      <c r="I1354" s="12">
        <f t="shared" si="53"/>
        <v>2025</v>
      </c>
    </row>
    <row r="1355" spans="1:9" ht="19.5" customHeight="1" x14ac:dyDescent="0.35">
      <c r="A1355" s="41">
        <v>45870</v>
      </c>
      <c r="B1355" s="8" t="s">
        <v>24</v>
      </c>
      <c r="C1355" s="42" t="s">
        <v>11</v>
      </c>
      <c r="D1355" s="43" t="s">
        <v>30</v>
      </c>
      <c r="E1355" s="46">
        <v>1379.96</v>
      </c>
      <c r="F1355" s="2">
        <f>IF(C1355="GBP",E1355*$C$3,IF(C1355="TRY",E1355/$C$1,IF(C1355="EUR",E1355*$E$1,IF(C1355="RUB",E1355/#REF!,IF(C1355="EGP",E1355/$E$2,E1355)))))</f>
        <v>37.841439771409142</v>
      </c>
      <c r="G1355" s="15" t="str">
        <f>VLOOKUP(B1355,SPECIFICATIONF!$C$2:$D$65,2,0)</f>
        <v>GLOBAL RETAIL</v>
      </c>
      <c r="H1355" s="12">
        <f t="shared" si="52"/>
        <v>8</v>
      </c>
      <c r="I1355" s="12">
        <f t="shared" si="53"/>
        <v>2025</v>
      </c>
    </row>
    <row r="1356" spans="1:9" ht="19.5" customHeight="1" x14ac:dyDescent="0.35">
      <c r="A1356" s="41">
        <v>45870</v>
      </c>
      <c r="B1356" s="8" t="s">
        <v>24</v>
      </c>
      <c r="C1356" s="42" t="s">
        <v>33</v>
      </c>
      <c r="D1356" s="43" t="s">
        <v>30</v>
      </c>
      <c r="E1356" s="46">
        <v>9.65</v>
      </c>
      <c r="F1356" s="2">
        <f>IF(C1356="GBP",E1356*$C$3,IF(C1356="TRY",E1356/$C$1,IF(C1356="EUR",E1356*$E$1,IF(C1356="RUB",E1356/#REF!,IF(C1356="EGP",E1356/$E$2,E1356)))))</f>
        <v>9.65</v>
      </c>
      <c r="G1356" s="15" t="str">
        <f>VLOOKUP(B1356,SPECIFICATIONF!$C$2:$D$65,2,0)</f>
        <v>GLOBAL RETAIL</v>
      </c>
      <c r="H1356" s="12">
        <f t="shared" si="52"/>
        <v>8</v>
      </c>
      <c r="I1356" s="12">
        <f t="shared" si="53"/>
        <v>2025</v>
      </c>
    </row>
    <row r="1357" spans="1:9" ht="19.5" customHeight="1" x14ac:dyDescent="0.35">
      <c r="A1357" s="41">
        <v>45870</v>
      </c>
      <c r="B1357" s="8" t="s">
        <v>24</v>
      </c>
      <c r="C1357" s="42" t="s">
        <v>11</v>
      </c>
      <c r="D1357" s="43" t="s">
        <v>29</v>
      </c>
      <c r="E1357" s="46">
        <v>1394244</v>
      </c>
      <c r="F1357" s="2">
        <f>IF(C1357="GBP",E1357*$C$3,IF(C1357="TRY",E1357/$C$1,IF(C1357="EUR",E1357*$E$1,IF(C1357="RUB",E1357/#REF!,IF(C1357="EGP",E1357/$E$2,E1357)))))</f>
        <v>38233.137447932233</v>
      </c>
      <c r="G1357" s="15" t="str">
        <f>VLOOKUP(B1357,SPECIFICATIONF!$C$2:$D$65,2,0)</f>
        <v>GLOBAL RETAIL</v>
      </c>
      <c r="H1357" s="12">
        <f t="shared" si="52"/>
        <v>8</v>
      </c>
      <c r="I1357" s="12">
        <f t="shared" si="53"/>
        <v>2025</v>
      </c>
    </row>
    <row r="1358" spans="1:9" ht="19.5" customHeight="1" x14ac:dyDescent="0.35">
      <c r="A1358" s="41">
        <v>45870</v>
      </c>
      <c r="B1358" s="8" t="s">
        <v>24</v>
      </c>
      <c r="C1358" s="42" t="s">
        <v>33</v>
      </c>
      <c r="D1358" s="43" t="s">
        <v>29</v>
      </c>
      <c r="E1358" s="46">
        <v>9646</v>
      </c>
      <c r="F1358" s="2">
        <f>IF(C1358="GBP",E1358*$C$3,IF(C1358="TRY",E1358/$C$1,IF(C1358="EUR",E1358*$E$1,IF(C1358="RUB",E1358/#REF!,IF(C1358="EGP",E1358/$E$2,E1358)))))</f>
        <v>9646</v>
      </c>
      <c r="G1358" s="15" t="str">
        <f>VLOOKUP(B1358,SPECIFICATIONF!$C$2:$D$65,2,0)</f>
        <v>GLOBAL RETAIL</v>
      </c>
      <c r="H1358" s="12">
        <f t="shared" si="52"/>
        <v>8</v>
      </c>
      <c r="I1358" s="12">
        <f t="shared" si="53"/>
        <v>2025</v>
      </c>
    </row>
    <row r="1359" spans="1:9" ht="19.5" customHeight="1" x14ac:dyDescent="0.35">
      <c r="A1359" s="41">
        <v>45871</v>
      </c>
      <c r="B1359" s="8" t="s">
        <v>32</v>
      </c>
      <c r="C1359" s="42" t="s">
        <v>11</v>
      </c>
      <c r="D1359" s="43" t="s">
        <v>30</v>
      </c>
      <c r="E1359" s="46">
        <v>1525531.41</v>
      </c>
      <c r="F1359" s="2">
        <f>IF(C1359="GBP",E1359*$C$3,IF(C1359="TRY",E1359/$C$1,IF(C1359="EUR",E1359*$E$1,IF(C1359="RUB",E1359/#REF!,IF(C1359="EGP",E1359/$E$2,E1359)))))</f>
        <v>41833.317611313265</v>
      </c>
      <c r="G1359" s="15" t="str">
        <f>VLOOKUP(B1359,SPECIFICATIONF!$C$2:$D$65,2,0)</f>
        <v>GLOBAL HFT</v>
      </c>
      <c r="H1359" s="12">
        <f t="shared" si="52"/>
        <v>8</v>
      </c>
      <c r="I1359" s="12">
        <f t="shared" si="53"/>
        <v>2025</v>
      </c>
    </row>
    <row r="1360" spans="1:9" ht="19.5" customHeight="1" x14ac:dyDescent="0.35">
      <c r="A1360" s="41">
        <v>45871</v>
      </c>
      <c r="B1360" s="8" t="s">
        <v>32</v>
      </c>
      <c r="C1360" s="42" t="s">
        <v>33</v>
      </c>
      <c r="D1360" s="43" t="s">
        <v>30</v>
      </c>
      <c r="E1360" s="46">
        <v>10013.030000000001</v>
      </c>
      <c r="F1360" s="2">
        <f>IF(C1360="GBP",E1360*$C$3,IF(C1360="TRY",E1360/$C$1,IF(C1360="EUR",E1360*$E$1,IF(C1360="RUB",E1360/#REF!,IF(C1360="EGP",E1360/$E$2,E1360)))))</f>
        <v>10013.030000000001</v>
      </c>
      <c r="G1360" s="15" t="str">
        <f>VLOOKUP(B1360,SPECIFICATIONF!$C$2:$D$65,2,0)</f>
        <v>GLOBAL HFT</v>
      </c>
      <c r="H1360" s="12">
        <f t="shared" si="52"/>
        <v>8</v>
      </c>
      <c r="I1360" s="12">
        <f t="shared" si="53"/>
        <v>2025</v>
      </c>
    </row>
    <row r="1361" spans="1:9" ht="19.5" customHeight="1" x14ac:dyDescent="0.35">
      <c r="A1361" s="41">
        <v>45871</v>
      </c>
      <c r="B1361" s="8" t="s">
        <v>32</v>
      </c>
      <c r="C1361" s="42" t="s">
        <v>11</v>
      </c>
      <c r="D1361" s="43" t="s">
        <v>29</v>
      </c>
      <c r="E1361" s="46">
        <v>6283420890</v>
      </c>
      <c r="F1361" s="2">
        <f>IF(C1361="GBP",E1361*$C$3,IF(C1361="TRY",E1361/$C$1,IF(C1361="EUR",E1361*$E$1,IF(C1361="RUB",E1361/#REF!,IF(C1361="EGP",E1361/$E$2,E1361)))))</f>
        <v>172304771.99871662</v>
      </c>
      <c r="G1361" s="15" t="str">
        <f>VLOOKUP(B1361,SPECIFICATIONF!$C$2:$D$65,2,0)</f>
        <v>GLOBAL HFT</v>
      </c>
      <c r="H1361" s="12">
        <f t="shared" si="52"/>
        <v>8</v>
      </c>
      <c r="I1361" s="12">
        <f t="shared" si="53"/>
        <v>2025</v>
      </c>
    </row>
    <row r="1362" spans="1:9" ht="19.5" customHeight="1" x14ac:dyDescent="0.35">
      <c r="A1362" s="41">
        <v>45871</v>
      </c>
      <c r="B1362" s="8" t="s">
        <v>32</v>
      </c>
      <c r="C1362" s="42" t="s">
        <v>33</v>
      </c>
      <c r="D1362" s="43" t="s">
        <v>29</v>
      </c>
      <c r="E1362" s="46">
        <v>37401722</v>
      </c>
      <c r="F1362" s="2">
        <f>IF(C1362="GBP",E1362*$C$3,IF(C1362="TRY",E1362/$C$1,IF(C1362="EUR",E1362*$E$1,IF(C1362="RUB",E1362/#REF!,IF(C1362="EGP",E1362/$E$2,E1362)))))</f>
        <v>37401722</v>
      </c>
      <c r="G1362" s="15" t="str">
        <f>VLOOKUP(B1362,SPECIFICATIONF!$C$2:$D$65,2,0)</f>
        <v>GLOBAL HFT</v>
      </c>
      <c r="H1362" s="12">
        <f t="shared" si="52"/>
        <v>8</v>
      </c>
      <c r="I1362" s="12">
        <f t="shared" si="53"/>
        <v>2025</v>
      </c>
    </row>
    <row r="1363" spans="1:9" ht="19.5" customHeight="1" x14ac:dyDescent="0.35">
      <c r="A1363" s="41">
        <v>45871</v>
      </c>
      <c r="B1363" s="8" t="s">
        <v>24</v>
      </c>
      <c r="C1363" s="42" t="s">
        <v>11</v>
      </c>
      <c r="D1363" s="43" t="s">
        <v>30</v>
      </c>
      <c r="E1363" s="46">
        <v>137.72999999999999</v>
      </c>
      <c r="F1363" s="2">
        <f>IF(C1363="GBP",E1363*$C$3,IF(C1363="TRY",E1363/$C$1,IF(C1363="EUR",E1363*$E$1,IF(C1363="RUB",E1363/#REF!,IF(C1363="EGP",E1363/$E$2,E1363)))))</f>
        <v>3.7768496910897276</v>
      </c>
      <c r="G1363" s="15" t="str">
        <f>VLOOKUP(B1363,SPECIFICATIONF!$C$2:$D$65,2,0)</f>
        <v>GLOBAL RETAIL</v>
      </c>
      <c r="H1363" s="12">
        <f t="shared" si="52"/>
        <v>8</v>
      </c>
      <c r="I1363" s="12">
        <f t="shared" si="53"/>
        <v>2025</v>
      </c>
    </row>
    <row r="1364" spans="1:9" ht="19.5" customHeight="1" x14ac:dyDescent="0.35">
      <c r="A1364" s="41">
        <v>45871</v>
      </c>
      <c r="B1364" s="8" t="s">
        <v>24</v>
      </c>
      <c r="C1364" s="42" t="s">
        <v>33</v>
      </c>
      <c r="D1364" s="43" t="s">
        <v>30</v>
      </c>
      <c r="E1364" s="46">
        <v>0</v>
      </c>
      <c r="F1364" s="2">
        <f>IF(C1364="GBP",E1364*$C$3,IF(C1364="TRY",E1364/$C$1,IF(C1364="EUR",E1364*$E$1,IF(C1364="RUB",E1364/#REF!,IF(C1364="EGP",E1364/$E$2,E1364)))))</f>
        <v>0</v>
      </c>
      <c r="G1364" s="15" t="str">
        <f>VLOOKUP(B1364,SPECIFICATIONF!$C$2:$D$65,2,0)</f>
        <v>GLOBAL RETAIL</v>
      </c>
      <c r="H1364" s="12">
        <f t="shared" si="52"/>
        <v>8</v>
      </c>
      <c r="I1364" s="12">
        <f t="shared" si="53"/>
        <v>2025</v>
      </c>
    </row>
    <row r="1365" spans="1:9" ht="19.5" customHeight="1" x14ac:dyDescent="0.35">
      <c r="A1365" s="41">
        <v>45871</v>
      </c>
      <c r="B1365" s="8" t="s">
        <v>24</v>
      </c>
      <c r="C1365" s="42" t="s">
        <v>11</v>
      </c>
      <c r="D1365" s="43" t="s">
        <v>29</v>
      </c>
      <c r="E1365" s="46">
        <v>125210</v>
      </c>
      <c r="F1365" s="2">
        <f>IF(C1365="GBP",E1365*$C$3,IF(C1365="TRY",E1365/$C$1,IF(C1365="EUR",E1365*$E$1,IF(C1365="RUB",E1365/#REF!,IF(C1365="EGP",E1365/$E$2,E1365)))))</f>
        <v>3433.5246483797632</v>
      </c>
      <c r="G1365" s="15" t="str">
        <f>VLOOKUP(B1365,SPECIFICATIONF!$C$2:$D$65,2,0)</f>
        <v>GLOBAL RETAIL</v>
      </c>
      <c r="H1365" s="12">
        <f t="shared" si="52"/>
        <v>8</v>
      </c>
      <c r="I1365" s="12">
        <f t="shared" si="53"/>
        <v>2025</v>
      </c>
    </row>
    <row r="1366" spans="1:9" ht="19.5" customHeight="1" x14ac:dyDescent="0.35">
      <c r="A1366" s="41">
        <v>45871</v>
      </c>
      <c r="B1366" s="8" t="s">
        <v>24</v>
      </c>
      <c r="C1366" s="42" t="s">
        <v>33</v>
      </c>
      <c r="D1366" s="43" t="s">
        <v>29</v>
      </c>
      <c r="E1366" s="46">
        <v>0</v>
      </c>
      <c r="F1366" s="2">
        <f>IF(C1366="GBP",E1366*$C$3,IF(C1366="TRY",E1366/$C$1,IF(C1366="EUR",E1366*$E$1,IF(C1366="RUB",E1366/#REF!,IF(C1366="EGP",E1366/$E$2,E1366)))))</f>
        <v>0</v>
      </c>
      <c r="G1366" s="15" t="str">
        <f>VLOOKUP(B1366,SPECIFICATIONF!$C$2:$D$65,2,0)</f>
        <v>GLOBAL RETAIL</v>
      </c>
      <c r="H1366" s="12">
        <f t="shared" si="52"/>
        <v>8</v>
      </c>
      <c r="I1366" s="12">
        <f t="shared" si="53"/>
        <v>2025</v>
      </c>
    </row>
    <row r="1367" spans="1:9" ht="19.5" customHeight="1" x14ac:dyDescent="0.35">
      <c r="A1367" s="41">
        <v>45872</v>
      </c>
      <c r="B1367" s="8" t="s">
        <v>32</v>
      </c>
      <c r="C1367" s="42" t="s">
        <v>11</v>
      </c>
      <c r="D1367" s="43" t="s">
        <v>30</v>
      </c>
      <c r="E1367" s="46">
        <v>1243620.06</v>
      </c>
      <c r="F1367" s="2">
        <f>IF(C1367="GBP",E1367*$C$3,IF(C1367="TRY",E1367/$C$1,IF(C1367="EUR",E1367*$E$1,IF(C1367="RUB",E1367/#REF!,IF(C1367="EGP",E1367/$E$2,E1367)))))</f>
        <v>34102.708483583745</v>
      </c>
      <c r="G1367" s="15" t="str">
        <f>VLOOKUP(B1367,SPECIFICATIONF!$C$2:$D$65,2,0)</f>
        <v>GLOBAL HFT</v>
      </c>
      <c r="H1367" s="12">
        <f t="shared" si="52"/>
        <v>8</v>
      </c>
      <c r="I1367" s="12">
        <f t="shared" si="53"/>
        <v>2025</v>
      </c>
    </row>
    <row r="1368" spans="1:9" ht="19.5" customHeight="1" x14ac:dyDescent="0.35">
      <c r="A1368" s="41">
        <v>45872</v>
      </c>
      <c r="B1368" s="8" t="s">
        <v>32</v>
      </c>
      <c r="C1368" s="42" t="s">
        <v>33</v>
      </c>
      <c r="D1368" s="43" t="s">
        <v>30</v>
      </c>
      <c r="E1368" s="46">
        <v>7256.78</v>
      </c>
      <c r="F1368" s="2">
        <f>IF(C1368="GBP",E1368*$C$3,IF(C1368="TRY",E1368/$C$1,IF(C1368="EUR",E1368*$E$1,IF(C1368="RUB",E1368/#REF!,IF(C1368="EGP",E1368/$E$2,E1368)))))</f>
        <v>7256.78</v>
      </c>
      <c r="G1368" s="15" t="str">
        <f>VLOOKUP(B1368,SPECIFICATIONF!$C$2:$D$65,2,0)</f>
        <v>GLOBAL HFT</v>
      </c>
      <c r="H1368" s="12">
        <f t="shared" si="52"/>
        <v>8</v>
      </c>
      <c r="I1368" s="12">
        <f t="shared" si="53"/>
        <v>2025</v>
      </c>
    </row>
    <row r="1369" spans="1:9" ht="19.5" customHeight="1" x14ac:dyDescent="0.35">
      <c r="A1369" s="41">
        <v>45872</v>
      </c>
      <c r="B1369" s="8" t="s">
        <v>32</v>
      </c>
      <c r="C1369" s="42" t="s">
        <v>11</v>
      </c>
      <c r="D1369" s="43" t="s">
        <v>29</v>
      </c>
      <c r="E1369" s="46">
        <v>5058573064</v>
      </c>
      <c r="F1369" s="2">
        <f>IF(C1369="GBP",E1369*$C$3,IF(C1369="TRY",E1369/$C$1,IF(C1369="EUR",E1369*$E$1,IF(C1369="RUB",E1369/#REF!,IF(C1369="EGP",E1369/$E$2,E1369)))))</f>
        <v>138716838.11895171</v>
      </c>
      <c r="G1369" s="15" t="str">
        <f>VLOOKUP(B1369,SPECIFICATIONF!$C$2:$D$65,2,0)</f>
        <v>GLOBAL HFT</v>
      </c>
      <c r="H1369" s="12">
        <f t="shared" si="52"/>
        <v>8</v>
      </c>
      <c r="I1369" s="12">
        <f t="shared" si="53"/>
        <v>2025</v>
      </c>
    </row>
    <row r="1370" spans="1:9" ht="19.5" customHeight="1" x14ac:dyDescent="0.35">
      <c r="A1370" s="41">
        <v>45872</v>
      </c>
      <c r="B1370" s="8" t="s">
        <v>32</v>
      </c>
      <c r="C1370" s="42" t="s">
        <v>33</v>
      </c>
      <c r="D1370" s="43" t="s">
        <v>29</v>
      </c>
      <c r="E1370" s="46">
        <v>29161739</v>
      </c>
      <c r="F1370" s="2">
        <f>IF(C1370="GBP",E1370*$C$3,IF(C1370="TRY",E1370/$C$1,IF(C1370="EUR",E1370*$E$1,IF(C1370="RUB",E1370/#REF!,IF(C1370="EGP",E1370/$E$2,E1370)))))</f>
        <v>29161739</v>
      </c>
      <c r="G1370" s="15" t="str">
        <f>VLOOKUP(B1370,SPECIFICATIONF!$C$2:$D$65,2,0)</f>
        <v>GLOBAL HFT</v>
      </c>
      <c r="H1370" s="12">
        <f t="shared" si="52"/>
        <v>8</v>
      </c>
      <c r="I1370" s="12">
        <f t="shared" si="53"/>
        <v>2025</v>
      </c>
    </row>
    <row r="1371" spans="1:9" ht="19.5" customHeight="1" x14ac:dyDescent="0.35">
      <c r="A1371" s="41">
        <v>45872</v>
      </c>
      <c r="B1371" s="8" t="s">
        <v>24</v>
      </c>
      <c r="C1371" s="42" t="s">
        <v>11</v>
      </c>
      <c r="D1371" s="43" t="s">
        <v>30</v>
      </c>
      <c r="E1371" s="46">
        <v>0</v>
      </c>
      <c r="F1371" s="2">
        <f>IF(C1371="GBP",E1371*$C$3,IF(C1371="TRY",E1371/$C$1,IF(C1371="EUR",E1371*$E$1,IF(C1371="RUB",E1371/#REF!,IF(C1371="EGP",E1371/$E$2,E1371)))))</f>
        <v>0</v>
      </c>
      <c r="G1371" s="15" t="str">
        <f>VLOOKUP(B1371,SPECIFICATIONF!$C$2:$D$65,2,0)</f>
        <v>GLOBAL RETAIL</v>
      </c>
      <c r="H1371" s="12">
        <f t="shared" si="52"/>
        <v>8</v>
      </c>
      <c r="I1371" s="12">
        <f t="shared" si="53"/>
        <v>2025</v>
      </c>
    </row>
    <row r="1372" spans="1:9" ht="19.5" customHeight="1" x14ac:dyDescent="0.35">
      <c r="A1372" s="41">
        <v>45872</v>
      </c>
      <c r="B1372" s="8" t="s">
        <v>24</v>
      </c>
      <c r="C1372" s="42" t="s">
        <v>33</v>
      </c>
      <c r="D1372" s="43" t="s">
        <v>30</v>
      </c>
      <c r="E1372" s="46">
        <v>0</v>
      </c>
      <c r="F1372" s="2">
        <f>IF(C1372="GBP",E1372*$C$3,IF(C1372="TRY",E1372/$C$1,IF(C1372="EUR",E1372*$E$1,IF(C1372="RUB",E1372/#REF!,IF(C1372="EGP",E1372/$E$2,E1372)))))</f>
        <v>0</v>
      </c>
      <c r="G1372" s="15" t="str">
        <f>VLOOKUP(B1372,SPECIFICATIONF!$C$2:$D$65,2,0)</f>
        <v>GLOBAL RETAIL</v>
      </c>
      <c r="H1372" s="12">
        <f t="shared" si="52"/>
        <v>8</v>
      </c>
      <c r="I1372" s="12">
        <f t="shared" si="53"/>
        <v>2025</v>
      </c>
    </row>
    <row r="1373" spans="1:9" ht="19.5" customHeight="1" x14ac:dyDescent="0.35">
      <c r="A1373" s="41">
        <v>45872</v>
      </c>
      <c r="B1373" s="8" t="s">
        <v>24</v>
      </c>
      <c r="C1373" s="42" t="s">
        <v>11</v>
      </c>
      <c r="D1373" s="43" t="s">
        <v>29</v>
      </c>
      <c r="E1373" s="46">
        <v>0</v>
      </c>
      <c r="F1373" s="2">
        <f>IF(C1373="GBP",E1373*$C$3,IF(C1373="TRY",E1373/$C$1,IF(C1373="EUR",E1373*$E$1,IF(C1373="RUB",E1373/#REF!,IF(C1373="EGP",E1373/$E$2,E1373)))))</f>
        <v>0</v>
      </c>
      <c r="G1373" s="15" t="str">
        <f>VLOOKUP(B1373,SPECIFICATIONF!$C$2:$D$65,2,0)</f>
        <v>GLOBAL RETAIL</v>
      </c>
      <c r="H1373" s="12">
        <f t="shared" si="52"/>
        <v>8</v>
      </c>
      <c r="I1373" s="12">
        <f t="shared" si="53"/>
        <v>2025</v>
      </c>
    </row>
    <row r="1374" spans="1:9" ht="19.5" customHeight="1" x14ac:dyDescent="0.35">
      <c r="A1374" s="41">
        <v>45872</v>
      </c>
      <c r="B1374" s="8" t="s">
        <v>24</v>
      </c>
      <c r="C1374" s="42" t="s">
        <v>33</v>
      </c>
      <c r="D1374" s="43" t="s">
        <v>29</v>
      </c>
      <c r="E1374" s="46">
        <v>0</v>
      </c>
      <c r="F1374" s="2">
        <f>IF(C1374="GBP",E1374*$C$3,IF(C1374="TRY",E1374/$C$1,IF(C1374="EUR",E1374*$E$1,IF(C1374="RUB",E1374/#REF!,IF(C1374="EGP",E1374/$E$2,E1374)))))</f>
        <v>0</v>
      </c>
      <c r="G1374" s="15" t="str">
        <f>VLOOKUP(B1374,SPECIFICATIONF!$C$2:$D$65,2,0)</f>
        <v>GLOBAL RETAIL</v>
      </c>
      <c r="H1374" s="12">
        <f t="shared" si="52"/>
        <v>8</v>
      </c>
      <c r="I1374" s="12">
        <f t="shared" si="53"/>
        <v>2025</v>
      </c>
    </row>
    <row r="1375" spans="1:9" ht="19.5" customHeight="1" x14ac:dyDescent="0.35">
      <c r="A1375" s="41">
        <v>45873</v>
      </c>
      <c r="B1375" s="8" t="s">
        <v>32</v>
      </c>
      <c r="C1375" s="42" t="s">
        <v>11</v>
      </c>
      <c r="D1375" s="43" t="s">
        <v>30</v>
      </c>
      <c r="E1375" s="46">
        <v>1907388.8</v>
      </c>
      <c r="F1375" s="2">
        <f>IF(C1375="GBP",E1375*$C$3,IF(C1375="TRY",E1375/$C$1,IF(C1375="EUR",E1375*$E$1,IF(C1375="RUB",E1375/#REF!,IF(C1375="EGP",E1375/$E$2,E1375)))))</f>
        <v>52304.65984221307</v>
      </c>
      <c r="G1375" s="15" t="str">
        <f>VLOOKUP(B1375,SPECIFICATIONF!$C$2:$D$65,2,0)</f>
        <v>GLOBAL HFT</v>
      </c>
      <c r="H1375" s="12">
        <f t="shared" si="52"/>
        <v>8</v>
      </c>
      <c r="I1375" s="12">
        <f t="shared" si="53"/>
        <v>2025</v>
      </c>
    </row>
    <row r="1376" spans="1:9" ht="19.5" customHeight="1" x14ac:dyDescent="0.35">
      <c r="A1376" s="41">
        <v>45873</v>
      </c>
      <c r="B1376" s="8" t="s">
        <v>32</v>
      </c>
      <c r="C1376" s="42" t="s">
        <v>33</v>
      </c>
      <c r="D1376" s="43" t="s">
        <v>30</v>
      </c>
      <c r="E1376" s="46">
        <v>11601.74</v>
      </c>
      <c r="F1376" s="2">
        <f>IF(C1376="GBP",E1376*$C$3,IF(C1376="TRY",E1376/$C$1,IF(C1376="EUR",E1376*$E$1,IF(C1376="RUB",E1376/#REF!,IF(C1376="EGP",E1376/$E$2,E1376)))))</f>
        <v>11601.74</v>
      </c>
      <c r="G1376" s="15" t="str">
        <f>VLOOKUP(B1376,SPECIFICATIONF!$C$2:$D$65,2,0)</f>
        <v>GLOBAL HFT</v>
      </c>
      <c r="H1376" s="12">
        <f t="shared" si="52"/>
        <v>8</v>
      </c>
      <c r="I1376" s="12">
        <f t="shared" si="53"/>
        <v>2025</v>
      </c>
    </row>
    <row r="1377" spans="1:9" ht="19.5" customHeight="1" x14ac:dyDescent="0.35">
      <c r="A1377" s="41">
        <v>45873</v>
      </c>
      <c r="B1377" s="8" t="s">
        <v>32</v>
      </c>
      <c r="C1377" s="42" t="s">
        <v>11</v>
      </c>
      <c r="D1377" s="43" t="s">
        <v>29</v>
      </c>
      <c r="E1377" s="46">
        <v>7474683741</v>
      </c>
      <c r="F1377" s="2">
        <f>IF(C1377="GBP",E1377*$C$3,IF(C1377="TRY",E1377/$C$1,IF(C1377="EUR",E1377*$E$1,IF(C1377="RUB",E1377/#REF!,IF(C1377="EGP",E1377/$E$2,E1377)))))</f>
        <v>204971734.39475247</v>
      </c>
      <c r="G1377" s="15" t="str">
        <f>VLOOKUP(B1377,SPECIFICATIONF!$C$2:$D$65,2,0)</f>
        <v>GLOBAL HFT</v>
      </c>
      <c r="H1377" s="12">
        <f t="shared" si="52"/>
        <v>8</v>
      </c>
      <c r="I1377" s="12">
        <f t="shared" si="53"/>
        <v>2025</v>
      </c>
    </row>
    <row r="1378" spans="1:9" ht="19.5" customHeight="1" x14ac:dyDescent="0.35">
      <c r="A1378" s="41">
        <v>45873</v>
      </c>
      <c r="B1378" s="8" t="s">
        <v>32</v>
      </c>
      <c r="C1378" s="42" t="s">
        <v>33</v>
      </c>
      <c r="D1378" s="43" t="s">
        <v>29</v>
      </c>
      <c r="E1378" s="46">
        <v>43458535</v>
      </c>
      <c r="F1378" s="2">
        <f>IF(C1378="GBP",E1378*$C$3,IF(C1378="TRY",E1378/$C$1,IF(C1378="EUR",E1378*$E$1,IF(C1378="RUB",E1378/#REF!,IF(C1378="EGP",E1378/$E$2,E1378)))))</f>
        <v>43458535</v>
      </c>
      <c r="G1378" s="15" t="str">
        <f>VLOOKUP(B1378,SPECIFICATIONF!$C$2:$D$65,2,0)</f>
        <v>GLOBAL HFT</v>
      </c>
      <c r="H1378" s="12">
        <f t="shared" si="52"/>
        <v>8</v>
      </c>
      <c r="I1378" s="12">
        <f t="shared" si="53"/>
        <v>2025</v>
      </c>
    </row>
    <row r="1379" spans="1:9" ht="19.5" customHeight="1" x14ac:dyDescent="0.35">
      <c r="A1379" s="41">
        <v>45873</v>
      </c>
      <c r="B1379" s="8" t="s">
        <v>24</v>
      </c>
      <c r="C1379" s="42" t="s">
        <v>11</v>
      </c>
      <c r="D1379" s="43" t="s">
        <v>30</v>
      </c>
      <c r="E1379" s="46">
        <v>0.22</v>
      </c>
      <c r="F1379" s="2">
        <f>IF(C1379="GBP",E1379*$C$3,IF(C1379="TRY",E1379/$C$1,IF(C1379="EUR",E1379*$E$1,IF(C1379="RUB",E1379/#REF!,IF(C1379="EGP",E1379/$E$2,E1379)))))</f>
        <v>6.0328681626351565E-3</v>
      </c>
      <c r="G1379" s="15" t="str">
        <f>VLOOKUP(B1379,SPECIFICATIONF!$C$2:$D$65,2,0)</f>
        <v>GLOBAL RETAIL</v>
      </c>
      <c r="H1379" s="12">
        <f t="shared" si="52"/>
        <v>8</v>
      </c>
      <c r="I1379" s="12">
        <f t="shared" si="53"/>
        <v>2025</v>
      </c>
    </row>
    <row r="1380" spans="1:9" ht="19.5" customHeight="1" x14ac:dyDescent="0.35">
      <c r="A1380" s="41">
        <v>45873</v>
      </c>
      <c r="B1380" s="8" t="s">
        <v>24</v>
      </c>
      <c r="C1380" s="42" t="s">
        <v>33</v>
      </c>
      <c r="D1380" s="43" t="s">
        <v>30</v>
      </c>
      <c r="E1380" s="46">
        <v>0.02</v>
      </c>
      <c r="F1380" s="2">
        <f>IF(C1380="GBP",E1380*$C$3,IF(C1380="TRY",E1380/$C$1,IF(C1380="EUR",E1380*$E$1,IF(C1380="RUB",E1380/#REF!,IF(C1380="EGP",E1380/$E$2,E1380)))))</f>
        <v>0.02</v>
      </c>
      <c r="G1380" s="15" t="str">
        <f>VLOOKUP(B1380,SPECIFICATIONF!$C$2:$D$65,2,0)</f>
        <v>GLOBAL RETAIL</v>
      </c>
      <c r="H1380" s="12">
        <f t="shared" si="52"/>
        <v>8</v>
      </c>
      <c r="I1380" s="12">
        <f t="shared" si="53"/>
        <v>2025</v>
      </c>
    </row>
    <row r="1381" spans="1:9" ht="19.5" customHeight="1" x14ac:dyDescent="0.35">
      <c r="A1381" s="41">
        <v>45873</v>
      </c>
      <c r="B1381" s="8" t="s">
        <v>24</v>
      </c>
      <c r="C1381" s="42" t="s">
        <v>11</v>
      </c>
      <c r="D1381" s="43" t="s">
        <v>29</v>
      </c>
      <c r="E1381" s="46">
        <v>200</v>
      </c>
      <c r="F1381" s="2">
        <f>IF(C1381="GBP",E1381*$C$3,IF(C1381="TRY",E1381/$C$1,IF(C1381="EUR",E1381*$E$1,IF(C1381="RUB",E1381/#REF!,IF(C1381="EGP",E1381/$E$2,E1381)))))</f>
        <v>5.4844256023955964</v>
      </c>
      <c r="G1381" s="15" t="str">
        <f>VLOOKUP(B1381,SPECIFICATIONF!$C$2:$D$65,2,0)</f>
        <v>GLOBAL RETAIL</v>
      </c>
      <c r="H1381" s="12">
        <f t="shared" si="52"/>
        <v>8</v>
      </c>
      <c r="I1381" s="12">
        <f t="shared" si="53"/>
        <v>2025</v>
      </c>
    </row>
    <row r="1382" spans="1:9" ht="19.5" customHeight="1" x14ac:dyDescent="0.35">
      <c r="A1382" s="41">
        <v>45873</v>
      </c>
      <c r="B1382" s="8" t="s">
        <v>24</v>
      </c>
      <c r="C1382" s="42" t="s">
        <v>33</v>
      </c>
      <c r="D1382" s="43" t="s">
        <v>29</v>
      </c>
      <c r="E1382" s="46">
        <v>20</v>
      </c>
      <c r="F1382" s="2">
        <f>IF(C1382="GBP",E1382*$C$3,IF(C1382="TRY",E1382/$C$1,IF(C1382="EUR",E1382*$E$1,IF(C1382="RUB",E1382/#REF!,IF(C1382="EGP",E1382/$E$2,E1382)))))</f>
        <v>20</v>
      </c>
      <c r="G1382" s="15" t="str">
        <f>VLOOKUP(B1382,SPECIFICATIONF!$C$2:$D$65,2,0)</f>
        <v>GLOBAL RETAIL</v>
      </c>
      <c r="H1382" s="12">
        <f t="shared" ref="H1382:H1445" si="54">MONTH(A1382)</f>
        <v>8</v>
      </c>
      <c r="I1382" s="12">
        <f t="shared" ref="I1382:I1445" si="55">YEAR(A1382)</f>
        <v>2025</v>
      </c>
    </row>
    <row r="1383" spans="1:9" ht="19.5" customHeight="1" x14ac:dyDescent="0.35">
      <c r="A1383" s="41">
        <v>45874</v>
      </c>
      <c r="B1383" s="8" t="s">
        <v>32</v>
      </c>
      <c r="C1383" s="42" t="s">
        <v>11</v>
      </c>
      <c r="D1383" s="43" t="s">
        <v>30</v>
      </c>
      <c r="E1383" s="46">
        <v>1868288.85</v>
      </c>
      <c r="F1383" s="2">
        <f>IF(C1383="GBP",E1383*$C$3,IF(C1383="TRY",E1383/$C$1,IF(C1383="EUR",E1383*$E$1,IF(C1383="RUB",E1383/#REF!,IF(C1383="EGP",E1383/$E$2,E1383)))))</f>
        <v>51232.456008051136</v>
      </c>
      <c r="G1383" s="15" t="str">
        <f>VLOOKUP(B1383,SPECIFICATIONF!$C$2:$D$65,2,0)</f>
        <v>GLOBAL HFT</v>
      </c>
      <c r="H1383" s="12">
        <f t="shared" si="54"/>
        <v>8</v>
      </c>
      <c r="I1383" s="12">
        <f t="shared" si="55"/>
        <v>2025</v>
      </c>
    </row>
    <row r="1384" spans="1:9" ht="19.5" customHeight="1" x14ac:dyDescent="0.35">
      <c r="A1384" s="41">
        <v>45874</v>
      </c>
      <c r="B1384" s="8" t="s">
        <v>32</v>
      </c>
      <c r="C1384" s="42" t="s">
        <v>33</v>
      </c>
      <c r="D1384" s="43" t="s">
        <v>30</v>
      </c>
      <c r="E1384" s="46">
        <v>11746.42</v>
      </c>
      <c r="F1384" s="2">
        <f>IF(C1384="GBP",E1384*$C$3,IF(C1384="TRY",E1384/$C$1,IF(C1384="EUR",E1384*$E$1,IF(C1384="RUB",E1384/#REF!,IF(C1384="EGP",E1384/$E$2,E1384)))))</f>
        <v>11746.42</v>
      </c>
      <c r="G1384" s="15" t="str">
        <f>VLOOKUP(B1384,SPECIFICATIONF!$C$2:$D$65,2,0)</f>
        <v>GLOBAL HFT</v>
      </c>
      <c r="H1384" s="12">
        <f t="shared" si="54"/>
        <v>8</v>
      </c>
      <c r="I1384" s="12">
        <f t="shared" si="55"/>
        <v>2025</v>
      </c>
    </row>
    <row r="1385" spans="1:9" ht="19.5" customHeight="1" x14ac:dyDescent="0.35">
      <c r="A1385" s="41">
        <v>45874</v>
      </c>
      <c r="B1385" s="8" t="s">
        <v>32</v>
      </c>
      <c r="C1385" s="42" t="s">
        <v>11</v>
      </c>
      <c r="D1385" s="43" t="s">
        <v>29</v>
      </c>
      <c r="E1385" s="46">
        <v>7377363398</v>
      </c>
      <c r="F1385" s="2">
        <f>IF(C1385="GBP",E1385*$C$3,IF(C1385="TRY",E1385/$C$1,IF(C1385="EUR",E1385*$E$1,IF(C1385="RUB",E1385/#REF!,IF(C1385="EGP",E1385/$E$2,E1385)))))</f>
        <v>202303003.49083689</v>
      </c>
      <c r="G1385" s="15" t="str">
        <f>VLOOKUP(B1385,SPECIFICATIONF!$C$2:$D$65,2,0)</f>
        <v>GLOBAL HFT</v>
      </c>
      <c r="H1385" s="12">
        <f t="shared" si="54"/>
        <v>8</v>
      </c>
      <c r="I1385" s="12">
        <f t="shared" si="55"/>
        <v>2025</v>
      </c>
    </row>
    <row r="1386" spans="1:9" ht="19.5" customHeight="1" x14ac:dyDescent="0.35">
      <c r="A1386" s="41">
        <v>45874</v>
      </c>
      <c r="B1386" s="8" t="s">
        <v>32</v>
      </c>
      <c r="C1386" s="42" t="s">
        <v>33</v>
      </c>
      <c r="D1386" s="43" t="s">
        <v>29</v>
      </c>
      <c r="E1386" s="46">
        <v>45648403</v>
      </c>
      <c r="F1386" s="2">
        <f>IF(C1386="GBP",E1386*$C$3,IF(C1386="TRY",E1386/$C$1,IF(C1386="EUR",E1386*$E$1,IF(C1386="RUB",E1386/#REF!,IF(C1386="EGP",E1386/$E$2,E1386)))))</f>
        <v>45648403</v>
      </c>
      <c r="G1386" s="15" t="str">
        <f>VLOOKUP(B1386,SPECIFICATIONF!$C$2:$D$65,2,0)</f>
        <v>GLOBAL HFT</v>
      </c>
      <c r="H1386" s="12">
        <f t="shared" si="54"/>
        <v>8</v>
      </c>
      <c r="I1386" s="12">
        <f t="shared" si="55"/>
        <v>2025</v>
      </c>
    </row>
    <row r="1387" spans="1:9" ht="19.5" customHeight="1" x14ac:dyDescent="0.35">
      <c r="A1387" s="41">
        <v>45874</v>
      </c>
      <c r="B1387" s="8" t="s">
        <v>24</v>
      </c>
      <c r="C1387" s="42" t="s">
        <v>11</v>
      </c>
      <c r="D1387" s="43" t="s">
        <v>30</v>
      </c>
      <c r="E1387" s="46">
        <v>357.48</v>
      </c>
      <c r="F1387" s="2">
        <f>IF(C1387="GBP",E1387*$C$3,IF(C1387="TRY",E1387/$C$1,IF(C1387="EUR",E1387*$E$1,IF(C1387="RUB",E1387/#REF!,IF(C1387="EGP",E1387/$E$2,E1387)))))</f>
        <v>9.8028623217218893</v>
      </c>
      <c r="G1387" s="15" t="str">
        <f>VLOOKUP(B1387,SPECIFICATIONF!$C$2:$D$65,2,0)</f>
        <v>GLOBAL RETAIL</v>
      </c>
      <c r="H1387" s="12">
        <f t="shared" si="54"/>
        <v>8</v>
      </c>
      <c r="I1387" s="12">
        <f t="shared" si="55"/>
        <v>2025</v>
      </c>
    </row>
    <row r="1388" spans="1:9" ht="19.5" customHeight="1" x14ac:dyDescent="0.35">
      <c r="A1388" s="41">
        <v>45874</v>
      </c>
      <c r="B1388" s="8" t="s">
        <v>24</v>
      </c>
      <c r="C1388" s="42" t="s">
        <v>33</v>
      </c>
      <c r="D1388" s="43" t="s">
        <v>30</v>
      </c>
      <c r="E1388" s="46">
        <v>0.04</v>
      </c>
      <c r="F1388" s="2">
        <f>IF(C1388="GBP",E1388*$C$3,IF(C1388="TRY",E1388/$C$1,IF(C1388="EUR",E1388*$E$1,IF(C1388="RUB",E1388/#REF!,IF(C1388="EGP",E1388/$E$2,E1388)))))</f>
        <v>0.04</v>
      </c>
      <c r="G1388" s="15" t="str">
        <f>VLOOKUP(B1388,SPECIFICATIONF!$C$2:$D$65,2,0)</f>
        <v>GLOBAL RETAIL</v>
      </c>
      <c r="H1388" s="12">
        <f t="shared" si="54"/>
        <v>8</v>
      </c>
      <c r="I1388" s="12">
        <f t="shared" si="55"/>
        <v>2025</v>
      </c>
    </row>
    <row r="1389" spans="1:9" ht="19.5" customHeight="1" x14ac:dyDescent="0.35">
      <c r="A1389" s="41">
        <v>45874</v>
      </c>
      <c r="B1389" s="8" t="s">
        <v>24</v>
      </c>
      <c r="C1389" s="42" t="s">
        <v>11</v>
      </c>
      <c r="D1389" s="43" t="s">
        <v>29</v>
      </c>
      <c r="E1389" s="46">
        <v>397128</v>
      </c>
      <c r="F1389" s="2">
        <f>IF(C1389="GBP",E1389*$C$3,IF(C1389="TRY",E1389/$C$1,IF(C1389="EUR",E1389*$E$1,IF(C1389="RUB",E1389/#REF!,IF(C1389="EGP",E1389/$E$2,E1389)))))</f>
        <v>10890.094853140792</v>
      </c>
      <c r="G1389" s="15" t="str">
        <f>VLOOKUP(B1389,SPECIFICATIONF!$C$2:$D$65,2,0)</f>
        <v>GLOBAL RETAIL</v>
      </c>
      <c r="H1389" s="12">
        <f t="shared" si="54"/>
        <v>8</v>
      </c>
      <c r="I1389" s="12">
        <f t="shared" si="55"/>
        <v>2025</v>
      </c>
    </row>
    <row r="1390" spans="1:9" ht="19.5" customHeight="1" x14ac:dyDescent="0.35">
      <c r="A1390" s="41">
        <v>45874</v>
      </c>
      <c r="B1390" s="8" t="s">
        <v>24</v>
      </c>
      <c r="C1390" s="42" t="s">
        <v>33</v>
      </c>
      <c r="D1390" s="43" t="s">
        <v>29</v>
      </c>
      <c r="E1390" s="46">
        <v>38</v>
      </c>
      <c r="F1390" s="2">
        <f>IF(C1390="GBP",E1390*$C$3,IF(C1390="TRY",E1390/$C$1,IF(C1390="EUR",E1390*$E$1,IF(C1390="RUB",E1390/#REF!,IF(C1390="EGP",E1390/$E$2,E1390)))))</f>
        <v>38</v>
      </c>
      <c r="G1390" s="15" t="str">
        <f>VLOOKUP(B1390,SPECIFICATIONF!$C$2:$D$65,2,0)</f>
        <v>GLOBAL RETAIL</v>
      </c>
      <c r="H1390" s="12">
        <f t="shared" si="54"/>
        <v>8</v>
      </c>
      <c r="I1390" s="12">
        <f t="shared" si="55"/>
        <v>2025</v>
      </c>
    </row>
    <row r="1391" spans="1:9" ht="19.5" customHeight="1" x14ac:dyDescent="0.35">
      <c r="A1391" s="41">
        <v>45875</v>
      </c>
      <c r="B1391" s="8" t="s">
        <v>32</v>
      </c>
      <c r="C1391" s="42" t="s">
        <v>11</v>
      </c>
      <c r="D1391" s="43" t="s">
        <v>30</v>
      </c>
      <c r="E1391" s="46">
        <v>1354702.28</v>
      </c>
      <c r="F1391" s="2">
        <f>IF(C1391="GBP",E1391*$C$3,IF(C1391="TRY",E1391/$C$1,IF(C1391="EUR",E1391*$E$1,IF(C1391="RUB",E1391/#REF!,IF(C1391="EGP",E1391/$E$2,E1391)))))</f>
        <v>37148.819340278445</v>
      </c>
      <c r="G1391" s="15" t="str">
        <f>VLOOKUP(B1391,SPECIFICATIONF!$C$2:$D$65,2,0)</f>
        <v>GLOBAL HFT</v>
      </c>
      <c r="H1391" s="12">
        <f t="shared" si="54"/>
        <v>8</v>
      </c>
      <c r="I1391" s="12">
        <f t="shared" si="55"/>
        <v>2025</v>
      </c>
    </row>
    <row r="1392" spans="1:9" ht="19.5" customHeight="1" x14ac:dyDescent="0.35">
      <c r="A1392" s="41">
        <v>45875</v>
      </c>
      <c r="B1392" s="8" t="s">
        <v>32</v>
      </c>
      <c r="C1392" s="42" t="s">
        <v>33</v>
      </c>
      <c r="D1392" s="43" t="s">
        <v>30</v>
      </c>
      <c r="E1392" s="46">
        <v>6679.73</v>
      </c>
      <c r="F1392" s="2">
        <f>IF(C1392="GBP",E1392*$C$3,IF(C1392="TRY",E1392/$C$1,IF(C1392="EUR",E1392*$E$1,IF(C1392="RUB",E1392/#REF!,IF(C1392="EGP",E1392/$E$2,E1392)))))</f>
        <v>6679.73</v>
      </c>
      <c r="G1392" s="15" t="str">
        <f>VLOOKUP(B1392,SPECIFICATIONF!$C$2:$D$65,2,0)</f>
        <v>GLOBAL HFT</v>
      </c>
      <c r="H1392" s="12">
        <f t="shared" si="54"/>
        <v>8</v>
      </c>
      <c r="I1392" s="12">
        <f t="shared" si="55"/>
        <v>2025</v>
      </c>
    </row>
    <row r="1393" spans="1:9" ht="19.5" customHeight="1" x14ac:dyDescent="0.35">
      <c r="A1393" s="41">
        <v>45875</v>
      </c>
      <c r="B1393" s="8" t="s">
        <v>32</v>
      </c>
      <c r="C1393" s="42" t="s">
        <v>11</v>
      </c>
      <c r="D1393" s="43" t="s">
        <v>29</v>
      </c>
      <c r="E1393" s="46">
        <v>5455037460</v>
      </c>
      <c r="F1393" s="2">
        <f>IF(C1393="GBP",E1393*$C$3,IF(C1393="TRY",E1393/$C$1,IF(C1393="EUR",E1393*$E$1,IF(C1393="RUB",E1393/#REF!,IF(C1393="EGP",E1393/$E$2,E1393)))))</f>
        <v>149588735.53825521</v>
      </c>
      <c r="G1393" s="15" t="str">
        <f>VLOOKUP(B1393,SPECIFICATIONF!$C$2:$D$65,2,0)</f>
        <v>GLOBAL HFT</v>
      </c>
      <c r="H1393" s="12">
        <f t="shared" si="54"/>
        <v>8</v>
      </c>
      <c r="I1393" s="12">
        <f t="shared" si="55"/>
        <v>2025</v>
      </c>
    </row>
    <row r="1394" spans="1:9" ht="19.5" customHeight="1" x14ac:dyDescent="0.35">
      <c r="A1394" s="41">
        <v>45875</v>
      </c>
      <c r="B1394" s="8" t="s">
        <v>32</v>
      </c>
      <c r="C1394" s="42" t="s">
        <v>33</v>
      </c>
      <c r="D1394" s="43" t="s">
        <v>29</v>
      </c>
      <c r="E1394" s="46">
        <v>25684973</v>
      </c>
      <c r="F1394" s="2">
        <f>IF(C1394="GBP",E1394*$C$3,IF(C1394="TRY",E1394/$C$1,IF(C1394="EUR",E1394*$E$1,IF(C1394="RUB",E1394/#REF!,IF(C1394="EGP",E1394/$E$2,E1394)))))</f>
        <v>25684973</v>
      </c>
      <c r="G1394" s="15" t="str">
        <f>VLOOKUP(B1394,SPECIFICATIONF!$C$2:$D$65,2,0)</f>
        <v>GLOBAL HFT</v>
      </c>
      <c r="H1394" s="12">
        <f t="shared" si="54"/>
        <v>8</v>
      </c>
      <c r="I1394" s="12">
        <f t="shared" si="55"/>
        <v>2025</v>
      </c>
    </row>
    <row r="1395" spans="1:9" ht="19.5" customHeight="1" x14ac:dyDescent="0.35">
      <c r="A1395" s="41">
        <v>45875</v>
      </c>
      <c r="B1395" s="8" t="s">
        <v>24</v>
      </c>
      <c r="C1395" s="42" t="s">
        <v>11</v>
      </c>
      <c r="D1395" s="43" t="s">
        <v>30</v>
      </c>
      <c r="E1395" s="46">
        <v>4.16</v>
      </c>
      <c r="F1395" s="2">
        <f>IF(C1395="GBP",E1395*$C$3,IF(C1395="TRY",E1395/$C$1,IF(C1395="EUR",E1395*$E$1,IF(C1395="RUB",E1395/#REF!,IF(C1395="EGP",E1395/$E$2,E1395)))))</f>
        <v>0.11407605252982841</v>
      </c>
      <c r="G1395" s="15" t="str">
        <f>VLOOKUP(B1395,SPECIFICATIONF!$C$2:$D$65,2,0)</f>
        <v>GLOBAL RETAIL</v>
      </c>
      <c r="H1395" s="12">
        <f t="shared" si="54"/>
        <v>8</v>
      </c>
      <c r="I1395" s="12">
        <f t="shared" si="55"/>
        <v>2025</v>
      </c>
    </row>
    <row r="1396" spans="1:9" ht="19.5" customHeight="1" x14ac:dyDescent="0.35">
      <c r="A1396" s="41">
        <v>45875</v>
      </c>
      <c r="B1396" s="8" t="s">
        <v>24</v>
      </c>
      <c r="C1396" s="42" t="s">
        <v>33</v>
      </c>
      <c r="D1396" s="43" t="s">
        <v>30</v>
      </c>
      <c r="E1396" s="46">
        <v>0.2</v>
      </c>
      <c r="F1396" s="2">
        <f>IF(C1396="GBP",E1396*$C$3,IF(C1396="TRY",E1396/$C$1,IF(C1396="EUR",E1396*$E$1,IF(C1396="RUB",E1396/#REF!,IF(C1396="EGP",E1396/$E$2,E1396)))))</f>
        <v>0.2</v>
      </c>
      <c r="G1396" s="15" t="str">
        <f>VLOOKUP(B1396,SPECIFICATIONF!$C$2:$D$65,2,0)</f>
        <v>GLOBAL RETAIL</v>
      </c>
      <c r="H1396" s="12">
        <f t="shared" si="54"/>
        <v>8</v>
      </c>
      <c r="I1396" s="12">
        <f t="shared" si="55"/>
        <v>2025</v>
      </c>
    </row>
    <row r="1397" spans="1:9" ht="19.5" customHeight="1" x14ac:dyDescent="0.35">
      <c r="A1397" s="41">
        <v>45875</v>
      </c>
      <c r="B1397" s="8" t="s">
        <v>24</v>
      </c>
      <c r="C1397" s="42" t="s">
        <v>11</v>
      </c>
      <c r="D1397" s="43" t="s">
        <v>29</v>
      </c>
      <c r="E1397" s="46">
        <v>3611</v>
      </c>
      <c r="F1397" s="2">
        <f>IF(C1397="GBP",E1397*$C$3,IF(C1397="TRY",E1397/$C$1,IF(C1397="EUR",E1397*$E$1,IF(C1397="RUB",E1397/#REF!,IF(C1397="EGP",E1397/$E$2,E1397)))))</f>
        <v>99.021304251252502</v>
      </c>
      <c r="G1397" s="15" t="str">
        <f>VLOOKUP(B1397,SPECIFICATIONF!$C$2:$D$65,2,0)</f>
        <v>GLOBAL RETAIL</v>
      </c>
      <c r="H1397" s="12">
        <f t="shared" si="54"/>
        <v>8</v>
      </c>
      <c r="I1397" s="12">
        <f t="shared" si="55"/>
        <v>2025</v>
      </c>
    </row>
    <row r="1398" spans="1:9" ht="19.5" customHeight="1" x14ac:dyDescent="0.35">
      <c r="A1398" s="41">
        <v>45875</v>
      </c>
      <c r="B1398" s="8" t="s">
        <v>24</v>
      </c>
      <c r="C1398" s="42" t="s">
        <v>33</v>
      </c>
      <c r="D1398" s="43" t="s">
        <v>29</v>
      </c>
      <c r="E1398" s="46">
        <v>175</v>
      </c>
      <c r="F1398" s="2">
        <f>IF(C1398="GBP",E1398*$C$3,IF(C1398="TRY",E1398/$C$1,IF(C1398="EUR",E1398*$E$1,IF(C1398="RUB",E1398/#REF!,IF(C1398="EGP",E1398/$E$2,E1398)))))</f>
        <v>175</v>
      </c>
      <c r="G1398" s="15" t="str">
        <f>VLOOKUP(B1398,SPECIFICATIONF!$C$2:$D$65,2,0)</f>
        <v>GLOBAL RETAIL</v>
      </c>
      <c r="H1398" s="12">
        <f t="shared" si="54"/>
        <v>8</v>
      </c>
      <c r="I1398" s="12">
        <f t="shared" si="55"/>
        <v>2025</v>
      </c>
    </row>
    <row r="1399" spans="1:9" ht="19.5" customHeight="1" x14ac:dyDescent="0.35">
      <c r="A1399" s="41">
        <v>45876</v>
      </c>
      <c r="B1399" s="8" t="s">
        <v>32</v>
      </c>
      <c r="C1399" s="42" t="s">
        <v>11</v>
      </c>
      <c r="D1399" s="43" t="s">
        <v>30</v>
      </c>
      <c r="E1399" s="46">
        <v>2160077.13</v>
      </c>
      <c r="F1399" s="2">
        <f>IF(C1399="GBP",E1399*$C$3,IF(C1399="TRY",E1399/$C$1,IF(C1399="EUR",E1399*$E$1,IF(C1399="RUB",E1399/#REF!,IF(C1399="EGP",E1399/$E$2,E1399)))))</f>
        <v>59233.911574606005</v>
      </c>
      <c r="G1399" s="15" t="str">
        <f>VLOOKUP(B1399,SPECIFICATIONF!$C$2:$D$65,2,0)</f>
        <v>GLOBAL HFT</v>
      </c>
      <c r="H1399" s="12">
        <f t="shared" si="54"/>
        <v>8</v>
      </c>
      <c r="I1399" s="12">
        <f t="shared" si="55"/>
        <v>2025</v>
      </c>
    </row>
    <row r="1400" spans="1:9" ht="19.5" customHeight="1" x14ac:dyDescent="0.35">
      <c r="A1400" s="41">
        <v>45876</v>
      </c>
      <c r="B1400" s="8" t="s">
        <v>32</v>
      </c>
      <c r="C1400" s="42" t="s">
        <v>33</v>
      </c>
      <c r="D1400" s="43" t="s">
        <v>30</v>
      </c>
      <c r="E1400" s="46">
        <v>13000.83</v>
      </c>
      <c r="F1400" s="2">
        <f>IF(C1400="GBP",E1400*$C$3,IF(C1400="TRY",E1400/$C$1,IF(C1400="EUR",E1400*$E$1,IF(C1400="RUB",E1400/#REF!,IF(C1400="EGP",E1400/$E$2,E1400)))))</f>
        <v>13000.83</v>
      </c>
      <c r="G1400" s="15" t="str">
        <f>VLOOKUP(B1400,SPECIFICATIONF!$C$2:$D$65,2,0)</f>
        <v>GLOBAL HFT</v>
      </c>
      <c r="H1400" s="12">
        <f t="shared" si="54"/>
        <v>8</v>
      </c>
      <c r="I1400" s="12">
        <f t="shared" si="55"/>
        <v>2025</v>
      </c>
    </row>
    <row r="1401" spans="1:9" ht="19.5" customHeight="1" x14ac:dyDescent="0.35">
      <c r="A1401" s="41">
        <v>45876</v>
      </c>
      <c r="B1401" s="8" t="s">
        <v>32</v>
      </c>
      <c r="C1401" s="42" t="s">
        <v>11</v>
      </c>
      <c r="D1401" s="43" t="s">
        <v>29</v>
      </c>
      <c r="E1401" s="46">
        <v>8577519279</v>
      </c>
      <c r="F1401" s="2">
        <f>IF(C1401="GBP",E1401*$C$3,IF(C1401="TRY",E1401/$C$1,IF(C1401="EUR",E1401*$E$1,IF(C1401="RUB",E1401/#REF!,IF(C1401="EGP",E1401/$E$2,E1401)))))</f>
        <v>235213831.69394711</v>
      </c>
      <c r="G1401" s="15" t="str">
        <f>VLOOKUP(B1401,SPECIFICATIONF!$C$2:$D$65,2,0)</f>
        <v>GLOBAL HFT</v>
      </c>
      <c r="H1401" s="12">
        <f t="shared" si="54"/>
        <v>8</v>
      </c>
      <c r="I1401" s="12">
        <f t="shared" si="55"/>
        <v>2025</v>
      </c>
    </row>
    <row r="1402" spans="1:9" ht="19.5" customHeight="1" x14ac:dyDescent="0.35">
      <c r="A1402" s="41">
        <v>45876</v>
      </c>
      <c r="B1402" s="8" t="s">
        <v>32</v>
      </c>
      <c r="C1402" s="42" t="s">
        <v>33</v>
      </c>
      <c r="D1402" s="43" t="s">
        <v>29</v>
      </c>
      <c r="E1402" s="46">
        <v>47072333</v>
      </c>
      <c r="F1402" s="2">
        <f>IF(C1402="GBP",E1402*$C$3,IF(C1402="TRY",E1402/$C$1,IF(C1402="EUR",E1402*$E$1,IF(C1402="RUB",E1402/#REF!,IF(C1402="EGP",E1402/$E$2,E1402)))))</f>
        <v>47072333</v>
      </c>
      <c r="G1402" s="15" t="str">
        <f>VLOOKUP(B1402,SPECIFICATIONF!$C$2:$D$65,2,0)</f>
        <v>GLOBAL HFT</v>
      </c>
      <c r="H1402" s="12">
        <f t="shared" si="54"/>
        <v>8</v>
      </c>
      <c r="I1402" s="12">
        <f t="shared" si="55"/>
        <v>2025</v>
      </c>
    </row>
    <row r="1403" spans="1:9" ht="19.5" customHeight="1" x14ac:dyDescent="0.35">
      <c r="A1403" s="41">
        <v>45876</v>
      </c>
      <c r="B1403" s="8" t="s">
        <v>24</v>
      </c>
      <c r="C1403" s="42" t="s">
        <v>11</v>
      </c>
      <c r="D1403" s="43" t="s">
        <v>30</v>
      </c>
      <c r="E1403" s="46">
        <v>4.99</v>
      </c>
      <c r="F1403" s="2">
        <f>IF(C1403="GBP",E1403*$C$3,IF(C1403="TRY",E1403/$C$1,IF(C1403="EUR",E1403*$E$1,IF(C1403="RUB",E1403/#REF!,IF(C1403="EGP",E1403/$E$2,E1403)))))</f>
        <v>0.13683641877977015</v>
      </c>
      <c r="G1403" s="15" t="str">
        <f>VLOOKUP(B1403,SPECIFICATIONF!$C$2:$D$65,2,0)</f>
        <v>GLOBAL RETAIL</v>
      </c>
      <c r="H1403" s="12">
        <f t="shared" si="54"/>
        <v>8</v>
      </c>
      <c r="I1403" s="12">
        <f t="shared" si="55"/>
        <v>2025</v>
      </c>
    </row>
    <row r="1404" spans="1:9" ht="19.5" customHeight="1" x14ac:dyDescent="0.35">
      <c r="A1404" s="41">
        <v>45876</v>
      </c>
      <c r="B1404" s="8" t="s">
        <v>24</v>
      </c>
      <c r="C1404" s="42" t="s">
        <v>33</v>
      </c>
      <c r="D1404" s="43" t="s">
        <v>30</v>
      </c>
      <c r="E1404" s="46">
        <v>0.3</v>
      </c>
      <c r="F1404" s="2">
        <f>IF(C1404="GBP",E1404*$C$3,IF(C1404="TRY",E1404/$C$1,IF(C1404="EUR",E1404*$E$1,IF(C1404="RUB",E1404/#REF!,IF(C1404="EGP",E1404/$E$2,E1404)))))</f>
        <v>0.3</v>
      </c>
      <c r="G1404" s="15" t="str">
        <f>VLOOKUP(B1404,SPECIFICATIONF!$C$2:$D$65,2,0)</f>
        <v>GLOBAL RETAIL</v>
      </c>
      <c r="H1404" s="12">
        <f t="shared" si="54"/>
        <v>8</v>
      </c>
      <c r="I1404" s="12">
        <f t="shared" si="55"/>
        <v>2025</v>
      </c>
    </row>
    <row r="1405" spans="1:9" ht="19.5" customHeight="1" x14ac:dyDescent="0.35">
      <c r="A1405" s="41">
        <v>45876</v>
      </c>
      <c r="B1405" s="8" t="s">
        <v>24</v>
      </c>
      <c r="C1405" s="42" t="s">
        <v>11</v>
      </c>
      <c r="D1405" s="43" t="s">
        <v>29</v>
      </c>
      <c r="E1405" s="46">
        <v>4616</v>
      </c>
      <c r="F1405" s="2">
        <f>IF(C1405="GBP",E1405*$C$3,IF(C1405="TRY",E1405/$C$1,IF(C1405="EUR",E1405*$E$1,IF(C1405="RUB",E1405/#REF!,IF(C1405="EGP",E1405/$E$2,E1405)))))</f>
        <v>126.58054290329038</v>
      </c>
      <c r="G1405" s="15" t="str">
        <f>VLOOKUP(B1405,SPECIFICATIONF!$C$2:$D$65,2,0)</f>
        <v>GLOBAL RETAIL</v>
      </c>
      <c r="H1405" s="12">
        <f t="shared" si="54"/>
        <v>8</v>
      </c>
      <c r="I1405" s="12">
        <f t="shared" si="55"/>
        <v>2025</v>
      </c>
    </row>
    <row r="1406" spans="1:9" ht="19.5" customHeight="1" x14ac:dyDescent="0.35">
      <c r="A1406" s="41">
        <v>45876</v>
      </c>
      <c r="B1406" s="8" t="s">
        <v>24</v>
      </c>
      <c r="C1406" s="42" t="s">
        <v>33</v>
      </c>
      <c r="D1406" s="43" t="s">
        <v>29</v>
      </c>
      <c r="E1406" s="46">
        <v>266</v>
      </c>
      <c r="F1406" s="2">
        <f>IF(C1406="GBP",E1406*$C$3,IF(C1406="TRY",E1406/$C$1,IF(C1406="EUR",E1406*$E$1,IF(C1406="RUB",E1406/#REF!,IF(C1406="EGP",E1406/$E$2,E1406)))))</f>
        <v>266</v>
      </c>
      <c r="G1406" s="15" t="str">
        <f>VLOOKUP(B1406,SPECIFICATIONF!$C$2:$D$65,2,0)</f>
        <v>GLOBAL RETAIL</v>
      </c>
      <c r="H1406" s="12">
        <f t="shared" si="54"/>
        <v>8</v>
      </c>
      <c r="I1406" s="12">
        <f t="shared" si="55"/>
        <v>2025</v>
      </c>
    </row>
    <row r="1407" spans="1:9" ht="19.5" customHeight="1" x14ac:dyDescent="0.35">
      <c r="A1407" s="41">
        <v>45877</v>
      </c>
      <c r="B1407" s="8" t="s">
        <v>32</v>
      </c>
      <c r="C1407" s="42" t="s">
        <v>11</v>
      </c>
      <c r="D1407" s="43" t="s">
        <v>30</v>
      </c>
      <c r="E1407" s="46">
        <v>2647621.87</v>
      </c>
      <c r="F1407" s="2">
        <f>IF(C1407="GBP",E1407*$C$3,IF(C1407="TRY",E1407/$C$1,IF(C1407="EUR",E1407*$E$1,IF(C1407="RUB",E1407/#REF!,IF(C1407="EGP",E1407/$E$2,E1407)))))</f>
        <v>72603.425846452534</v>
      </c>
      <c r="G1407" s="15" t="str">
        <f>VLOOKUP(B1407,SPECIFICATIONF!$C$2:$D$65,2,0)</f>
        <v>GLOBAL HFT</v>
      </c>
      <c r="H1407" s="12">
        <f t="shared" si="54"/>
        <v>8</v>
      </c>
      <c r="I1407" s="12">
        <f t="shared" si="55"/>
        <v>2025</v>
      </c>
    </row>
    <row r="1408" spans="1:9" ht="19.5" customHeight="1" x14ac:dyDescent="0.35">
      <c r="A1408" s="41">
        <v>45877</v>
      </c>
      <c r="B1408" s="8" t="s">
        <v>32</v>
      </c>
      <c r="C1408" s="42" t="s">
        <v>33</v>
      </c>
      <c r="D1408" s="43" t="s">
        <v>30</v>
      </c>
      <c r="E1408" s="46">
        <v>18986.169999999998</v>
      </c>
      <c r="F1408" s="2">
        <f>IF(C1408="GBP",E1408*$C$3,IF(C1408="TRY",E1408/$C$1,IF(C1408="EUR",E1408*$E$1,IF(C1408="RUB",E1408/#REF!,IF(C1408="EGP",E1408/$E$2,E1408)))))</f>
        <v>18986.169999999998</v>
      </c>
      <c r="G1408" s="15" t="str">
        <f>VLOOKUP(B1408,SPECIFICATIONF!$C$2:$D$65,2,0)</f>
        <v>GLOBAL HFT</v>
      </c>
      <c r="H1408" s="12">
        <f t="shared" si="54"/>
        <v>8</v>
      </c>
      <c r="I1408" s="12">
        <f t="shared" si="55"/>
        <v>2025</v>
      </c>
    </row>
    <row r="1409" spans="1:9" ht="19.5" customHeight="1" x14ac:dyDescent="0.35">
      <c r="A1409" s="41">
        <v>45877</v>
      </c>
      <c r="B1409" s="8" t="s">
        <v>32</v>
      </c>
      <c r="C1409" s="42" t="s">
        <v>11</v>
      </c>
      <c r="D1409" s="43" t="s">
        <v>29</v>
      </c>
      <c r="E1409" s="46">
        <v>10031668513</v>
      </c>
      <c r="F1409" s="2">
        <f>IF(C1409="GBP",E1409*$C$3,IF(C1409="TRY",E1409/$C$1,IF(C1409="EUR",E1409*$E$1,IF(C1409="RUB",E1409/#REF!,IF(C1409="EGP",E1409/$E$2,E1409)))))</f>
        <v>275089698.13721484</v>
      </c>
      <c r="G1409" s="15" t="str">
        <f>VLOOKUP(B1409,SPECIFICATIONF!$C$2:$D$65,2,0)</f>
        <v>GLOBAL HFT</v>
      </c>
      <c r="H1409" s="12">
        <f t="shared" si="54"/>
        <v>8</v>
      </c>
      <c r="I1409" s="12">
        <f t="shared" si="55"/>
        <v>2025</v>
      </c>
    </row>
    <row r="1410" spans="1:9" ht="19.5" customHeight="1" x14ac:dyDescent="0.35">
      <c r="A1410" s="41">
        <v>45877</v>
      </c>
      <c r="B1410" s="8" t="s">
        <v>32</v>
      </c>
      <c r="C1410" s="42" t="s">
        <v>33</v>
      </c>
      <c r="D1410" s="43" t="s">
        <v>29</v>
      </c>
      <c r="E1410" s="46">
        <v>67510641</v>
      </c>
      <c r="F1410" s="2">
        <f>IF(C1410="GBP",E1410*$C$3,IF(C1410="TRY",E1410/$C$1,IF(C1410="EUR",E1410*$E$1,IF(C1410="RUB",E1410/#REF!,IF(C1410="EGP",E1410/$E$2,E1410)))))</f>
        <v>67510641</v>
      </c>
      <c r="G1410" s="15" t="str">
        <f>VLOOKUP(B1410,SPECIFICATIONF!$C$2:$D$65,2,0)</f>
        <v>GLOBAL HFT</v>
      </c>
      <c r="H1410" s="12">
        <f t="shared" si="54"/>
        <v>8</v>
      </c>
      <c r="I1410" s="12">
        <f t="shared" si="55"/>
        <v>2025</v>
      </c>
    </row>
    <row r="1411" spans="1:9" ht="19.5" customHeight="1" x14ac:dyDescent="0.35">
      <c r="A1411" s="41">
        <v>45877</v>
      </c>
      <c r="B1411" s="8" t="s">
        <v>24</v>
      </c>
      <c r="C1411" s="42" t="s">
        <v>11</v>
      </c>
      <c r="D1411" s="43" t="s">
        <v>30</v>
      </c>
      <c r="E1411" s="46">
        <v>6.13</v>
      </c>
      <c r="F1411" s="2">
        <f>IF(C1411="GBP",E1411*$C$3,IF(C1411="TRY",E1411/$C$1,IF(C1411="EUR",E1411*$E$1,IF(C1411="RUB",E1411/#REF!,IF(C1411="EGP",E1411/$E$2,E1411)))))</f>
        <v>0.16809764471342503</v>
      </c>
      <c r="G1411" s="15" t="str">
        <f>VLOOKUP(B1411,SPECIFICATIONF!$C$2:$D$65,2,0)</f>
        <v>GLOBAL RETAIL</v>
      </c>
      <c r="H1411" s="12">
        <f t="shared" si="54"/>
        <v>8</v>
      </c>
      <c r="I1411" s="12">
        <f t="shared" si="55"/>
        <v>2025</v>
      </c>
    </row>
    <row r="1412" spans="1:9" ht="19.5" customHeight="1" x14ac:dyDescent="0.35">
      <c r="A1412" s="41">
        <v>45877</v>
      </c>
      <c r="B1412" s="8" t="s">
        <v>24</v>
      </c>
      <c r="C1412" s="42" t="s">
        <v>33</v>
      </c>
      <c r="D1412" s="43" t="s">
        <v>30</v>
      </c>
      <c r="E1412" s="46">
        <v>0.48</v>
      </c>
      <c r="F1412" s="2">
        <f>IF(C1412="GBP",E1412*$C$3,IF(C1412="TRY",E1412/$C$1,IF(C1412="EUR",E1412*$E$1,IF(C1412="RUB",E1412/#REF!,IF(C1412="EGP",E1412/$E$2,E1412)))))</f>
        <v>0.48</v>
      </c>
      <c r="G1412" s="15" t="str">
        <f>VLOOKUP(B1412,SPECIFICATIONF!$C$2:$D$65,2,0)</f>
        <v>GLOBAL RETAIL</v>
      </c>
      <c r="H1412" s="12">
        <f t="shared" si="54"/>
        <v>8</v>
      </c>
      <c r="I1412" s="12">
        <f t="shared" si="55"/>
        <v>2025</v>
      </c>
    </row>
    <row r="1413" spans="1:9" ht="19.5" customHeight="1" x14ac:dyDescent="0.35">
      <c r="A1413" s="41">
        <v>45877</v>
      </c>
      <c r="B1413" s="8" t="s">
        <v>24</v>
      </c>
      <c r="C1413" s="42" t="s">
        <v>11</v>
      </c>
      <c r="D1413" s="43" t="s">
        <v>29</v>
      </c>
      <c r="E1413" s="46">
        <v>5548</v>
      </c>
      <c r="F1413" s="2">
        <f>IF(C1413="GBP",E1413*$C$3,IF(C1413="TRY",E1413/$C$1,IF(C1413="EUR",E1413*$E$1,IF(C1413="RUB",E1413/#REF!,IF(C1413="EGP",E1413/$E$2,E1413)))))</f>
        <v>152.13796621045384</v>
      </c>
      <c r="G1413" s="15" t="str">
        <f>VLOOKUP(B1413,SPECIFICATIONF!$C$2:$D$65,2,0)</f>
        <v>GLOBAL RETAIL</v>
      </c>
      <c r="H1413" s="12">
        <f t="shared" si="54"/>
        <v>8</v>
      </c>
      <c r="I1413" s="12">
        <f t="shared" si="55"/>
        <v>2025</v>
      </c>
    </row>
    <row r="1414" spans="1:9" ht="19.5" customHeight="1" x14ac:dyDescent="0.35">
      <c r="A1414" s="41">
        <v>45877</v>
      </c>
      <c r="B1414" s="8" t="s">
        <v>24</v>
      </c>
      <c r="C1414" s="42" t="s">
        <v>33</v>
      </c>
      <c r="D1414" s="43" t="s">
        <v>29</v>
      </c>
      <c r="E1414" s="46">
        <v>457</v>
      </c>
      <c r="F1414" s="2">
        <f>IF(C1414="GBP",E1414*$C$3,IF(C1414="TRY",E1414/$C$1,IF(C1414="EUR",E1414*$E$1,IF(C1414="RUB",E1414/#REF!,IF(C1414="EGP",E1414/$E$2,E1414)))))</f>
        <v>457</v>
      </c>
      <c r="G1414" s="15" t="str">
        <f>VLOOKUP(B1414,SPECIFICATIONF!$C$2:$D$65,2,0)</f>
        <v>GLOBAL RETAIL</v>
      </c>
      <c r="H1414" s="12">
        <f t="shared" si="54"/>
        <v>8</v>
      </c>
      <c r="I1414" s="12">
        <f t="shared" si="55"/>
        <v>2025</v>
      </c>
    </row>
    <row r="1415" spans="1:9" ht="19.5" customHeight="1" x14ac:dyDescent="0.35">
      <c r="A1415" s="41">
        <v>45878</v>
      </c>
      <c r="B1415" s="8" t="s">
        <v>32</v>
      </c>
      <c r="C1415" s="42" t="s">
        <v>11</v>
      </c>
      <c r="D1415" s="43" t="s">
        <v>30</v>
      </c>
      <c r="E1415" s="46">
        <v>2434603.6</v>
      </c>
      <c r="F1415" s="2">
        <f>IF(C1415="GBP",E1415*$C$3,IF(C1415="TRY",E1415/$C$1,IF(C1415="EUR",E1415*$E$1,IF(C1415="RUB",E1415/#REF!,IF(C1415="EGP",E1415/$E$2,E1415)))))</f>
        <v>66762.011577622441</v>
      </c>
      <c r="G1415" s="15" t="str">
        <f>VLOOKUP(B1415,SPECIFICATIONF!$C$2:$D$65,2,0)</f>
        <v>GLOBAL HFT</v>
      </c>
      <c r="H1415" s="12">
        <f t="shared" si="54"/>
        <v>8</v>
      </c>
      <c r="I1415" s="12">
        <f t="shared" si="55"/>
        <v>2025</v>
      </c>
    </row>
    <row r="1416" spans="1:9" ht="19.5" customHeight="1" x14ac:dyDescent="0.35">
      <c r="A1416" s="41">
        <v>45878</v>
      </c>
      <c r="B1416" s="8" t="s">
        <v>32</v>
      </c>
      <c r="C1416" s="42" t="s">
        <v>33</v>
      </c>
      <c r="D1416" s="43" t="s">
        <v>30</v>
      </c>
      <c r="E1416" s="46">
        <v>16765.48</v>
      </c>
      <c r="F1416" s="2">
        <f>IF(C1416="GBP",E1416*$C$3,IF(C1416="TRY",E1416/$C$1,IF(C1416="EUR",E1416*$E$1,IF(C1416="RUB",E1416/#REF!,IF(C1416="EGP",E1416/$E$2,E1416)))))</f>
        <v>16765.48</v>
      </c>
      <c r="G1416" s="15" t="str">
        <f>VLOOKUP(B1416,SPECIFICATIONF!$C$2:$D$65,2,0)</f>
        <v>GLOBAL HFT</v>
      </c>
      <c r="H1416" s="12">
        <f t="shared" si="54"/>
        <v>8</v>
      </c>
      <c r="I1416" s="12">
        <f t="shared" si="55"/>
        <v>2025</v>
      </c>
    </row>
    <row r="1417" spans="1:9" ht="19.5" customHeight="1" x14ac:dyDescent="0.35">
      <c r="A1417" s="41">
        <v>45878</v>
      </c>
      <c r="B1417" s="8" t="s">
        <v>32</v>
      </c>
      <c r="C1417" s="42" t="s">
        <v>11</v>
      </c>
      <c r="D1417" s="43" t="s">
        <v>29</v>
      </c>
      <c r="E1417" s="46">
        <v>9293202977</v>
      </c>
      <c r="F1417" s="2">
        <f>IF(C1417="GBP",E1417*$C$3,IF(C1417="TRY",E1417/$C$1,IF(C1417="EUR",E1417*$E$1,IF(C1417="RUB",E1417/#REF!,IF(C1417="EGP",E1417/$E$2,E1417)))))</f>
        <v>254839401.67658889</v>
      </c>
      <c r="G1417" s="15" t="str">
        <f>VLOOKUP(B1417,SPECIFICATIONF!$C$2:$D$65,2,0)</f>
        <v>GLOBAL HFT</v>
      </c>
      <c r="H1417" s="12">
        <f t="shared" si="54"/>
        <v>8</v>
      </c>
      <c r="I1417" s="12">
        <f t="shared" si="55"/>
        <v>2025</v>
      </c>
    </row>
    <row r="1418" spans="1:9" ht="19.5" customHeight="1" x14ac:dyDescent="0.35">
      <c r="A1418" s="41">
        <v>45878</v>
      </c>
      <c r="B1418" s="8" t="s">
        <v>32</v>
      </c>
      <c r="C1418" s="42" t="s">
        <v>33</v>
      </c>
      <c r="D1418" s="43" t="s">
        <v>29</v>
      </c>
      <c r="E1418" s="46">
        <v>59585158</v>
      </c>
      <c r="F1418" s="2">
        <f>IF(C1418="GBP",E1418*$C$3,IF(C1418="TRY",E1418/$C$1,IF(C1418="EUR",E1418*$E$1,IF(C1418="RUB",E1418/#REF!,IF(C1418="EGP",E1418/$E$2,E1418)))))</f>
        <v>59585158</v>
      </c>
      <c r="G1418" s="15" t="str">
        <f>VLOOKUP(B1418,SPECIFICATIONF!$C$2:$D$65,2,0)</f>
        <v>GLOBAL HFT</v>
      </c>
      <c r="H1418" s="12">
        <f t="shared" si="54"/>
        <v>8</v>
      </c>
      <c r="I1418" s="12">
        <f t="shared" si="55"/>
        <v>2025</v>
      </c>
    </row>
    <row r="1419" spans="1:9" ht="19.5" customHeight="1" x14ac:dyDescent="0.35">
      <c r="A1419" s="41">
        <v>45878</v>
      </c>
      <c r="B1419" s="8" t="s">
        <v>24</v>
      </c>
      <c r="C1419" s="42" t="s">
        <v>11</v>
      </c>
      <c r="D1419" s="43" t="s">
        <v>30</v>
      </c>
      <c r="E1419" s="46">
        <v>0</v>
      </c>
      <c r="F1419" s="2">
        <f>IF(C1419="GBP",E1419*$C$3,IF(C1419="TRY",E1419/$C$1,IF(C1419="EUR",E1419*$E$1,IF(C1419="RUB",E1419/#REF!,IF(C1419="EGP",E1419/$E$2,E1419)))))</f>
        <v>0</v>
      </c>
      <c r="G1419" s="15" t="str">
        <f>VLOOKUP(B1419,SPECIFICATIONF!$C$2:$D$65,2,0)</f>
        <v>GLOBAL RETAIL</v>
      </c>
      <c r="H1419" s="12">
        <f t="shared" si="54"/>
        <v>8</v>
      </c>
      <c r="I1419" s="12">
        <f t="shared" si="55"/>
        <v>2025</v>
      </c>
    </row>
    <row r="1420" spans="1:9" ht="19.5" customHeight="1" x14ac:dyDescent="0.35">
      <c r="A1420" s="41">
        <v>45878</v>
      </c>
      <c r="B1420" s="8" t="s">
        <v>24</v>
      </c>
      <c r="C1420" s="42" t="s">
        <v>33</v>
      </c>
      <c r="D1420" s="43" t="s">
        <v>30</v>
      </c>
      <c r="E1420" s="46">
        <v>0</v>
      </c>
      <c r="F1420" s="2">
        <f>IF(C1420="GBP",E1420*$C$3,IF(C1420="TRY",E1420/$C$1,IF(C1420="EUR",E1420*$E$1,IF(C1420="RUB",E1420/#REF!,IF(C1420="EGP",E1420/$E$2,E1420)))))</f>
        <v>0</v>
      </c>
      <c r="G1420" s="15" t="str">
        <f>VLOOKUP(B1420,SPECIFICATIONF!$C$2:$D$65,2,0)</f>
        <v>GLOBAL RETAIL</v>
      </c>
      <c r="H1420" s="12">
        <f t="shared" si="54"/>
        <v>8</v>
      </c>
      <c r="I1420" s="12">
        <f t="shared" si="55"/>
        <v>2025</v>
      </c>
    </row>
    <row r="1421" spans="1:9" ht="19.5" customHeight="1" x14ac:dyDescent="0.35">
      <c r="A1421" s="41">
        <v>45878</v>
      </c>
      <c r="B1421" s="8" t="s">
        <v>24</v>
      </c>
      <c r="C1421" s="42" t="s">
        <v>11</v>
      </c>
      <c r="D1421" s="43" t="s">
        <v>29</v>
      </c>
      <c r="E1421" s="46">
        <v>0</v>
      </c>
      <c r="F1421" s="2">
        <f>IF(C1421="GBP",E1421*$C$3,IF(C1421="TRY",E1421/$C$1,IF(C1421="EUR",E1421*$E$1,IF(C1421="RUB",E1421/#REF!,IF(C1421="EGP",E1421/$E$2,E1421)))))</f>
        <v>0</v>
      </c>
      <c r="G1421" s="15" t="str">
        <f>VLOOKUP(B1421,SPECIFICATIONF!$C$2:$D$65,2,0)</f>
        <v>GLOBAL RETAIL</v>
      </c>
      <c r="H1421" s="12">
        <f t="shared" si="54"/>
        <v>8</v>
      </c>
      <c r="I1421" s="12">
        <f t="shared" si="55"/>
        <v>2025</v>
      </c>
    </row>
    <row r="1422" spans="1:9" ht="19.5" customHeight="1" x14ac:dyDescent="0.35">
      <c r="A1422" s="41">
        <v>45878</v>
      </c>
      <c r="B1422" s="8" t="s">
        <v>24</v>
      </c>
      <c r="C1422" s="42" t="s">
        <v>33</v>
      </c>
      <c r="D1422" s="43" t="s">
        <v>29</v>
      </c>
      <c r="E1422" s="46">
        <v>0</v>
      </c>
      <c r="F1422" s="2">
        <f>IF(C1422="GBP",E1422*$C$3,IF(C1422="TRY",E1422/$C$1,IF(C1422="EUR",E1422*$E$1,IF(C1422="RUB",E1422/#REF!,IF(C1422="EGP",E1422/$E$2,E1422)))))</f>
        <v>0</v>
      </c>
      <c r="G1422" s="15" t="str">
        <f>VLOOKUP(B1422,SPECIFICATIONF!$C$2:$D$65,2,0)</f>
        <v>GLOBAL RETAIL</v>
      </c>
      <c r="H1422" s="12">
        <f t="shared" si="54"/>
        <v>8</v>
      </c>
      <c r="I1422" s="12">
        <f t="shared" si="55"/>
        <v>2025</v>
      </c>
    </row>
    <row r="1423" spans="1:9" ht="19.5" customHeight="1" x14ac:dyDescent="0.35">
      <c r="A1423" s="41">
        <v>45879</v>
      </c>
      <c r="B1423" s="8" t="s">
        <v>32</v>
      </c>
      <c r="C1423" s="42" t="s">
        <v>11</v>
      </c>
      <c r="D1423" s="43" t="s">
        <v>30</v>
      </c>
      <c r="E1423" s="46">
        <v>1973374.97</v>
      </c>
      <c r="F1423" s="2">
        <f>IF(C1423="GBP",E1423*$C$3,IF(C1423="TRY",E1423/$C$1,IF(C1423="EUR",E1423*$E$1,IF(C1423="RUB",E1423/#REF!,IF(C1423="EGP",E1423/$E$2,E1423)))))</f>
        <v>54114.141042973213</v>
      </c>
      <c r="G1423" s="15" t="str">
        <f>VLOOKUP(B1423,SPECIFICATIONF!$C$2:$D$65,2,0)</f>
        <v>GLOBAL HFT</v>
      </c>
      <c r="H1423" s="12">
        <f t="shared" si="54"/>
        <v>8</v>
      </c>
      <c r="I1423" s="12">
        <f t="shared" si="55"/>
        <v>2025</v>
      </c>
    </row>
    <row r="1424" spans="1:9" ht="19.5" customHeight="1" x14ac:dyDescent="0.35">
      <c r="A1424" s="41">
        <v>45879</v>
      </c>
      <c r="B1424" s="8" t="s">
        <v>32</v>
      </c>
      <c r="C1424" s="42" t="s">
        <v>33</v>
      </c>
      <c r="D1424" s="43" t="s">
        <v>30</v>
      </c>
      <c r="E1424" s="46">
        <v>13673.31</v>
      </c>
      <c r="F1424" s="2">
        <f>IF(C1424="GBP",E1424*$C$3,IF(C1424="TRY",E1424/$C$1,IF(C1424="EUR",E1424*$E$1,IF(C1424="RUB",E1424/#REF!,IF(C1424="EGP",E1424/$E$2,E1424)))))</f>
        <v>13673.31</v>
      </c>
      <c r="G1424" s="15" t="str">
        <f>VLOOKUP(B1424,SPECIFICATIONF!$C$2:$D$65,2,0)</f>
        <v>GLOBAL HFT</v>
      </c>
      <c r="H1424" s="12">
        <f t="shared" si="54"/>
        <v>8</v>
      </c>
      <c r="I1424" s="12">
        <f t="shared" si="55"/>
        <v>2025</v>
      </c>
    </row>
    <row r="1425" spans="1:9" ht="19.5" customHeight="1" x14ac:dyDescent="0.35">
      <c r="A1425" s="41">
        <v>45879</v>
      </c>
      <c r="B1425" s="8" t="s">
        <v>32</v>
      </c>
      <c r="C1425" s="42" t="s">
        <v>11</v>
      </c>
      <c r="D1425" s="43" t="s">
        <v>29</v>
      </c>
      <c r="E1425" s="46">
        <v>7887567543</v>
      </c>
      <c r="F1425" s="2">
        <f>IF(C1425="GBP",E1425*$C$3,IF(C1425="TRY",E1425/$C$1,IF(C1425="EUR",E1425*$E$1,IF(C1425="RUB",E1425/#REF!,IF(C1425="EGP",E1425/$E$2,E1425)))))</f>
        <v>216293886.86726865</v>
      </c>
      <c r="G1425" s="15" t="str">
        <f>VLOOKUP(B1425,SPECIFICATIONF!$C$2:$D$65,2,0)</f>
        <v>GLOBAL HFT</v>
      </c>
      <c r="H1425" s="12">
        <f t="shared" si="54"/>
        <v>8</v>
      </c>
      <c r="I1425" s="12">
        <f t="shared" si="55"/>
        <v>2025</v>
      </c>
    </row>
    <row r="1426" spans="1:9" ht="19.5" customHeight="1" x14ac:dyDescent="0.35">
      <c r="A1426" s="41">
        <v>45879</v>
      </c>
      <c r="B1426" s="8" t="s">
        <v>32</v>
      </c>
      <c r="C1426" s="42" t="s">
        <v>33</v>
      </c>
      <c r="D1426" s="43" t="s">
        <v>29</v>
      </c>
      <c r="E1426" s="46">
        <v>50307075</v>
      </c>
      <c r="F1426" s="2">
        <f>IF(C1426="GBP",E1426*$C$3,IF(C1426="TRY",E1426/$C$1,IF(C1426="EUR",E1426*$E$1,IF(C1426="RUB",E1426/#REF!,IF(C1426="EGP",E1426/$E$2,E1426)))))</f>
        <v>50307075</v>
      </c>
      <c r="G1426" s="15" t="str">
        <f>VLOOKUP(B1426,SPECIFICATIONF!$C$2:$D$65,2,0)</f>
        <v>GLOBAL HFT</v>
      </c>
      <c r="H1426" s="12">
        <f t="shared" si="54"/>
        <v>8</v>
      </c>
      <c r="I1426" s="12">
        <f t="shared" si="55"/>
        <v>2025</v>
      </c>
    </row>
    <row r="1427" spans="1:9" ht="19.5" customHeight="1" x14ac:dyDescent="0.35">
      <c r="A1427" s="41">
        <v>45879</v>
      </c>
      <c r="B1427" s="8" t="s">
        <v>24</v>
      </c>
      <c r="C1427" s="42" t="s">
        <v>11</v>
      </c>
      <c r="D1427" s="43" t="s">
        <v>30</v>
      </c>
      <c r="E1427" s="46">
        <v>4.28</v>
      </c>
      <c r="F1427" s="2">
        <f>IF(C1427="GBP",E1427*$C$3,IF(C1427="TRY",E1427/$C$1,IF(C1427="EUR",E1427*$E$1,IF(C1427="RUB",E1427/#REF!,IF(C1427="EGP",E1427/$E$2,E1427)))))</f>
        <v>0.11736670789126577</v>
      </c>
      <c r="G1427" s="15" t="str">
        <f>VLOOKUP(B1427,SPECIFICATIONF!$C$2:$D$65,2,0)</f>
        <v>GLOBAL RETAIL</v>
      </c>
      <c r="H1427" s="12">
        <f t="shared" si="54"/>
        <v>8</v>
      </c>
      <c r="I1427" s="12">
        <f t="shared" si="55"/>
        <v>2025</v>
      </c>
    </row>
    <row r="1428" spans="1:9" ht="19.5" customHeight="1" x14ac:dyDescent="0.35">
      <c r="A1428" s="41">
        <v>45879</v>
      </c>
      <c r="B1428" s="8" t="s">
        <v>24</v>
      </c>
      <c r="C1428" s="42" t="s">
        <v>33</v>
      </c>
      <c r="D1428" s="43" t="s">
        <v>30</v>
      </c>
      <c r="E1428" s="46">
        <v>0</v>
      </c>
      <c r="F1428" s="2">
        <f>IF(C1428="GBP",E1428*$C$3,IF(C1428="TRY",E1428/$C$1,IF(C1428="EUR",E1428*$E$1,IF(C1428="RUB",E1428/#REF!,IF(C1428="EGP",E1428/$E$2,E1428)))))</f>
        <v>0</v>
      </c>
      <c r="G1428" s="15" t="str">
        <f>VLOOKUP(B1428,SPECIFICATIONF!$C$2:$D$65,2,0)</f>
        <v>GLOBAL RETAIL</v>
      </c>
      <c r="H1428" s="12">
        <f t="shared" si="54"/>
        <v>8</v>
      </c>
      <c r="I1428" s="12">
        <f t="shared" si="55"/>
        <v>2025</v>
      </c>
    </row>
    <row r="1429" spans="1:9" ht="19.5" customHeight="1" x14ac:dyDescent="0.35">
      <c r="A1429" s="41">
        <v>45879</v>
      </c>
      <c r="B1429" s="8" t="s">
        <v>24</v>
      </c>
      <c r="C1429" s="42" t="s">
        <v>11</v>
      </c>
      <c r="D1429" s="43" t="s">
        <v>29</v>
      </c>
      <c r="E1429" s="46">
        <v>3891</v>
      </c>
      <c r="F1429" s="2">
        <f>IF(C1429="GBP",E1429*$C$3,IF(C1429="TRY",E1429/$C$1,IF(C1429="EUR",E1429*$E$1,IF(C1429="RUB",E1429/#REF!,IF(C1429="EGP",E1429/$E$2,E1429)))))</f>
        <v>106.69950009460634</v>
      </c>
      <c r="G1429" s="15" t="str">
        <f>VLOOKUP(B1429,SPECIFICATIONF!$C$2:$D$65,2,0)</f>
        <v>GLOBAL RETAIL</v>
      </c>
      <c r="H1429" s="12">
        <f t="shared" si="54"/>
        <v>8</v>
      </c>
      <c r="I1429" s="12">
        <f t="shared" si="55"/>
        <v>2025</v>
      </c>
    </row>
    <row r="1430" spans="1:9" ht="19.5" customHeight="1" x14ac:dyDescent="0.35">
      <c r="A1430" s="41">
        <v>45879</v>
      </c>
      <c r="B1430" s="8" t="s">
        <v>24</v>
      </c>
      <c r="C1430" s="42" t="s">
        <v>33</v>
      </c>
      <c r="D1430" s="43" t="s">
        <v>29</v>
      </c>
      <c r="E1430" s="46">
        <v>0</v>
      </c>
      <c r="F1430" s="2">
        <f>IF(C1430="GBP",E1430*$C$3,IF(C1430="TRY",E1430/$C$1,IF(C1430="EUR",E1430*$E$1,IF(C1430="RUB",E1430/#REF!,IF(C1430="EGP",E1430/$E$2,E1430)))))</f>
        <v>0</v>
      </c>
      <c r="G1430" s="15" t="str">
        <f>VLOOKUP(B1430,SPECIFICATIONF!$C$2:$D$65,2,0)</f>
        <v>GLOBAL RETAIL</v>
      </c>
      <c r="H1430" s="12">
        <f t="shared" si="54"/>
        <v>8</v>
      </c>
      <c r="I1430" s="12">
        <f t="shared" si="55"/>
        <v>2025</v>
      </c>
    </row>
    <row r="1431" spans="1:9" ht="19.5" customHeight="1" x14ac:dyDescent="0.35">
      <c r="A1431" s="41">
        <v>45880</v>
      </c>
      <c r="B1431" s="8" t="s">
        <v>32</v>
      </c>
      <c r="C1431" s="42" t="s">
        <v>11</v>
      </c>
      <c r="D1431" s="43" t="s">
        <v>30</v>
      </c>
      <c r="E1431" s="46">
        <v>2405457.8199999998</v>
      </c>
      <c r="F1431" s="2">
        <f>IF(C1431="GBP",E1431*$C$3,IF(C1431="TRY",E1431/$C$1,IF(C1431="EUR",E1431*$E$1,IF(C1431="RUB",E1431/#REF!,IF(C1431="EGP",E1431/$E$2,E1431)))))</f>
        <v>65962.772267453489</v>
      </c>
      <c r="G1431" s="15" t="str">
        <f>VLOOKUP(B1431,SPECIFICATIONF!$C$2:$D$65,2,0)</f>
        <v>GLOBAL HFT</v>
      </c>
      <c r="H1431" s="12">
        <f t="shared" si="54"/>
        <v>8</v>
      </c>
      <c r="I1431" s="12">
        <f t="shared" si="55"/>
        <v>2025</v>
      </c>
    </row>
    <row r="1432" spans="1:9" ht="19.5" customHeight="1" x14ac:dyDescent="0.35">
      <c r="A1432" s="41">
        <v>45880</v>
      </c>
      <c r="B1432" s="8" t="s">
        <v>32</v>
      </c>
      <c r="C1432" s="42" t="s">
        <v>33</v>
      </c>
      <c r="D1432" s="43" t="s">
        <v>30</v>
      </c>
      <c r="E1432" s="46">
        <v>16369.89</v>
      </c>
      <c r="F1432" s="2">
        <f>IF(C1432="GBP",E1432*$C$3,IF(C1432="TRY",E1432/$C$1,IF(C1432="EUR",E1432*$E$1,IF(C1432="RUB",E1432/#REF!,IF(C1432="EGP",E1432/$E$2,E1432)))))</f>
        <v>16369.89</v>
      </c>
      <c r="G1432" s="15" t="str">
        <f>VLOOKUP(B1432,SPECIFICATIONF!$C$2:$D$65,2,0)</f>
        <v>GLOBAL HFT</v>
      </c>
      <c r="H1432" s="12">
        <f t="shared" si="54"/>
        <v>8</v>
      </c>
      <c r="I1432" s="12">
        <f t="shared" si="55"/>
        <v>2025</v>
      </c>
    </row>
    <row r="1433" spans="1:9" ht="19.5" customHeight="1" x14ac:dyDescent="0.35">
      <c r="A1433" s="41">
        <v>45880</v>
      </c>
      <c r="B1433" s="8" t="s">
        <v>32</v>
      </c>
      <c r="C1433" s="42" t="s">
        <v>11</v>
      </c>
      <c r="D1433" s="43" t="s">
        <v>29</v>
      </c>
      <c r="E1433" s="46">
        <v>9399194930</v>
      </c>
      <c r="F1433" s="2">
        <f>IF(C1433="GBP",E1433*$C$3,IF(C1433="TRY",E1433/$C$1,IF(C1433="EUR",E1433*$E$1,IF(C1433="RUB",E1433/#REF!,IF(C1433="EGP",E1433/$E$2,E1433)))))</f>
        <v>257745926.57999444</v>
      </c>
      <c r="G1433" s="15" t="str">
        <f>VLOOKUP(B1433,SPECIFICATIONF!$C$2:$D$65,2,0)</f>
        <v>GLOBAL HFT</v>
      </c>
      <c r="H1433" s="12">
        <f t="shared" si="54"/>
        <v>8</v>
      </c>
      <c r="I1433" s="12">
        <f t="shared" si="55"/>
        <v>2025</v>
      </c>
    </row>
    <row r="1434" spans="1:9" ht="19.5" customHeight="1" x14ac:dyDescent="0.35">
      <c r="A1434" s="41">
        <v>45880</v>
      </c>
      <c r="B1434" s="8" t="s">
        <v>32</v>
      </c>
      <c r="C1434" s="42" t="s">
        <v>33</v>
      </c>
      <c r="D1434" s="43" t="s">
        <v>29</v>
      </c>
      <c r="E1434" s="46">
        <v>59665443</v>
      </c>
      <c r="F1434" s="2">
        <f>IF(C1434="GBP",E1434*$C$3,IF(C1434="TRY",E1434/$C$1,IF(C1434="EUR",E1434*$E$1,IF(C1434="RUB",E1434/#REF!,IF(C1434="EGP",E1434/$E$2,E1434)))))</f>
        <v>59665443</v>
      </c>
      <c r="G1434" s="15" t="str">
        <f>VLOOKUP(B1434,SPECIFICATIONF!$C$2:$D$65,2,0)</f>
        <v>GLOBAL HFT</v>
      </c>
      <c r="H1434" s="12">
        <f t="shared" si="54"/>
        <v>8</v>
      </c>
      <c r="I1434" s="12">
        <f t="shared" si="55"/>
        <v>2025</v>
      </c>
    </row>
    <row r="1435" spans="1:9" ht="19.5" customHeight="1" x14ac:dyDescent="0.35">
      <c r="A1435" s="41">
        <v>45880</v>
      </c>
      <c r="B1435" s="8" t="s">
        <v>24</v>
      </c>
      <c r="C1435" s="42" t="s">
        <v>11</v>
      </c>
      <c r="D1435" s="43" t="s">
        <v>30</v>
      </c>
      <c r="E1435" s="46">
        <v>258.5</v>
      </c>
      <c r="F1435" s="2">
        <f>IF(C1435="GBP",E1435*$C$3,IF(C1435="TRY",E1435/$C$1,IF(C1435="EUR",E1435*$E$1,IF(C1435="RUB",E1435/#REF!,IF(C1435="EGP",E1435/$E$2,E1435)))))</f>
        <v>7.0886200910963089</v>
      </c>
      <c r="G1435" s="15" t="str">
        <f>VLOOKUP(B1435,SPECIFICATIONF!$C$2:$D$65,2,0)</f>
        <v>GLOBAL RETAIL</v>
      </c>
      <c r="H1435" s="12">
        <f t="shared" si="54"/>
        <v>8</v>
      </c>
      <c r="I1435" s="12">
        <f t="shared" si="55"/>
        <v>2025</v>
      </c>
    </row>
    <row r="1436" spans="1:9" ht="19.5" customHeight="1" x14ac:dyDescent="0.35">
      <c r="A1436" s="41">
        <v>45880</v>
      </c>
      <c r="B1436" s="8" t="s">
        <v>24</v>
      </c>
      <c r="C1436" s="42" t="s">
        <v>33</v>
      </c>
      <c r="D1436" s="43" t="s">
        <v>30</v>
      </c>
      <c r="E1436" s="46">
        <v>0.08</v>
      </c>
      <c r="F1436" s="2">
        <f>IF(C1436="GBP",E1436*$C$3,IF(C1436="TRY",E1436/$C$1,IF(C1436="EUR",E1436*$E$1,IF(C1436="RUB",E1436/#REF!,IF(C1436="EGP",E1436/$E$2,E1436)))))</f>
        <v>0.08</v>
      </c>
      <c r="G1436" s="15" t="str">
        <f>VLOOKUP(B1436,SPECIFICATIONF!$C$2:$D$65,2,0)</f>
        <v>GLOBAL RETAIL</v>
      </c>
      <c r="H1436" s="12">
        <f t="shared" si="54"/>
        <v>8</v>
      </c>
      <c r="I1436" s="12">
        <f t="shared" si="55"/>
        <v>2025</v>
      </c>
    </row>
    <row r="1437" spans="1:9" ht="19.5" customHeight="1" x14ac:dyDescent="0.35">
      <c r="A1437" s="41">
        <v>45880</v>
      </c>
      <c r="B1437" s="8" t="s">
        <v>24</v>
      </c>
      <c r="C1437" s="42" t="s">
        <v>11</v>
      </c>
      <c r="D1437" s="43" t="s">
        <v>29</v>
      </c>
      <c r="E1437" s="46">
        <v>234993</v>
      </c>
      <c r="F1437" s="2">
        <f>IF(C1437="GBP",E1437*$C$3,IF(C1437="TRY",E1437/$C$1,IF(C1437="EUR",E1437*$E$1,IF(C1437="RUB",E1437/#REF!,IF(C1437="EGP",E1437/$E$2,E1437)))))</f>
        <v>6444.0081279187425</v>
      </c>
      <c r="G1437" s="15" t="str">
        <f>VLOOKUP(B1437,SPECIFICATIONF!$C$2:$D$65,2,0)</f>
        <v>GLOBAL RETAIL</v>
      </c>
      <c r="H1437" s="12">
        <f t="shared" si="54"/>
        <v>8</v>
      </c>
      <c r="I1437" s="12">
        <f t="shared" si="55"/>
        <v>2025</v>
      </c>
    </row>
    <row r="1438" spans="1:9" ht="19.5" customHeight="1" x14ac:dyDescent="0.35">
      <c r="A1438" s="41">
        <v>45880</v>
      </c>
      <c r="B1438" s="8" t="s">
        <v>24</v>
      </c>
      <c r="C1438" s="42" t="s">
        <v>33</v>
      </c>
      <c r="D1438" s="43" t="s">
        <v>29</v>
      </c>
      <c r="E1438" s="46">
        <v>68</v>
      </c>
      <c r="F1438" s="2">
        <f>IF(C1438="GBP",E1438*$C$3,IF(C1438="TRY",E1438/$C$1,IF(C1438="EUR",E1438*$E$1,IF(C1438="RUB",E1438/#REF!,IF(C1438="EGP",E1438/$E$2,E1438)))))</f>
        <v>68</v>
      </c>
      <c r="G1438" s="15" t="str">
        <f>VLOOKUP(B1438,SPECIFICATIONF!$C$2:$D$65,2,0)</f>
        <v>GLOBAL RETAIL</v>
      </c>
      <c r="H1438" s="12">
        <f t="shared" si="54"/>
        <v>8</v>
      </c>
      <c r="I1438" s="12">
        <f t="shared" si="55"/>
        <v>2025</v>
      </c>
    </row>
    <row r="1439" spans="1:9" ht="19.5" customHeight="1" x14ac:dyDescent="0.35">
      <c r="A1439" s="41">
        <v>45881</v>
      </c>
      <c r="B1439" s="8" t="s">
        <v>32</v>
      </c>
      <c r="C1439" s="42" t="s">
        <v>11</v>
      </c>
      <c r="D1439" s="43" t="s">
        <v>30</v>
      </c>
      <c r="E1439" s="46">
        <v>1969476.06</v>
      </c>
      <c r="F1439" s="2">
        <f>IF(C1439="GBP",E1439*$C$3,IF(C1439="TRY",E1439/$C$1,IF(C1439="EUR",E1439*$E$1,IF(C1439="RUB",E1439/#REF!,IF(C1439="EGP",E1439/$E$2,E1439)))))</f>
        <v>54007.224633846032</v>
      </c>
      <c r="G1439" s="15" t="str">
        <f>VLOOKUP(B1439,SPECIFICATIONF!$C$2:$D$65,2,0)</f>
        <v>GLOBAL HFT</v>
      </c>
      <c r="H1439" s="12">
        <f t="shared" si="54"/>
        <v>8</v>
      </c>
      <c r="I1439" s="12">
        <f t="shared" si="55"/>
        <v>2025</v>
      </c>
    </row>
    <row r="1440" spans="1:9" ht="19.5" customHeight="1" x14ac:dyDescent="0.35">
      <c r="A1440" s="41">
        <v>45881</v>
      </c>
      <c r="B1440" s="8" t="s">
        <v>32</v>
      </c>
      <c r="C1440" s="42" t="s">
        <v>33</v>
      </c>
      <c r="D1440" s="43" t="s">
        <v>30</v>
      </c>
      <c r="E1440" s="46">
        <v>15396.26</v>
      </c>
      <c r="F1440" s="2">
        <f>IF(C1440="GBP",E1440*$C$3,IF(C1440="TRY",E1440/$C$1,IF(C1440="EUR",E1440*$E$1,IF(C1440="RUB",E1440/#REF!,IF(C1440="EGP",E1440/$E$2,E1440)))))</f>
        <v>15396.26</v>
      </c>
      <c r="G1440" s="15" t="str">
        <f>VLOOKUP(B1440,SPECIFICATIONF!$C$2:$D$65,2,0)</f>
        <v>GLOBAL HFT</v>
      </c>
      <c r="H1440" s="12">
        <f t="shared" si="54"/>
        <v>8</v>
      </c>
      <c r="I1440" s="12">
        <f t="shared" si="55"/>
        <v>2025</v>
      </c>
    </row>
    <row r="1441" spans="1:10" ht="19.5" customHeight="1" x14ac:dyDescent="0.35">
      <c r="A1441" s="41">
        <v>45881</v>
      </c>
      <c r="B1441" s="8" t="s">
        <v>32</v>
      </c>
      <c r="C1441" s="42" t="s">
        <v>11</v>
      </c>
      <c r="D1441" s="43" t="s">
        <v>29</v>
      </c>
      <c r="E1441" s="46">
        <v>8024275804</v>
      </c>
      <c r="F1441" s="2">
        <f>IF(C1441="GBP",E1441*$C$3,IF(C1441="TRY",E1441/$C$1,IF(C1441="EUR",E1441*$E$1,IF(C1441="RUB",E1441/#REF!,IF(C1441="EGP",E1441/$E$2,E1441)))))</f>
        <v>220042718.30070555</v>
      </c>
      <c r="G1441" s="15" t="str">
        <f>VLOOKUP(B1441,SPECIFICATIONF!$C$2:$D$65,2,0)</f>
        <v>GLOBAL HFT</v>
      </c>
      <c r="H1441" s="12">
        <f t="shared" si="54"/>
        <v>8</v>
      </c>
      <c r="I1441" s="12">
        <f t="shared" si="55"/>
        <v>2025</v>
      </c>
    </row>
    <row r="1442" spans="1:10" ht="19.5" customHeight="1" x14ac:dyDescent="0.35">
      <c r="A1442" s="41">
        <v>45881</v>
      </c>
      <c r="B1442" s="8" t="s">
        <v>32</v>
      </c>
      <c r="C1442" s="42" t="s">
        <v>33</v>
      </c>
      <c r="D1442" s="43" t="s">
        <v>29</v>
      </c>
      <c r="E1442" s="46">
        <v>54393876</v>
      </c>
      <c r="F1442" s="2">
        <f>IF(C1442="GBP",E1442*$C$3,IF(C1442="TRY",E1442/$C$1,IF(C1442="EUR",E1442*$E$1,IF(C1442="RUB",E1442/#REF!,IF(C1442="EGP",E1442/$E$2,E1442)))))</f>
        <v>54393876</v>
      </c>
      <c r="G1442" s="15" t="str">
        <f>VLOOKUP(B1442,SPECIFICATIONF!$C$2:$D$65,2,0)</f>
        <v>GLOBAL HFT</v>
      </c>
      <c r="H1442" s="12">
        <f t="shared" si="54"/>
        <v>8</v>
      </c>
      <c r="I1442" s="12">
        <f t="shared" si="55"/>
        <v>2025</v>
      </c>
    </row>
    <row r="1443" spans="1:10" ht="19.5" customHeight="1" x14ac:dyDescent="0.35">
      <c r="A1443" s="41">
        <v>45881</v>
      </c>
      <c r="B1443" s="8" t="s">
        <v>24</v>
      </c>
      <c r="C1443" s="42" t="s">
        <v>11</v>
      </c>
      <c r="D1443" s="43" t="s">
        <v>30</v>
      </c>
      <c r="E1443" s="46">
        <v>0</v>
      </c>
      <c r="F1443" s="2">
        <f>IF(C1443="GBP",E1443*$C$3,IF(C1443="TRY",E1443/$C$1,IF(C1443="EUR",E1443*$E$1,IF(C1443="RUB",E1443/#REF!,IF(C1443="EGP",E1443/$E$2,E1443)))))</f>
        <v>0</v>
      </c>
      <c r="G1443" s="15" t="str">
        <f>VLOOKUP(B1443,SPECIFICATIONF!$C$2:$D$65,2,0)</f>
        <v>GLOBAL RETAIL</v>
      </c>
      <c r="H1443" s="12">
        <f t="shared" si="54"/>
        <v>8</v>
      </c>
      <c r="I1443" s="12">
        <f t="shared" si="55"/>
        <v>2025</v>
      </c>
    </row>
    <row r="1444" spans="1:10" ht="19.5" customHeight="1" x14ac:dyDescent="0.35">
      <c r="A1444" s="41">
        <v>45881</v>
      </c>
      <c r="B1444" s="8" t="s">
        <v>24</v>
      </c>
      <c r="C1444" s="42" t="s">
        <v>33</v>
      </c>
      <c r="D1444" s="43" t="s">
        <v>30</v>
      </c>
      <c r="E1444" s="46">
        <v>0.04</v>
      </c>
      <c r="F1444" s="2">
        <f>IF(C1444="GBP",E1444*$C$3,IF(C1444="TRY",E1444/$C$1,IF(C1444="EUR",E1444*$E$1,IF(C1444="RUB",E1444/#REF!,IF(C1444="EGP",E1444/$E$2,E1444)))))</f>
        <v>0.04</v>
      </c>
      <c r="G1444" s="15" t="str">
        <f>VLOOKUP(B1444,SPECIFICATIONF!$C$2:$D$65,2,0)</f>
        <v>GLOBAL RETAIL</v>
      </c>
      <c r="H1444" s="12">
        <f t="shared" si="54"/>
        <v>8</v>
      </c>
      <c r="I1444" s="12">
        <f t="shared" si="55"/>
        <v>2025</v>
      </c>
    </row>
    <row r="1445" spans="1:10" ht="19.5" customHeight="1" x14ac:dyDescent="0.35">
      <c r="A1445" s="41">
        <v>45881</v>
      </c>
      <c r="B1445" s="8" t="s">
        <v>24</v>
      </c>
      <c r="C1445" s="42" t="s">
        <v>11</v>
      </c>
      <c r="D1445" s="43" t="s">
        <v>29</v>
      </c>
      <c r="E1445" s="46">
        <v>0</v>
      </c>
      <c r="F1445" s="2">
        <f>IF(C1445="GBP",E1445*$C$3,IF(C1445="TRY",E1445/$C$1,IF(C1445="EUR",E1445*$E$1,IF(C1445="RUB",E1445/#REF!,IF(C1445="EGP",E1445/$E$2,E1445)))))</f>
        <v>0</v>
      </c>
      <c r="G1445" s="15" t="str">
        <f>VLOOKUP(B1445,SPECIFICATIONF!$C$2:$D$65,2,0)</f>
        <v>GLOBAL RETAIL</v>
      </c>
      <c r="H1445" s="12">
        <f t="shared" si="54"/>
        <v>8</v>
      </c>
      <c r="I1445" s="12">
        <f t="shared" si="55"/>
        <v>2025</v>
      </c>
    </row>
    <row r="1446" spans="1:10" ht="19.5" customHeight="1" x14ac:dyDescent="0.35">
      <c r="A1446" s="41">
        <v>45881</v>
      </c>
      <c r="B1446" s="8" t="s">
        <v>24</v>
      </c>
      <c r="C1446" s="42" t="s">
        <v>33</v>
      </c>
      <c r="D1446" s="43" t="s">
        <v>29</v>
      </c>
      <c r="E1446" s="46">
        <v>44</v>
      </c>
      <c r="F1446" s="2">
        <f>IF(C1446="GBP",E1446*$C$3,IF(C1446="TRY",E1446/$C$1,IF(C1446="EUR",E1446*$E$1,IF(C1446="RUB",E1446/#REF!,IF(C1446="EGP",E1446/$E$2,E1446)))))</f>
        <v>44</v>
      </c>
      <c r="G1446" s="15" t="str">
        <f>VLOOKUP(B1446,SPECIFICATIONF!$C$2:$D$65,2,0)</f>
        <v>GLOBAL RETAIL</v>
      </c>
      <c r="H1446" s="12">
        <f t="shared" ref="H1446:H1509" si="56">MONTH(A1446)</f>
        <v>8</v>
      </c>
      <c r="I1446" s="12">
        <f t="shared" ref="I1446:I1509" si="57">YEAR(A1446)</f>
        <v>2025</v>
      </c>
    </row>
    <row r="1447" spans="1:10" ht="19.5" customHeight="1" x14ac:dyDescent="0.35">
      <c r="A1447" s="41">
        <v>45882</v>
      </c>
      <c r="B1447" s="8" t="s">
        <v>32</v>
      </c>
      <c r="C1447" s="42" t="s">
        <v>11</v>
      </c>
      <c r="D1447" s="43" t="s">
        <v>30</v>
      </c>
      <c r="E1447" s="46">
        <v>2453434.9</v>
      </c>
      <c r="F1447" s="2">
        <f>IF(C1447="GBP",E1447*$C$3,IF(C1447="TRY",E1447/$C$1,IF(C1447="EUR",E1447*$E$1,IF(C1447="RUB",E1447/#REF!,IF(C1447="EGP",E1447/$E$2,E1447)))))</f>
        <v>67278.405896854398</v>
      </c>
      <c r="G1447" s="15" t="str">
        <f>VLOOKUP(B1447,SPECIFICATIONF!$C$2:$D$65,2,0)</f>
        <v>GLOBAL HFT</v>
      </c>
      <c r="H1447" s="12">
        <f t="shared" si="56"/>
        <v>8</v>
      </c>
      <c r="I1447" s="12">
        <f t="shared" si="57"/>
        <v>2025</v>
      </c>
    </row>
    <row r="1448" spans="1:10" ht="19.5" customHeight="1" x14ac:dyDescent="0.35">
      <c r="A1448" s="41">
        <v>45882</v>
      </c>
      <c r="B1448" s="8" t="s">
        <v>32</v>
      </c>
      <c r="C1448" s="42" t="s">
        <v>33</v>
      </c>
      <c r="D1448" s="43" t="s">
        <v>30</v>
      </c>
      <c r="E1448" s="46">
        <v>22276.77</v>
      </c>
      <c r="F1448" s="2">
        <f>IF(C1448="GBP",E1448*$C$3,IF(C1448="TRY",E1448/$C$1,IF(C1448="EUR",E1448*$E$1,IF(C1448="RUB",E1448/#REF!,IF(C1448="EGP",E1448/$E$2,E1448)))))</f>
        <v>22276.77</v>
      </c>
      <c r="G1448" s="15" t="str">
        <f>VLOOKUP(B1448,SPECIFICATIONF!$C$2:$D$65,2,0)</f>
        <v>GLOBAL HFT</v>
      </c>
      <c r="H1448" s="12">
        <f t="shared" si="56"/>
        <v>8</v>
      </c>
      <c r="I1448" s="12">
        <f t="shared" si="57"/>
        <v>2025</v>
      </c>
    </row>
    <row r="1449" spans="1:10" ht="19.5" customHeight="1" x14ac:dyDescent="0.35">
      <c r="A1449" s="41">
        <v>45882</v>
      </c>
      <c r="B1449" s="8" t="s">
        <v>32</v>
      </c>
      <c r="C1449" s="42" t="s">
        <v>11</v>
      </c>
      <c r="D1449" s="43" t="s">
        <v>29</v>
      </c>
      <c r="E1449" s="46">
        <v>9387012156</v>
      </c>
      <c r="F1449" s="2">
        <f>IF(C1449="GBP",E1449*$C$3,IF(C1449="TRY",E1449/$C$1,IF(C1449="EUR",E1449*$E$1,IF(C1449="RUB",E1449/#REF!,IF(C1449="EGP",E1449/$E$2,E1449)))))</f>
        <v>257411848.99182543</v>
      </c>
      <c r="G1449" s="15" t="str">
        <f>VLOOKUP(B1449,SPECIFICATIONF!$C$2:$D$65,2,0)</f>
        <v>GLOBAL HFT</v>
      </c>
      <c r="H1449" s="12">
        <f t="shared" si="56"/>
        <v>8</v>
      </c>
      <c r="I1449" s="12">
        <f t="shared" si="57"/>
        <v>2025</v>
      </c>
    </row>
    <row r="1450" spans="1:10" ht="19.5" customHeight="1" x14ac:dyDescent="0.35">
      <c r="A1450" s="41">
        <v>45882</v>
      </c>
      <c r="B1450" s="8" t="s">
        <v>32</v>
      </c>
      <c r="C1450" s="42" t="s">
        <v>33</v>
      </c>
      <c r="D1450" s="43" t="s">
        <v>29</v>
      </c>
      <c r="E1450" s="46">
        <v>82087299</v>
      </c>
      <c r="F1450" s="2">
        <f>IF(C1450="GBP",E1450*$C$3,IF(C1450="TRY",E1450/$C$1,IF(C1450="EUR",E1450*$E$1,IF(C1450="RUB",E1450/#REF!,IF(C1450="EGP",E1450/$E$2,E1450)))))</f>
        <v>82087299</v>
      </c>
      <c r="G1450" s="15" t="str">
        <f>VLOOKUP(B1450,SPECIFICATIONF!$C$2:$D$65,2,0)</f>
        <v>GLOBAL HFT</v>
      </c>
      <c r="H1450" s="12">
        <f t="shared" si="56"/>
        <v>8</v>
      </c>
      <c r="I1450" s="12">
        <f t="shared" si="57"/>
        <v>2025</v>
      </c>
    </row>
    <row r="1451" spans="1:10" ht="19.5" customHeight="1" x14ac:dyDescent="0.35">
      <c r="A1451" s="41">
        <v>45882</v>
      </c>
      <c r="B1451" s="8" t="s">
        <v>24</v>
      </c>
      <c r="C1451" s="42" t="s">
        <v>11</v>
      </c>
      <c r="D1451" s="43" t="s">
        <v>30</v>
      </c>
      <c r="E1451" s="46">
        <v>5.09</v>
      </c>
      <c r="F1451" s="2">
        <f>IF(C1451="GBP",E1451*$C$3,IF(C1451="TRY",E1451/$C$1,IF(C1451="EUR",E1451*$E$1,IF(C1451="RUB",E1451/#REF!,IF(C1451="EGP",E1451/$E$2,E1451)))))</f>
        <v>0.13957863158096792</v>
      </c>
      <c r="G1451" s="15" t="str">
        <f>VLOOKUP(B1451,SPECIFICATIONF!$C$2:$D$65,2,0)</f>
        <v>GLOBAL RETAIL</v>
      </c>
      <c r="H1451" s="12">
        <f t="shared" si="56"/>
        <v>8</v>
      </c>
      <c r="I1451" s="12">
        <f t="shared" si="57"/>
        <v>2025</v>
      </c>
    </row>
    <row r="1452" spans="1:10" ht="19.5" customHeight="1" x14ac:dyDescent="0.35">
      <c r="A1452" s="41">
        <v>45882</v>
      </c>
      <c r="B1452" s="8" t="s">
        <v>24</v>
      </c>
      <c r="C1452" s="42" t="s">
        <v>33</v>
      </c>
      <c r="D1452" s="43" t="s">
        <v>30</v>
      </c>
      <c r="E1452" s="46">
        <v>0.03</v>
      </c>
      <c r="F1452" s="2">
        <f>IF(C1452="GBP",E1452*$C$3,IF(C1452="TRY",E1452/$C$1,IF(C1452="EUR",E1452*$E$1,IF(C1452="RUB",E1452/#REF!,IF(C1452="EGP",E1452/$E$2,E1452)))))</f>
        <v>0.03</v>
      </c>
      <c r="G1452" s="15" t="str">
        <f>VLOOKUP(B1452,SPECIFICATIONF!$C$2:$D$65,2,0)</f>
        <v>GLOBAL RETAIL</v>
      </c>
      <c r="H1452" s="12">
        <f t="shared" si="56"/>
        <v>8</v>
      </c>
      <c r="I1452" s="12">
        <f t="shared" si="57"/>
        <v>2025</v>
      </c>
    </row>
    <row r="1453" spans="1:10" ht="19.5" customHeight="1" x14ac:dyDescent="0.35">
      <c r="A1453" s="41">
        <v>45882</v>
      </c>
      <c r="B1453" s="8" t="s">
        <v>24</v>
      </c>
      <c r="C1453" s="42" t="s">
        <v>11</v>
      </c>
      <c r="D1453" s="43" t="s">
        <v>29</v>
      </c>
      <c r="E1453" s="46">
        <v>4512</v>
      </c>
      <c r="F1453" s="2">
        <f>IF(C1453="GBP",E1453*$C$3,IF(C1453="TRY",E1453/$C$1,IF(C1453="EUR",E1453*$E$1,IF(C1453="RUB",E1453/#REF!,IF(C1453="EGP",E1453/$E$2,E1453)))))</f>
        <v>123.72864159004466</v>
      </c>
      <c r="G1453" s="15" t="str">
        <f>VLOOKUP(B1453,SPECIFICATIONF!$C$2:$D$65,2,0)</f>
        <v>GLOBAL RETAIL</v>
      </c>
      <c r="H1453" s="12">
        <f t="shared" si="56"/>
        <v>8</v>
      </c>
      <c r="I1453" s="12">
        <f t="shared" si="57"/>
        <v>2025</v>
      </c>
    </row>
    <row r="1454" spans="1:10" ht="19.5" customHeight="1" x14ac:dyDescent="0.35">
      <c r="A1454" s="41">
        <v>45882</v>
      </c>
      <c r="B1454" s="8" t="s">
        <v>24</v>
      </c>
      <c r="C1454" s="42" t="s">
        <v>33</v>
      </c>
      <c r="D1454" s="43" t="s">
        <v>29</v>
      </c>
      <c r="E1454" s="46">
        <v>31</v>
      </c>
      <c r="F1454" s="2">
        <f>IF(C1454="GBP",E1454*$C$3,IF(C1454="TRY",E1454/$C$1,IF(C1454="EUR",E1454*$E$1,IF(C1454="RUB",E1454/#REF!,IF(C1454="EGP",E1454/$E$2,E1454)))))</f>
        <v>31</v>
      </c>
      <c r="G1454" s="15" t="str">
        <f>VLOOKUP(B1454,SPECIFICATIONF!$C$2:$D$65,2,0)</f>
        <v>GLOBAL RETAIL</v>
      </c>
      <c r="H1454" s="12">
        <f t="shared" si="56"/>
        <v>8</v>
      </c>
      <c r="I1454" s="12">
        <f t="shared" si="57"/>
        <v>2025</v>
      </c>
    </row>
    <row r="1455" spans="1:10" ht="19.5" customHeight="1" x14ac:dyDescent="0.35">
      <c r="A1455" s="41">
        <v>45883</v>
      </c>
      <c r="B1455" s="8" t="s">
        <v>32</v>
      </c>
      <c r="C1455" s="42" t="s">
        <v>11</v>
      </c>
      <c r="D1455" s="43" t="s">
        <v>30</v>
      </c>
      <c r="E1455" s="50">
        <f>3102555.51-1246.64</f>
        <v>3101308.8699999996</v>
      </c>
      <c r="F1455" s="2">
        <f>IF(C1455="GBP",E1455*$C$3,IF(C1455="TRY",E1455/$C$1,IF(C1455="EUR",E1455*$E$1,IF(C1455="RUB",E1455/#REF!,IF(C1455="EGP",E1455/$E$2,E1455)))))</f>
        <v>85044.488837822777</v>
      </c>
      <c r="G1455" s="15" t="str">
        <f>VLOOKUP(B1455,SPECIFICATIONF!$C$2:$D$65,2,0)</f>
        <v>GLOBAL HFT</v>
      </c>
      <c r="H1455" s="12">
        <f t="shared" si="56"/>
        <v>8</v>
      </c>
      <c r="I1455" s="12">
        <f t="shared" si="57"/>
        <v>2025</v>
      </c>
      <c r="J1455" s="9" t="s">
        <v>36</v>
      </c>
    </row>
    <row r="1456" spans="1:10" ht="19.5" customHeight="1" x14ac:dyDescent="0.35">
      <c r="A1456" s="41">
        <v>45883</v>
      </c>
      <c r="B1456" s="8" t="s">
        <v>32</v>
      </c>
      <c r="C1456" s="42" t="s">
        <v>33</v>
      </c>
      <c r="D1456" s="43" t="s">
        <v>30</v>
      </c>
      <c r="E1456" s="50">
        <f>22526.59-24.99</f>
        <v>22501.599999999999</v>
      </c>
      <c r="F1456" s="2">
        <f>IF(C1456="GBP",E1456*$C$3,IF(C1456="TRY",E1456/$C$1,IF(C1456="EUR",E1456*$E$1,IF(C1456="RUB",E1456/#REF!,IF(C1456="EGP",E1456/$E$2,E1456)))))</f>
        <v>22501.599999999999</v>
      </c>
      <c r="G1456" s="15" t="str">
        <f>VLOOKUP(B1456,SPECIFICATIONF!$C$2:$D$65,2,0)</f>
        <v>GLOBAL HFT</v>
      </c>
      <c r="H1456" s="12">
        <f t="shared" si="56"/>
        <v>8</v>
      </c>
      <c r="I1456" s="12">
        <f t="shared" si="57"/>
        <v>2025</v>
      </c>
      <c r="J1456" s="9" t="s">
        <v>37</v>
      </c>
    </row>
    <row r="1457" spans="1:9" ht="19.5" customHeight="1" x14ac:dyDescent="0.35">
      <c r="A1457" s="41">
        <v>45883</v>
      </c>
      <c r="B1457" s="8" t="s">
        <v>32</v>
      </c>
      <c r="C1457" s="42" t="s">
        <v>11</v>
      </c>
      <c r="D1457" s="43" t="s">
        <v>29</v>
      </c>
      <c r="E1457" s="46">
        <v>11228126111</v>
      </c>
      <c r="F1457" s="2">
        <f>IF(C1457="GBP",E1457*$C$3,IF(C1457="TRY",E1457/$C$1,IF(C1457="EUR",E1457*$E$1,IF(C1457="RUB",E1457/#REF!,IF(C1457="EGP",E1457/$E$2,E1457)))))</f>
        <v>307899111.55047452</v>
      </c>
      <c r="G1457" s="15" t="str">
        <f>VLOOKUP(B1457,SPECIFICATIONF!$C$2:$D$65,2,0)</f>
        <v>GLOBAL HFT</v>
      </c>
      <c r="H1457" s="12">
        <f t="shared" si="56"/>
        <v>8</v>
      </c>
      <c r="I1457" s="12">
        <f t="shared" si="57"/>
        <v>2025</v>
      </c>
    </row>
    <row r="1458" spans="1:9" ht="19.5" customHeight="1" x14ac:dyDescent="0.35">
      <c r="A1458" s="41">
        <v>45883</v>
      </c>
      <c r="B1458" s="8" t="s">
        <v>32</v>
      </c>
      <c r="C1458" s="42" t="s">
        <v>33</v>
      </c>
      <c r="D1458" s="43" t="s">
        <v>29</v>
      </c>
      <c r="E1458" s="46">
        <v>80013025</v>
      </c>
      <c r="F1458" s="2">
        <f>IF(C1458="GBP",E1458*$C$3,IF(C1458="TRY",E1458/$C$1,IF(C1458="EUR",E1458*$E$1,IF(C1458="RUB",E1458/#REF!,IF(C1458="EGP",E1458/$E$2,E1458)))))</f>
        <v>80013025</v>
      </c>
      <c r="G1458" s="15" t="str">
        <f>VLOOKUP(B1458,SPECIFICATIONF!$C$2:$D$65,2,0)</f>
        <v>GLOBAL HFT</v>
      </c>
      <c r="H1458" s="12">
        <f t="shared" si="56"/>
        <v>8</v>
      </c>
      <c r="I1458" s="12">
        <f t="shared" si="57"/>
        <v>2025</v>
      </c>
    </row>
    <row r="1459" spans="1:9" ht="19.5" customHeight="1" x14ac:dyDescent="0.35">
      <c r="A1459" s="41">
        <v>45883</v>
      </c>
      <c r="B1459" s="8" t="s">
        <v>24</v>
      </c>
      <c r="C1459" s="42" t="s">
        <v>11</v>
      </c>
      <c r="D1459" s="43" t="s">
        <v>30</v>
      </c>
      <c r="E1459" s="46">
        <v>1165.3499999999999</v>
      </c>
      <c r="F1459" s="2">
        <f>IF(C1459="GBP",E1459*$C$3,IF(C1459="TRY",E1459/$C$1,IF(C1459="EUR",E1459*$E$1,IF(C1459="RUB",E1459/#REF!,IF(C1459="EGP",E1459/$E$2,E1459)))))</f>
        <v>31.95637687875854</v>
      </c>
      <c r="G1459" s="15" t="str">
        <f>VLOOKUP(B1459,SPECIFICATIONF!$C$2:$D$65,2,0)</f>
        <v>GLOBAL RETAIL</v>
      </c>
      <c r="H1459" s="12">
        <f t="shared" si="56"/>
        <v>8</v>
      </c>
      <c r="I1459" s="12">
        <f t="shared" si="57"/>
        <v>2025</v>
      </c>
    </row>
    <row r="1460" spans="1:9" ht="19.5" customHeight="1" x14ac:dyDescent="0.35">
      <c r="A1460" s="41">
        <v>45883</v>
      </c>
      <c r="B1460" s="8" t="s">
        <v>24</v>
      </c>
      <c r="C1460" s="42" t="s">
        <v>33</v>
      </c>
      <c r="D1460" s="43" t="s">
        <v>30</v>
      </c>
      <c r="E1460" s="46">
        <v>0.48</v>
      </c>
      <c r="F1460" s="2">
        <f>IF(C1460="GBP",E1460*$C$3,IF(C1460="TRY",E1460/$C$1,IF(C1460="EUR",E1460*$E$1,IF(C1460="RUB",E1460/#REF!,IF(C1460="EGP",E1460/$E$2,E1460)))))</f>
        <v>0.48</v>
      </c>
      <c r="G1460" s="15" t="str">
        <f>VLOOKUP(B1460,SPECIFICATIONF!$C$2:$D$65,2,0)</f>
        <v>GLOBAL RETAIL</v>
      </c>
      <c r="H1460" s="12">
        <f t="shared" si="56"/>
        <v>8</v>
      </c>
      <c r="I1460" s="12">
        <f t="shared" si="57"/>
        <v>2025</v>
      </c>
    </row>
    <row r="1461" spans="1:9" ht="19.5" customHeight="1" x14ac:dyDescent="0.35">
      <c r="A1461" s="41">
        <v>45883</v>
      </c>
      <c r="B1461" s="8" t="s">
        <v>24</v>
      </c>
      <c r="C1461" s="42" t="s">
        <v>11</v>
      </c>
      <c r="D1461" s="43" t="s">
        <v>29</v>
      </c>
      <c r="E1461" s="46">
        <v>1143432</v>
      </c>
      <c r="F1461" s="2">
        <f>IF(C1461="GBP",E1461*$C$3,IF(C1461="TRY",E1461/$C$1,IF(C1461="EUR",E1461*$E$1,IF(C1461="RUB",E1461/#REF!,IF(C1461="EGP",E1461/$E$2,E1461)))))</f>
        <v>31355.338676992011</v>
      </c>
      <c r="G1461" s="15" t="str">
        <f>VLOOKUP(B1461,SPECIFICATIONF!$C$2:$D$65,2,0)</f>
        <v>GLOBAL RETAIL</v>
      </c>
      <c r="H1461" s="12">
        <f t="shared" si="56"/>
        <v>8</v>
      </c>
      <c r="I1461" s="12">
        <f t="shared" si="57"/>
        <v>2025</v>
      </c>
    </row>
    <row r="1462" spans="1:9" ht="19.5" customHeight="1" x14ac:dyDescent="0.35">
      <c r="A1462" s="41">
        <v>45883</v>
      </c>
      <c r="B1462" s="8" t="s">
        <v>24</v>
      </c>
      <c r="C1462" s="42" t="s">
        <v>33</v>
      </c>
      <c r="D1462" s="43" t="s">
        <v>29</v>
      </c>
      <c r="E1462" s="46">
        <v>467</v>
      </c>
      <c r="F1462" s="2">
        <f>IF(C1462="GBP",E1462*$C$3,IF(C1462="TRY",E1462/$C$1,IF(C1462="EUR",E1462*$E$1,IF(C1462="RUB",E1462/#REF!,IF(C1462="EGP",E1462/$E$2,E1462)))))</f>
        <v>467</v>
      </c>
      <c r="G1462" s="15" t="str">
        <f>VLOOKUP(B1462,SPECIFICATIONF!$C$2:$D$65,2,0)</f>
        <v>GLOBAL RETAIL</v>
      </c>
      <c r="H1462" s="12">
        <f t="shared" si="56"/>
        <v>8</v>
      </c>
      <c r="I1462" s="12">
        <f t="shared" si="57"/>
        <v>2025</v>
      </c>
    </row>
    <row r="1463" spans="1:9" ht="19.5" customHeight="1" x14ac:dyDescent="0.35">
      <c r="A1463" s="41">
        <v>45884</v>
      </c>
      <c r="B1463" s="8" t="s">
        <v>32</v>
      </c>
      <c r="C1463" s="42" t="s">
        <v>11</v>
      </c>
      <c r="D1463" s="43" t="s">
        <v>30</v>
      </c>
      <c r="E1463" s="46">
        <v>1860122.49</v>
      </c>
      <c r="F1463" s="2">
        <f>IF(C1463="GBP",E1463*$C$3,IF(C1463="TRY",E1463/$C$1,IF(C1463="EUR",E1463*$E$1,IF(C1463="RUB",E1463/#REF!,IF(C1463="EGP",E1463/$E$2,E1463)))))</f>
        <v>51008.517038739235</v>
      </c>
      <c r="G1463" s="15" t="str">
        <f>VLOOKUP(B1463,SPECIFICATIONF!$C$2:$D$65,2,0)</f>
        <v>GLOBAL HFT</v>
      </c>
      <c r="H1463" s="12">
        <f t="shared" si="56"/>
        <v>8</v>
      </c>
      <c r="I1463" s="12">
        <f t="shared" si="57"/>
        <v>2025</v>
      </c>
    </row>
    <row r="1464" spans="1:9" ht="19.5" customHeight="1" x14ac:dyDescent="0.35">
      <c r="A1464" s="41">
        <v>45884</v>
      </c>
      <c r="B1464" s="8" t="s">
        <v>32</v>
      </c>
      <c r="C1464" s="42" t="s">
        <v>33</v>
      </c>
      <c r="D1464" s="43" t="s">
        <v>30</v>
      </c>
      <c r="E1464" s="46">
        <v>13693.37</v>
      </c>
      <c r="F1464" s="2">
        <f>IF(C1464="GBP",E1464*$C$3,IF(C1464="TRY",E1464/$C$1,IF(C1464="EUR",E1464*$E$1,IF(C1464="RUB",E1464/#REF!,IF(C1464="EGP",E1464/$E$2,E1464)))))</f>
        <v>13693.37</v>
      </c>
      <c r="G1464" s="15" t="str">
        <f>VLOOKUP(B1464,SPECIFICATIONF!$C$2:$D$65,2,0)</f>
        <v>GLOBAL HFT</v>
      </c>
      <c r="H1464" s="12">
        <f t="shared" si="56"/>
        <v>8</v>
      </c>
      <c r="I1464" s="12">
        <f t="shared" si="57"/>
        <v>2025</v>
      </c>
    </row>
    <row r="1465" spans="1:9" ht="19.5" customHeight="1" x14ac:dyDescent="0.35">
      <c r="A1465" s="41">
        <v>45884</v>
      </c>
      <c r="B1465" s="8" t="s">
        <v>32</v>
      </c>
      <c r="C1465" s="42" t="s">
        <v>11</v>
      </c>
      <c r="D1465" s="43" t="s">
        <v>29</v>
      </c>
      <c r="E1465" s="46">
        <v>6530986063</v>
      </c>
      <c r="F1465" s="2">
        <f>IF(C1465="GBP",E1465*$C$3,IF(C1465="TRY",E1465/$C$1,IF(C1465="EUR",E1465*$E$1,IF(C1465="RUB",E1465/#REF!,IF(C1465="EGP",E1465/$E$2,E1465)))))</f>
        <v>179093535.86403012</v>
      </c>
      <c r="G1465" s="15" t="str">
        <f>VLOOKUP(B1465,SPECIFICATIONF!$C$2:$D$65,2,0)</f>
        <v>GLOBAL HFT</v>
      </c>
      <c r="H1465" s="12">
        <f t="shared" si="56"/>
        <v>8</v>
      </c>
      <c r="I1465" s="12">
        <f t="shared" si="57"/>
        <v>2025</v>
      </c>
    </row>
    <row r="1466" spans="1:9" ht="19.5" customHeight="1" x14ac:dyDescent="0.35">
      <c r="A1466" s="41">
        <v>45884</v>
      </c>
      <c r="B1466" s="8" t="s">
        <v>32</v>
      </c>
      <c r="C1466" s="42" t="s">
        <v>33</v>
      </c>
      <c r="D1466" s="43" t="s">
        <v>29</v>
      </c>
      <c r="E1466" s="46">
        <v>44967950</v>
      </c>
      <c r="F1466" s="2">
        <f>IF(C1466="GBP",E1466*$C$3,IF(C1466="TRY",E1466/$C$1,IF(C1466="EUR",E1466*$E$1,IF(C1466="RUB",E1466/#REF!,IF(C1466="EGP",E1466/$E$2,E1466)))))</f>
        <v>44967950</v>
      </c>
      <c r="G1466" s="15" t="str">
        <f>VLOOKUP(B1466,SPECIFICATIONF!$C$2:$D$65,2,0)</f>
        <v>GLOBAL HFT</v>
      </c>
      <c r="H1466" s="12">
        <f t="shared" si="56"/>
        <v>8</v>
      </c>
      <c r="I1466" s="12">
        <f t="shared" si="57"/>
        <v>2025</v>
      </c>
    </row>
    <row r="1467" spans="1:9" ht="19.5" customHeight="1" x14ac:dyDescent="0.35">
      <c r="A1467" s="41">
        <v>45884</v>
      </c>
      <c r="B1467" s="8" t="s">
        <v>24</v>
      </c>
      <c r="C1467" s="42" t="s">
        <v>11</v>
      </c>
      <c r="D1467" s="43" t="s">
        <v>30</v>
      </c>
      <c r="E1467" s="46">
        <v>1014.09</v>
      </c>
      <c r="F1467" s="2">
        <f>IF(C1467="GBP",E1467*$C$3,IF(C1467="TRY",E1467/$C$1,IF(C1467="EUR",E1467*$E$1,IF(C1467="RUB",E1467/#REF!,IF(C1467="EGP",E1467/$E$2,E1467)))))</f>
        <v>27.808505795666754</v>
      </c>
      <c r="G1467" s="15" t="str">
        <f>VLOOKUP(B1467,SPECIFICATIONF!$C$2:$D$65,2,0)</f>
        <v>GLOBAL RETAIL</v>
      </c>
      <c r="H1467" s="12">
        <f t="shared" si="56"/>
        <v>8</v>
      </c>
      <c r="I1467" s="12">
        <f t="shared" si="57"/>
        <v>2025</v>
      </c>
    </row>
    <row r="1468" spans="1:9" ht="19.5" customHeight="1" x14ac:dyDescent="0.35">
      <c r="A1468" s="41">
        <v>45884</v>
      </c>
      <c r="B1468" s="8" t="s">
        <v>24</v>
      </c>
      <c r="C1468" s="42" t="s">
        <v>33</v>
      </c>
      <c r="D1468" s="43" t="s">
        <v>30</v>
      </c>
      <c r="E1468" s="46">
        <v>0</v>
      </c>
      <c r="F1468" s="2">
        <f>IF(C1468="GBP",E1468*$C$3,IF(C1468="TRY",E1468/$C$1,IF(C1468="EUR",E1468*$E$1,IF(C1468="RUB",E1468/#REF!,IF(C1468="EGP",E1468/$E$2,E1468)))))</f>
        <v>0</v>
      </c>
      <c r="G1468" s="15" t="str">
        <f>VLOOKUP(B1468,SPECIFICATIONF!$C$2:$D$65,2,0)</f>
        <v>GLOBAL RETAIL</v>
      </c>
      <c r="H1468" s="12">
        <f t="shared" si="56"/>
        <v>8</v>
      </c>
      <c r="I1468" s="12">
        <f t="shared" si="57"/>
        <v>2025</v>
      </c>
    </row>
    <row r="1469" spans="1:9" ht="19.5" customHeight="1" x14ac:dyDescent="0.35">
      <c r="A1469" s="41">
        <v>45884</v>
      </c>
      <c r="B1469" s="8" t="s">
        <v>24</v>
      </c>
      <c r="C1469" s="42" t="s">
        <v>11</v>
      </c>
      <c r="D1469" s="43" t="s">
        <v>29</v>
      </c>
      <c r="E1469" s="46">
        <v>948156</v>
      </c>
      <c r="F1469" s="2">
        <f>IF(C1469="GBP",E1469*$C$3,IF(C1469="TRY",E1469/$C$1,IF(C1469="EUR",E1469*$E$1,IF(C1469="RUB",E1469/#REF!,IF(C1469="EGP",E1469/$E$2,E1469)))))</f>
        <v>26000.455207324998</v>
      </c>
      <c r="G1469" s="15" t="str">
        <f>VLOOKUP(B1469,SPECIFICATIONF!$C$2:$D$65,2,0)</f>
        <v>GLOBAL RETAIL</v>
      </c>
      <c r="H1469" s="12">
        <f t="shared" si="56"/>
        <v>8</v>
      </c>
      <c r="I1469" s="12">
        <f t="shared" si="57"/>
        <v>2025</v>
      </c>
    </row>
    <row r="1470" spans="1:9" ht="19.5" customHeight="1" x14ac:dyDescent="0.35">
      <c r="A1470" s="41">
        <v>45884</v>
      </c>
      <c r="B1470" s="8" t="s">
        <v>24</v>
      </c>
      <c r="C1470" s="42" t="s">
        <v>33</v>
      </c>
      <c r="D1470" s="43" t="s">
        <v>29</v>
      </c>
      <c r="E1470" s="46">
        <v>0</v>
      </c>
      <c r="F1470" s="2">
        <f>IF(C1470="GBP",E1470*$C$3,IF(C1470="TRY",E1470/$C$1,IF(C1470="EUR",E1470*$E$1,IF(C1470="RUB",E1470/#REF!,IF(C1470="EGP",E1470/$E$2,E1470)))))</f>
        <v>0</v>
      </c>
      <c r="G1470" s="15" t="str">
        <f>VLOOKUP(B1470,SPECIFICATIONF!$C$2:$D$65,2,0)</f>
        <v>GLOBAL RETAIL</v>
      </c>
      <c r="H1470" s="12">
        <f t="shared" si="56"/>
        <v>8</v>
      </c>
      <c r="I1470" s="12">
        <f t="shared" si="57"/>
        <v>2025</v>
      </c>
    </row>
    <row r="1471" spans="1:9" ht="19.5" customHeight="1" x14ac:dyDescent="0.35">
      <c r="A1471" s="41">
        <v>45885</v>
      </c>
      <c r="B1471" s="8" t="s">
        <v>32</v>
      </c>
      <c r="C1471" s="42" t="s">
        <v>11</v>
      </c>
      <c r="D1471" s="43" t="s">
        <v>30</v>
      </c>
      <c r="E1471" s="46">
        <v>1593771.91</v>
      </c>
      <c r="F1471" s="2">
        <f>IF(C1471="GBP",E1471*$C$3,IF(C1471="TRY",E1471/$C$1,IF(C1471="EUR",E1471*$E$1,IF(C1471="RUB",E1471/#REF!,IF(C1471="EGP",E1471/$E$2,E1471)))))</f>
        <v>43704.617337914649</v>
      </c>
      <c r="G1471" s="15" t="str">
        <f>VLOOKUP(B1471,SPECIFICATIONF!$C$2:$D$65,2,0)</f>
        <v>GLOBAL HFT</v>
      </c>
      <c r="H1471" s="12">
        <f t="shared" si="56"/>
        <v>8</v>
      </c>
      <c r="I1471" s="12">
        <f t="shared" si="57"/>
        <v>2025</v>
      </c>
    </row>
    <row r="1472" spans="1:9" ht="19.5" customHeight="1" x14ac:dyDescent="0.35">
      <c r="A1472" s="41">
        <v>45885</v>
      </c>
      <c r="B1472" s="8" t="s">
        <v>32</v>
      </c>
      <c r="C1472" s="42" t="s">
        <v>33</v>
      </c>
      <c r="D1472" s="43" t="s">
        <v>30</v>
      </c>
      <c r="E1472" s="46">
        <v>10613.13</v>
      </c>
      <c r="F1472" s="2">
        <f>IF(C1472="GBP",E1472*$C$3,IF(C1472="TRY",E1472/$C$1,IF(C1472="EUR",E1472*$E$1,IF(C1472="RUB",E1472/#REF!,IF(C1472="EGP",E1472/$E$2,E1472)))))</f>
        <v>10613.13</v>
      </c>
      <c r="G1472" s="15" t="str">
        <f>VLOOKUP(B1472,SPECIFICATIONF!$C$2:$D$65,2,0)</f>
        <v>GLOBAL HFT</v>
      </c>
      <c r="H1472" s="12">
        <f t="shared" si="56"/>
        <v>8</v>
      </c>
      <c r="I1472" s="12">
        <f t="shared" si="57"/>
        <v>2025</v>
      </c>
    </row>
    <row r="1473" spans="1:9" ht="19.5" customHeight="1" x14ac:dyDescent="0.35">
      <c r="A1473" s="41">
        <v>45885</v>
      </c>
      <c r="B1473" s="8" t="s">
        <v>32</v>
      </c>
      <c r="C1473" s="42" t="s">
        <v>11</v>
      </c>
      <c r="D1473" s="43" t="s">
        <v>29</v>
      </c>
      <c r="E1473" s="46">
        <v>6104265465</v>
      </c>
      <c r="F1473" s="2">
        <f>IF(C1473="GBP",E1473*$C$3,IF(C1473="TRY",E1473/$C$1,IF(C1473="EUR",E1473*$E$1,IF(C1473="RUB",E1473/#REF!,IF(C1473="EGP",E1473/$E$2,E1473)))))</f>
        <v>167391949.00032631</v>
      </c>
      <c r="G1473" s="15" t="str">
        <f>VLOOKUP(B1473,SPECIFICATIONF!$C$2:$D$65,2,0)</f>
        <v>GLOBAL HFT</v>
      </c>
      <c r="H1473" s="12">
        <f t="shared" si="56"/>
        <v>8</v>
      </c>
      <c r="I1473" s="12">
        <f t="shared" si="57"/>
        <v>2025</v>
      </c>
    </row>
    <row r="1474" spans="1:9" ht="19.5" customHeight="1" x14ac:dyDescent="0.35">
      <c r="A1474" s="41">
        <v>45885</v>
      </c>
      <c r="B1474" s="8" t="s">
        <v>32</v>
      </c>
      <c r="C1474" s="42" t="s">
        <v>33</v>
      </c>
      <c r="D1474" s="43" t="s">
        <v>29</v>
      </c>
      <c r="E1474" s="46">
        <v>38408219</v>
      </c>
      <c r="F1474" s="2">
        <f>IF(C1474="GBP",E1474*$C$3,IF(C1474="TRY",E1474/$C$1,IF(C1474="EUR",E1474*$E$1,IF(C1474="RUB",E1474/#REF!,IF(C1474="EGP",E1474/$E$2,E1474)))))</f>
        <v>38408219</v>
      </c>
      <c r="G1474" s="15" t="str">
        <f>VLOOKUP(B1474,SPECIFICATIONF!$C$2:$D$65,2,0)</f>
        <v>GLOBAL HFT</v>
      </c>
      <c r="H1474" s="12">
        <f t="shared" si="56"/>
        <v>8</v>
      </c>
      <c r="I1474" s="12">
        <f t="shared" si="57"/>
        <v>2025</v>
      </c>
    </row>
    <row r="1475" spans="1:9" ht="19.5" customHeight="1" x14ac:dyDescent="0.35">
      <c r="A1475" s="41">
        <v>45885</v>
      </c>
      <c r="B1475" s="8" t="s">
        <v>24</v>
      </c>
      <c r="C1475" s="42" t="s">
        <v>11</v>
      </c>
      <c r="D1475" s="43" t="s">
        <v>30</v>
      </c>
      <c r="E1475" s="46">
        <v>4102.91</v>
      </c>
      <c r="F1475" s="2">
        <f>IF(C1475="GBP",E1475*$C$3,IF(C1475="TRY",E1475/$C$1,IF(C1475="EUR",E1475*$E$1,IF(C1475="RUB",E1475/#REF!,IF(C1475="EGP",E1475/$E$2,E1475)))))</f>
        <v>112.51052324162458</v>
      </c>
      <c r="G1475" s="15" t="str">
        <f>VLOOKUP(B1475,SPECIFICATIONF!$C$2:$D$65,2,0)</f>
        <v>GLOBAL RETAIL</v>
      </c>
      <c r="H1475" s="12">
        <f t="shared" si="56"/>
        <v>8</v>
      </c>
      <c r="I1475" s="12">
        <f t="shared" si="57"/>
        <v>2025</v>
      </c>
    </row>
    <row r="1476" spans="1:9" ht="19.5" customHeight="1" x14ac:dyDescent="0.35">
      <c r="A1476" s="41">
        <v>45885</v>
      </c>
      <c r="B1476" s="8" t="s">
        <v>24</v>
      </c>
      <c r="C1476" s="42" t="s">
        <v>33</v>
      </c>
      <c r="D1476" s="43" t="s">
        <v>30</v>
      </c>
      <c r="E1476" s="46">
        <v>0</v>
      </c>
      <c r="F1476" s="2">
        <f>IF(C1476="GBP",E1476*$C$3,IF(C1476="TRY",E1476/$C$1,IF(C1476="EUR",E1476*$E$1,IF(C1476="RUB",E1476/#REF!,IF(C1476="EGP",E1476/$E$2,E1476)))))</f>
        <v>0</v>
      </c>
      <c r="G1476" s="15" t="str">
        <f>VLOOKUP(B1476,SPECIFICATIONF!$C$2:$D$65,2,0)</f>
        <v>GLOBAL RETAIL</v>
      </c>
      <c r="H1476" s="12">
        <f t="shared" si="56"/>
        <v>8</v>
      </c>
      <c r="I1476" s="12">
        <f t="shared" si="57"/>
        <v>2025</v>
      </c>
    </row>
    <row r="1477" spans="1:9" ht="19.5" customHeight="1" x14ac:dyDescent="0.35">
      <c r="A1477" s="41">
        <v>45885</v>
      </c>
      <c r="B1477" s="8" t="s">
        <v>24</v>
      </c>
      <c r="C1477" s="42" t="s">
        <v>11</v>
      </c>
      <c r="D1477" s="43" t="s">
        <v>29</v>
      </c>
      <c r="E1477" s="46">
        <v>3862343</v>
      </c>
      <c r="F1477" s="2">
        <f>IF(C1477="GBP",E1477*$C$3,IF(C1477="TRY",E1477/$C$1,IF(C1477="EUR",E1477*$E$1,IF(C1477="RUB",E1477/#REF!,IF(C1477="EGP",E1477/$E$2,E1477)))))</f>
        <v>105913.66417216707</v>
      </c>
      <c r="G1477" s="15" t="str">
        <f>VLOOKUP(B1477,SPECIFICATIONF!$C$2:$D$65,2,0)</f>
        <v>GLOBAL RETAIL</v>
      </c>
      <c r="H1477" s="12">
        <f t="shared" si="56"/>
        <v>8</v>
      </c>
      <c r="I1477" s="12">
        <f t="shared" si="57"/>
        <v>2025</v>
      </c>
    </row>
    <row r="1478" spans="1:9" ht="19.5" customHeight="1" x14ac:dyDescent="0.35">
      <c r="A1478" s="41">
        <v>45885</v>
      </c>
      <c r="B1478" s="8" t="s">
        <v>24</v>
      </c>
      <c r="C1478" s="42" t="s">
        <v>33</v>
      </c>
      <c r="D1478" s="43" t="s">
        <v>29</v>
      </c>
      <c r="E1478" s="46">
        <v>0</v>
      </c>
      <c r="F1478" s="2">
        <f>IF(C1478="GBP",E1478*$C$3,IF(C1478="TRY",E1478/$C$1,IF(C1478="EUR",E1478*$E$1,IF(C1478="RUB",E1478/#REF!,IF(C1478="EGP",E1478/$E$2,E1478)))))</f>
        <v>0</v>
      </c>
      <c r="G1478" s="15" t="str">
        <f>VLOOKUP(B1478,SPECIFICATIONF!$C$2:$D$65,2,0)</f>
        <v>GLOBAL RETAIL</v>
      </c>
      <c r="H1478" s="12">
        <f t="shared" si="56"/>
        <v>8</v>
      </c>
      <c r="I1478" s="12">
        <f t="shared" si="57"/>
        <v>2025</v>
      </c>
    </row>
    <row r="1479" spans="1:9" ht="19.5" customHeight="1" x14ac:dyDescent="0.35">
      <c r="A1479" s="41">
        <v>45886</v>
      </c>
      <c r="B1479" s="8" t="s">
        <v>32</v>
      </c>
      <c r="C1479" s="42" t="s">
        <v>11</v>
      </c>
      <c r="D1479" s="43" t="s">
        <v>30</v>
      </c>
      <c r="E1479" s="46">
        <v>1605138.59</v>
      </c>
      <c r="F1479" s="2">
        <f>IF(C1479="GBP",E1479*$C$3,IF(C1479="TRY",E1479/$C$1,IF(C1479="EUR",E1479*$E$1,IF(C1479="RUB",E1479/#REF!,IF(C1479="EGP",E1479/$E$2,E1479)))))</f>
        <v>44016.315891945844</v>
      </c>
      <c r="G1479" s="15" t="str">
        <f>VLOOKUP(B1479,SPECIFICATIONF!$C$2:$D$65,2,0)</f>
        <v>GLOBAL HFT</v>
      </c>
      <c r="H1479" s="12">
        <f t="shared" si="56"/>
        <v>8</v>
      </c>
      <c r="I1479" s="12">
        <f t="shared" si="57"/>
        <v>2025</v>
      </c>
    </row>
    <row r="1480" spans="1:9" ht="19.5" customHeight="1" x14ac:dyDescent="0.35">
      <c r="A1480" s="41">
        <v>45886</v>
      </c>
      <c r="B1480" s="8" t="s">
        <v>32</v>
      </c>
      <c r="C1480" s="42" t="s">
        <v>33</v>
      </c>
      <c r="D1480" s="43" t="s">
        <v>30</v>
      </c>
      <c r="E1480" s="46">
        <v>9820.9599999999991</v>
      </c>
      <c r="F1480" s="2">
        <f>IF(C1480="GBP",E1480*$C$3,IF(C1480="TRY",E1480/$C$1,IF(C1480="EUR",E1480*$E$1,IF(C1480="RUB",E1480/#REF!,IF(C1480="EGP",E1480/$E$2,E1480)))))</f>
        <v>9820.9599999999991</v>
      </c>
      <c r="G1480" s="15" t="str">
        <f>VLOOKUP(B1480,SPECIFICATIONF!$C$2:$D$65,2,0)</f>
        <v>GLOBAL HFT</v>
      </c>
      <c r="H1480" s="12">
        <f t="shared" si="56"/>
        <v>8</v>
      </c>
      <c r="I1480" s="12">
        <f t="shared" si="57"/>
        <v>2025</v>
      </c>
    </row>
    <row r="1481" spans="1:9" ht="19.5" customHeight="1" x14ac:dyDescent="0.35">
      <c r="A1481" s="41">
        <v>45886</v>
      </c>
      <c r="B1481" s="8" t="s">
        <v>32</v>
      </c>
      <c r="C1481" s="42" t="s">
        <v>11</v>
      </c>
      <c r="D1481" s="43" t="s">
        <v>29</v>
      </c>
      <c r="E1481" s="46">
        <v>6234209212</v>
      </c>
      <c r="F1481" s="2">
        <f>IF(C1481="GBP",E1481*$C$3,IF(C1481="TRY",E1481/$C$1,IF(C1481="EUR",E1481*$E$1,IF(C1481="RUB",E1481/#REF!,IF(C1481="EGP",E1481/$E$2,E1481)))))</f>
        <v>170955283.0649164</v>
      </c>
      <c r="G1481" s="15" t="str">
        <f>VLOOKUP(B1481,SPECIFICATIONF!$C$2:$D$65,2,0)</f>
        <v>GLOBAL HFT</v>
      </c>
      <c r="H1481" s="12">
        <f t="shared" si="56"/>
        <v>8</v>
      </c>
      <c r="I1481" s="12">
        <f t="shared" si="57"/>
        <v>2025</v>
      </c>
    </row>
    <row r="1482" spans="1:9" ht="19.5" customHeight="1" x14ac:dyDescent="0.35">
      <c r="A1482" s="41">
        <v>45886</v>
      </c>
      <c r="B1482" s="8" t="s">
        <v>32</v>
      </c>
      <c r="C1482" s="42" t="s">
        <v>33</v>
      </c>
      <c r="D1482" s="43" t="s">
        <v>29</v>
      </c>
      <c r="E1482" s="46">
        <v>34580126</v>
      </c>
      <c r="F1482" s="2">
        <f>IF(C1482="GBP",E1482*$C$3,IF(C1482="TRY",E1482/$C$1,IF(C1482="EUR",E1482*$E$1,IF(C1482="RUB",E1482/#REF!,IF(C1482="EGP",E1482/$E$2,E1482)))))</f>
        <v>34580126</v>
      </c>
      <c r="G1482" s="15" t="str">
        <f>VLOOKUP(B1482,SPECIFICATIONF!$C$2:$D$65,2,0)</f>
        <v>GLOBAL HFT</v>
      </c>
      <c r="H1482" s="12">
        <f t="shared" si="56"/>
        <v>8</v>
      </c>
      <c r="I1482" s="12">
        <f t="shared" si="57"/>
        <v>2025</v>
      </c>
    </row>
    <row r="1483" spans="1:9" ht="19.5" customHeight="1" x14ac:dyDescent="0.35">
      <c r="A1483" s="41">
        <v>45886</v>
      </c>
      <c r="B1483" s="8" t="s">
        <v>24</v>
      </c>
      <c r="C1483" s="42" t="s">
        <v>11</v>
      </c>
      <c r="D1483" s="43" t="s">
        <v>30</v>
      </c>
      <c r="E1483" s="46">
        <v>84.79</v>
      </c>
      <c r="F1483" s="2">
        <f>IF(C1483="GBP",E1483*$C$3,IF(C1483="TRY",E1483/$C$1,IF(C1483="EUR",E1483*$E$1,IF(C1483="RUB",E1483/#REF!,IF(C1483="EGP",E1483/$E$2,E1483)))))</f>
        <v>2.3251222341356135</v>
      </c>
      <c r="G1483" s="15" t="str">
        <f>VLOOKUP(B1483,SPECIFICATIONF!$C$2:$D$65,2,0)</f>
        <v>GLOBAL RETAIL</v>
      </c>
      <c r="H1483" s="12">
        <f t="shared" si="56"/>
        <v>8</v>
      </c>
      <c r="I1483" s="12">
        <f t="shared" si="57"/>
        <v>2025</v>
      </c>
    </row>
    <row r="1484" spans="1:9" ht="19.5" customHeight="1" x14ac:dyDescent="0.35">
      <c r="A1484" s="41">
        <v>45886</v>
      </c>
      <c r="B1484" s="8" t="s">
        <v>24</v>
      </c>
      <c r="C1484" s="42" t="s">
        <v>33</v>
      </c>
      <c r="D1484" s="43" t="s">
        <v>30</v>
      </c>
      <c r="E1484" s="46">
        <v>0.01</v>
      </c>
      <c r="F1484" s="2">
        <f>IF(C1484="GBP",E1484*$C$3,IF(C1484="TRY",E1484/$C$1,IF(C1484="EUR",E1484*$E$1,IF(C1484="RUB",E1484/#REF!,IF(C1484="EGP",E1484/$E$2,E1484)))))</f>
        <v>0.01</v>
      </c>
      <c r="G1484" s="15" t="str">
        <f>VLOOKUP(B1484,SPECIFICATIONF!$C$2:$D$65,2,0)</f>
        <v>GLOBAL RETAIL</v>
      </c>
      <c r="H1484" s="12">
        <f t="shared" si="56"/>
        <v>8</v>
      </c>
      <c r="I1484" s="12">
        <f t="shared" si="57"/>
        <v>2025</v>
      </c>
    </row>
    <row r="1485" spans="1:9" ht="19.5" customHeight="1" x14ac:dyDescent="0.35">
      <c r="A1485" s="41">
        <v>45886</v>
      </c>
      <c r="B1485" s="8" t="s">
        <v>24</v>
      </c>
      <c r="C1485" s="42" t="s">
        <v>11</v>
      </c>
      <c r="D1485" s="43" t="s">
        <v>29</v>
      </c>
      <c r="E1485" s="46">
        <v>91269</v>
      </c>
      <c r="F1485" s="2">
        <f>IF(C1485="GBP",E1485*$C$3,IF(C1485="TRY",E1485/$C$1,IF(C1485="EUR",E1485*$E$1,IF(C1485="RUB",E1485/#REF!,IF(C1485="EGP",E1485/$E$2,E1485)))))</f>
        <v>2502.7902015252184</v>
      </c>
      <c r="G1485" s="15" t="str">
        <f>VLOOKUP(B1485,SPECIFICATIONF!$C$2:$D$65,2,0)</f>
        <v>GLOBAL RETAIL</v>
      </c>
      <c r="H1485" s="12">
        <f t="shared" si="56"/>
        <v>8</v>
      </c>
      <c r="I1485" s="12">
        <f t="shared" si="57"/>
        <v>2025</v>
      </c>
    </row>
    <row r="1486" spans="1:9" ht="19.5" customHeight="1" x14ac:dyDescent="0.35">
      <c r="A1486" s="41">
        <v>45886</v>
      </c>
      <c r="B1486" s="8" t="s">
        <v>24</v>
      </c>
      <c r="C1486" s="42" t="s">
        <v>33</v>
      </c>
      <c r="D1486" s="43" t="s">
        <v>29</v>
      </c>
      <c r="E1486" s="46">
        <v>10</v>
      </c>
      <c r="F1486" s="2">
        <f>IF(C1486="GBP",E1486*$C$3,IF(C1486="TRY",E1486/$C$1,IF(C1486="EUR",E1486*$E$1,IF(C1486="RUB",E1486/#REF!,IF(C1486="EGP",E1486/$E$2,E1486)))))</f>
        <v>10</v>
      </c>
      <c r="G1486" s="15" t="str">
        <f>VLOOKUP(B1486,SPECIFICATIONF!$C$2:$D$65,2,0)</f>
        <v>GLOBAL RETAIL</v>
      </c>
      <c r="H1486" s="12">
        <f t="shared" si="56"/>
        <v>8</v>
      </c>
      <c r="I1486" s="12">
        <f t="shared" si="57"/>
        <v>2025</v>
      </c>
    </row>
    <row r="1487" spans="1:9" ht="19.5" customHeight="1" x14ac:dyDescent="0.35">
      <c r="A1487" s="41">
        <v>45887</v>
      </c>
      <c r="B1487" s="8" t="s">
        <v>32</v>
      </c>
      <c r="C1487" s="42" t="s">
        <v>11</v>
      </c>
      <c r="D1487" s="43" t="s">
        <v>30</v>
      </c>
      <c r="E1487" s="46">
        <v>1742924.23</v>
      </c>
      <c r="F1487" s="2">
        <f>IF(C1487="GBP",E1487*$C$3,IF(C1487="TRY",E1487/$C$1,IF(C1487="EUR",E1487*$E$1,IF(C1487="RUB",E1487/#REF!,IF(C1487="EGP",E1487/$E$2,E1487)))))</f>
        <v>47794.691350238158</v>
      </c>
      <c r="G1487" s="15" t="str">
        <f>VLOOKUP(B1487,SPECIFICATIONF!$C$2:$D$65,2,0)</f>
        <v>GLOBAL HFT</v>
      </c>
      <c r="H1487" s="12">
        <f t="shared" si="56"/>
        <v>8</v>
      </c>
      <c r="I1487" s="12">
        <f t="shared" si="57"/>
        <v>2025</v>
      </c>
    </row>
    <row r="1488" spans="1:9" ht="19.5" customHeight="1" x14ac:dyDescent="0.35">
      <c r="A1488" s="41">
        <v>45887</v>
      </c>
      <c r="B1488" s="8" t="s">
        <v>32</v>
      </c>
      <c r="C1488" s="42" t="s">
        <v>33</v>
      </c>
      <c r="D1488" s="43" t="s">
        <v>30</v>
      </c>
      <c r="E1488" s="46">
        <v>11060.09</v>
      </c>
      <c r="F1488" s="2">
        <f>IF(C1488="GBP",E1488*$C$3,IF(C1488="TRY",E1488/$C$1,IF(C1488="EUR",E1488*$E$1,IF(C1488="RUB",E1488/#REF!,IF(C1488="EGP",E1488/$E$2,E1488)))))</f>
        <v>11060.09</v>
      </c>
      <c r="G1488" s="15" t="str">
        <f>VLOOKUP(B1488,SPECIFICATIONF!$C$2:$D$65,2,0)</f>
        <v>GLOBAL HFT</v>
      </c>
      <c r="H1488" s="12">
        <f t="shared" si="56"/>
        <v>8</v>
      </c>
      <c r="I1488" s="12">
        <f t="shared" si="57"/>
        <v>2025</v>
      </c>
    </row>
    <row r="1489" spans="1:9" ht="19.5" customHeight="1" x14ac:dyDescent="0.35">
      <c r="A1489" s="41">
        <v>45887</v>
      </c>
      <c r="B1489" s="8" t="s">
        <v>32</v>
      </c>
      <c r="C1489" s="42" t="s">
        <v>11</v>
      </c>
      <c r="D1489" s="43" t="s">
        <v>29</v>
      </c>
      <c r="E1489" s="46">
        <v>6568163740</v>
      </c>
      <c r="F1489" s="2">
        <f>IF(C1489="GBP",E1489*$C$3,IF(C1489="TRY",E1489/$C$1,IF(C1489="EUR",E1489*$E$1,IF(C1489="RUB",E1489/#REF!,IF(C1489="EGP",E1489/$E$2,E1489)))))</f>
        <v>180113026.88191208</v>
      </c>
      <c r="G1489" s="15" t="str">
        <f>VLOOKUP(B1489,SPECIFICATIONF!$C$2:$D$65,2,0)</f>
        <v>GLOBAL HFT</v>
      </c>
      <c r="H1489" s="12">
        <f t="shared" si="56"/>
        <v>8</v>
      </c>
      <c r="I1489" s="12">
        <f t="shared" si="57"/>
        <v>2025</v>
      </c>
    </row>
    <row r="1490" spans="1:9" ht="19.5" customHeight="1" x14ac:dyDescent="0.35">
      <c r="A1490" s="41">
        <v>45887</v>
      </c>
      <c r="B1490" s="8" t="s">
        <v>32</v>
      </c>
      <c r="C1490" s="42" t="s">
        <v>33</v>
      </c>
      <c r="D1490" s="43" t="s">
        <v>29</v>
      </c>
      <c r="E1490" s="46">
        <v>38522372</v>
      </c>
      <c r="F1490" s="2">
        <f>IF(C1490="GBP",E1490*$C$3,IF(C1490="TRY",E1490/$C$1,IF(C1490="EUR",E1490*$E$1,IF(C1490="RUB",E1490/#REF!,IF(C1490="EGP",E1490/$E$2,E1490)))))</f>
        <v>38522372</v>
      </c>
      <c r="G1490" s="15" t="str">
        <f>VLOOKUP(B1490,SPECIFICATIONF!$C$2:$D$65,2,0)</f>
        <v>GLOBAL HFT</v>
      </c>
      <c r="H1490" s="12">
        <f t="shared" si="56"/>
        <v>8</v>
      </c>
      <c r="I1490" s="12">
        <f t="shared" si="57"/>
        <v>2025</v>
      </c>
    </row>
    <row r="1491" spans="1:9" ht="19.5" customHeight="1" x14ac:dyDescent="0.35">
      <c r="A1491" s="41">
        <v>45887</v>
      </c>
      <c r="B1491" s="8" t="s">
        <v>24</v>
      </c>
      <c r="C1491" s="42" t="s">
        <v>11</v>
      </c>
      <c r="D1491" s="43" t="s">
        <v>30</v>
      </c>
      <c r="E1491" s="46">
        <v>0</v>
      </c>
      <c r="F1491" s="2">
        <f>IF(C1491="GBP",E1491*$C$3,IF(C1491="TRY",E1491/$C$1,IF(C1491="EUR",E1491*$E$1,IF(C1491="RUB",E1491/#REF!,IF(C1491="EGP",E1491/$E$2,E1491)))))</f>
        <v>0</v>
      </c>
      <c r="G1491" s="15" t="str">
        <f>VLOOKUP(B1491,SPECIFICATIONF!$C$2:$D$65,2,0)</f>
        <v>GLOBAL RETAIL</v>
      </c>
      <c r="H1491" s="12">
        <f t="shared" si="56"/>
        <v>8</v>
      </c>
      <c r="I1491" s="12">
        <f t="shared" si="57"/>
        <v>2025</v>
      </c>
    </row>
    <row r="1492" spans="1:9" ht="19.5" customHeight="1" x14ac:dyDescent="0.35">
      <c r="A1492" s="41">
        <v>45887</v>
      </c>
      <c r="B1492" s="8" t="s">
        <v>24</v>
      </c>
      <c r="C1492" s="42" t="s">
        <v>33</v>
      </c>
      <c r="D1492" s="43" t="s">
        <v>30</v>
      </c>
      <c r="E1492" s="46">
        <v>0.11</v>
      </c>
      <c r="F1492" s="2">
        <f>IF(C1492="GBP",E1492*$C$3,IF(C1492="TRY",E1492/$C$1,IF(C1492="EUR",E1492*$E$1,IF(C1492="RUB",E1492/#REF!,IF(C1492="EGP",E1492/$E$2,E1492)))))</f>
        <v>0.11</v>
      </c>
      <c r="G1492" s="15" t="str">
        <f>VLOOKUP(B1492,SPECIFICATIONF!$C$2:$D$65,2,0)</f>
        <v>GLOBAL RETAIL</v>
      </c>
      <c r="H1492" s="12">
        <f t="shared" si="56"/>
        <v>8</v>
      </c>
      <c r="I1492" s="12">
        <f t="shared" si="57"/>
        <v>2025</v>
      </c>
    </row>
    <row r="1493" spans="1:9" ht="19.5" customHeight="1" x14ac:dyDescent="0.35">
      <c r="A1493" s="41">
        <v>45887</v>
      </c>
      <c r="B1493" s="8" t="s">
        <v>24</v>
      </c>
      <c r="C1493" s="42" t="s">
        <v>11</v>
      </c>
      <c r="D1493" s="43" t="s">
        <v>29</v>
      </c>
      <c r="E1493" s="46">
        <v>0</v>
      </c>
      <c r="F1493" s="2">
        <f>IF(C1493="GBP",E1493*$C$3,IF(C1493="TRY",E1493/$C$1,IF(C1493="EUR",E1493*$E$1,IF(C1493="RUB",E1493/#REF!,IF(C1493="EGP",E1493/$E$2,E1493)))))</f>
        <v>0</v>
      </c>
      <c r="G1493" s="15" t="str">
        <f>VLOOKUP(B1493,SPECIFICATIONF!$C$2:$D$65,2,0)</f>
        <v>GLOBAL RETAIL</v>
      </c>
      <c r="H1493" s="12">
        <f t="shared" si="56"/>
        <v>8</v>
      </c>
      <c r="I1493" s="12">
        <f t="shared" si="57"/>
        <v>2025</v>
      </c>
    </row>
    <row r="1494" spans="1:9" ht="19.5" customHeight="1" x14ac:dyDescent="0.35">
      <c r="A1494" s="41">
        <v>45887</v>
      </c>
      <c r="B1494" s="8" t="s">
        <v>24</v>
      </c>
      <c r="C1494" s="42" t="s">
        <v>33</v>
      </c>
      <c r="D1494" s="43" t="s">
        <v>29</v>
      </c>
      <c r="E1494" s="46">
        <v>92</v>
      </c>
      <c r="F1494" s="2">
        <f>IF(C1494="GBP",E1494*$C$3,IF(C1494="TRY",E1494/$C$1,IF(C1494="EUR",E1494*$E$1,IF(C1494="RUB",E1494/#REF!,IF(C1494="EGP",E1494/$E$2,E1494)))))</f>
        <v>92</v>
      </c>
      <c r="G1494" s="15" t="str">
        <f>VLOOKUP(B1494,SPECIFICATIONF!$C$2:$D$65,2,0)</f>
        <v>GLOBAL RETAIL</v>
      </c>
      <c r="H1494" s="12">
        <f t="shared" si="56"/>
        <v>8</v>
      </c>
      <c r="I1494" s="12">
        <f t="shared" si="57"/>
        <v>2025</v>
      </c>
    </row>
    <row r="1495" spans="1:9" ht="19.5" customHeight="1" x14ac:dyDescent="0.35">
      <c r="A1495" s="41">
        <v>45888</v>
      </c>
      <c r="B1495" s="8" t="s">
        <v>32</v>
      </c>
      <c r="C1495" s="42" t="s">
        <v>11</v>
      </c>
      <c r="D1495" s="43" t="s">
        <v>30</v>
      </c>
      <c r="E1495" s="46">
        <v>2243002.92</v>
      </c>
      <c r="F1495" s="2">
        <f>IF(C1495="GBP",E1495*$C$3,IF(C1495="TRY",E1495/$C$1,IF(C1495="EUR",E1495*$E$1,IF(C1495="RUB",E1495/#REF!,IF(C1495="EGP",E1495/$E$2,E1495)))))</f>
        <v>61507.913203480413</v>
      </c>
      <c r="G1495" s="15" t="str">
        <f>VLOOKUP(B1495,SPECIFICATIONF!$C$2:$D$65,2,0)</f>
        <v>GLOBAL HFT</v>
      </c>
      <c r="H1495" s="12">
        <f t="shared" si="56"/>
        <v>8</v>
      </c>
      <c r="I1495" s="12">
        <f t="shared" si="57"/>
        <v>2025</v>
      </c>
    </row>
    <row r="1496" spans="1:9" ht="19.5" customHeight="1" x14ac:dyDescent="0.35">
      <c r="A1496" s="41">
        <v>45888</v>
      </c>
      <c r="B1496" s="8" t="s">
        <v>32</v>
      </c>
      <c r="C1496" s="42" t="s">
        <v>33</v>
      </c>
      <c r="D1496" s="43" t="s">
        <v>30</v>
      </c>
      <c r="E1496" s="46">
        <v>12968.04</v>
      </c>
      <c r="F1496" s="2">
        <f>IF(C1496="GBP",E1496*$C$3,IF(C1496="TRY",E1496/$C$1,IF(C1496="EUR",E1496*$E$1,IF(C1496="RUB",E1496/#REF!,IF(C1496="EGP",E1496/$E$2,E1496)))))</f>
        <v>12968.04</v>
      </c>
      <c r="G1496" s="15" t="str">
        <f>VLOOKUP(B1496,SPECIFICATIONF!$C$2:$D$65,2,0)</f>
        <v>GLOBAL HFT</v>
      </c>
      <c r="H1496" s="12">
        <f t="shared" si="56"/>
        <v>8</v>
      </c>
      <c r="I1496" s="12">
        <f t="shared" si="57"/>
        <v>2025</v>
      </c>
    </row>
    <row r="1497" spans="1:9" ht="19.5" customHeight="1" x14ac:dyDescent="0.35">
      <c r="A1497" s="41">
        <v>45888</v>
      </c>
      <c r="B1497" s="8" t="s">
        <v>32</v>
      </c>
      <c r="C1497" s="42" t="s">
        <v>11</v>
      </c>
      <c r="D1497" s="43" t="s">
        <v>29</v>
      </c>
      <c r="E1497" s="46">
        <v>8200905676</v>
      </c>
      <c r="F1497" s="2">
        <f>IF(C1497="GBP",E1497*$C$3,IF(C1497="TRY",E1497/$C$1,IF(C1497="EUR",E1497*$E$1,IF(C1497="RUB",E1497/#REF!,IF(C1497="EGP",E1497/$E$2,E1497)))))</f>
        <v>224886285.26142883</v>
      </c>
      <c r="G1497" s="15" t="str">
        <f>VLOOKUP(B1497,SPECIFICATIONF!$C$2:$D$65,2,0)</f>
        <v>GLOBAL HFT</v>
      </c>
      <c r="H1497" s="12">
        <f t="shared" si="56"/>
        <v>8</v>
      </c>
      <c r="I1497" s="12">
        <f t="shared" si="57"/>
        <v>2025</v>
      </c>
    </row>
    <row r="1498" spans="1:9" ht="19.5" customHeight="1" x14ac:dyDescent="0.35">
      <c r="A1498" s="41">
        <v>45888</v>
      </c>
      <c r="B1498" s="8" t="s">
        <v>32</v>
      </c>
      <c r="C1498" s="42" t="s">
        <v>33</v>
      </c>
      <c r="D1498" s="43" t="s">
        <v>29</v>
      </c>
      <c r="E1498" s="46">
        <v>44064710</v>
      </c>
      <c r="F1498" s="2">
        <f>IF(C1498="GBP",E1498*$C$3,IF(C1498="TRY",E1498/$C$1,IF(C1498="EUR",E1498*$E$1,IF(C1498="RUB",E1498/#REF!,IF(C1498="EGP",E1498/$E$2,E1498)))))</f>
        <v>44064710</v>
      </c>
      <c r="G1498" s="15" t="str">
        <f>VLOOKUP(B1498,SPECIFICATIONF!$C$2:$D$65,2,0)</f>
        <v>GLOBAL HFT</v>
      </c>
      <c r="H1498" s="12">
        <f t="shared" si="56"/>
        <v>8</v>
      </c>
      <c r="I1498" s="12">
        <f t="shared" si="57"/>
        <v>2025</v>
      </c>
    </row>
    <row r="1499" spans="1:9" ht="19.5" customHeight="1" x14ac:dyDescent="0.35">
      <c r="A1499" s="41">
        <v>45888</v>
      </c>
      <c r="B1499" s="8" t="s">
        <v>24</v>
      </c>
      <c r="C1499" s="42" t="s">
        <v>11</v>
      </c>
      <c r="D1499" s="43" t="s">
        <v>30</v>
      </c>
      <c r="E1499" s="46">
        <v>186.01</v>
      </c>
      <c r="F1499" s="2">
        <f>IF(C1499="GBP",E1499*$C$3,IF(C1499="TRY",E1499/$C$1,IF(C1499="EUR",E1499*$E$1,IF(C1499="RUB",E1499/#REF!,IF(C1499="EGP",E1499/$E$2,E1499)))))</f>
        <v>5.1007900315080246</v>
      </c>
      <c r="G1499" s="15" t="str">
        <f>VLOOKUP(B1499,SPECIFICATIONF!$C$2:$D$65,2,0)</f>
        <v>GLOBAL RETAIL</v>
      </c>
      <c r="H1499" s="12">
        <f t="shared" si="56"/>
        <v>8</v>
      </c>
      <c r="I1499" s="12">
        <f t="shared" si="57"/>
        <v>2025</v>
      </c>
    </row>
    <row r="1500" spans="1:9" ht="19.5" customHeight="1" x14ac:dyDescent="0.35">
      <c r="A1500" s="41">
        <v>45888</v>
      </c>
      <c r="B1500" s="8" t="s">
        <v>24</v>
      </c>
      <c r="C1500" s="42" t="s">
        <v>33</v>
      </c>
      <c r="D1500" s="43" t="s">
        <v>30</v>
      </c>
      <c r="E1500" s="46">
        <v>0.82</v>
      </c>
      <c r="F1500" s="2">
        <f>IF(C1500="GBP",E1500*$C$3,IF(C1500="TRY",E1500/$C$1,IF(C1500="EUR",E1500*$E$1,IF(C1500="RUB",E1500/#REF!,IF(C1500="EGP",E1500/$E$2,E1500)))))</f>
        <v>0.82</v>
      </c>
      <c r="G1500" s="15" t="str">
        <f>VLOOKUP(B1500,SPECIFICATIONF!$C$2:$D$65,2,0)</f>
        <v>GLOBAL RETAIL</v>
      </c>
      <c r="H1500" s="12">
        <f t="shared" si="56"/>
        <v>8</v>
      </c>
      <c r="I1500" s="12">
        <f t="shared" si="57"/>
        <v>2025</v>
      </c>
    </row>
    <row r="1501" spans="1:9" ht="19.5" customHeight="1" x14ac:dyDescent="0.35">
      <c r="A1501" s="41">
        <v>45888</v>
      </c>
      <c r="B1501" s="8" t="s">
        <v>24</v>
      </c>
      <c r="C1501" s="42" t="s">
        <v>11</v>
      </c>
      <c r="D1501" s="43" t="s">
        <v>29</v>
      </c>
      <c r="E1501" s="46">
        <v>185233</v>
      </c>
      <c r="F1501" s="2">
        <f>IF(C1501="GBP",E1501*$C$3,IF(C1501="TRY",E1501/$C$1,IF(C1501="EUR",E1501*$E$1,IF(C1501="RUB",E1501/#REF!,IF(C1501="EGP",E1501/$E$2,E1501)))))</f>
        <v>5079.4830380427175</v>
      </c>
      <c r="G1501" s="15" t="str">
        <f>VLOOKUP(B1501,SPECIFICATIONF!$C$2:$D$65,2,0)</f>
        <v>GLOBAL RETAIL</v>
      </c>
      <c r="H1501" s="12">
        <f t="shared" si="56"/>
        <v>8</v>
      </c>
      <c r="I1501" s="12">
        <f t="shared" si="57"/>
        <v>2025</v>
      </c>
    </row>
    <row r="1502" spans="1:9" ht="19.5" customHeight="1" x14ac:dyDescent="0.35">
      <c r="A1502" s="41">
        <v>45888</v>
      </c>
      <c r="B1502" s="8" t="s">
        <v>24</v>
      </c>
      <c r="C1502" s="42" t="s">
        <v>33</v>
      </c>
      <c r="D1502" s="43" t="s">
        <v>29</v>
      </c>
      <c r="E1502" s="46">
        <v>685</v>
      </c>
      <c r="F1502" s="2">
        <f>IF(C1502="GBP",E1502*$C$3,IF(C1502="TRY",E1502/$C$1,IF(C1502="EUR",E1502*$E$1,IF(C1502="RUB",E1502/#REF!,IF(C1502="EGP",E1502/$E$2,E1502)))))</f>
        <v>685</v>
      </c>
      <c r="G1502" s="15" t="str">
        <f>VLOOKUP(B1502,SPECIFICATIONF!$C$2:$D$65,2,0)</f>
        <v>GLOBAL RETAIL</v>
      </c>
      <c r="H1502" s="12">
        <f t="shared" si="56"/>
        <v>8</v>
      </c>
      <c r="I1502" s="12">
        <f t="shared" si="57"/>
        <v>2025</v>
      </c>
    </row>
    <row r="1503" spans="1:9" ht="19.5" customHeight="1" x14ac:dyDescent="0.35">
      <c r="A1503" s="41">
        <v>45889</v>
      </c>
      <c r="B1503" s="8" t="s">
        <v>32</v>
      </c>
      <c r="C1503" s="42" t="s">
        <v>11</v>
      </c>
      <c r="D1503" s="43" t="s">
        <v>30</v>
      </c>
      <c r="E1503" s="46">
        <v>1851278.67</v>
      </c>
      <c r="F1503" s="2">
        <f>IF(C1503="GBP",E1503*$C$3,IF(C1503="TRY",E1503/$C$1,IF(C1503="EUR",E1503*$E$1,IF(C1503="RUB",E1503/#REF!,IF(C1503="EGP",E1503/$E$2,E1503)))))</f>
        <v>50766.000674584342</v>
      </c>
      <c r="G1503" s="15" t="str">
        <f>VLOOKUP(B1503,SPECIFICATIONF!$C$2:$D$65,2,0)</f>
        <v>GLOBAL HFT</v>
      </c>
      <c r="H1503" s="12">
        <f t="shared" si="56"/>
        <v>8</v>
      </c>
      <c r="I1503" s="12">
        <f t="shared" si="57"/>
        <v>2025</v>
      </c>
    </row>
    <row r="1504" spans="1:9" ht="19.5" customHeight="1" x14ac:dyDescent="0.35">
      <c r="A1504" s="41">
        <v>45889</v>
      </c>
      <c r="B1504" s="8" t="s">
        <v>32</v>
      </c>
      <c r="C1504" s="42" t="s">
        <v>33</v>
      </c>
      <c r="D1504" s="43" t="s">
        <v>30</v>
      </c>
      <c r="E1504" s="46">
        <v>10669.96</v>
      </c>
      <c r="F1504" s="2">
        <f>IF(C1504="GBP",E1504*$C$3,IF(C1504="TRY",E1504/$C$1,IF(C1504="EUR",E1504*$E$1,IF(C1504="RUB",E1504/#REF!,IF(C1504="EGP",E1504/$E$2,E1504)))))</f>
        <v>10669.96</v>
      </c>
      <c r="G1504" s="15" t="str">
        <f>VLOOKUP(B1504,SPECIFICATIONF!$C$2:$D$65,2,0)</f>
        <v>GLOBAL HFT</v>
      </c>
      <c r="H1504" s="12">
        <f t="shared" si="56"/>
        <v>8</v>
      </c>
      <c r="I1504" s="12">
        <f t="shared" si="57"/>
        <v>2025</v>
      </c>
    </row>
    <row r="1505" spans="1:9" ht="19.5" customHeight="1" x14ac:dyDescent="0.35">
      <c r="A1505" s="41">
        <v>45889</v>
      </c>
      <c r="B1505" s="8" t="s">
        <v>32</v>
      </c>
      <c r="C1505" s="42" t="s">
        <v>11</v>
      </c>
      <c r="D1505" s="43" t="s">
        <v>29</v>
      </c>
      <c r="E1505" s="46">
        <v>6976126188</v>
      </c>
      <c r="F1505" s="2">
        <f>IF(C1505="GBP",E1505*$C$3,IF(C1505="TRY",E1505/$C$1,IF(C1505="EUR",E1505*$E$1,IF(C1505="RUB",E1505/#REF!,IF(C1505="EGP",E1505/$E$2,E1505)))))</f>
        <v>191300225.355048</v>
      </c>
      <c r="G1505" s="15" t="str">
        <f>VLOOKUP(B1505,SPECIFICATIONF!$C$2:$D$65,2,0)</f>
        <v>GLOBAL HFT</v>
      </c>
      <c r="H1505" s="12">
        <f t="shared" si="56"/>
        <v>8</v>
      </c>
      <c r="I1505" s="12">
        <f t="shared" si="57"/>
        <v>2025</v>
      </c>
    </row>
    <row r="1506" spans="1:9" ht="19.5" customHeight="1" x14ac:dyDescent="0.35">
      <c r="A1506" s="41">
        <v>45889</v>
      </c>
      <c r="B1506" s="8" t="s">
        <v>32</v>
      </c>
      <c r="C1506" s="42" t="s">
        <v>33</v>
      </c>
      <c r="D1506" s="43" t="s">
        <v>29</v>
      </c>
      <c r="E1506" s="46">
        <v>38181858</v>
      </c>
      <c r="F1506" s="2">
        <f>IF(C1506="GBP",E1506*$C$3,IF(C1506="TRY",E1506/$C$1,IF(C1506="EUR",E1506*$E$1,IF(C1506="RUB",E1506/#REF!,IF(C1506="EGP",E1506/$E$2,E1506)))))</f>
        <v>38181858</v>
      </c>
      <c r="G1506" s="15" t="str">
        <f>VLOOKUP(B1506,SPECIFICATIONF!$C$2:$D$65,2,0)</f>
        <v>GLOBAL HFT</v>
      </c>
      <c r="H1506" s="12">
        <f t="shared" si="56"/>
        <v>8</v>
      </c>
      <c r="I1506" s="12">
        <f t="shared" si="57"/>
        <v>2025</v>
      </c>
    </row>
    <row r="1507" spans="1:9" ht="19.5" customHeight="1" x14ac:dyDescent="0.35">
      <c r="A1507" s="41">
        <v>45889</v>
      </c>
      <c r="B1507" s="8" t="s">
        <v>24</v>
      </c>
      <c r="C1507" s="42" t="s">
        <v>11</v>
      </c>
      <c r="D1507" s="43" t="s">
        <v>30</v>
      </c>
      <c r="E1507" s="46">
        <v>3</v>
      </c>
      <c r="F1507" s="2">
        <f>IF(C1507="GBP",E1507*$C$3,IF(C1507="TRY",E1507/$C$1,IF(C1507="EUR",E1507*$E$1,IF(C1507="RUB",E1507/#REF!,IF(C1507="EGP",E1507/$E$2,E1507)))))</f>
        <v>8.2266384035933948E-2</v>
      </c>
      <c r="G1507" s="15" t="str">
        <f>VLOOKUP(B1507,SPECIFICATIONF!$C$2:$D$65,2,0)</f>
        <v>GLOBAL RETAIL</v>
      </c>
      <c r="H1507" s="12">
        <f t="shared" si="56"/>
        <v>8</v>
      </c>
      <c r="I1507" s="12">
        <f t="shared" si="57"/>
        <v>2025</v>
      </c>
    </row>
    <row r="1508" spans="1:9" ht="19.5" customHeight="1" x14ac:dyDescent="0.35">
      <c r="A1508" s="41">
        <v>45889</v>
      </c>
      <c r="B1508" s="8" t="s">
        <v>24</v>
      </c>
      <c r="C1508" s="42" t="s">
        <v>33</v>
      </c>
      <c r="D1508" s="43" t="s">
        <v>30</v>
      </c>
      <c r="E1508" s="46">
        <v>1.46</v>
      </c>
      <c r="F1508" s="2">
        <f>IF(C1508="GBP",E1508*$C$3,IF(C1508="TRY",E1508/$C$1,IF(C1508="EUR",E1508*$E$1,IF(C1508="RUB",E1508/#REF!,IF(C1508="EGP",E1508/$E$2,E1508)))))</f>
        <v>1.46</v>
      </c>
      <c r="G1508" s="15" t="str">
        <f>VLOOKUP(B1508,SPECIFICATIONF!$C$2:$D$65,2,0)</f>
        <v>GLOBAL RETAIL</v>
      </c>
      <c r="H1508" s="12">
        <f t="shared" si="56"/>
        <v>8</v>
      </c>
      <c r="I1508" s="12">
        <f t="shared" si="57"/>
        <v>2025</v>
      </c>
    </row>
    <row r="1509" spans="1:9" ht="19.5" customHeight="1" x14ac:dyDescent="0.35">
      <c r="A1509" s="41">
        <v>45889</v>
      </c>
      <c r="B1509" s="8" t="s">
        <v>24</v>
      </c>
      <c r="C1509" s="42" t="s">
        <v>11</v>
      </c>
      <c r="D1509" s="43" t="s">
        <v>29</v>
      </c>
      <c r="E1509" s="46">
        <v>2690</v>
      </c>
      <c r="F1509" s="2">
        <f>IF(C1509="GBP",E1509*$C$3,IF(C1509="TRY",E1509/$C$1,IF(C1509="EUR",E1509*$E$1,IF(C1509="RUB",E1509/#REF!,IF(C1509="EGP",E1509/$E$2,E1509)))))</f>
        <v>73.76552435222078</v>
      </c>
      <c r="G1509" s="15" t="str">
        <f>VLOOKUP(B1509,SPECIFICATIONF!$C$2:$D$65,2,0)</f>
        <v>GLOBAL RETAIL</v>
      </c>
      <c r="H1509" s="12">
        <f t="shared" si="56"/>
        <v>8</v>
      </c>
      <c r="I1509" s="12">
        <f t="shared" si="57"/>
        <v>2025</v>
      </c>
    </row>
    <row r="1510" spans="1:9" ht="19.5" customHeight="1" x14ac:dyDescent="0.35">
      <c r="A1510" s="41">
        <v>45889</v>
      </c>
      <c r="B1510" s="8" t="s">
        <v>24</v>
      </c>
      <c r="C1510" s="42" t="s">
        <v>33</v>
      </c>
      <c r="D1510" s="43" t="s">
        <v>29</v>
      </c>
      <c r="E1510" s="46">
        <v>1231</v>
      </c>
      <c r="F1510" s="2">
        <f>IF(C1510="GBP",E1510*$C$3,IF(C1510="TRY",E1510/$C$1,IF(C1510="EUR",E1510*$E$1,IF(C1510="RUB",E1510/#REF!,IF(C1510="EGP",E1510/$E$2,E1510)))))</f>
        <v>1231</v>
      </c>
      <c r="G1510" s="15" t="str">
        <f>VLOOKUP(B1510,SPECIFICATIONF!$C$2:$D$65,2,0)</f>
        <v>GLOBAL RETAIL</v>
      </c>
      <c r="H1510" s="12">
        <f t="shared" ref="H1510:H1573" si="58">MONTH(A1510)</f>
        <v>8</v>
      </c>
      <c r="I1510" s="12">
        <f t="shared" ref="I1510:I1573" si="59">YEAR(A1510)</f>
        <v>2025</v>
      </c>
    </row>
    <row r="1511" spans="1:9" ht="19.5" customHeight="1" x14ac:dyDescent="0.35">
      <c r="A1511" s="41">
        <v>45890</v>
      </c>
      <c r="B1511" s="8" t="s">
        <v>32</v>
      </c>
      <c r="C1511" s="42" t="s">
        <v>11</v>
      </c>
      <c r="D1511" s="43" t="s">
        <v>30</v>
      </c>
      <c r="E1511" s="46">
        <v>1849962.04</v>
      </c>
      <c r="F1511" s="2">
        <f>IF(C1511="GBP",E1511*$C$3,IF(C1511="TRY",E1511/$C$1,IF(C1511="EUR",E1511*$E$1,IF(C1511="RUB",E1511/#REF!,IF(C1511="EGP",E1511/$E$2,E1511)))))</f>
        <v>50729.895878179937</v>
      </c>
      <c r="G1511" s="15" t="str">
        <f>VLOOKUP(B1511,SPECIFICATIONF!$C$2:$D$65,2,0)</f>
        <v>GLOBAL HFT</v>
      </c>
      <c r="H1511" s="12">
        <f t="shared" si="58"/>
        <v>8</v>
      </c>
      <c r="I1511" s="12">
        <f t="shared" si="59"/>
        <v>2025</v>
      </c>
    </row>
    <row r="1512" spans="1:9" ht="19.5" customHeight="1" x14ac:dyDescent="0.35">
      <c r="A1512" s="41">
        <v>45890</v>
      </c>
      <c r="B1512" s="8" t="s">
        <v>32</v>
      </c>
      <c r="C1512" s="42" t="s">
        <v>33</v>
      </c>
      <c r="D1512" s="43" t="s">
        <v>30</v>
      </c>
      <c r="E1512" s="46">
        <v>7764.3</v>
      </c>
      <c r="F1512" s="2">
        <f>IF(C1512="GBP",E1512*$C$3,IF(C1512="TRY",E1512/$C$1,IF(C1512="EUR",E1512*$E$1,IF(C1512="RUB",E1512/#REF!,IF(C1512="EGP",E1512/$E$2,E1512)))))</f>
        <v>7764.3</v>
      </c>
      <c r="G1512" s="15" t="str">
        <f>VLOOKUP(B1512,SPECIFICATIONF!$C$2:$D$65,2,0)</f>
        <v>GLOBAL HFT</v>
      </c>
      <c r="H1512" s="12">
        <f t="shared" si="58"/>
        <v>8</v>
      </c>
      <c r="I1512" s="12">
        <f t="shared" si="59"/>
        <v>2025</v>
      </c>
    </row>
    <row r="1513" spans="1:9" ht="19.5" customHeight="1" x14ac:dyDescent="0.35">
      <c r="A1513" s="41">
        <v>45890</v>
      </c>
      <c r="B1513" s="8" t="s">
        <v>32</v>
      </c>
      <c r="C1513" s="42" t="s">
        <v>11</v>
      </c>
      <c r="D1513" s="43" t="s">
        <v>29</v>
      </c>
      <c r="E1513" s="46">
        <v>6925433046</v>
      </c>
      <c r="F1513" s="2">
        <f>IF(C1513="GBP",E1513*$C$3,IF(C1513="TRY",E1513/$C$1,IF(C1513="EUR",E1513*$E$1,IF(C1513="RUB",E1513/#REF!,IF(C1513="EGP",E1513/$E$2,E1513)))))</f>
        <v>189910111.52579463</v>
      </c>
      <c r="G1513" s="15" t="str">
        <f>VLOOKUP(B1513,SPECIFICATIONF!$C$2:$D$65,2,0)</f>
        <v>GLOBAL HFT</v>
      </c>
      <c r="H1513" s="12">
        <f t="shared" si="58"/>
        <v>8</v>
      </c>
      <c r="I1513" s="12">
        <f t="shared" si="59"/>
        <v>2025</v>
      </c>
    </row>
    <row r="1514" spans="1:9" ht="19.5" customHeight="1" x14ac:dyDescent="0.35">
      <c r="A1514" s="41">
        <v>45890</v>
      </c>
      <c r="B1514" s="8" t="s">
        <v>32</v>
      </c>
      <c r="C1514" s="42" t="s">
        <v>33</v>
      </c>
      <c r="D1514" s="43" t="s">
        <v>29</v>
      </c>
      <c r="E1514" s="46">
        <v>27994331</v>
      </c>
      <c r="F1514" s="2">
        <f>IF(C1514="GBP",E1514*$C$3,IF(C1514="TRY",E1514/$C$1,IF(C1514="EUR",E1514*$E$1,IF(C1514="RUB",E1514/#REF!,IF(C1514="EGP",E1514/$E$2,E1514)))))</f>
        <v>27994331</v>
      </c>
      <c r="G1514" s="15" t="str">
        <f>VLOOKUP(B1514,SPECIFICATIONF!$C$2:$D$65,2,0)</f>
        <v>GLOBAL HFT</v>
      </c>
      <c r="H1514" s="12">
        <f t="shared" si="58"/>
        <v>8</v>
      </c>
      <c r="I1514" s="12">
        <f t="shared" si="59"/>
        <v>2025</v>
      </c>
    </row>
    <row r="1515" spans="1:9" ht="19.5" customHeight="1" x14ac:dyDescent="0.35">
      <c r="A1515" s="41">
        <v>45890</v>
      </c>
      <c r="B1515" s="8" t="s">
        <v>24</v>
      </c>
      <c r="C1515" s="42" t="s">
        <v>11</v>
      </c>
      <c r="D1515" s="43" t="s">
        <v>30</v>
      </c>
      <c r="E1515" s="46">
        <v>224.32</v>
      </c>
      <c r="F1515" s="2">
        <f>IF(C1515="GBP",E1515*$C$3,IF(C1515="TRY",E1515/$C$1,IF(C1515="EUR",E1515*$E$1,IF(C1515="RUB",E1515/#REF!,IF(C1515="EGP",E1515/$E$2,E1515)))))</f>
        <v>6.1513317556469014</v>
      </c>
      <c r="G1515" s="15" t="str">
        <f>VLOOKUP(B1515,SPECIFICATIONF!$C$2:$D$65,2,0)</f>
        <v>GLOBAL RETAIL</v>
      </c>
      <c r="H1515" s="12">
        <f t="shared" si="58"/>
        <v>8</v>
      </c>
      <c r="I1515" s="12">
        <f t="shared" si="59"/>
        <v>2025</v>
      </c>
    </row>
    <row r="1516" spans="1:9" ht="19.5" customHeight="1" x14ac:dyDescent="0.35">
      <c r="A1516" s="41">
        <v>45890</v>
      </c>
      <c r="B1516" s="8" t="s">
        <v>24</v>
      </c>
      <c r="C1516" s="42" t="s">
        <v>33</v>
      </c>
      <c r="D1516" s="43" t="s">
        <v>30</v>
      </c>
      <c r="E1516" s="46">
        <v>0.08</v>
      </c>
      <c r="F1516" s="2">
        <f>IF(C1516="GBP",E1516*$C$3,IF(C1516="TRY",E1516/$C$1,IF(C1516="EUR",E1516*$E$1,IF(C1516="RUB",E1516/#REF!,IF(C1516="EGP",E1516/$E$2,E1516)))))</f>
        <v>0.08</v>
      </c>
      <c r="G1516" s="15" t="str">
        <f>VLOOKUP(B1516,SPECIFICATIONF!$C$2:$D$65,2,0)</f>
        <v>GLOBAL RETAIL</v>
      </c>
      <c r="H1516" s="12">
        <f t="shared" si="58"/>
        <v>8</v>
      </c>
      <c r="I1516" s="12">
        <f t="shared" si="59"/>
        <v>2025</v>
      </c>
    </row>
    <row r="1517" spans="1:9" ht="19.5" customHeight="1" x14ac:dyDescent="0.35">
      <c r="A1517" s="41">
        <v>45890</v>
      </c>
      <c r="B1517" s="8" t="s">
        <v>24</v>
      </c>
      <c r="C1517" s="42" t="s">
        <v>11</v>
      </c>
      <c r="D1517" s="43" t="s">
        <v>29</v>
      </c>
      <c r="E1517" s="46">
        <v>203977</v>
      </c>
      <c r="F1517" s="2">
        <f>IF(C1517="GBP",E1517*$C$3,IF(C1517="TRY",E1517/$C$1,IF(C1517="EUR",E1517*$E$1,IF(C1517="RUB",E1517/#REF!,IF(C1517="EGP",E1517/$E$2,E1517)))))</f>
        <v>5593.4834054992334</v>
      </c>
      <c r="G1517" s="15" t="str">
        <f>VLOOKUP(B1517,SPECIFICATIONF!$C$2:$D$65,2,0)</f>
        <v>GLOBAL RETAIL</v>
      </c>
      <c r="H1517" s="12">
        <f t="shared" si="58"/>
        <v>8</v>
      </c>
      <c r="I1517" s="12">
        <f t="shared" si="59"/>
        <v>2025</v>
      </c>
    </row>
    <row r="1518" spans="1:9" ht="19.5" customHeight="1" x14ac:dyDescent="0.35">
      <c r="A1518" s="41">
        <v>45890</v>
      </c>
      <c r="B1518" s="8" t="s">
        <v>24</v>
      </c>
      <c r="C1518" s="42" t="s">
        <v>33</v>
      </c>
      <c r="D1518" s="43" t="s">
        <v>29</v>
      </c>
      <c r="E1518" s="46">
        <v>74</v>
      </c>
      <c r="F1518" s="2">
        <f>IF(C1518="GBP",E1518*$C$3,IF(C1518="TRY",E1518/$C$1,IF(C1518="EUR",E1518*$E$1,IF(C1518="RUB",E1518/#REF!,IF(C1518="EGP",E1518/$E$2,E1518)))))</f>
        <v>74</v>
      </c>
      <c r="G1518" s="15" t="str">
        <f>VLOOKUP(B1518,SPECIFICATIONF!$C$2:$D$65,2,0)</f>
        <v>GLOBAL RETAIL</v>
      </c>
      <c r="H1518" s="12">
        <f t="shared" si="58"/>
        <v>8</v>
      </c>
      <c r="I1518" s="12">
        <f t="shared" si="59"/>
        <v>2025</v>
      </c>
    </row>
    <row r="1519" spans="1:9" ht="19.5" customHeight="1" x14ac:dyDescent="0.35">
      <c r="A1519" s="41">
        <v>45891</v>
      </c>
      <c r="B1519" s="8" t="s">
        <v>32</v>
      </c>
      <c r="C1519" s="42" t="s">
        <v>11</v>
      </c>
      <c r="D1519" s="43" t="s">
        <v>30</v>
      </c>
      <c r="E1519" s="46">
        <v>2694315.36</v>
      </c>
      <c r="F1519" s="2">
        <f>IF(C1519="GBP",E1519*$C$3,IF(C1519="TRY",E1519/$C$1,IF(C1519="EUR",E1519*$E$1,IF(C1519="RUB",E1519/#REF!,IF(C1519="EGP",E1519/$E$2,E1519)))))</f>
        <v>73883.860706558538</v>
      </c>
      <c r="G1519" s="15" t="str">
        <f>VLOOKUP(B1519,SPECIFICATIONF!$C$2:$D$65,2,0)</f>
        <v>GLOBAL HFT</v>
      </c>
      <c r="H1519" s="12">
        <f t="shared" si="58"/>
        <v>8</v>
      </c>
      <c r="I1519" s="12">
        <f t="shared" si="59"/>
        <v>2025</v>
      </c>
    </row>
    <row r="1520" spans="1:9" ht="19.5" customHeight="1" x14ac:dyDescent="0.35">
      <c r="A1520" s="41">
        <v>45891</v>
      </c>
      <c r="B1520" s="8" t="s">
        <v>32</v>
      </c>
      <c r="C1520" s="42" t="s">
        <v>33</v>
      </c>
      <c r="D1520" s="43" t="s">
        <v>30</v>
      </c>
      <c r="E1520" s="46">
        <v>20827.45</v>
      </c>
      <c r="F1520" s="2">
        <f>IF(C1520="GBP",E1520*$C$3,IF(C1520="TRY",E1520/$C$1,IF(C1520="EUR",E1520*$E$1,IF(C1520="RUB",E1520/#REF!,IF(C1520="EGP",E1520/$E$2,E1520)))))</f>
        <v>20827.45</v>
      </c>
      <c r="G1520" s="15" t="str">
        <f>VLOOKUP(B1520,SPECIFICATIONF!$C$2:$D$65,2,0)</f>
        <v>GLOBAL HFT</v>
      </c>
      <c r="H1520" s="12">
        <f t="shared" si="58"/>
        <v>8</v>
      </c>
      <c r="I1520" s="12">
        <f t="shared" si="59"/>
        <v>2025</v>
      </c>
    </row>
    <row r="1521" spans="1:9" ht="19.5" customHeight="1" x14ac:dyDescent="0.35">
      <c r="A1521" s="41">
        <v>45891</v>
      </c>
      <c r="B1521" s="8" t="s">
        <v>32</v>
      </c>
      <c r="C1521" s="42" t="s">
        <v>11</v>
      </c>
      <c r="D1521" s="43" t="s">
        <v>29</v>
      </c>
      <c r="E1521" s="46">
        <v>9634469702</v>
      </c>
      <c r="F1521" s="2">
        <f>IF(C1521="GBP",E1521*$C$3,IF(C1521="TRY",E1521/$C$1,IF(C1521="EUR",E1521*$E$1,IF(C1521="RUB",E1521/#REF!,IF(C1521="EGP",E1521/$E$2,E1521)))))</f>
        <v>264197661.49576738</v>
      </c>
      <c r="G1521" s="15" t="str">
        <f>VLOOKUP(B1521,SPECIFICATIONF!$C$2:$D$65,2,0)</f>
        <v>GLOBAL HFT</v>
      </c>
      <c r="H1521" s="12">
        <f t="shared" si="58"/>
        <v>8</v>
      </c>
      <c r="I1521" s="12">
        <f t="shared" si="59"/>
        <v>2025</v>
      </c>
    </row>
    <row r="1522" spans="1:9" ht="19.5" customHeight="1" x14ac:dyDescent="0.35">
      <c r="A1522" s="41">
        <v>45891</v>
      </c>
      <c r="B1522" s="8" t="s">
        <v>32</v>
      </c>
      <c r="C1522" s="42" t="s">
        <v>33</v>
      </c>
      <c r="D1522" s="43" t="s">
        <v>29</v>
      </c>
      <c r="E1522" s="46">
        <v>67888833</v>
      </c>
      <c r="F1522" s="2">
        <f>IF(C1522="GBP",E1522*$C$3,IF(C1522="TRY",E1522/$C$1,IF(C1522="EUR",E1522*$E$1,IF(C1522="RUB",E1522/#REF!,IF(C1522="EGP",E1522/$E$2,E1522)))))</f>
        <v>67888833</v>
      </c>
      <c r="G1522" s="15" t="str">
        <f>VLOOKUP(B1522,SPECIFICATIONF!$C$2:$D$65,2,0)</f>
        <v>GLOBAL HFT</v>
      </c>
      <c r="H1522" s="12">
        <f t="shared" si="58"/>
        <v>8</v>
      </c>
      <c r="I1522" s="12">
        <f t="shared" si="59"/>
        <v>2025</v>
      </c>
    </row>
    <row r="1523" spans="1:9" ht="19.5" customHeight="1" x14ac:dyDescent="0.35">
      <c r="A1523" s="41">
        <v>45891</v>
      </c>
      <c r="B1523" s="8" t="s">
        <v>24</v>
      </c>
      <c r="C1523" s="42" t="s">
        <v>11</v>
      </c>
      <c r="D1523" s="43" t="s">
        <v>30</v>
      </c>
      <c r="E1523" s="46">
        <v>67.09</v>
      </c>
      <c r="F1523" s="2">
        <f>IF(C1523="GBP",E1523*$C$3,IF(C1523="TRY",E1523/$C$1,IF(C1523="EUR",E1523*$E$1,IF(C1523="RUB",E1523/#REF!,IF(C1523="EGP",E1523/$E$2,E1523)))))</f>
        <v>1.8397505683236031</v>
      </c>
      <c r="G1523" s="15" t="str">
        <f>VLOOKUP(B1523,SPECIFICATIONF!$C$2:$D$65,2,0)</f>
        <v>GLOBAL RETAIL</v>
      </c>
      <c r="H1523" s="12">
        <f t="shared" si="58"/>
        <v>8</v>
      </c>
      <c r="I1523" s="12">
        <f t="shared" si="59"/>
        <v>2025</v>
      </c>
    </row>
    <row r="1524" spans="1:9" ht="19.5" customHeight="1" x14ac:dyDescent="0.35">
      <c r="A1524" s="41">
        <v>45891</v>
      </c>
      <c r="B1524" s="8" t="s">
        <v>24</v>
      </c>
      <c r="C1524" s="42" t="s">
        <v>33</v>
      </c>
      <c r="D1524" s="43" t="s">
        <v>30</v>
      </c>
      <c r="E1524" s="46">
        <v>0.03</v>
      </c>
      <c r="F1524" s="2">
        <f>IF(C1524="GBP",E1524*$C$3,IF(C1524="TRY",E1524/$C$1,IF(C1524="EUR",E1524*$E$1,IF(C1524="RUB",E1524/#REF!,IF(C1524="EGP",E1524/$E$2,E1524)))))</f>
        <v>0.03</v>
      </c>
      <c r="G1524" s="15" t="str">
        <f>VLOOKUP(B1524,SPECIFICATIONF!$C$2:$D$65,2,0)</f>
        <v>GLOBAL RETAIL</v>
      </c>
      <c r="H1524" s="12">
        <f t="shared" si="58"/>
        <v>8</v>
      </c>
      <c r="I1524" s="12">
        <f t="shared" si="59"/>
        <v>2025</v>
      </c>
    </row>
    <row r="1525" spans="1:9" ht="19.5" customHeight="1" x14ac:dyDescent="0.35">
      <c r="A1525" s="41">
        <v>45891</v>
      </c>
      <c r="B1525" s="8" t="s">
        <v>24</v>
      </c>
      <c r="C1525" s="42" t="s">
        <v>11</v>
      </c>
      <c r="D1525" s="43" t="s">
        <v>29</v>
      </c>
      <c r="E1525" s="46">
        <v>74542</v>
      </c>
      <c r="F1525" s="2">
        <f>IF(C1525="GBP",E1525*$C$3,IF(C1525="TRY",E1525/$C$1,IF(C1525="EUR",E1525*$E$1,IF(C1525="RUB",E1525/#REF!,IF(C1525="EGP",E1525/$E$2,E1525)))))</f>
        <v>2044.1002662688629</v>
      </c>
      <c r="G1525" s="15" t="str">
        <f>VLOOKUP(B1525,SPECIFICATIONF!$C$2:$D$65,2,0)</f>
        <v>GLOBAL RETAIL</v>
      </c>
      <c r="H1525" s="12">
        <f t="shared" si="58"/>
        <v>8</v>
      </c>
      <c r="I1525" s="12">
        <f t="shared" si="59"/>
        <v>2025</v>
      </c>
    </row>
    <row r="1526" spans="1:9" ht="19.5" customHeight="1" x14ac:dyDescent="0.35">
      <c r="A1526" s="41">
        <v>45891</v>
      </c>
      <c r="B1526" s="8" t="s">
        <v>24</v>
      </c>
      <c r="C1526" s="42" t="s">
        <v>33</v>
      </c>
      <c r="D1526" s="43" t="s">
        <v>29</v>
      </c>
      <c r="E1526" s="46">
        <v>22</v>
      </c>
      <c r="F1526" s="2">
        <f>IF(C1526="GBP",E1526*$C$3,IF(C1526="TRY",E1526/$C$1,IF(C1526="EUR",E1526*$E$1,IF(C1526="RUB",E1526/#REF!,IF(C1526="EGP",E1526/$E$2,E1526)))))</f>
        <v>22</v>
      </c>
      <c r="G1526" s="15" t="str">
        <f>VLOOKUP(B1526,SPECIFICATIONF!$C$2:$D$65,2,0)</f>
        <v>GLOBAL RETAIL</v>
      </c>
      <c r="H1526" s="12">
        <f t="shared" si="58"/>
        <v>8</v>
      </c>
      <c r="I1526" s="12">
        <f t="shared" si="59"/>
        <v>2025</v>
      </c>
    </row>
    <row r="1527" spans="1:9" ht="19.5" customHeight="1" x14ac:dyDescent="0.35">
      <c r="A1527" s="41">
        <v>45892</v>
      </c>
      <c r="B1527" s="8" t="s">
        <v>32</v>
      </c>
      <c r="C1527" s="42" t="s">
        <v>11</v>
      </c>
      <c r="D1527" s="43" t="s">
        <v>30</v>
      </c>
      <c r="E1527" s="46">
        <v>2410821.73</v>
      </c>
      <c r="F1527" s="2">
        <f>IF(C1527="GBP",E1527*$C$3,IF(C1527="TRY",E1527/$C$1,IF(C1527="EUR",E1527*$E$1,IF(C1527="RUB",E1527/#REF!,IF(C1527="EGP",E1527/$E$2,E1527)))))</f>
        <v>66109.862094118216</v>
      </c>
      <c r="G1527" s="15" t="str">
        <f>VLOOKUP(B1527,SPECIFICATIONF!$C$2:$D$65,2,0)</f>
        <v>GLOBAL HFT</v>
      </c>
      <c r="H1527" s="12">
        <f t="shared" si="58"/>
        <v>8</v>
      </c>
      <c r="I1527" s="12">
        <f t="shared" si="59"/>
        <v>2025</v>
      </c>
    </row>
    <row r="1528" spans="1:9" ht="19.5" customHeight="1" x14ac:dyDescent="0.35">
      <c r="A1528" s="41">
        <v>45892</v>
      </c>
      <c r="B1528" s="8" t="s">
        <v>32</v>
      </c>
      <c r="C1528" s="42" t="s">
        <v>33</v>
      </c>
      <c r="D1528" s="43" t="s">
        <v>30</v>
      </c>
      <c r="E1528" s="46">
        <v>14681.09</v>
      </c>
      <c r="F1528" s="2">
        <f>IF(C1528="GBP",E1528*$C$3,IF(C1528="TRY",E1528/$C$1,IF(C1528="EUR",E1528*$E$1,IF(C1528="RUB",E1528/#REF!,IF(C1528="EGP",E1528/$E$2,E1528)))))</f>
        <v>14681.09</v>
      </c>
      <c r="G1528" s="15" t="str">
        <f>VLOOKUP(B1528,SPECIFICATIONF!$C$2:$D$65,2,0)</f>
        <v>GLOBAL HFT</v>
      </c>
      <c r="H1528" s="12">
        <f t="shared" si="58"/>
        <v>8</v>
      </c>
      <c r="I1528" s="12">
        <f t="shared" si="59"/>
        <v>2025</v>
      </c>
    </row>
    <row r="1529" spans="1:9" ht="19.5" customHeight="1" x14ac:dyDescent="0.35">
      <c r="A1529" s="41">
        <v>45892</v>
      </c>
      <c r="B1529" s="8" t="s">
        <v>32</v>
      </c>
      <c r="C1529" s="42" t="s">
        <v>11</v>
      </c>
      <c r="D1529" s="43" t="s">
        <v>29</v>
      </c>
      <c r="E1529" s="46">
        <v>9221657223</v>
      </c>
      <c r="F1529" s="2">
        <f>IF(C1529="GBP",E1529*$C$3,IF(C1529="TRY",E1529/$C$1,IF(C1529="EUR",E1529*$E$1,IF(C1529="RUB",E1529/#REF!,IF(C1529="EGP",E1529/$E$2,E1529)))))</f>
        <v>252877464.8516874</v>
      </c>
      <c r="G1529" s="15" t="str">
        <f>VLOOKUP(B1529,SPECIFICATIONF!$C$2:$D$65,2,0)</f>
        <v>GLOBAL HFT</v>
      </c>
      <c r="H1529" s="12">
        <f t="shared" si="58"/>
        <v>8</v>
      </c>
      <c r="I1529" s="12">
        <f t="shared" si="59"/>
        <v>2025</v>
      </c>
    </row>
    <row r="1530" spans="1:9" ht="19.5" customHeight="1" x14ac:dyDescent="0.35">
      <c r="A1530" s="41">
        <v>45892</v>
      </c>
      <c r="B1530" s="8" t="s">
        <v>32</v>
      </c>
      <c r="C1530" s="42" t="s">
        <v>33</v>
      </c>
      <c r="D1530" s="43" t="s">
        <v>29</v>
      </c>
      <c r="E1530" s="46">
        <v>48897193</v>
      </c>
      <c r="F1530" s="2">
        <f>IF(C1530="GBP",E1530*$C$3,IF(C1530="TRY",E1530/$C$1,IF(C1530="EUR",E1530*$E$1,IF(C1530="RUB",E1530/#REF!,IF(C1530="EGP",E1530/$E$2,E1530)))))</f>
        <v>48897193</v>
      </c>
      <c r="G1530" s="15" t="str">
        <f>VLOOKUP(B1530,SPECIFICATIONF!$C$2:$D$65,2,0)</f>
        <v>GLOBAL HFT</v>
      </c>
      <c r="H1530" s="12">
        <f t="shared" si="58"/>
        <v>8</v>
      </c>
      <c r="I1530" s="12">
        <f t="shared" si="59"/>
        <v>2025</v>
      </c>
    </row>
    <row r="1531" spans="1:9" ht="19.5" customHeight="1" x14ac:dyDescent="0.35">
      <c r="A1531" s="41">
        <v>45892</v>
      </c>
      <c r="B1531" s="8" t="s">
        <v>24</v>
      </c>
      <c r="C1531" s="42" t="s">
        <v>11</v>
      </c>
      <c r="D1531" s="43" t="s">
        <v>30</v>
      </c>
      <c r="E1531" s="46">
        <v>1428.25</v>
      </c>
      <c r="F1531" s="2">
        <f>IF(C1531="GBP",E1531*$C$3,IF(C1531="TRY",E1531/$C$1,IF(C1531="EUR",E1531*$E$1,IF(C1531="RUB",E1531/#REF!,IF(C1531="EGP",E1531/$E$2,E1531)))))</f>
        <v>39.165654333107554</v>
      </c>
      <c r="G1531" s="15" t="str">
        <f>VLOOKUP(B1531,SPECIFICATIONF!$C$2:$D$65,2,0)</f>
        <v>GLOBAL RETAIL</v>
      </c>
      <c r="H1531" s="12">
        <f t="shared" si="58"/>
        <v>8</v>
      </c>
      <c r="I1531" s="12">
        <f t="shared" si="59"/>
        <v>2025</v>
      </c>
    </row>
    <row r="1532" spans="1:9" ht="19.5" customHeight="1" x14ac:dyDescent="0.35">
      <c r="A1532" s="41">
        <v>45892</v>
      </c>
      <c r="B1532" s="8" t="s">
        <v>24</v>
      </c>
      <c r="C1532" s="42" t="s">
        <v>33</v>
      </c>
      <c r="D1532" s="43" t="s">
        <v>30</v>
      </c>
      <c r="E1532" s="46">
        <v>0</v>
      </c>
      <c r="F1532" s="2">
        <f>IF(C1532="GBP",E1532*$C$3,IF(C1532="TRY",E1532/$C$1,IF(C1532="EUR",E1532*$E$1,IF(C1532="RUB",E1532/#REF!,IF(C1532="EGP",E1532/$E$2,E1532)))))</f>
        <v>0</v>
      </c>
      <c r="G1532" s="15" t="str">
        <f>VLOOKUP(B1532,SPECIFICATIONF!$C$2:$D$65,2,0)</f>
        <v>GLOBAL RETAIL</v>
      </c>
      <c r="H1532" s="12">
        <f t="shared" si="58"/>
        <v>8</v>
      </c>
      <c r="I1532" s="12">
        <f t="shared" si="59"/>
        <v>2025</v>
      </c>
    </row>
    <row r="1533" spans="1:9" ht="19.5" customHeight="1" x14ac:dyDescent="0.35">
      <c r="A1533" s="41">
        <v>45892</v>
      </c>
      <c r="B1533" s="8" t="s">
        <v>24</v>
      </c>
      <c r="C1533" s="42" t="s">
        <v>11</v>
      </c>
      <c r="D1533" s="43" t="s">
        <v>29</v>
      </c>
      <c r="E1533" s="46">
        <v>1298405</v>
      </c>
      <c r="F1533" s="2">
        <f>IF(C1533="GBP",E1533*$C$3,IF(C1533="TRY",E1533/$C$1,IF(C1533="EUR",E1533*$E$1,IF(C1533="RUB",E1533/#REF!,IF(C1533="EGP",E1533/$E$2,E1533)))))</f>
        <v>35605.028121392272</v>
      </c>
      <c r="G1533" s="15" t="str">
        <f>VLOOKUP(B1533,SPECIFICATIONF!$C$2:$D$65,2,0)</f>
        <v>GLOBAL RETAIL</v>
      </c>
      <c r="H1533" s="12">
        <f t="shared" si="58"/>
        <v>8</v>
      </c>
      <c r="I1533" s="12">
        <f t="shared" si="59"/>
        <v>2025</v>
      </c>
    </row>
    <row r="1534" spans="1:9" ht="19.5" customHeight="1" x14ac:dyDescent="0.35">
      <c r="A1534" s="41">
        <v>45892</v>
      </c>
      <c r="B1534" s="8" t="s">
        <v>24</v>
      </c>
      <c r="C1534" s="42" t="s">
        <v>33</v>
      </c>
      <c r="D1534" s="43" t="s">
        <v>29</v>
      </c>
      <c r="E1534" s="46">
        <v>0</v>
      </c>
      <c r="F1534" s="2">
        <f>IF(C1534="GBP",E1534*$C$3,IF(C1534="TRY",E1534/$C$1,IF(C1534="EUR",E1534*$E$1,IF(C1534="RUB",E1534/#REF!,IF(C1534="EGP",E1534/$E$2,E1534)))))</f>
        <v>0</v>
      </c>
      <c r="G1534" s="15" t="str">
        <f>VLOOKUP(B1534,SPECIFICATIONF!$C$2:$D$65,2,0)</f>
        <v>GLOBAL RETAIL</v>
      </c>
      <c r="H1534" s="12">
        <f t="shared" si="58"/>
        <v>8</v>
      </c>
      <c r="I1534" s="12">
        <f t="shared" si="59"/>
        <v>2025</v>
      </c>
    </row>
    <row r="1535" spans="1:9" ht="19.5" customHeight="1" x14ac:dyDescent="0.35">
      <c r="A1535" s="41">
        <v>45893</v>
      </c>
      <c r="B1535" s="8" t="s">
        <v>32</v>
      </c>
      <c r="C1535" s="42" t="s">
        <v>11</v>
      </c>
      <c r="D1535" s="43" t="s">
        <v>30</v>
      </c>
      <c r="E1535" s="46">
        <v>2172631.59</v>
      </c>
      <c r="F1535" s="2">
        <f>IF(C1535="GBP",E1535*$C$3,IF(C1535="TRY",E1535/$C$1,IF(C1535="EUR",E1535*$E$1,IF(C1535="RUB",E1535/#REF!,IF(C1535="EGP",E1535/$E$2,E1535)))))</f>
        <v>59578.181583847261</v>
      </c>
      <c r="G1535" s="15" t="str">
        <f>VLOOKUP(B1535,SPECIFICATIONF!$C$2:$D$65,2,0)</f>
        <v>GLOBAL HFT</v>
      </c>
      <c r="H1535" s="12">
        <f t="shared" si="58"/>
        <v>8</v>
      </c>
      <c r="I1535" s="12">
        <f t="shared" si="59"/>
        <v>2025</v>
      </c>
    </row>
    <row r="1536" spans="1:9" ht="19.5" customHeight="1" x14ac:dyDescent="0.35">
      <c r="A1536" s="41">
        <v>45893</v>
      </c>
      <c r="B1536" s="8" t="s">
        <v>32</v>
      </c>
      <c r="C1536" s="42" t="s">
        <v>33</v>
      </c>
      <c r="D1536" s="43" t="s">
        <v>30</v>
      </c>
      <c r="E1536" s="46">
        <v>16502.240000000002</v>
      </c>
      <c r="F1536" s="2">
        <f>IF(C1536="GBP",E1536*$C$3,IF(C1536="TRY",E1536/$C$1,IF(C1536="EUR",E1536*$E$1,IF(C1536="RUB",E1536/#REF!,IF(C1536="EGP",E1536/$E$2,E1536)))))</f>
        <v>16502.240000000002</v>
      </c>
      <c r="G1536" s="15" t="str">
        <f>VLOOKUP(B1536,SPECIFICATIONF!$C$2:$D$65,2,0)</f>
        <v>GLOBAL HFT</v>
      </c>
      <c r="H1536" s="12">
        <f t="shared" si="58"/>
        <v>8</v>
      </c>
      <c r="I1536" s="12">
        <f t="shared" si="59"/>
        <v>2025</v>
      </c>
    </row>
    <row r="1537" spans="1:9" ht="19.5" customHeight="1" x14ac:dyDescent="0.35">
      <c r="A1537" s="41">
        <v>45893</v>
      </c>
      <c r="B1537" s="8" t="s">
        <v>32</v>
      </c>
      <c r="C1537" s="42" t="s">
        <v>11</v>
      </c>
      <c r="D1537" s="43" t="s">
        <v>29</v>
      </c>
      <c r="E1537" s="46">
        <v>8158169717</v>
      </c>
      <c r="F1537" s="2">
        <f>IF(C1537="GBP",E1537*$C$3,IF(C1537="TRY",E1537/$C$1,IF(C1537="EUR",E1537*$E$1,IF(C1537="RUB",E1537/#REF!,IF(C1537="EGP",E1537/$E$2,E1537)))))</f>
        <v>223714374.3230162</v>
      </c>
      <c r="G1537" s="15" t="str">
        <f>VLOOKUP(B1537,SPECIFICATIONF!$C$2:$D$65,2,0)</f>
        <v>GLOBAL HFT</v>
      </c>
      <c r="H1537" s="12">
        <f t="shared" si="58"/>
        <v>8</v>
      </c>
      <c r="I1537" s="12">
        <f t="shared" si="59"/>
        <v>2025</v>
      </c>
    </row>
    <row r="1538" spans="1:9" ht="19.5" customHeight="1" x14ac:dyDescent="0.35">
      <c r="A1538" s="41">
        <v>45893</v>
      </c>
      <c r="B1538" s="8" t="s">
        <v>32</v>
      </c>
      <c r="C1538" s="42" t="s">
        <v>33</v>
      </c>
      <c r="D1538" s="43" t="s">
        <v>29</v>
      </c>
      <c r="E1538" s="46">
        <v>55457651</v>
      </c>
      <c r="F1538" s="2">
        <f>IF(C1538="GBP",E1538*$C$3,IF(C1538="TRY",E1538/$C$1,IF(C1538="EUR",E1538*$E$1,IF(C1538="RUB",E1538/#REF!,IF(C1538="EGP",E1538/$E$2,E1538)))))</f>
        <v>55457651</v>
      </c>
      <c r="G1538" s="15" t="str">
        <f>VLOOKUP(B1538,SPECIFICATIONF!$C$2:$D$65,2,0)</f>
        <v>GLOBAL HFT</v>
      </c>
      <c r="H1538" s="12">
        <f t="shared" si="58"/>
        <v>8</v>
      </c>
      <c r="I1538" s="12">
        <f t="shared" si="59"/>
        <v>2025</v>
      </c>
    </row>
    <row r="1539" spans="1:9" ht="19.5" customHeight="1" x14ac:dyDescent="0.35">
      <c r="A1539" s="41">
        <v>45893</v>
      </c>
      <c r="B1539" s="8" t="s">
        <v>24</v>
      </c>
      <c r="C1539" s="42" t="s">
        <v>11</v>
      </c>
      <c r="D1539" s="43" t="s">
        <v>30</v>
      </c>
      <c r="E1539" s="46">
        <v>978.5</v>
      </c>
      <c r="F1539" s="2">
        <f>IF(C1539="GBP",E1539*$C$3,IF(C1539="TRY",E1539/$C$1,IF(C1539="EUR",E1539*$E$1,IF(C1539="RUB",E1539/#REF!,IF(C1539="EGP",E1539/$E$2,E1539)))))</f>
        <v>26.832552259720458</v>
      </c>
      <c r="G1539" s="15" t="str">
        <f>VLOOKUP(B1539,SPECIFICATIONF!$C$2:$D$65,2,0)</f>
        <v>GLOBAL RETAIL</v>
      </c>
      <c r="H1539" s="12">
        <f t="shared" si="58"/>
        <v>8</v>
      </c>
      <c r="I1539" s="12">
        <f t="shared" si="59"/>
        <v>2025</v>
      </c>
    </row>
    <row r="1540" spans="1:9" ht="19.5" customHeight="1" x14ac:dyDescent="0.35">
      <c r="A1540" s="41">
        <v>45893</v>
      </c>
      <c r="B1540" s="8" t="s">
        <v>24</v>
      </c>
      <c r="C1540" s="42" t="s">
        <v>33</v>
      </c>
      <c r="D1540" s="43" t="s">
        <v>30</v>
      </c>
      <c r="E1540" s="46">
        <v>0</v>
      </c>
      <c r="F1540" s="2">
        <f>IF(C1540="GBP",E1540*$C$3,IF(C1540="TRY",E1540/$C$1,IF(C1540="EUR",E1540*$E$1,IF(C1540="RUB",E1540/#REF!,IF(C1540="EGP",E1540/$E$2,E1540)))))</f>
        <v>0</v>
      </c>
      <c r="G1540" s="15" t="str">
        <f>VLOOKUP(B1540,SPECIFICATIONF!$C$2:$D$65,2,0)</f>
        <v>GLOBAL RETAIL</v>
      </c>
      <c r="H1540" s="12">
        <f t="shared" si="58"/>
        <v>8</v>
      </c>
      <c r="I1540" s="12">
        <f t="shared" si="59"/>
        <v>2025</v>
      </c>
    </row>
    <row r="1541" spans="1:9" ht="19.5" customHeight="1" x14ac:dyDescent="0.35">
      <c r="A1541" s="41">
        <v>45893</v>
      </c>
      <c r="B1541" s="8" t="s">
        <v>24</v>
      </c>
      <c r="C1541" s="42" t="s">
        <v>11</v>
      </c>
      <c r="D1541" s="43" t="s">
        <v>29</v>
      </c>
      <c r="E1541" s="46">
        <v>938423</v>
      </c>
      <c r="F1541" s="2">
        <f>IF(C1541="GBP",E1541*$C$3,IF(C1541="TRY",E1541/$C$1,IF(C1541="EUR",E1541*$E$1,IF(C1541="RUB",E1541/#REF!,IF(C1541="EGP",E1541/$E$2,E1541)))))</f>
        <v>25733.555635384415</v>
      </c>
      <c r="G1541" s="15" t="str">
        <f>VLOOKUP(B1541,SPECIFICATIONF!$C$2:$D$65,2,0)</f>
        <v>GLOBAL RETAIL</v>
      </c>
      <c r="H1541" s="12">
        <f t="shared" si="58"/>
        <v>8</v>
      </c>
      <c r="I1541" s="12">
        <f t="shared" si="59"/>
        <v>2025</v>
      </c>
    </row>
    <row r="1542" spans="1:9" ht="19.5" customHeight="1" x14ac:dyDescent="0.35">
      <c r="A1542" s="41">
        <v>45893</v>
      </c>
      <c r="B1542" s="8" t="s">
        <v>24</v>
      </c>
      <c r="C1542" s="42" t="s">
        <v>33</v>
      </c>
      <c r="D1542" s="43" t="s">
        <v>29</v>
      </c>
      <c r="E1542" s="46">
        <v>0</v>
      </c>
      <c r="F1542" s="2">
        <f>IF(C1542="GBP",E1542*$C$3,IF(C1542="TRY",E1542/$C$1,IF(C1542="EUR",E1542*$E$1,IF(C1542="RUB",E1542/#REF!,IF(C1542="EGP",E1542/$E$2,E1542)))))</f>
        <v>0</v>
      </c>
      <c r="G1542" s="15" t="str">
        <f>VLOOKUP(B1542,SPECIFICATIONF!$C$2:$D$65,2,0)</f>
        <v>GLOBAL RETAIL</v>
      </c>
      <c r="H1542" s="12">
        <f t="shared" si="58"/>
        <v>8</v>
      </c>
      <c r="I1542" s="12">
        <f t="shared" si="59"/>
        <v>2025</v>
      </c>
    </row>
    <row r="1543" spans="1:9" ht="19.5" customHeight="1" x14ac:dyDescent="0.35">
      <c r="A1543" s="41">
        <v>45894</v>
      </c>
      <c r="B1543" s="8" t="s">
        <v>32</v>
      </c>
      <c r="C1543" s="42" t="s">
        <v>11</v>
      </c>
      <c r="D1543" s="43" t="s">
        <v>30</v>
      </c>
      <c r="E1543" s="46">
        <v>1807775.92</v>
      </c>
      <c r="F1543" s="2">
        <f>IF(C1543="GBP",E1543*$C$3,IF(C1543="TRY",E1543/$C$1,IF(C1543="EUR",E1543*$E$1,IF(C1543="RUB",E1543/#REF!,IF(C1543="EGP",E1543/$E$2,E1543)))))</f>
        <v>49573.062695211265</v>
      </c>
      <c r="G1543" s="15" t="str">
        <f>VLOOKUP(B1543,SPECIFICATIONF!$C$2:$D$65,2,0)</f>
        <v>GLOBAL HFT</v>
      </c>
      <c r="H1543" s="12">
        <f t="shared" si="58"/>
        <v>8</v>
      </c>
      <c r="I1543" s="12">
        <f t="shared" si="59"/>
        <v>2025</v>
      </c>
    </row>
    <row r="1544" spans="1:9" ht="19.5" customHeight="1" x14ac:dyDescent="0.35">
      <c r="A1544" s="41">
        <v>45894</v>
      </c>
      <c r="B1544" s="8" t="s">
        <v>32</v>
      </c>
      <c r="C1544" s="42" t="s">
        <v>33</v>
      </c>
      <c r="D1544" s="43" t="s">
        <v>30</v>
      </c>
      <c r="E1544" s="46">
        <v>13420.19</v>
      </c>
      <c r="F1544" s="2">
        <f>IF(C1544="GBP",E1544*$C$3,IF(C1544="TRY",E1544/$C$1,IF(C1544="EUR",E1544*$E$1,IF(C1544="RUB",E1544/#REF!,IF(C1544="EGP",E1544/$E$2,E1544)))))</f>
        <v>13420.19</v>
      </c>
      <c r="G1544" s="15" t="str">
        <f>VLOOKUP(B1544,SPECIFICATIONF!$C$2:$D$65,2,0)</f>
        <v>GLOBAL HFT</v>
      </c>
      <c r="H1544" s="12">
        <f t="shared" si="58"/>
        <v>8</v>
      </c>
      <c r="I1544" s="12">
        <f t="shared" si="59"/>
        <v>2025</v>
      </c>
    </row>
    <row r="1545" spans="1:9" ht="19.5" customHeight="1" x14ac:dyDescent="0.35">
      <c r="A1545" s="41">
        <v>45894</v>
      </c>
      <c r="B1545" s="8" t="s">
        <v>32</v>
      </c>
      <c r="C1545" s="42" t="s">
        <v>11</v>
      </c>
      <c r="D1545" s="43" t="s">
        <v>29</v>
      </c>
      <c r="E1545" s="46">
        <v>6801840065</v>
      </c>
      <c r="F1545" s="2">
        <f>IF(C1545="GBP",E1545*$C$3,IF(C1545="TRY",E1545/$C$1,IF(C1545="EUR",E1545*$E$1,IF(C1545="RUB",E1545/#REF!,IF(C1545="EGP",E1545/$E$2,E1545)))))</f>
        <v>186520928.97943065</v>
      </c>
      <c r="G1545" s="15" t="str">
        <f>VLOOKUP(B1545,SPECIFICATIONF!$C$2:$D$65,2,0)</f>
        <v>GLOBAL HFT</v>
      </c>
      <c r="H1545" s="12">
        <f t="shared" si="58"/>
        <v>8</v>
      </c>
      <c r="I1545" s="12">
        <f t="shared" si="59"/>
        <v>2025</v>
      </c>
    </row>
    <row r="1546" spans="1:9" ht="19.5" customHeight="1" x14ac:dyDescent="0.35">
      <c r="A1546" s="41">
        <v>45894</v>
      </c>
      <c r="B1546" s="8" t="s">
        <v>32</v>
      </c>
      <c r="C1546" s="42" t="s">
        <v>33</v>
      </c>
      <c r="D1546" s="43" t="s">
        <v>29</v>
      </c>
      <c r="E1546" s="46">
        <v>46126723</v>
      </c>
      <c r="F1546" s="2">
        <f>IF(C1546="GBP",E1546*$C$3,IF(C1546="TRY",E1546/$C$1,IF(C1546="EUR",E1546*$E$1,IF(C1546="RUB",E1546/#REF!,IF(C1546="EGP",E1546/$E$2,E1546)))))</f>
        <v>46126723</v>
      </c>
      <c r="G1546" s="15" t="str">
        <f>VLOOKUP(B1546,SPECIFICATIONF!$C$2:$D$65,2,0)</f>
        <v>GLOBAL HFT</v>
      </c>
      <c r="H1546" s="12">
        <f t="shared" si="58"/>
        <v>8</v>
      </c>
      <c r="I1546" s="12">
        <f t="shared" si="59"/>
        <v>2025</v>
      </c>
    </row>
    <row r="1547" spans="1:9" ht="19.5" customHeight="1" x14ac:dyDescent="0.35">
      <c r="A1547" s="41">
        <v>45894</v>
      </c>
      <c r="B1547" s="8" t="s">
        <v>24</v>
      </c>
      <c r="C1547" s="42" t="s">
        <v>11</v>
      </c>
      <c r="D1547" s="43" t="s">
        <v>30</v>
      </c>
      <c r="E1547" s="46">
        <v>2.33</v>
      </c>
      <c r="F1547" s="2">
        <f>IF(C1547="GBP",E1547*$C$3,IF(C1547="TRY",E1547/$C$1,IF(C1547="EUR",E1547*$E$1,IF(C1547="RUB",E1547/#REF!,IF(C1547="EGP",E1547/$E$2,E1547)))))</f>
        <v>6.3893558267908698E-2</v>
      </c>
      <c r="G1547" s="15" t="str">
        <f>VLOOKUP(B1547,SPECIFICATIONF!$C$2:$D$65,2,0)</f>
        <v>GLOBAL RETAIL</v>
      </c>
      <c r="H1547" s="12">
        <f t="shared" si="58"/>
        <v>8</v>
      </c>
      <c r="I1547" s="12">
        <f t="shared" si="59"/>
        <v>2025</v>
      </c>
    </row>
    <row r="1548" spans="1:9" ht="19.5" customHeight="1" x14ac:dyDescent="0.35">
      <c r="A1548" s="41">
        <v>45894</v>
      </c>
      <c r="B1548" s="8" t="s">
        <v>24</v>
      </c>
      <c r="C1548" s="42" t="s">
        <v>33</v>
      </c>
      <c r="D1548" s="43" t="s">
        <v>30</v>
      </c>
      <c r="E1548" s="46">
        <v>0.12</v>
      </c>
      <c r="F1548" s="2">
        <f>IF(C1548="GBP",E1548*$C$3,IF(C1548="TRY",E1548/$C$1,IF(C1548="EUR",E1548*$E$1,IF(C1548="RUB",E1548/#REF!,IF(C1548="EGP",E1548/$E$2,E1548)))))</f>
        <v>0.12</v>
      </c>
      <c r="G1548" s="15" t="str">
        <f>VLOOKUP(B1548,SPECIFICATIONF!$C$2:$D$65,2,0)</f>
        <v>GLOBAL RETAIL</v>
      </c>
      <c r="H1548" s="12">
        <f t="shared" si="58"/>
        <v>8</v>
      </c>
      <c r="I1548" s="12">
        <f t="shared" si="59"/>
        <v>2025</v>
      </c>
    </row>
    <row r="1549" spans="1:9" ht="19.5" customHeight="1" x14ac:dyDescent="0.35">
      <c r="A1549" s="41">
        <v>45894</v>
      </c>
      <c r="B1549" s="8" t="s">
        <v>24</v>
      </c>
      <c r="C1549" s="42" t="s">
        <v>11</v>
      </c>
      <c r="D1549" s="43" t="s">
        <v>29</v>
      </c>
      <c r="E1549" s="46">
        <v>2412</v>
      </c>
      <c r="F1549" s="2">
        <f>IF(C1549="GBP",E1549*$C$3,IF(C1549="TRY",E1549/$C$1,IF(C1549="EUR",E1549*$E$1,IF(C1549="RUB",E1549/#REF!,IF(C1549="EGP",E1549/$E$2,E1549)))))</f>
        <v>66.142172764890901</v>
      </c>
      <c r="G1549" s="15" t="str">
        <f>VLOOKUP(B1549,SPECIFICATIONF!$C$2:$D$65,2,0)</f>
        <v>GLOBAL RETAIL</v>
      </c>
      <c r="H1549" s="12">
        <f t="shared" si="58"/>
        <v>8</v>
      </c>
      <c r="I1549" s="12">
        <f t="shared" si="59"/>
        <v>2025</v>
      </c>
    </row>
    <row r="1550" spans="1:9" ht="19.5" customHeight="1" x14ac:dyDescent="0.35">
      <c r="A1550" s="41">
        <v>45894</v>
      </c>
      <c r="B1550" s="8" t="s">
        <v>24</v>
      </c>
      <c r="C1550" s="42" t="s">
        <v>33</v>
      </c>
      <c r="D1550" s="43" t="s">
        <v>29</v>
      </c>
      <c r="E1550" s="46">
        <v>113</v>
      </c>
      <c r="F1550" s="2">
        <f>IF(C1550="GBP",E1550*$C$3,IF(C1550="TRY",E1550/$C$1,IF(C1550="EUR",E1550*$E$1,IF(C1550="RUB",E1550/#REF!,IF(C1550="EGP",E1550/$E$2,E1550)))))</f>
        <v>113</v>
      </c>
      <c r="G1550" s="15" t="str">
        <f>VLOOKUP(B1550,SPECIFICATIONF!$C$2:$D$65,2,0)</f>
        <v>GLOBAL RETAIL</v>
      </c>
      <c r="H1550" s="12">
        <f t="shared" si="58"/>
        <v>8</v>
      </c>
      <c r="I1550" s="12">
        <f t="shared" si="59"/>
        <v>2025</v>
      </c>
    </row>
    <row r="1551" spans="1:9" ht="19.5" customHeight="1" x14ac:dyDescent="0.35">
      <c r="A1551" s="41">
        <v>45895</v>
      </c>
      <c r="B1551" s="8" t="s">
        <v>32</v>
      </c>
      <c r="C1551" s="42" t="s">
        <v>11</v>
      </c>
      <c r="D1551" s="43" t="s">
        <v>30</v>
      </c>
      <c r="E1551" s="46">
        <v>1597608.13</v>
      </c>
      <c r="F1551" s="2">
        <f>IF(C1551="GBP",E1551*$C$3,IF(C1551="TRY",E1551/$C$1,IF(C1551="EUR",E1551*$E$1,IF(C1551="RUB",E1551/#REF!,IF(C1551="EGP",E1551/$E$2,E1551)))))</f>
        <v>43809.814653836758</v>
      </c>
      <c r="G1551" s="15" t="str">
        <f>VLOOKUP(B1551,SPECIFICATIONF!$C$2:$D$65,2,0)</f>
        <v>GLOBAL HFT</v>
      </c>
      <c r="H1551" s="12">
        <f t="shared" si="58"/>
        <v>8</v>
      </c>
      <c r="I1551" s="12">
        <f t="shared" si="59"/>
        <v>2025</v>
      </c>
    </row>
    <row r="1552" spans="1:9" ht="19.5" customHeight="1" x14ac:dyDescent="0.35">
      <c r="A1552" s="41">
        <v>45895</v>
      </c>
      <c r="B1552" s="8" t="s">
        <v>32</v>
      </c>
      <c r="C1552" s="42" t="s">
        <v>33</v>
      </c>
      <c r="D1552" s="43" t="s">
        <v>30</v>
      </c>
      <c r="E1552" s="46">
        <v>10773.78</v>
      </c>
      <c r="F1552" s="2">
        <f>IF(C1552="GBP",E1552*$C$3,IF(C1552="TRY",E1552/$C$1,IF(C1552="EUR",E1552*$E$1,IF(C1552="RUB",E1552/#REF!,IF(C1552="EGP",E1552/$E$2,E1552)))))</f>
        <v>10773.78</v>
      </c>
      <c r="G1552" s="15" t="str">
        <f>VLOOKUP(B1552,SPECIFICATIONF!$C$2:$D$65,2,0)</f>
        <v>GLOBAL HFT</v>
      </c>
      <c r="H1552" s="12">
        <f t="shared" si="58"/>
        <v>8</v>
      </c>
      <c r="I1552" s="12">
        <f t="shared" si="59"/>
        <v>2025</v>
      </c>
    </row>
    <row r="1553" spans="1:9" ht="19.5" customHeight="1" x14ac:dyDescent="0.35">
      <c r="A1553" s="41">
        <v>45895</v>
      </c>
      <c r="B1553" s="8" t="s">
        <v>32</v>
      </c>
      <c r="C1553" s="42" t="s">
        <v>11</v>
      </c>
      <c r="D1553" s="43" t="s">
        <v>29</v>
      </c>
      <c r="E1553" s="46">
        <v>6170589487</v>
      </c>
      <c r="F1553" s="2">
        <f>IF(C1553="GBP",E1553*$C$3,IF(C1553="TRY",E1553/$C$1,IF(C1553="EUR",E1553*$E$1,IF(C1553="RUB",E1553/#REF!,IF(C1553="EGP",E1553/$E$2,E1553)))))</f>
        <v>169210694.82187957</v>
      </c>
      <c r="G1553" s="15" t="str">
        <f>VLOOKUP(B1553,SPECIFICATIONF!$C$2:$D$65,2,0)</f>
        <v>GLOBAL HFT</v>
      </c>
      <c r="H1553" s="12">
        <f t="shared" si="58"/>
        <v>8</v>
      </c>
      <c r="I1553" s="12">
        <f t="shared" si="59"/>
        <v>2025</v>
      </c>
    </row>
    <row r="1554" spans="1:9" ht="19.5" customHeight="1" x14ac:dyDescent="0.35">
      <c r="A1554" s="41">
        <v>45895</v>
      </c>
      <c r="B1554" s="8" t="s">
        <v>32</v>
      </c>
      <c r="C1554" s="42" t="s">
        <v>33</v>
      </c>
      <c r="D1554" s="43" t="s">
        <v>29</v>
      </c>
      <c r="E1554" s="46">
        <v>37686691</v>
      </c>
      <c r="F1554" s="2">
        <f>IF(C1554="GBP",E1554*$C$3,IF(C1554="TRY",E1554/$C$1,IF(C1554="EUR",E1554*$E$1,IF(C1554="RUB",E1554/#REF!,IF(C1554="EGP",E1554/$E$2,E1554)))))</f>
        <v>37686691</v>
      </c>
      <c r="G1554" s="15" t="str">
        <f>VLOOKUP(B1554,SPECIFICATIONF!$C$2:$D$65,2,0)</f>
        <v>GLOBAL HFT</v>
      </c>
      <c r="H1554" s="12">
        <f t="shared" si="58"/>
        <v>8</v>
      </c>
      <c r="I1554" s="12">
        <f t="shared" si="59"/>
        <v>2025</v>
      </c>
    </row>
    <row r="1555" spans="1:9" ht="19.5" customHeight="1" x14ac:dyDescent="0.35">
      <c r="A1555" s="41">
        <v>45895</v>
      </c>
      <c r="B1555" s="8" t="s">
        <v>24</v>
      </c>
      <c r="C1555" s="42" t="s">
        <v>11</v>
      </c>
      <c r="D1555" s="43" t="s">
        <v>30</v>
      </c>
      <c r="E1555" s="46">
        <v>0</v>
      </c>
      <c r="F1555" s="2">
        <f>IF(C1555="GBP",E1555*$C$3,IF(C1555="TRY",E1555/$C$1,IF(C1555="EUR",E1555*$E$1,IF(C1555="RUB",E1555/#REF!,IF(C1555="EGP",E1555/$E$2,E1555)))))</f>
        <v>0</v>
      </c>
      <c r="G1555" s="15" t="str">
        <f>VLOOKUP(B1555,SPECIFICATIONF!$C$2:$D$65,2,0)</f>
        <v>GLOBAL RETAIL</v>
      </c>
      <c r="H1555" s="12">
        <f t="shared" si="58"/>
        <v>8</v>
      </c>
      <c r="I1555" s="12">
        <f t="shared" si="59"/>
        <v>2025</v>
      </c>
    </row>
    <row r="1556" spans="1:9" ht="19.5" customHeight="1" x14ac:dyDescent="0.35">
      <c r="A1556" s="41">
        <v>45895</v>
      </c>
      <c r="B1556" s="8" t="s">
        <v>24</v>
      </c>
      <c r="C1556" s="42" t="s">
        <v>33</v>
      </c>
      <c r="D1556" s="43" t="s">
        <v>30</v>
      </c>
      <c r="E1556" s="46">
        <v>0</v>
      </c>
      <c r="F1556" s="2">
        <f>IF(C1556="GBP",E1556*$C$3,IF(C1556="TRY",E1556/$C$1,IF(C1556="EUR",E1556*$E$1,IF(C1556="RUB",E1556/#REF!,IF(C1556="EGP",E1556/$E$2,E1556)))))</f>
        <v>0</v>
      </c>
      <c r="G1556" s="15" t="str">
        <f>VLOOKUP(B1556,SPECIFICATIONF!$C$2:$D$65,2,0)</f>
        <v>GLOBAL RETAIL</v>
      </c>
      <c r="H1556" s="12">
        <f t="shared" si="58"/>
        <v>8</v>
      </c>
      <c r="I1556" s="12">
        <f t="shared" si="59"/>
        <v>2025</v>
      </c>
    </row>
    <row r="1557" spans="1:9" ht="19.5" customHeight="1" x14ac:dyDescent="0.35">
      <c r="A1557" s="41">
        <v>45895</v>
      </c>
      <c r="B1557" s="8" t="s">
        <v>24</v>
      </c>
      <c r="C1557" s="42" t="s">
        <v>11</v>
      </c>
      <c r="D1557" s="43" t="s">
        <v>29</v>
      </c>
      <c r="E1557" s="46">
        <v>0</v>
      </c>
      <c r="F1557" s="2">
        <f>IF(C1557="GBP",E1557*$C$3,IF(C1557="TRY",E1557/$C$1,IF(C1557="EUR",E1557*$E$1,IF(C1557="RUB",E1557/#REF!,IF(C1557="EGP",E1557/$E$2,E1557)))))</f>
        <v>0</v>
      </c>
      <c r="G1557" s="15" t="str">
        <f>VLOOKUP(B1557,SPECIFICATIONF!$C$2:$D$65,2,0)</f>
        <v>GLOBAL RETAIL</v>
      </c>
      <c r="H1557" s="12">
        <f t="shared" si="58"/>
        <v>8</v>
      </c>
      <c r="I1557" s="12">
        <f t="shared" si="59"/>
        <v>2025</v>
      </c>
    </row>
    <row r="1558" spans="1:9" ht="19.5" customHeight="1" x14ac:dyDescent="0.35">
      <c r="A1558" s="41">
        <v>45895</v>
      </c>
      <c r="B1558" s="8" t="s">
        <v>24</v>
      </c>
      <c r="C1558" s="42" t="s">
        <v>33</v>
      </c>
      <c r="D1558" s="43" t="s">
        <v>29</v>
      </c>
      <c r="E1558" s="46">
        <v>0</v>
      </c>
      <c r="F1558" s="2">
        <f>IF(C1558="GBP",E1558*$C$3,IF(C1558="TRY",E1558/$C$1,IF(C1558="EUR",E1558*$E$1,IF(C1558="RUB",E1558/#REF!,IF(C1558="EGP",E1558/$E$2,E1558)))))</f>
        <v>0</v>
      </c>
      <c r="G1558" s="15" t="str">
        <f>VLOOKUP(B1558,SPECIFICATIONF!$C$2:$D$65,2,0)</f>
        <v>GLOBAL RETAIL</v>
      </c>
      <c r="H1558" s="12">
        <f t="shared" si="58"/>
        <v>8</v>
      </c>
      <c r="I1558" s="12">
        <f t="shared" si="59"/>
        <v>2025</v>
      </c>
    </row>
    <row r="1559" spans="1:9" ht="19.5" customHeight="1" x14ac:dyDescent="0.35">
      <c r="A1559" s="41">
        <v>45896</v>
      </c>
      <c r="B1559" s="8" t="s">
        <v>32</v>
      </c>
      <c r="C1559" s="42" t="s">
        <v>11</v>
      </c>
      <c r="D1559" s="43" t="s">
        <v>30</v>
      </c>
      <c r="E1559" s="51">
        <v>2481043.13</v>
      </c>
      <c r="F1559" s="2">
        <f>IF(C1559="GBP",E1559*$C$3,IF(C1559="TRY",E1559/$C$1,IF(C1559="EUR",E1559*$E$1,IF(C1559="RUB",E1559/#REF!,IF(C1559="EGP",E1559/$E$2,E1559)))))</f>
        <v>68035.482314098525</v>
      </c>
      <c r="G1559" s="15" t="str">
        <f>VLOOKUP(B1559,SPECIFICATIONF!$C$2:$D$65,2,0)</f>
        <v>GLOBAL HFT</v>
      </c>
      <c r="H1559" s="12">
        <f t="shared" si="58"/>
        <v>8</v>
      </c>
      <c r="I1559" s="12">
        <f t="shared" si="59"/>
        <v>2025</v>
      </c>
    </row>
    <row r="1560" spans="1:9" ht="19.5" customHeight="1" x14ac:dyDescent="0.35">
      <c r="A1560" s="41">
        <v>45896</v>
      </c>
      <c r="B1560" s="8" t="s">
        <v>32</v>
      </c>
      <c r="C1560" s="42" t="s">
        <v>33</v>
      </c>
      <c r="D1560" s="43" t="s">
        <v>30</v>
      </c>
      <c r="E1560" s="51">
        <v>12016.61</v>
      </c>
      <c r="F1560" s="2">
        <f>IF(C1560="GBP",E1560*$C$3,IF(C1560="TRY",E1560/$C$1,IF(C1560="EUR",E1560*$E$1,IF(C1560="RUB",E1560/#REF!,IF(C1560="EGP",E1560/$E$2,E1560)))))</f>
        <v>12016.61</v>
      </c>
      <c r="G1560" s="15" t="str">
        <f>VLOOKUP(B1560,SPECIFICATIONF!$C$2:$D$65,2,0)</f>
        <v>GLOBAL HFT</v>
      </c>
      <c r="H1560" s="12">
        <f t="shared" si="58"/>
        <v>8</v>
      </c>
      <c r="I1560" s="12">
        <f t="shared" si="59"/>
        <v>2025</v>
      </c>
    </row>
    <row r="1561" spans="1:9" ht="19.5" customHeight="1" x14ac:dyDescent="0.35">
      <c r="A1561" s="41">
        <v>45896</v>
      </c>
      <c r="B1561" s="8" t="s">
        <v>32</v>
      </c>
      <c r="C1561" s="42" t="s">
        <v>11</v>
      </c>
      <c r="D1561" s="43" t="s">
        <v>29</v>
      </c>
      <c r="E1561" s="46">
        <v>8942481065</v>
      </c>
      <c r="F1561" s="2">
        <f>IF(C1561="GBP",E1561*$C$3,IF(C1561="TRY",E1561/$C$1,IF(C1561="EUR",E1561*$E$1,IF(C1561="RUB",E1561/#REF!,IF(C1561="EGP",E1561/$E$2,E1561)))))</f>
        <v>245221860.50911921</v>
      </c>
      <c r="G1561" s="15" t="str">
        <f>VLOOKUP(B1561,SPECIFICATIONF!$C$2:$D$65,2,0)</f>
        <v>GLOBAL HFT</v>
      </c>
      <c r="H1561" s="12">
        <f t="shared" si="58"/>
        <v>8</v>
      </c>
      <c r="I1561" s="12">
        <f t="shared" si="59"/>
        <v>2025</v>
      </c>
    </row>
    <row r="1562" spans="1:9" ht="19.5" customHeight="1" x14ac:dyDescent="0.35">
      <c r="A1562" s="41">
        <v>45896</v>
      </c>
      <c r="B1562" s="8" t="s">
        <v>32</v>
      </c>
      <c r="C1562" s="42" t="s">
        <v>33</v>
      </c>
      <c r="D1562" s="43" t="s">
        <v>29</v>
      </c>
      <c r="E1562" s="46">
        <v>40048309</v>
      </c>
      <c r="F1562" s="2">
        <f>IF(C1562="GBP",E1562*$C$3,IF(C1562="TRY",E1562/$C$1,IF(C1562="EUR",E1562*$E$1,IF(C1562="RUB",E1562/#REF!,IF(C1562="EGP",E1562/$E$2,E1562)))))</f>
        <v>40048309</v>
      </c>
      <c r="G1562" s="15" t="str">
        <f>VLOOKUP(B1562,SPECIFICATIONF!$C$2:$D$65,2,0)</f>
        <v>GLOBAL HFT</v>
      </c>
      <c r="H1562" s="12">
        <f t="shared" si="58"/>
        <v>8</v>
      </c>
      <c r="I1562" s="12">
        <f t="shared" si="59"/>
        <v>2025</v>
      </c>
    </row>
    <row r="1563" spans="1:9" ht="19.5" customHeight="1" x14ac:dyDescent="0.35">
      <c r="A1563" s="41">
        <v>45896</v>
      </c>
      <c r="B1563" s="8" t="s">
        <v>24</v>
      </c>
      <c r="C1563" s="42" t="s">
        <v>11</v>
      </c>
      <c r="D1563" s="43" t="s">
        <v>30</v>
      </c>
      <c r="E1563" s="51">
        <v>1707.08</v>
      </c>
      <c r="F1563" s="2">
        <f>IF(C1563="GBP",E1563*$C$3,IF(C1563="TRY",E1563/$C$1,IF(C1563="EUR",E1563*$E$1,IF(C1563="RUB",E1563/#REF!,IF(C1563="EGP",E1563/$E$2,E1563)))))</f>
        <v>46.811766286687373</v>
      </c>
      <c r="G1563" s="15" t="str">
        <f>VLOOKUP(B1563,SPECIFICATIONF!$C$2:$D$65,2,0)</f>
        <v>GLOBAL RETAIL</v>
      </c>
      <c r="H1563" s="12">
        <f t="shared" si="58"/>
        <v>8</v>
      </c>
      <c r="I1563" s="12">
        <f t="shared" si="59"/>
        <v>2025</v>
      </c>
    </row>
    <row r="1564" spans="1:9" ht="19.5" customHeight="1" x14ac:dyDescent="0.35">
      <c r="A1564" s="41">
        <v>45896</v>
      </c>
      <c r="B1564" s="8" t="s">
        <v>24</v>
      </c>
      <c r="C1564" s="42" t="s">
        <v>33</v>
      </c>
      <c r="D1564" s="43" t="s">
        <v>30</v>
      </c>
      <c r="E1564" s="46">
        <v>0</v>
      </c>
      <c r="F1564" s="2">
        <f>IF(C1564="GBP",E1564*$C$3,IF(C1564="TRY",E1564/$C$1,IF(C1564="EUR",E1564*$E$1,IF(C1564="RUB",E1564/#REF!,IF(C1564="EGP",E1564/$E$2,E1564)))))</f>
        <v>0</v>
      </c>
      <c r="G1564" s="15" t="str">
        <f>VLOOKUP(B1564,SPECIFICATIONF!$C$2:$D$65,2,0)</f>
        <v>GLOBAL RETAIL</v>
      </c>
      <c r="H1564" s="12">
        <f t="shared" si="58"/>
        <v>8</v>
      </c>
      <c r="I1564" s="12">
        <f t="shared" si="59"/>
        <v>2025</v>
      </c>
    </row>
    <row r="1565" spans="1:9" ht="19.5" customHeight="1" x14ac:dyDescent="0.35">
      <c r="A1565" s="41">
        <v>45896</v>
      </c>
      <c r="B1565" s="8" t="s">
        <v>24</v>
      </c>
      <c r="C1565" s="42" t="s">
        <v>11</v>
      </c>
      <c r="D1565" s="43" t="s">
        <v>29</v>
      </c>
      <c r="E1565" s="46">
        <v>1613924</v>
      </c>
      <c r="F1565" s="2">
        <f>IF(C1565="GBP",E1565*$C$3,IF(C1565="TRY",E1565/$C$1,IF(C1565="EUR",E1565*$E$1,IF(C1565="RUB",E1565/#REF!,IF(C1565="EGP",E1565/$E$2,E1565)))))</f>
        <v>44257.230529603556</v>
      </c>
      <c r="G1565" s="15" t="str">
        <f>VLOOKUP(B1565,SPECIFICATIONF!$C$2:$D$65,2,0)</f>
        <v>GLOBAL RETAIL</v>
      </c>
      <c r="H1565" s="12">
        <f t="shared" si="58"/>
        <v>8</v>
      </c>
      <c r="I1565" s="12">
        <f t="shared" si="59"/>
        <v>2025</v>
      </c>
    </row>
    <row r="1566" spans="1:9" ht="19.5" customHeight="1" x14ac:dyDescent="0.35">
      <c r="A1566" s="41">
        <v>45896</v>
      </c>
      <c r="B1566" s="8" t="s">
        <v>24</v>
      </c>
      <c r="C1566" s="42" t="s">
        <v>33</v>
      </c>
      <c r="D1566" s="43" t="s">
        <v>29</v>
      </c>
      <c r="E1566" s="46">
        <v>0</v>
      </c>
      <c r="F1566" s="2">
        <f>IF(C1566="GBP",E1566*$C$3,IF(C1566="TRY",E1566/$C$1,IF(C1566="EUR",E1566*$E$1,IF(C1566="RUB",E1566/#REF!,IF(C1566="EGP",E1566/$E$2,E1566)))))</f>
        <v>0</v>
      </c>
      <c r="G1566" s="15" t="str">
        <f>VLOOKUP(B1566,SPECIFICATIONF!$C$2:$D$65,2,0)</f>
        <v>GLOBAL RETAIL</v>
      </c>
      <c r="H1566" s="12">
        <f t="shared" si="58"/>
        <v>8</v>
      </c>
      <c r="I1566" s="12">
        <f t="shared" si="59"/>
        <v>2025</v>
      </c>
    </row>
    <row r="1567" spans="1:9" ht="19.5" customHeight="1" x14ac:dyDescent="0.35">
      <c r="A1567" s="41">
        <v>45897</v>
      </c>
      <c r="B1567" s="8" t="s">
        <v>32</v>
      </c>
      <c r="C1567" s="42" t="s">
        <v>11</v>
      </c>
      <c r="D1567" s="43" t="s">
        <v>30</v>
      </c>
      <c r="E1567" s="46">
        <v>2687051.29</v>
      </c>
      <c r="F1567" s="2">
        <f>IF(C1567="GBP",E1567*$C$3,IF(C1567="TRY",E1567/$C$1,IF(C1567="EUR",E1567*$E$1,IF(C1567="RUB",E1567/#REF!,IF(C1567="EGP",E1567/$E$2,E1567)))))</f>
        <v>73684.664449130578</v>
      </c>
      <c r="G1567" s="15" t="str">
        <f>VLOOKUP(B1567,SPECIFICATIONF!$C$2:$D$65,2,0)</f>
        <v>GLOBAL HFT</v>
      </c>
      <c r="H1567" s="12">
        <f t="shared" si="58"/>
        <v>8</v>
      </c>
      <c r="I1567" s="12">
        <f t="shared" si="59"/>
        <v>2025</v>
      </c>
    </row>
    <row r="1568" spans="1:9" ht="19.5" customHeight="1" x14ac:dyDescent="0.35">
      <c r="A1568" s="41">
        <v>45897</v>
      </c>
      <c r="B1568" s="8" t="s">
        <v>32</v>
      </c>
      <c r="C1568" s="42" t="s">
        <v>33</v>
      </c>
      <c r="D1568" s="43" t="s">
        <v>30</v>
      </c>
      <c r="E1568" s="46">
        <v>12866.95</v>
      </c>
      <c r="F1568" s="2">
        <f>IF(C1568="GBP",E1568*$C$3,IF(C1568="TRY",E1568/$C$1,IF(C1568="EUR",E1568*$E$1,IF(C1568="RUB",E1568/#REF!,IF(C1568="EGP",E1568/$E$2,E1568)))))</f>
        <v>12866.95</v>
      </c>
      <c r="G1568" s="15" t="str">
        <f>VLOOKUP(B1568,SPECIFICATIONF!$C$2:$D$65,2,0)</f>
        <v>GLOBAL HFT</v>
      </c>
      <c r="H1568" s="12">
        <f t="shared" si="58"/>
        <v>8</v>
      </c>
      <c r="I1568" s="12">
        <f t="shared" si="59"/>
        <v>2025</v>
      </c>
    </row>
    <row r="1569" spans="1:9" ht="19.5" customHeight="1" x14ac:dyDescent="0.35">
      <c r="A1569" s="41">
        <v>45897</v>
      </c>
      <c r="B1569" s="8" t="s">
        <v>32</v>
      </c>
      <c r="C1569" s="42" t="s">
        <v>11</v>
      </c>
      <c r="D1569" s="43" t="s">
        <v>29</v>
      </c>
      <c r="E1569" s="46">
        <v>9809957378</v>
      </c>
      <c r="F1569" s="2">
        <f>IF(C1569="GBP",E1569*$C$3,IF(C1569="TRY",E1569/$C$1,IF(C1569="EUR",E1569*$E$1,IF(C1569="RUB",E1569/#REF!,IF(C1569="EGP",E1569/$E$2,E1569)))))</f>
        <v>269009907.0115639</v>
      </c>
      <c r="G1569" s="15" t="str">
        <f>VLOOKUP(B1569,SPECIFICATIONF!$C$2:$D$65,2,0)</f>
        <v>GLOBAL HFT</v>
      </c>
      <c r="H1569" s="12">
        <f t="shared" si="58"/>
        <v>8</v>
      </c>
      <c r="I1569" s="12">
        <f t="shared" si="59"/>
        <v>2025</v>
      </c>
    </row>
    <row r="1570" spans="1:9" ht="19.5" customHeight="1" x14ac:dyDescent="0.35">
      <c r="A1570" s="41">
        <v>45897</v>
      </c>
      <c r="B1570" s="8" t="s">
        <v>32</v>
      </c>
      <c r="C1570" s="42" t="s">
        <v>33</v>
      </c>
      <c r="D1570" s="43" t="s">
        <v>29</v>
      </c>
      <c r="E1570" s="46">
        <v>43612114</v>
      </c>
      <c r="F1570" s="2">
        <f>IF(C1570="GBP",E1570*$C$3,IF(C1570="TRY",E1570/$C$1,IF(C1570="EUR",E1570*$E$1,IF(C1570="RUB",E1570/#REF!,IF(C1570="EGP",E1570/$E$2,E1570)))))</f>
        <v>43612114</v>
      </c>
      <c r="G1570" s="15" t="str">
        <f>VLOOKUP(B1570,SPECIFICATIONF!$C$2:$D$65,2,0)</f>
        <v>GLOBAL HFT</v>
      </c>
      <c r="H1570" s="12">
        <f t="shared" si="58"/>
        <v>8</v>
      </c>
      <c r="I1570" s="12">
        <f t="shared" si="59"/>
        <v>2025</v>
      </c>
    </row>
    <row r="1571" spans="1:9" ht="19.5" customHeight="1" x14ac:dyDescent="0.35">
      <c r="A1571" s="41">
        <v>45897</v>
      </c>
      <c r="B1571" s="8" t="s">
        <v>24</v>
      </c>
      <c r="C1571" s="42" t="s">
        <v>11</v>
      </c>
      <c r="D1571" s="43" t="s">
        <v>30</v>
      </c>
      <c r="E1571" s="46">
        <v>2305.02</v>
      </c>
      <c r="F1571" s="2">
        <f>IF(C1571="GBP",E1571*$C$3,IF(C1571="TRY",E1571/$C$1,IF(C1571="EUR",E1571*$E$1,IF(C1571="RUB",E1571/#REF!,IF(C1571="EGP",E1571/$E$2,E1571)))))</f>
        <v>63.208553510169494</v>
      </c>
      <c r="G1571" s="15" t="str">
        <f>VLOOKUP(B1571,SPECIFICATIONF!$C$2:$D$65,2,0)</f>
        <v>GLOBAL RETAIL</v>
      </c>
      <c r="H1571" s="12">
        <f t="shared" si="58"/>
        <v>8</v>
      </c>
      <c r="I1571" s="12">
        <f t="shared" si="59"/>
        <v>2025</v>
      </c>
    </row>
    <row r="1572" spans="1:9" ht="19.5" customHeight="1" x14ac:dyDescent="0.35">
      <c r="A1572" s="41">
        <v>45897</v>
      </c>
      <c r="B1572" s="8" t="s">
        <v>24</v>
      </c>
      <c r="C1572" s="42" t="s">
        <v>33</v>
      </c>
      <c r="D1572" s="43" t="s">
        <v>30</v>
      </c>
      <c r="E1572" s="46">
        <v>0</v>
      </c>
      <c r="F1572" s="2">
        <f>IF(C1572="GBP",E1572*$C$3,IF(C1572="TRY",E1572/$C$1,IF(C1572="EUR",E1572*$E$1,IF(C1572="RUB",E1572/#REF!,IF(C1572="EGP",E1572/$E$2,E1572)))))</f>
        <v>0</v>
      </c>
      <c r="G1572" s="15" t="str">
        <f>VLOOKUP(B1572,SPECIFICATIONF!$C$2:$D$65,2,0)</f>
        <v>GLOBAL RETAIL</v>
      </c>
      <c r="H1572" s="12">
        <f t="shared" si="58"/>
        <v>8</v>
      </c>
      <c r="I1572" s="12">
        <f t="shared" si="59"/>
        <v>2025</v>
      </c>
    </row>
    <row r="1573" spans="1:9" ht="19.5" customHeight="1" x14ac:dyDescent="0.35">
      <c r="A1573" s="41">
        <v>45897</v>
      </c>
      <c r="B1573" s="8" t="s">
        <v>24</v>
      </c>
      <c r="C1573" s="42" t="s">
        <v>11</v>
      </c>
      <c r="D1573" s="43" t="s">
        <v>29</v>
      </c>
      <c r="E1573" s="46">
        <v>2540873</v>
      </c>
      <c r="F1573" s="2">
        <f>IF(C1573="GBP",E1573*$C$3,IF(C1573="TRY",E1573/$C$1,IF(C1573="EUR",E1573*$E$1,IF(C1573="RUB",E1573/#REF!,IF(C1573="EGP",E1573/$E$2,E1573)))))</f>
        <v>69676.144668178531</v>
      </c>
      <c r="G1573" s="15" t="str">
        <f>VLOOKUP(B1573,SPECIFICATIONF!$C$2:$D$65,2,0)</f>
        <v>GLOBAL RETAIL</v>
      </c>
      <c r="H1573" s="12">
        <f t="shared" si="58"/>
        <v>8</v>
      </c>
      <c r="I1573" s="12">
        <f t="shared" si="59"/>
        <v>2025</v>
      </c>
    </row>
    <row r="1574" spans="1:9" ht="19.5" customHeight="1" x14ac:dyDescent="0.35">
      <c r="A1574" s="41">
        <v>45897</v>
      </c>
      <c r="B1574" s="8" t="s">
        <v>24</v>
      </c>
      <c r="C1574" s="42" t="s">
        <v>33</v>
      </c>
      <c r="D1574" s="43" t="s">
        <v>29</v>
      </c>
      <c r="E1574" s="46">
        <v>0</v>
      </c>
      <c r="F1574" s="2">
        <f>IF(C1574="GBP",E1574*$C$3,IF(C1574="TRY",E1574/$C$1,IF(C1574="EUR",E1574*$E$1,IF(C1574="RUB",E1574/#REF!,IF(C1574="EGP",E1574/$E$2,E1574)))))</f>
        <v>0</v>
      </c>
      <c r="G1574" s="15" t="str">
        <f>VLOOKUP(B1574,SPECIFICATIONF!$C$2:$D$65,2,0)</f>
        <v>GLOBAL RETAIL</v>
      </c>
      <c r="H1574" s="12">
        <f t="shared" ref="H1574:H1637" si="60">MONTH(A1574)</f>
        <v>8</v>
      </c>
      <c r="I1574" s="12">
        <f t="shared" ref="I1574:I1637" si="61">YEAR(A1574)</f>
        <v>2025</v>
      </c>
    </row>
    <row r="1575" spans="1:9" ht="19.5" customHeight="1" x14ac:dyDescent="0.35">
      <c r="A1575" s="41">
        <v>45898</v>
      </c>
      <c r="B1575" s="8" t="s">
        <v>32</v>
      </c>
      <c r="C1575" s="42" t="s">
        <v>11</v>
      </c>
      <c r="D1575" s="43" t="s">
        <v>30</v>
      </c>
      <c r="E1575" s="46">
        <v>2564071.09</v>
      </c>
      <c r="F1575" s="2">
        <f>IF(C1575="GBP",E1575*$C$3,IF(C1575="TRY",E1575/$C$1,IF(C1575="EUR",E1575*$E$1,IF(C1575="RUB",E1575/#REF!,IF(C1575="EGP",E1575/$E$2,E1575)))))</f>
        <v>70312.285661791917</v>
      </c>
      <c r="G1575" s="15" t="str">
        <f>VLOOKUP(B1575,SPECIFICATIONF!$C$2:$D$65,2,0)</f>
        <v>GLOBAL HFT</v>
      </c>
      <c r="H1575" s="12">
        <f t="shared" si="60"/>
        <v>8</v>
      </c>
      <c r="I1575" s="12">
        <f t="shared" si="61"/>
        <v>2025</v>
      </c>
    </row>
    <row r="1576" spans="1:9" ht="19.5" customHeight="1" x14ac:dyDescent="0.35">
      <c r="A1576" s="41">
        <v>45898</v>
      </c>
      <c r="B1576" s="8" t="s">
        <v>32</v>
      </c>
      <c r="C1576" s="42" t="s">
        <v>33</v>
      </c>
      <c r="D1576" s="43" t="s">
        <v>30</v>
      </c>
      <c r="E1576" s="46">
        <v>18443.849999999999</v>
      </c>
      <c r="F1576" s="2">
        <f>IF(C1576="GBP",E1576*$C$3,IF(C1576="TRY",E1576/$C$1,IF(C1576="EUR",E1576*$E$1,IF(C1576="RUB",E1576/#REF!,IF(C1576="EGP",E1576/$E$2,E1576)))))</f>
        <v>18443.849999999999</v>
      </c>
      <c r="G1576" s="15" t="str">
        <f>VLOOKUP(B1576,SPECIFICATIONF!$C$2:$D$65,2,0)</f>
        <v>GLOBAL HFT</v>
      </c>
      <c r="H1576" s="12">
        <f t="shared" si="60"/>
        <v>8</v>
      </c>
      <c r="I1576" s="12">
        <f t="shared" si="61"/>
        <v>2025</v>
      </c>
    </row>
    <row r="1577" spans="1:9" ht="19.5" customHeight="1" x14ac:dyDescent="0.35">
      <c r="A1577" s="41">
        <v>45898</v>
      </c>
      <c r="B1577" s="8" t="s">
        <v>32</v>
      </c>
      <c r="C1577" s="42" t="s">
        <v>11</v>
      </c>
      <c r="D1577" s="43" t="s">
        <v>29</v>
      </c>
      <c r="E1577" s="46">
        <v>9805244174</v>
      </c>
      <c r="F1577" s="2">
        <f>IF(C1577="GBP",E1577*$C$3,IF(C1577="TRY",E1577/$C$1,IF(C1577="EUR",E1577*$E$1,IF(C1577="RUB",E1577/#REF!,IF(C1577="EGP",E1577/$E$2,E1577)))))</f>
        <v>268880660.92812932</v>
      </c>
      <c r="G1577" s="15" t="str">
        <f>VLOOKUP(B1577,SPECIFICATIONF!$C$2:$D$65,2,0)</f>
        <v>GLOBAL HFT</v>
      </c>
      <c r="H1577" s="12">
        <f t="shared" si="60"/>
        <v>8</v>
      </c>
      <c r="I1577" s="12">
        <f t="shared" si="61"/>
        <v>2025</v>
      </c>
    </row>
    <row r="1578" spans="1:9" ht="19.5" customHeight="1" x14ac:dyDescent="0.35">
      <c r="A1578" s="41">
        <v>45898</v>
      </c>
      <c r="B1578" s="8" t="s">
        <v>32</v>
      </c>
      <c r="C1578" s="42" t="s">
        <v>33</v>
      </c>
      <c r="D1578" s="43" t="s">
        <v>29</v>
      </c>
      <c r="E1578" s="46">
        <v>68481796</v>
      </c>
      <c r="F1578" s="2">
        <f>IF(C1578="GBP",E1578*$C$3,IF(C1578="TRY",E1578/$C$1,IF(C1578="EUR",E1578*$E$1,IF(C1578="RUB",E1578/#REF!,IF(C1578="EGP",E1578/$E$2,E1578)))))</f>
        <v>68481796</v>
      </c>
      <c r="G1578" s="15" t="str">
        <f>VLOOKUP(B1578,SPECIFICATIONF!$C$2:$D$65,2,0)</f>
        <v>GLOBAL HFT</v>
      </c>
      <c r="H1578" s="12">
        <f t="shared" si="60"/>
        <v>8</v>
      </c>
      <c r="I1578" s="12">
        <f t="shared" si="61"/>
        <v>2025</v>
      </c>
    </row>
    <row r="1579" spans="1:9" ht="19.5" customHeight="1" x14ac:dyDescent="0.35">
      <c r="A1579" s="41">
        <v>45898</v>
      </c>
      <c r="B1579" s="8" t="s">
        <v>24</v>
      </c>
      <c r="C1579" s="42" t="s">
        <v>11</v>
      </c>
      <c r="D1579" s="43" t="s">
        <v>30</v>
      </c>
      <c r="E1579" s="46">
        <v>0</v>
      </c>
      <c r="F1579" s="2">
        <f>IF(C1579="GBP",E1579*$C$3,IF(C1579="TRY",E1579/$C$1,IF(C1579="EUR",E1579*$E$1,IF(C1579="RUB",E1579/#REF!,IF(C1579="EGP",E1579/$E$2,E1579)))))</f>
        <v>0</v>
      </c>
      <c r="G1579" s="15" t="str">
        <f>VLOOKUP(B1579,SPECIFICATIONF!$C$2:$D$65,2,0)</f>
        <v>GLOBAL RETAIL</v>
      </c>
      <c r="H1579" s="12">
        <f t="shared" si="60"/>
        <v>8</v>
      </c>
      <c r="I1579" s="12">
        <f t="shared" si="61"/>
        <v>2025</v>
      </c>
    </row>
    <row r="1580" spans="1:9" ht="19.5" customHeight="1" x14ac:dyDescent="0.35">
      <c r="A1580" s="41">
        <v>45898</v>
      </c>
      <c r="B1580" s="8" t="s">
        <v>24</v>
      </c>
      <c r="C1580" s="42" t="s">
        <v>33</v>
      </c>
      <c r="D1580" s="43" t="s">
        <v>30</v>
      </c>
      <c r="E1580" s="46">
        <v>0.01</v>
      </c>
      <c r="F1580" s="2">
        <f>IF(C1580="GBP",E1580*$C$3,IF(C1580="TRY",E1580/$C$1,IF(C1580="EUR",E1580*$E$1,IF(C1580="RUB",E1580/#REF!,IF(C1580="EGP",E1580/$E$2,E1580)))))</f>
        <v>0.01</v>
      </c>
      <c r="G1580" s="15" t="str">
        <f>VLOOKUP(B1580,SPECIFICATIONF!$C$2:$D$65,2,0)</f>
        <v>GLOBAL RETAIL</v>
      </c>
      <c r="H1580" s="12">
        <f t="shared" si="60"/>
        <v>8</v>
      </c>
      <c r="I1580" s="12">
        <f t="shared" si="61"/>
        <v>2025</v>
      </c>
    </row>
    <row r="1581" spans="1:9" ht="19.5" customHeight="1" x14ac:dyDescent="0.35">
      <c r="A1581" s="41">
        <v>45898</v>
      </c>
      <c r="B1581" s="8" t="s">
        <v>24</v>
      </c>
      <c r="C1581" s="42" t="s">
        <v>11</v>
      </c>
      <c r="D1581" s="43" t="s">
        <v>29</v>
      </c>
      <c r="E1581" s="46">
        <v>466</v>
      </c>
      <c r="F1581" s="2">
        <f>IF(C1581="GBP",E1581*$C$3,IF(C1581="TRY",E1581/$C$1,IF(C1581="EUR",E1581*$E$1,IF(C1581="RUB",E1581/#REF!,IF(C1581="EGP",E1581/$E$2,E1581)))))</f>
        <v>12.778711653581741</v>
      </c>
      <c r="G1581" s="15" t="str">
        <f>VLOOKUP(B1581,SPECIFICATIONF!$C$2:$D$65,2,0)</f>
        <v>GLOBAL RETAIL</v>
      </c>
      <c r="H1581" s="12">
        <f t="shared" si="60"/>
        <v>8</v>
      </c>
      <c r="I1581" s="12">
        <f t="shared" si="61"/>
        <v>2025</v>
      </c>
    </row>
    <row r="1582" spans="1:9" ht="19.5" customHeight="1" x14ac:dyDescent="0.35">
      <c r="A1582" s="41">
        <v>45898</v>
      </c>
      <c r="B1582" s="8" t="s">
        <v>24</v>
      </c>
      <c r="C1582" s="42" t="s">
        <v>33</v>
      </c>
      <c r="D1582" s="43" t="s">
        <v>29</v>
      </c>
      <c r="E1582" s="46">
        <v>861</v>
      </c>
      <c r="F1582" s="2">
        <f>IF(C1582="GBP",E1582*$C$3,IF(C1582="TRY",E1582/$C$1,IF(C1582="EUR",E1582*$E$1,IF(C1582="RUB",E1582/#REF!,IF(C1582="EGP",E1582/$E$2,E1582)))))</f>
        <v>861</v>
      </c>
      <c r="G1582" s="15" t="str">
        <f>VLOOKUP(B1582,SPECIFICATIONF!$C$2:$D$65,2,0)</f>
        <v>GLOBAL RETAIL</v>
      </c>
      <c r="H1582" s="12">
        <f t="shared" si="60"/>
        <v>8</v>
      </c>
      <c r="I1582" s="12">
        <f t="shared" si="61"/>
        <v>2025</v>
      </c>
    </row>
    <row r="1583" spans="1:9" ht="19.5" customHeight="1" x14ac:dyDescent="0.35">
      <c r="A1583" s="41">
        <v>45899</v>
      </c>
      <c r="B1583" s="8" t="s">
        <v>32</v>
      </c>
      <c r="C1583" s="42" t="s">
        <v>11</v>
      </c>
      <c r="D1583" s="43" t="s">
        <v>30</v>
      </c>
      <c r="E1583" s="46">
        <v>1575241.14</v>
      </c>
      <c r="F1583" s="2">
        <f>IF(C1583="GBP",E1583*$C$3,IF(C1583="TRY",E1583/$C$1,IF(C1583="EUR",E1583*$E$1,IF(C1583="RUB",E1583/#REF!,IF(C1583="EGP",E1583/$E$2,E1583)))))</f>
        <v>43196.464190814128</v>
      </c>
      <c r="G1583" s="15" t="str">
        <f>VLOOKUP(B1583,SPECIFICATIONF!$C$2:$D$65,2,0)</f>
        <v>GLOBAL HFT</v>
      </c>
      <c r="H1583" s="12">
        <f t="shared" si="60"/>
        <v>8</v>
      </c>
      <c r="I1583" s="12">
        <f t="shared" si="61"/>
        <v>2025</v>
      </c>
    </row>
    <row r="1584" spans="1:9" ht="19.5" customHeight="1" x14ac:dyDescent="0.35">
      <c r="A1584" s="41">
        <v>45899</v>
      </c>
      <c r="B1584" s="8" t="s">
        <v>32</v>
      </c>
      <c r="C1584" s="42" t="s">
        <v>33</v>
      </c>
      <c r="D1584" s="43" t="s">
        <v>30</v>
      </c>
      <c r="E1584" s="46">
        <v>7400.35</v>
      </c>
      <c r="F1584" s="2">
        <f>IF(C1584="GBP",E1584*$C$3,IF(C1584="TRY",E1584/$C$1,IF(C1584="EUR",E1584*$E$1,IF(C1584="RUB",E1584/#REF!,IF(C1584="EGP",E1584/$E$2,E1584)))))</f>
        <v>7400.35</v>
      </c>
      <c r="G1584" s="15" t="str">
        <f>VLOOKUP(B1584,SPECIFICATIONF!$C$2:$D$65,2,0)</f>
        <v>GLOBAL HFT</v>
      </c>
      <c r="H1584" s="12">
        <f t="shared" si="60"/>
        <v>8</v>
      </c>
      <c r="I1584" s="12">
        <f t="shared" si="61"/>
        <v>2025</v>
      </c>
    </row>
    <row r="1585" spans="1:9" ht="19.5" customHeight="1" x14ac:dyDescent="0.35">
      <c r="A1585" s="41">
        <v>45899</v>
      </c>
      <c r="B1585" s="8" t="s">
        <v>32</v>
      </c>
      <c r="C1585" s="42" t="s">
        <v>11</v>
      </c>
      <c r="D1585" s="43" t="s">
        <v>29</v>
      </c>
      <c r="E1585" s="46">
        <v>6266026324</v>
      </c>
      <c r="F1585" s="2">
        <f>IF(C1585="GBP",E1585*$C$3,IF(C1585="TRY",E1585/$C$1,IF(C1585="EUR",E1585*$E$1,IF(C1585="RUB",E1585/#REF!,IF(C1585="EGP",E1585/$E$2,E1585)))))</f>
        <v>171827775.98315182</v>
      </c>
      <c r="G1585" s="15" t="str">
        <f>VLOOKUP(B1585,SPECIFICATIONF!$C$2:$D$65,2,0)</f>
        <v>GLOBAL HFT</v>
      </c>
      <c r="H1585" s="12">
        <f t="shared" si="60"/>
        <v>8</v>
      </c>
      <c r="I1585" s="12">
        <f t="shared" si="61"/>
        <v>2025</v>
      </c>
    </row>
    <row r="1586" spans="1:9" ht="19.5" customHeight="1" x14ac:dyDescent="0.35">
      <c r="A1586" s="41">
        <v>45899</v>
      </c>
      <c r="B1586" s="8" t="s">
        <v>32</v>
      </c>
      <c r="C1586" s="42" t="s">
        <v>33</v>
      </c>
      <c r="D1586" s="43" t="s">
        <v>29</v>
      </c>
      <c r="E1586" s="46">
        <v>26709726</v>
      </c>
      <c r="F1586" s="2">
        <f>IF(C1586="GBP",E1586*$C$3,IF(C1586="TRY",E1586/$C$1,IF(C1586="EUR",E1586*$E$1,IF(C1586="RUB",E1586/#REF!,IF(C1586="EGP",E1586/$E$2,E1586)))))</f>
        <v>26709726</v>
      </c>
      <c r="G1586" s="15" t="str">
        <f>VLOOKUP(B1586,SPECIFICATIONF!$C$2:$D$65,2,0)</f>
        <v>GLOBAL HFT</v>
      </c>
      <c r="H1586" s="12">
        <f t="shared" si="60"/>
        <v>8</v>
      </c>
      <c r="I1586" s="12">
        <f t="shared" si="61"/>
        <v>2025</v>
      </c>
    </row>
    <row r="1587" spans="1:9" ht="19.5" customHeight="1" x14ac:dyDescent="0.35">
      <c r="A1587" s="41">
        <v>45899</v>
      </c>
      <c r="B1587" s="8" t="s">
        <v>24</v>
      </c>
      <c r="C1587" s="42" t="s">
        <v>11</v>
      </c>
      <c r="D1587" s="43" t="s">
        <v>30</v>
      </c>
      <c r="E1587" s="46">
        <v>0</v>
      </c>
      <c r="F1587" s="2">
        <f>IF(C1587="GBP",E1587*$C$3,IF(C1587="TRY",E1587/$C$1,IF(C1587="EUR",E1587*$E$1,IF(C1587="RUB",E1587/#REF!,IF(C1587="EGP",E1587/$E$2,E1587)))))</f>
        <v>0</v>
      </c>
      <c r="G1587" s="15" t="str">
        <f>VLOOKUP(B1587,SPECIFICATIONF!$C$2:$D$65,2,0)</f>
        <v>GLOBAL RETAIL</v>
      </c>
      <c r="H1587" s="12">
        <f t="shared" si="60"/>
        <v>8</v>
      </c>
      <c r="I1587" s="12">
        <f t="shared" si="61"/>
        <v>2025</v>
      </c>
    </row>
    <row r="1588" spans="1:9" ht="19.5" customHeight="1" x14ac:dyDescent="0.35">
      <c r="A1588" s="41">
        <v>45899</v>
      </c>
      <c r="B1588" s="8" t="s">
        <v>24</v>
      </c>
      <c r="C1588" s="42" t="s">
        <v>33</v>
      </c>
      <c r="D1588" s="43" t="s">
        <v>30</v>
      </c>
      <c r="E1588" s="46">
        <v>0</v>
      </c>
      <c r="F1588" s="2">
        <f>IF(C1588="GBP",E1588*$C$3,IF(C1588="TRY",E1588/$C$1,IF(C1588="EUR",E1588*$E$1,IF(C1588="RUB",E1588/#REF!,IF(C1588="EGP",E1588/$E$2,E1588)))))</f>
        <v>0</v>
      </c>
      <c r="G1588" s="15" t="str">
        <f>VLOOKUP(B1588,SPECIFICATIONF!$C$2:$D$65,2,0)</f>
        <v>GLOBAL RETAIL</v>
      </c>
      <c r="H1588" s="12">
        <f t="shared" si="60"/>
        <v>8</v>
      </c>
      <c r="I1588" s="12">
        <f t="shared" si="61"/>
        <v>2025</v>
      </c>
    </row>
    <row r="1589" spans="1:9" ht="19.5" customHeight="1" x14ac:dyDescent="0.35">
      <c r="A1589" s="41">
        <v>45899</v>
      </c>
      <c r="B1589" s="8" t="s">
        <v>24</v>
      </c>
      <c r="C1589" s="42" t="s">
        <v>11</v>
      </c>
      <c r="D1589" s="43" t="s">
        <v>29</v>
      </c>
      <c r="E1589" s="46">
        <v>0</v>
      </c>
      <c r="F1589" s="2">
        <f>IF(C1589="GBP",E1589*$C$3,IF(C1589="TRY",E1589/$C$1,IF(C1589="EUR",E1589*$E$1,IF(C1589="RUB",E1589/#REF!,IF(C1589="EGP",E1589/$E$2,E1589)))))</f>
        <v>0</v>
      </c>
      <c r="G1589" s="15" t="str">
        <f>VLOOKUP(B1589,SPECIFICATIONF!$C$2:$D$65,2,0)</f>
        <v>GLOBAL RETAIL</v>
      </c>
      <c r="H1589" s="12">
        <f t="shared" si="60"/>
        <v>8</v>
      </c>
      <c r="I1589" s="12">
        <f t="shared" si="61"/>
        <v>2025</v>
      </c>
    </row>
    <row r="1590" spans="1:9" ht="19.5" customHeight="1" x14ac:dyDescent="0.35">
      <c r="A1590" s="41">
        <v>45899</v>
      </c>
      <c r="B1590" s="8" t="s">
        <v>24</v>
      </c>
      <c r="C1590" s="42" t="s">
        <v>33</v>
      </c>
      <c r="D1590" s="43" t="s">
        <v>29</v>
      </c>
      <c r="E1590" s="46">
        <v>0</v>
      </c>
      <c r="F1590" s="2">
        <f>IF(C1590="GBP",E1590*$C$3,IF(C1590="TRY",E1590/$C$1,IF(C1590="EUR",E1590*$E$1,IF(C1590="RUB",E1590/#REF!,IF(C1590="EGP",E1590/$E$2,E1590)))))</f>
        <v>0</v>
      </c>
      <c r="G1590" s="15" t="str">
        <f>VLOOKUP(B1590,SPECIFICATIONF!$C$2:$D$65,2,0)</f>
        <v>GLOBAL RETAIL</v>
      </c>
      <c r="H1590" s="12">
        <f t="shared" si="60"/>
        <v>8</v>
      </c>
      <c r="I1590" s="12">
        <f t="shared" si="61"/>
        <v>2025</v>
      </c>
    </row>
    <row r="1591" spans="1:9" ht="19.5" customHeight="1" x14ac:dyDescent="0.35">
      <c r="A1591" s="41">
        <v>45900</v>
      </c>
      <c r="B1591" s="8" t="s">
        <v>32</v>
      </c>
      <c r="C1591" s="42" t="s">
        <v>11</v>
      </c>
      <c r="D1591" s="43" t="s">
        <v>30</v>
      </c>
      <c r="E1591" s="46">
        <v>1223997.82</v>
      </c>
      <c r="F1591" s="2">
        <f>IF(C1591="GBP",E1591*$C$3,IF(C1591="TRY",E1591/$C$1,IF(C1591="EUR",E1591*$E$1,IF(C1591="RUB",E1591/#REF!,IF(C1591="EGP",E1591/$E$2,E1591)))))</f>
        <v>33564.624906421988</v>
      </c>
      <c r="G1591" s="15" t="str">
        <f>VLOOKUP(B1591,SPECIFICATIONF!$C$2:$D$65,2,0)</f>
        <v>GLOBAL HFT</v>
      </c>
      <c r="H1591" s="12">
        <f t="shared" si="60"/>
        <v>8</v>
      </c>
      <c r="I1591" s="12">
        <f t="shared" si="61"/>
        <v>2025</v>
      </c>
    </row>
    <row r="1592" spans="1:9" ht="19.5" customHeight="1" x14ac:dyDescent="0.35">
      <c r="A1592" s="41">
        <v>45900</v>
      </c>
      <c r="B1592" s="8" t="s">
        <v>32</v>
      </c>
      <c r="C1592" s="42" t="s">
        <v>33</v>
      </c>
      <c r="D1592" s="43" t="s">
        <v>30</v>
      </c>
      <c r="E1592" s="46">
        <v>5761.35</v>
      </c>
      <c r="F1592" s="2">
        <f>IF(C1592="GBP",E1592*$C$3,IF(C1592="TRY",E1592/$C$1,IF(C1592="EUR",E1592*$E$1,IF(C1592="RUB",E1592/#REF!,IF(C1592="EGP",E1592/$E$2,E1592)))))</f>
        <v>5761.35</v>
      </c>
      <c r="G1592" s="15" t="str">
        <f>VLOOKUP(B1592,SPECIFICATIONF!$C$2:$D$65,2,0)</f>
        <v>GLOBAL HFT</v>
      </c>
      <c r="H1592" s="12">
        <f t="shared" si="60"/>
        <v>8</v>
      </c>
      <c r="I1592" s="12">
        <f t="shared" si="61"/>
        <v>2025</v>
      </c>
    </row>
    <row r="1593" spans="1:9" ht="19.5" customHeight="1" x14ac:dyDescent="0.35">
      <c r="A1593" s="41">
        <v>45900</v>
      </c>
      <c r="B1593" s="8" t="s">
        <v>32</v>
      </c>
      <c r="C1593" s="42" t="s">
        <v>11</v>
      </c>
      <c r="D1593" s="43" t="s">
        <v>29</v>
      </c>
      <c r="E1593" s="46">
        <v>4840244300</v>
      </c>
      <c r="F1593" s="2">
        <f>IF(C1593="GBP",E1593*$C$3,IF(C1593="TRY",E1593/$C$1,IF(C1593="EUR",E1593*$E$1,IF(C1593="RUB",E1593/#REF!,IF(C1593="EGP",E1593/$E$2,E1593)))))</f>
        <v>132729798.80384676</v>
      </c>
      <c r="G1593" s="15" t="str">
        <f>VLOOKUP(B1593,SPECIFICATIONF!$C$2:$D$65,2,0)</f>
        <v>GLOBAL HFT</v>
      </c>
      <c r="H1593" s="12">
        <f t="shared" si="60"/>
        <v>8</v>
      </c>
      <c r="I1593" s="12">
        <f t="shared" si="61"/>
        <v>2025</v>
      </c>
    </row>
    <row r="1594" spans="1:9" ht="19.5" customHeight="1" x14ac:dyDescent="0.35">
      <c r="A1594" s="41">
        <v>45900</v>
      </c>
      <c r="B1594" s="8" t="s">
        <v>32</v>
      </c>
      <c r="C1594" s="42" t="s">
        <v>33</v>
      </c>
      <c r="D1594" s="43" t="s">
        <v>29</v>
      </c>
      <c r="E1594" s="46">
        <v>20543265</v>
      </c>
      <c r="F1594" s="2">
        <f>IF(C1594="GBP",E1594*$C$3,IF(C1594="TRY",E1594/$C$1,IF(C1594="EUR",E1594*$E$1,IF(C1594="RUB",E1594/#REF!,IF(C1594="EGP",E1594/$E$2,E1594)))))</f>
        <v>20543265</v>
      </c>
      <c r="G1594" s="15" t="str">
        <f>VLOOKUP(B1594,SPECIFICATIONF!$C$2:$D$65,2,0)</f>
        <v>GLOBAL HFT</v>
      </c>
      <c r="H1594" s="12">
        <f t="shared" si="60"/>
        <v>8</v>
      </c>
      <c r="I1594" s="12">
        <f t="shared" si="61"/>
        <v>2025</v>
      </c>
    </row>
    <row r="1595" spans="1:9" ht="19.5" customHeight="1" x14ac:dyDescent="0.35">
      <c r="A1595" s="41">
        <v>45900</v>
      </c>
      <c r="B1595" s="8" t="s">
        <v>24</v>
      </c>
      <c r="C1595" s="42" t="s">
        <v>11</v>
      </c>
      <c r="D1595" s="43" t="s">
        <v>30</v>
      </c>
      <c r="E1595" s="46">
        <v>0</v>
      </c>
      <c r="F1595" s="2">
        <f>IF(C1595="GBP",E1595*$C$3,IF(C1595="TRY",E1595/$C$1,IF(C1595="EUR",E1595*$E$1,IF(C1595="RUB",E1595/#REF!,IF(C1595="EGP",E1595/$E$2,E1595)))))</f>
        <v>0</v>
      </c>
      <c r="G1595" s="15" t="str">
        <f>VLOOKUP(B1595,SPECIFICATIONF!$C$2:$D$65,2,0)</f>
        <v>GLOBAL RETAIL</v>
      </c>
      <c r="H1595" s="12">
        <f t="shared" si="60"/>
        <v>8</v>
      </c>
      <c r="I1595" s="12">
        <f t="shared" si="61"/>
        <v>2025</v>
      </c>
    </row>
    <row r="1596" spans="1:9" ht="19.5" customHeight="1" x14ac:dyDescent="0.35">
      <c r="A1596" s="41">
        <v>45900</v>
      </c>
      <c r="B1596" s="8" t="s">
        <v>24</v>
      </c>
      <c r="C1596" s="42" t="s">
        <v>33</v>
      </c>
      <c r="D1596" s="43" t="s">
        <v>30</v>
      </c>
      <c r="E1596" s="46">
        <v>0</v>
      </c>
      <c r="F1596" s="2">
        <f>IF(C1596="GBP",E1596*$C$3,IF(C1596="TRY",E1596/$C$1,IF(C1596="EUR",E1596*$E$1,IF(C1596="RUB",E1596/#REF!,IF(C1596="EGP",E1596/$E$2,E1596)))))</f>
        <v>0</v>
      </c>
      <c r="G1596" s="15" t="str">
        <f>VLOOKUP(B1596,SPECIFICATIONF!$C$2:$D$65,2,0)</f>
        <v>GLOBAL RETAIL</v>
      </c>
      <c r="H1596" s="12">
        <f t="shared" si="60"/>
        <v>8</v>
      </c>
      <c r="I1596" s="12">
        <f t="shared" si="61"/>
        <v>2025</v>
      </c>
    </row>
    <row r="1597" spans="1:9" ht="19.5" customHeight="1" x14ac:dyDescent="0.35">
      <c r="A1597" s="41">
        <v>45900</v>
      </c>
      <c r="B1597" s="8" t="s">
        <v>24</v>
      </c>
      <c r="C1597" s="42" t="s">
        <v>11</v>
      </c>
      <c r="D1597" s="43" t="s">
        <v>29</v>
      </c>
      <c r="E1597" s="46">
        <v>0</v>
      </c>
      <c r="F1597" s="2">
        <f>IF(C1597="GBP",E1597*$C$3,IF(C1597="TRY",E1597/$C$1,IF(C1597="EUR",E1597*$E$1,IF(C1597="RUB",E1597/#REF!,IF(C1597="EGP",E1597/$E$2,E1597)))))</f>
        <v>0</v>
      </c>
      <c r="G1597" s="15" t="str">
        <f>VLOOKUP(B1597,SPECIFICATIONF!$C$2:$D$65,2,0)</f>
        <v>GLOBAL RETAIL</v>
      </c>
      <c r="H1597" s="12">
        <f t="shared" si="60"/>
        <v>8</v>
      </c>
      <c r="I1597" s="12">
        <f t="shared" si="61"/>
        <v>2025</v>
      </c>
    </row>
    <row r="1598" spans="1:9" ht="19.5" customHeight="1" x14ac:dyDescent="0.35">
      <c r="A1598" s="41">
        <v>45900</v>
      </c>
      <c r="B1598" s="8" t="s">
        <v>24</v>
      </c>
      <c r="C1598" s="42" t="s">
        <v>33</v>
      </c>
      <c r="D1598" s="43" t="s">
        <v>29</v>
      </c>
      <c r="E1598" s="46">
        <v>0</v>
      </c>
      <c r="F1598" s="2">
        <f>IF(C1598="GBP",E1598*$C$3,IF(C1598="TRY",E1598/$C$1,IF(C1598="EUR",E1598*$E$1,IF(C1598="RUB",E1598/#REF!,IF(C1598="EGP",E1598/$E$2,E1598)))))</f>
        <v>0</v>
      </c>
      <c r="G1598" s="15" t="str">
        <f>VLOOKUP(B1598,SPECIFICATIONF!$C$2:$D$65,2,0)</f>
        <v>GLOBAL RETAIL</v>
      </c>
      <c r="H1598" s="12">
        <f t="shared" si="60"/>
        <v>8</v>
      </c>
      <c r="I1598" s="12">
        <f t="shared" si="61"/>
        <v>2025</v>
      </c>
    </row>
    <row r="1599" spans="1:9" ht="19.5" customHeight="1" x14ac:dyDescent="0.35">
      <c r="A1599" s="41">
        <v>45901</v>
      </c>
      <c r="B1599" s="8" t="s">
        <v>32</v>
      </c>
      <c r="C1599" s="42" t="s">
        <v>11</v>
      </c>
      <c r="D1599" s="43" t="s">
        <v>30</v>
      </c>
      <c r="E1599" s="46">
        <v>1449486.92</v>
      </c>
      <c r="F1599" s="2">
        <f>IF(C1599="GBP",E1599*$C$3,IF(C1599="TRY",E1599/$C$1,IF(C1599="EUR",E1599*$E$1,IF(C1599="RUB",E1599/#REF!,IF(C1599="EGP",E1599/$E$2,E1599)))))</f>
        <v>39748.015871927688</v>
      </c>
      <c r="G1599" s="15" t="str">
        <f>VLOOKUP(B1599,SPECIFICATIONF!$C$2:$D$65,2,0)</f>
        <v>GLOBAL HFT</v>
      </c>
      <c r="H1599" s="12">
        <f t="shared" si="60"/>
        <v>9</v>
      </c>
      <c r="I1599" s="12">
        <f t="shared" si="61"/>
        <v>2025</v>
      </c>
    </row>
    <row r="1600" spans="1:9" ht="19.5" customHeight="1" x14ac:dyDescent="0.35">
      <c r="A1600" s="41">
        <v>45901</v>
      </c>
      <c r="B1600" s="8" t="s">
        <v>32</v>
      </c>
      <c r="C1600" s="42" t="s">
        <v>33</v>
      </c>
      <c r="D1600" s="43" t="s">
        <v>30</v>
      </c>
      <c r="E1600" s="46">
        <v>8267.32</v>
      </c>
      <c r="F1600" s="2">
        <f>IF(C1600="GBP",E1600*$C$3,IF(C1600="TRY",E1600/$C$1,IF(C1600="EUR",E1600*$E$1,IF(C1600="RUB",E1600/#REF!,IF(C1600="EGP",E1600/$E$2,E1600)))))</f>
        <v>8267.32</v>
      </c>
      <c r="G1600" s="15" t="str">
        <f>VLOOKUP(B1600,SPECIFICATIONF!$C$2:$D$65,2,0)</f>
        <v>GLOBAL HFT</v>
      </c>
      <c r="H1600" s="12">
        <f t="shared" si="60"/>
        <v>9</v>
      </c>
      <c r="I1600" s="12">
        <f t="shared" si="61"/>
        <v>2025</v>
      </c>
    </row>
    <row r="1601" spans="1:9" ht="19.5" customHeight="1" x14ac:dyDescent="0.35">
      <c r="A1601" s="41">
        <v>45901</v>
      </c>
      <c r="B1601" s="8" t="s">
        <v>32</v>
      </c>
      <c r="C1601" s="42" t="s">
        <v>11</v>
      </c>
      <c r="D1601" s="43" t="s">
        <v>29</v>
      </c>
      <c r="E1601" s="46">
        <v>5729599508</v>
      </c>
      <c r="F1601" s="2">
        <f>IF(C1601="GBP",E1601*$C$3,IF(C1601="TRY",E1601/$C$1,IF(C1601="EUR",E1601*$E$1,IF(C1601="RUB",E1601/#REF!,IF(C1601="EGP",E1601/$E$2,E1601)))))</f>
        <v>157117811.16574207</v>
      </c>
      <c r="G1601" s="15" t="str">
        <f>VLOOKUP(B1601,SPECIFICATIONF!$C$2:$D$65,2,0)</f>
        <v>GLOBAL HFT</v>
      </c>
      <c r="H1601" s="12">
        <f t="shared" si="60"/>
        <v>9</v>
      </c>
      <c r="I1601" s="12">
        <f t="shared" si="61"/>
        <v>2025</v>
      </c>
    </row>
    <row r="1602" spans="1:9" ht="19.5" customHeight="1" x14ac:dyDescent="0.35">
      <c r="A1602" s="41">
        <v>45901</v>
      </c>
      <c r="B1602" s="8" t="s">
        <v>32</v>
      </c>
      <c r="C1602" s="42" t="s">
        <v>33</v>
      </c>
      <c r="D1602" s="43" t="s">
        <v>29</v>
      </c>
      <c r="E1602" s="46">
        <v>29556774</v>
      </c>
      <c r="F1602" s="2">
        <f>IF(C1602="GBP",E1602*$C$3,IF(C1602="TRY",E1602/$C$1,IF(C1602="EUR",E1602*$E$1,IF(C1602="RUB",E1602/#REF!,IF(C1602="EGP",E1602/$E$2,E1602)))))</f>
        <v>29556774</v>
      </c>
      <c r="G1602" s="15" t="str">
        <f>VLOOKUP(B1602,SPECIFICATIONF!$C$2:$D$65,2,0)</f>
        <v>GLOBAL HFT</v>
      </c>
      <c r="H1602" s="12">
        <f t="shared" si="60"/>
        <v>9</v>
      </c>
      <c r="I1602" s="12">
        <f t="shared" si="61"/>
        <v>2025</v>
      </c>
    </row>
    <row r="1603" spans="1:9" ht="19.5" customHeight="1" x14ac:dyDescent="0.35">
      <c r="A1603" s="41">
        <v>45901</v>
      </c>
      <c r="B1603" s="8" t="s">
        <v>24</v>
      </c>
      <c r="C1603" s="42" t="s">
        <v>11</v>
      </c>
      <c r="D1603" s="43" t="s">
        <v>30</v>
      </c>
      <c r="E1603" s="46">
        <v>0</v>
      </c>
      <c r="F1603" s="2">
        <f>IF(C1603="GBP",E1603*$C$3,IF(C1603="TRY",E1603/$C$1,IF(C1603="EUR",E1603*$E$1,IF(C1603="RUB",E1603/#REF!,IF(C1603="EGP",E1603/$E$2,E1603)))))</f>
        <v>0</v>
      </c>
      <c r="G1603" s="15" t="str">
        <f>VLOOKUP(B1603,SPECIFICATIONF!$C$2:$D$65,2,0)</f>
        <v>GLOBAL RETAIL</v>
      </c>
      <c r="H1603" s="12">
        <f t="shared" si="60"/>
        <v>9</v>
      </c>
      <c r="I1603" s="12">
        <f t="shared" si="61"/>
        <v>2025</v>
      </c>
    </row>
    <row r="1604" spans="1:9" ht="19.5" customHeight="1" x14ac:dyDescent="0.35">
      <c r="A1604" s="41">
        <v>45901</v>
      </c>
      <c r="B1604" s="8" t="s">
        <v>24</v>
      </c>
      <c r="C1604" s="42" t="s">
        <v>33</v>
      </c>
      <c r="D1604" s="43" t="s">
        <v>30</v>
      </c>
      <c r="E1604" s="46">
        <v>0</v>
      </c>
      <c r="F1604" s="2">
        <f>IF(C1604="GBP",E1604*$C$3,IF(C1604="TRY",E1604/$C$1,IF(C1604="EUR",E1604*$E$1,IF(C1604="RUB",E1604/#REF!,IF(C1604="EGP",E1604/$E$2,E1604)))))</f>
        <v>0</v>
      </c>
      <c r="G1604" s="15" t="str">
        <f>VLOOKUP(B1604,SPECIFICATIONF!$C$2:$D$65,2,0)</f>
        <v>GLOBAL RETAIL</v>
      </c>
      <c r="H1604" s="12">
        <f t="shared" si="60"/>
        <v>9</v>
      </c>
      <c r="I1604" s="12">
        <f t="shared" si="61"/>
        <v>2025</v>
      </c>
    </row>
    <row r="1605" spans="1:9" ht="19.5" customHeight="1" x14ac:dyDescent="0.35">
      <c r="A1605" s="41">
        <v>45901</v>
      </c>
      <c r="B1605" s="8" t="s">
        <v>24</v>
      </c>
      <c r="C1605" s="42" t="s">
        <v>11</v>
      </c>
      <c r="D1605" s="43" t="s">
        <v>29</v>
      </c>
      <c r="E1605" s="46">
        <v>0</v>
      </c>
      <c r="F1605" s="2">
        <f>IF(C1605="GBP",E1605*$C$3,IF(C1605="TRY",E1605/$C$1,IF(C1605="EUR",E1605*$E$1,IF(C1605="RUB",E1605/#REF!,IF(C1605="EGP",E1605/$E$2,E1605)))))</f>
        <v>0</v>
      </c>
      <c r="G1605" s="15" t="str">
        <f>VLOOKUP(B1605,SPECIFICATIONF!$C$2:$D$65,2,0)</f>
        <v>GLOBAL RETAIL</v>
      </c>
      <c r="H1605" s="12">
        <f t="shared" si="60"/>
        <v>9</v>
      </c>
      <c r="I1605" s="12">
        <f t="shared" si="61"/>
        <v>2025</v>
      </c>
    </row>
    <row r="1606" spans="1:9" ht="19.5" customHeight="1" x14ac:dyDescent="0.35">
      <c r="A1606" s="41">
        <v>45901</v>
      </c>
      <c r="B1606" s="8" t="s">
        <v>24</v>
      </c>
      <c r="C1606" s="42" t="s">
        <v>33</v>
      </c>
      <c r="D1606" s="43" t="s">
        <v>29</v>
      </c>
      <c r="E1606" s="46">
        <v>0</v>
      </c>
      <c r="F1606" s="2">
        <f>IF(C1606="GBP",E1606*$C$3,IF(C1606="TRY",E1606/$C$1,IF(C1606="EUR",E1606*$E$1,IF(C1606="RUB",E1606/#REF!,IF(C1606="EGP",E1606/$E$2,E1606)))))</f>
        <v>0</v>
      </c>
      <c r="G1606" s="15" t="str">
        <f>VLOOKUP(B1606,SPECIFICATIONF!$C$2:$D$65,2,0)</f>
        <v>GLOBAL RETAIL</v>
      </c>
      <c r="H1606" s="12">
        <f t="shared" si="60"/>
        <v>9</v>
      </c>
      <c r="I1606" s="12">
        <f t="shared" si="61"/>
        <v>2025</v>
      </c>
    </row>
    <row r="1607" spans="1:9" ht="19.5" customHeight="1" x14ac:dyDescent="0.35">
      <c r="A1607" s="41">
        <v>45902</v>
      </c>
      <c r="B1607" s="8" t="s">
        <v>32</v>
      </c>
      <c r="C1607" s="42" t="s">
        <v>11</v>
      </c>
      <c r="D1607" s="43" t="s">
        <v>30</v>
      </c>
      <c r="E1607" s="46">
        <v>1239466.5600000024</v>
      </c>
      <c r="F1607" s="2">
        <f>IF(C1607="GBP",E1607*$C$3,IF(C1607="TRY",E1607/$C$1,IF(C1607="EUR",E1607*$E$1,IF(C1607="RUB",E1607/#REF!,IF(C1607="EGP",E1607/$E$2,E1607)))))</f>
        <v>33988.810674886059</v>
      </c>
      <c r="G1607" s="15" t="str">
        <f>VLOOKUP(B1607,SPECIFICATIONF!$C$2:$D$65,2,0)</f>
        <v>GLOBAL HFT</v>
      </c>
      <c r="H1607" s="12">
        <f t="shared" si="60"/>
        <v>9</v>
      </c>
      <c r="I1607" s="12">
        <f t="shared" si="61"/>
        <v>2025</v>
      </c>
    </row>
    <row r="1608" spans="1:9" ht="19.5" customHeight="1" x14ac:dyDescent="0.35">
      <c r="A1608" s="41">
        <v>45902</v>
      </c>
      <c r="B1608" s="8" t="s">
        <v>32</v>
      </c>
      <c r="C1608" s="42" t="s">
        <v>33</v>
      </c>
      <c r="D1608" s="43" t="s">
        <v>30</v>
      </c>
      <c r="E1608" s="46">
        <v>7875.6899999999441</v>
      </c>
      <c r="F1608" s="2">
        <f>IF(C1608="GBP",E1608*$C$3,IF(C1608="TRY",E1608/$C$1,IF(C1608="EUR",E1608*$E$1,IF(C1608="RUB",E1608/#REF!,IF(C1608="EGP",E1608/$E$2,E1608)))))</f>
        <v>7875.6899999999441</v>
      </c>
      <c r="G1608" s="15" t="str">
        <f>VLOOKUP(B1608,SPECIFICATIONF!$C$2:$D$65,2,0)</f>
        <v>GLOBAL HFT</v>
      </c>
      <c r="H1608" s="12">
        <f t="shared" si="60"/>
        <v>9</v>
      </c>
      <c r="I1608" s="12">
        <f t="shared" si="61"/>
        <v>2025</v>
      </c>
    </row>
    <row r="1609" spans="1:9" ht="19.5" customHeight="1" x14ac:dyDescent="0.35">
      <c r="A1609" s="41">
        <v>45902</v>
      </c>
      <c r="B1609" s="8" t="s">
        <v>32</v>
      </c>
      <c r="C1609" s="42" t="s">
        <v>11</v>
      </c>
      <c r="D1609" s="43" t="s">
        <v>29</v>
      </c>
      <c r="E1609" s="46">
        <v>4823815833</v>
      </c>
      <c r="F1609" s="2">
        <f>IF(C1609="GBP",E1609*$C$3,IF(C1609="TRY",E1609/$C$1,IF(C1609="EUR",E1609*$E$1,IF(C1609="RUB",E1609/#REF!,IF(C1609="EGP",E1609/$E$2,E1609)))))</f>
        <v>132279295.27873221</v>
      </c>
      <c r="G1609" s="15" t="str">
        <f>VLOOKUP(B1609,SPECIFICATIONF!$C$2:$D$65,2,0)</f>
        <v>GLOBAL HFT</v>
      </c>
      <c r="H1609" s="12">
        <f t="shared" si="60"/>
        <v>9</v>
      </c>
      <c r="I1609" s="12">
        <f t="shared" si="61"/>
        <v>2025</v>
      </c>
    </row>
    <row r="1610" spans="1:9" ht="19.5" customHeight="1" x14ac:dyDescent="0.35">
      <c r="A1610" s="41">
        <v>45902</v>
      </c>
      <c r="B1610" s="8" t="s">
        <v>32</v>
      </c>
      <c r="C1610" s="42" t="s">
        <v>33</v>
      </c>
      <c r="D1610" s="43" t="s">
        <v>29</v>
      </c>
      <c r="E1610" s="46">
        <v>28035248</v>
      </c>
      <c r="F1610" s="2">
        <f>IF(C1610="GBP",E1610*$C$3,IF(C1610="TRY",E1610/$C$1,IF(C1610="EUR",E1610*$E$1,IF(C1610="RUB",E1610/#REF!,IF(C1610="EGP",E1610/$E$2,E1610)))))</f>
        <v>28035248</v>
      </c>
      <c r="G1610" s="15" t="str">
        <f>VLOOKUP(B1610,SPECIFICATIONF!$C$2:$D$65,2,0)</f>
        <v>GLOBAL HFT</v>
      </c>
      <c r="H1610" s="12">
        <f t="shared" si="60"/>
        <v>9</v>
      </c>
      <c r="I1610" s="12">
        <f t="shared" si="61"/>
        <v>2025</v>
      </c>
    </row>
    <row r="1611" spans="1:9" ht="19.5" customHeight="1" x14ac:dyDescent="0.35">
      <c r="A1611" s="41">
        <v>45902</v>
      </c>
      <c r="B1611" s="8" t="s">
        <v>24</v>
      </c>
      <c r="C1611" s="42" t="s">
        <v>11</v>
      </c>
      <c r="D1611" s="43" t="s">
        <v>30</v>
      </c>
      <c r="E1611" s="46">
        <v>0</v>
      </c>
      <c r="F1611" s="2">
        <f>IF(C1611="GBP",E1611*$C$3,IF(C1611="TRY",E1611/$C$1,IF(C1611="EUR",E1611*$E$1,IF(C1611="RUB",E1611/#REF!,IF(C1611="EGP",E1611/$E$2,E1611)))))</f>
        <v>0</v>
      </c>
      <c r="G1611" s="15" t="str">
        <f>VLOOKUP(B1611,SPECIFICATIONF!$C$2:$D$65,2,0)</f>
        <v>GLOBAL RETAIL</v>
      </c>
      <c r="H1611" s="12">
        <f t="shared" si="60"/>
        <v>9</v>
      </c>
      <c r="I1611" s="12">
        <f t="shared" si="61"/>
        <v>2025</v>
      </c>
    </row>
    <row r="1612" spans="1:9" ht="19.5" customHeight="1" x14ac:dyDescent="0.35">
      <c r="A1612" s="41">
        <v>45902</v>
      </c>
      <c r="B1612" s="8" t="s">
        <v>24</v>
      </c>
      <c r="C1612" s="42" t="s">
        <v>33</v>
      </c>
      <c r="D1612" s="43" t="s">
        <v>30</v>
      </c>
      <c r="E1612" s="46">
        <v>0</v>
      </c>
      <c r="F1612" s="2">
        <f>IF(C1612="GBP",E1612*$C$3,IF(C1612="TRY",E1612/$C$1,IF(C1612="EUR",E1612*$E$1,IF(C1612="RUB",E1612/#REF!,IF(C1612="EGP",E1612/$E$2,E1612)))))</f>
        <v>0</v>
      </c>
      <c r="G1612" s="15" t="str">
        <f>VLOOKUP(B1612,SPECIFICATIONF!$C$2:$D$65,2,0)</f>
        <v>GLOBAL RETAIL</v>
      </c>
      <c r="H1612" s="12">
        <f t="shared" si="60"/>
        <v>9</v>
      </c>
      <c r="I1612" s="12">
        <f t="shared" si="61"/>
        <v>2025</v>
      </c>
    </row>
    <row r="1613" spans="1:9" ht="19.5" customHeight="1" x14ac:dyDescent="0.35">
      <c r="A1613" s="41">
        <v>45902</v>
      </c>
      <c r="B1613" s="8" t="s">
        <v>24</v>
      </c>
      <c r="C1613" s="42" t="s">
        <v>11</v>
      </c>
      <c r="D1613" s="43" t="s">
        <v>29</v>
      </c>
      <c r="E1613" s="46">
        <v>0</v>
      </c>
      <c r="F1613" s="2">
        <f>IF(C1613="GBP",E1613*$C$3,IF(C1613="TRY",E1613/$C$1,IF(C1613="EUR",E1613*$E$1,IF(C1613="RUB",E1613/#REF!,IF(C1613="EGP",E1613/$E$2,E1613)))))</f>
        <v>0</v>
      </c>
      <c r="G1613" s="15" t="str">
        <f>VLOOKUP(B1613,SPECIFICATIONF!$C$2:$D$65,2,0)</f>
        <v>GLOBAL RETAIL</v>
      </c>
      <c r="H1613" s="12">
        <f t="shared" si="60"/>
        <v>9</v>
      </c>
      <c r="I1613" s="12">
        <f t="shared" si="61"/>
        <v>2025</v>
      </c>
    </row>
    <row r="1614" spans="1:9" ht="19.5" customHeight="1" x14ac:dyDescent="0.35">
      <c r="A1614" s="41">
        <v>45902</v>
      </c>
      <c r="B1614" s="8" t="s">
        <v>24</v>
      </c>
      <c r="C1614" s="42" t="s">
        <v>33</v>
      </c>
      <c r="D1614" s="43" t="s">
        <v>29</v>
      </c>
      <c r="E1614" s="46">
        <v>0</v>
      </c>
      <c r="F1614" s="2">
        <f>IF(C1614="GBP",E1614*$C$3,IF(C1614="TRY",E1614/$C$1,IF(C1614="EUR",E1614*$E$1,IF(C1614="RUB",E1614/#REF!,IF(C1614="EGP",E1614/$E$2,E1614)))))</f>
        <v>0</v>
      </c>
      <c r="G1614" s="15" t="str">
        <f>VLOOKUP(B1614,SPECIFICATIONF!$C$2:$D$65,2,0)</f>
        <v>GLOBAL RETAIL</v>
      </c>
      <c r="H1614" s="12">
        <f t="shared" si="60"/>
        <v>9</v>
      </c>
      <c r="I1614" s="12">
        <f t="shared" si="61"/>
        <v>2025</v>
      </c>
    </row>
    <row r="1615" spans="1:9" ht="19.5" customHeight="1" x14ac:dyDescent="0.35">
      <c r="A1615" s="41">
        <v>45903</v>
      </c>
      <c r="B1615" s="8" t="s">
        <v>32</v>
      </c>
      <c r="C1615" s="42" t="s">
        <v>11</v>
      </c>
      <c r="D1615" s="43" t="s">
        <v>30</v>
      </c>
      <c r="E1615" s="46">
        <v>1106372.72</v>
      </c>
      <c r="F1615" s="2">
        <f>IF(C1615="GBP",E1615*$C$3,IF(C1615="TRY",E1615/$C$1,IF(C1615="EUR",E1615*$E$1,IF(C1615="RUB",E1615/#REF!,IF(C1615="EGP",E1615/$E$2,E1615)))))</f>
        <v>30339.094356800273</v>
      </c>
      <c r="G1615" s="15" t="str">
        <f>VLOOKUP(B1615,SPECIFICATIONF!$C$2:$D$65,2,0)</f>
        <v>GLOBAL HFT</v>
      </c>
      <c r="H1615" s="12">
        <f t="shared" si="60"/>
        <v>9</v>
      </c>
      <c r="I1615" s="12">
        <f t="shared" si="61"/>
        <v>2025</v>
      </c>
    </row>
    <row r="1616" spans="1:9" ht="19.5" customHeight="1" x14ac:dyDescent="0.35">
      <c r="A1616" s="41">
        <v>45903</v>
      </c>
      <c r="B1616" s="8" t="s">
        <v>32</v>
      </c>
      <c r="C1616" s="42" t="s">
        <v>33</v>
      </c>
      <c r="D1616" s="43" t="s">
        <v>30</v>
      </c>
      <c r="E1616" s="46">
        <v>8513.2900000000009</v>
      </c>
      <c r="F1616" s="2">
        <f>IF(C1616="GBP",E1616*$C$3,IF(C1616="TRY",E1616/$C$1,IF(C1616="EUR",E1616*$E$1,IF(C1616="RUB",E1616/#REF!,IF(C1616="EGP",E1616/$E$2,E1616)))))</f>
        <v>8513.2900000000009</v>
      </c>
      <c r="G1616" s="15" t="str">
        <f>VLOOKUP(B1616,SPECIFICATIONF!$C$2:$D$65,2,0)</f>
        <v>GLOBAL HFT</v>
      </c>
      <c r="H1616" s="12">
        <f t="shared" si="60"/>
        <v>9</v>
      </c>
      <c r="I1616" s="12">
        <f t="shared" si="61"/>
        <v>2025</v>
      </c>
    </row>
    <row r="1617" spans="1:9" ht="19.5" customHeight="1" x14ac:dyDescent="0.35">
      <c r="A1617" s="41">
        <v>45903</v>
      </c>
      <c r="B1617" s="8" t="s">
        <v>32</v>
      </c>
      <c r="C1617" s="42" t="s">
        <v>11</v>
      </c>
      <c r="D1617" s="43" t="s">
        <v>29</v>
      </c>
      <c r="E1617" s="46">
        <v>4223387655</v>
      </c>
      <c r="F1617" s="2">
        <f>IF(C1617="GBP",E1617*$C$3,IF(C1617="TRY",E1617/$C$1,IF(C1617="EUR",E1617*$E$1,IF(C1617="RUB",E1617/#REF!,IF(C1617="EGP",E1617/$E$2,E1617)))))</f>
        <v>115814276.9196175</v>
      </c>
      <c r="G1617" s="15" t="str">
        <f>VLOOKUP(B1617,SPECIFICATIONF!$C$2:$D$65,2,0)</f>
        <v>GLOBAL HFT</v>
      </c>
      <c r="H1617" s="12">
        <f t="shared" si="60"/>
        <v>9</v>
      </c>
      <c r="I1617" s="12">
        <f t="shared" si="61"/>
        <v>2025</v>
      </c>
    </row>
    <row r="1618" spans="1:9" ht="19.5" customHeight="1" x14ac:dyDescent="0.35">
      <c r="A1618" s="41">
        <v>45903</v>
      </c>
      <c r="B1618" s="8" t="s">
        <v>32</v>
      </c>
      <c r="C1618" s="42" t="s">
        <v>33</v>
      </c>
      <c r="D1618" s="43" t="s">
        <v>29</v>
      </c>
      <c r="E1618" s="46">
        <v>28789112</v>
      </c>
      <c r="F1618" s="2">
        <f>IF(C1618="GBP",E1618*$C$3,IF(C1618="TRY",E1618/$C$1,IF(C1618="EUR",E1618*$E$1,IF(C1618="RUB",E1618/#REF!,IF(C1618="EGP",E1618/$E$2,E1618)))))</f>
        <v>28789112</v>
      </c>
      <c r="G1618" s="15" t="str">
        <f>VLOOKUP(B1618,SPECIFICATIONF!$C$2:$D$65,2,0)</f>
        <v>GLOBAL HFT</v>
      </c>
      <c r="H1618" s="12">
        <f t="shared" si="60"/>
        <v>9</v>
      </c>
      <c r="I1618" s="12">
        <f t="shared" si="61"/>
        <v>2025</v>
      </c>
    </row>
    <row r="1619" spans="1:9" ht="19.5" customHeight="1" x14ac:dyDescent="0.35">
      <c r="A1619" s="41">
        <v>45903</v>
      </c>
      <c r="B1619" s="8" t="s">
        <v>24</v>
      </c>
      <c r="C1619" s="42" t="s">
        <v>11</v>
      </c>
      <c r="D1619" s="43" t="s">
        <v>30</v>
      </c>
      <c r="E1619" s="46">
        <v>0</v>
      </c>
      <c r="F1619" s="2">
        <f>IF(C1619="GBP",E1619*$C$3,IF(C1619="TRY",E1619/$C$1,IF(C1619="EUR",E1619*$E$1,IF(C1619="RUB",E1619/#REF!,IF(C1619="EGP",E1619/$E$2,E1619)))))</f>
        <v>0</v>
      </c>
      <c r="G1619" s="15" t="str">
        <f>VLOOKUP(B1619,SPECIFICATIONF!$C$2:$D$65,2,0)</f>
        <v>GLOBAL RETAIL</v>
      </c>
      <c r="H1619" s="12">
        <f t="shared" si="60"/>
        <v>9</v>
      </c>
      <c r="I1619" s="12">
        <f t="shared" si="61"/>
        <v>2025</v>
      </c>
    </row>
    <row r="1620" spans="1:9" ht="19.5" customHeight="1" x14ac:dyDescent="0.35">
      <c r="A1620" s="41">
        <v>45903</v>
      </c>
      <c r="B1620" s="8" t="s">
        <v>24</v>
      </c>
      <c r="C1620" s="42" t="s">
        <v>33</v>
      </c>
      <c r="D1620" s="43" t="s">
        <v>30</v>
      </c>
      <c r="E1620" s="46">
        <v>0</v>
      </c>
      <c r="F1620" s="2">
        <f>IF(C1620="GBP",E1620*$C$3,IF(C1620="TRY",E1620/$C$1,IF(C1620="EUR",E1620*$E$1,IF(C1620="RUB",E1620/#REF!,IF(C1620="EGP",E1620/$E$2,E1620)))))</f>
        <v>0</v>
      </c>
      <c r="G1620" s="15" t="str">
        <f>VLOOKUP(B1620,SPECIFICATIONF!$C$2:$D$65,2,0)</f>
        <v>GLOBAL RETAIL</v>
      </c>
      <c r="H1620" s="12">
        <f t="shared" si="60"/>
        <v>9</v>
      </c>
      <c r="I1620" s="12">
        <f t="shared" si="61"/>
        <v>2025</v>
      </c>
    </row>
    <row r="1621" spans="1:9" ht="19.5" customHeight="1" x14ac:dyDescent="0.35">
      <c r="A1621" s="41">
        <v>45903</v>
      </c>
      <c r="B1621" s="8" t="s">
        <v>24</v>
      </c>
      <c r="C1621" s="42" t="s">
        <v>11</v>
      </c>
      <c r="D1621" s="43" t="s">
        <v>29</v>
      </c>
      <c r="E1621" s="46">
        <v>0</v>
      </c>
      <c r="F1621" s="2">
        <f>IF(C1621="GBP",E1621*$C$3,IF(C1621="TRY",E1621/$C$1,IF(C1621="EUR",E1621*$E$1,IF(C1621="RUB",E1621/#REF!,IF(C1621="EGP",E1621/$E$2,E1621)))))</f>
        <v>0</v>
      </c>
      <c r="G1621" s="15" t="str">
        <f>VLOOKUP(B1621,SPECIFICATIONF!$C$2:$D$65,2,0)</f>
        <v>GLOBAL RETAIL</v>
      </c>
      <c r="H1621" s="12">
        <f t="shared" si="60"/>
        <v>9</v>
      </c>
      <c r="I1621" s="12">
        <f t="shared" si="61"/>
        <v>2025</v>
      </c>
    </row>
    <row r="1622" spans="1:9" ht="19.5" customHeight="1" x14ac:dyDescent="0.35">
      <c r="A1622" s="41">
        <v>45903</v>
      </c>
      <c r="B1622" s="8" t="s">
        <v>24</v>
      </c>
      <c r="C1622" s="42" t="s">
        <v>33</v>
      </c>
      <c r="D1622" s="43" t="s">
        <v>29</v>
      </c>
      <c r="E1622" s="46">
        <v>0</v>
      </c>
      <c r="F1622" s="2">
        <f>IF(C1622="GBP",E1622*$C$3,IF(C1622="TRY",E1622/$C$1,IF(C1622="EUR",E1622*$E$1,IF(C1622="RUB",E1622/#REF!,IF(C1622="EGP",E1622/$E$2,E1622)))))</f>
        <v>0</v>
      </c>
      <c r="G1622" s="15" t="str">
        <f>VLOOKUP(B1622,SPECIFICATIONF!$C$2:$D$65,2,0)</f>
        <v>GLOBAL RETAIL</v>
      </c>
      <c r="H1622" s="12">
        <f t="shared" si="60"/>
        <v>9</v>
      </c>
      <c r="I1622" s="12">
        <f t="shared" si="61"/>
        <v>2025</v>
      </c>
    </row>
    <row r="1623" spans="1:9" ht="19.5" customHeight="1" x14ac:dyDescent="0.35">
      <c r="A1623" s="41">
        <v>45904</v>
      </c>
      <c r="B1623" s="8" t="s">
        <v>32</v>
      </c>
      <c r="C1623" s="42" t="s">
        <v>11</v>
      </c>
      <c r="D1623" s="43" t="s">
        <v>30</v>
      </c>
      <c r="E1623" s="46">
        <v>983990.23</v>
      </c>
      <c r="F1623" s="2">
        <f>IF(C1623="GBP",E1623*$C$3,IF(C1623="TRY",E1623/$C$1,IF(C1623="EUR",E1623*$E$1,IF(C1623="RUB",E1623/#REF!,IF(C1623="EGP",E1623/$E$2,E1623)))))</f>
        <v>26983.106049595659</v>
      </c>
      <c r="G1623" s="15" t="str">
        <f>VLOOKUP(B1623,SPECIFICATIONF!$C$2:$D$65,2,0)</f>
        <v>GLOBAL HFT</v>
      </c>
      <c r="H1623" s="12">
        <f t="shared" si="60"/>
        <v>9</v>
      </c>
      <c r="I1623" s="12">
        <f t="shared" si="61"/>
        <v>2025</v>
      </c>
    </row>
    <row r="1624" spans="1:9" ht="19.5" customHeight="1" x14ac:dyDescent="0.35">
      <c r="A1624" s="41">
        <v>45904</v>
      </c>
      <c r="B1624" s="8" t="s">
        <v>32</v>
      </c>
      <c r="C1624" s="42" t="s">
        <v>33</v>
      </c>
      <c r="D1624" s="43" t="s">
        <v>30</v>
      </c>
      <c r="E1624" s="46">
        <v>6706.37</v>
      </c>
      <c r="F1624" s="2">
        <f>IF(C1624="GBP",E1624*$C$3,IF(C1624="TRY",E1624/$C$1,IF(C1624="EUR",E1624*$E$1,IF(C1624="RUB",E1624/#REF!,IF(C1624="EGP",E1624/$E$2,E1624)))))</f>
        <v>6706.37</v>
      </c>
      <c r="G1624" s="15" t="str">
        <f>VLOOKUP(B1624,SPECIFICATIONF!$C$2:$D$65,2,0)</f>
        <v>GLOBAL HFT</v>
      </c>
      <c r="H1624" s="12">
        <f t="shared" si="60"/>
        <v>9</v>
      </c>
      <c r="I1624" s="12">
        <f t="shared" si="61"/>
        <v>2025</v>
      </c>
    </row>
    <row r="1625" spans="1:9" ht="19.5" customHeight="1" x14ac:dyDescent="0.35">
      <c r="A1625" s="41">
        <v>45904</v>
      </c>
      <c r="B1625" s="8" t="s">
        <v>32</v>
      </c>
      <c r="C1625" s="42" t="s">
        <v>11</v>
      </c>
      <c r="D1625" s="43" t="s">
        <v>29</v>
      </c>
      <c r="E1625" s="46">
        <v>3771541907</v>
      </c>
      <c r="F1625" s="2">
        <f>IF(C1625="GBP",E1625*$C$3,IF(C1625="TRY",E1625/$C$1,IF(C1625="EUR",E1625*$E$1,IF(C1625="RUB",E1625/#REF!,IF(C1625="EGP",E1625/$E$2,E1625)))))</f>
        <v>103423704.97629356</v>
      </c>
      <c r="G1625" s="15" t="str">
        <f>VLOOKUP(B1625,SPECIFICATIONF!$C$2:$D$65,2,0)</f>
        <v>GLOBAL HFT</v>
      </c>
      <c r="H1625" s="12">
        <f t="shared" si="60"/>
        <v>9</v>
      </c>
      <c r="I1625" s="12">
        <f t="shared" si="61"/>
        <v>2025</v>
      </c>
    </row>
    <row r="1626" spans="1:9" ht="19.5" customHeight="1" x14ac:dyDescent="0.35">
      <c r="A1626" s="41">
        <v>45904</v>
      </c>
      <c r="B1626" s="8" t="s">
        <v>32</v>
      </c>
      <c r="C1626" s="42" t="s">
        <v>33</v>
      </c>
      <c r="D1626" s="43" t="s">
        <v>29</v>
      </c>
      <c r="E1626" s="46">
        <v>23393717</v>
      </c>
      <c r="F1626" s="2">
        <f>IF(C1626="GBP",E1626*$C$3,IF(C1626="TRY",E1626/$C$1,IF(C1626="EUR",E1626*$E$1,IF(C1626="RUB",E1626/#REF!,IF(C1626="EGP",E1626/$E$2,E1626)))))</f>
        <v>23393717</v>
      </c>
      <c r="G1626" s="15" t="str">
        <f>VLOOKUP(B1626,SPECIFICATIONF!$C$2:$D$65,2,0)</f>
        <v>GLOBAL HFT</v>
      </c>
      <c r="H1626" s="12">
        <f t="shared" si="60"/>
        <v>9</v>
      </c>
      <c r="I1626" s="12">
        <f t="shared" si="61"/>
        <v>2025</v>
      </c>
    </row>
    <row r="1627" spans="1:9" ht="19.5" customHeight="1" x14ac:dyDescent="0.35">
      <c r="A1627" s="41">
        <v>45904</v>
      </c>
      <c r="B1627" s="8" t="s">
        <v>24</v>
      </c>
      <c r="C1627" s="42" t="s">
        <v>11</v>
      </c>
      <c r="D1627" s="43" t="s">
        <v>30</v>
      </c>
      <c r="E1627" s="46">
        <v>0</v>
      </c>
      <c r="F1627" s="2">
        <f>IF(C1627="GBP",E1627*$C$3,IF(C1627="TRY",E1627/$C$1,IF(C1627="EUR",E1627*$E$1,IF(C1627="RUB",E1627/#REF!,IF(C1627="EGP",E1627/$E$2,E1627)))))</f>
        <v>0</v>
      </c>
      <c r="G1627" s="15" t="str">
        <f>VLOOKUP(B1627,SPECIFICATIONF!$C$2:$D$65,2,0)</f>
        <v>GLOBAL RETAIL</v>
      </c>
      <c r="H1627" s="12">
        <f t="shared" si="60"/>
        <v>9</v>
      </c>
      <c r="I1627" s="12">
        <f t="shared" si="61"/>
        <v>2025</v>
      </c>
    </row>
    <row r="1628" spans="1:9" ht="19.5" customHeight="1" x14ac:dyDescent="0.35">
      <c r="A1628" s="41">
        <v>45904</v>
      </c>
      <c r="B1628" s="8" t="s">
        <v>24</v>
      </c>
      <c r="C1628" s="42" t="s">
        <v>33</v>
      </c>
      <c r="D1628" s="43" t="s">
        <v>30</v>
      </c>
      <c r="E1628" s="46">
        <v>0</v>
      </c>
      <c r="F1628" s="2">
        <f>IF(C1628="GBP",E1628*$C$3,IF(C1628="TRY",E1628/$C$1,IF(C1628="EUR",E1628*$E$1,IF(C1628="RUB",E1628/#REF!,IF(C1628="EGP",E1628/$E$2,E1628)))))</f>
        <v>0</v>
      </c>
      <c r="G1628" s="15" t="str">
        <f>VLOOKUP(B1628,SPECIFICATIONF!$C$2:$D$65,2,0)</f>
        <v>GLOBAL RETAIL</v>
      </c>
      <c r="H1628" s="12">
        <f t="shared" si="60"/>
        <v>9</v>
      </c>
      <c r="I1628" s="12">
        <f t="shared" si="61"/>
        <v>2025</v>
      </c>
    </row>
    <row r="1629" spans="1:9" ht="19.5" customHeight="1" x14ac:dyDescent="0.35">
      <c r="A1629" s="41">
        <v>45904</v>
      </c>
      <c r="B1629" s="8" t="s">
        <v>24</v>
      </c>
      <c r="C1629" s="42" t="s">
        <v>11</v>
      </c>
      <c r="D1629" s="43" t="s">
        <v>29</v>
      </c>
      <c r="E1629" s="46">
        <v>492873</v>
      </c>
      <c r="F1629" s="2">
        <f>IF(C1629="GBP",E1629*$C$3,IF(C1629="TRY",E1629/$C$1,IF(C1629="EUR",E1629*$E$1,IF(C1629="RUB",E1629/#REF!,IF(C1629="EGP",E1629/$E$2,E1629)))))</f>
        <v>13515.626499647624</v>
      </c>
      <c r="G1629" s="15" t="str">
        <f>VLOOKUP(B1629,SPECIFICATIONF!$C$2:$D$65,2,0)</f>
        <v>GLOBAL RETAIL</v>
      </c>
      <c r="H1629" s="12">
        <f t="shared" si="60"/>
        <v>9</v>
      </c>
      <c r="I1629" s="12">
        <f t="shared" si="61"/>
        <v>2025</v>
      </c>
    </row>
    <row r="1630" spans="1:9" ht="19.5" customHeight="1" x14ac:dyDescent="0.35">
      <c r="A1630" s="41">
        <v>45904</v>
      </c>
      <c r="B1630" s="8" t="s">
        <v>24</v>
      </c>
      <c r="C1630" s="42" t="s">
        <v>33</v>
      </c>
      <c r="D1630" s="43" t="s">
        <v>29</v>
      </c>
      <c r="E1630" s="46">
        <v>0</v>
      </c>
      <c r="F1630" s="2">
        <f>IF(C1630="GBP",E1630*$C$3,IF(C1630="TRY",E1630/$C$1,IF(C1630="EUR",E1630*$E$1,IF(C1630="RUB",E1630/#REF!,IF(C1630="EGP",E1630/$E$2,E1630)))))</f>
        <v>0</v>
      </c>
      <c r="G1630" s="15" t="str">
        <f>VLOOKUP(B1630,SPECIFICATIONF!$C$2:$D$65,2,0)</f>
        <v>GLOBAL RETAIL</v>
      </c>
      <c r="H1630" s="12">
        <f t="shared" si="60"/>
        <v>9</v>
      </c>
      <c r="I1630" s="12">
        <f t="shared" si="61"/>
        <v>2025</v>
      </c>
    </row>
    <row r="1631" spans="1:9" ht="19.5" customHeight="1" x14ac:dyDescent="0.35">
      <c r="A1631" s="41">
        <v>45905</v>
      </c>
      <c r="B1631" s="8" t="s">
        <v>32</v>
      </c>
      <c r="C1631" s="42" t="s">
        <v>11</v>
      </c>
      <c r="D1631" s="43" t="s">
        <v>30</v>
      </c>
      <c r="E1631" s="46">
        <v>1189979.57</v>
      </c>
      <c r="F1631" s="2">
        <f>IF(C1631="GBP",E1631*$C$3,IF(C1631="TRY",E1631/$C$1,IF(C1631="EUR",E1631*$E$1,IF(C1631="RUB",E1631/#REF!,IF(C1631="EGP",E1631/$E$2,E1631)))))</f>
        <v>32631.772100178518</v>
      </c>
      <c r="G1631" s="15" t="str">
        <f>VLOOKUP(B1631,SPECIFICATIONF!$C$2:$D$65,2,0)</f>
        <v>GLOBAL HFT</v>
      </c>
      <c r="H1631" s="12">
        <f t="shared" si="60"/>
        <v>9</v>
      </c>
      <c r="I1631" s="12">
        <f t="shared" si="61"/>
        <v>2025</v>
      </c>
    </row>
    <row r="1632" spans="1:9" ht="19.5" customHeight="1" x14ac:dyDescent="0.35">
      <c r="A1632" s="41">
        <v>45905</v>
      </c>
      <c r="B1632" s="8" t="s">
        <v>32</v>
      </c>
      <c r="C1632" s="42" t="s">
        <v>33</v>
      </c>
      <c r="D1632" s="43" t="s">
        <v>30</v>
      </c>
      <c r="E1632" s="46">
        <v>9426.33</v>
      </c>
      <c r="F1632" s="2">
        <f>IF(C1632="GBP",E1632*$C$3,IF(C1632="TRY",E1632/$C$1,IF(C1632="EUR",E1632*$E$1,IF(C1632="RUB",E1632/#REF!,IF(C1632="EGP",E1632/$E$2,E1632)))))</f>
        <v>9426.33</v>
      </c>
      <c r="G1632" s="15" t="str">
        <f>VLOOKUP(B1632,SPECIFICATIONF!$C$2:$D$65,2,0)</f>
        <v>GLOBAL HFT</v>
      </c>
      <c r="H1632" s="12">
        <f t="shared" si="60"/>
        <v>9</v>
      </c>
      <c r="I1632" s="12">
        <f t="shared" si="61"/>
        <v>2025</v>
      </c>
    </row>
    <row r="1633" spans="1:9" ht="19.5" customHeight="1" x14ac:dyDescent="0.35">
      <c r="A1633" s="41">
        <v>45905</v>
      </c>
      <c r="B1633" s="8" t="s">
        <v>32</v>
      </c>
      <c r="C1633" s="42" t="s">
        <v>11</v>
      </c>
      <c r="D1633" s="43" t="s">
        <v>29</v>
      </c>
      <c r="E1633" s="46">
        <v>4419420484</v>
      </c>
      <c r="F1633" s="2">
        <f>IF(C1633="GBP",E1633*$C$3,IF(C1633="TRY",E1633/$C$1,IF(C1633="EUR",E1633*$E$1,IF(C1633="RUB",E1633/#REF!,IF(C1633="EGP",E1633/$E$2,E1633)))))</f>
        <v>121189914.25100569</v>
      </c>
      <c r="G1633" s="15" t="str">
        <f>VLOOKUP(B1633,SPECIFICATIONF!$C$2:$D$65,2,0)</f>
        <v>GLOBAL HFT</v>
      </c>
      <c r="H1633" s="12">
        <f t="shared" si="60"/>
        <v>9</v>
      </c>
      <c r="I1633" s="12">
        <f t="shared" si="61"/>
        <v>2025</v>
      </c>
    </row>
    <row r="1634" spans="1:9" ht="19.5" customHeight="1" x14ac:dyDescent="0.35">
      <c r="A1634" s="41">
        <v>45905</v>
      </c>
      <c r="B1634" s="8" t="s">
        <v>32</v>
      </c>
      <c r="C1634" s="42" t="s">
        <v>33</v>
      </c>
      <c r="D1634" s="43" t="s">
        <v>29</v>
      </c>
      <c r="E1634" s="46">
        <v>33225718</v>
      </c>
      <c r="F1634" s="2">
        <f>IF(C1634="GBP",E1634*$C$3,IF(C1634="TRY",E1634/$C$1,IF(C1634="EUR",E1634*$E$1,IF(C1634="RUB",E1634/#REF!,IF(C1634="EGP",E1634/$E$2,E1634)))))</f>
        <v>33225718</v>
      </c>
      <c r="G1634" s="15" t="str">
        <f>VLOOKUP(B1634,SPECIFICATIONF!$C$2:$D$65,2,0)</f>
        <v>GLOBAL HFT</v>
      </c>
      <c r="H1634" s="12">
        <f t="shared" si="60"/>
        <v>9</v>
      </c>
      <c r="I1634" s="12">
        <f t="shared" si="61"/>
        <v>2025</v>
      </c>
    </row>
    <row r="1635" spans="1:9" ht="19.5" customHeight="1" x14ac:dyDescent="0.35">
      <c r="A1635" s="41">
        <v>45905</v>
      </c>
      <c r="B1635" s="8" t="s">
        <v>24</v>
      </c>
      <c r="C1635" s="42" t="s">
        <v>11</v>
      </c>
      <c r="D1635" s="43" t="s">
        <v>30</v>
      </c>
      <c r="E1635" s="46">
        <v>0</v>
      </c>
      <c r="F1635" s="2">
        <f>IF(C1635="GBP",E1635*$C$3,IF(C1635="TRY",E1635/$C$1,IF(C1635="EUR",E1635*$E$1,IF(C1635="RUB",E1635/#REF!,IF(C1635="EGP",E1635/$E$2,E1635)))))</f>
        <v>0</v>
      </c>
      <c r="G1635" s="15" t="str">
        <f>VLOOKUP(B1635,SPECIFICATIONF!$C$2:$D$65,2,0)</f>
        <v>GLOBAL RETAIL</v>
      </c>
      <c r="H1635" s="12">
        <f t="shared" si="60"/>
        <v>9</v>
      </c>
      <c r="I1635" s="12">
        <f t="shared" si="61"/>
        <v>2025</v>
      </c>
    </row>
    <row r="1636" spans="1:9" ht="19.5" customHeight="1" x14ac:dyDescent="0.35">
      <c r="A1636" s="41">
        <v>45905</v>
      </c>
      <c r="B1636" s="8" t="s">
        <v>24</v>
      </c>
      <c r="C1636" s="42" t="s">
        <v>33</v>
      </c>
      <c r="D1636" s="43" t="s">
        <v>30</v>
      </c>
      <c r="E1636" s="46">
        <v>0</v>
      </c>
      <c r="F1636" s="2">
        <f>IF(C1636="GBP",E1636*$C$3,IF(C1636="TRY",E1636/$C$1,IF(C1636="EUR",E1636*$E$1,IF(C1636="RUB",E1636/#REF!,IF(C1636="EGP",E1636/$E$2,E1636)))))</f>
        <v>0</v>
      </c>
      <c r="G1636" s="15" t="str">
        <f>VLOOKUP(B1636,SPECIFICATIONF!$C$2:$D$65,2,0)</f>
        <v>GLOBAL RETAIL</v>
      </c>
      <c r="H1636" s="12">
        <f t="shared" si="60"/>
        <v>9</v>
      </c>
      <c r="I1636" s="12">
        <f t="shared" si="61"/>
        <v>2025</v>
      </c>
    </row>
    <row r="1637" spans="1:9" ht="19.5" customHeight="1" x14ac:dyDescent="0.35">
      <c r="A1637" s="41">
        <v>45905</v>
      </c>
      <c r="B1637" s="8" t="s">
        <v>24</v>
      </c>
      <c r="C1637" s="42" t="s">
        <v>11</v>
      </c>
      <c r="D1637" s="43" t="s">
        <v>29</v>
      </c>
      <c r="E1637" s="46">
        <v>0</v>
      </c>
      <c r="F1637" s="2">
        <f>IF(C1637="GBP",E1637*$C$3,IF(C1637="TRY",E1637/$C$1,IF(C1637="EUR",E1637*$E$1,IF(C1637="RUB",E1637/#REF!,IF(C1637="EGP",E1637/$E$2,E1637)))))</f>
        <v>0</v>
      </c>
      <c r="G1637" s="15" t="str">
        <f>VLOOKUP(B1637,SPECIFICATIONF!$C$2:$D$65,2,0)</f>
        <v>GLOBAL RETAIL</v>
      </c>
      <c r="H1637" s="12">
        <f t="shared" si="60"/>
        <v>9</v>
      </c>
      <c r="I1637" s="12">
        <f t="shared" si="61"/>
        <v>2025</v>
      </c>
    </row>
    <row r="1638" spans="1:9" ht="19.5" customHeight="1" x14ac:dyDescent="0.35">
      <c r="A1638" s="41">
        <v>45905</v>
      </c>
      <c r="B1638" s="8" t="s">
        <v>24</v>
      </c>
      <c r="C1638" s="42" t="s">
        <v>33</v>
      </c>
      <c r="D1638" s="43" t="s">
        <v>29</v>
      </c>
      <c r="E1638" s="46">
        <v>102</v>
      </c>
      <c r="F1638" s="2">
        <f>IF(C1638="GBP",E1638*$C$3,IF(C1638="TRY",E1638/$C$1,IF(C1638="EUR",E1638*$E$1,IF(C1638="RUB",E1638/#REF!,IF(C1638="EGP",E1638/$E$2,E1638)))))</f>
        <v>102</v>
      </c>
      <c r="G1638" s="15" t="str">
        <f>VLOOKUP(B1638,SPECIFICATIONF!$C$2:$D$65,2,0)</f>
        <v>GLOBAL RETAIL</v>
      </c>
      <c r="H1638" s="12">
        <f t="shared" ref="H1638:H1701" si="62">MONTH(A1638)</f>
        <v>9</v>
      </c>
      <c r="I1638" s="12">
        <f t="shared" ref="I1638:I1701" si="63">YEAR(A1638)</f>
        <v>2025</v>
      </c>
    </row>
    <row r="1639" spans="1:9" ht="19.5" customHeight="1" x14ac:dyDescent="0.35">
      <c r="A1639" s="41">
        <v>45906</v>
      </c>
      <c r="B1639" s="8" t="s">
        <v>32</v>
      </c>
      <c r="C1639" s="42" t="s">
        <v>11</v>
      </c>
      <c r="D1639" s="43" t="s">
        <v>30</v>
      </c>
      <c r="E1639" s="46">
        <v>1451719.72</v>
      </c>
      <c r="F1639" s="2">
        <f>IF(C1639="GBP",E1639*$C$3,IF(C1639="TRY",E1639/$C$1,IF(C1639="EUR",E1639*$E$1,IF(C1639="RUB",E1639/#REF!,IF(C1639="EGP",E1639/$E$2,E1639)))))</f>
        <v>39809.243999352831</v>
      </c>
      <c r="G1639" s="15" t="str">
        <f>VLOOKUP(B1639,SPECIFICATIONF!$C$2:$D$65,2,0)</f>
        <v>GLOBAL HFT</v>
      </c>
      <c r="H1639" s="12">
        <f t="shared" si="62"/>
        <v>9</v>
      </c>
      <c r="I1639" s="12">
        <f t="shared" si="63"/>
        <v>2025</v>
      </c>
    </row>
    <row r="1640" spans="1:9" ht="19.5" customHeight="1" x14ac:dyDescent="0.35">
      <c r="A1640" s="41">
        <v>45906</v>
      </c>
      <c r="B1640" s="8" t="s">
        <v>32</v>
      </c>
      <c r="C1640" s="42" t="s">
        <v>33</v>
      </c>
      <c r="D1640" s="43" t="s">
        <v>30</v>
      </c>
      <c r="E1640" s="46">
        <v>6726.9354774427902</v>
      </c>
      <c r="F1640" s="2">
        <f>IF(C1640="GBP",E1640*$C$3,IF(C1640="TRY",E1640/$C$1,IF(C1640="EUR",E1640*$E$1,IF(C1640="RUB",E1640/#REF!,IF(C1640="EGP",E1640/$E$2,E1640)))))</f>
        <v>6726.9354774427902</v>
      </c>
      <c r="G1640" s="15" t="str">
        <f>VLOOKUP(B1640,SPECIFICATIONF!$C$2:$D$65,2,0)</f>
        <v>GLOBAL HFT</v>
      </c>
      <c r="H1640" s="12">
        <f t="shared" si="62"/>
        <v>9</v>
      </c>
      <c r="I1640" s="12">
        <f t="shared" si="63"/>
        <v>2025</v>
      </c>
    </row>
    <row r="1641" spans="1:9" ht="19.5" customHeight="1" x14ac:dyDescent="0.35">
      <c r="A1641" s="41">
        <v>45906</v>
      </c>
      <c r="B1641" s="8" t="s">
        <v>32</v>
      </c>
      <c r="C1641" s="42" t="s">
        <v>11</v>
      </c>
      <c r="D1641" s="43" t="s">
        <v>29</v>
      </c>
      <c r="E1641" s="46">
        <v>5477442793</v>
      </c>
      <c r="F1641" s="2">
        <f>IF(C1641="GBP",E1641*$C$3,IF(C1641="TRY",E1641/$C$1,IF(C1641="EUR",E1641*$E$1,IF(C1641="RUB",E1641/#REF!,IF(C1641="EGP",E1641/$E$2,E1641)))))</f>
        <v>150203137.44793221</v>
      </c>
      <c r="G1641" s="15" t="str">
        <f>VLOOKUP(B1641,SPECIFICATIONF!$C$2:$D$65,2,0)</f>
        <v>GLOBAL HFT</v>
      </c>
      <c r="H1641" s="12">
        <f t="shared" si="62"/>
        <v>9</v>
      </c>
      <c r="I1641" s="12">
        <f t="shared" si="63"/>
        <v>2025</v>
      </c>
    </row>
    <row r="1642" spans="1:9" ht="19.5" customHeight="1" x14ac:dyDescent="0.35">
      <c r="A1642" s="41">
        <v>45906</v>
      </c>
      <c r="B1642" s="8" t="s">
        <v>32</v>
      </c>
      <c r="C1642" s="42" t="s">
        <v>33</v>
      </c>
      <c r="D1642" s="43" t="s">
        <v>29</v>
      </c>
      <c r="E1642" s="46">
        <v>23587512</v>
      </c>
      <c r="F1642" s="2">
        <f>IF(C1642="GBP",E1642*$C$3,IF(C1642="TRY",E1642/$C$1,IF(C1642="EUR",E1642*$E$1,IF(C1642="RUB",E1642/#REF!,IF(C1642="EGP",E1642/$E$2,E1642)))))</f>
        <v>23587512</v>
      </c>
      <c r="G1642" s="15" t="str">
        <f>VLOOKUP(B1642,SPECIFICATIONF!$C$2:$D$65,2,0)</f>
        <v>GLOBAL HFT</v>
      </c>
      <c r="H1642" s="12">
        <f t="shared" si="62"/>
        <v>9</v>
      </c>
      <c r="I1642" s="12">
        <f t="shared" si="63"/>
        <v>2025</v>
      </c>
    </row>
    <row r="1643" spans="1:9" ht="19.5" customHeight="1" x14ac:dyDescent="0.35">
      <c r="A1643" s="41">
        <v>45906</v>
      </c>
      <c r="B1643" s="8" t="s">
        <v>24</v>
      </c>
      <c r="C1643" s="42" t="s">
        <v>11</v>
      </c>
      <c r="D1643" s="43" t="s">
        <v>30</v>
      </c>
      <c r="E1643" s="46">
        <v>0</v>
      </c>
      <c r="F1643" s="2">
        <f>IF(C1643="GBP",E1643*$C$3,IF(C1643="TRY",E1643/$C$1,IF(C1643="EUR",E1643*$E$1,IF(C1643="RUB",E1643/#REF!,IF(C1643="EGP",E1643/$E$2,E1643)))))</f>
        <v>0</v>
      </c>
      <c r="G1643" s="15" t="str">
        <f>VLOOKUP(B1643,SPECIFICATIONF!$C$2:$D$65,2,0)</f>
        <v>GLOBAL RETAIL</v>
      </c>
      <c r="H1643" s="12">
        <f t="shared" si="62"/>
        <v>9</v>
      </c>
      <c r="I1643" s="12">
        <f t="shared" si="63"/>
        <v>2025</v>
      </c>
    </row>
    <row r="1644" spans="1:9" ht="19.5" customHeight="1" x14ac:dyDescent="0.35">
      <c r="A1644" s="41">
        <v>45906</v>
      </c>
      <c r="B1644" s="8" t="s">
        <v>24</v>
      </c>
      <c r="C1644" s="42" t="s">
        <v>33</v>
      </c>
      <c r="D1644" s="43" t="s">
        <v>30</v>
      </c>
      <c r="E1644" s="46">
        <v>0</v>
      </c>
      <c r="F1644" s="2">
        <f>IF(C1644="GBP",E1644*$C$3,IF(C1644="TRY",E1644/$C$1,IF(C1644="EUR",E1644*$E$1,IF(C1644="RUB",E1644/#REF!,IF(C1644="EGP",E1644/$E$2,E1644)))))</f>
        <v>0</v>
      </c>
      <c r="G1644" s="15" t="str">
        <f>VLOOKUP(B1644,SPECIFICATIONF!$C$2:$D$65,2,0)</f>
        <v>GLOBAL RETAIL</v>
      </c>
      <c r="H1644" s="12">
        <f t="shared" si="62"/>
        <v>9</v>
      </c>
      <c r="I1644" s="12">
        <f t="shared" si="63"/>
        <v>2025</v>
      </c>
    </row>
    <row r="1645" spans="1:9" ht="19.5" customHeight="1" x14ac:dyDescent="0.35">
      <c r="A1645" s="41">
        <v>45906</v>
      </c>
      <c r="B1645" s="8" t="s">
        <v>24</v>
      </c>
      <c r="C1645" s="42" t="s">
        <v>11</v>
      </c>
      <c r="D1645" s="43" t="s">
        <v>29</v>
      </c>
      <c r="E1645" s="46">
        <v>1606755</v>
      </c>
      <c r="F1645" s="2">
        <f>IF(C1645="GBP",E1645*$C$3,IF(C1645="TRY",E1645/$C$1,IF(C1645="EUR",E1645*$E$1,IF(C1645="RUB",E1645/#REF!,IF(C1645="EGP",E1645/$E$2,E1645)))))</f>
        <v>44060.641293885688</v>
      </c>
      <c r="G1645" s="15" t="str">
        <f>VLOOKUP(B1645,SPECIFICATIONF!$C$2:$D$65,2,0)</f>
        <v>GLOBAL RETAIL</v>
      </c>
      <c r="H1645" s="12">
        <f t="shared" si="62"/>
        <v>9</v>
      </c>
      <c r="I1645" s="12">
        <f t="shared" si="63"/>
        <v>2025</v>
      </c>
    </row>
    <row r="1646" spans="1:9" ht="19.5" customHeight="1" x14ac:dyDescent="0.35">
      <c r="A1646" s="41">
        <v>45906</v>
      </c>
      <c r="B1646" s="8" t="s">
        <v>24</v>
      </c>
      <c r="C1646" s="42" t="s">
        <v>33</v>
      </c>
      <c r="D1646" s="43" t="s">
        <v>29</v>
      </c>
      <c r="E1646" s="46">
        <v>0</v>
      </c>
      <c r="F1646" s="2">
        <f>IF(C1646="GBP",E1646*$C$3,IF(C1646="TRY",E1646/$C$1,IF(C1646="EUR",E1646*$E$1,IF(C1646="RUB",E1646/#REF!,IF(C1646="EGP",E1646/$E$2,E1646)))))</f>
        <v>0</v>
      </c>
      <c r="G1646" s="15" t="str">
        <f>VLOOKUP(B1646,SPECIFICATIONF!$C$2:$D$65,2,0)</f>
        <v>GLOBAL RETAIL</v>
      </c>
      <c r="H1646" s="12">
        <f t="shared" si="62"/>
        <v>9</v>
      </c>
      <c r="I1646" s="12">
        <f t="shared" si="63"/>
        <v>2025</v>
      </c>
    </row>
    <row r="1647" spans="1:9" ht="19.5" customHeight="1" x14ac:dyDescent="0.35">
      <c r="A1647" s="41">
        <v>45907</v>
      </c>
      <c r="B1647" s="8" t="s">
        <v>32</v>
      </c>
      <c r="C1647" s="42" t="s">
        <v>11</v>
      </c>
      <c r="D1647" s="43" t="s">
        <v>30</v>
      </c>
      <c r="E1647" s="46">
        <v>1613835.18</v>
      </c>
      <c r="F1647" s="2">
        <f>IF(C1647="GBP",E1647*$C$3,IF(C1647="TRY",E1647/$C$1,IF(C1647="EUR",E1647*$E$1,IF(C1647="RUB",E1647/#REF!,IF(C1647="EGP",E1647/$E$2,E1647)))))</f>
        <v>44254.794896193533</v>
      </c>
      <c r="G1647" s="15" t="str">
        <f>VLOOKUP(B1647,SPECIFICATIONF!$C$2:$D$65,2,0)</f>
        <v>GLOBAL HFT</v>
      </c>
      <c r="H1647" s="12">
        <f t="shared" si="62"/>
        <v>9</v>
      </c>
      <c r="I1647" s="12">
        <f t="shared" si="63"/>
        <v>2025</v>
      </c>
    </row>
    <row r="1648" spans="1:9" ht="19.5" customHeight="1" x14ac:dyDescent="0.35">
      <c r="A1648" s="41">
        <v>45907</v>
      </c>
      <c r="B1648" s="8" t="s">
        <v>32</v>
      </c>
      <c r="C1648" s="42" t="s">
        <v>33</v>
      </c>
      <c r="D1648" s="43" t="s">
        <v>30</v>
      </c>
      <c r="E1648" s="46">
        <v>6498.14</v>
      </c>
      <c r="F1648" s="2">
        <f>IF(C1648="GBP",E1648*$C$3,IF(C1648="TRY",E1648/$C$1,IF(C1648="EUR",E1648*$E$1,IF(C1648="RUB",E1648/#REF!,IF(C1648="EGP",E1648/$E$2,E1648)))))</f>
        <v>6498.14</v>
      </c>
      <c r="G1648" s="15" t="str">
        <f>VLOOKUP(B1648,SPECIFICATIONF!$C$2:$D$65,2,0)</f>
        <v>GLOBAL HFT</v>
      </c>
      <c r="H1648" s="12">
        <f t="shared" si="62"/>
        <v>9</v>
      </c>
      <c r="I1648" s="12">
        <f t="shared" si="63"/>
        <v>2025</v>
      </c>
    </row>
    <row r="1649" spans="1:9" ht="19.5" customHeight="1" x14ac:dyDescent="0.35">
      <c r="A1649" s="41">
        <v>45907</v>
      </c>
      <c r="B1649" s="8" t="s">
        <v>32</v>
      </c>
      <c r="C1649" s="42" t="s">
        <v>11</v>
      </c>
      <c r="D1649" s="43" t="s">
        <v>29</v>
      </c>
      <c r="E1649" s="46">
        <v>6005396353</v>
      </c>
      <c r="F1649" s="2">
        <f>IF(C1649="GBP",E1649*$C$3,IF(C1649="TRY",E1649/$C$1,IF(C1649="EUR",E1649*$E$1,IF(C1649="RUB",E1649/#REF!,IF(C1649="EGP",E1649/$E$2,E1649)))))</f>
        <v>164680747.55463171</v>
      </c>
      <c r="G1649" s="15" t="str">
        <f>VLOOKUP(B1649,SPECIFICATIONF!$C$2:$D$65,2,0)</f>
        <v>GLOBAL HFT</v>
      </c>
      <c r="H1649" s="12">
        <f t="shared" si="62"/>
        <v>9</v>
      </c>
      <c r="I1649" s="12">
        <f t="shared" si="63"/>
        <v>2025</v>
      </c>
    </row>
    <row r="1650" spans="1:9" ht="19.5" customHeight="1" x14ac:dyDescent="0.35">
      <c r="A1650" s="41">
        <v>45907</v>
      </c>
      <c r="B1650" s="8" t="s">
        <v>32</v>
      </c>
      <c r="C1650" s="42" t="s">
        <v>33</v>
      </c>
      <c r="D1650" s="43" t="s">
        <v>29</v>
      </c>
      <c r="E1650" s="46">
        <v>23667426</v>
      </c>
      <c r="F1650" s="2">
        <f>IF(C1650="GBP",E1650*$C$3,IF(C1650="TRY",E1650/$C$1,IF(C1650="EUR",E1650*$E$1,IF(C1650="RUB",E1650/#REF!,IF(C1650="EGP",E1650/$E$2,E1650)))))</f>
        <v>23667426</v>
      </c>
      <c r="G1650" s="15" t="str">
        <f>VLOOKUP(B1650,SPECIFICATIONF!$C$2:$D$65,2,0)</f>
        <v>GLOBAL HFT</v>
      </c>
      <c r="H1650" s="12">
        <f t="shared" si="62"/>
        <v>9</v>
      </c>
      <c r="I1650" s="12">
        <f t="shared" si="63"/>
        <v>2025</v>
      </c>
    </row>
    <row r="1651" spans="1:9" ht="19.5" customHeight="1" x14ac:dyDescent="0.35">
      <c r="A1651" s="41">
        <v>45907</v>
      </c>
      <c r="B1651" s="8" t="s">
        <v>24</v>
      </c>
      <c r="C1651" s="42" t="s">
        <v>11</v>
      </c>
      <c r="D1651" s="43" t="s">
        <v>30</v>
      </c>
      <c r="E1651" s="46">
        <v>0.1</v>
      </c>
      <c r="F1651" s="2">
        <f>IF(C1651="GBP",E1651*$C$3,IF(C1651="TRY",E1651/$C$1,IF(C1651="EUR",E1651*$E$1,IF(C1651="RUB",E1651/#REF!,IF(C1651="EGP",E1651/$E$2,E1651)))))</f>
        <v>2.7422128011977986E-3</v>
      </c>
      <c r="G1651" s="15" t="str">
        <f>VLOOKUP(B1651,SPECIFICATIONF!$C$2:$D$65,2,0)</f>
        <v>GLOBAL RETAIL</v>
      </c>
      <c r="H1651" s="12">
        <f t="shared" si="62"/>
        <v>9</v>
      </c>
      <c r="I1651" s="12">
        <f t="shared" si="63"/>
        <v>2025</v>
      </c>
    </row>
    <row r="1652" spans="1:9" ht="19.5" customHeight="1" x14ac:dyDescent="0.35">
      <c r="A1652" s="41">
        <v>45907</v>
      </c>
      <c r="B1652" s="8" t="s">
        <v>24</v>
      </c>
      <c r="C1652" s="42" t="s">
        <v>33</v>
      </c>
      <c r="D1652" s="43" t="s">
        <v>30</v>
      </c>
      <c r="E1652" s="46">
        <v>0</v>
      </c>
      <c r="F1652" s="2">
        <f>IF(C1652="GBP",E1652*$C$3,IF(C1652="TRY",E1652/$C$1,IF(C1652="EUR",E1652*$E$1,IF(C1652="RUB",E1652/#REF!,IF(C1652="EGP",E1652/$E$2,E1652)))))</f>
        <v>0</v>
      </c>
      <c r="G1652" s="15" t="str">
        <f>VLOOKUP(B1652,SPECIFICATIONF!$C$2:$D$65,2,0)</f>
        <v>GLOBAL RETAIL</v>
      </c>
      <c r="H1652" s="12">
        <f t="shared" si="62"/>
        <v>9</v>
      </c>
      <c r="I1652" s="12">
        <f t="shared" si="63"/>
        <v>2025</v>
      </c>
    </row>
    <row r="1653" spans="1:9" ht="19.5" customHeight="1" x14ac:dyDescent="0.35">
      <c r="A1653" s="41">
        <v>45907</v>
      </c>
      <c r="B1653" s="8" t="s">
        <v>24</v>
      </c>
      <c r="C1653" s="42" t="s">
        <v>11</v>
      </c>
      <c r="D1653" s="43" t="s">
        <v>29</v>
      </c>
      <c r="E1653" s="46">
        <v>4110731</v>
      </c>
      <c r="F1653" s="2">
        <f>IF(C1653="GBP",E1653*$C$3,IF(C1653="TRY",E1653/$C$1,IF(C1653="EUR",E1653*$E$1,IF(C1653="RUB",E1653/#REF!,IF(C1653="EGP",E1653/$E$2,E1653)))))</f>
        <v>112724.99170480626</v>
      </c>
      <c r="G1653" s="15" t="str">
        <f>VLOOKUP(B1653,SPECIFICATIONF!$C$2:$D$65,2,0)</f>
        <v>GLOBAL RETAIL</v>
      </c>
      <c r="H1653" s="12">
        <f t="shared" si="62"/>
        <v>9</v>
      </c>
      <c r="I1653" s="12">
        <f t="shared" si="63"/>
        <v>2025</v>
      </c>
    </row>
    <row r="1654" spans="1:9" ht="19.5" customHeight="1" x14ac:dyDescent="0.35">
      <c r="A1654" s="41">
        <v>45907</v>
      </c>
      <c r="B1654" s="8" t="s">
        <v>24</v>
      </c>
      <c r="C1654" s="42" t="s">
        <v>33</v>
      </c>
      <c r="D1654" s="43" t="s">
        <v>29</v>
      </c>
      <c r="E1654" s="46">
        <v>0</v>
      </c>
      <c r="F1654" s="2">
        <f>IF(C1654="GBP",E1654*$C$3,IF(C1654="TRY",E1654/$C$1,IF(C1654="EUR",E1654*$E$1,IF(C1654="RUB",E1654/#REF!,IF(C1654="EGP",E1654/$E$2,E1654)))))</f>
        <v>0</v>
      </c>
      <c r="G1654" s="15" t="str">
        <f>VLOOKUP(B1654,SPECIFICATIONF!$C$2:$D$65,2,0)</f>
        <v>GLOBAL RETAIL</v>
      </c>
      <c r="H1654" s="12">
        <f t="shared" si="62"/>
        <v>9</v>
      </c>
      <c r="I1654" s="12">
        <f t="shared" si="63"/>
        <v>2025</v>
      </c>
    </row>
    <row r="1655" spans="1:9" ht="19.5" customHeight="1" x14ac:dyDescent="0.35">
      <c r="A1655" s="41">
        <v>45908</v>
      </c>
      <c r="B1655" s="8" t="s">
        <v>32</v>
      </c>
      <c r="C1655" s="42" t="s">
        <v>11</v>
      </c>
      <c r="D1655" s="43" t="s">
        <v>30</v>
      </c>
      <c r="E1655" s="46">
        <v>2278153.23</v>
      </c>
      <c r="F1655" s="2">
        <f>IF(C1655="GBP",E1655*$C$3,IF(C1655="TRY",E1655/$C$1,IF(C1655="EUR",E1655*$E$1,IF(C1655="RUB",E1655/#REF!,IF(C1655="EGP",E1655/$E$2,E1655)))))</f>
        <v>62471.809503961122</v>
      </c>
      <c r="G1655" s="15" t="str">
        <f>VLOOKUP(B1655,SPECIFICATIONF!$C$2:$D$65,2,0)</f>
        <v>GLOBAL HFT</v>
      </c>
      <c r="H1655" s="12">
        <f t="shared" si="62"/>
        <v>9</v>
      </c>
      <c r="I1655" s="12">
        <f t="shared" si="63"/>
        <v>2025</v>
      </c>
    </row>
    <row r="1656" spans="1:9" ht="19.5" customHeight="1" x14ac:dyDescent="0.35">
      <c r="A1656" s="41">
        <v>45908</v>
      </c>
      <c r="B1656" s="8" t="s">
        <v>32</v>
      </c>
      <c r="C1656" s="42" t="s">
        <v>33</v>
      </c>
      <c r="D1656" s="43" t="s">
        <v>30</v>
      </c>
      <c r="E1656" s="46">
        <v>13325.08</v>
      </c>
      <c r="F1656" s="2">
        <f>IF(C1656="GBP",E1656*$C$3,IF(C1656="TRY",E1656/$C$1,IF(C1656="EUR",E1656*$E$1,IF(C1656="RUB",E1656/#REF!,IF(C1656="EGP",E1656/$E$2,E1656)))))</f>
        <v>13325.08</v>
      </c>
      <c r="G1656" s="15" t="str">
        <f>VLOOKUP(B1656,SPECIFICATIONF!$C$2:$D$65,2,0)</f>
        <v>GLOBAL HFT</v>
      </c>
      <c r="H1656" s="12">
        <f t="shared" si="62"/>
        <v>9</v>
      </c>
      <c r="I1656" s="12">
        <f t="shared" si="63"/>
        <v>2025</v>
      </c>
    </row>
    <row r="1657" spans="1:9" ht="19.5" customHeight="1" x14ac:dyDescent="0.35">
      <c r="A1657" s="41">
        <v>45908</v>
      </c>
      <c r="B1657" s="8" t="s">
        <v>32</v>
      </c>
      <c r="C1657" s="42" t="s">
        <v>11</v>
      </c>
      <c r="D1657" s="43" t="s">
        <v>29</v>
      </c>
      <c r="E1657" s="46">
        <v>8558310606</v>
      </c>
      <c r="F1657" s="2">
        <f>IF(C1657="GBP",E1657*$C$3,IF(C1657="TRY",E1657/$C$1,IF(C1657="EUR",E1657*$E$1,IF(C1657="RUB",E1657/#REF!,IF(C1657="EGP",E1657/$E$2,E1657)))))</f>
        <v>234687089.00400087</v>
      </c>
      <c r="G1657" s="15" t="str">
        <f>VLOOKUP(B1657,SPECIFICATIONF!$C$2:$D$65,2,0)</f>
        <v>GLOBAL HFT</v>
      </c>
      <c r="H1657" s="12">
        <f t="shared" si="62"/>
        <v>9</v>
      </c>
      <c r="I1657" s="12">
        <f t="shared" si="63"/>
        <v>2025</v>
      </c>
    </row>
    <row r="1658" spans="1:9" ht="19.5" customHeight="1" x14ac:dyDescent="0.35">
      <c r="A1658" s="41">
        <v>45908</v>
      </c>
      <c r="B1658" s="8" t="s">
        <v>32</v>
      </c>
      <c r="C1658" s="42" t="s">
        <v>33</v>
      </c>
      <c r="D1658" s="43" t="s">
        <v>29</v>
      </c>
      <c r="E1658" s="46">
        <v>46640788</v>
      </c>
      <c r="F1658" s="2">
        <f>IF(C1658="GBP",E1658*$C$3,IF(C1658="TRY",E1658/$C$1,IF(C1658="EUR",E1658*$E$1,IF(C1658="RUB",E1658/#REF!,IF(C1658="EGP",E1658/$E$2,E1658)))))</f>
        <v>46640788</v>
      </c>
      <c r="G1658" s="15" t="str">
        <f>VLOOKUP(B1658,SPECIFICATIONF!$C$2:$D$65,2,0)</f>
        <v>GLOBAL HFT</v>
      </c>
      <c r="H1658" s="12">
        <f t="shared" si="62"/>
        <v>9</v>
      </c>
      <c r="I1658" s="12">
        <f t="shared" si="63"/>
        <v>2025</v>
      </c>
    </row>
    <row r="1659" spans="1:9" ht="19.5" customHeight="1" x14ac:dyDescent="0.35">
      <c r="A1659" s="41">
        <v>45908</v>
      </c>
      <c r="B1659" s="8" t="s">
        <v>24</v>
      </c>
      <c r="C1659" s="42" t="s">
        <v>11</v>
      </c>
      <c r="D1659" s="43" t="s">
        <v>30</v>
      </c>
      <c r="E1659" s="46">
        <v>0</v>
      </c>
      <c r="F1659" s="2">
        <f>IF(C1659="GBP",E1659*$C$3,IF(C1659="TRY",E1659/$C$1,IF(C1659="EUR",E1659*$E$1,IF(C1659="RUB",E1659/#REF!,IF(C1659="EGP",E1659/$E$2,E1659)))))</f>
        <v>0</v>
      </c>
      <c r="G1659" s="15" t="str">
        <f>VLOOKUP(B1659,SPECIFICATIONF!$C$2:$D$65,2,0)</f>
        <v>GLOBAL RETAIL</v>
      </c>
      <c r="H1659" s="12">
        <f t="shared" si="62"/>
        <v>9</v>
      </c>
      <c r="I1659" s="12">
        <f t="shared" si="63"/>
        <v>2025</v>
      </c>
    </row>
    <row r="1660" spans="1:9" ht="19.5" customHeight="1" x14ac:dyDescent="0.35">
      <c r="A1660" s="41">
        <v>45908</v>
      </c>
      <c r="B1660" s="8" t="s">
        <v>24</v>
      </c>
      <c r="C1660" s="42" t="s">
        <v>33</v>
      </c>
      <c r="D1660" s="43" t="s">
        <v>30</v>
      </c>
      <c r="E1660" s="46">
        <v>0</v>
      </c>
      <c r="F1660" s="2">
        <f>IF(C1660="GBP",E1660*$C$3,IF(C1660="TRY",E1660/$C$1,IF(C1660="EUR",E1660*$E$1,IF(C1660="RUB",E1660/#REF!,IF(C1660="EGP",E1660/$E$2,E1660)))))</f>
        <v>0</v>
      </c>
      <c r="G1660" s="15" t="str">
        <f>VLOOKUP(B1660,SPECIFICATIONF!$C$2:$D$65,2,0)</f>
        <v>GLOBAL RETAIL</v>
      </c>
      <c r="H1660" s="12">
        <f t="shared" si="62"/>
        <v>9</v>
      </c>
      <c r="I1660" s="12">
        <f t="shared" si="63"/>
        <v>2025</v>
      </c>
    </row>
    <row r="1661" spans="1:9" ht="19.5" customHeight="1" x14ac:dyDescent="0.35">
      <c r="A1661" s="41">
        <v>45908</v>
      </c>
      <c r="B1661" s="8" t="s">
        <v>24</v>
      </c>
      <c r="C1661" s="42" t="s">
        <v>11</v>
      </c>
      <c r="D1661" s="43" t="s">
        <v>29</v>
      </c>
      <c r="E1661" s="46">
        <v>115934</v>
      </c>
      <c r="F1661" s="2">
        <f>IF(C1661="GBP",E1661*$C$3,IF(C1661="TRY",E1661/$C$1,IF(C1661="EUR",E1661*$E$1,IF(C1661="RUB",E1661/#REF!,IF(C1661="EGP",E1661/$E$2,E1661)))))</f>
        <v>3179.1569889406555</v>
      </c>
      <c r="G1661" s="15" t="str">
        <f>VLOOKUP(B1661,SPECIFICATIONF!$C$2:$D$65,2,0)</f>
        <v>GLOBAL RETAIL</v>
      </c>
      <c r="H1661" s="12">
        <f t="shared" si="62"/>
        <v>9</v>
      </c>
      <c r="I1661" s="12">
        <f t="shared" si="63"/>
        <v>2025</v>
      </c>
    </row>
    <row r="1662" spans="1:9" ht="19.5" customHeight="1" x14ac:dyDescent="0.35">
      <c r="A1662" s="41">
        <v>45908</v>
      </c>
      <c r="B1662" s="8" t="s">
        <v>24</v>
      </c>
      <c r="C1662" s="42" t="s">
        <v>33</v>
      </c>
      <c r="D1662" s="43" t="s">
        <v>29</v>
      </c>
      <c r="E1662" s="46">
        <v>0</v>
      </c>
      <c r="F1662" s="2">
        <f>IF(C1662="GBP",E1662*$C$3,IF(C1662="TRY",E1662/$C$1,IF(C1662="EUR",E1662*$E$1,IF(C1662="RUB",E1662/#REF!,IF(C1662="EGP",E1662/$E$2,E1662)))))</f>
        <v>0</v>
      </c>
      <c r="G1662" s="15" t="str">
        <f>VLOOKUP(B1662,SPECIFICATIONF!$C$2:$D$65,2,0)</f>
        <v>GLOBAL RETAIL</v>
      </c>
      <c r="H1662" s="12">
        <f t="shared" si="62"/>
        <v>9</v>
      </c>
      <c r="I1662" s="12">
        <f t="shared" si="63"/>
        <v>2025</v>
      </c>
    </row>
    <row r="1663" spans="1:9" ht="19.5" customHeight="1" x14ac:dyDescent="0.35">
      <c r="A1663" s="41">
        <v>45909</v>
      </c>
      <c r="B1663" s="8" t="s">
        <v>32</v>
      </c>
      <c r="C1663" s="42" t="s">
        <v>11</v>
      </c>
      <c r="D1663" s="43" t="s">
        <v>30</v>
      </c>
      <c r="E1663" s="46">
        <v>2853496.45</v>
      </c>
      <c r="F1663" s="2">
        <f>IF(C1663="GBP",E1663*$C$3,IF(C1663="TRY",E1663/$C$1,IF(C1663="EUR",E1663*$E$1,IF(C1663="RUB",E1663/#REF!,IF(C1663="EGP",E1663/$E$2,E1663)))))</f>
        <v>78248.944933624734</v>
      </c>
      <c r="G1663" s="15" t="str">
        <f>VLOOKUP(B1663,SPECIFICATIONF!$C$2:$D$65,2,0)</f>
        <v>GLOBAL HFT</v>
      </c>
      <c r="H1663" s="12">
        <f t="shared" si="62"/>
        <v>9</v>
      </c>
      <c r="I1663" s="12">
        <f t="shared" si="63"/>
        <v>2025</v>
      </c>
    </row>
    <row r="1664" spans="1:9" ht="19.5" customHeight="1" x14ac:dyDescent="0.35">
      <c r="A1664" s="41">
        <v>45909</v>
      </c>
      <c r="B1664" s="8" t="s">
        <v>32</v>
      </c>
      <c r="C1664" s="42" t="s">
        <v>33</v>
      </c>
      <c r="D1664" s="43" t="s">
        <v>30</v>
      </c>
      <c r="E1664" s="46">
        <v>18033.29</v>
      </c>
      <c r="F1664" s="2">
        <f>IF(C1664="GBP",E1664*$C$3,IF(C1664="TRY",E1664/$C$1,IF(C1664="EUR",E1664*$E$1,IF(C1664="RUB",E1664/#REF!,IF(C1664="EGP",E1664/$E$2,E1664)))))</f>
        <v>18033.29</v>
      </c>
      <c r="G1664" s="15" t="str">
        <f>VLOOKUP(B1664,SPECIFICATIONF!$C$2:$D$65,2,0)</f>
        <v>GLOBAL HFT</v>
      </c>
      <c r="H1664" s="12">
        <f t="shared" si="62"/>
        <v>9</v>
      </c>
      <c r="I1664" s="12">
        <f t="shared" si="63"/>
        <v>2025</v>
      </c>
    </row>
    <row r="1665" spans="1:9" ht="19.5" customHeight="1" x14ac:dyDescent="0.35">
      <c r="A1665" s="41">
        <v>45909</v>
      </c>
      <c r="B1665" s="8" t="s">
        <v>32</v>
      </c>
      <c r="C1665" s="42" t="s">
        <v>11</v>
      </c>
      <c r="D1665" s="43" t="s">
        <v>29</v>
      </c>
      <c r="E1665" s="46">
        <v>10327997757</v>
      </c>
      <c r="F1665" s="2">
        <f>IF(C1665="GBP",E1665*$C$3,IF(C1665="TRY",E1665/$C$1,IF(C1665="EUR",E1665*$E$1,IF(C1665="RUB",E1665/#REF!,IF(C1665="EGP",E1665/$E$2,E1665)))))</f>
        <v>283215676.59987551</v>
      </c>
      <c r="G1665" s="15" t="str">
        <f>VLOOKUP(B1665,SPECIFICATIONF!$C$2:$D$65,2,0)</f>
        <v>GLOBAL HFT</v>
      </c>
      <c r="H1665" s="12">
        <f t="shared" si="62"/>
        <v>9</v>
      </c>
      <c r="I1665" s="12">
        <f t="shared" si="63"/>
        <v>2025</v>
      </c>
    </row>
    <row r="1666" spans="1:9" ht="19.5" customHeight="1" x14ac:dyDescent="0.35">
      <c r="A1666" s="41">
        <v>45909</v>
      </c>
      <c r="B1666" s="8" t="s">
        <v>32</v>
      </c>
      <c r="C1666" s="42" t="s">
        <v>33</v>
      </c>
      <c r="D1666" s="43" t="s">
        <v>29</v>
      </c>
      <c r="E1666" s="46">
        <v>60768226</v>
      </c>
      <c r="F1666" s="2">
        <f>IF(C1666="GBP",E1666*$C$3,IF(C1666="TRY",E1666/$C$1,IF(C1666="EUR",E1666*$E$1,IF(C1666="RUB",E1666/#REF!,IF(C1666="EGP",E1666/$E$2,E1666)))))</f>
        <v>60768226</v>
      </c>
      <c r="G1666" s="15" t="str">
        <f>VLOOKUP(B1666,SPECIFICATIONF!$C$2:$D$65,2,0)</f>
        <v>GLOBAL HFT</v>
      </c>
      <c r="H1666" s="12">
        <f t="shared" si="62"/>
        <v>9</v>
      </c>
      <c r="I1666" s="12">
        <f t="shared" si="63"/>
        <v>2025</v>
      </c>
    </row>
    <row r="1667" spans="1:9" ht="19.5" customHeight="1" x14ac:dyDescent="0.35">
      <c r="A1667" s="41">
        <v>45909</v>
      </c>
      <c r="B1667" s="8" t="s">
        <v>24</v>
      </c>
      <c r="C1667" s="42" t="s">
        <v>11</v>
      </c>
      <c r="D1667" s="43" t="s">
        <v>30</v>
      </c>
      <c r="E1667" s="46">
        <v>0</v>
      </c>
      <c r="F1667" s="2">
        <f>IF(C1667="GBP",E1667*$C$3,IF(C1667="TRY",E1667/$C$1,IF(C1667="EUR",E1667*$E$1,IF(C1667="RUB",E1667/#REF!,IF(C1667="EGP",E1667/$E$2,E1667)))))</f>
        <v>0</v>
      </c>
      <c r="G1667" s="15" t="str">
        <f>VLOOKUP(B1667,SPECIFICATIONF!$C$2:$D$65,2,0)</f>
        <v>GLOBAL RETAIL</v>
      </c>
      <c r="H1667" s="12">
        <f t="shared" si="62"/>
        <v>9</v>
      </c>
      <c r="I1667" s="12">
        <f t="shared" si="63"/>
        <v>2025</v>
      </c>
    </row>
    <row r="1668" spans="1:9" ht="19.5" customHeight="1" x14ac:dyDescent="0.35">
      <c r="A1668" s="41">
        <v>45909</v>
      </c>
      <c r="B1668" s="8" t="s">
        <v>24</v>
      </c>
      <c r="C1668" s="42" t="s">
        <v>33</v>
      </c>
      <c r="D1668" s="43" t="s">
        <v>30</v>
      </c>
      <c r="E1668" s="46">
        <v>0</v>
      </c>
      <c r="F1668" s="2">
        <f>IF(C1668="GBP",E1668*$C$3,IF(C1668="TRY",E1668/$C$1,IF(C1668="EUR",E1668*$E$1,IF(C1668="RUB",E1668/#REF!,IF(C1668="EGP",E1668/$E$2,E1668)))))</f>
        <v>0</v>
      </c>
      <c r="G1668" s="15" t="str">
        <f>VLOOKUP(B1668,SPECIFICATIONF!$C$2:$D$65,2,0)</f>
        <v>GLOBAL RETAIL</v>
      </c>
      <c r="H1668" s="12">
        <f t="shared" si="62"/>
        <v>9</v>
      </c>
      <c r="I1668" s="12">
        <f t="shared" si="63"/>
        <v>2025</v>
      </c>
    </row>
    <row r="1669" spans="1:9" ht="19.5" customHeight="1" x14ac:dyDescent="0.35">
      <c r="A1669" s="41">
        <v>45909</v>
      </c>
      <c r="B1669" s="8" t="s">
        <v>24</v>
      </c>
      <c r="C1669" s="42" t="s">
        <v>11</v>
      </c>
      <c r="D1669" s="43" t="s">
        <v>29</v>
      </c>
      <c r="E1669" s="46">
        <v>287798</v>
      </c>
      <c r="F1669" s="2">
        <f>IF(C1669="GBP",E1669*$C$3,IF(C1669="TRY",E1669/$C$1,IF(C1669="EUR",E1669*$E$1,IF(C1669="RUB",E1669/#REF!,IF(C1669="EGP",E1669/$E$2,E1669)))))</f>
        <v>7892.0335975912394</v>
      </c>
      <c r="G1669" s="15" t="str">
        <f>VLOOKUP(B1669,SPECIFICATIONF!$C$2:$D$65,2,0)</f>
        <v>GLOBAL RETAIL</v>
      </c>
      <c r="H1669" s="12">
        <f t="shared" si="62"/>
        <v>9</v>
      </c>
      <c r="I1669" s="12">
        <f t="shared" si="63"/>
        <v>2025</v>
      </c>
    </row>
    <row r="1670" spans="1:9" ht="19.5" customHeight="1" x14ac:dyDescent="0.35">
      <c r="A1670" s="41">
        <v>45909</v>
      </c>
      <c r="B1670" s="8" t="s">
        <v>24</v>
      </c>
      <c r="C1670" s="42" t="s">
        <v>33</v>
      </c>
      <c r="D1670" s="43" t="s">
        <v>29</v>
      </c>
      <c r="E1670" s="46">
        <v>0</v>
      </c>
      <c r="F1670" s="2">
        <f>IF(C1670="GBP",E1670*$C$3,IF(C1670="TRY",E1670/$C$1,IF(C1670="EUR",E1670*$E$1,IF(C1670="RUB",E1670/#REF!,IF(C1670="EGP",E1670/$E$2,E1670)))))</f>
        <v>0</v>
      </c>
      <c r="G1670" s="15" t="str">
        <f>VLOOKUP(B1670,SPECIFICATIONF!$C$2:$D$65,2,0)</f>
        <v>GLOBAL RETAIL</v>
      </c>
      <c r="H1670" s="12">
        <f t="shared" si="62"/>
        <v>9</v>
      </c>
      <c r="I1670" s="12">
        <f t="shared" si="63"/>
        <v>2025</v>
      </c>
    </row>
    <row r="1671" spans="1:9" ht="19.5" customHeight="1" x14ac:dyDescent="0.35">
      <c r="A1671" s="41">
        <v>45910</v>
      </c>
      <c r="B1671" s="8" t="s">
        <v>32</v>
      </c>
      <c r="C1671" s="42" t="s">
        <v>11</v>
      </c>
      <c r="D1671" s="43" t="s">
        <v>30</v>
      </c>
      <c r="E1671" s="46">
        <v>2003416.26</v>
      </c>
      <c r="F1671" s="2">
        <f>IF(C1671="GBP",E1671*$C$3,IF(C1671="TRY",E1671/$C$1,IF(C1671="EUR",E1671*$E$1,IF(C1671="RUB",E1671/#REF!,IF(C1671="EGP",E1671/$E$2,E1671)))))</f>
        <v>54937.937142998169</v>
      </c>
      <c r="G1671" s="15" t="str">
        <f>VLOOKUP(B1671,SPECIFICATIONF!$C$2:$D$65,2,0)</f>
        <v>GLOBAL HFT</v>
      </c>
      <c r="H1671" s="12">
        <f t="shared" si="62"/>
        <v>9</v>
      </c>
      <c r="I1671" s="12">
        <f t="shared" si="63"/>
        <v>2025</v>
      </c>
    </row>
    <row r="1672" spans="1:9" ht="19.5" customHeight="1" x14ac:dyDescent="0.35">
      <c r="A1672" s="41">
        <v>45910</v>
      </c>
      <c r="B1672" s="8" t="s">
        <v>32</v>
      </c>
      <c r="C1672" s="42" t="s">
        <v>33</v>
      </c>
      <c r="D1672" s="43" t="s">
        <v>30</v>
      </c>
      <c r="E1672" s="46">
        <v>13994.84</v>
      </c>
      <c r="F1672" s="2">
        <f>IF(C1672="GBP",E1672*$C$3,IF(C1672="TRY",E1672/$C$1,IF(C1672="EUR",E1672*$E$1,IF(C1672="RUB",E1672/#REF!,IF(C1672="EGP",E1672/$E$2,E1672)))))</f>
        <v>13994.84</v>
      </c>
      <c r="G1672" s="15" t="str">
        <f>VLOOKUP(B1672,SPECIFICATIONF!$C$2:$D$65,2,0)</f>
        <v>GLOBAL HFT</v>
      </c>
      <c r="H1672" s="12">
        <f t="shared" si="62"/>
        <v>9</v>
      </c>
      <c r="I1672" s="12">
        <f t="shared" si="63"/>
        <v>2025</v>
      </c>
    </row>
    <row r="1673" spans="1:9" ht="19.5" customHeight="1" x14ac:dyDescent="0.35">
      <c r="A1673" s="41">
        <v>45910</v>
      </c>
      <c r="B1673" s="8" t="s">
        <v>32</v>
      </c>
      <c r="C1673" s="42" t="s">
        <v>11</v>
      </c>
      <c r="D1673" s="43" t="s">
        <v>29</v>
      </c>
      <c r="E1673" s="46">
        <v>7451065914</v>
      </c>
      <c r="F1673" s="2">
        <f>IF(C1673="GBP",E1673*$C$3,IF(C1673="TRY",E1673/$C$1,IF(C1673="EUR",E1673*$E$1,IF(C1673="RUB",E1673/#REF!,IF(C1673="EGP",E1673/$E$2,E1673)))))</f>
        <v>204324083.31939372</v>
      </c>
      <c r="G1673" s="15" t="str">
        <f>VLOOKUP(B1673,SPECIFICATIONF!$C$2:$D$65,2,0)</f>
        <v>GLOBAL HFT</v>
      </c>
      <c r="H1673" s="12">
        <f t="shared" si="62"/>
        <v>9</v>
      </c>
      <c r="I1673" s="12">
        <f t="shared" si="63"/>
        <v>2025</v>
      </c>
    </row>
    <row r="1674" spans="1:9" ht="19.5" customHeight="1" x14ac:dyDescent="0.35">
      <c r="A1674" s="41">
        <v>45910</v>
      </c>
      <c r="B1674" s="8" t="s">
        <v>32</v>
      </c>
      <c r="C1674" s="42" t="s">
        <v>33</v>
      </c>
      <c r="D1674" s="43" t="s">
        <v>29</v>
      </c>
      <c r="E1674" s="46">
        <v>47479400</v>
      </c>
      <c r="F1674" s="2">
        <f>IF(C1674="GBP",E1674*$C$3,IF(C1674="TRY",E1674/$C$1,IF(C1674="EUR",E1674*$E$1,IF(C1674="RUB",E1674/#REF!,IF(C1674="EGP",E1674/$E$2,E1674)))))</f>
        <v>47479400</v>
      </c>
      <c r="G1674" s="15" t="str">
        <f>VLOOKUP(B1674,SPECIFICATIONF!$C$2:$D$65,2,0)</f>
        <v>GLOBAL HFT</v>
      </c>
      <c r="H1674" s="12">
        <f t="shared" si="62"/>
        <v>9</v>
      </c>
      <c r="I1674" s="12">
        <f t="shared" si="63"/>
        <v>2025</v>
      </c>
    </row>
    <row r="1675" spans="1:9" ht="19.5" customHeight="1" x14ac:dyDescent="0.35">
      <c r="A1675" s="41">
        <v>45910</v>
      </c>
      <c r="B1675" s="8" t="s">
        <v>24</v>
      </c>
      <c r="C1675" s="42" t="s">
        <v>11</v>
      </c>
      <c r="D1675" s="43" t="s">
        <v>30</v>
      </c>
      <c r="E1675" s="46">
        <v>0</v>
      </c>
      <c r="F1675" s="2">
        <f>IF(C1675="GBP",E1675*$C$3,IF(C1675="TRY",E1675/$C$1,IF(C1675="EUR",E1675*$E$1,IF(C1675="RUB",E1675/#REF!,IF(C1675="EGP",E1675/$E$2,E1675)))))</f>
        <v>0</v>
      </c>
      <c r="G1675" s="15" t="str">
        <f>VLOOKUP(B1675,SPECIFICATIONF!$C$2:$D$65,2,0)</f>
        <v>GLOBAL RETAIL</v>
      </c>
      <c r="H1675" s="12">
        <f t="shared" si="62"/>
        <v>9</v>
      </c>
      <c r="I1675" s="12">
        <f t="shared" si="63"/>
        <v>2025</v>
      </c>
    </row>
    <row r="1676" spans="1:9" ht="19.5" customHeight="1" x14ac:dyDescent="0.35">
      <c r="A1676" s="41">
        <v>45910</v>
      </c>
      <c r="B1676" s="8" t="s">
        <v>24</v>
      </c>
      <c r="C1676" s="42" t="s">
        <v>33</v>
      </c>
      <c r="D1676" s="43" t="s">
        <v>30</v>
      </c>
      <c r="E1676" s="46">
        <v>0</v>
      </c>
      <c r="F1676" s="2">
        <f>IF(C1676="GBP",E1676*$C$3,IF(C1676="TRY",E1676/$C$1,IF(C1676="EUR",E1676*$E$1,IF(C1676="RUB",E1676/#REF!,IF(C1676="EGP",E1676/$E$2,E1676)))))</f>
        <v>0</v>
      </c>
      <c r="G1676" s="15" t="str">
        <f>VLOOKUP(B1676,SPECIFICATIONF!$C$2:$D$65,2,0)</f>
        <v>GLOBAL RETAIL</v>
      </c>
      <c r="H1676" s="12">
        <f t="shared" si="62"/>
        <v>9</v>
      </c>
      <c r="I1676" s="12">
        <f t="shared" si="63"/>
        <v>2025</v>
      </c>
    </row>
    <row r="1677" spans="1:9" ht="19.5" customHeight="1" x14ac:dyDescent="0.35">
      <c r="A1677" s="41">
        <v>45910</v>
      </c>
      <c r="B1677" s="8" t="s">
        <v>24</v>
      </c>
      <c r="C1677" s="42" t="s">
        <v>11</v>
      </c>
      <c r="D1677" s="43" t="s">
        <v>29</v>
      </c>
      <c r="E1677" s="46">
        <v>10642056</v>
      </c>
      <c r="F1677" s="2">
        <f>IF(C1677="GBP",E1677*$C$3,IF(C1677="TRY",E1677/$C$1,IF(C1677="EUR",E1677*$E$1,IF(C1677="RUB",E1677/#REF!,IF(C1677="EGP",E1677/$E$2,E1677)))))</f>
        <v>291827.82194263837</v>
      </c>
      <c r="G1677" s="15" t="str">
        <f>VLOOKUP(B1677,SPECIFICATIONF!$C$2:$D$65,2,0)</f>
        <v>GLOBAL RETAIL</v>
      </c>
      <c r="H1677" s="12">
        <f t="shared" si="62"/>
        <v>9</v>
      </c>
      <c r="I1677" s="12">
        <f t="shared" si="63"/>
        <v>2025</v>
      </c>
    </row>
    <row r="1678" spans="1:9" ht="19.5" customHeight="1" x14ac:dyDescent="0.35">
      <c r="A1678" s="41">
        <v>45910</v>
      </c>
      <c r="B1678" s="8" t="s">
        <v>24</v>
      </c>
      <c r="C1678" s="42" t="s">
        <v>33</v>
      </c>
      <c r="D1678" s="43" t="s">
        <v>29</v>
      </c>
      <c r="E1678" s="46">
        <v>71349</v>
      </c>
      <c r="F1678" s="2">
        <f>IF(C1678="GBP",E1678*$C$3,IF(C1678="TRY",E1678/$C$1,IF(C1678="EUR",E1678*$E$1,IF(C1678="RUB",E1678/#REF!,IF(C1678="EGP",E1678/$E$2,E1678)))))</f>
        <v>71349</v>
      </c>
      <c r="G1678" s="15" t="str">
        <f>VLOOKUP(B1678,SPECIFICATIONF!$C$2:$D$65,2,0)</f>
        <v>GLOBAL RETAIL</v>
      </c>
      <c r="H1678" s="12">
        <f t="shared" si="62"/>
        <v>9</v>
      </c>
      <c r="I1678" s="12">
        <f t="shared" si="63"/>
        <v>2025</v>
      </c>
    </row>
    <row r="1679" spans="1:9" ht="19.5" customHeight="1" x14ac:dyDescent="0.35">
      <c r="A1679" s="41">
        <v>45911</v>
      </c>
      <c r="B1679" s="8" t="s">
        <v>32</v>
      </c>
      <c r="C1679" s="42" t="s">
        <v>11</v>
      </c>
      <c r="D1679" s="43" t="s">
        <v>30</v>
      </c>
      <c r="E1679" s="46">
        <v>2173583.98</v>
      </c>
      <c r="F1679" s="2">
        <f>IF(C1679="GBP",E1679*$C$3,IF(C1679="TRY",E1679/$C$1,IF(C1679="EUR",E1679*$E$1,IF(C1679="RUB",E1679/#REF!,IF(C1679="EGP",E1679/$E$2,E1679)))))</f>
        <v>59604.29814434459</v>
      </c>
      <c r="G1679" s="15" t="str">
        <f>VLOOKUP(B1679,SPECIFICATIONF!$C$2:$D$65,2,0)</f>
        <v>GLOBAL HFT</v>
      </c>
      <c r="H1679" s="12">
        <f t="shared" si="62"/>
        <v>9</v>
      </c>
      <c r="I1679" s="12">
        <f t="shared" si="63"/>
        <v>2025</v>
      </c>
    </row>
    <row r="1680" spans="1:9" ht="19.5" customHeight="1" x14ac:dyDescent="0.35">
      <c r="A1680" s="41">
        <v>45911</v>
      </c>
      <c r="B1680" s="8" t="s">
        <v>32</v>
      </c>
      <c r="C1680" s="42" t="s">
        <v>33</v>
      </c>
      <c r="D1680" s="43" t="s">
        <v>30</v>
      </c>
      <c r="E1680" s="46">
        <v>13861.54</v>
      </c>
      <c r="F1680" s="2">
        <f>IF(C1680="GBP",E1680*$C$3,IF(C1680="TRY",E1680/$C$1,IF(C1680="EUR",E1680*$E$1,IF(C1680="RUB",E1680/#REF!,IF(C1680="EGP",E1680/$E$2,E1680)))))</f>
        <v>13861.54</v>
      </c>
      <c r="G1680" s="15" t="str">
        <f>VLOOKUP(B1680,SPECIFICATIONF!$C$2:$D$65,2,0)</f>
        <v>GLOBAL HFT</v>
      </c>
      <c r="H1680" s="12">
        <f t="shared" si="62"/>
        <v>9</v>
      </c>
      <c r="I1680" s="12">
        <f t="shared" si="63"/>
        <v>2025</v>
      </c>
    </row>
    <row r="1681" spans="1:9" ht="19.5" customHeight="1" x14ac:dyDescent="0.35">
      <c r="A1681" s="41">
        <v>45911</v>
      </c>
      <c r="B1681" s="8" t="s">
        <v>32</v>
      </c>
      <c r="C1681" s="42" t="s">
        <v>11</v>
      </c>
      <c r="D1681" s="43" t="s">
        <v>29</v>
      </c>
      <c r="E1681" s="46">
        <v>7778950830</v>
      </c>
      <c r="F1681" s="2">
        <f>IF(C1681="GBP",E1681*$C$3,IF(C1681="TRY",E1681/$C$1,IF(C1681="EUR",E1681*$E$1,IF(C1681="RUB",E1681/#REF!,IF(C1681="EGP",E1681/$E$2,E1681)))))</f>
        <v>213315385.45914239</v>
      </c>
      <c r="G1681" s="15" t="str">
        <f>VLOOKUP(B1681,SPECIFICATIONF!$C$2:$D$65,2,0)</f>
        <v>GLOBAL HFT</v>
      </c>
      <c r="H1681" s="12">
        <f t="shared" si="62"/>
        <v>9</v>
      </c>
      <c r="I1681" s="12">
        <f t="shared" si="63"/>
        <v>2025</v>
      </c>
    </row>
    <row r="1682" spans="1:9" ht="19.5" customHeight="1" x14ac:dyDescent="0.35">
      <c r="A1682" s="41">
        <v>45911</v>
      </c>
      <c r="B1682" s="8" t="s">
        <v>32</v>
      </c>
      <c r="C1682" s="42" t="s">
        <v>33</v>
      </c>
      <c r="D1682" s="43" t="s">
        <v>29</v>
      </c>
      <c r="E1682" s="46">
        <v>47218420</v>
      </c>
      <c r="F1682" s="2">
        <f>IF(C1682="GBP",E1682*$C$3,IF(C1682="TRY",E1682/$C$1,IF(C1682="EUR",E1682*$E$1,IF(C1682="RUB",E1682/#REF!,IF(C1682="EGP",E1682/$E$2,E1682)))))</f>
        <v>47218420</v>
      </c>
      <c r="G1682" s="15" t="str">
        <f>VLOOKUP(B1682,SPECIFICATIONF!$C$2:$D$65,2,0)</f>
        <v>GLOBAL HFT</v>
      </c>
      <c r="H1682" s="12">
        <f t="shared" si="62"/>
        <v>9</v>
      </c>
      <c r="I1682" s="12">
        <f t="shared" si="63"/>
        <v>2025</v>
      </c>
    </row>
    <row r="1683" spans="1:9" ht="19.5" customHeight="1" x14ac:dyDescent="0.35">
      <c r="A1683" s="41">
        <v>45911</v>
      </c>
      <c r="B1683" s="8" t="s">
        <v>24</v>
      </c>
      <c r="C1683" s="42" t="s">
        <v>11</v>
      </c>
      <c r="D1683" s="43" t="s">
        <v>30</v>
      </c>
      <c r="E1683" s="46">
        <v>0</v>
      </c>
      <c r="F1683" s="2">
        <f>IF(C1683="GBP",E1683*$C$3,IF(C1683="TRY",E1683/$C$1,IF(C1683="EUR",E1683*$E$1,IF(C1683="RUB",E1683/#REF!,IF(C1683="EGP",E1683/$E$2,E1683)))))</f>
        <v>0</v>
      </c>
      <c r="G1683" s="15" t="str">
        <f>VLOOKUP(B1683,SPECIFICATIONF!$C$2:$D$65,2,0)</f>
        <v>GLOBAL RETAIL</v>
      </c>
      <c r="H1683" s="12">
        <f t="shared" si="62"/>
        <v>9</v>
      </c>
      <c r="I1683" s="12">
        <f t="shared" si="63"/>
        <v>2025</v>
      </c>
    </row>
    <row r="1684" spans="1:9" ht="19.5" customHeight="1" x14ac:dyDescent="0.35">
      <c r="A1684" s="41">
        <v>45911</v>
      </c>
      <c r="B1684" s="8" t="s">
        <v>24</v>
      </c>
      <c r="C1684" s="42" t="s">
        <v>33</v>
      </c>
      <c r="D1684" s="43" t="s">
        <v>30</v>
      </c>
      <c r="E1684" s="46">
        <v>0</v>
      </c>
      <c r="F1684" s="2">
        <f>IF(C1684="GBP",E1684*$C$3,IF(C1684="TRY",E1684/$C$1,IF(C1684="EUR",E1684*$E$1,IF(C1684="RUB",E1684/#REF!,IF(C1684="EGP",E1684/$E$2,E1684)))))</f>
        <v>0</v>
      </c>
      <c r="G1684" s="15" t="str">
        <f>VLOOKUP(B1684,SPECIFICATIONF!$C$2:$D$65,2,0)</f>
        <v>GLOBAL RETAIL</v>
      </c>
      <c r="H1684" s="12">
        <f t="shared" si="62"/>
        <v>9</v>
      </c>
      <c r="I1684" s="12">
        <f t="shared" si="63"/>
        <v>2025</v>
      </c>
    </row>
    <row r="1685" spans="1:9" ht="19.5" customHeight="1" x14ac:dyDescent="0.35">
      <c r="A1685" s="41">
        <v>45911</v>
      </c>
      <c r="B1685" s="8" t="s">
        <v>24</v>
      </c>
      <c r="C1685" s="42" t="s">
        <v>11</v>
      </c>
      <c r="D1685" s="43" t="s">
        <v>29</v>
      </c>
      <c r="E1685" s="46">
        <v>2060020</v>
      </c>
      <c r="F1685" s="2">
        <f>IF(C1685="GBP",E1685*$C$3,IF(C1685="TRY",E1685/$C$1,IF(C1685="EUR",E1685*$E$1,IF(C1685="RUB",E1685/#REF!,IF(C1685="EGP",E1685/$E$2,E1685)))))</f>
        <v>56490.132147234886</v>
      </c>
      <c r="G1685" s="15" t="str">
        <f>VLOOKUP(B1685,SPECIFICATIONF!$C$2:$D$65,2,0)</f>
        <v>GLOBAL RETAIL</v>
      </c>
      <c r="H1685" s="12">
        <f t="shared" si="62"/>
        <v>9</v>
      </c>
      <c r="I1685" s="12">
        <f t="shared" si="63"/>
        <v>2025</v>
      </c>
    </row>
    <row r="1686" spans="1:9" ht="19.5" customHeight="1" x14ac:dyDescent="0.35">
      <c r="A1686" s="41">
        <v>45911</v>
      </c>
      <c r="B1686" s="8" t="s">
        <v>24</v>
      </c>
      <c r="C1686" s="42" t="s">
        <v>33</v>
      </c>
      <c r="D1686" s="43" t="s">
        <v>29</v>
      </c>
      <c r="E1686" s="46">
        <v>19032</v>
      </c>
      <c r="F1686" s="2">
        <f>IF(C1686="GBP",E1686*$C$3,IF(C1686="TRY",E1686/$C$1,IF(C1686="EUR",E1686*$E$1,IF(C1686="RUB",E1686/#REF!,IF(C1686="EGP",E1686/$E$2,E1686)))))</f>
        <v>19032</v>
      </c>
      <c r="G1686" s="15" t="str">
        <f>VLOOKUP(B1686,SPECIFICATIONF!$C$2:$D$65,2,0)</f>
        <v>GLOBAL RETAIL</v>
      </c>
      <c r="H1686" s="12">
        <f t="shared" si="62"/>
        <v>9</v>
      </c>
      <c r="I1686" s="12">
        <f t="shared" si="63"/>
        <v>2025</v>
      </c>
    </row>
    <row r="1687" spans="1:9" ht="19.5" customHeight="1" x14ac:dyDescent="0.35">
      <c r="A1687" s="41">
        <v>45912</v>
      </c>
      <c r="B1687" s="8" t="s">
        <v>32</v>
      </c>
      <c r="C1687" s="42" t="s">
        <v>11</v>
      </c>
      <c r="D1687" s="43" t="s">
        <v>30</v>
      </c>
      <c r="E1687" s="46">
        <v>2198842.94</v>
      </c>
      <c r="F1687" s="2">
        <f>IF(C1687="GBP",E1687*$C$3,IF(C1687="TRY",E1687/$C$1,IF(C1687="EUR",E1687*$E$1,IF(C1687="RUB",E1687/#REF!,IF(C1687="EGP",E1687/$E$2,E1687)))))</f>
        <v>60296.952578914024</v>
      </c>
      <c r="G1687" s="15" t="str">
        <f>VLOOKUP(B1687,SPECIFICATIONF!$C$2:$D$65,2,0)</f>
        <v>GLOBAL HFT</v>
      </c>
      <c r="H1687" s="12">
        <f t="shared" si="62"/>
        <v>9</v>
      </c>
      <c r="I1687" s="12">
        <f t="shared" si="63"/>
        <v>2025</v>
      </c>
    </row>
    <row r="1688" spans="1:9" ht="19.5" customHeight="1" x14ac:dyDescent="0.35">
      <c r="A1688" s="41">
        <v>45912</v>
      </c>
      <c r="B1688" s="8" t="s">
        <v>32</v>
      </c>
      <c r="C1688" s="42" t="s">
        <v>33</v>
      </c>
      <c r="D1688" s="43" t="s">
        <v>30</v>
      </c>
      <c r="E1688" s="46">
        <v>14039.69</v>
      </c>
      <c r="F1688" s="2">
        <f>IF(C1688="GBP",E1688*$C$3,IF(C1688="TRY",E1688/$C$1,IF(C1688="EUR",E1688*$E$1,IF(C1688="RUB",E1688/#REF!,IF(C1688="EGP",E1688/$E$2,E1688)))))</f>
        <v>14039.69</v>
      </c>
      <c r="G1688" s="15" t="str">
        <f>VLOOKUP(B1688,SPECIFICATIONF!$C$2:$D$65,2,0)</f>
        <v>GLOBAL HFT</v>
      </c>
      <c r="H1688" s="12">
        <f t="shared" si="62"/>
        <v>9</v>
      </c>
      <c r="I1688" s="12">
        <f t="shared" si="63"/>
        <v>2025</v>
      </c>
    </row>
    <row r="1689" spans="1:9" ht="19.5" customHeight="1" x14ac:dyDescent="0.35">
      <c r="A1689" s="41">
        <v>45912</v>
      </c>
      <c r="B1689" s="8" t="s">
        <v>32</v>
      </c>
      <c r="C1689" s="42" t="s">
        <v>11</v>
      </c>
      <c r="D1689" s="43" t="s">
        <v>29</v>
      </c>
      <c r="E1689" s="46">
        <v>8002362088</v>
      </c>
      <c r="F1689" s="2">
        <f>IF(C1689="GBP",E1689*$C$3,IF(C1689="TRY",E1689/$C$1,IF(C1689="EUR",E1689*$E$1,IF(C1689="RUB",E1689/#REF!,IF(C1689="EGP",E1689/$E$2,E1689)))))</f>
        <v>219441797.57533541</v>
      </c>
      <c r="G1689" s="15" t="str">
        <f>VLOOKUP(B1689,SPECIFICATIONF!$C$2:$D$65,2,0)</f>
        <v>GLOBAL HFT</v>
      </c>
      <c r="H1689" s="12">
        <f t="shared" si="62"/>
        <v>9</v>
      </c>
      <c r="I1689" s="12">
        <f t="shared" si="63"/>
        <v>2025</v>
      </c>
    </row>
    <row r="1690" spans="1:9" ht="19.5" customHeight="1" x14ac:dyDescent="0.35">
      <c r="A1690" s="41">
        <v>45912</v>
      </c>
      <c r="B1690" s="8" t="s">
        <v>32</v>
      </c>
      <c r="C1690" s="42" t="s">
        <v>33</v>
      </c>
      <c r="D1690" s="43" t="s">
        <v>29</v>
      </c>
      <c r="E1690" s="46">
        <v>47944337</v>
      </c>
      <c r="F1690" s="2">
        <f>IF(C1690="GBP",E1690*$C$3,IF(C1690="TRY",E1690/$C$1,IF(C1690="EUR",E1690*$E$1,IF(C1690="RUB",E1690/#REF!,IF(C1690="EGP",E1690/$E$2,E1690)))))</f>
        <v>47944337</v>
      </c>
      <c r="G1690" s="15" t="str">
        <f>VLOOKUP(B1690,SPECIFICATIONF!$C$2:$D$65,2,0)</f>
        <v>GLOBAL HFT</v>
      </c>
      <c r="H1690" s="12">
        <f t="shared" si="62"/>
        <v>9</v>
      </c>
      <c r="I1690" s="12">
        <f t="shared" si="63"/>
        <v>2025</v>
      </c>
    </row>
    <row r="1691" spans="1:9" ht="19.5" customHeight="1" x14ac:dyDescent="0.35">
      <c r="A1691" s="41">
        <v>45912</v>
      </c>
      <c r="B1691" s="8" t="s">
        <v>24</v>
      </c>
      <c r="C1691" s="42" t="s">
        <v>11</v>
      </c>
      <c r="D1691" s="43" t="s">
        <v>30</v>
      </c>
      <c r="E1691" s="46">
        <v>0</v>
      </c>
      <c r="F1691" s="2">
        <f>IF(C1691="GBP",E1691*$C$3,IF(C1691="TRY",E1691/$C$1,IF(C1691="EUR",E1691*$E$1,IF(C1691="RUB",E1691/#REF!,IF(C1691="EGP",E1691/$E$2,E1691)))))</f>
        <v>0</v>
      </c>
      <c r="G1691" s="15" t="str">
        <f>VLOOKUP(B1691,SPECIFICATIONF!$C$2:$D$65,2,0)</f>
        <v>GLOBAL RETAIL</v>
      </c>
      <c r="H1691" s="12">
        <f t="shared" si="62"/>
        <v>9</v>
      </c>
      <c r="I1691" s="12">
        <f t="shared" si="63"/>
        <v>2025</v>
      </c>
    </row>
    <row r="1692" spans="1:9" ht="19.5" customHeight="1" x14ac:dyDescent="0.35">
      <c r="A1692" s="41">
        <v>45912</v>
      </c>
      <c r="B1692" s="8" t="s">
        <v>24</v>
      </c>
      <c r="C1692" s="42" t="s">
        <v>33</v>
      </c>
      <c r="D1692" s="43" t="s">
        <v>30</v>
      </c>
      <c r="E1692" s="46">
        <v>0</v>
      </c>
      <c r="F1692" s="2">
        <f>IF(C1692="GBP",E1692*$C$3,IF(C1692="TRY",E1692/$C$1,IF(C1692="EUR",E1692*$E$1,IF(C1692="RUB",E1692/#REF!,IF(C1692="EGP",E1692/$E$2,E1692)))))</f>
        <v>0</v>
      </c>
      <c r="G1692" s="15" t="str">
        <f>VLOOKUP(B1692,SPECIFICATIONF!$C$2:$D$65,2,0)</f>
        <v>GLOBAL RETAIL</v>
      </c>
      <c r="H1692" s="12">
        <f t="shared" si="62"/>
        <v>9</v>
      </c>
      <c r="I1692" s="12">
        <f t="shared" si="63"/>
        <v>2025</v>
      </c>
    </row>
    <row r="1693" spans="1:9" ht="19.5" customHeight="1" x14ac:dyDescent="0.35">
      <c r="A1693" s="41">
        <v>45912</v>
      </c>
      <c r="B1693" s="8" t="s">
        <v>24</v>
      </c>
      <c r="C1693" s="42" t="s">
        <v>11</v>
      </c>
      <c r="D1693" s="43" t="s">
        <v>29</v>
      </c>
      <c r="E1693" s="46">
        <v>1850085</v>
      </c>
      <c r="F1693" s="2">
        <f>IF(C1693="GBP",E1693*$C$3,IF(C1693="TRY",E1693/$C$1,IF(C1693="EUR",E1693*$E$1,IF(C1693="RUB",E1693/#REF!,IF(C1693="EGP",E1693/$E$2,E1693)))))</f>
        <v>50733.267703040285</v>
      </c>
      <c r="G1693" s="15" t="str">
        <f>VLOOKUP(B1693,SPECIFICATIONF!$C$2:$D$65,2,0)</f>
        <v>GLOBAL RETAIL</v>
      </c>
      <c r="H1693" s="12">
        <f t="shared" si="62"/>
        <v>9</v>
      </c>
      <c r="I1693" s="12">
        <f t="shared" si="63"/>
        <v>2025</v>
      </c>
    </row>
    <row r="1694" spans="1:9" ht="19.5" customHeight="1" x14ac:dyDescent="0.35">
      <c r="A1694" s="41">
        <v>45912</v>
      </c>
      <c r="B1694" s="8" t="s">
        <v>24</v>
      </c>
      <c r="C1694" s="42" t="s">
        <v>33</v>
      </c>
      <c r="D1694" s="43" t="s">
        <v>29</v>
      </c>
      <c r="E1694" s="46">
        <v>0</v>
      </c>
      <c r="F1694" s="2">
        <f>IF(C1694="GBP",E1694*$C$3,IF(C1694="TRY",E1694/$C$1,IF(C1694="EUR",E1694*$E$1,IF(C1694="RUB",E1694/#REF!,IF(C1694="EGP",E1694/$E$2,E1694)))))</f>
        <v>0</v>
      </c>
      <c r="G1694" s="15" t="str">
        <f>VLOOKUP(B1694,SPECIFICATIONF!$C$2:$D$65,2,0)</f>
        <v>GLOBAL RETAIL</v>
      </c>
      <c r="H1694" s="12">
        <f t="shared" si="62"/>
        <v>9</v>
      </c>
      <c r="I1694" s="12">
        <f t="shared" si="63"/>
        <v>2025</v>
      </c>
    </row>
    <row r="1695" spans="1:9" ht="19.5" customHeight="1" x14ac:dyDescent="0.35">
      <c r="A1695" s="41">
        <v>45913</v>
      </c>
      <c r="B1695" s="8" t="s">
        <v>32</v>
      </c>
      <c r="C1695" s="42" t="s">
        <v>11</v>
      </c>
      <c r="D1695" s="43" t="s">
        <v>30</v>
      </c>
      <c r="E1695" s="46">
        <v>2232625.63</v>
      </c>
      <c r="F1695" s="2">
        <f>IF(C1695="GBP",E1695*$C$3,IF(C1695="TRY",E1695/$C$1,IF(C1695="EUR",E1695*$E$1,IF(C1695="RUB",E1695/#REF!,IF(C1695="EGP",E1695/$E$2,E1695)))))</f>
        <v>61223.345828682992</v>
      </c>
      <c r="G1695" s="15" t="str">
        <f>VLOOKUP(B1695,SPECIFICATIONF!$C$2:$D$65,2,0)</f>
        <v>GLOBAL HFT</v>
      </c>
      <c r="H1695" s="12">
        <f t="shared" si="62"/>
        <v>9</v>
      </c>
      <c r="I1695" s="12">
        <f t="shared" si="63"/>
        <v>2025</v>
      </c>
    </row>
    <row r="1696" spans="1:9" ht="19.5" customHeight="1" x14ac:dyDescent="0.35">
      <c r="A1696" s="41">
        <v>45913</v>
      </c>
      <c r="B1696" s="8" t="s">
        <v>32</v>
      </c>
      <c r="C1696" s="42" t="s">
        <v>33</v>
      </c>
      <c r="D1696" s="43" t="s">
        <v>30</v>
      </c>
      <c r="E1696" s="46">
        <v>14404.51</v>
      </c>
      <c r="F1696" s="2">
        <f>IF(C1696="GBP",E1696*$C$3,IF(C1696="TRY",E1696/$C$1,IF(C1696="EUR",E1696*$E$1,IF(C1696="RUB",E1696/#REF!,IF(C1696="EGP",E1696/$E$2,E1696)))))</f>
        <v>14404.51</v>
      </c>
      <c r="G1696" s="15" t="str">
        <f>VLOOKUP(B1696,SPECIFICATIONF!$C$2:$D$65,2,0)</f>
        <v>GLOBAL HFT</v>
      </c>
      <c r="H1696" s="12">
        <f t="shared" si="62"/>
        <v>9</v>
      </c>
      <c r="I1696" s="12">
        <f t="shared" si="63"/>
        <v>2025</v>
      </c>
    </row>
    <row r="1697" spans="1:9" ht="19.5" customHeight="1" x14ac:dyDescent="0.35">
      <c r="A1697" s="41">
        <v>45913</v>
      </c>
      <c r="B1697" s="8" t="s">
        <v>32</v>
      </c>
      <c r="C1697" s="42" t="s">
        <v>11</v>
      </c>
      <c r="D1697" s="43" t="s">
        <v>29</v>
      </c>
      <c r="E1697" s="46">
        <v>8316219403</v>
      </c>
      <c r="F1697" s="2">
        <f>IF(C1697="GBP",E1697*$C$3,IF(C1697="TRY",E1697/$C$1,IF(C1697="EUR",E1697*$E$1,IF(C1697="RUB",E1697/#REF!,IF(C1697="EGP",E1697/$E$2,E1697)))))</f>
        <v>228048433.04476112</v>
      </c>
      <c r="G1697" s="15" t="str">
        <f>VLOOKUP(B1697,SPECIFICATIONF!$C$2:$D$65,2,0)</f>
        <v>GLOBAL HFT</v>
      </c>
      <c r="H1697" s="12">
        <f t="shared" si="62"/>
        <v>9</v>
      </c>
      <c r="I1697" s="12">
        <f t="shared" si="63"/>
        <v>2025</v>
      </c>
    </row>
    <row r="1698" spans="1:9" ht="19.5" customHeight="1" x14ac:dyDescent="0.35">
      <c r="A1698" s="41">
        <v>45913</v>
      </c>
      <c r="B1698" s="8" t="s">
        <v>32</v>
      </c>
      <c r="C1698" s="42" t="s">
        <v>33</v>
      </c>
      <c r="D1698" s="43" t="s">
        <v>29</v>
      </c>
      <c r="E1698" s="46">
        <v>49691923</v>
      </c>
      <c r="F1698" s="2">
        <f>IF(C1698="GBP",E1698*$C$3,IF(C1698="TRY",E1698/$C$1,IF(C1698="EUR",E1698*$E$1,IF(C1698="RUB",E1698/#REF!,IF(C1698="EGP",E1698/$E$2,E1698)))))</f>
        <v>49691923</v>
      </c>
      <c r="G1698" s="15" t="str">
        <f>VLOOKUP(B1698,SPECIFICATIONF!$C$2:$D$65,2,0)</f>
        <v>GLOBAL HFT</v>
      </c>
      <c r="H1698" s="12">
        <f t="shared" si="62"/>
        <v>9</v>
      </c>
      <c r="I1698" s="12">
        <f t="shared" si="63"/>
        <v>2025</v>
      </c>
    </row>
    <row r="1699" spans="1:9" ht="19.5" customHeight="1" x14ac:dyDescent="0.35">
      <c r="A1699" s="41">
        <v>45913</v>
      </c>
      <c r="B1699" s="8" t="s">
        <v>24</v>
      </c>
      <c r="C1699" s="42" t="s">
        <v>11</v>
      </c>
      <c r="D1699" s="43" t="s">
        <v>30</v>
      </c>
      <c r="E1699" s="46">
        <v>0</v>
      </c>
      <c r="F1699" s="2">
        <f>IF(C1699="GBP",E1699*$C$3,IF(C1699="TRY",E1699/$C$1,IF(C1699="EUR",E1699*$E$1,IF(C1699="RUB",E1699/#REF!,IF(C1699="EGP",E1699/$E$2,E1699)))))</f>
        <v>0</v>
      </c>
      <c r="G1699" s="15" t="str">
        <f>VLOOKUP(B1699,SPECIFICATIONF!$C$2:$D$65,2,0)</f>
        <v>GLOBAL RETAIL</v>
      </c>
      <c r="H1699" s="12">
        <f t="shared" si="62"/>
        <v>9</v>
      </c>
      <c r="I1699" s="12">
        <f t="shared" si="63"/>
        <v>2025</v>
      </c>
    </row>
    <row r="1700" spans="1:9" ht="19.5" customHeight="1" x14ac:dyDescent="0.35">
      <c r="A1700" s="41">
        <v>45913</v>
      </c>
      <c r="B1700" s="8" t="s">
        <v>24</v>
      </c>
      <c r="C1700" s="42" t="s">
        <v>33</v>
      </c>
      <c r="D1700" s="43" t="s">
        <v>30</v>
      </c>
      <c r="E1700" s="46">
        <v>0</v>
      </c>
      <c r="F1700" s="2">
        <f>IF(C1700="GBP",E1700*$C$3,IF(C1700="TRY",E1700/$C$1,IF(C1700="EUR",E1700*$E$1,IF(C1700="RUB",E1700/#REF!,IF(C1700="EGP",E1700/$E$2,E1700)))))</f>
        <v>0</v>
      </c>
      <c r="G1700" s="15" t="str">
        <f>VLOOKUP(B1700,SPECIFICATIONF!$C$2:$D$65,2,0)</f>
        <v>GLOBAL RETAIL</v>
      </c>
      <c r="H1700" s="12">
        <f t="shared" si="62"/>
        <v>9</v>
      </c>
      <c r="I1700" s="12">
        <f t="shared" si="63"/>
        <v>2025</v>
      </c>
    </row>
    <row r="1701" spans="1:9" ht="19.5" customHeight="1" x14ac:dyDescent="0.35">
      <c r="A1701" s="41">
        <v>45913</v>
      </c>
      <c r="B1701" s="8" t="s">
        <v>24</v>
      </c>
      <c r="C1701" s="42" t="s">
        <v>11</v>
      </c>
      <c r="D1701" s="43" t="s">
        <v>29</v>
      </c>
      <c r="E1701" s="46">
        <v>3358</v>
      </c>
      <c r="F1701" s="2">
        <f>IF(C1701="GBP",E1701*$C$3,IF(C1701="TRY",E1701/$C$1,IF(C1701="EUR",E1701*$E$1,IF(C1701="RUB",E1701/#REF!,IF(C1701="EGP",E1701/$E$2,E1701)))))</f>
        <v>92.083505864222076</v>
      </c>
      <c r="G1701" s="15" t="str">
        <f>VLOOKUP(B1701,SPECIFICATIONF!$C$2:$D$65,2,0)</f>
        <v>GLOBAL RETAIL</v>
      </c>
      <c r="H1701" s="12">
        <f t="shared" si="62"/>
        <v>9</v>
      </c>
      <c r="I1701" s="12">
        <f t="shared" si="63"/>
        <v>2025</v>
      </c>
    </row>
    <row r="1702" spans="1:9" ht="19.5" customHeight="1" x14ac:dyDescent="0.35">
      <c r="A1702" s="41">
        <v>45913</v>
      </c>
      <c r="B1702" s="8" t="s">
        <v>24</v>
      </c>
      <c r="C1702" s="42" t="s">
        <v>33</v>
      </c>
      <c r="D1702" s="43" t="s">
        <v>29</v>
      </c>
      <c r="E1702" s="46">
        <v>0</v>
      </c>
      <c r="F1702" s="2">
        <f>IF(C1702="GBP",E1702*$C$3,IF(C1702="TRY",E1702/$C$1,IF(C1702="EUR",E1702*$E$1,IF(C1702="RUB",E1702/#REF!,IF(C1702="EGP",E1702/$E$2,E1702)))))</f>
        <v>0</v>
      </c>
      <c r="G1702" s="15" t="str">
        <f>VLOOKUP(B1702,SPECIFICATIONF!$C$2:$D$65,2,0)</f>
        <v>GLOBAL RETAIL</v>
      </c>
      <c r="H1702" s="12">
        <f t="shared" ref="H1702:H1765" si="64">MONTH(A1702)</f>
        <v>9</v>
      </c>
      <c r="I1702" s="12">
        <f t="shared" ref="I1702:I1765" si="65">YEAR(A1702)</f>
        <v>2025</v>
      </c>
    </row>
    <row r="1703" spans="1:9" ht="19.5" customHeight="1" x14ac:dyDescent="0.35">
      <c r="A1703" s="41">
        <v>45914</v>
      </c>
      <c r="B1703" s="8" t="s">
        <v>32</v>
      </c>
      <c r="C1703" s="42" t="s">
        <v>11</v>
      </c>
      <c r="D1703" s="43" t="s">
        <v>30</v>
      </c>
      <c r="E1703" s="46">
        <v>1859506.64</v>
      </c>
      <c r="F1703" s="2">
        <f>IF(C1703="GBP",E1703*$C$3,IF(C1703="TRY",E1703/$C$1,IF(C1703="EUR",E1703*$E$1,IF(C1703="RUB",E1703/#REF!,IF(C1703="EGP",E1703/$E$2,E1703)))))</f>
        <v>50991.629121203056</v>
      </c>
      <c r="G1703" s="15" t="str">
        <f>VLOOKUP(B1703,SPECIFICATIONF!$C$2:$D$65,2,0)</f>
        <v>GLOBAL HFT</v>
      </c>
      <c r="H1703" s="12">
        <f t="shared" si="64"/>
        <v>9</v>
      </c>
      <c r="I1703" s="12">
        <f t="shared" si="65"/>
        <v>2025</v>
      </c>
    </row>
    <row r="1704" spans="1:9" ht="19.5" customHeight="1" x14ac:dyDescent="0.35">
      <c r="A1704" s="41">
        <v>45914</v>
      </c>
      <c r="B1704" s="8" t="s">
        <v>32</v>
      </c>
      <c r="C1704" s="42" t="s">
        <v>33</v>
      </c>
      <c r="D1704" s="43" t="s">
        <v>30</v>
      </c>
      <c r="E1704" s="46">
        <v>10778.21</v>
      </c>
      <c r="F1704" s="2">
        <f>IF(C1704="GBP",E1704*$C$3,IF(C1704="TRY",E1704/$C$1,IF(C1704="EUR",E1704*$E$1,IF(C1704="RUB",E1704/#REF!,IF(C1704="EGP",E1704/$E$2,E1704)))))</f>
        <v>10778.21</v>
      </c>
      <c r="G1704" s="15" t="str">
        <f>VLOOKUP(B1704,SPECIFICATIONF!$C$2:$D$65,2,0)</f>
        <v>GLOBAL HFT</v>
      </c>
      <c r="H1704" s="12">
        <f t="shared" si="64"/>
        <v>9</v>
      </c>
      <c r="I1704" s="12">
        <f t="shared" si="65"/>
        <v>2025</v>
      </c>
    </row>
    <row r="1705" spans="1:9" ht="19.5" customHeight="1" x14ac:dyDescent="0.35">
      <c r="A1705" s="41">
        <v>45914</v>
      </c>
      <c r="B1705" s="8" t="s">
        <v>32</v>
      </c>
      <c r="C1705" s="42" t="s">
        <v>11</v>
      </c>
      <c r="D1705" s="43" t="s">
        <v>29</v>
      </c>
      <c r="E1705" s="46">
        <v>6843539519</v>
      </c>
      <c r="F1705" s="2">
        <f>IF(C1705="GBP",E1705*$C$3,IF(C1705="TRY",E1705/$C$1,IF(C1705="EUR",E1705*$E$1,IF(C1705="RUB",E1705/#REF!,IF(C1705="EGP",E1705/$E$2,E1705)))))</f>
        <v>187664416.74504822</v>
      </c>
      <c r="G1705" s="15" t="str">
        <f>VLOOKUP(B1705,SPECIFICATIONF!$C$2:$D$65,2,0)</f>
        <v>GLOBAL HFT</v>
      </c>
      <c r="H1705" s="12">
        <f t="shared" si="64"/>
        <v>9</v>
      </c>
      <c r="I1705" s="12">
        <f t="shared" si="65"/>
        <v>2025</v>
      </c>
    </row>
    <row r="1706" spans="1:9" ht="19.5" customHeight="1" x14ac:dyDescent="0.35">
      <c r="A1706" s="41">
        <v>45914</v>
      </c>
      <c r="B1706" s="8" t="s">
        <v>32</v>
      </c>
      <c r="C1706" s="42" t="s">
        <v>33</v>
      </c>
      <c r="D1706" s="43" t="s">
        <v>29</v>
      </c>
      <c r="E1706" s="46">
        <v>38128451</v>
      </c>
      <c r="F1706" s="2">
        <f>IF(C1706="GBP",E1706*$C$3,IF(C1706="TRY",E1706/$C$1,IF(C1706="EUR",E1706*$E$1,IF(C1706="RUB",E1706/#REF!,IF(C1706="EGP",E1706/$E$2,E1706)))))</f>
        <v>38128451</v>
      </c>
      <c r="G1706" s="15" t="str">
        <f>VLOOKUP(B1706,SPECIFICATIONF!$C$2:$D$65,2,0)</f>
        <v>GLOBAL HFT</v>
      </c>
      <c r="H1706" s="12">
        <f t="shared" si="64"/>
        <v>9</v>
      </c>
      <c r="I1706" s="12">
        <f t="shared" si="65"/>
        <v>2025</v>
      </c>
    </row>
    <row r="1707" spans="1:9" ht="19.5" customHeight="1" x14ac:dyDescent="0.35">
      <c r="A1707" s="41">
        <v>45914</v>
      </c>
      <c r="B1707" s="8" t="s">
        <v>24</v>
      </c>
      <c r="C1707" s="42" t="s">
        <v>11</v>
      </c>
      <c r="D1707" s="43" t="s">
        <v>30</v>
      </c>
      <c r="E1707" s="46">
        <v>0</v>
      </c>
      <c r="F1707" s="2">
        <f>IF(C1707="GBP",E1707*$C$3,IF(C1707="TRY",E1707/$C$1,IF(C1707="EUR",E1707*$E$1,IF(C1707="RUB",E1707/#REF!,IF(C1707="EGP",E1707/$E$2,E1707)))))</f>
        <v>0</v>
      </c>
      <c r="G1707" s="15" t="str">
        <f>VLOOKUP(B1707,SPECIFICATIONF!$C$2:$D$65,2,0)</f>
        <v>GLOBAL RETAIL</v>
      </c>
      <c r="H1707" s="12">
        <f t="shared" si="64"/>
        <v>9</v>
      </c>
      <c r="I1707" s="12">
        <f t="shared" si="65"/>
        <v>2025</v>
      </c>
    </row>
    <row r="1708" spans="1:9" ht="19.5" customHeight="1" x14ac:dyDescent="0.35">
      <c r="A1708" s="41">
        <v>45914</v>
      </c>
      <c r="B1708" s="8" t="s">
        <v>24</v>
      </c>
      <c r="C1708" s="42" t="s">
        <v>33</v>
      </c>
      <c r="D1708" s="43" t="s">
        <v>30</v>
      </c>
      <c r="E1708" s="46">
        <v>0</v>
      </c>
      <c r="F1708" s="2">
        <f>IF(C1708="GBP",E1708*$C$3,IF(C1708="TRY",E1708/$C$1,IF(C1708="EUR",E1708*$E$1,IF(C1708="RUB",E1708/#REF!,IF(C1708="EGP",E1708/$E$2,E1708)))))</f>
        <v>0</v>
      </c>
      <c r="G1708" s="15" t="str">
        <f>VLOOKUP(B1708,SPECIFICATIONF!$C$2:$D$65,2,0)</f>
        <v>GLOBAL RETAIL</v>
      </c>
      <c r="H1708" s="12">
        <f t="shared" si="64"/>
        <v>9</v>
      </c>
      <c r="I1708" s="12">
        <f t="shared" si="65"/>
        <v>2025</v>
      </c>
    </row>
    <row r="1709" spans="1:9" ht="19.5" customHeight="1" x14ac:dyDescent="0.35">
      <c r="A1709" s="41">
        <v>45914</v>
      </c>
      <c r="B1709" s="8" t="s">
        <v>24</v>
      </c>
      <c r="C1709" s="42" t="s">
        <v>11</v>
      </c>
      <c r="D1709" s="43" t="s">
        <v>29</v>
      </c>
      <c r="E1709" s="46">
        <v>1156474</v>
      </c>
      <c r="F1709" s="2">
        <f>IF(C1709="GBP",E1709*$C$3,IF(C1709="TRY",E1709/$C$1,IF(C1709="EUR",E1709*$E$1,IF(C1709="RUB",E1709/#REF!,IF(C1709="EGP",E1709/$E$2,E1709)))))</f>
        <v>31712.978070524226</v>
      </c>
      <c r="G1709" s="15" t="str">
        <f>VLOOKUP(B1709,SPECIFICATIONF!$C$2:$D$65,2,0)</f>
        <v>GLOBAL RETAIL</v>
      </c>
      <c r="H1709" s="12">
        <f t="shared" si="64"/>
        <v>9</v>
      </c>
      <c r="I1709" s="12">
        <f t="shared" si="65"/>
        <v>2025</v>
      </c>
    </row>
    <row r="1710" spans="1:9" ht="19.5" customHeight="1" x14ac:dyDescent="0.35">
      <c r="A1710" s="41">
        <v>45914</v>
      </c>
      <c r="B1710" s="8" t="s">
        <v>24</v>
      </c>
      <c r="C1710" s="42" t="s">
        <v>33</v>
      </c>
      <c r="D1710" s="43" t="s">
        <v>29</v>
      </c>
      <c r="E1710" s="46">
        <v>0</v>
      </c>
      <c r="F1710" s="2">
        <f>IF(C1710="GBP",E1710*$C$3,IF(C1710="TRY",E1710/$C$1,IF(C1710="EUR",E1710*$E$1,IF(C1710="RUB",E1710/#REF!,IF(C1710="EGP",E1710/$E$2,E1710)))))</f>
        <v>0</v>
      </c>
      <c r="G1710" s="15" t="str">
        <f>VLOOKUP(B1710,SPECIFICATIONF!$C$2:$D$65,2,0)</f>
        <v>GLOBAL RETAIL</v>
      </c>
      <c r="H1710" s="12">
        <f t="shared" si="64"/>
        <v>9</v>
      </c>
      <c r="I1710" s="12">
        <f t="shared" si="65"/>
        <v>2025</v>
      </c>
    </row>
    <row r="1711" spans="1:9" ht="19.5" customHeight="1" x14ac:dyDescent="0.35">
      <c r="A1711" s="41">
        <v>45915</v>
      </c>
      <c r="B1711" s="8" t="s">
        <v>32</v>
      </c>
      <c r="C1711" s="42" t="s">
        <v>11</v>
      </c>
      <c r="D1711" s="43" t="s">
        <v>30</v>
      </c>
      <c r="E1711" s="46">
        <v>1872235.68</v>
      </c>
      <c r="F1711" s="2">
        <f>IF(C1711="GBP",E1711*$C$3,IF(C1711="TRY",E1711/$C$1,IF(C1711="EUR",E1711*$E$1,IF(C1711="RUB",E1711/#REF!,IF(C1711="EGP",E1711/$E$2,E1711)))))</f>
        <v>51340.686485552644</v>
      </c>
      <c r="G1711" s="15" t="str">
        <f>VLOOKUP(B1711,SPECIFICATIONF!$C$2:$D$65,2,0)</f>
        <v>GLOBAL HFT</v>
      </c>
      <c r="H1711" s="12">
        <f t="shared" si="64"/>
        <v>9</v>
      </c>
      <c r="I1711" s="12">
        <f t="shared" si="65"/>
        <v>2025</v>
      </c>
    </row>
    <row r="1712" spans="1:9" ht="19.5" customHeight="1" x14ac:dyDescent="0.35">
      <c r="A1712" s="41">
        <v>45915</v>
      </c>
      <c r="B1712" s="8" t="s">
        <v>32</v>
      </c>
      <c r="C1712" s="42" t="s">
        <v>33</v>
      </c>
      <c r="D1712" s="43" t="s">
        <v>30</v>
      </c>
      <c r="E1712" s="46">
        <v>10908.28</v>
      </c>
      <c r="F1712" s="2">
        <f>IF(C1712="GBP",E1712*$C$3,IF(C1712="TRY",E1712/$C$1,IF(C1712="EUR",E1712*$E$1,IF(C1712="RUB",E1712/#REF!,IF(C1712="EGP",E1712/$E$2,E1712)))))</f>
        <v>10908.28</v>
      </c>
      <c r="G1712" s="15" t="str">
        <f>VLOOKUP(B1712,SPECIFICATIONF!$C$2:$D$65,2,0)</f>
        <v>GLOBAL HFT</v>
      </c>
      <c r="H1712" s="12">
        <f t="shared" si="64"/>
        <v>9</v>
      </c>
      <c r="I1712" s="12">
        <f t="shared" si="65"/>
        <v>2025</v>
      </c>
    </row>
    <row r="1713" spans="1:9" ht="19.5" customHeight="1" x14ac:dyDescent="0.35">
      <c r="A1713" s="41">
        <v>45915</v>
      </c>
      <c r="B1713" s="8" t="s">
        <v>32</v>
      </c>
      <c r="C1713" s="42" t="s">
        <v>11</v>
      </c>
      <c r="D1713" s="43" t="s">
        <v>29</v>
      </c>
      <c r="E1713" s="46">
        <v>7148505856</v>
      </c>
      <c r="F1713" s="2">
        <f>IF(C1713="GBP",E1713*$C$3,IF(C1713="TRY",E1713/$C$1,IF(C1713="EUR",E1713*$E$1,IF(C1713="RUB",E1713/#REF!,IF(C1713="EGP",E1713/$E$2,E1713)))))</f>
        <v>196027242.67760625</v>
      </c>
      <c r="G1713" s="15" t="str">
        <f>VLOOKUP(B1713,SPECIFICATIONF!$C$2:$D$65,2,0)</f>
        <v>GLOBAL HFT</v>
      </c>
      <c r="H1713" s="12">
        <f t="shared" si="64"/>
        <v>9</v>
      </c>
      <c r="I1713" s="12">
        <f t="shared" si="65"/>
        <v>2025</v>
      </c>
    </row>
    <row r="1714" spans="1:9" ht="19.5" customHeight="1" x14ac:dyDescent="0.35">
      <c r="A1714" s="41">
        <v>45915</v>
      </c>
      <c r="B1714" s="8" t="s">
        <v>32</v>
      </c>
      <c r="C1714" s="42" t="s">
        <v>33</v>
      </c>
      <c r="D1714" s="43" t="s">
        <v>29</v>
      </c>
      <c r="E1714" s="46">
        <v>38216875</v>
      </c>
      <c r="F1714" s="2">
        <f>IF(C1714="GBP",E1714*$C$3,IF(C1714="TRY",E1714/$C$1,IF(C1714="EUR",E1714*$E$1,IF(C1714="RUB",E1714/#REF!,IF(C1714="EGP",E1714/$E$2,E1714)))))</f>
        <v>38216875</v>
      </c>
      <c r="G1714" s="15" t="str">
        <f>VLOOKUP(B1714,SPECIFICATIONF!$C$2:$D$65,2,0)</f>
        <v>GLOBAL HFT</v>
      </c>
      <c r="H1714" s="12">
        <f t="shared" si="64"/>
        <v>9</v>
      </c>
      <c r="I1714" s="12">
        <f t="shared" si="65"/>
        <v>2025</v>
      </c>
    </row>
    <row r="1715" spans="1:9" ht="19.5" customHeight="1" x14ac:dyDescent="0.35">
      <c r="A1715" s="41">
        <v>45915</v>
      </c>
      <c r="B1715" s="8" t="s">
        <v>24</v>
      </c>
      <c r="C1715" s="42" t="s">
        <v>11</v>
      </c>
      <c r="D1715" s="43" t="s">
        <v>30</v>
      </c>
      <c r="E1715" s="46">
        <v>0</v>
      </c>
      <c r="F1715" s="2">
        <f>IF(C1715="GBP",E1715*$C$3,IF(C1715="TRY",E1715/$C$1,IF(C1715="EUR",E1715*$E$1,IF(C1715="RUB",E1715/#REF!,IF(C1715="EGP",E1715/$E$2,E1715)))))</f>
        <v>0</v>
      </c>
      <c r="G1715" s="15" t="str">
        <f>VLOOKUP(B1715,SPECIFICATIONF!$C$2:$D$65,2,0)</f>
        <v>GLOBAL RETAIL</v>
      </c>
      <c r="H1715" s="12">
        <f t="shared" si="64"/>
        <v>9</v>
      </c>
      <c r="I1715" s="12">
        <f t="shared" si="65"/>
        <v>2025</v>
      </c>
    </row>
    <row r="1716" spans="1:9" ht="19.5" customHeight="1" x14ac:dyDescent="0.35">
      <c r="A1716" s="41">
        <v>45915</v>
      </c>
      <c r="B1716" s="8" t="s">
        <v>24</v>
      </c>
      <c r="C1716" s="42" t="s">
        <v>33</v>
      </c>
      <c r="D1716" s="43" t="s">
        <v>30</v>
      </c>
      <c r="E1716" s="46">
        <v>0</v>
      </c>
      <c r="F1716" s="2">
        <f>IF(C1716="GBP",E1716*$C$3,IF(C1716="TRY",E1716/$C$1,IF(C1716="EUR",E1716*$E$1,IF(C1716="RUB",E1716/#REF!,IF(C1716="EGP",E1716/$E$2,E1716)))))</f>
        <v>0</v>
      </c>
      <c r="G1716" s="15" t="str">
        <f>VLOOKUP(B1716,SPECIFICATIONF!$C$2:$D$65,2,0)</f>
        <v>GLOBAL RETAIL</v>
      </c>
      <c r="H1716" s="12">
        <f t="shared" si="64"/>
        <v>9</v>
      </c>
      <c r="I1716" s="12">
        <f t="shared" si="65"/>
        <v>2025</v>
      </c>
    </row>
    <row r="1717" spans="1:9" ht="19.5" customHeight="1" x14ac:dyDescent="0.35">
      <c r="A1717" s="41">
        <v>45915</v>
      </c>
      <c r="B1717" s="8" t="s">
        <v>24</v>
      </c>
      <c r="C1717" s="42" t="s">
        <v>11</v>
      </c>
      <c r="D1717" s="43" t="s">
        <v>29</v>
      </c>
      <c r="E1717" s="46">
        <v>17685216</v>
      </c>
      <c r="F1717" s="2">
        <f>IF(C1717="GBP",E1717*$C$3,IF(C1717="TRY",E1717/$C$1,IF(C1717="EUR",E1717*$E$1,IF(C1717="RUB",E1717/#REF!,IF(C1717="EGP",E1717/$E$2,E1717)))))</f>
        <v>484966.2570714812</v>
      </c>
      <c r="G1717" s="15" t="str">
        <f>VLOOKUP(B1717,SPECIFICATIONF!$C$2:$D$65,2,0)</f>
        <v>GLOBAL RETAIL</v>
      </c>
      <c r="H1717" s="12">
        <f t="shared" si="64"/>
        <v>9</v>
      </c>
      <c r="I1717" s="12">
        <f t="shared" si="65"/>
        <v>2025</v>
      </c>
    </row>
    <row r="1718" spans="1:9" ht="19.5" customHeight="1" x14ac:dyDescent="0.35">
      <c r="A1718" s="41">
        <v>45915</v>
      </c>
      <c r="B1718" s="8" t="s">
        <v>24</v>
      </c>
      <c r="C1718" s="42" t="s">
        <v>33</v>
      </c>
      <c r="D1718" s="43" t="s">
        <v>29</v>
      </c>
      <c r="E1718" s="46">
        <v>154644</v>
      </c>
      <c r="F1718" s="2">
        <f>IF(C1718="GBP",E1718*$C$3,IF(C1718="TRY",E1718/$C$1,IF(C1718="EUR",E1718*$E$1,IF(C1718="RUB",E1718/#REF!,IF(C1718="EGP",E1718/$E$2,E1718)))))</f>
        <v>154644</v>
      </c>
      <c r="G1718" s="15" t="str">
        <f>VLOOKUP(B1718,SPECIFICATIONF!$C$2:$D$65,2,0)</f>
        <v>GLOBAL RETAIL</v>
      </c>
      <c r="H1718" s="12">
        <f t="shared" si="64"/>
        <v>9</v>
      </c>
      <c r="I1718" s="12">
        <f t="shared" si="65"/>
        <v>2025</v>
      </c>
    </row>
    <row r="1719" spans="1:9" ht="19.5" customHeight="1" x14ac:dyDescent="0.35">
      <c r="A1719" s="41">
        <v>45916</v>
      </c>
      <c r="B1719" s="8" t="s">
        <v>32</v>
      </c>
      <c r="C1719" s="42" t="s">
        <v>11</v>
      </c>
      <c r="D1719" s="43" t="s">
        <v>30</v>
      </c>
      <c r="E1719" s="46">
        <v>1381411.72</v>
      </c>
      <c r="F1719" s="2">
        <f>IF(C1719="GBP",E1719*$C$3,IF(C1719="TRY",E1719/$C$1,IF(C1719="EUR",E1719*$E$1,IF(C1719="RUB",E1719/#REF!,IF(C1719="EGP",E1719/$E$2,E1719)))))</f>
        <v>37881.24902308669</v>
      </c>
      <c r="G1719" s="15" t="str">
        <f>VLOOKUP(B1719,SPECIFICATIONF!$C$2:$D$65,2,0)</f>
        <v>GLOBAL HFT</v>
      </c>
      <c r="H1719" s="12">
        <f t="shared" si="64"/>
        <v>9</v>
      </c>
      <c r="I1719" s="12">
        <f t="shared" si="65"/>
        <v>2025</v>
      </c>
    </row>
    <row r="1720" spans="1:9" ht="19.5" customHeight="1" x14ac:dyDescent="0.35">
      <c r="A1720" s="41">
        <v>45916</v>
      </c>
      <c r="B1720" s="8" t="s">
        <v>32</v>
      </c>
      <c r="C1720" s="42" t="s">
        <v>33</v>
      </c>
      <c r="D1720" s="43" t="s">
        <v>30</v>
      </c>
      <c r="E1720" s="46">
        <v>8539.32</v>
      </c>
      <c r="F1720" s="2">
        <f>IF(C1720="GBP",E1720*$C$3,IF(C1720="TRY",E1720/$C$1,IF(C1720="EUR",E1720*$E$1,IF(C1720="RUB",E1720/#REF!,IF(C1720="EGP",E1720/$E$2,E1720)))))</f>
        <v>8539.32</v>
      </c>
      <c r="G1720" s="15" t="str">
        <f>VLOOKUP(B1720,SPECIFICATIONF!$C$2:$D$65,2,0)</f>
        <v>GLOBAL HFT</v>
      </c>
      <c r="H1720" s="12">
        <f t="shared" si="64"/>
        <v>9</v>
      </c>
      <c r="I1720" s="12">
        <f t="shared" si="65"/>
        <v>2025</v>
      </c>
    </row>
    <row r="1721" spans="1:9" ht="19.5" customHeight="1" x14ac:dyDescent="0.35">
      <c r="A1721" s="41">
        <v>45916</v>
      </c>
      <c r="B1721" s="8" t="s">
        <v>32</v>
      </c>
      <c r="C1721" s="42" t="s">
        <v>11</v>
      </c>
      <c r="D1721" s="43" t="s">
        <v>29</v>
      </c>
      <c r="E1721" s="46">
        <v>5551429431</v>
      </c>
      <c r="F1721" s="2">
        <f>IF(C1721="GBP",E1721*$C$3,IF(C1721="TRY",E1721/$C$1,IF(C1721="EUR",E1721*$E$1,IF(C1721="RUB",E1721/#REF!,IF(C1721="EGP",E1721/$E$2,E1721)))))</f>
        <v>152232008.50634411</v>
      </c>
      <c r="G1721" s="15" t="str">
        <f>VLOOKUP(B1721,SPECIFICATIONF!$C$2:$D$65,2,0)</f>
        <v>GLOBAL HFT</v>
      </c>
      <c r="H1721" s="12">
        <f t="shared" si="64"/>
        <v>9</v>
      </c>
      <c r="I1721" s="12">
        <f t="shared" si="65"/>
        <v>2025</v>
      </c>
    </row>
    <row r="1722" spans="1:9" ht="19.5" customHeight="1" x14ac:dyDescent="0.35">
      <c r="A1722" s="41">
        <v>45916</v>
      </c>
      <c r="B1722" s="8" t="s">
        <v>32</v>
      </c>
      <c r="C1722" s="42" t="s">
        <v>33</v>
      </c>
      <c r="D1722" s="43" t="s">
        <v>29</v>
      </c>
      <c r="E1722" s="46">
        <v>29416159</v>
      </c>
      <c r="F1722" s="2">
        <f>IF(C1722="GBP",E1722*$C$3,IF(C1722="TRY",E1722/$C$1,IF(C1722="EUR",E1722*$E$1,IF(C1722="RUB",E1722/#REF!,IF(C1722="EGP",E1722/$E$2,E1722)))))</f>
        <v>29416159</v>
      </c>
      <c r="G1722" s="15" t="str">
        <f>VLOOKUP(B1722,SPECIFICATIONF!$C$2:$D$65,2,0)</f>
        <v>GLOBAL HFT</v>
      </c>
      <c r="H1722" s="12">
        <f t="shared" si="64"/>
        <v>9</v>
      </c>
      <c r="I1722" s="12">
        <f t="shared" si="65"/>
        <v>2025</v>
      </c>
    </row>
    <row r="1723" spans="1:9" ht="19.5" customHeight="1" x14ac:dyDescent="0.35">
      <c r="A1723" s="41">
        <v>45916</v>
      </c>
      <c r="B1723" s="8" t="s">
        <v>24</v>
      </c>
      <c r="C1723" s="42" t="s">
        <v>11</v>
      </c>
      <c r="D1723" s="43" t="s">
        <v>30</v>
      </c>
      <c r="E1723" s="46">
        <v>0</v>
      </c>
      <c r="F1723" s="2">
        <f>IF(C1723="GBP",E1723*$C$3,IF(C1723="TRY",E1723/$C$1,IF(C1723="EUR",E1723*$E$1,IF(C1723="RUB",E1723/#REF!,IF(C1723="EGP",E1723/$E$2,E1723)))))</f>
        <v>0</v>
      </c>
      <c r="G1723" s="15" t="str">
        <f>VLOOKUP(B1723,SPECIFICATIONF!$C$2:$D$65,2,0)</f>
        <v>GLOBAL RETAIL</v>
      </c>
      <c r="H1723" s="12">
        <f t="shared" si="64"/>
        <v>9</v>
      </c>
      <c r="I1723" s="12">
        <f t="shared" si="65"/>
        <v>2025</v>
      </c>
    </row>
    <row r="1724" spans="1:9" ht="19.5" customHeight="1" x14ac:dyDescent="0.35">
      <c r="A1724" s="41">
        <v>45916</v>
      </c>
      <c r="B1724" s="8" t="s">
        <v>24</v>
      </c>
      <c r="C1724" s="42" t="s">
        <v>33</v>
      </c>
      <c r="D1724" s="43" t="s">
        <v>30</v>
      </c>
      <c r="E1724" s="46">
        <v>0</v>
      </c>
      <c r="F1724" s="2">
        <f>IF(C1724="GBP",E1724*$C$3,IF(C1724="TRY",E1724/$C$1,IF(C1724="EUR",E1724*$E$1,IF(C1724="RUB",E1724/#REF!,IF(C1724="EGP",E1724/$E$2,E1724)))))</f>
        <v>0</v>
      </c>
      <c r="G1724" s="15" t="str">
        <f>VLOOKUP(B1724,SPECIFICATIONF!$C$2:$D$65,2,0)</f>
        <v>GLOBAL RETAIL</v>
      </c>
      <c r="H1724" s="12">
        <f t="shared" si="64"/>
        <v>9</v>
      </c>
      <c r="I1724" s="12">
        <f t="shared" si="65"/>
        <v>2025</v>
      </c>
    </row>
    <row r="1725" spans="1:9" ht="19.5" customHeight="1" x14ac:dyDescent="0.35">
      <c r="A1725" s="41">
        <v>45916</v>
      </c>
      <c r="B1725" s="8" t="s">
        <v>24</v>
      </c>
      <c r="C1725" s="42" t="s">
        <v>11</v>
      </c>
      <c r="D1725" s="43" t="s">
        <v>29</v>
      </c>
      <c r="E1725" s="46">
        <v>8389535</v>
      </c>
      <c r="F1725" s="2">
        <f>IF(C1725="GBP",E1725*$C$3,IF(C1725="TRY",E1725/$C$1,IF(C1725="EUR",E1725*$E$1,IF(C1725="RUB",E1725/#REF!,IF(C1725="EGP",E1725/$E$2,E1725)))))</f>
        <v>230058.90273096971</v>
      </c>
      <c r="G1725" s="15" t="str">
        <f>VLOOKUP(B1725,SPECIFICATIONF!$C$2:$D$65,2,0)</f>
        <v>GLOBAL RETAIL</v>
      </c>
      <c r="H1725" s="12">
        <f t="shared" si="64"/>
        <v>9</v>
      </c>
      <c r="I1725" s="12">
        <f t="shared" si="65"/>
        <v>2025</v>
      </c>
    </row>
    <row r="1726" spans="1:9" ht="19.5" customHeight="1" x14ac:dyDescent="0.35">
      <c r="A1726" s="41">
        <v>45916</v>
      </c>
      <c r="B1726" s="8" t="s">
        <v>24</v>
      </c>
      <c r="C1726" s="42" t="s">
        <v>33</v>
      </c>
      <c r="D1726" s="43" t="s">
        <v>29</v>
      </c>
      <c r="E1726" s="46">
        <v>118670</v>
      </c>
      <c r="F1726" s="2">
        <f>IF(C1726="GBP",E1726*$C$3,IF(C1726="TRY",E1726/$C$1,IF(C1726="EUR",E1726*$E$1,IF(C1726="RUB",E1726/#REF!,IF(C1726="EGP",E1726/$E$2,E1726)))))</f>
        <v>118670</v>
      </c>
      <c r="G1726" s="15" t="str">
        <f>VLOOKUP(B1726,SPECIFICATIONF!$C$2:$D$65,2,0)</f>
        <v>GLOBAL RETAIL</v>
      </c>
      <c r="H1726" s="12">
        <f t="shared" si="64"/>
        <v>9</v>
      </c>
      <c r="I1726" s="12">
        <f t="shared" si="65"/>
        <v>2025</v>
      </c>
    </row>
    <row r="1727" spans="1:9" ht="19.5" customHeight="1" x14ac:dyDescent="0.35">
      <c r="A1727" s="41">
        <v>45917</v>
      </c>
      <c r="B1727" s="8" t="s">
        <v>32</v>
      </c>
      <c r="C1727" s="42" t="s">
        <v>11</v>
      </c>
      <c r="D1727" s="43" t="s">
        <v>30</v>
      </c>
      <c r="E1727" s="46">
        <v>1478603.87</v>
      </c>
      <c r="F1727" s="2">
        <f>IF(C1727="GBP",E1727*$C$3,IF(C1727="TRY",E1727/$C$1,IF(C1727="EUR",E1727*$E$1,IF(C1727="RUB",E1727/#REF!,IF(C1727="EGP",E1727/$E$2,E1727)))))</f>
        <v>40546.464602146058</v>
      </c>
      <c r="G1727" s="15" t="str">
        <f>VLOOKUP(B1727,SPECIFICATIONF!$C$2:$D$65,2,0)</f>
        <v>GLOBAL HFT</v>
      </c>
      <c r="H1727" s="12">
        <f t="shared" si="64"/>
        <v>9</v>
      </c>
      <c r="I1727" s="12">
        <f t="shared" si="65"/>
        <v>2025</v>
      </c>
    </row>
    <row r="1728" spans="1:9" ht="19.5" customHeight="1" x14ac:dyDescent="0.35">
      <c r="A1728" s="41">
        <v>45917</v>
      </c>
      <c r="B1728" s="8" t="s">
        <v>32</v>
      </c>
      <c r="C1728" s="42" t="s">
        <v>33</v>
      </c>
      <c r="D1728" s="43" t="s">
        <v>30</v>
      </c>
      <c r="E1728" s="46">
        <v>9869.65</v>
      </c>
      <c r="F1728" s="2">
        <f>IF(C1728="GBP",E1728*$C$3,IF(C1728="TRY",E1728/$C$1,IF(C1728="EUR",E1728*$E$1,IF(C1728="RUB",E1728/#REF!,IF(C1728="EGP",E1728/$E$2,E1728)))))</f>
        <v>9869.65</v>
      </c>
      <c r="G1728" s="15" t="str">
        <f>VLOOKUP(B1728,SPECIFICATIONF!$C$2:$D$65,2,0)</f>
        <v>GLOBAL HFT</v>
      </c>
      <c r="H1728" s="12">
        <f t="shared" si="64"/>
        <v>9</v>
      </c>
      <c r="I1728" s="12">
        <f t="shared" si="65"/>
        <v>2025</v>
      </c>
    </row>
    <row r="1729" spans="1:9" ht="19.5" customHeight="1" x14ac:dyDescent="0.35">
      <c r="A1729" s="41">
        <v>45917</v>
      </c>
      <c r="B1729" s="8" t="s">
        <v>32</v>
      </c>
      <c r="C1729" s="42" t="s">
        <v>11</v>
      </c>
      <c r="D1729" s="43" t="s">
        <v>29</v>
      </c>
      <c r="E1729" s="46">
        <v>5904879575</v>
      </c>
      <c r="F1729" s="2">
        <f>IF(C1729="GBP",E1729*$C$3,IF(C1729="TRY",E1729/$C$1,IF(C1729="EUR",E1729*$E$1,IF(C1729="RUB",E1729/#REF!,IF(C1729="EGP",E1729/$E$2,E1729)))))</f>
        <v>161924363.60096416</v>
      </c>
      <c r="G1729" s="15" t="str">
        <f>VLOOKUP(B1729,SPECIFICATIONF!$C$2:$D$65,2,0)</f>
        <v>GLOBAL HFT</v>
      </c>
      <c r="H1729" s="12">
        <f t="shared" si="64"/>
        <v>9</v>
      </c>
      <c r="I1729" s="12">
        <f t="shared" si="65"/>
        <v>2025</v>
      </c>
    </row>
    <row r="1730" spans="1:9" ht="19.5" customHeight="1" x14ac:dyDescent="0.35">
      <c r="A1730" s="41">
        <v>45917</v>
      </c>
      <c r="B1730" s="8" t="s">
        <v>32</v>
      </c>
      <c r="C1730" s="42" t="s">
        <v>33</v>
      </c>
      <c r="D1730" s="43" t="s">
        <v>29</v>
      </c>
      <c r="E1730" s="46">
        <v>34385268</v>
      </c>
      <c r="F1730" s="2">
        <f>IF(C1730="GBP",E1730*$C$3,IF(C1730="TRY",E1730/$C$1,IF(C1730="EUR",E1730*$E$1,IF(C1730="RUB",E1730/#REF!,IF(C1730="EGP",E1730/$E$2,E1730)))))</f>
        <v>34385268</v>
      </c>
      <c r="G1730" s="15" t="str">
        <f>VLOOKUP(B1730,SPECIFICATIONF!$C$2:$D$65,2,0)</f>
        <v>GLOBAL HFT</v>
      </c>
      <c r="H1730" s="12">
        <f t="shared" si="64"/>
        <v>9</v>
      </c>
      <c r="I1730" s="12">
        <f t="shared" si="65"/>
        <v>2025</v>
      </c>
    </row>
    <row r="1731" spans="1:9" ht="19.5" customHeight="1" x14ac:dyDescent="0.35">
      <c r="A1731" s="41">
        <v>45917</v>
      </c>
      <c r="B1731" s="8" t="s">
        <v>24</v>
      </c>
      <c r="C1731" s="42" t="s">
        <v>11</v>
      </c>
      <c r="D1731" s="43" t="s">
        <v>30</v>
      </c>
      <c r="E1731" s="46">
        <v>0</v>
      </c>
      <c r="F1731" s="2">
        <f>IF(C1731="GBP",E1731*$C$3,IF(C1731="TRY",E1731/$C$1,IF(C1731="EUR",E1731*$E$1,IF(C1731="RUB",E1731/#REF!,IF(C1731="EGP",E1731/$E$2,E1731)))))</f>
        <v>0</v>
      </c>
      <c r="G1731" s="15" t="str">
        <f>VLOOKUP(B1731,SPECIFICATIONF!$C$2:$D$65,2,0)</f>
        <v>GLOBAL RETAIL</v>
      </c>
      <c r="H1731" s="12">
        <f t="shared" si="64"/>
        <v>9</v>
      </c>
      <c r="I1731" s="12">
        <f t="shared" si="65"/>
        <v>2025</v>
      </c>
    </row>
    <row r="1732" spans="1:9" ht="19.5" customHeight="1" x14ac:dyDescent="0.35">
      <c r="A1732" s="41">
        <v>45917</v>
      </c>
      <c r="B1732" s="8" t="s">
        <v>24</v>
      </c>
      <c r="C1732" s="42" t="s">
        <v>33</v>
      </c>
      <c r="D1732" s="43" t="s">
        <v>30</v>
      </c>
      <c r="E1732" s="46">
        <v>0</v>
      </c>
      <c r="F1732" s="2">
        <f>IF(C1732="GBP",E1732*$C$3,IF(C1732="TRY",E1732/$C$1,IF(C1732="EUR",E1732*$E$1,IF(C1732="RUB",E1732/#REF!,IF(C1732="EGP",E1732/$E$2,E1732)))))</f>
        <v>0</v>
      </c>
      <c r="G1732" s="15" t="str">
        <f>VLOOKUP(B1732,SPECIFICATIONF!$C$2:$D$65,2,0)</f>
        <v>GLOBAL RETAIL</v>
      </c>
      <c r="H1732" s="12">
        <f t="shared" si="64"/>
        <v>9</v>
      </c>
      <c r="I1732" s="12">
        <f t="shared" si="65"/>
        <v>2025</v>
      </c>
    </row>
    <row r="1733" spans="1:9" ht="19.5" customHeight="1" x14ac:dyDescent="0.35">
      <c r="A1733" s="41">
        <v>45917</v>
      </c>
      <c r="B1733" s="8" t="s">
        <v>24</v>
      </c>
      <c r="C1733" s="42" t="s">
        <v>11</v>
      </c>
      <c r="D1733" s="43" t="s">
        <v>29</v>
      </c>
      <c r="E1733" s="46">
        <v>44666416</v>
      </c>
      <c r="F1733" s="2">
        <f>IF(C1733="GBP",E1733*$C$3,IF(C1733="TRY",E1733/$C$1,IF(C1733="EUR",E1733*$E$1,IF(C1733="RUB",E1733/#REF!,IF(C1733="EGP",E1733/$E$2,E1733)))))</f>
        <v>1224848.1773882615</v>
      </c>
      <c r="G1733" s="15" t="str">
        <f>VLOOKUP(B1733,SPECIFICATIONF!$C$2:$D$65,2,0)</f>
        <v>GLOBAL RETAIL</v>
      </c>
      <c r="H1733" s="12">
        <f t="shared" si="64"/>
        <v>9</v>
      </c>
      <c r="I1733" s="12">
        <f t="shared" si="65"/>
        <v>2025</v>
      </c>
    </row>
    <row r="1734" spans="1:9" ht="19.5" customHeight="1" x14ac:dyDescent="0.35">
      <c r="A1734" s="41">
        <v>45917</v>
      </c>
      <c r="B1734" s="8" t="s">
        <v>24</v>
      </c>
      <c r="C1734" s="42" t="s">
        <v>33</v>
      </c>
      <c r="D1734" s="43" t="s">
        <v>29</v>
      </c>
      <c r="E1734" s="46">
        <v>25941</v>
      </c>
      <c r="F1734" s="2">
        <f>IF(C1734="GBP",E1734*$C$3,IF(C1734="TRY",E1734/$C$1,IF(C1734="EUR",E1734*$E$1,IF(C1734="RUB",E1734/#REF!,IF(C1734="EGP",E1734/$E$2,E1734)))))</f>
        <v>25941</v>
      </c>
      <c r="G1734" s="15" t="str">
        <f>VLOOKUP(B1734,SPECIFICATIONF!$C$2:$D$65,2,0)</f>
        <v>GLOBAL RETAIL</v>
      </c>
      <c r="H1734" s="12">
        <f t="shared" si="64"/>
        <v>9</v>
      </c>
      <c r="I1734" s="12">
        <f t="shared" si="65"/>
        <v>2025</v>
      </c>
    </row>
    <row r="1735" spans="1:9" ht="19.5" customHeight="1" x14ac:dyDescent="0.35">
      <c r="A1735" s="41">
        <v>45918</v>
      </c>
      <c r="B1735" s="8" t="s">
        <v>32</v>
      </c>
      <c r="C1735" s="42" t="s">
        <v>11</v>
      </c>
      <c r="D1735" s="43" t="s">
        <v>30</v>
      </c>
      <c r="E1735" s="46">
        <v>2159172.5499999998</v>
      </c>
      <c r="F1735" s="2">
        <f>IF(C1735="GBP",E1735*$C$3,IF(C1735="TRY",E1735/$C$1,IF(C1735="EUR",E1735*$E$1,IF(C1735="RUB",E1735/#REF!,IF(C1735="EGP",E1735/$E$2,E1735)))))</f>
        <v>59209.106066048931</v>
      </c>
      <c r="G1735" s="15" t="str">
        <f>VLOOKUP(B1735,SPECIFICATIONF!$C$2:$D$65,2,0)</f>
        <v>GLOBAL HFT</v>
      </c>
      <c r="H1735" s="12">
        <f t="shared" si="64"/>
        <v>9</v>
      </c>
      <c r="I1735" s="12">
        <f t="shared" si="65"/>
        <v>2025</v>
      </c>
    </row>
    <row r="1736" spans="1:9" ht="19.5" customHeight="1" x14ac:dyDescent="0.35">
      <c r="A1736" s="41">
        <v>45918</v>
      </c>
      <c r="B1736" s="8" t="s">
        <v>32</v>
      </c>
      <c r="C1736" s="42" t="s">
        <v>33</v>
      </c>
      <c r="D1736" s="43" t="s">
        <v>30</v>
      </c>
      <c r="E1736" s="46">
        <v>16109.83</v>
      </c>
      <c r="F1736" s="2">
        <f>IF(C1736="GBP",E1736*$C$3,IF(C1736="TRY",E1736/$C$1,IF(C1736="EUR",E1736*$E$1,IF(C1736="RUB",E1736/#REF!,IF(C1736="EGP",E1736/$E$2,E1736)))))</f>
        <v>16109.83</v>
      </c>
      <c r="G1736" s="15" t="str">
        <f>VLOOKUP(B1736,SPECIFICATIONF!$C$2:$D$65,2,0)</f>
        <v>GLOBAL HFT</v>
      </c>
      <c r="H1736" s="12">
        <f t="shared" si="64"/>
        <v>9</v>
      </c>
      <c r="I1736" s="12">
        <f t="shared" si="65"/>
        <v>2025</v>
      </c>
    </row>
    <row r="1737" spans="1:9" ht="19.5" customHeight="1" x14ac:dyDescent="0.35">
      <c r="A1737" s="41">
        <v>45918</v>
      </c>
      <c r="B1737" s="8" t="s">
        <v>32</v>
      </c>
      <c r="C1737" s="42" t="s">
        <v>11</v>
      </c>
      <c r="D1737" s="43" t="s">
        <v>29</v>
      </c>
      <c r="E1737" s="46">
        <v>8562858471</v>
      </c>
      <c r="F1737" s="2">
        <f>IF(C1737="GBP",E1737*$C$3,IF(C1737="TRY",E1737/$C$1,IF(C1737="EUR",E1737*$E$1,IF(C1737="RUB",E1737/#REF!,IF(C1737="EGP",E1737/$E$2,E1737)))))</f>
        <v>234811801.14021206</v>
      </c>
      <c r="G1737" s="15" t="str">
        <f>VLOOKUP(B1737,SPECIFICATIONF!$C$2:$D$65,2,0)</f>
        <v>GLOBAL HFT</v>
      </c>
      <c r="H1737" s="12">
        <f t="shared" si="64"/>
        <v>9</v>
      </c>
      <c r="I1737" s="12">
        <f t="shared" si="65"/>
        <v>2025</v>
      </c>
    </row>
    <row r="1738" spans="1:9" ht="19.5" customHeight="1" x14ac:dyDescent="0.35">
      <c r="A1738" s="41">
        <v>45918</v>
      </c>
      <c r="B1738" s="8" t="s">
        <v>32</v>
      </c>
      <c r="C1738" s="42" t="s">
        <v>33</v>
      </c>
      <c r="D1738" s="43" t="s">
        <v>29</v>
      </c>
      <c r="E1738" s="46">
        <v>55556210</v>
      </c>
      <c r="F1738" s="2">
        <f>IF(C1738="GBP",E1738*$C$3,IF(C1738="TRY",E1738/$C$1,IF(C1738="EUR",E1738*$E$1,IF(C1738="RUB",E1738/#REF!,IF(C1738="EGP",E1738/$E$2,E1738)))))</f>
        <v>55556210</v>
      </c>
      <c r="G1738" s="15" t="str">
        <f>VLOOKUP(B1738,SPECIFICATIONF!$C$2:$D$65,2,0)</f>
        <v>GLOBAL HFT</v>
      </c>
      <c r="H1738" s="12">
        <f t="shared" si="64"/>
        <v>9</v>
      </c>
      <c r="I1738" s="12">
        <f t="shared" si="65"/>
        <v>2025</v>
      </c>
    </row>
    <row r="1739" spans="1:9" ht="19.5" customHeight="1" x14ac:dyDescent="0.35">
      <c r="A1739" s="41">
        <v>45918</v>
      </c>
      <c r="B1739" s="8" t="s">
        <v>24</v>
      </c>
      <c r="C1739" s="42" t="s">
        <v>11</v>
      </c>
      <c r="D1739" s="43" t="s">
        <v>30</v>
      </c>
      <c r="E1739" s="46">
        <v>0</v>
      </c>
      <c r="F1739" s="2">
        <f>IF(C1739="GBP",E1739*$C$3,IF(C1739="TRY",E1739/$C$1,IF(C1739="EUR",E1739*$E$1,IF(C1739="RUB",E1739/#REF!,IF(C1739="EGP",E1739/$E$2,E1739)))))</f>
        <v>0</v>
      </c>
      <c r="G1739" s="15" t="str">
        <f>VLOOKUP(B1739,SPECIFICATIONF!$C$2:$D$65,2,0)</f>
        <v>GLOBAL RETAIL</v>
      </c>
      <c r="H1739" s="12">
        <f t="shared" si="64"/>
        <v>9</v>
      </c>
      <c r="I1739" s="12">
        <f t="shared" si="65"/>
        <v>2025</v>
      </c>
    </row>
    <row r="1740" spans="1:9" ht="19.5" customHeight="1" x14ac:dyDescent="0.35">
      <c r="A1740" s="41">
        <v>45918</v>
      </c>
      <c r="B1740" s="8" t="s">
        <v>24</v>
      </c>
      <c r="C1740" s="42" t="s">
        <v>33</v>
      </c>
      <c r="D1740" s="43" t="s">
        <v>30</v>
      </c>
      <c r="E1740" s="46">
        <v>0</v>
      </c>
      <c r="F1740" s="2">
        <f>IF(C1740="GBP",E1740*$C$3,IF(C1740="TRY",E1740/$C$1,IF(C1740="EUR",E1740*$E$1,IF(C1740="RUB",E1740/#REF!,IF(C1740="EGP",E1740/$E$2,E1740)))))</f>
        <v>0</v>
      </c>
      <c r="G1740" s="15" t="str">
        <f>VLOOKUP(B1740,SPECIFICATIONF!$C$2:$D$65,2,0)</f>
        <v>GLOBAL RETAIL</v>
      </c>
      <c r="H1740" s="12">
        <f t="shared" si="64"/>
        <v>9</v>
      </c>
      <c r="I1740" s="12">
        <f t="shared" si="65"/>
        <v>2025</v>
      </c>
    </row>
    <row r="1741" spans="1:9" ht="19.5" customHeight="1" x14ac:dyDescent="0.35">
      <c r="A1741" s="41">
        <v>45918</v>
      </c>
      <c r="B1741" s="8" t="s">
        <v>24</v>
      </c>
      <c r="C1741" s="42" t="s">
        <v>11</v>
      </c>
      <c r="D1741" s="43" t="s">
        <v>29</v>
      </c>
      <c r="E1741" s="46">
        <v>7411401</v>
      </c>
      <c r="F1741" s="2">
        <f>IF(C1741="GBP",E1741*$C$3,IF(C1741="TRY",E1741/$C$1,IF(C1741="EUR",E1741*$E$1,IF(C1741="RUB",E1741/#REF!,IF(C1741="EGP",E1741/$E$2,E1741)))))</f>
        <v>203236.38697010165</v>
      </c>
      <c r="G1741" s="15" t="str">
        <f>VLOOKUP(B1741,SPECIFICATIONF!$C$2:$D$65,2,0)</f>
        <v>GLOBAL RETAIL</v>
      </c>
      <c r="H1741" s="12">
        <f t="shared" si="64"/>
        <v>9</v>
      </c>
      <c r="I1741" s="12">
        <f t="shared" si="65"/>
        <v>2025</v>
      </c>
    </row>
    <row r="1742" spans="1:9" ht="19.5" customHeight="1" x14ac:dyDescent="0.35">
      <c r="A1742" s="41">
        <v>45918</v>
      </c>
      <c r="B1742" s="8" t="s">
        <v>24</v>
      </c>
      <c r="C1742" s="42" t="s">
        <v>33</v>
      </c>
      <c r="D1742" s="43" t="s">
        <v>29</v>
      </c>
      <c r="E1742" s="46">
        <v>50016</v>
      </c>
      <c r="F1742" s="2">
        <f>IF(C1742="GBP",E1742*$C$3,IF(C1742="TRY",E1742/$C$1,IF(C1742="EUR",E1742*$E$1,IF(C1742="RUB",E1742/#REF!,IF(C1742="EGP",E1742/$E$2,E1742)))))</f>
        <v>50016</v>
      </c>
      <c r="G1742" s="15" t="str">
        <f>VLOOKUP(B1742,SPECIFICATIONF!$C$2:$D$65,2,0)</f>
        <v>GLOBAL RETAIL</v>
      </c>
      <c r="H1742" s="12">
        <f t="shared" si="64"/>
        <v>9</v>
      </c>
      <c r="I1742" s="12">
        <f t="shared" si="65"/>
        <v>2025</v>
      </c>
    </row>
    <row r="1743" spans="1:9" ht="19.5" customHeight="1" x14ac:dyDescent="0.35">
      <c r="A1743" s="41">
        <v>45919</v>
      </c>
      <c r="B1743" s="8" t="s">
        <v>32</v>
      </c>
      <c r="C1743" s="42" t="s">
        <v>11</v>
      </c>
      <c r="D1743" s="43" t="s">
        <v>30</v>
      </c>
      <c r="E1743" s="46">
        <v>1372770.73</v>
      </c>
      <c r="F1743" s="2">
        <f>IF(C1743="GBP",E1743*$C$3,IF(C1743="TRY",E1743/$C$1,IF(C1743="EUR",E1743*$E$1,IF(C1743="RUB",E1743/#REF!,IF(C1743="EGP",E1743/$E$2,E1743)))))</f>
        <v>37644.294689156464</v>
      </c>
      <c r="G1743" s="15" t="str">
        <f>VLOOKUP(B1743,SPECIFICATIONF!$C$2:$D$65,2,0)</f>
        <v>GLOBAL HFT</v>
      </c>
      <c r="H1743" s="12">
        <f t="shared" si="64"/>
        <v>9</v>
      </c>
      <c r="I1743" s="12">
        <f t="shared" si="65"/>
        <v>2025</v>
      </c>
    </row>
    <row r="1744" spans="1:9" ht="19.5" customHeight="1" x14ac:dyDescent="0.35">
      <c r="A1744" s="41">
        <v>45919</v>
      </c>
      <c r="B1744" s="8" t="s">
        <v>32</v>
      </c>
      <c r="C1744" s="42" t="s">
        <v>33</v>
      </c>
      <c r="D1744" s="43" t="s">
        <v>30</v>
      </c>
      <c r="E1744" s="46">
        <v>10690.97</v>
      </c>
      <c r="F1744" s="2">
        <f>IF(C1744="GBP",E1744*$C$3,IF(C1744="TRY",E1744/$C$1,IF(C1744="EUR",E1744*$E$1,IF(C1744="RUB",E1744/#REF!,IF(C1744="EGP",E1744/$E$2,E1744)))))</f>
        <v>10690.97</v>
      </c>
      <c r="G1744" s="15" t="str">
        <f>VLOOKUP(B1744,SPECIFICATIONF!$C$2:$D$65,2,0)</f>
        <v>GLOBAL HFT</v>
      </c>
      <c r="H1744" s="12">
        <f t="shared" si="64"/>
        <v>9</v>
      </c>
      <c r="I1744" s="12">
        <f t="shared" si="65"/>
        <v>2025</v>
      </c>
    </row>
    <row r="1745" spans="1:9" ht="19.5" customHeight="1" x14ac:dyDescent="0.35">
      <c r="A1745" s="41">
        <v>45919</v>
      </c>
      <c r="B1745" s="8" t="s">
        <v>32</v>
      </c>
      <c r="C1745" s="42" t="s">
        <v>11</v>
      </c>
      <c r="D1745" s="43" t="s">
        <v>29</v>
      </c>
      <c r="E1745" s="46">
        <v>5618653306</v>
      </c>
      <c r="F1745" s="2">
        <f>IF(C1745="GBP",E1745*$C$3,IF(C1745="TRY",E1745/$C$1,IF(C1745="EUR",E1745*$E$1,IF(C1745="RUB",E1745/#REF!,IF(C1745="EGP",E1745/$E$2,E1745)))))</f>
        <v>154075430.2120553</v>
      </c>
      <c r="G1745" s="15" t="str">
        <f>VLOOKUP(B1745,SPECIFICATIONF!$C$2:$D$65,2,0)</f>
        <v>GLOBAL HFT</v>
      </c>
      <c r="H1745" s="12">
        <f t="shared" si="64"/>
        <v>9</v>
      </c>
      <c r="I1745" s="12">
        <f t="shared" si="65"/>
        <v>2025</v>
      </c>
    </row>
    <row r="1746" spans="1:9" ht="19.5" customHeight="1" x14ac:dyDescent="0.35">
      <c r="A1746" s="41">
        <v>45919</v>
      </c>
      <c r="B1746" s="8" t="s">
        <v>32</v>
      </c>
      <c r="C1746" s="42" t="s">
        <v>33</v>
      </c>
      <c r="D1746" s="43" t="s">
        <v>29</v>
      </c>
      <c r="E1746" s="46">
        <v>37703717</v>
      </c>
      <c r="F1746" s="2">
        <f>IF(C1746="GBP",E1746*$C$3,IF(C1746="TRY",E1746/$C$1,IF(C1746="EUR",E1746*$E$1,IF(C1746="RUB",E1746/#REF!,IF(C1746="EGP",E1746/$E$2,E1746)))))</f>
        <v>37703717</v>
      </c>
      <c r="G1746" s="15" t="str">
        <f>VLOOKUP(B1746,SPECIFICATIONF!$C$2:$D$65,2,0)</f>
        <v>GLOBAL HFT</v>
      </c>
      <c r="H1746" s="12">
        <f t="shared" si="64"/>
        <v>9</v>
      </c>
      <c r="I1746" s="12">
        <f t="shared" si="65"/>
        <v>2025</v>
      </c>
    </row>
    <row r="1747" spans="1:9" ht="19.5" customHeight="1" x14ac:dyDescent="0.35">
      <c r="A1747" s="41">
        <v>45919</v>
      </c>
      <c r="B1747" s="8" t="s">
        <v>24</v>
      </c>
      <c r="C1747" s="42" t="s">
        <v>11</v>
      </c>
      <c r="D1747" s="43" t="s">
        <v>30</v>
      </c>
      <c r="E1747" s="46">
        <v>0</v>
      </c>
      <c r="F1747" s="2">
        <f>IF(C1747="GBP",E1747*$C$3,IF(C1747="TRY",E1747/$C$1,IF(C1747="EUR",E1747*$E$1,IF(C1747="RUB",E1747/#REF!,IF(C1747="EGP",E1747/$E$2,E1747)))))</f>
        <v>0</v>
      </c>
      <c r="G1747" s="15" t="str">
        <f>VLOOKUP(B1747,SPECIFICATIONF!$C$2:$D$65,2,0)</f>
        <v>GLOBAL RETAIL</v>
      </c>
      <c r="H1747" s="12">
        <f t="shared" si="64"/>
        <v>9</v>
      </c>
      <c r="I1747" s="12">
        <f t="shared" si="65"/>
        <v>2025</v>
      </c>
    </row>
    <row r="1748" spans="1:9" ht="19.5" customHeight="1" x14ac:dyDescent="0.35">
      <c r="A1748" s="41">
        <v>45919</v>
      </c>
      <c r="B1748" s="8" t="s">
        <v>24</v>
      </c>
      <c r="C1748" s="42" t="s">
        <v>33</v>
      </c>
      <c r="D1748" s="43" t="s">
        <v>30</v>
      </c>
      <c r="E1748" s="46">
        <v>0</v>
      </c>
      <c r="F1748" s="2">
        <f>IF(C1748="GBP",E1748*$C$3,IF(C1748="TRY",E1748/$C$1,IF(C1748="EUR",E1748*$E$1,IF(C1748="RUB",E1748/#REF!,IF(C1748="EGP",E1748/$E$2,E1748)))))</f>
        <v>0</v>
      </c>
      <c r="G1748" s="15" t="str">
        <f>VLOOKUP(B1748,SPECIFICATIONF!$C$2:$D$65,2,0)</f>
        <v>GLOBAL RETAIL</v>
      </c>
      <c r="H1748" s="12">
        <f t="shared" si="64"/>
        <v>9</v>
      </c>
      <c r="I1748" s="12">
        <f t="shared" si="65"/>
        <v>2025</v>
      </c>
    </row>
    <row r="1749" spans="1:9" ht="19.5" customHeight="1" x14ac:dyDescent="0.35">
      <c r="A1749" s="41">
        <v>45919</v>
      </c>
      <c r="B1749" s="8" t="s">
        <v>24</v>
      </c>
      <c r="C1749" s="42" t="s">
        <v>11</v>
      </c>
      <c r="D1749" s="43" t="s">
        <v>29</v>
      </c>
      <c r="E1749" s="46">
        <v>442253</v>
      </c>
      <c r="F1749" s="2">
        <f>IF(C1749="GBP",E1749*$C$3,IF(C1749="TRY",E1749/$C$1,IF(C1749="EUR",E1749*$E$1,IF(C1749="RUB",E1749/#REF!,IF(C1749="EGP",E1749/$E$2,E1749)))))</f>
        <v>12127.5183796813</v>
      </c>
      <c r="G1749" s="15" t="str">
        <f>VLOOKUP(B1749,SPECIFICATIONF!$C$2:$D$65,2,0)</f>
        <v>GLOBAL RETAIL</v>
      </c>
      <c r="H1749" s="12">
        <f t="shared" si="64"/>
        <v>9</v>
      </c>
      <c r="I1749" s="12">
        <f t="shared" si="65"/>
        <v>2025</v>
      </c>
    </row>
    <row r="1750" spans="1:9" ht="19.5" customHeight="1" x14ac:dyDescent="0.35">
      <c r="A1750" s="41">
        <v>45919</v>
      </c>
      <c r="B1750" s="8" t="s">
        <v>24</v>
      </c>
      <c r="C1750" s="42" t="s">
        <v>33</v>
      </c>
      <c r="D1750" s="43" t="s">
        <v>29</v>
      </c>
      <c r="E1750" s="46">
        <v>5313</v>
      </c>
      <c r="F1750" s="2">
        <f>IF(C1750="GBP",E1750*$C$3,IF(C1750="TRY",E1750/$C$1,IF(C1750="EUR",E1750*$E$1,IF(C1750="RUB",E1750/#REF!,IF(C1750="EGP",E1750/$E$2,E1750)))))</f>
        <v>5313</v>
      </c>
      <c r="G1750" s="15" t="str">
        <f>VLOOKUP(B1750,SPECIFICATIONF!$C$2:$D$65,2,0)</f>
        <v>GLOBAL RETAIL</v>
      </c>
      <c r="H1750" s="12">
        <f t="shared" si="64"/>
        <v>9</v>
      </c>
      <c r="I1750" s="12">
        <f t="shared" si="65"/>
        <v>2025</v>
      </c>
    </row>
    <row r="1751" spans="1:9" ht="19.5" customHeight="1" x14ac:dyDescent="0.35">
      <c r="A1751" s="41">
        <v>45920</v>
      </c>
      <c r="B1751" s="8" t="s">
        <v>32</v>
      </c>
      <c r="C1751" s="42" t="s">
        <v>11</v>
      </c>
      <c r="D1751" s="43" t="s">
        <v>30</v>
      </c>
      <c r="E1751" s="46">
        <v>978196.05</v>
      </c>
      <c r="F1751" s="2">
        <f>IF(C1751="GBP",E1751*$C$3,IF(C1751="TRY",E1751/$C$1,IF(C1751="EUR",E1751*$E$1,IF(C1751="RUB",E1751/#REF!,IF(C1751="EGP",E1751/$E$2,E1751)))))</f>
        <v>26824.217303911217</v>
      </c>
      <c r="G1751" s="15" t="str">
        <f>VLOOKUP(B1751,SPECIFICATIONF!$C$2:$D$65,2,0)</f>
        <v>GLOBAL HFT</v>
      </c>
      <c r="H1751" s="12">
        <f t="shared" si="64"/>
        <v>9</v>
      </c>
      <c r="I1751" s="12">
        <f t="shared" si="65"/>
        <v>2025</v>
      </c>
    </row>
    <row r="1752" spans="1:9" ht="19.5" customHeight="1" x14ac:dyDescent="0.35">
      <c r="A1752" s="41">
        <v>45920</v>
      </c>
      <c r="B1752" s="8" t="s">
        <v>32</v>
      </c>
      <c r="C1752" s="42" t="s">
        <v>33</v>
      </c>
      <c r="D1752" s="43" t="s">
        <v>30</v>
      </c>
      <c r="E1752" s="46">
        <v>5722.92</v>
      </c>
      <c r="F1752" s="2">
        <f>IF(C1752="GBP",E1752*$C$3,IF(C1752="TRY",E1752/$C$1,IF(C1752="EUR",E1752*$E$1,IF(C1752="RUB",E1752/#REF!,IF(C1752="EGP",E1752/$E$2,E1752)))))</f>
        <v>5722.92</v>
      </c>
      <c r="G1752" s="15" t="str">
        <f>VLOOKUP(B1752,SPECIFICATIONF!$C$2:$D$65,2,0)</f>
        <v>GLOBAL HFT</v>
      </c>
      <c r="H1752" s="12">
        <f t="shared" si="64"/>
        <v>9</v>
      </c>
      <c r="I1752" s="12">
        <f t="shared" si="65"/>
        <v>2025</v>
      </c>
    </row>
    <row r="1753" spans="1:9" ht="19.5" customHeight="1" x14ac:dyDescent="0.35">
      <c r="A1753" s="41">
        <v>45920</v>
      </c>
      <c r="B1753" s="8" t="s">
        <v>32</v>
      </c>
      <c r="C1753" s="42" t="s">
        <v>11</v>
      </c>
      <c r="D1753" s="43" t="s">
        <v>29</v>
      </c>
      <c r="E1753" s="46">
        <v>4069746567</v>
      </c>
      <c r="F1753" s="2">
        <f>IF(C1753="GBP",E1753*$C$3,IF(C1753="TRY",E1753/$C$1,IF(C1753="EUR",E1753*$E$1,IF(C1753="RUB",E1753/#REF!,IF(C1753="EGP",E1753/$E$2,E1753)))))</f>
        <v>111601111.33658193</v>
      </c>
      <c r="G1753" s="15" t="str">
        <f>VLOOKUP(B1753,SPECIFICATIONF!$C$2:$D$65,2,0)</f>
        <v>GLOBAL HFT</v>
      </c>
      <c r="H1753" s="12">
        <f t="shared" si="64"/>
        <v>9</v>
      </c>
      <c r="I1753" s="12">
        <f t="shared" si="65"/>
        <v>2025</v>
      </c>
    </row>
    <row r="1754" spans="1:9" ht="19.5" customHeight="1" x14ac:dyDescent="0.35">
      <c r="A1754" s="41">
        <v>45920</v>
      </c>
      <c r="B1754" s="8" t="s">
        <v>32</v>
      </c>
      <c r="C1754" s="42" t="s">
        <v>33</v>
      </c>
      <c r="D1754" s="43" t="s">
        <v>29</v>
      </c>
      <c r="E1754" s="46">
        <v>20690766</v>
      </c>
      <c r="F1754" s="2">
        <f>IF(C1754="GBP",E1754*$C$3,IF(C1754="TRY",E1754/$C$1,IF(C1754="EUR",E1754*$E$1,IF(C1754="RUB",E1754/#REF!,IF(C1754="EGP",E1754/$E$2,E1754)))))</f>
        <v>20690766</v>
      </c>
      <c r="G1754" s="15" t="str">
        <f>VLOOKUP(B1754,SPECIFICATIONF!$C$2:$D$65,2,0)</f>
        <v>GLOBAL HFT</v>
      </c>
      <c r="H1754" s="12">
        <f t="shared" si="64"/>
        <v>9</v>
      </c>
      <c r="I1754" s="12">
        <f t="shared" si="65"/>
        <v>2025</v>
      </c>
    </row>
    <row r="1755" spans="1:9" ht="19.5" customHeight="1" x14ac:dyDescent="0.35">
      <c r="A1755" s="41">
        <v>45920</v>
      </c>
      <c r="B1755" s="8" t="s">
        <v>24</v>
      </c>
      <c r="C1755" s="42" t="s">
        <v>11</v>
      </c>
      <c r="D1755" s="43" t="s">
        <v>30</v>
      </c>
      <c r="E1755" s="46">
        <v>0</v>
      </c>
      <c r="F1755" s="2">
        <f>IF(C1755="GBP",E1755*$C$3,IF(C1755="TRY",E1755/$C$1,IF(C1755="EUR",E1755*$E$1,IF(C1755="RUB",E1755/#REF!,IF(C1755="EGP",E1755/$E$2,E1755)))))</f>
        <v>0</v>
      </c>
      <c r="G1755" s="15" t="str">
        <f>VLOOKUP(B1755,SPECIFICATIONF!$C$2:$D$65,2,0)</f>
        <v>GLOBAL RETAIL</v>
      </c>
      <c r="H1755" s="12">
        <f t="shared" si="64"/>
        <v>9</v>
      </c>
      <c r="I1755" s="12">
        <f t="shared" si="65"/>
        <v>2025</v>
      </c>
    </row>
    <row r="1756" spans="1:9" ht="19.5" customHeight="1" x14ac:dyDescent="0.35">
      <c r="A1756" s="41">
        <v>45920</v>
      </c>
      <c r="B1756" s="8" t="s">
        <v>24</v>
      </c>
      <c r="C1756" s="42" t="s">
        <v>33</v>
      </c>
      <c r="D1756" s="43" t="s">
        <v>30</v>
      </c>
      <c r="E1756" s="46">
        <v>0</v>
      </c>
      <c r="F1756" s="2">
        <f>IF(C1756="GBP",E1756*$C$3,IF(C1756="TRY",E1756/$C$1,IF(C1756="EUR",E1756*$E$1,IF(C1756="RUB",E1756/#REF!,IF(C1756="EGP",E1756/$E$2,E1756)))))</f>
        <v>0</v>
      </c>
      <c r="G1756" s="15" t="str">
        <f>VLOOKUP(B1756,SPECIFICATIONF!$C$2:$D$65,2,0)</f>
        <v>GLOBAL RETAIL</v>
      </c>
      <c r="H1756" s="12">
        <f t="shared" si="64"/>
        <v>9</v>
      </c>
      <c r="I1756" s="12">
        <f t="shared" si="65"/>
        <v>2025</v>
      </c>
    </row>
    <row r="1757" spans="1:9" ht="19.5" customHeight="1" x14ac:dyDescent="0.35">
      <c r="A1757" s="41">
        <v>45920</v>
      </c>
      <c r="B1757" s="8" t="s">
        <v>24</v>
      </c>
      <c r="C1757" s="42" t="s">
        <v>11</v>
      </c>
      <c r="D1757" s="43" t="s">
        <v>29</v>
      </c>
      <c r="E1757" s="46">
        <v>298981</v>
      </c>
      <c r="F1757" s="2">
        <f>IF(C1757="GBP",E1757*$C$3,IF(C1757="TRY",E1757/$C$1,IF(C1757="EUR",E1757*$E$1,IF(C1757="RUB",E1757/#REF!,IF(C1757="EGP",E1757/$E$2,E1757)))))</f>
        <v>8198.6952551491904</v>
      </c>
      <c r="G1757" s="15" t="str">
        <f>VLOOKUP(B1757,SPECIFICATIONF!$C$2:$D$65,2,0)</f>
        <v>GLOBAL RETAIL</v>
      </c>
      <c r="H1757" s="12">
        <f t="shared" si="64"/>
        <v>9</v>
      </c>
      <c r="I1757" s="12">
        <f t="shared" si="65"/>
        <v>2025</v>
      </c>
    </row>
    <row r="1758" spans="1:9" ht="19.5" customHeight="1" x14ac:dyDescent="0.35">
      <c r="A1758" s="41">
        <v>45920</v>
      </c>
      <c r="B1758" s="8" t="s">
        <v>24</v>
      </c>
      <c r="C1758" s="42" t="s">
        <v>33</v>
      </c>
      <c r="D1758" s="43" t="s">
        <v>29</v>
      </c>
      <c r="E1758" s="46">
        <v>0</v>
      </c>
      <c r="F1758" s="2">
        <f>IF(C1758="GBP",E1758*$C$3,IF(C1758="TRY",E1758/$C$1,IF(C1758="EUR",E1758*$E$1,IF(C1758="RUB",E1758/#REF!,IF(C1758="EGP",E1758/$E$2,E1758)))))</f>
        <v>0</v>
      </c>
      <c r="G1758" s="15" t="str">
        <f>VLOOKUP(B1758,SPECIFICATIONF!$C$2:$D$65,2,0)</f>
        <v>GLOBAL RETAIL</v>
      </c>
      <c r="H1758" s="12">
        <f t="shared" si="64"/>
        <v>9</v>
      </c>
      <c r="I1758" s="12">
        <f t="shared" si="65"/>
        <v>2025</v>
      </c>
    </row>
    <row r="1759" spans="1:9" ht="19.5" customHeight="1" x14ac:dyDescent="0.35">
      <c r="A1759" s="41">
        <v>45921</v>
      </c>
      <c r="B1759" s="8" t="s">
        <v>32</v>
      </c>
      <c r="C1759" s="42" t="s">
        <v>11</v>
      </c>
      <c r="D1759" s="43" t="s">
        <v>30</v>
      </c>
      <c r="E1759" s="46">
        <v>993419.57</v>
      </c>
      <c r="F1759" s="2">
        <f>IF(C1759="GBP",E1759*$C$3,IF(C1759="TRY",E1759/$C$1,IF(C1759="EUR",E1759*$E$1,IF(C1759="RUB",E1759/#REF!,IF(C1759="EGP",E1759/$E$2,E1759)))))</f>
        <v>27241.67861814412</v>
      </c>
      <c r="G1759" s="15" t="str">
        <f>VLOOKUP(B1759,SPECIFICATIONF!$C$2:$D$65,2,0)</f>
        <v>GLOBAL HFT</v>
      </c>
      <c r="H1759" s="12">
        <f t="shared" si="64"/>
        <v>9</v>
      </c>
      <c r="I1759" s="12">
        <f t="shared" si="65"/>
        <v>2025</v>
      </c>
    </row>
    <row r="1760" spans="1:9" ht="19.5" customHeight="1" x14ac:dyDescent="0.35">
      <c r="A1760" s="41">
        <v>45921</v>
      </c>
      <c r="B1760" s="8" t="s">
        <v>32</v>
      </c>
      <c r="C1760" s="42" t="s">
        <v>33</v>
      </c>
      <c r="D1760" s="43" t="s">
        <v>30</v>
      </c>
      <c r="E1760" s="46">
        <v>5653.93</v>
      </c>
      <c r="F1760" s="2">
        <f>IF(C1760="GBP",E1760*$C$3,IF(C1760="TRY",E1760/$C$1,IF(C1760="EUR",E1760*$E$1,IF(C1760="RUB",E1760/#REF!,IF(C1760="EGP",E1760/$E$2,E1760)))))</f>
        <v>5653.93</v>
      </c>
      <c r="G1760" s="15" t="str">
        <f>VLOOKUP(B1760,SPECIFICATIONF!$C$2:$D$65,2,0)</f>
        <v>GLOBAL HFT</v>
      </c>
      <c r="H1760" s="12">
        <f t="shared" si="64"/>
        <v>9</v>
      </c>
      <c r="I1760" s="12">
        <f t="shared" si="65"/>
        <v>2025</v>
      </c>
    </row>
    <row r="1761" spans="1:9" ht="19.5" customHeight="1" x14ac:dyDescent="0.35">
      <c r="A1761" s="41">
        <v>45921</v>
      </c>
      <c r="B1761" s="8" t="s">
        <v>32</v>
      </c>
      <c r="C1761" s="42" t="s">
        <v>11</v>
      </c>
      <c r="D1761" s="43" t="s">
        <v>29</v>
      </c>
      <c r="E1761" s="46">
        <v>4078626270</v>
      </c>
      <c r="F1761" s="2">
        <f>IF(C1761="GBP",E1761*$C$3,IF(C1761="TRY",E1761/$C$1,IF(C1761="EUR",E1761*$E$1,IF(C1761="RUB",E1761/#REF!,IF(C1761="EGP",E1761/$E$2,E1761)))))</f>
        <v>111844611.68895628</v>
      </c>
      <c r="G1761" s="15" t="str">
        <f>VLOOKUP(B1761,SPECIFICATIONF!$C$2:$D$65,2,0)</f>
        <v>GLOBAL HFT</v>
      </c>
      <c r="H1761" s="12">
        <f t="shared" si="64"/>
        <v>9</v>
      </c>
      <c r="I1761" s="12">
        <f t="shared" si="65"/>
        <v>2025</v>
      </c>
    </row>
    <row r="1762" spans="1:9" ht="19.5" customHeight="1" x14ac:dyDescent="0.35">
      <c r="A1762" s="41">
        <v>45921</v>
      </c>
      <c r="B1762" s="8" t="s">
        <v>32</v>
      </c>
      <c r="C1762" s="42" t="s">
        <v>33</v>
      </c>
      <c r="D1762" s="43" t="s">
        <v>29</v>
      </c>
      <c r="E1762" s="46">
        <v>20302628</v>
      </c>
      <c r="F1762" s="2">
        <f>IF(C1762="GBP",E1762*$C$3,IF(C1762="TRY",E1762/$C$1,IF(C1762="EUR",E1762*$E$1,IF(C1762="RUB",E1762/#REF!,IF(C1762="EGP",E1762/$E$2,E1762)))))</f>
        <v>20302628</v>
      </c>
      <c r="G1762" s="15" t="str">
        <f>VLOOKUP(B1762,SPECIFICATIONF!$C$2:$D$65,2,0)</f>
        <v>GLOBAL HFT</v>
      </c>
      <c r="H1762" s="12">
        <f t="shared" si="64"/>
        <v>9</v>
      </c>
      <c r="I1762" s="12">
        <f t="shared" si="65"/>
        <v>2025</v>
      </c>
    </row>
    <row r="1763" spans="1:9" ht="19.5" customHeight="1" x14ac:dyDescent="0.35">
      <c r="A1763" s="41">
        <v>45921</v>
      </c>
      <c r="B1763" s="8" t="s">
        <v>24</v>
      </c>
      <c r="C1763" s="42" t="s">
        <v>11</v>
      </c>
      <c r="D1763" s="43" t="s">
        <v>30</v>
      </c>
      <c r="E1763" s="46">
        <v>0</v>
      </c>
      <c r="F1763" s="2">
        <f>IF(C1763="GBP",E1763*$C$3,IF(C1763="TRY",E1763/$C$1,IF(C1763="EUR",E1763*$E$1,IF(C1763="RUB",E1763/#REF!,IF(C1763="EGP",E1763/$E$2,E1763)))))</f>
        <v>0</v>
      </c>
      <c r="G1763" s="15" t="str">
        <f>VLOOKUP(B1763,SPECIFICATIONF!$C$2:$D$65,2,0)</f>
        <v>GLOBAL RETAIL</v>
      </c>
      <c r="H1763" s="12">
        <f t="shared" si="64"/>
        <v>9</v>
      </c>
      <c r="I1763" s="12">
        <f t="shared" si="65"/>
        <v>2025</v>
      </c>
    </row>
    <row r="1764" spans="1:9" ht="19.5" customHeight="1" x14ac:dyDescent="0.35">
      <c r="A1764" s="41">
        <v>45921</v>
      </c>
      <c r="B1764" s="8" t="s">
        <v>24</v>
      </c>
      <c r="C1764" s="42" t="s">
        <v>33</v>
      </c>
      <c r="D1764" s="43" t="s">
        <v>30</v>
      </c>
      <c r="E1764" s="46">
        <v>0</v>
      </c>
      <c r="F1764" s="2">
        <f>IF(C1764="GBP",E1764*$C$3,IF(C1764="TRY",E1764/$C$1,IF(C1764="EUR",E1764*$E$1,IF(C1764="RUB",E1764/#REF!,IF(C1764="EGP",E1764/$E$2,E1764)))))</f>
        <v>0</v>
      </c>
      <c r="G1764" s="15" t="str">
        <f>VLOOKUP(B1764,SPECIFICATIONF!$C$2:$D$65,2,0)</f>
        <v>GLOBAL RETAIL</v>
      </c>
      <c r="H1764" s="12">
        <f t="shared" si="64"/>
        <v>9</v>
      </c>
      <c r="I1764" s="12">
        <f t="shared" si="65"/>
        <v>2025</v>
      </c>
    </row>
    <row r="1765" spans="1:9" ht="19.5" customHeight="1" x14ac:dyDescent="0.35">
      <c r="A1765" s="41">
        <v>45921</v>
      </c>
      <c r="B1765" s="8" t="s">
        <v>24</v>
      </c>
      <c r="C1765" s="42" t="s">
        <v>11</v>
      </c>
      <c r="D1765" s="43" t="s">
        <v>29</v>
      </c>
      <c r="E1765" s="46">
        <v>2714180</v>
      </c>
      <c r="F1765" s="2">
        <f>IF(C1765="GBP",E1765*$C$3,IF(C1765="TRY",E1765/$C$1,IF(C1765="EUR",E1765*$E$1,IF(C1765="RUB",E1765/#REF!,IF(C1765="EGP",E1765/$E$2,E1765)))))</f>
        <v>74428.591407550397</v>
      </c>
      <c r="G1765" s="15" t="str">
        <f>VLOOKUP(B1765,SPECIFICATIONF!$C$2:$D$65,2,0)</f>
        <v>GLOBAL RETAIL</v>
      </c>
      <c r="H1765" s="12">
        <f t="shared" si="64"/>
        <v>9</v>
      </c>
      <c r="I1765" s="12">
        <f t="shared" si="65"/>
        <v>2025</v>
      </c>
    </row>
    <row r="1766" spans="1:9" ht="19.5" customHeight="1" x14ac:dyDescent="0.35">
      <c r="A1766" s="41">
        <v>45921</v>
      </c>
      <c r="B1766" s="8" t="s">
        <v>24</v>
      </c>
      <c r="C1766" s="42" t="s">
        <v>33</v>
      </c>
      <c r="D1766" s="43" t="s">
        <v>29</v>
      </c>
      <c r="E1766" s="46">
        <v>0</v>
      </c>
      <c r="F1766" s="2">
        <f>IF(C1766="GBP",E1766*$C$3,IF(C1766="TRY",E1766/$C$1,IF(C1766="EUR",E1766*$E$1,IF(C1766="RUB",E1766/#REF!,IF(C1766="EGP",E1766/$E$2,E1766)))))</f>
        <v>0</v>
      </c>
      <c r="G1766" s="15" t="str">
        <f>VLOOKUP(B1766,SPECIFICATIONF!$C$2:$D$65,2,0)</f>
        <v>GLOBAL RETAIL</v>
      </c>
      <c r="H1766" s="12">
        <f t="shared" ref="H1766:H1829" si="66">MONTH(A1766)</f>
        <v>9</v>
      </c>
      <c r="I1766" s="12">
        <f t="shared" ref="I1766:I1829" si="67">YEAR(A1766)</f>
        <v>2025</v>
      </c>
    </row>
    <row r="1767" spans="1:9" ht="19.5" customHeight="1" x14ac:dyDescent="0.35">
      <c r="A1767" s="41">
        <v>45922</v>
      </c>
      <c r="B1767" s="8" t="s">
        <v>32</v>
      </c>
      <c r="C1767" s="42" t="s">
        <v>11</v>
      </c>
      <c r="D1767" s="43" t="s">
        <v>30</v>
      </c>
      <c r="E1767" s="46">
        <v>1595757.98</v>
      </c>
      <c r="F1767" s="2">
        <f>IF(C1767="GBP",E1767*$C$3,IF(C1767="TRY",E1767/$C$1,IF(C1767="EUR",E1767*$E$1,IF(C1767="RUB",E1767/#REF!,IF(C1767="EGP",E1767/$E$2,E1767)))))</f>
        <v>43759.079603695405</v>
      </c>
      <c r="G1767" s="15" t="str">
        <f>VLOOKUP(B1767,SPECIFICATIONF!$C$2:$D$65,2,0)</f>
        <v>GLOBAL HFT</v>
      </c>
      <c r="H1767" s="12">
        <f t="shared" si="66"/>
        <v>9</v>
      </c>
      <c r="I1767" s="12">
        <f t="shared" si="67"/>
        <v>2025</v>
      </c>
    </row>
    <row r="1768" spans="1:9" ht="19.5" customHeight="1" x14ac:dyDescent="0.35">
      <c r="A1768" s="41">
        <v>45922</v>
      </c>
      <c r="B1768" s="8" t="s">
        <v>32</v>
      </c>
      <c r="C1768" s="42" t="s">
        <v>33</v>
      </c>
      <c r="D1768" s="43" t="s">
        <v>30</v>
      </c>
      <c r="E1768" s="46">
        <v>13063.09</v>
      </c>
      <c r="F1768" s="2">
        <f>IF(C1768="GBP",E1768*$C$3,IF(C1768="TRY",E1768/$C$1,IF(C1768="EUR",E1768*$E$1,IF(C1768="RUB",E1768/#REF!,IF(C1768="EGP",E1768/$E$2,E1768)))))</f>
        <v>13063.09</v>
      </c>
      <c r="G1768" s="15" t="str">
        <f>VLOOKUP(B1768,SPECIFICATIONF!$C$2:$D$65,2,0)</f>
        <v>GLOBAL HFT</v>
      </c>
      <c r="H1768" s="12">
        <f t="shared" si="66"/>
        <v>9</v>
      </c>
      <c r="I1768" s="12">
        <f t="shared" si="67"/>
        <v>2025</v>
      </c>
    </row>
    <row r="1769" spans="1:9" ht="19.5" customHeight="1" x14ac:dyDescent="0.35">
      <c r="A1769" s="41">
        <v>45922</v>
      </c>
      <c r="B1769" s="8" t="s">
        <v>32</v>
      </c>
      <c r="C1769" s="42" t="s">
        <v>11</v>
      </c>
      <c r="D1769" s="43" t="s">
        <v>29</v>
      </c>
      <c r="E1769" s="46">
        <v>6948591965</v>
      </c>
      <c r="F1769" s="2">
        <f>IF(C1769="GBP",E1769*$C$3,IF(C1769="TRY",E1769/$C$1,IF(C1769="EUR",E1769*$E$1,IF(C1769="RUB",E1769/#REF!,IF(C1769="EGP",E1769/$E$2,E1769)))))</f>
        <v>190545178.36723164</v>
      </c>
      <c r="G1769" s="15" t="str">
        <f>VLOOKUP(B1769,SPECIFICATIONF!$C$2:$D$65,2,0)</f>
        <v>GLOBAL HFT</v>
      </c>
      <c r="H1769" s="12">
        <f t="shared" si="66"/>
        <v>9</v>
      </c>
      <c r="I1769" s="12">
        <f t="shared" si="67"/>
        <v>2025</v>
      </c>
    </row>
    <row r="1770" spans="1:9" ht="19.5" customHeight="1" x14ac:dyDescent="0.35">
      <c r="A1770" s="41">
        <v>45922</v>
      </c>
      <c r="B1770" s="8" t="s">
        <v>32</v>
      </c>
      <c r="C1770" s="42" t="s">
        <v>33</v>
      </c>
      <c r="D1770" s="43" t="s">
        <v>29</v>
      </c>
      <c r="E1770" s="46">
        <v>46569366</v>
      </c>
      <c r="F1770" s="2">
        <f>IF(C1770="GBP",E1770*$C$3,IF(C1770="TRY",E1770/$C$1,IF(C1770="EUR",E1770*$E$1,IF(C1770="RUB",E1770/#REF!,IF(C1770="EGP",E1770/$E$2,E1770)))))</f>
        <v>46569366</v>
      </c>
      <c r="G1770" s="15" t="str">
        <f>VLOOKUP(B1770,SPECIFICATIONF!$C$2:$D$65,2,0)</f>
        <v>GLOBAL HFT</v>
      </c>
      <c r="H1770" s="12">
        <f t="shared" si="66"/>
        <v>9</v>
      </c>
      <c r="I1770" s="12">
        <f t="shared" si="67"/>
        <v>2025</v>
      </c>
    </row>
    <row r="1771" spans="1:9" ht="19.5" customHeight="1" x14ac:dyDescent="0.35">
      <c r="A1771" s="41">
        <v>45922</v>
      </c>
      <c r="B1771" s="8" t="s">
        <v>24</v>
      </c>
      <c r="C1771" s="42" t="s">
        <v>11</v>
      </c>
      <c r="D1771" s="43" t="s">
        <v>30</v>
      </c>
      <c r="E1771" s="46">
        <v>0</v>
      </c>
      <c r="F1771" s="2">
        <f>IF(C1771="GBP",E1771*$C$3,IF(C1771="TRY",E1771/$C$1,IF(C1771="EUR",E1771*$E$1,IF(C1771="RUB",E1771/#REF!,IF(C1771="EGP",E1771/$E$2,E1771)))))</f>
        <v>0</v>
      </c>
      <c r="G1771" s="15" t="str">
        <f>VLOOKUP(B1771,SPECIFICATIONF!$C$2:$D$65,2,0)</f>
        <v>GLOBAL RETAIL</v>
      </c>
      <c r="H1771" s="12">
        <f t="shared" si="66"/>
        <v>9</v>
      </c>
      <c r="I1771" s="12">
        <f t="shared" si="67"/>
        <v>2025</v>
      </c>
    </row>
    <row r="1772" spans="1:9" ht="19.5" customHeight="1" x14ac:dyDescent="0.35">
      <c r="A1772" s="41">
        <v>45922</v>
      </c>
      <c r="B1772" s="8" t="s">
        <v>24</v>
      </c>
      <c r="C1772" s="42" t="s">
        <v>33</v>
      </c>
      <c r="D1772" s="43" t="s">
        <v>30</v>
      </c>
      <c r="E1772" s="46">
        <v>0</v>
      </c>
      <c r="F1772" s="2">
        <f>IF(C1772="GBP",E1772*$C$3,IF(C1772="TRY",E1772/$C$1,IF(C1772="EUR",E1772*$E$1,IF(C1772="RUB",E1772/#REF!,IF(C1772="EGP",E1772/$E$2,E1772)))))</f>
        <v>0</v>
      </c>
      <c r="G1772" s="15" t="str">
        <f>VLOOKUP(B1772,SPECIFICATIONF!$C$2:$D$65,2,0)</f>
        <v>GLOBAL RETAIL</v>
      </c>
      <c r="H1772" s="12">
        <f t="shared" si="66"/>
        <v>9</v>
      </c>
      <c r="I1772" s="12">
        <f t="shared" si="67"/>
        <v>2025</v>
      </c>
    </row>
    <row r="1773" spans="1:9" ht="19.5" customHeight="1" x14ac:dyDescent="0.35">
      <c r="A1773" s="41">
        <v>45922</v>
      </c>
      <c r="B1773" s="8" t="s">
        <v>24</v>
      </c>
      <c r="C1773" s="42" t="s">
        <v>11</v>
      </c>
      <c r="D1773" s="43" t="s">
        <v>29</v>
      </c>
      <c r="E1773" s="46">
        <v>7857477</v>
      </c>
      <c r="F1773" s="2">
        <f>IF(C1773="GBP",E1773*$C$3,IF(C1773="TRY",E1773/$C$1,IF(C1773="EUR",E1773*$E$1,IF(C1773="RUB",E1773/#REF!,IF(C1773="EGP",E1773/$E$2,E1773)))))</f>
        <v>215468.74014517272</v>
      </c>
      <c r="G1773" s="15" t="str">
        <f>VLOOKUP(B1773,SPECIFICATIONF!$C$2:$D$65,2,0)</f>
        <v>GLOBAL RETAIL</v>
      </c>
      <c r="H1773" s="12">
        <f t="shared" si="66"/>
        <v>9</v>
      </c>
      <c r="I1773" s="12">
        <f t="shared" si="67"/>
        <v>2025</v>
      </c>
    </row>
    <row r="1774" spans="1:9" ht="19.5" customHeight="1" x14ac:dyDescent="0.35">
      <c r="A1774" s="41">
        <v>45922</v>
      </c>
      <c r="B1774" s="8" t="s">
        <v>24</v>
      </c>
      <c r="C1774" s="42" t="s">
        <v>33</v>
      </c>
      <c r="D1774" s="43" t="s">
        <v>29</v>
      </c>
      <c r="E1774" s="46">
        <v>37</v>
      </c>
      <c r="F1774" s="2">
        <f>IF(C1774="GBP",E1774*$C$3,IF(C1774="TRY",E1774/$C$1,IF(C1774="EUR",E1774*$E$1,IF(C1774="RUB",E1774/#REF!,IF(C1774="EGP",E1774/$E$2,E1774)))))</f>
        <v>37</v>
      </c>
      <c r="G1774" s="15" t="str">
        <f>VLOOKUP(B1774,SPECIFICATIONF!$C$2:$D$65,2,0)</f>
        <v>GLOBAL RETAIL</v>
      </c>
      <c r="H1774" s="12">
        <f t="shared" si="66"/>
        <v>9</v>
      </c>
      <c r="I1774" s="12">
        <f t="shared" si="67"/>
        <v>2025</v>
      </c>
    </row>
    <row r="1775" spans="1:9" ht="19.5" customHeight="1" x14ac:dyDescent="0.35">
      <c r="A1775" s="41">
        <v>45923</v>
      </c>
      <c r="B1775" s="8" t="s">
        <v>32</v>
      </c>
      <c r="C1775" s="42" t="s">
        <v>11</v>
      </c>
      <c r="D1775" s="43" t="s">
        <v>30</v>
      </c>
      <c r="E1775" s="46">
        <v>1222097.1100000001</v>
      </c>
      <c r="F1775" s="2">
        <f>IF(C1775="GBP",E1775*$C$3,IF(C1775="TRY",E1775/$C$1,IF(C1775="EUR",E1775*$E$1,IF(C1775="RUB",E1775/#REF!,IF(C1775="EGP",E1775/$E$2,E1775)))))</f>
        <v>33512.503393488339</v>
      </c>
      <c r="G1775" s="15" t="str">
        <f>VLOOKUP(B1775,SPECIFICATIONF!$C$2:$D$65,2,0)</f>
        <v>GLOBAL HFT</v>
      </c>
      <c r="H1775" s="12">
        <f t="shared" si="66"/>
        <v>9</v>
      </c>
      <c r="I1775" s="12">
        <f t="shared" si="67"/>
        <v>2025</v>
      </c>
    </row>
    <row r="1776" spans="1:9" ht="19.5" customHeight="1" x14ac:dyDescent="0.35">
      <c r="A1776" s="41">
        <v>45923</v>
      </c>
      <c r="B1776" s="8" t="s">
        <v>32</v>
      </c>
      <c r="C1776" s="42" t="s">
        <v>33</v>
      </c>
      <c r="D1776" s="43" t="s">
        <v>30</v>
      </c>
      <c r="E1776" s="46">
        <v>9267.0499999999993</v>
      </c>
      <c r="F1776" s="2">
        <f>IF(C1776="GBP",E1776*$C$3,IF(C1776="TRY",E1776/$C$1,IF(C1776="EUR",E1776*$E$1,IF(C1776="RUB",E1776/#REF!,IF(C1776="EGP",E1776/$E$2,E1776)))))</f>
        <v>9267.0499999999993</v>
      </c>
      <c r="G1776" s="15" t="str">
        <f>VLOOKUP(B1776,SPECIFICATIONF!$C$2:$D$65,2,0)</f>
        <v>GLOBAL HFT</v>
      </c>
      <c r="H1776" s="12">
        <f t="shared" si="66"/>
        <v>9</v>
      </c>
      <c r="I1776" s="12">
        <f t="shared" si="67"/>
        <v>2025</v>
      </c>
    </row>
    <row r="1777" spans="1:9" ht="19.5" customHeight="1" x14ac:dyDescent="0.35">
      <c r="A1777" s="41">
        <v>45923</v>
      </c>
      <c r="B1777" s="8" t="s">
        <v>32</v>
      </c>
      <c r="C1777" s="42" t="s">
        <v>11</v>
      </c>
      <c r="D1777" s="43" t="s">
        <v>29</v>
      </c>
      <c r="E1777" s="46">
        <v>5120924269</v>
      </c>
      <c r="F1777" s="2">
        <f>IF(C1777="GBP",E1777*$C$3,IF(C1777="TRY",E1777/$C$1,IF(C1777="EUR",E1777*$E$1,IF(C1777="RUB",E1777/#REF!,IF(C1777="EGP",E1777/$E$2,E1777)))))</f>
        <v>140426640.84416279</v>
      </c>
      <c r="G1777" s="15" t="str">
        <f>VLOOKUP(B1777,SPECIFICATIONF!$C$2:$D$65,2,0)</f>
        <v>GLOBAL HFT</v>
      </c>
      <c r="H1777" s="12">
        <f t="shared" si="66"/>
        <v>9</v>
      </c>
      <c r="I1777" s="12">
        <f t="shared" si="67"/>
        <v>2025</v>
      </c>
    </row>
    <row r="1778" spans="1:9" ht="19.5" customHeight="1" x14ac:dyDescent="0.35">
      <c r="A1778" s="41">
        <v>45923</v>
      </c>
      <c r="B1778" s="8" t="s">
        <v>32</v>
      </c>
      <c r="C1778" s="42" t="s">
        <v>33</v>
      </c>
      <c r="D1778" s="43" t="s">
        <v>29</v>
      </c>
      <c r="E1778" s="46">
        <v>33352619</v>
      </c>
      <c r="F1778" s="2">
        <f>IF(C1778="GBP",E1778*$C$3,IF(C1778="TRY",E1778/$C$1,IF(C1778="EUR",E1778*$E$1,IF(C1778="RUB",E1778/#REF!,IF(C1778="EGP",E1778/$E$2,E1778)))))</f>
        <v>33352619</v>
      </c>
      <c r="G1778" s="15" t="str">
        <f>VLOOKUP(B1778,SPECIFICATIONF!$C$2:$D$65,2,0)</f>
        <v>GLOBAL HFT</v>
      </c>
      <c r="H1778" s="12">
        <f t="shared" si="66"/>
        <v>9</v>
      </c>
      <c r="I1778" s="12">
        <f t="shared" si="67"/>
        <v>2025</v>
      </c>
    </row>
    <row r="1779" spans="1:9" ht="19.5" customHeight="1" x14ac:dyDescent="0.35">
      <c r="A1779" s="41">
        <v>45923</v>
      </c>
      <c r="B1779" s="8" t="s">
        <v>24</v>
      </c>
      <c r="C1779" s="42" t="s">
        <v>11</v>
      </c>
      <c r="D1779" s="43" t="s">
        <v>30</v>
      </c>
      <c r="E1779" s="46">
        <v>0</v>
      </c>
      <c r="F1779" s="2">
        <f>IF(C1779="GBP",E1779*$C$3,IF(C1779="TRY",E1779/$C$1,IF(C1779="EUR",E1779*$E$1,IF(C1779="RUB",E1779/#REF!,IF(C1779="EGP",E1779/$E$2,E1779)))))</f>
        <v>0</v>
      </c>
      <c r="G1779" s="15" t="str">
        <f>VLOOKUP(B1779,SPECIFICATIONF!$C$2:$D$65,2,0)</f>
        <v>GLOBAL RETAIL</v>
      </c>
      <c r="H1779" s="12">
        <f t="shared" si="66"/>
        <v>9</v>
      </c>
      <c r="I1779" s="12">
        <f t="shared" si="67"/>
        <v>2025</v>
      </c>
    </row>
    <row r="1780" spans="1:9" ht="19.5" customHeight="1" x14ac:dyDescent="0.35">
      <c r="A1780" s="41">
        <v>45923</v>
      </c>
      <c r="B1780" s="8" t="s">
        <v>24</v>
      </c>
      <c r="C1780" s="42" t="s">
        <v>33</v>
      </c>
      <c r="D1780" s="43" t="s">
        <v>30</v>
      </c>
      <c r="E1780" s="46">
        <v>0</v>
      </c>
      <c r="F1780" s="2">
        <f>IF(C1780="GBP",E1780*$C$3,IF(C1780="TRY",E1780/$C$1,IF(C1780="EUR",E1780*$E$1,IF(C1780="RUB",E1780/#REF!,IF(C1780="EGP",E1780/$E$2,E1780)))))</f>
        <v>0</v>
      </c>
      <c r="G1780" s="15" t="str">
        <f>VLOOKUP(B1780,SPECIFICATIONF!$C$2:$D$65,2,0)</f>
        <v>GLOBAL RETAIL</v>
      </c>
      <c r="H1780" s="12">
        <f t="shared" si="66"/>
        <v>9</v>
      </c>
      <c r="I1780" s="12">
        <f t="shared" si="67"/>
        <v>2025</v>
      </c>
    </row>
    <row r="1781" spans="1:9" ht="19.5" customHeight="1" x14ac:dyDescent="0.35">
      <c r="A1781" s="41">
        <v>45923</v>
      </c>
      <c r="B1781" s="8" t="s">
        <v>24</v>
      </c>
      <c r="C1781" s="42" t="s">
        <v>11</v>
      </c>
      <c r="D1781" s="43" t="s">
        <v>29</v>
      </c>
      <c r="E1781" s="46">
        <v>0</v>
      </c>
      <c r="F1781" s="2">
        <f>IF(C1781="GBP",E1781*$C$3,IF(C1781="TRY",E1781/$C$1,IF(C1781="EUR",E1781*$E$1,IF(C1781="RUB",E1781/#REF!,IF(C1781="EGP",E1781/$E$2,E1781)))))</f>
        <v>0</v>
      </c>
      <c r="G1781" s="15" t="str">
        <f>VLOOKUP(B1781,SPECIFICATIONF!$C$2:$D$65,2,0)</f>
        <v>GLOBAL RETAIL</v>
      </c>
      <c r="H1781" s="12">
        <f t="shared" si="66"/>
        <v>9</v>
      </c>
      <c r="I1781" s="12">
        <f t="shared" si="67"/>
        <v>2025</v>
      </c>
    </row>
    <row r="1782" spans="1:9" ht="19.5" customHeight="1" x14ac:dyDescent="0.35">
      <c r="A1782" s="41">
        <v>45923</v>
      </c>
      <c r="B1782" s="8" t="s">
        <v>24</v>
      </c>
      <c r="C1782" s="42" t="s">
        <v>33</v>
      </c>
      <c r="D1782" s="43" t="s">
        <v>29</v>
      </c>
      <c r="E1782" s="46">
        <v>0</v>
      </c>
      <c r="F1782" s="2">
        <f>IF(C1782="GBP",E1782*$C$3,IF(C1782="TRY",E1782/$C$1,IF(C1782="EUR",E1782*$E$1,IF(C1782="RUB",E1782/#REF!,IF(C1782="EGP",E1782/$E$2,E1782)))))</f>
        <v>0</v>
      </c>
      <c r="G1782" s="15" t="str">
        <f>VLOOKUP(B1782,SPECIFICATIONF!$C$2:$D$65,2,0)</f>
        <v>GLOBAL RETAIL</v>
      </c>
      <c r="H1782" s="12">
        <f t="shared" si="66"/>
        <v>9</v>
      </c>
      <c r="I1782" s="12">
        <f t="shared" si="67"/>
        <v>2025</v>
      </c>
    </row>
    <row r="1783" spans="1:9" ht="19.5" customHeight="1" x14ac:dyDescent="0.35">
      <c r="A1783" s="41">
        <v>45924</v>
      </c>
      <c r="B1783" s="8" t="s">
        <v>32</v>
      </c>
      <c r="C1783" s="42" t="s">
        <v>11</v>
      </c>
      <c r="D1783" s="43" t="s">
        <v>30</v>
      </c>
      <c r="E1783" s="46">
        <v>1173107.6499999999</v>
      </c>
      <c r="F1783" s="2">
        <f>IF(C1783="GBP",E1783*$C$3,IF(C1783="TRY",E1783/$C$1,IF(C1783="EUR",E1783*$E$1,IF(C1783="RUB",E1783/#REF!,IF(C1783="EGP",E1783/$E$2,E1783)))))</f>
        <v>32169.108150130662</v>
      </c>
      <c r="G1783" s="15" t="str">
        <f>VLOOKUP(B1783,SPECIFICATIONF!$C$2:$D$65,2,0)</f>
        <v>GLOBAL HFT</v>
      </c>
      <c r="H1783" s="12">
        <f t="shared" si="66"/>
        <v>9</v>
      </c>
      <c r="I1783" s="12">
        <f t="shared" si="67"/>
        <v>2025</v>
      </c>
    </row>
    <row r="1784" spans="1:9" ht="19.5" customHeight="1" x14ac:dyDescent="0.35">
      <c r="A1784" s="41">
        <v>45924</v>
      </c>
      <c r="B1784" s="8" t="s">
        <v>32</v>
      </c>
      <c r="C1784" s="42" t="s">
        <v>33</v>
      </c>
      <c r="D1784" s="43" t="s">
        <v>30</v>
      </c>
      <c r="E1784" s="46">
        <v>7863.51</v>
      </c>
      <c r="F1784" s="2">
        <f>IF(C1784="GBP",E1784*$C$3,IF(C1784="TRY",E1784/$C$1,IF(C1784="EUR",E1784*$E$1,IF(C1784="RUB",E1784/#REF!,IF(C1784="EGP",E1784/$E$2,E1784)))))</f>
        <v>7863.51</v>
      </c>
      <c r="G1784" s="15" t="str">
        <f>VLOOKUP(B1784,SPECIFICATIONF!$C$2:$D$65,2,0)</f>
        <v>GLOBAL HFT</v>
      </c>
      <c r="H1784" s="12">
        <f t="shared" si="66"/>
        <v>9</v>
      </c>
      <c r="I1784" s="12">
        <f t="shared" si="67"/>
        <v>2025</v>
      </c>
    </row>
    <row r="1785" spans="1:9" ht="19.5" customHeight="1" x14ac:dyDescent="0.35">
      <c r="A1785" s="41">
        <v>45924</v>
      </c>
      <c r="B1785" s="8" t="s">
        <v>32</v>
      </c>
      <c r="C1785" s="42" t="s">
        <v>11</v>
      </c>
      <c r="D1785" s="43" t="s">
        <v>29</v>
      </c>
      <c r="E1785" s="46">
        <v>4754530345</v>
      </c>
      <c r="F1785" s="2">
        <f>IF(C1785="GBP",E1785*$C$3,IF(C1785="TRY",E1785/$C$1,IF(C1785="EUR",E1785*$E$1,IF(C1785="RUB",E1785/#REF!,IF(C1785="EGP",E1785/$E$2,E1785)))))</f>
        <v>130379339.75742385</v>
      </c>
      <c r="G1785" s="15" t="str">
        <f>VLOOKUP(B1785,SPECIFICATIONF!$C$2:$D$65,2,0)</f>
        <v>GLOBAL HFT</v>
      </c>
      <c r="H1785" s="12">
        <f t="shared" si="66"/>
        <v>9</v>
      </c>
      <c r="I1785" s="12">
        <f t="shared" si="67"/>
        <v>2025</v>
      </c>
    </row>
    <row r="1786" spans="1:9" ht="19.5" customHeight="1" x14ac:dyDescent="0.35">
      <c r="A1786" s="41">
        <v>45924</v>
      </c>
      <c r="B1786" s="8" t="s">
        <v>32</v>
      </c>
      <c r="C1786" s="42" t="s">
        <v>33</v>
      </c>
      <c r="D1786" s="43" t="s">
        <v>29</v>
      </c>
      <c r="E1786" s="46">
        <v>28534899</v>
      </c>
      <c r="F1786" s="2">
        <f>IF(C1786="GBP",E1786*$C$3,IF(C1786="TRY",E1786/$C$1,IF(C1786="EUR",E1786*$E$1,IF(C1786="RUB",E1786/#REF!,IF(C1786="EGP",E1786/$E$2,E1786)))))</f>
        <v>28534899</v>
      </c>
      <c r="G1786" s="15" t="str">
        <f>VLOOKUP(B1786,SPECIFICATIONF!$C$2:$D$65,2,0)</f>
        <v>GLOBAL HFT</v>
      </c>
      <c r="H1786" s="12">
        <f t="shared" si="66"/>
        <v>9</v>
      </c>
      <c r="I1786" s="12">
        <f t="shared" si="67"/>
        <v>2025</v>
      </c>
    </row>
    <row r="1787" spans="1:9" ht="19.5" customHeight="1" x14ac:dyDescent="0.35">
      <c r="A1787" s="41">
        <v>45924</v>
      </c>
      <c r="B1787" s="8" t="s">
        <v>24</v>
      </c>
      <c r="C1787" s="42" t="s">
        <v>11</v>
      </c>
      <c r="D1787" s="43" t="s">
        <v>30</v>
      </c>
      <c r="E1787" s="46">
        <v>0</v>
      </c>
      <c r="F1787" s="2">
        <f>IF(C1787="GBP",E1787*$C$3,IF(C1787="TRY",E1787/$C$1,IF(C1787="EUR",E1787*$E$1,IF(C1787="RUB",E1787/#REF!,IF(C1787="EGP",E1787/$E$2,E1787)))))</f>
        <v>0</v>
      </c>
      <c r="G1787" s="15" t="str">
        <f>VLOOKUP(B1787,SPECIFICATIONF!$C$2:$D$65,2,0)</f>
        <v>GLOBAL RETAIL</v>
      </c>
      <c r="H1787" s="12">
        <f t="shared" si="66"/>
        <v>9</v>
      </c>
      <c r="I1787" s="12">
        <f t="shared" si="67"/>
        <v>2025</v>
      </c>
    </row>
    <row r="1788" spans="1:9" ht="19.5" customHeight="1" x14ac:dyDescent="0.35">
      <c r="A1788" s="41">
        <v>45924</v>
      </c>
      <c r="B1788" s="8" t="s">
        <v>24</v>
      </c>
      <c r="C1788" s="42" t="s">
        <v>33</v>
      </c>
      <c r="D1788" s="43" t="s">
        <v>30</v>
      </c>
      <c r="E1788" s="46">
        <v>0</v>
      </c>
      <c r="F1788" s="2">
        <f>IF(C1788="GBP",E1788*$C$3,IF(C1788="TRY",E1788/$C$1,IF(C1788="EUR",E1788*$E$1,IF(C1788="RUB",E1788/#REF!,IF(C1788="EGP",E1788/$E$2,E1788)))))</f>
        <v>0</v>
      </c>
      <c r="G1788" s="15" t="str">
        <f>VLOOKUP(B1788,SPECIFICATIONF!$C$2:$D$65,2,0)</f>
        <v>GLOBAL RETAIL</v>
      </c>
      <c r="H1788" s="12">
        <f t="shared" si="66"/>
        <v>9</v>
      </c>
      <c r="I1788" s="12">
        <f t="shared" si="67"/>
        <v>2025</v>
      </c>
    </row>
    <row r="1789" spans="1:9" ht="19.5" customHeight="1" x14ac:dyDescent="0.35">
      <c r="A1789" s="41">
        <v>45924</v>
      </c>
      <c r="B1789" s="8" t="s">
        <v>24</v>
      </c>
      <c r="C1789" s="42" t="s">
        <v>11</v>
      </c>
      <c r="D1789" s="43" t="s">
        <v>29</v>
      </c>
      <c r="E1789" s="46">
        <v>0</v>
      </c>
      <c r="F1789" s="2">
        <f>IF(C1789="GBP",E1789*$C$3,IF(C1789="TRY",E1789/$C$1,IF(C1789="EUR",E1789*$E$1,IF(C1789="RUB",E1789/#REF!,IF(C1789="EGP",E1789/$E$2,E1789)))))</f>
        <v>0</v>
      </c>
      <c r="G1789" s="15" t="str">
        <f>VLOOKUP(B1789,SPECIFICATIONF!$C$2:$D$65,2,0)</f>
        <v>GLOBAL RETAIL</v>
      </c>
      <c r="H1789" s="12">
        <f t="shared" si="66"/>
        <v>9</v>
      </c>
      <c r="I1789" s="12">
        <f t="shared" si="67"/>
        <v>2025</v>
      </c>
    </row>
    <row r="1790" spans="1:9" ht="19.5" customHeight="1" x14ac:dyDescent="0.35">
      <c r="A1790" s="41">
        <v>45924</v>
      </c>
      <c r="B1790" s="8" t="s">
        <v>24</v>
      </c>
      <c r="C1790" s="42" t="s">
        <v>33</v>
      </c>
      <c r="D1790" s="43" t="s">
        <v>29</v>
      </c>
      <c r="E1790" s="46">
        <v>0</v>
      </c>
      <c r="F1790" s="2">
        <f>IF(C1790="GBP",E1790*$C$3,IF(C1790="TRY",E1790/$C$1,IF(C1790="EUR",E1790*$E$1,IF(C1790="RUB",E1790/#REF!,IF(C1790="EGP",E1790/$E$2,E1790)))))</f>
        <v>0</v>
      </c>
      <c r="G1790" s="15" t="str">
        <f>VLOOKUP(B1790,SPECIFICATIONF!$C$2:$D$65,2,0)</f>
        <v>GLOBAL RETAIL</v>
      </c>
      <c r="H1790" s="12">
        <f t="shared" si="66"/>
        <v>9</v>
      </c>
      <c r="I1790" s="12">
        <f t="shared" si="67"/>
        <v>2025</v>
      </c>
    </row>
    <row r="1791" spans="1:9" ht="19.5" customHeight="1" x14ac:dyDescent="0.35">
      <c r="A1791" s="41">
        <v>45925</v>
      </c>
      <c r="B1791" s="8" t="s">
        <v>32</v>
      </c>
      <c r="C1791" s="42" t="s">
        <v>11</v>
      </c>
      <c r="D1791" s="43" t="s">
        <v>30</v>
      </c>
      <c r="E1791" s="46">
        <v>1651240.58</v>
      </c>
      <c r="F1791" s="2">
        <f>IF(C1791="GBP",E1791*$C$3,IF(C1791="TRY",E1791/$C$1,IF(C1791="EUR",E1791*$E$1,IF(C1791="RUB",E1791/#REF!,IF(C1791="EGP",E1791/$E$2,E1791)))))</f>
        <v>45280.530563332773</v>
      </c>
      <c r="G1791" s="15" t="str">
        <f>VLOOKUP(B1791,SPECIFICATIONF!$C$2:$D$65,2,0)</f>
        <v>GLOBAL HFT</v>
      </c>
      <c r="H1791" s="12">
        <f t="shared" si="66"/>
        <v>9</v>
      </c>
      <c r="I1791" s="12">
        <f t="shared" si="67"/>
        <v>2025</v>
      </c>
    </row>
    <row r="1792" spans="1:9" ht="19.5" customHeight="1" x14ac:dyDescent="0.35">
      <c r="A1792" s="41">
        <v>45925</v>
      </c>
      <c r="B1792" s="8" t="s">
        <v>32</v>
      </c>
      <c r="C1792" s="42" t="s">
        <v>33</v>
      </c>
      <c r="D1792" s="43" t="s">
        <v>30</v>
      </c>
      <c r="E1792" s="46">
        <v>13504.99</v>
      </c>
      <c r="F1792" s="2">
        <f>IF(C1792="GBP",E1792*$C$3,IF(C1792="TRY",E1792/$C$1,IF(C1792="EUR",E1792*$E$1,IF(C1792="RUB",E1792/#REF!,IF(C1792="EGP",E1792/$E$2,E1792)))))</f>
        <v>13504.99</v>
      </c>
      <c r="G1792" s="15" t="str">
        <f>VLOOKUP(B1792,SPECIFICATIONF!$C$2:$D$65,2,0)</f>
        <v>GLOBAL HFT</v>
      </c>
      <c r="H1792" s="12">
        <f t="shared" si="66"/>
        <v>9</v>
      </c>
      <c r="I1792" s="12">
        <f t="shared" si="67"/>
        <v>2025</v>
      </c>
    </row>
    <row r="1793" spans="1:9" ht="19.5" customHeight="1" x14ac:dyDescent="0.35">
      <c r="A1793" s="41">
        <v>45925</v>
      </c>
      <c r="B1793" s="8" t="s">
        <v>32</v>
      </c>
      <c r="C1793" s="42" t="s">
        <v>11</v>
      </c>
      <c r="D1793" s="43" t="s">
        <v>29</v>
      </c>
      <c r="E1793" s="46">
        <v>6703609619</v>
      </c>
      <c r="F1793" s="2">
        <f>IF(C1793="GBP",E1793*$C$3,IF(C1793="TRY",E1793/$C$1,IF(C1793="EUR",E1793*$E$1,IF(C1793="RUB",E1793/#REF!,IF(C1793="EGP",E1793/$E$2,E1793)))))</f>
        <v>183827241.11454496</v>
      </c>
      <c r="G1793" s="15" t="str">
        <f>VLOOKUP(B1793,SPECIFICATIONF!$C$2:$D$65,2,0)</f>
        <v>GLOBAL HFT</v>
      </c>
      <c r="H1793" s="12">
        <f t="shared" si="66"/>
        <v>9</v>
      </c>
      <c r="I1793" s="12">
        <f t="shared" si="67"/>
        <v>2025</v>
      </c>
    </row>
    <row r="1794" spans="1:9" ht="19.5" customHeight="1" x14ac:dyDescent="0.35">
      <c r="A1794" s="41">
        <v>45925</v>
      </c>
      <c r="B1794" s="8" t="s">
        <v>32</v>
      </c>
      <c r="C1794" s="42" t="s">
        <v>33</v>
      </c>
      <c r="D1794" s="43" t="s">
        <v>29</v>
      </c>
      <c r="E1794" s="46">
        <v>46833828</v>
      </c>
      <c r="F1794" s="2">
        <f>IF(C1794="GBP",E1794*$C$3,IF(C1794="TRY",E1794/$C$1,IF(C1794="EUR",E1794*$E$1,IF(C1794="RUB",E1794/#REF!,IF(C1794="EGP",E1794/$E$2,E1794)))))</f>
        <v>46833828</v>
      </c>
      <c r="G1794" s="15" t="str">
        <f>VLOOKUP(B1794,SPECIFICATIONF!$C$2:$D$65,2,0)</f>
        <v>GLOBAL HFT</v>
      </c>
      <c r="H1794" s="12">
        <f t="shared" si="66"/>
        <v>9</v>
      </c>
      <c r="I1794" s="12">
        <f t="shared" si="67"/>
        <v>2025</v>
      </c>
    </row>
    <row r="1795" spans="1:9" ht="19.5" customHeight="1" x14ac:dyDescent="0.35">
      <c r="A1795" s="41">
        <v>45925</v>
      </c>
      <c r="B1795" s="8" t="s">
        <v>24</v>
      </c>
      <c r="C1795" s="42" t="s">
        <v>11</v>
      </c>
      <c r="D1795" s="43" t="s">
        <v>30</v>
      </c>
      <c r="E1795" s="46">
        <v>0</v>
      </c>
      <c r="F1795" s="2">
        <f>IF(C1795="GBP",E1795*$C$3,IF(C1795="TRY",E1795/$C$1,IF(C1795="EUR",E1795*$E$1,IF(C1795="RUB",E1795/#REF!,IF(C1795="EGP",E1795/$E$2,E1795)))))</f>
        <v>0</v>
      </c>
      <c r="G1795" s="15" t="str">
        <f>VLOOKUP(B1795,SPECIFICATIONF!$C$2:$D$65,2,0)</f>
        <v>GLOBAL RETAIL</v>
      </c>
      <c r="H1795" s="12">
        <f t="shared" si="66"/>
        <v>9</v>
      </c>
      <c r="I1795" s="12">
        <f t="shared" si="67"/>
        <v>2025</v>
      </c>
    </row>
    <row r="1796" spans="1:9" ht="19.5" customHeight="1" x14ac:dyDescent="0.35">
      <c r="A1796" s="41">
        <v>45925</v>
      </c>
      <c r="B1796" s="8" t="s">
        <v>24</v>
      </c>
      <c r="C1796" s="42" t="s">
        <v>33</v>
      </c>
      <c r="D1796" s="43" t="s">
        <v>30</v>
      </c>
      <c r="E1796" s="46">
        <v>0</v>
      </c>
      <c r="F1796" s="2">
        <f>IF(C1796="GBP",E1796*$C$3,IF(C1796="TRY",E1796/$C$1,IF(C1796="EUR",E1796*$E$1,IF(C1796="RUB",E1796/#REF!,IF(C1796="EGP",E1796/$E$2,E1796)))))</f>
        <v>0</v>
      </c>
      <c r="G1796" s="15" t="str">
        <f>VLOOKUP(B1796,SPECIFICATIONF!$C$2:$D$65,2,0)</f>
        <v>GLOBAL RETAIL</v>
      </c>
      <c r="H1796" s="12">
        <f t="shared" si="66"/>
        <v>9</v>
      </c>
      <c r="I1796" s="12">
        <f t="shared" si="67"/>
        <v>2025</v>
      </c>
    </row>
    <row r="1797" spans="1:9" ht="19.5" customHeight="1" x14ac:dyDescent="0.35">
      <c r="A1797" s="41">
        <v>45925</v>
      </c>
      <c r="B1797" s="8" t="s">
        <v>24</v>
      </c>
      <c r="C1797" s="42" t="s">
        <v>11</v>
      </c>
      <c r="D1797" s="43" t="s">
        <v>29</v>
      </c>
      <c r="E1797" s="46">
        <v>0</v>
      </c>
      <c r="F1797" s="2">
        <f>IF(C1797="GBP",E1797*$C$3,IF(C1797="TRY",E1797/$C$1,IF(C1797="EUR",E1797*$E$1,IF(C1797="RUB",E1797/#REF!,IF(C1797="EGP",E1797/$E$2,E1797)))))</f>
        <v>0</v>
      </c>
      <c r="G1797" s="15" t="str">
        <f>VLOOKUP(B1797,SPECIFICATIONF!$C$2:$D$65,2,0)</f>
        <v>GLOBAL RETAIL</v>
      </c>
      <c r="H1797" s="12">
        <f t="shared" si="66"/>
        <v>9</v>
      </c>
      <c r="I1797" s="12">
        <f t="shared" si="67"/>
        <v>2025</v>
      </c>
    </row>
    <row r="1798" spans="1:9" ht="19.5" customHeight="1" x14ac:dyDescent="0.35">
      <c r="A1798" s="41">
        <v>45925</v>
      </c>
      <c r="B1798" s="8" t="s">
        <v>24</v>
      </c>
      <c r="C1798" s="42" t="s">
        <v>33</v>
      </c>
      <c r="D1798" s="43" t="s">
        <v>29</v>
      </c>
      <c r="E1798" s="46">
        <v>0</v>
      </c>
      <c r="F1798" s="2">
        <f>IF(C1798="GBP",E1798*$C$3,IF(C1798="TRY",E1798/$C$1,IF(C1798="EUR",E1798*$E$1,IF(C1798="RUB",E1798/#REF!,IF(C1798="EGP",E1798/$E$2,E1798)))))</f>
        <v>0</v>
      </c>
      <c r="G1798" s="15" t="str">
        <f>VLOOKUP(B1798,SPECIFICATIONF!$C$2:$D$65,2,0)</f>
        <v>GLOBAL RETAIL</v>
      </c>
      <c r="H1798" s="12">
        <f t="shared" si="66"/>
        <v>9</v>
      </c>
      <c r="I1798" s="12">
        <f t="shared" si="67"/>
        <v>2025</v>
      </c>
    </row>
    <row r="1799" spans="1:9" ht="19.5" customHeight="1" x14ac:dyDescent="0.35">
      <c r="A1799" s="41">
        <v>45926</v>
      </c>
      <c r="B1799" s="8" t="s">
        <v>32</v>
      </c>
      <c r="C1799" s="42" t="s">
        <v>11</v>
      </c>
      <c r="D1799" s="43" t="s">
        <v>30</v>
      </c>
      <c r="E1799" s="46">
        <v>1645000.06</v>
      </c>
      <c r="F1799" s="2">
        <f>IF(C1799="GBP",E1799*$C$3,IF(C1799="TRY",E1799/$C$1,IF(C1799="EUR",E1799*$E$1,IF(C1799="RUB",E1799/#REF!,IF(C1799="EGP",E1799/$E$2,E1799)))))</f>
        <v>45109.402225031467</v>
      </c>
      <c r="G1799" s="15" t="str">
        <f>VLOOKUP(B1799,SPECIFICATIONF!$C$2:$D$65,2,0)</f>
        <v>GLOBAL HFT</v>
      </c>
      <c r="H1799" s="12">
        <f t="shared" si="66"/>
        <v>9</v>
      </c>
      <c r="I1799" s="12">
        <f t="shared" si="67"/>
        <v>2025</v>
      </c>
    </row>
    <row r="1800" spans="1:9" ht="19.5" customHeight="1" x14ac:dyDescent="0.35">
      <c r="A1800" s="41">
        <v>45926</v>
      </c>
      <c r="B1800" s="8" t="s">
        <v>32</v>
      </c>
      <c r="C1800" s="42" t="s">
        <v>33</v>
      </c>
      <c r="D1800" s="43" t="s">
        <v>30</v>
      </c>
      <c r="E1800" s="46">
        <v>10483.64</v>
      </c>
      <c r="F1800" s="2">
        <f>IF(C1800="GBP",E1800*$C$3,IF(C1800="TRY",E1800/$C$1,IF(C1800="EUR",E1800*$E$1,IF(C1800="RUB",E1800/#REF!,IF(C1800="EGP",E1800/$E$2,E1800)))))</f>
        <v>10483.64</v>
      </c>
      <c r="G1800" s="15" t="str">
        <f>VLOOKUP(B1800,SPECIFICATIONF!$C$2:$D$65,2,0)</f>
        <v>GLOBAL HFT</v>
      </c>
      <c r="H1800" s="12">
        <f t="shared" si="66"/>
        <v>9</v>
      </c>
      <c r="I1800" s="12">
        <f t="shared" si="67"/>
        <v>2025</v>
      </c>
    </row>
    <row r="1801" spans="1:9" ht="19.5" customHeight="1" x14ac:dyDescent="0.35">
      <c r="A1801" s="41">
        <v>45926</v>
      </c>
      <c r="B1801" s="8" t="s">
        <v>32</v>
      </c>
      <c r="C1801" s="42" t="s">
        <v>11</v>
      </c>
      <c r="D1801" s="43" t="s">
        <v>29</v>
      </c>
      <c r="E1801" s="46">
        <v>6580415016</v>
      </c>
      <c r="F1801" s="2">
        <f>IF(C1801="GBP",E1801*$C$3,IF(C1801="TRY",E1801/$C$1,IF(C1801="EUR",E1801*$E$1,IF(C1801="RUB",E1801/#REF!,IF(C1801="EGP",E1801/$E$2,E1801)))))</f>
        <v>180448982.94069415</v>
      </c>
      <c r="G1801" s="15" t="str">
        <f>VLOOKUP(B1801,SPECIFICATIONF!$C$2:$D$65,2,0)</f>
        <v>GLOBAL HFT</v>
      </c>
      <c r="H1801" s="12">
        <f t="shared" si="66"/>
        <v>9</v>
      </c>
      <c r="I1801" s="12">
        <f t="shared" si="67"/>
        <v>2025</v>
      </c>
    </row>
    <row r="1802" spans="1:9" ht="19.5" customHeight="1" x14ac:dyDescent="0.35">
      <c r="A1802" s="41">
        <v>45926</v>
      </c>
      <c r="B1802" s="8" t="s">
        <v>32</v>
      </c>
      <c r="C1802" s="42" t="s">
        <v>33</v>
      </c>
      <c r="D1802" s="43" t="s">
        <v>29</v>
      </c>
      <c r="E1802" s="46">
        <v>36488513</v>
      </c>
      <c r="F1802" s="2">
        <f>IF(C1802="GBP",E1802*$C$3,IF(C1802="TRY",E1802/$C$1,IF(C1802="EUR",E1802*$E$1,IF(C1802="RUB",E1802/#REF!,IF(C1802="EGP",E1802/$E$2,E1802)))))</f>
        <v>36488513</v>
      </c>
      <c r="G1802" s="15" t="str">
        <f>VLOOKUP(B1802,SPECIFICATIONF!$C$2:$D$65,2,0)</f>
        <v>GLOBAL HFT</v>
      </c>
      <c r="H1802" s="12">
        <f t="shared" si="66"/>
        <v>9</v>
      </c>
      <c r="I1802" s="12">
        <f t="shared" si="67"/>
        <v>2025</v>
      </c>
    </row>
    <row r="1803" spans="1:9" ht="19.5" customHeight="1" x14ac:dyDescent="0.35">
      <c r="A1803" s="41">
        <v>45926</v>
      </c>
      <c r="B1803" s="8" t="s">
        <v>24</v>
      </c>
      <c r="C1803" s="42" t="s">
        <v>11</v>
      </c>
      <c r="D1803" s="43" t="s">
        <v>30</v>
      </c>
      <c r="E1803" s="46">
        <v>0</v>
      </c>
      <c r="F1803" s="2">
        <f>IF(C1803="GBP",E1803*$C$3,IF(C1803="TRY",E1803/$C$1,IF(C1803="EUR",E1803*$E$1,IF(C1803="RUB",E1803/#REF!,IF(C1803="EGP",E1803/$E$2,E1803)))))</f>
        <v>0</v>
      </c>
      <c r="G1803" s="15" t="str">
        <f>VLOOKUP(B1803,SPECIFICATIONF!$C$2:$D$65,2,0)</f>
        <v>GLOBAL RETAIL</v>
      </c>
      <c r="H1803" s="12">
        <f t="shared" si="66"/>
        <v>9</v>
      </c>
      <c r="I1803" s="12">
        <f t="shared" si="67"/>
        <v>2025</v>
      </c>
    </row>
    <row r="1804" spans="1:9" ht="19.5" customHeight="1" x14ac:dyDescent="0.35">
      <c r="A1804" s="41">
        <v>45926</v>
      </c>
      <c r="B1804" s="8" t="s">
        <v>24</v>
      </c>
      <c r="C1804" s="42" t="s">
        <v>33</v>
      </c>
      <c r="D1804" s="43" t="s">
        <v>30</v>
      </c>
      <c r="E1804" s="46">
        <v>0</v>
      </c>
      <c r="F1804" s="2">
        <f>IF(C1804="GBP",E1804*$C$3,IF(C1804="TRY",E1804/$C$1,IF(C1804="EUR",E1804*$E$1,IF(C1804="RUB",E1804/#REF!,IF(C1804="EGP",E1804/$E$2,E1804)))))</f>
        <v>0</v>
      </c>
      <c r="G1804" s="15" t="str">
        <f>VLOOKUP(B1804,SPECIFICATIONF!$C$2:$D$65,2,0)</f>
        <v>GLOBAL RETAIL</v>
      </c>
      <c r="H1804" s="12">
        <f t="shared" si="66"/>
        <v>9</v>
      </c>
      <c r="I1804" s="12">
        <f t="shared" si="67"/>
        <v>2025</v>
      </c>
    </row>
    <row r="1805" spans="1:9" ht="19.5" customHeight="1" x14ac:dyDescent="0.35">
      <c r="A1805" s="41">
        <v>45926</v>
      </c>
      <c r="B1805" s="8" t="s">
        <v>24</v>
      </c>
      <c r="C1805" s="42" t="s">
        <v>11</v>
      </c>
      <c r="D1805" s="43" t="s">
        <v>29</v>
      </c>
      <c r="E1805" s="46">
        <v>9266</v>
      </c>
      <c r="F1805" s="2">
        <f>IF(C1805="GBP",E1805*$C$3,IF(C1805="TRY",E1805/$C$1,IF(C1805="EUR",E1805*$E$1,IF(C1805="RUB",E1805/#REF!,IF(C1805="EGP",E1805/$E$2,E1805)))))</f>
        <v>254.09343815898799</v>
      </c>
      <c r="G1805" s="15" t="str">
        <f>VLOOKUP(B1805,SPECIFICATIONF!$C$2:$D$65,2,0)</f>
        <v>GLOBAL RETAIL</v>
      </c>
      <c r="H1805" s="12">
        <f t="shared" si="66"/>
        <v>9</v>
      </c>
      <c r="I1805" s="12">
        <f t="shared" si="67"/>
        <v>2025</v>
      </c>
    </row>
    <row r="1806" spans="1:9" ht="19.5" customHeight="1" x14ac:dyDescent="0.35">
      <c r="A1806" s="41">
        <v>45926</v>
      </c>
      <c r="B1806" s="8" t="s">
        <v>24</v>
      </c>
      <c r="C1806" s="42" t="s">
        <v>33</v>
      </c>
      <c r="D1806" s="43" t="s">
        <v>29</v>
      </c>
      <c r="E1806" s="46">
        <v>548</v>
      </c>
      <c r="F1806" s="2">
        <f>IF(C1806="GBP",E1806*$C$3,IF(C1806="TRY",E1806/$C$1,IF(C1806="EUR",E1806*$E$1,IF(C1806="RUB",E1806/#REF!,IF(C1806="EGP",E1806/$E$2,E1806)))))</f>
        <v>548</v>
      </c>
      <c r="G1806" s="15" t="str">
        <f>VLOOKUP(B1806,SPECIFICATIONF!$C$2:$D$65,2,0)</f>
        <v>GLOBAL RETAIL</v>
      </c>
      <c r="H1806" s="12">
        <f t="shared" si="66"/>
        <v>9</v>
      </c>
      <c r="I1806" s="12">
        <f t="shared" si="67"/>
        <v>2025</v>
      </c>
    </row>
    <row r="1807" spans="1:9" ht="19.5" customHeight="1" x14ac:dyDescent="0.35">
      <c r="A1807" s="41">
        <v>45927</v>
      </c>
      <c r="B1807" s="8" t="s">
        <v>32</v>
      </c>
      <c r="C1807" s="42" t="s">
        <v>11</v>
      </c>
      <c r="D1807" s="43" t="s">
        <v>30</v>
      </c>
      <c r="E1807" s="46">
        <v>1422228.49</v>
      </c>
      <c r="F1807" s="2">
        <f>IF(C1807="GBP",E1807*$C$3,IF(C1807="TRY",E1807/$C$1,IF(C1807="EUR",E1807*$E$1,IF(C1807="RUB",E1807/#REF!,IF(C1807="EGP",E1807/$E$2,E1807)))))</f>
        <v>39000.531715062149</v>
      </c>
      <c r="G1807" s="15" t="str">
        <f>VLOOKUP(B1807,SPECIFICATIONF!$C$2:$D$65,2,0)</f>
        <v>GLOBAL HFT</v>
      </c>
      <c r="H1807" s="12">
        <f t="shared" si="66"/>
        <v>9</v>
      </c>
      <c r="I1807" s="12">
        <f t="shared" si="67"/>
        <v>2025</v>
      </c>
    </row>
    <row r="1808" spans="1:9" ht="19.5" customHeight="1" x14ac:dyDescent="0.35">
      <c r="A1808" s="41">
        <v>45927</v>
      </c>
      <c r="B1808" s="8" t="s">
        <v>32</v>
      </c>
      <c r="C1808" s="42" t="s">
        <v>33</v>
      </c>
      <c r="D1808" s="43" t="s">
        <v>30</v>
      </c>
      <c r="E1808" s="46">
        <v>6859.12</v>
      </c>
      <c r="F1808" s="2">
        <f>IF(C1808="GBP",E1808*$C$3,IF(C1808="TRY",E1808/$C$1,IF(C1808="EUR",E1808*$E$1,IF(C1808="RUB",E1808/#REF!,IF(C1808="EGP",E1808/$E$2,E1808)))))</f>
        <v>6859.12</v>
      </c>
      <c r="G1808" s="15" t="str">
        <f>VLOOKUP(B1808,SPECIFICATIONF!$C$2:$D$65,2,0)</f>
        <v>GLOBAL HFT</v>
      </c>
      <c r="H1808" s="12">
        <f t="shared" si="66"/>
        <v>9</v>
      </c>
      <c r="I1808" s="12">
        <f t="shared" si="67"/>
        <v>2025</v>
      </c>
    </row>
    <row r="1809" spans="1:9" ht="19.5" customHeight="1" x14ac:dyDescent="0.35">
      <c r="A1809" s="41">
        <v>45927</v>
      </c>
      <c r="B1809" s="8" t="s">
        <v>32</v>
      </c>
      <c r="C1809" s="42" t="s">
        <v>11</v>
      </c>
      <c r="D1809" s="43" t="s">
        <v>29</v>
      </c>
      <c r="E1809" s="46">
        <v>5418541148</v>
      </c>
      <c r="F1809" s="2">
        <f>IF(C1809="GBP",E1809*$C$3,IF(C1809="TRY",E1809/$C$1,IF(C1809="EUR",E1809*$E$1,IF(C1809="RUB",E1809/#REF!,IF(C1809="EGP",E1809/$E$2,E1809)))))</f>
        <v>148587928.99862614</v>
      </c>
      <c r="G1809" s="15" t="str">
        <f>VLOOKUP(B1809,SPECIFICATIONF!$C$2:$D$65,2,0)</f>
        <v>GLOBAL HFT</v>
      </c>
      <c r="H1809" s="12">
        <f t="shared" si="66"/>
        <v>9</v>
      </c>
      <c r="I1809" s="12">
        <f t="shared" si="67"/>
        <v>2025</v>
      </c>
    </row>
    <row r="1810" spans="1:9" ht="19.5" customHeight="1" x14ac:dyDescent="0.35">
      <c r="A1810" s="41">
        <v>45927</v>
      </c>
      <c r="B1810" s="8" t="s">
        <v>32</v>
      </c>
      <c r="C1810" s="42" t="s">
        <v>33</v>
      </c>
      <c r="D1810" s="43" t="s">
        <v>29</v>
      </c>
      <c r="E1810" s="46">
        <v>22616013</v>
      </c>
      <c r="F1810" s="2">
        <f>IF(C1810="GBP",E1810*$C$3,IF(C1810="TRY",E1810/$C$1,IF(C1810="EUR",E1810*$E$1,IF(C1810="RUB",E1810/#REF!,IF(C1810="EGP",E1810/$E$2,E1810)))))</f>
        <v>22616013</v>
      </c>
      <c r="G1810" s="15" t="str">
        <f>VLOOKUP(B1810,SPECIFICATIONF!$C$2:$D$65,2,0)</f>
        <v>GLOBAL HFT</v>
      </c>
      <c r="H1810" s="12">
        <f t="shared" si="66"/>
        <v>9</v>
      </c>
      <c r="I1810" s="12">
        <f t="shared" si="67"/>
        <v>2025</v>
      </c>
    </row>
    <row r="1811" spans="1:9" ht="19.5" customHeight="1" x14ac:dyDescent="0.35">
      <c r="A1811" s="41">
        <v>45927</v>
      </c>
      <c r="B1811" s="8" t="s">
        <v>24</v>
      </c>
      <c r="C1811" s="42" t="s">
        <v>11</v>
      </c>
      <c r="D1811" s="43" t="s">
        <v>30</v>
      </c>
      <c r="E1811" s="46">
        <v>0</v>
      </c>
      <c r="F1811" s="2">
        <f>IF(C1811="GBP",E1811*$C$3,IF(C1811="TRY",E1811/$C$1,IF(C1811="EUR",E1811*$E$1,IF(C1811="RUB",E1811/#REF!,IF(C1811="EGP",E1811/$E$2,E1811)))))</f>
        <v>0</v>
      </c>
      <c r="G1811" s="15" t="str">
        <f>VLOOKUP(B1811,SPECIFICATIONF!$C$2:$D$65,2,0)</f>
        <v>GLOBAL RETAIL</v>
      </c>
      <c r="H1811" s="12">
        <f t="shared" si="66"/>
        <v>9</v>
      </c>
      <c r="I1811" s="12">
        <f t="shared" si="67"/>
        <v>2025</v>
      </c>
    </row>
    <row r="1812" spans="1:9" ht="19.5" customHeight="1" x14ac:dyDescent="0.35">
      <c r="A1812" s="41">
        <v>45927</v>
      </c>
      <c r="B1812" s="8" t="s">
        <v>24</v>
      </c>
      <c r="C1812" s="42" t="s">
        <v>33</v>
      </c>
      <c r="D1812" s="43" t="s">
        <v>30</v>
      </c>
      <c r="E1812" s="46">
        <v>0</v>
      </c>
      <c r="F1812" s="2">
        <f>IF(C1812="GBP",E1812*$C$3,IF(C1812="TRY",E1812/$C$1,IF(C1812="EUR",E1812*$E$1,IF(C1812="RUB",E1812/#REF!,IF(C1812="EGP",E1812/$E$2,E1812)))))</f>
        <v>0</v>
      </c>
      <c r="G1812" s="15" t="str">
        <f>VLOOKUP(B1812,SPECIFICATIONF!$C$2:$D$65,2,0)</f>
        <v>GLOBAL RETAIL</v>
      </c>
      <c r="H1812" s="12">
        <f t="shared" si="66"/>
        <v>9</v>
      </c>
      <c r="I1812" s="12">
        <f t="shared" si="67"/>
        <v>2025</v>
      </c>
    </row>
    <row r="1813" spans="1:9" ht="19.5" customHeight="1" x14ac:dyDescent="0.35">
      <c r="A1813" s="41">
        <v>45927</v>
      </c>
      <c r="B1813" s="8" t="s">
        <v>24</v>
      </c>
      <c r="C1813" s="42" t="s">
        <v>11</v>
      </c>
      <c r="D1813" s="43" t="s">
        <v>29</v>
      </c>
      <c r="E1813" s="46">
        <v>1352914</v>
      </c>
      <c r="F1813" s="2">
        <f>IF(C1813="GBP",E1813*$C$3,IF(C1813="TRY",E1813/$C$1,IF(C1813="EUR",E1813*$E$1,IF(C1813="RUB",E1813/#REF!,IF(C1813="EGP",E1813/$E$2,E1813)))))</f>
        <v>37099.780897197183</v>
      </c>
      <c r="G1813" s="15" t="str">
        <f>VLOOKUP(B1813,SPECIFICATIONF!$C$2:$D$65,2,0)</f>
        <v>GLOBAL RETAIL</v>
      </c>
      <c r="H1813" s="12">
        <f t="shared" si="66"/>
        <v>9</v>
      </c>
      <c r="I1813" s="12">
        <f t="shared" si="67"/>
        <v>2025</v>
      </c>
    </row>
    <row r="1814" spans="1:9" ht="19.5" customHeight="1" x14ac:dyDescent="0.35">
      <c r="A1814" s="41">
        <v>45927</v>
      </c>
      <c r="B1814" s="8" t="s">
        <v>24</v>
      </c>
      <c r="C1814" s="42" t="s">
        <v>33</v>
      </c>
      <c r="D1814" s="43" t="s">
        <v>29</v>
      </c>
      <c r="E1814" s="46">
        <v>0</v>
      </c>
      <c r="F1814" s="2">
        <f>IF(C1814="GBP",E1814*$C$3,IF(C1814="TRY",E1814/$C$1,IF(C1814="EUR",E1814*$E$1,IF(C1814="RUB",E1814/#REF!,IF(C1814="EGP",E1814/$E$2,E1814)))))</f>
        <v>0</v>
      </c>
      <c r="G1814" s="15" t="str">
        <f>VLOOKUP(B1814,SPECIFICATIONF!$C$2:$D$65,2,0)</f>
        <v>GLOBAL RETAIL</v>
      </c>
      <c r="H1814" s="12">
        <f t="shared" si="66"/>
        <v>9</v>
      </c>
      <c r="I1814" s="12">
        <f t="shared" si="67"/>
        <v>2025</v>
      </c>
    </row>
    <row r="1815" spans="1:9" ht="19.5" customHeight="1" x14ac:dyDescent="0.35">
      <c r="A1815" s="41">
        <v>45928</v>
      </c>
      <c r="B1815" s="8" t="s">
        <v>32</v>
      </c>
      <c r="C1815" s="42" t="s">
        <v>11</v>
      </c>
      <c r="D1815" s="43" t="s">
        <v>30</v>
      </c>
      <c r="E1815" s="46">
        <v>1492740.74</v>
      </c>
      <c r="F1815" s="2">
        <f>IF(C1815="GBP",E1815*$C$3,IF(C1815="TRY",E1815/$C$1,IF(C1815="EUR",E1815*$E$1,IF(C1815="RUB",E1815/#REF!,IF(C1815="EGP",E1815/$E$2,E1815)))))</f>
        <v>40934.127660974744</v>
      </c>
      <c r="G1815" s="15" t="str">
        <f>VLOOKUP(B1815,SPECIFICATIONF!$C$2:$D$65,2,0)</f>
        <v>GLOBAL HFT</v>
      </c>
      <c r="H1815" s="12">
        <f t="shared" si="66"/>
        <v>9</v>
      </c>
      <c r="I1815" s="12">
        <f t="shared" si="67"/>
        <v>2025</v>
      </c>
    </row>
    <row r="1816" spans="1:9" ht="19.5" customHeight="1" x14ac:dyDescent="0.35">
      <c r="A1816" s="41">
        <v>45928</v>
      </c>
      <c r="B1816" s="8" t="s">
        <v>32</v>
      </c>
      <c r="C1816" s="42" t="s">
        <v>33</v>
      </c>
      <c r="D1816" s="43" t="s">
        <v>30</v>
      </c>
      <c r="E1816" s="46">
        <v>7594.31</v>
      </c>
      <c r="F1816" s="2">
        <f>IF(C1816="GBP",E1816*$C$3,IF(C1816="TRY",E1816/$C$1,IF(C1816="EUR",E1816*$E$1,IF(C1816="RUB",E1816/#REF!,IF(C1816="EGP",E1816/$E$2,E1816)))))</f>
        <v>7594.31</v>
      </c>
      <c r="G1816" s="15" t="str">
        <f>VLOOKUP(B1816,SPECIFICATIONF!$C$2:$D$65,2,0)</f>
        <v>GLOBAL HFT</v>
      </c>
      <c r="H1816" s="12">
        <f t="shared" si="66"/>
        <v>9</v>
      </c>
      <c r="I1816" s="12">
        <f t="shared" si="67"/>
        <v>2025</v>
      </c>
    </row>
    <row r="1817" spans="1:9" ht="19.5" customHeight="1" x14ac:dyDescent="0.35">
      <c r="A1817" s="41">
        <v>45928</v>
      </c>
      <c r="B1817" s="8" t="s">
        <v>32</v>
      </c>
      <c r="C1817" s="42" t="s">
        <v>11</v>
      </c>
      <c r="D1817" s="43" t="s">
        <v>29</v>
      </c>
      <c r="E1817" s="46">
        <v>5667613837</v>
      </c>
      <c r="F1817" s="2">
        <f>IF(C1817="GBP",E1817*$C$3,IF(C1817="TRY",E1817/$C$1,IF(C1817="EUR",E1817*$E$1,IF(C1817="RUB",E1817/#REF!,IF(C1817="EGP",E1817/$E$2,E1817)))))</f>
        <v>155418032.16067171</v>
      </c>
      <c r="G1817" s="15" t="str">
        <f>VLOOKUP(B1817,SPECIFICATIONF!$C$2:$D$65,2,0)</f>
        <v>GLOBAL HFT</v>
      </c>
      <c r="H1817" s="12">
        <f t="shared" si="66"/>
        <v>9</v>
      </c>
      <c r="I1817" s="12">
        <f t="shared" si="67"/>
        <v>2025</v>
      </c>
    </row>
    <row r="1818" spans="1:9" ht="19.5" customHeight="1" x14ac:dyDescent="0.35">
      <c r="A1818" s="41">
        <v>45928</v>
      </c>
      <c r="B1818" s="8" t="s">
        <v>32</v>
      </c>
      <c r="C1818" s="42" t="s">
        <v>33</v>
      </c>
      <c r="D1818" s="43" t="s">
        <v>29</v>
      </c>
      <c r="E1818" s="46">
        <v>25487307</v>
      </c>
      <c r="F1818" s="2">
        <f>IF(C1818="GBP",E1818*$C$3,IF(C1818="TRY",E1818/$C$1,IF(C1818="EUR",E1818*$E$1,IF(C1818="RUB",E1818/#REF!,IF(C1818="EGP",E1818/$E$2,E1818)))))</f>
        <v>25487307</v>
      </c>
      <c r="G1818" s="15" t="str">
        <f>VLOOKUP(B1818,SPECIFICATIONF!$C$2:$D$65,2,0)</f>
        <v>GLOBAL HFT</v>
      </c>
      <c r="H1818" s="12">
        <f t="shared" si="66"/>
        <v>9</v>
      </c>
      <c r="I1818" s="12">
        <f t="shared" si="67"/>
        <v>2025</v>
      </c>
    </row>
    <row r="1819" spans="1:9" ht="19.5" customHeight="1" x14ac:dyDescent="0.35">
      <c r="A1819" s="41">
        <v>45928</v>
      </c>
      <c r="B1819" s="8" t="s">
        <v>24</v>
      </c>
      <c r="C1819" s="42" t="s">
        <v>11</v>
      </c>
      <c r="D1819" s="43" t="s">
        <v>30</v>
      </c>
      <c r="E1819" s="46">
        <v>0</v>
      </c>
      <c r="F1819" s="2">
        <f>IF(C1819="GBP",E1819*$C$3,IF(C1819="TRY",E1819/$C$1,IF(C1819="EUR",E1819*$E$1,IF(C1819="RUB",E1819/#REF!,IF(C1819="EGP",E1819/$E$2,E1819)))))</f>
        <v>0</v>
      </c>
      <c r="G1819" s="15" t="str">
        <f>VLOOKUP(B1819,SPECIFICATIONF!$C$2:$D$65,2,0)</f>
        <v>GLOBAL RETAIL</v>
      </c>
      <c r="H1819" s="12">
        <f t="shared" si="66"/>
        <v>9</v>
      </c>
      <c r="I1819" s="12">
        <f t="shared" si="67"/>
        <v>2025</v>
      </c>
    </row>
    <row r="1820" spans="1:9" ht="19.5" customHeight="1" x14ac:dyDescent="0.35">
      <c r="A1820" s="41">
        <v>45928</v>
      </c>
      <c r="B1820" s="8" t="s">
        <v>24</v>
      </c>
      <c r="C1820" s="42" t="s">
        <v>33</v>
      </c>
      <c r="D1820" s="43" t="s">
        <v>30</v>
      </c>
      <c r="E1820" s="46">
        <v>0</v>
      </c>
      <c r="F1820" s="2">
        <f>IF(C1820="GBP",E1820*$C$3,IF(C1820="TRY",E1820/$C$1,IF(C1820="EUR",E1820*$E$1,IF(C1820="RUB",E1820/#REF!,IF(C1820="EGP",E1820/$E$2,E1820)))))</f>
        <v>0</v>
      </c>
      <c r="G1820" s="15" t="str">
        <f>VLOOKUP(B1820,SPECIFICATIONF!$C$2:$D$65,2,0)</f>
        <v>GLOBAL RETAIL</v>
      </c>
      <c r="H1820" s="12">
        <f t="shared" si="66"/>
        <v>9</v>
      </c>
      <c r="I1820" s="12">
        <f t="shared" si="67"/>
        <v>2025</v>
      </c>
    </row>
    <row r="1821" spans="1:9" ht="19.5" customHeight="1" x14ac:dyDescent="0.35">
      <c r="A1821" s="41">
        <v>45928</v>
      </c>
      <c r="B1821" s="8" t="s">
        <v>24</v>
      </c>
      <c r="C1821" s="42" t="s">
        <v>11</v>
      </c>
      <c r="D1821" s="43" t="s">
        <v>29</v>
      </c>
      <c r="E1821" s="46">
        <v>0</v>
      </c>
      <c r="F1821" s="2">
        <f>IF(C1821="GBP",E1821*$C$3,IF(C1821="TRY",E1821/$C$1,IF(C1821="EUR",E1821*$E$1,IF(C1821="RUB",E1821/#REF!,IF(C1821="EGP",E1821/$E$2,E1821)))))</f>
        <v>0</v>
      </c>
      <c r="G1821" s="15" t="str">
        <f>VLOOKUP(B1821,SPECIFICATIONF!$C$2:$D$65,2,0)</f>
        <v>GLOBAL RETAIL</v>
      </c>
      <c r="H1821" s="12">
        <f t="shared" si="66"/>
        <v>9</v>
      </c>
      <c r="I1821" s="12">
        <f t="shared" si="67"/>
        <v>2025</v>
      </c>
    </row>
    <row r="1822" spans="1:9" ht="19.5" customHeight="1" x14ac:dyDescent="0.35">
      <c r="A1822" s="41">
        <v>45928</v>
      </c>
      <c r="B1822" s="8" t="s">
        <v>24</v>
      </c>
      <c r="C1822" s="42" t="s">
        <v>33</v>
      </c>
      <c r="D1822" s="43" t="s">
        <v>29</v>
      </c>
      <c r="E1822" s="46">
        <v>0</v>
      </c>
      <c r="F1822" s="2">
        <f>IF(C1822="GBP",E1822*$C$3,IF(C1822="TRY",E1822/$C$1,IF(C1822="EUR",E1822*$E$1,IF(C1822="RUB",E1822/#REF!,IF(C1822="EGP",E1822/$E$2,E1822)))))</f>
        <v>0</v>
      </c>
      <c r="G1822" s="15" t="str">
        <f>VLOOKUP(B1822,SPECIFICATIONF!$C$2:$D$65,2,0)</f>
        <v>GLOBAL RETAIL</v>
      </c>
      <c r="H1822" s="12">
        <f t="shared" si="66"/>
        <v>9</v>
      </c>
      <c r="I1822" s="12">
        <f t="shared" si="67"/>
        <v>2025</v>
      </c>
    </row>
    <row r="1823" spans="1:9" ht="19.5" customHeight="1" x14ac:dyDescent="0.35">
      <c r="A1823" s="41">
        <v>45929</v>
      </c>
      <c r="B1823" s="8" t="s">
        <v>32</v>
      </c>
      <c r="C1823" s="42" t="s">
        <v>11</v>
      </c>
      <c r="D1823" s="43" t="s">
        <v>30</v>
      </c>
      <c r="E1823" s="46">
        <v>1799123.58</v>
      </c>
      <c r="F1823" s="2">
        <f>IF(C1823="GBP",E1823*$C$3,IF(C1823="TRY",E1823/$C$1,IF(C1823="EUR",E1823*$E$1,IF(C1823="RUB",E1823/#REF!,IF(C1823="EGP",E1823/$E$2,E1823)))))</f>
        <v>49335.797120128118</v>
      </c>
      <c r="G1823" s="15" t="str">
        <f>VLOOKUP(B1823,SPECIFICATIONF!$C$2:$D$65,2,0)</f>
        <v>GLOBAL HFT</v>
      </c>
      <c r="H1823" s="12">
        <f t="shared" si="66"/>
        <v>9</v>
      </c>
      <c r="I1823" s="12">
        <f t="shared" si="67"/>
        <v>2025</v>
      </c>
    </row>
    <row r="1824" spans="1:9" ht="19.5" customHeight="1" x14ac:dyDescent="0.35">
      <c r="A1824" s="41">
        <v>45929</v>
      </c>
      <c r="B1824" s="8" t="s">
        <v>32</v>
      </c>
      <c r="C1824" s="42" t="s">
        <v>33</v>
      </c>
      <c r="D1824" s="43" t="s">
        <v>30</v>
      </c>
      <c r="E1824" s="46">
        <v>11327.39</v>
      </c>
      <c r="F1824" s="2">
        <f>IF(C1824="GBP",E1824*$C$3,IF(C1824="TRY",E1824/$C$1,IF(C1824="EUR",E1824*$E$1,IF(C1824="RUB",E1824/#REF!,IF(C1824="EGP",E1824/$E$2,E1824)))))</f>
        <v>11327.39</v>
      </c>
      <c r="G1824" s="15" t="str">
        <f>VLOOKUP(B1824,SPECIFICATIONF!$C$2:$D$65,2,0)</f>
        <v>GLOBAL HFT</v>
      </c>
      <c r="H1824" s="12">
        <f t="shared" si="66"/>
        <v>9</v>
      </c>
      <c r="I1824" s="12">
        <f t="shared" si="67"/>
        <v>2025</v>
      </c>
    </row>
    <row r="1825" spans="1:9" ht="19.5" customHeight="1" x14ac:dyDescent="0.35">
      <c r="A1825" s="41">
        <v>45929</v>
      </c>
      <c r="B1825" s="8" t="s">
        <v>32</v>
      </c>
      <c r="C1825" s="42" t="s">
        <v>11</v>
      </c>
      <c r="D1825" s="43" t="s">
        <v>29</v>
      </c>
      <c r="E1825" s="46">
        <v>7162309178</v>
      </c>
      <c r="F1825" s="2">
        <f>IF(C1825="GBP",E1825*$C$3,IF(C1825="TRY",E1825/$C$1,IF(C1825="EUR",E1825*$E$1,IF(C1825="RUB",E1825/#REF!,IF(C1825="EGP",E1825/$E$2,E1825)))))</f>
        <v>196405759.14048082</v>
      </c>
      <c r="G1825" s="15" t="str">
        <f>VLOOKUP(B1825,SPECIFICATIONF!$C$2:$D$65,2,0)</f>
        <v>GLOBAL HFT</v>
      </c>
      <c r="H1825" s="12">
        <f t="shared" si="66"/>
        <v>9</v>
      </c>
      <c r="I1825" s="12">
        <f t="shared" si="67"/>
        <v>2025</v>
      </c>
    </row>
    <row r="1826" spans="1:9" ht="19.5" customHeight="1" x14ac:dyDescent="0.35">
      <c r="A1826" s="41">
        <v>45929</v>
      </c>
      <c r="B1826" s="8" t="s">
        <v>32</v>
      </c>
      <c r="C1826" s="42" t="s">
        <v>33</v>
      </c>
      <c r="D1826" s="43" t="s">
        <v>29</v>
      </c>
      <c r="E1826" s="46">
        <v>38561621</v>
      </c>
      <c r="F1826" s="2">
        <f>IF(C1826="GBP",E1826*$C$3,IF(C1826="TRY",E1826/$C$1,IF(C1826="EUR",E1826*$E$1,IF(C1826="RUB",E1826/#REF!,IF(C1826="EGP",E1826/$E$2,E1826)))))</f>
        <v>38561621</v>
      </c>
      <c r="G1826" s="15" t="str">
        <f>VLOOKUP(B1826,SPECIFICATIONF!$C$2:$D$65,2,0)</f>
        <v>GLOBAL HFT</v>
      </c>
      <c r="H1826" s="12">
        <f t="shared" si="66"/>
        <v>9</v>
      </c>
      <c r="I1826" s="12">
        <f t="shared" si="67"/>
        <v>2025</v>
      </c>
    </row>
    <row r="1827" spans="1:9" ht="19.5" customHeight="1" x14ac:dyDescent="0.35">
      <c r="A1827" s="41">
        <v>45929</v>
      </c>
      <c r="B1827" s="8" t="s">
        <v>24</v>
      </c>
      <c r="C1827" s="42" t="s">
        <v>11</v>
      </c>
      <c r="D1827" s="43" t="s">
        <v>30</v>
      </c>
      <c r="E1827" s="46">
        <v>0</v>
      </c>
      <c r="F1827" s="2">
        <f>IF(C1827="GBP",E1827*$C$3,IF(C1827="TRY",E1827/$C$1,IF(C1827="EUR",E1827*$E$1,IF(C1827="RUB",E1827/#REF!,IF(C1827="EGP",E1827/$E$2,E1827)))))</f>
        <v>0</v>
      </c>
      <c r="G1827" s="15" t="str">
        <f>VLOOKUP(B1827,SPECIFICATIONF!$C$2:$D$65,2,0)</f>
        <v>GLOBAL RETAIL</v>
      </c>
      <c r="H1827" s="12">
        <f t="shared" si="66"/>
        <v>9</v>
      </c>
      <c r="I1827" s="12">
        <f t="shared" si="67"/>
        <v>2025</v>
      </c>
    </row>
    <row r="1828" spans="1:9" ht="19.5" customHeight="1" x14ac:dyDescent="0.35">
      <c r="A1828" s="41">
        <v>45929</v>
      </c>
      <c r="B1828" s="8" t="s">
        <v>24</v>
      </c>
      <c r="C1828" s="42" t="s">
        <v>33</v>
      </c>
      <c r="D1828" s="43" t="s">
        <v>30</v>
      </c>
      <c r="E1828" s="46">
        <v>0</v>
      </c>
      <c r="F1828" s="2">
        <f>IF(C1828="GBP",E1828*$C$3,IF(C1828="TRY",E1828/$C$1,IF(C1828="EUR",E1828*$E$1,IF(C1828="RUB",E1828/#REF!,IF(C1828="EGP",E1828/$E$2,E1828)))))</f>
        <v>0</v>
      </c>
      <c r="G1828" s="15" t="str">
        <f>VLOOKUP(B1828,SPECIFICATIONF!$C$2:$D$65,2,0)</f>
        <v>GLOBAL RETAIL</v>
      </c>
      <c r="H1828" s="12">
        <f t="shared" si="66"/>
        <v>9</v>
      </c>
      <c r="I1828" s="12">
        <f t="shared" si="67"/>
        <v>2025</v>
      </c>
    </row>
    <row r="1829" spans="1:9" ht="19.5" customHeight="1" x14ac:dyDescent="0.35">
      <c r="A1829" s="41">
        <v>45929</v>
      </c>
      <c r="B1829" s="8" t="s">
        <v>24</v>
      </c>
      <c r="C1829" s="42" t="s">
        <v>11</v>
      </c>
      <c r="D1829" s="43" t="s">
        <v>29</v>
      </c>
      <c r="E1829" s="46">
        <v>10852</v>
      </c>
      <c r="F1829" s="2">
        <f>IF(C1829="GBP",E1829*$C$3,IF(C1829="TRY",E1829/$C$1,IF(C1829="EUR",E1829*$E$1,IF(C1829="RUB",E1829/#REF!,IF(C1829="EGP",E1829/$E$2,E1829)))))</f>
        <v>297.58493318598505</v>
      </c>
      <c r="G1829" s="15" t="str">
        <f>VLOOKUP(B1829,SPECIFICATIONF!$C$2:$D$65,2,0)</f>
        <v>GLOBAL RETAIL</v>
      </c>
      <c r="H1829" s="12">
        <f t="shared" si="66"/>
        <v>9</v>
      </c>
      <c r="I1829" s="12">
        <f t="shared" si="67"/>
        <v>2025</v>
      </c>
    </row>
    <row r="1830" spans="1:9" ht="19.5" customHeight="1" x14ac:dyDescent="0.35">
      <c r="A1830" s="41">
        <v>45929</v>
      </c>
      <c r="B1830" s="8" t="s">
        <v>24</v>
      </c>
      <c r="C1830" s="42" t="s">
        <v>33</v>
      </c>
      <c r="D1830" s="43" t="s">
        <v>29</v>
      </c>
      <c r="E1830" s="46">
        <v>0</v>
      </c>
      <c r="F1830" s="2">
        <f>IF(C1830="GBP",E1830*$C$3,IF(C1830="TRY",E1830/$C$1,IF(C1830="EUR",E1830*$E$1,IF(C1830="RUB",E1830/#REF!,IF(C1830="EGP",E1830/$E$2,E1830)))))</f>
        <v>0</v>
      </c>
      <c r="G1830" s="15" t="str">
        <f>VLOOKUP(B1830,SPECIFICATIONF!$C$2:$D$65,2,0)</f>
        <v>GLOBAL RETAIL</v>
      </c>
      <c r="H1830" s="12">
        <f t="shared" ref="H1830:H1846" si="68">MONTH(A1830)</f>
        <v>9</v>
      </c>
      <c r="I1830" s="12">
        <f t="shared" ref="I1830:I1846" si="69">YEAR(A1830)</f>
        <v>2025</v>
      </c>
    </row>
    <row r="1831" spans="1:9" ht="19.5" customHeight="1" x14ac:dyDescent="0.35">
      <c r="A1831" s="41">
        <v>45930</v>
      </c>
      <c r="B1831" s="8" t="s">
        <v>32</v>
      </c>
      <c r="C1831" s="42" t="s">
        <v>11</v>
      </c>
      <c r="D1831" s="43" t="s">
        <v>30</v>
      </c>
      <c r="E1831" s="46">
        <v>1404622.72</v>
      </c>
      <c r="F1831" s="2">
        <f>IF(C1831="GBP",E1831*$C$3,IF(C1831="TRY",E1831/$C$1,IF(C1831="EUR",E1831*$E$1,IF(C1831="RUB",E1831/#REF!,IF(C1831="EGP",E1831/$E$2,E1831)))))</f>
        <v>38517.744036372707</v>
      </c>
      <c r="G1831" s="15" t="str">
        <f>VLOOKUP(B1831,SPECIFICATIONF!$C$2:$D$65,2,0)</f>
        <v>GLOBAL HFT</v>
      </c>
      <c r="H1831" s="12">
        <f t="shared" si="68"/>
        <v>9</v>
      </c>
      <c r="I1831" s="12">
        <f t="shared" si="69"/>
        <v>2025</v>
      </c>
    </row>
    <row r="1832" spans="1:9" ht="19.5" customHeight="1" x14ac:dyDescent="0.35">
      <c r="A1832" s="41">
        <v>45930</v>
      </c>
      <c r="B1832" s="8" t="s">
        <v>32</v>
      </c>
      <c r="C1832" s="42" t="s">
        <v>33</v>
      </c>
      <c r="D1832" s="43" t="s">
        <v>30</v>
      </c>
      <c r="E1832" s="46">
        <v>8996.75</v>
      </c>
      <c r="F1832" s="2">
        <f>IF(C1832="GBP",E1832*$C$3,IF(C1832="TRY",E1832/$C$1,IF(C1832="EUR",E1832*$E$1,IF(C1832="RUB",E1832/#REF!,IF(C1832="EGP",E1832/$E$2,E1832)))))</f>
        <v>8996.75</v>
      </c>
      <c r="G1832" s="15" t="str">
        <f>VLOOKUP(B1832,SPECIFICATIONF!$C$2:$D$65,2,0)</f>
        <v>GLOBAL HFT</v>
      </c>
      <c r="H1832" s="12">
        <f t="shared" si="68"/>
        <v>9</v>
      </c>
      <c r="I1832" s="12">
        <f t="shared" si="69"/>
        <v>2025</v>
      </c>
    </row>
    <row r="1833" spans="1:9" ht="19.5" customHeight="1" x14ac:dyDescent="0.35">
      <c r="A1833" s="41">
        <v>45930</v>
      </c>
      <c r="B1833" s="8" t="s">
        <v>32</v>
      </c>
      <c r="C1833" s="42" t="s">
        <v>11</v>
      </c>
      <c r="D1833" s="43" t="s">
        <v>29</v>
      </c>
      <c r="E1833" s="46">
        <v>5736080966</v>
      </c>
      <c r="F1833" s="2">
        <f>IF(C1833="GBP",E1833*$C$3,IF(C1833="TRY",E1833/$C$1,IF(C1833="EUR",E1833*$E$1,IF(C1833="RUB",E1833/#REF!,IF(C1833="EGP",E1833/$E$2,E1833)))))</f>
        <v>157295546.53672233</v>
      </c>
      <c r="G1833" s="15" t="str">
        <f>VLOOKUP(B1833,SPECIFICATIONF!$C$2:$D$65,2,0)</f>
        <v>GLOBAL HFT</v>
      </c>
      <c r="H1833" s="12">
        <f t="shared" si="68"/>
        <v>9</v>
      </c>
      <c r="I1833" s="12">
        <f t="shared" si="69"/>
        <v>2025</v>
      </c>
    </row>
    <row r="1834" spans="1:9" ht="19.5" customHeight="1" x14ac:dyDescent="0.35">
      <c r="A1834" s="41">
        <v>45930</v>
      </c>
      <c r="B1834" s="8" t="s">
        <v>32</v>
      </c>
      <c r="C1834" s="42" t="s">
        <v>33</v>
      </c>
      <c r="D1834" s="43" t="s">
        <v>29</v>
      </c>
      <c r="E1834" s="46">
        <v>30600992</v>
      </c>
      <c r="F1834" s="2">
        <f>IF(C1834="GBP",E1834*$C$3,IF(C1834="TRY",E1834/$C$1,IF(C1834="EUR",E1834*$E$1,IF(C1834="RUB",E1834/#REF!,IF(C1834="EGP",E1834/$E$2,E1834)))))</f>
        <v>30600992</v>
      </c>
      <c r="G1834" s="15" t="str">
        <f>VLOOKUP(B1834,SPECIFICATIONF!$C$2:$D$65,2,0)</f>
        <v>GLOBAL HFT</v>
      </c>
      <c r="H1834" s="12">
        <f t="shared" si="68"/>
        <v>9</v>
      </c>
      <c r="I1834" s="12">
        <f t="shared" si="69"/>
        <v>2025</v>
      </c>
    </row>
    <row r="1835" spans="1:9" ht="19.5" customHeight="1" x14ac:dyDescent="0.35">
      <c r="A1835" s="41">
        <v>45930</v>
      </c>
      <c r="B1835" s="8" t="s">
        <v>24</v>
      </c>
      <c r="C1835" s="42" t="s">
        <v>11</v>
      </c>
      <c r="D1835" s="43" t="s">
        <v>30</v>
      </c>
      <c r="E1835" s="46">
        <v>0</v>
      </c>
      <c r="F1835" s="2">
        <f>IF(C1835="GBP",E1835*$C$3,IF(C1835="TRY",E1835/$C$1,IF(C1835="EUR",E1835*$E$1,IF(C1835="RUB",E1835/#REF!,IF(C1835="EGP",E1835/$E$2,E1835)))))</f>
        <v>0</v>
      </c>
      <c r="G1835" s="15" t="str">
        <f>VLOOKUP(B1835,SPECIFICATIONF!$C$2:$D$65,2,0)</f>
        <v>GLOBAL RETAIL</v>
      </c>
      <c r="H1835" s="12">
        <f t="shared" si="68"/>
        <v>9</v>
      </c>
      <c r="I1835" s="12">
        <f t="shared" si="69"/>
        <v>2025</v>
      </c>
    </row>
    <row r="1836" spans="1:9" ht="19.5" customHeight="1" x14ac:dyDescent="0.35">
      <c r="A1836" s="41">
        <v>45930</v>
      </c>
      <c r="B1836" s="8" t="s">
        <v>24</v>
      </c>
      <c r="C1836" s="42" t="s">
        <v>33</v>
      </c>
      <c r="D1836" s="43" t="s">
        <v>30</v>
      </c>
      <c r="E1836" s="46">
        <v>0</v>
      </c>
      <c r="F1836" s="2">
        <f>IF(C1836="GBP",E1836*$C$3,IF(C1836="TRY",E1836/$C$1,IF(C1836="EUR",E1836*$E$1,IF(C1836="RUB",E1836/#REF!,IF(C1836="EGP",E1836/$E$2,E1836)))))</f>
        <v>0</v>
      </c>
      <c r="G1836" s="15" t="str">
        <f>VLOOKUP(B1836,SPECIFICATIONF!$C$2:$D$65,2,0)</f>
        <v>GLOBAL RETAIL</v>
      </c>
      <c r="H1836" s="12">
        <f t="shared" si="68"/>
        <v>9</v>
      </c>
      <c r="I1836" s="12">
        <f t="shared" si="69"/>
        <v>2025</v>
      </c>
    </row>
    <row r="1837" spans="1:9" ht="19.5" customHeight="1" x14ac:dyDescent="0.35">
      <c r="A1837" s="41">
        <v>45930</v>
      </c>
      <c r="B1837" s="8" t="s">
        <v>24</v>
      </c>
      <c r="C1837" s="42" t="s">
        <v>11</v>
      </c>
      <c r="D1837" s="43" t="s">
        <v>29</v>
      </c>
      <c r="E1837" s="46">
        <v>2263473</v>
      </c>
      <c r="F1837" s="2">
        <f>IF(C1837="GBP",E1837*$C$3,IF(C1837="TRY",E1837/$C$1,IF(C1837="EUR",E1837*$E$1,IF(C1837="RUB",E1837/#REF!,IF(C1837="EGP",E1837/$E$2,E1837)))))</f>
        <v>62069.246357655844</v>
      </c>
      <c r="G1837" s="15" t="str">
        <f>VLOOKUP(B1837,SPECIFICATIONF!$C$2:$D$65,2,0)</f>
        <v>GLOBAL RETAIL</v>
      </c>
      <c r="H1837" s="12">
        <f t="shared" si="68"/>
        <v>9</v>
      </c>
      <c r="I1837" s="12">
        <f t="shared" si="69"/>
        <v>2025</v>
      </c>
    </row>
    <row r="1838" spans="1:9" ht="19.5" customHeight="1" x14ac:dyDescent="0.35">
      <c r="A1838" s="41">
        <v>45930</v>
      </c>
      <c r="B1838" s="8" t="s">
        <v>24</v>
      </c>
      <c r="C1838" s="42" t="s">
        <v>33</v>
      </c>
      <c r="D1838" s="43" t="s">
        <v>29</v>
      </c>
      <c r="E1838" s="46">
        <v>0</v>
      </c>
      <c r="F1838" s="2">
        <f>IF(C1838="GBP",E1838*$C$3,IF(C1838="TRY",E1838/$C$1,IF(C1838="EUR",E1838*$E$1,IF(C1838="RUB",E1838/#REF!,IF(C1838="EGP",E1838/$E$2,E1838)))))</f>
        <v>0</v>
      </c>
      <c r="G1838" s="15" t="str">
        <f>VLOOKUP(B1838,SPECIFICATIONF!$C$2:$D$65,2,0)</f>
        <v>GLOBAL RETAIL</v>
      </c>
      <c r="H1838" s="12">
        <f t="shared" si="68"/>
        <v>9</v>
      </c>
      <c r="I1838" s="12">
        <f t="shared" si="69"/>
        <v>2025</v>
      </c>
    </row>
    <row r="1839" spans="1:9" ht="19.5" customHeight="1" x14ac:dyDescent="0.35">
      <c r="A1839" s="41">
        <v>45931</v>
      </c>
      <c r="B1839" s="8" t="s">
        <v>32</v>
      </c>
      <c r="C1839" s="42" t="s">
        <v>11</v>
      </c>
      <c r="D1839" s="43" t="s">
        <v>30</v>
      </c>
      <c r="E1839" s="46">
        <v>2094984.02</v>
      </c>
      <c r="F1839" s="2">
        <f>IF(C1839="GBP",E1839*$C$3,IF(C1839="TRY",E1839/$C$1,IF(C1839="EUR",E1839*$E$1,IF(C1839="RUB",E1839/#REF!,IF(C1839="EGP",E1839/$E$2,E1839)))))</f>
        <v>57448.919979488244</v>
      </c>
      <c r="G1839" s="15" t="str">
        <f>VLOOKUP(B1839,SPECIFICATIONF!$C$2:$D$65,2,0)</f>
        <v>GLOBAL HFT</v>
      </c>
      <c r="H1839" s="12">
        <f t="shared" si="68"/>
        <v>10</v>
      </c>
      <c r="I1839" s="12">
        <f t="shared" si="69"/>
        <v>2025</v>
      </c>
    </row>
    <row r="1840" spans="1:9" ht="19.5" customHeight="1" x14ac:dyDescent="0.35">
      <c r="A1840" s="41">
        <v>45931</v>
      </c>
      <c r="B1840" s="8" t="s">
        <v>32</v>
      </c>
      <c r="C1840" s="42" t="s">
        <v>33</v>
      </c>
      <c r="D1840" s="43" t="s">
        <v>30</v>
      </c>
      <c r="E1840" s="46">
        <v>12162.66</v>
      </c>
      <c r="F1840" s="2">
        <f>IF(C1840="GBP",E1840*$C$3,IF(C1840="TRY",E1840/$C$1,IF(C1840="EUR",E1840*$E$1,IF(C1840="RUB",E1840/#REF!,IF(C1840="EGP",E1840/$E$2,E1840)))))</f>
        <v>12162.66</v>
      </c>
      <c r="G1840" s="15" t="str">
        <f>VLOOKUP(B1840,SPECIFICATIONF!$C$2:$D$65,2,0)</f>
        <v>GLOBAL HFT</v>
      </c>
      <c r="H1840" s="12">
        <f t="shared" si="68"/>
        <v>10</v>
      </c>
      <c r="I1840" s="12">
        <f t="shared" si="69"/>
        <v>2025</v>
      </c>
    </row>
    <row r="1841" spans="1:9" ht="19.5" customHeight="1" x14ac:dyDescent="0.35">
      <c r="A1841" s="41">
        <v>45931</v>
      </c>
      <c r="B1841" s="8" t="s">
        <v>32</v>
      </c>
      <c r="C1841" s="42" t="s">
        <v>11</v>
      </c>
      <c r="D1841" s="43" t="s">
        <v>29</v>
      </c>
      <c r="E1841" s="46">
        <v>7529824710</v>
      </c>
      <c r="F1841" s="2">
        <f>IF(C1841="GBP",E1841*$C$3,IF(C1841="TRY",E1841/$C$1,IF(C1841="EUR",E1841*$E$1,IF(C1841="RUB",E1841/#REF!,IF(C1841="EGP",E1841/$E$2,E1841)))))</f>
        <v>206483817.10537499</v>
      </c>
      <c r="G1841" s="15" t="str">
        <f>VLOOKUP(B1841,SPECIFICATIONF!$C$2:$D$65,2,0)</f>
        <v>GLOBAL HFT</v>
      </c>
      <c r="H1841" s="12">
        <f t="shared" si="68"/>
        <v>10</v>
      </c>
      <c r="I1841" s="12">
        <f t="shared" si="69"/>
        <v>2025</v>
      </c>
    </row>
    <row r="1842" spans="1:9" ht="19.5" customHeight="1" x14ac:dyDescent="0.35">
      <c r="A1842" s="41">
        <v>45931</v>
      </c>
      <c r="B1842" s="8" t="s">
        <v>32</v>
      </c>
      <c r="C1842" s="42" t="s">
        <v>33</v>
      </c>
      <c r="D1842" s="43" t="s">
        <v>29</v>
      </c>
      <c r="E1842" s="46">
        <v>42029862</v>
      </c>
      <c r="F1842" s="2">
        <f>IF(C1842="GBP",E1842*$C$3,IF(C1842="TRY",E1842/$C$1,IF(C1842="EUR",E1842*$E$1,IF(C1842="RUB",E1842/#REF!,IF(C1842="EGP",E1842/$E$2,E1842)))))</f>
        <v>42029862</v>
      </c>
      <c r="G1842" s="15" t="str">
        <f>VLOOKUP(B1842,SPECIFICATIONF!$C$2:$D$65,2,0)</f>
        <v>GLOBAL HFT</v>
      </c>
      <c r="H1842" s="12">
        <f t="shared" si="68"/>
        <v>10</v>
      </c>
      <c r="I1842" s="12">
        <f t="shared" si="69"/>
        <v>2025</v>
      </c>
    </row>
    <row r="1843" spans="1:9" ht="19.5" customHeight="1" x14ac:dyDescent="0.35">
      <c r="A1843" s="41">
        <v>45931</v>
      </c>
      <c r="B1843" s="8" t="s">
        <v>24</v>
      </c>
      <c r="C1843" s="42" t="s">
        <v>11</v>
      </c>
      <c r="D1843" s="43" t="s">
        <v>30</v>
      </c>
      <c r="E1843" s="46">
        <v>0</v>
      </c>
      <c r="F1843" s="2">
        <f>IF(C1843="GBP",E1843*$C$3,IF(C1843="TRY",E1843/$C$1,IF(C1843="EUR",E1843*$E$1,IF(C1843="RUB",E1843/#REF!,IF(C1843="EGP",E1843/$E$2,E1843)))))</f>
        <v>0</v>
      </c>
      <c r="G1843" s="15" t="str">
        <f>VLOOKUP(B1843,SPECIFICATIONF!$C$2:$D$65,2,0)</f>
        <v>GLOBAL RETAIL</v>
      </c>
      <c r="H1843" s="12">
        <f t="shared" si="68"/>
        <v>10</v>
      </c>
      <c r="I1843" s="12">
        <f t="shared" si="69"/>
        <v>2025</v>
      </c>
    </row>
    <row r="1844" spans="1:9" ht="19.5" customHeight="1" x14ac:dyDescent="0.35">
      <c r="A1844" s="41">
        <v>45931</v>
      </c>
      <c r="B1844" s="8" t="s">
        <v>24</v>
      </c>
      <c r="C1844" s="42" t="s">
        <v>33</v>
      </c>
      <c r="D1844" s="43" t="s">
        <v>30</v>
      </c>
      <c r="E1844" s="46">
        <v>0</v>
      </c>
      <c r="F1844" s="2">
        <f>IF(C1844="GBP",E1844*$C$3,IF(C1844="TRY",E1844/$C$1,IF(C1844="EUR",E1844*$E$1,IF(C1844="RUB",E1844/#REF!,IF(C1844="EGP",E1844/$E$2,E1844)))))</f>
        <v>0</v>
      </c>
      <c r="G1844" s="15" t="str">
        <f>VLOOKUP(B1844,SPECIFICATIONF!$C$2:$D$65,2,0)</f>
        <v>GLOBAL RETAIL</v>
      </c>
      <c r="H1844" s="12">
        <f t="shared" si="68"/>
        <v>10</v>
      </c>
      <c r="I1844" s="12">
        <f t="shared" si="69"/>
        <v>2025</v>
      </c>
    </row>
    <row r="1845" spans="1:9" ht="19.5" customHeight="1" x14ac:dyDescent="0.35">
      <c r="A1845" s="41">
        <v>45931</v>
      </c>
      <c r="B1845" s="8" t="s">
        <v>24</v>
      </c>
      <c r="C1845" s="42" t="s">
        <v>11</v>
      </c>
      <c r="D1845" s="43" t="s">
        <v>29</v>
      </c>
      <c r="E1845" s="46">
        <v>0</v>
      </c>
      <c r="F1845" s="2">
        <f>IF(C1845="GBP",E1845*$C$3,IF(C1845="TRY",E1845/$C$1,IF(C1845="EUR",E1845*$E$1,IF(C1845="RUB",E1845/#REF!,IF(C1845="EGP",E1845/$E$2,E1845)))))</f>
        <v>0</v>
      </c>
      <c r="G1845" s="15" t="str">
        <f>VLOOKUP(B1845,SPECIFICATIONF!$C$2:$D$65,2,0)</f>
        <v>GLOBAL RETAIL</v>
      </c>
      <c r="H1845" s="12">
        <f t="shared" si="68"/>
        <v>10</v>
      </c>
      <c r="I1845" s="12">
        <f t="shared" si="69"/>
        <v>2025</v>
      </c>
    </row>
    <row r="1846" spans="1:9" ht="19.5" customHeight="1" x14ac:dyDescent="0.35">
      <c r="A1846" s="41">
        <v>45931</v>
      </c>
      <c r="B1846" s="8" t="s">
        <v>24</v>
      </c>
      <c r="C1846" s="42" t="s">
        <v>33</v>
      </c>
      <c r="D1846" s="43" t="s">
        <v>29</v>
      </c>
      <c r="E1846" s="46">
        <v>0</v>
      </c>
      <c r="F1846" s="2">
        <f>IF(C1846="GBP",E1846*$C$3,IF(C1846="TRY",E1846/$C$1,IF(C1846="EUR",E1846*$E$1,IF(C1846="RUB",E1846/#REF!,IF(C1846="EGP",E1846/$E$2,E1846)))))</f>
        <v>0</v>
      </c>
      <c r="G1846" s="15" t="str">
        <f>VLOOKUP(B1846,SPECIFICATIONF!$C$2:$D$65,2,0)</f>
        <v>GLOBAL RETAIL</v>
      </c>
      <c r="H1846" s="12">
        <f t="shared" si="68"/>
        <v>10</v>
      </c>
      <c r="I1846" s="12">
        <f t="shared" si="69"/>
        <v>2025</v>
      </c>
    </row>
    <row r="1847" spans="1:9" ht="19.5" customHeight="1" x14ac:dyDescent="0.35">
      <c r="A1847" s="41">
        <v>45932</v>
      </c>
      <c r="B1847" s="8" t="s">
        <v>32</v>
      </c>
      <c r="C1847" s="42" t="s">
        <v>11</v>
      </c>
      <c r="D1847" s="43" t="s">
        <v>30</v>
      </c>
      <c r="E1847" s="46">
        <v>2483185.92</v>
      </c>
      <c r="F1847" s="2">
        <f>IF(C1847="GBP",E1847*$C$3,IF(C1847="TRY",E1847/$C$1,IF(C1847="EUR",E1847*$E$1,IF(C1847="RUB",E1847/#REF!,IF(C1847="EGP",E1847/$E$2,E1847)))))</f>
        <v>68094.242175781314</v>
      </c>
      <c r="G1847" s="15" t="str">
        <f>VLOOKUP(B1847,SPECIFICATIONF!$C$2:$D$65,2,0)</f>
        <v>GLOBAL HFT</v>
      </c>
      <c r="H1847" s="12">
        <f t="shared" ref="H1847:H1854" si="70">MONTH(A1847)</f>
        <v>10</v>
      </c>
      <c r="I1847" s="12">
        <f t="shared" ref="I1847:I1854" si="71">YEAR(A1847)</f>
        <v>2025</v>
      </c>
    </row>
    <row r="1848" spans="1:9" ht="19.5" customHeight="1" x14ac:dyDescent="0.35">
      <c r="A1848" s="41">
        <v>45932</v>
      </c>
      <c r="B1848" s="8" t="s">
        <v>32</v>
      </c>
      <c r="C1848" s="42" t="s">
        <v>33</v>
      </c>
      <c r="D1848" s="43" t="s">
        <v>30</v>
      </c>
      <c r="E1848" s="46">
        <v>17224.22</v>
      </c>
      <c r="F1848" s="2">
        <f>IF(C1848="GBP",E1848*$C$3,IF(C1848="TRY",E1848/$C$1,IF(C1848="EUR",E1848*$E$1,IF(C1848="RUB",E1848/#REF!,IF(C1848="EGP",E1848/$E$2,E1848)))))</f>
        <v>17224.22</v>
      </c>
      <c r="G1848" s="15" t="str">
        <f>VLOOKUP(B1848,SPECIFICATIONF!$C$2:$D$65,2,0)</f>
        <v>GLOBAL HFT</v>
      </c>
      <c r="H1848" s="12">
        <f t="shared" si="70"/>
        <v>10</v>
      </c>
      <c r="I1848" s="12">
        <f t="shared" si="71"/>
        <v>2025</v>
      </c>
    </row>
    <row r="1849" spans="1:9" ht="19.5" customHeight="1" x14ac:dyDescent="0.35">
      <c r="A1849" s="41">
        <v>45932</v>
      </c>
      <c r="B1849" s="8" t="s">
        <v>32</v>
      </c>
      <c r="C1849" s="42" t="s">
        <v>11</v>
      </c>
      <c r="D1849" s="43" t="s">
        <v>29</v>
      </c>
      <c r="E1849" s="46">
        <v>8826925268</v>
      </c>
      <c r="F1849" s="2">
        <f>IF(C1849="GBP",E1849*$C$3,IF(C1849="TRY",E1849/$C$1,IF(C1849="EUR",E1849*$E$1,IF(C1849="RUB",E1849/#REF!,IF(C1849="EGP",E1849/$E$2,E1849)))))</f>
        <v>242053074.65125906</v>
      </c>
      <c r="G1849" s="15" t="str">
        <f>VLOOKUP(B1849,SPECIFICATIONF!$C$2:$D$65,2,0)</f>
        <v>GLOBAL HFT</v>
      </c>
      <c r="H1849" s="12">
        <f t="shared" si="70"/>
        <v>10</v>
      </c>
      <c r="I1849" s="12">
        <f t="shared" si="71"/>
        <v>2025</v>
      </c>
    </row>
    <row r="1850" spans="1:9" ht="19.5" customHeight="1" x14ac:dyDescent="0.35">
      <c r="A1850" s="41">
        <v>45932</v>
      </c>
      <c r="B1850" s="8" t="s">
        <v>32</v>
      </c>
      <c r="C1850" s="42" t="s">
        <v>33</v>
      </c>
      <c r="D1850" s="43" t="s">
        <v>29</v>
      </c>
      <c r="E1850" s="46">
        <v>56132089</v>
      </c>
      <c r="F1850" s="2">
        <f>IF(C1850="GBP",E1850*$C$3,IF(C1850="TRY",E1850/$C$1,IF(C1850="EUR",E1850*$E$1,IF(C1850="RUB",E1850/#REF!,IF(C1850="EGP",E1850/$E$2,E1850)))))</f>
        <v>56132089</v>
      </c>
      <c r="G1850" s="15" t="str">
        <f>VLOOKUP(B1850,SPECIFICATIONF!$C$2:$D$65,2,0)</f>
        <v>GLOBAL HFT</v>
      </c>
      <c r="H1850" s="12">
        <f t="shared" si="70"/>
        <v>10</v>
      </c>
      <c r="I1850" s="12">
        <f t="shared" si="71"/>
        <v>2025</v>
      </c>
    </row>
    <row r="1851" spans="1:9" ht="19.5" customHeight="1" x14ac:dyDescent="0.35">
      <c r="A1851" s="41">
        <v>45932</v>
      </c>
      <c r="B1851" s="8" t="s">
        <v>24</v>
      </c>
      <c r="C1851" s="42" t="s">
        <v>11</v>
      </c>
      <c r="D1851" s="43" t="s">
        <v>30</v>
      </c>
      <c r="E1851" s="46">
        <v>0</v>
      </c>
      <c r="F1851" s="2">
        <f>IF(C1851="GBP",E1851*$C$3,IF(C1851="TRY",E1851/$C$1,IF(C1851="EUR",E1851*$E$1,IF(C1851="RUB",E1851/#REF!,IF(C1851="EGP",E1851/$E$2,E1851)))))</f>
        <v>0</v>
      </c>
      <c r="G1851" s="15" t="str">
        <f>VLOOKUP(B1851,SPECIFICATIONF!$C$2:$D$65,2,0)</f>
        <v>GLOBAL RETAIL</v>
      </c>
      <c r="H1851" s="12">
        <f t="shared" si="70"/>
        <v>10</v>
      </c>
      <c r="I1851" s="12">
        <f t="shared" si="71"/>
        <v>2025</v>
      </c>
    </row>
    <row r="1852" spans="1:9" ht="19.5" customHeight="1" x14ac:dyDescent="0.35">
      <c r="A1852" s="41">
        <v>45932</v>
      </c>
      <c r="B1852" s="8" t="s">
        <v>24</v>
      </c>
      <c r="C1852" s="42" t="s">
        <v>33</v>
      </c>
      <c r="D1852" s="43" t="s">
        <v>30</v>
      </c>
      <c r="E1852" s="46">
        <v>0</v>
      </c>
      <c r="F1852" s="2">
        <f>IF(C1852="GBP",E1852*$C$3,IF(C1852="TRY",E1852/$C$1,IF(C1852="EUR",E1852*$E$1,IF(C1852="RUB",E1852/#REF!,IF(C1852="EGP",E1852/$E$2,E1852)))))</f>
        <v>0</v>
      </c>
      <c r="G1852" s="15" t="str">
        <f>VLOOKUP(B1852,SPECIFICATIONF!$C$2:$D$65,2,0)</f>
        <v>GLOBAL RETAIL</v>
      </c>
      <c r="H1852" s="12">
        <f t="shared" si="70"/>
        <v>10</v>
      </c>
      <c r="I1852" s="12">
        <f t="shared" si="71"/>
        <v>2025</v>
      </c>
    </row>
    <row r="1853" spans="1:9" ht="19.5" customHeight="1" x14ac:dyDescent="0.35">
      <c r="A1853" s="41">
        <v>45932</v>
      </c>
      <c r="B1853" s="8" t="s">
        <v>24</v>
      </c>
      <c r="C1853" s="42" t="s">
        <v>11</v>
      </c>
      <c r="D1853" s="43" t="s">
        <v>29</v>
      </c>
      <c r="E1853" s="46">
        <v>2365082</v>
      </c>
      <c r="F1853" s="2">
        <f>IF(C1853="GBP",E1853*$C$3,IF(C1853="TRY",E1853/$C$1,IF(C1853="EUR",E1853*$E$1,IF(C1853="RUB",E1853/#REF!,IF(C1853="EGP",E1853/$E$2,E1853)))))</f>
        <v>64855.581362824916</v>
      </c>
      <c r="G1853" s="15" t="str">
        <f>VLOOKUP(B1853,SPECIFICATIONF!$C$2:$D$65,2,0)</f>
        <v>GLOBAL RETAIL</v>
      </c>
      <c r="H1853" s="12">
        <f t="shared" si="70"/>
        <v>10</v>
      </c>
      <c r="I1853" s="12">
        <f t="shared" si="71"/>
        <v>2025</v>
      </c>
    </row>
    <row r="1854" spans="1:9" ht="19.5" customHeight="1" x14ac:dyDescent="0.35">
      <c r="A1854" s="41">
        <v>45932</v>
      </c>
      <c r="B1854" s="8" t="s">
        <v>24</v>
      </c>
      <c r="C1854" s="42" t="s">
        <v>33</v>
      </c>
      <c r="D1854" s="43" t="s">
        <v>29</v>
      </c>
      <c r="E1854" s="46">
        <v>134051</v>
      </c>
      <c r="F1854" s="2">
        <f>IF(C1854="GBP",E1854*$C$3,IF(C1854="TRY",E1854/$C$1,IF(C1854="EUR",E1854*$E$1,IF(C1854="RUB",E1854/#REF!,IF(C1854="EGP",E1854/$E$2,E1854)))))</f>
        <v>134051</v>
      </c>
      <c r="G1854" s="15" t="str">
        <f>VLOOKUP(B1854,SPECIFICATIONF!$C$2:$D$65,2,0)</f>
        <v>GLOBAL RETAIL</v>
      </c>
      <c r="H1854" s="12">
        <f t="shared" si="70"/>
        <v>10</v>
      </c>
      <c r="I1854" s="12">
        <f t="shared" si="71"/>
        <v>2025</v>
      </c>
    </row>
    <row r="1855" spans="1:9" s="59" customFormat="1" ht="19.5" customHeight="1" x14ac:dyDescent="0.35">
      <c r="A1855" s="52">
        <v>45933</v>
      </c>
      <c r="B1855" s="53" t="s">
        <v>32</v>
      </c>
      <c r="C1855" s="54" t="s">
        <v>11</v>
      </c>
      <c r="D1855" s="55" t="s">
        <v>30</v>
      </c>
      <c r="E1855" s="46">
        <v>1789348.29</v>
      </c>
      <c r="F1855" s="56">
        <f>IF(C1855="GBP",E1855*$C$3,IF(C1855="TRY",E1855/$C$1,IF(C1855="EUR",E1855*$E$1,IF(C1855="RUB",E1855/#REF!,IF(C1855="EGP",E1855/$E$2,E1855)))))</f>
        <v>49067.737866393909</v>
      </c>
      <c r="G1855" s="57" t="str">
        <f>VLOOKUP(B1855,SPECIFICATIONF!$C$2:$D$65,2,0)</f>
        <v>GLOBAL HFT</v>
      </c>
      <c r="H1855" s="58">
        <f t="shared" ref="H1855:H1862" si="72">MONTH(A1855)</f>
        <v>10</v>
      </c>
      <c r="I1855" s="58">
        <f t="shared" ref="I1855:I1862" si="73">YEAR(A1855)</f>
        <v>2025</v>
      </c>
    </row>
    <row r="1856" spans="1:9" ht="19.5" customHeight="1" x14ac:dyDescent="0.35">
      <c r="A1856" s="41">
        <v>45933</v>
      </c>
      <c r="B1856" s="8" t="s">
        <v>32</v>
      </c>
      <c r="C1856" s="42" t="s">
        <v>33</v>
      </c>
      <c r="D1856" s="43" t="s">
        <v>30</v>
      </c>
      <c r="E1856" s="46">
        <v>13139.15</v>
      </c>
      <c r="F1856" s="2">
        <f>IF(C1856="GBP",E1856*$C$3,IF(C1856="TRY",E1856/$C$1,IF(C1856="EUR",E1856*$E$1,IF(C1856="RUB",E1856/#REF!,IF(C1856="EGP",E1856/$E$2,E1856)))))</f>
        <v>13139.15</v>
      </c>
      <c r="G1856" s="15" t="str">
        <f>VLOOKUP(B1856,SPECIFICATIONF!$C$2:$D$65,2,0)</f>
        <v>GLOBAL HFT</v>
      </c>
      <c r="H1856" s="12">
        <f t="shared" si="72"/>
        <v>10</v>
      </c>
      <c r="I1856" s="12">
        <f t="shared" si="73"/>
        <v>2025</v>
      </c>
    </row>
    <row r="1857" spans="1:9" ht="19.5" customHeight="1" x14ac:dyDescent="0.35">
      <c r="A1857" s="41">
        <v>45933</v>
      </c>
      <c r="B1857" s="8" t="s">
        <v>32</v>
      </c>
      <c r="C1857" s="42" t="s">
        <v>11</v>
      </c>
      <c r="D1857" s="43" t="s">
        <v>29</v>
      </c>
      <c r="E1857" s="46">
        <v>6602484047</v>
      </c>
      <c r="F1857" s="2">
        <f>IF(C1857="GBP",E1857*$C$3,IF(C1857="TRY",E1857/$C$1,IF(C1857="EUR",E1857*$E$1,IF(C1857="RUB",E1857/#REF!,IF(C1857="EGP",E1857/$E$2,E1857)))))</f>
        <v>181054162.73387647</v>
      </c>
      <c r="G1857" s="15" t="str">
        <f>VLOOKUP(B1857,SPECIFICATIONF!$C$2:$D$65,2,0)</f>
        <v>GLOBAL HFT</v>
      </c>
      <c r="H1857" s="12">
        <f t="shared" si="72"/>
        <v>10</v>
      </c>
      <c r="I1857" s="12">
        <f t="shared" si="73"/>
        <v>2025</v>
      </c>
    </row>
    <row r="1858" spans="1:9" ht="19.5" customHeight="1" x14ac:dyDescent="0.35">
      <c r="A1858" s="41">
        <v>45933</v>
      </c>
      <c r="B1858" s="8" t="s">
        <v>32</v>
      </c>
      <c r="C1858" s="42" t="s">
        <v>33</v>
      </c>
      <c r="D1858" s="43" t="s">
        <v>29</v>
      </c>
      <c r="E1858" s="46">
        <v>44419181</v>
      </c>
      <c r="F1858" s="2">
        <f>IF(C1858="GBP",E1858*$C$3,IF(C1858="TRY",E1858/$C$1,IF(C1858="EUR",E1858*$E$1,IF(C1858="RUB",E1858/#REF!,IF(C1858="EGP",E1858/$E$2,E1858)))))</f>
        <v>44419181</v>
      </c>
      <c r="G1858" s="15" t="str">
        <f>VLOOKUP(B1858,SPECIFICATIONF!$C$2:$D$65,2,0)</f>
        <v>GLOBAL HFT</v>
      </c>
      <c r="H1858" s="12">
        <f t="shared" si="72"/>
        <v>10</v>
      </c>
      <c r="I1858" s="12">
        <f t="shared" si="73"/>
        <v>2025</v>
      </c>
    </row>
    <row r="1859" spans="1:9" ht="19.5" customHeight="1" x14ac:dyDescent="0.35">
      <c r="A1859" s="41">
        <v>45933</v>
      </c>
      <c r="B1859" s="8" t="s">
        <v>24</v>
      </c>
      <c r="C1859" s="42" t="s">
        <v>11</v>
      </c>
      <c r="D1859" s="43" t="s">
        <v>30</v>
      </c>
      <c r="E1859" s="46">
        <v>0.17</v>
      </c>
      <c r="F1859" s="2">
        <f>IF(C1859="GBP",E1859*$C$3,IF(C1859="TRY",E1859/$C$1,IF(C1859="EUR",E1859*$E$1,IF(C1859="RUB",E1859/#REF!,IF(C1859="EGP",E1859/$E$2,E1859)))))</f>
        <v>4.6617617620362574E-3</v>
      </c>
      <c r="G1859" s="15" t="str">
        <f>VLOOKUP(B1859,SPECIFICATIONF!$C$2:$D$65,2,0)</f>
        <v>GLOBAL RETAIL</v>
      </c>
      <c r="H1859" s="12">
        <f t="shared" si="72"/>
        <v>10</v>
      </c>
      <c r="I1859" s="12">
        <f t="shared" si="73"/>
        <v>2025</v>
      </c>
    </row>
    <row r="1860" spans="1:9" ht="19.5" customHeight="1" x14ac:dyDescent="0.35">
      <c r="A1860" s="41">
        <v>45933</v>
      </c>
      <c r="B1860" s="8" t="s">
        <v>24</v>
      </c>
      <c r="C1860" s="42" t="s">
        <v>33</v>
      </c>
      <c r="D1860" s="43" t="s">
        <v>30</v>
      </c>
      <c r="E1860" s="46">
        <v>0.01</v>
      </c>
      <c r="F1860" s="2">
        <f>IF(C1860="GBP",E1860*$C$3,IF(C1860="TRY",E1860/$C$1,IF(C1860="EUR",E1860*$E$1,IF(C1860="RUB",E1860/#REF!,IF(C1860="EGP",E1860/$E$2,E1860)))))</f>
        <v>0.01</v>
      </c>
      <c r="G1860" s="15" t="str">
        <f>VLOOKUP(B1860,SPECIFICATIONF!$C$2:$D$65,2,0)</f>
        <v>GLOBAL RETAIL</v>
      </c>
      <c r="H1860" s="12">
        <f t="shared" si="72"/>
        <v>10</v>
      </c>
      <c r="I1860" s="12">
        <f t="shared" si="73"/>
        <v>2025</v>
      </c>
    </row>
    <row r="1861" spans="1:9" ht="19.5" customHeight="1" x14ac:dyDescent="0.35">
      <c r="A1861" s="41">
        <v>45933</v>
      </c>
      <c r="B1861" s="8" t="s">
        <v>24</v>
      </c>
      <c r="C1861" s="42" t="s">
        <v>11</v>
      </c>
      <c r="D1861" s="43" t="s">
        <v>29</v>
      </c>
      <c r="E1861" s="46">
        <v>6402090</v>
      </c>
      <c r="F1861" s="2">
        <f>IF(C1861="GBP",E1861*$C$3,IF(C1861="TRY",E1861/$C$1,IF(C1861="EUR",E1861*$E$1,IF(C1861="RUB",E1861/#REF!,IF(C1861="EGP",E1861/$E$2,E1861)))))</f>
        <v>175558.93152420412</v>
      </c>
      <c r="G1861" s="15" t="str">
        <f>VLOOKUP(B1861,SPECIFICATIONF!$C$2:$D$65,2,0)</f>
        <v>GLOBAL RETAIL</v>
      </c>
      <c r="H1861" s="12">
        <f t="shared" si="72"/>
        <v>10</v>
      </c>
      <c r="I1861" s="12">
        <f t="shared" si="73"/>
        <v>2025</v>
      </c>
    </row>
    <row r="1862" spans="1:9" ht="19.5" customHeight="1" x14ac:dyDescent="0.35">
      <c r="A1862" s="41">
        <v>45933</v>
      </c>
      <c r="B1862" s="8" t="s">
        <v>24</v>
      </c>
      <c r="C1862" s="42" t="s">
        <v>33</v>
      </c>
      <c r="D1862" s="43" t="s">
        <v>29</v>
      </c>
      <c r="E1862" s="46">
        <v>27421</v>
      </c>
      <c r="F1862" s="2">
        <f>IF(C1862="GBP",E1862*$C$3,IF(C1862="TRY",E1862/$C$1,IF(C1862="EUR",E1862*$E$1,IF(C1862="RUB",E1862/#REF!,IF(C1862="EGP",E1862/$E$2,E1862)))))</f>
        <v>27421</v>
      </c>
      <c r="G1862" s="15" t="str">
        <f>VLOOKUP(B1862,SPECIFICATIONF!$C$2:$D$65,2,0)</f>
        <v>GLOBAL RETAIL</v>
      </c>
      <c r="H1862" s="12">
        <f t="shared" si="72"/>
        <v>10</v>
      </c>
      <c r="I1862" s="12">
        <f t="shared" si="73"/>
        <v>2025</v>
      </c>
    </row>
    <row r="1863" spans="1:9" ht="19.5" customHeight="1" x14ac:dyDescent="0.35">
      <c r="A1863" s="41">
        <v>45934</v>
      </c>
      <c r="B1863" s="8" t="s">
        <v>32</v>
      </c>
      <c r="C1863" s="42" t="s">
        <v>11</v>
      </c>
      <c r="D1863" s="43" t="s">
        <v>30</v>
      </c>
      <c r="E1863" s="46">
        <v>1694014.03</v>
      </c>
      <c r="F1863" s="2">
        <f>IF(C1863="GBP",E1863*$C$3,IF(C1863="TRY",E1863/$C$1,IF(C1863="EUR",E1863*$E$1,IF(C1863="RUB",E1863/#REF!,IF(C1863="EGP",E1863/$E$2,E1863)))))</f>
        <v>46453.469584746716</v>
      </c>
      <c r="G1863" s="15" t="str">
        <f>VLOOKUP(B1863,SPECIFICATIONF!$C$2:$D$65,2,0)</f>
        <v>GLOBAL HFT</v>
      </c>
      <c r="H1863" s="12">
        <f t="shared" ref="H1863:H1878" si="74">MONTH(A1863)</f>
        <v>10</v>
      </c>
      <c r="I1863" s="12">
        <f t="shared" ref="I1863:I1878" si="75">YEAR(A1863)</f>
        <v>2025</v>
      </c>
    </row>
    <row r="1864" spans="1:9" ht="19.5" customHeight="1" x14ac:dyDescent="0.35">
      <c r="A1864" s="41">
        <v>45934</v>
      </c>
      <c r="B1864" s="8" t="s">
        <v>32</v>
      </c>
      <c r="C1864" s="42" t="s">
        <v>33</v>
      </c>
      <c r="D1864" s="43" t="s">
        <v>30</v>
      </c>
      <c r="E1864" s="46">
        <v>8937.5400000000009</v>
      </c>
      <c r="F1864" s="2">
        <f>IF(C1864="GBP",E1864*$C$3,IF(C1864="TRY",E1864/$C$1,IF(C1864="EUR",E1864*$E$1,IF(C1864="RUB",E1864/#REF!,IF(C1864="EGP",E1864/$E$2,E1864)))))</f>
        <v>8937.5400000000009</v>
      </c>
      <c r="G1864" s="15" t="str">
        <f>VLOOKUP(B1864,SPECIFICATIONF!$C$2:$D$65,2,0)</f>
        <v>GLOBAL HFT</v>
      </c>
      <c r="H1864" s="12">
        <f t="shared" si="74"/>
        <v>10</v>
      </c>
      <c r="I1864" s="12">
        <f t="shared" si="75"/>
        <v>2025</v>
      </c>
    </row>
    <row r="1865" spans="1:9" ht="19.5" customHeight="1" x14ac:dyDescent="0.35">
      <c r="A1865" s="41">
        <v>45934</v>
      </c>
      <c r="B1865" s="8" t="s">
        <v>32</v>
      </c>
      <c r="C1865" s="42" t="s">
        <v>11</v>
      </c>
      <c r="D1865" s="43" t="s">
        <v>29</v>
      </c>
      <c r="E1865" s="46">
        <v>6255809714</v>
      </c>
      <c r="F1865" s="2">
        <f>IF(C1865="GBP",E1865*$C$3,IF(C1865="TRY",E1865/$C$1,IF(C1865="EUR",E1865*$E$1,IF(C1865="RUB",E1865/#REF!,IF(C1865="EGP",E1865/$E$2,E1865)))))</f>
        <v>171547614.79588339</v>
      </c>
      <c r="G1865" s="15" t="str">
        <f>VLOOKUP(B1865,SPECIFICATIONF!$C$2:$D$65,2,0)</f>
        <v>GLOBAL HFT</v>
      </c>
      <c r="H1865" s="12">
        <f t="shared" si="74"/>
        <v>10</v>
      </c>
      <c r="I1865" s="12">
        <f t="shared" si="75"/>
        <v>2025</v>
      </c>
    </row>
    <row r="1866" spans="1:9" ht="19.5" customHeight="1" x14ac:dyDescent="0.35">
      <c r="A1866" s="41">
        <v>45934</v>
      </c>
      <c r="B1866" s="8" t="s">
        <v>32</v>
      </c>
      <c r="C1866" s="42" t="s">
        <v>33</v>
      </c>
      <c r="D1866" s="43" t="s">
        <v>29</v>
      </c>
      <c r="E1866" s="46">
        <v>30462637</v>
      </c>
      <c r="F1866" s="2">
        <f>IF(C1866="GBP",E1866*$C$3,IF(C1866="TRY",E1866/$C$1,IF(C1866="EUR",E1866*$E$1,IF(C1866="RUB",E1866/#REF!,IF(C1866="EGP",E1866/$E$2,E1866)))))</f>
        <v>30462637</v>
      </c>
      <c r="G1866" s="15" t="str">
        <f>VLOOKUP(B1866,SPECIFICATIONF!$C$2:$D$65,2,0)</f>
        <v>GLOBAL HFT</v>
      </c>
      <c r="H1866" s="12">
        <f t="shared" si="74"/>
        <v>10</v>
      </c>
      <c r="I1866" s="12">
        <f t="shared" si="75"/>
        <v>2025</v>
      </c>
    </row>
    <row r="1867" spans="1:9" ht="19.5" customHeight="1" x14ac:dyDescent="0.35">
      <c r="A1867" s="41">
        <v>45934</v>
      </c>
      <c r="B1867" s="8" t="s">
        <v>24</v>
      </c>
      <c r="C1867" s="42" t="s">
        <v>11</v>
      </c>
      <c r="D1867" s="43" t="s">
        <v>30</v>
      </c>
      <c r="E1867" s="46">
        <v>0</v>
      </c>
      <c r="F1867" s="2">
        <f>IF(C1867="GBP",E1867*$C$3,IF(C1867="TRY",E1867/$C$1,IF(C1867="EUR",E1867*$E$1,IF(C1867="RUB",E1867/#REF!,IF(C1867="EGP",E1867/$E$2,E1867)))))</f>
        <v>0</v>
      </c>
      <c r="G1867" s="15" t="str">
        <f>VLOOKUP(B1867,SPECIFICATIONF!$C$2:$D$65,2,0)</f>
        <v>GLOBAL RETAIL</v>
      </c>
      <c r="H1867" s="12">
        <f t="shared" si="74"/>
        <v>10</v>
      </c>
      <c r="I1867" s="12">
        <f t="shared" si="75"/>
        <v>2025</v>
      </c>
    </row>
    <row r="1868" spans="1:9" ht="19.5" customHeight="1" x14ac:dyDescent="0.35">
      <c r="A1868" s="41">
        <v>45934</v>
      </c>
      <c r="B1868" s="8" t="s">
        <v>24</v>
      </c>
      <c r="C1868" s="42" t="s">
        <v>33</v>
      </c>
      <c r="D1868" s="43" t="s">
        <v>30</v>
      </c>
      <c r="E1868" s="46">
        <v>0</v>
      </c>
      <c r="F1868" s="2">
        <f>IF(C1868="GBP",E1868*$C$3,IF(C1868="TRY",E1868/$C$1,IF(C1868="EUR",E1868*$E$1,IF(C1868="RUB",E1868/#REF!,IF(C1868="EGP",E1868/$E$2,E1868)))))</f>
        <v>0</v>
      </c>
      <c r="G1868" s="15" t="str">
        <f>VLOOKUP(B1868,SPECIFICATIONF!$C$2:$D$65,2,0)</f>
        <v>GLOBAL RETAIL</v>
      </c>
      <c r="H1868" s="12">
        <f t="shared" si="74"/>
        <v>10</v>
      </c>
      <c r="I1868" s="12">
        <f t="shared" si="75"/>
        <v>2025</v>
      </c>
    </row>
    <row r="1869" spans="1:9" ht="19.5" customHeight="1" x14ac:dyDescent="0.35">
      <c r="A1869" s="41">
        <v>45934</v>
      </c>
      <c r="B1869" s="8" t="s">
        <v>24</v>
      </c>
      <c r="C1869" s="42" t="s">
        <v>11</v>
      </c>
      <c r="D1869" s="43" t="s">
        <v>29</v>
      </c>
      <c r="E1869" s="46">
        <v>623359</v>
      </c>
      <c r="F1869" s="2">
        <f>IF(C1869="GBP",E1869*$C$3,IF(C1869="TRY",E1869/$C$1,IF(C1869="EUR",E1869*$E$1,IF(C1869="RUB",E1869/#REF!,IF(C1869="EGP",E1869/$E$2,E1869)))))</f>
        <v>17093.830295418586</v>
      </c>
      <c r="G1869" s="15" t="str">
        <f>VLOOKUP(B1869,SPECIFICATIONF!$C$2:$D$65,2,0)</f>
        <v>GLOBAL RETAIL</v>
      </c>
      <c r="H1869" s="12">
        <f t="shared" si="74"/>
        <v>10</v>
      </c>
      <c r="I1869" s="12">
        <f t="shared" si="75"/>
        <v>2025</v>
      </c>
    </row>
    <row r="1870" spans="1:9" ht="19.5" customHeight="1" x14ac:dyDescent="0.35">
      <c r="A1870" s="41">
        <v>45934</v>
      </c>
      <c r="B1870" s="8" t="s">
        <v>24</v>
      </c>
      <c r="C1870" s="42" t="s">
        <v>33</v>
      </c>
      <c r="D1870" s="43" t="s">
        <v>29</v>
      </c>
      <c r="E1870" s="46">
        <v>74878</v>
      </c>
      <c r="F1870" s="2">
        <f>IF(C1870="GBP",E1870*$C$3,IF(C1870="TRY",E1870/$C$1,IF(C1870="EUR",E1870*$E$1,IF(C1870="RUB",E1870/#REF!,IF(C1870="EGP",E1870/$E$2,E1870)))))</f>
        <v>74878</v>
      </c>
      <c r="G1870" s="15" t="str">
        <f>VLOOKUP(B1870,SPECIFICATIONF!$C$2:$D$65,2,0)</f>
        <v>GLOBAL RETAIL</v>
      </c>
      <c r="H1870" s="12">
        <f t="shared" si="74"/>
        <v>10</v>
      </c>
      <c r="I1870" s="12">
        <f t="shared" si="75"/>
        <v>2025</v>
      </c>
    </row>
    <row r="1871" spans="1:9" ht="19.5" customHeight="1" x14ac:dyDescent="0.35">
      <c r="A1871" s="41">
        <v>45935</v>
      </c>
      <c r="B1871" s="8" t="s">
        <v>32</v>
      </c>
      <c r="C1871" s="42" t="s">
        <v>11</v>
      </c>
      <c r="D1871" s="43" t="s">
        <v>30</v>
      </c>
      <c r="E1871" s="46">
        <v>1382148.91</v>
      </c>
      <c r="F1871" s="2">
        <f>IF(C1871="GBP",E1871*$C$3,IF(C1871="TRY",E1871/$C$1,IF(C1871="EUR",E1871*$E$1,IF(C1871="RUB",E1871/#REF!,IF(C1871="EGP",E1871/$E$2,E1871)))))</f>
        <v>37901.464341635838</v>
      </c>
      <c r="G1871" s="15" t="str">
        <f>VLOOKUP(B1871,SPECIFICATIONF!$C$2:$D$65,2,0)</f>
        <v>GLOBAL HFT</v>
      </c>
      <c r="H1871" s="12">
        <f t="shared" si="74"/>
        <v>10</v>
      </c>
      <c r="I1871" s="12">
        <f t="shared" si="75"/>
        <v>2025</v>
      </c>
    </row>
    <row r="1872" spans="1:9" ht="19.5" customHeight="1" x14ac:dyDescent="0.35">
      <c r="A1872" s="41">
        <v>45935</v>
      </c>
      <c r="B1872" s="8" t="s">
        <v>32</v>
      </c>
      <c r="C1872" s="42" t="s">
        <v>33</v>
      </c>
      <c r="D1872" s="43" t="s">
        <v>30</v>
      </c>
      <c r="E1872" s="46">
        <v>10318.57</v>
      </c>
      <c r="F1872" s="2">
        <f>IF(C1872="GBP",E1872*$C$3,IF(C1872="TRY",E1872/$C$1,IF(C1872="EUR",E1872*$E$1,IF(C1872="RUB",E1872/#REF!,IF(C1872="EGP",E1872/$E$2,E1872)))))</f>
        <v>10318.57</v>
      </c>
      <c r="G1872" s="15" t="str">
        <f>VLOOKUP(B1872,SPECIFICATIONF!$C$2:$D$65,2,0)</f>
        <v>GLOBAL HFT</v>
      </c>
      <c r="H1872" s="12">
        <f t="shared" si="74"/>
        <v>10</v>
      </c>
      <c r="I1872" s="12">
        <f t="shared" si="75"/>
        <v>2025</v>
      </c>
    </row>
    <row r="1873" spans="1:9" ht="19.5" customHeight="1" x14ac:dyDescent="0.35">
      <c r="A1873" s="41">
        <v>45935</v>
      </c>
      <c r="B1873" s="8" t="s">
        <v>32</v>
      </c>
      <c r="C1873" s="42" t="s">
        <v>11</v>
      </c>
      <c r="D1873" s="43" t="s">
        <v>29</v>
      </c>
      <c r="E1873" s="46">
        <v>5291174370</v>
      </c>
      <c r="F1873" s="2">
        <f>IF(C1873="GBP",E1873*$C$3,IF(C1873="TRY",E1873/$C$1,IF(C1873="EUR",E1873*$E$1,IF(C1873="RUB",E1873/#REF!,IF(C1873="EGP",E1873/$E$2,E1873)))))</f>
        <v>145095260.90783697</v>
      </c>
      <c r="G1873" s="15" t="str">
        <f>VLOOKUP(B1873,SPECIFICATIONF!$C$2:$D$65,2,0)</f>
        <v>GLOBAL HFT</v>
      </c>
      <c r="H1873" s="12">
        <f t="shared" si="74"/>
        <v>10</v>
      </c>
      <c r="I1873" s="12">
        <f t="shared" si="75"/>
        <v>2025</v>
      </c>
    </row>
    <row r="1874" spans="1:9" ht="19.5" customHeight="1" x14ac:dyDescent="0.35">
      <c r="A1874" s="41">
        <v>45935</v>
      </c>
      <c r="B1874" s="8" t="s">
        <v>32</v>
      </c>
      <c r="C1874" s="42" t="s">
        <v>33</v>
      </c>
      <c r="D1874" s="43" t="s">
        <v>29</v>
      </c>
      <c r="E1874" s="46">
        <v>35009617</v>
      </c>
      <c r="F1874" s="2">
        <f>IF(C1874="GBP",E1874*$C$3,IF(C1874="TRY",E1874/$C$1,IF(C1874="EUR",E1874*$E$1,IF(C1874="RUB",E1874/#REF!,IF(C1874="EGP",E1874/$E$2,E1874)))))</f>
        <v>35009617</v>
      </c>
      <c r="G1874" s="15" t="str">
        <f>VLOOKUP(B1874,SPECIFICATIONF!$C$2:$D$65,2,0)</f>
        <v>GLOBAL HFT</v>
      </c>
      <c r="H1874" s="12">
        <f t="shared" si="74"/>
        <v>10</v>
      </c>
      <c r="I1874" s="12">
        <f t="shared" si="75"/>
        <v>2025</v>
      </c>
    </row>
    <row r="1875" spans="1:9" ht="19.5" customHeight="1" x14ac:dyDescent="0.35">
      <c r="A1875" s="41">
        <v>45935</v>
      </c>
      <c r="B1875" s="8" t="s">
        <v>24</v>
      </c>
      <c r="C1875" s="42" t="s">
        <v>11</v>
      </c>
      <c r="D1875" s="43" t="s">
        <v>30</v>
      </c>
      <c r="E1875" s="46">
        <v>0</v>
      </c>
      <c r="F1875" s="2">
        <f>IF(C1875="GBP",E1875*$C$3,IF(C1875="TRY",E1875/$C$1,IF(C1875="EUR",E1875*$E$1,IF(C1875="RUB",E1875/#REF!,IF(C1875="EGP",E1875/$E$2,E1875)))))</f>
        <v>0</v>
      </c>
      <c r="G1875" s="15" t="str">
        <f>VLOOKUP(B1875,SPECIFICATIONF!$C$2:$D$65,2,0)</f>
        <v>GLOBAL RETAIL</v>
      </c>
      <c r="H1875" s="12">
        <f t="shared" si="74"/>
        <v>10</v>
      </c>
      <c r="I1875" s="12">
        <f t="shared" si="75"/>
        <v>2025</v>
      </c>
    </row>
    <row r="1876" spans="1:9" ht="19.5" customHeight="1" x14ac:dyDescent="0.35">
      <c r="A1876" s="41">
        <v>45935</v>
      </c>
      <c r="B1876" s="8" t="s">
        <v>24</v>
      </c>
      <c r="C1876" s="42" t="s">
        <v>33</v>
      </c>
      <c r="D1876" s="43" t="s">
        <v>30</v>
      </c>
      <c r="E1876" s="46">
        <v>0</v>
      </c>
      <c r="F1876" s="2">
        <f>IF(C1876="GBP",E1876*$C$3,IF(C1876="TRY",E1876/$C$1,IF(C1876="EUR",E1876*$E$1,IF(C1876="RUB",E1876/#REF!,IF(C1876="EGP",E1876/$E$2,E1876)))))</f>
        <v>0</v>
      </c>
      <c r="G1876" s="15" t="str">
        <f>VLOOKUP(B1876,SPECIFICATIONF!$C$2:$D$65,2,0)</f>
        <v>GLOBAL RETAIL</v>
      </c>
      <c r="H1876" s="12">
        <f t="shared" si="74"/>
        <v>10</v>
      </c>
      <c r="I1876" s="12">
        <f t="shared" si="75"/>
        <v>2025</v>
      </c>
    </row>
    <row r="1877" spans="1:9" ht="19.5" customHeight="1" x14ac:dyDescent="0.35">
      <c r="A1877" s="41">
        <v>45935</v>
      </c>
      <c r="B1877" s="8" t="s">
        <v>24</v>
      </c>
      <c r="C1877" s="42" t="s">
        <v>11</v>
      </c>
      <c r="D1877" s="43" t="s">
        <v>29</v>
      </c>
      <c r="E1877" s="46">
        <v>3514367</v>
      </c>
      <c r="F1877" s="2">
        <f>IF(C1877="GBP",E1877*$C$3,IF(C1877="TRY",E1877/$C$1,IF(C1877="EUR",E1877*$E$1,IF(C1877="RUB",E1877/#REF!,IF(C1877="EGP",E1877/$E$2,E1877)))))</f>
        <v>96371.421755071031</v>
      </c>
      <c r="G1877" s="15" t="str">
        <f>VLOOKUP(B1877,SPECIFICATIONF!$C$2:$D$65,2,0)</f>
        <v>GLOBAL RETAIL</v>
      </c>
      <c r="H1877" s="12">
        <f t="shared" si="74"/>
        <v>10</v>
      </c>
      <c r="I1877" s="12">
        <f t="shared" si="75"/>
        <v>2025</v>
      </c>
    </row>
    <row r="1878" spans="1:9" ht="19.5" customHeight="1" x14ac:dyDescent="0.35">
      <c r="A1878" s="41">
        <v>45935</v>
      </c>
      <c r="B1878" s="8" t="s">
        <v>24</v>
      </c>
      <c r="C1878" s="42" t="s">
        <v>33</v>
      </c>
      <c r="D1878" s="43" t="s">
        <v>29</v>
      </c>
      <c r="E1878" s="46">
        <v>0</v>
      </c>
      <c r="F1878" s="2">
        <f>IF(C1878="GBP",E1878*$C$3,IF(C1878="TRY",E1878/$C$1,IF(C1878="EUR",E1878*$E$1,IF(C1878="RUB",E1878/#REF!,IF(C1878="EGP",E1878/$E$2,E1878)))))</f>
        <v>0</v>
      </c>
      <c r="G1878" s="15" t="str">
        <f>VLOOKUP(B1878,SPECIFICATIONF!$C$2:$D$65,2,0)</f>
        <v>GLOBAL RETAIL</v>
      </c>
      <c r="H1878" s="12">
        <f t="shared" si="74"/>
        <v>10</v>
      </c>
      <c r="I1878" s="12">
        <f t="shared" si="75"/>
        <v>2025</v>
      </c>
    </row>
    <row r="1879" spans="1:9" ht="19.5" customHeight="1" x14ac:dyDescent="0.35">
      <c r="A1879" s="41">
        <v>45936</v>
      </c>
      <c r="B1879" s="8" t="s">
        <v>32</v>
      </c>
      <c r="C1879" s="42" t="s">
        <v>11</v>
      </c>
      <c r="D1879" s="43" t="s">
        <v>30</v>
      </c>
      <c r="E1879" s="46">
        <v>1644526.07</v>
      </c>
      <c r="F1879" s="2">
        <f>IF(C1879="GBP",E1879*$C$3,IF(C1879="TRY",E1879/$C$1,IF(C1879="EUR",E1879*$E$1,IF(C1879="RUB",E1879/#REF!,IF(C1879="EGP",E1879/$E$2,E1879)))))</f>
        <v>45096.404410575065</v>
      </c>
      <c r="G1879" s="15" t="str">
        <f>VLOOKUP(B1879,SPECIFICATIONF!$C$2:$D$65,2,0)</f>
        <v>GLOBAL HFT</v>
      </c>
      <c r="H1879" s="12">
        <f t="shared" ref="H1879:H1886" si="76">MONTH(A1879)</f>
        <v>10</v>
      </c>
      <c r="I1879" s="12">
        <f t="shared" ref="I1879:I1886" si="77">YEAR(A1879)</f>
        <v>2025</v>
      </c>
    </row>
    <row r="1880" spans="1:9" ht="19.5" customHeight="1" x14ac:dyDescent="0.35">
      <c r="A1880" s="41">
        <v>45936</v>
      </c>
      <c r="B1880" s="8" t="s">
        <v>32</v>
      </c>
      <c r="C1880" s="42" t="s">
        <v>33</v>
      </c>
      <c r="D1880" s="43" t="s">
        <v>30</v>
      </c>
      <c r="E1880" s="46">
        <v>12025.18</v>
      </c>
      <c r="F1880" s="2">
        <f>IF(C1880="GBP",E1880*$C$3,IF(C1880="TRY",E1880/$C$1,IF(C1880="EUR",E1880*$E$1,IF(C1880="RUB",E1880/#REF!,IF(C1880="EGP",E1880/$E$2,E1880)))))</f>
        <v>12025.18</v>
      </c>
      <c r="G1880" s="15" t="str">
        <f>VLOOKUP(B1880,SPECIFICATIONF!$C$2:$D$65,2,0)</f>
        <v>GLOBAL HFT</v>
      </c>
      <c r="H1880" s="12">
        <f t="shared" si="76"/>
        <v>10</v>
      </c>
      <c r="I1880" s="12">
        <f t="shared" si="77"/>
        <v>2025</v>
      </c>
    </row>
    <row r="1881" spans="1:9" ht="19.5" customHeight="1" x14ac:dyDescent="0.35">
      <c r="A1881" s="41">
        <v>45936</v>
      </c>
      <c r="B1881" s="8" t="s">
        <v>32</v>
      </c>
      <c r="C1881" s="42" t="s">
        <v>11</v>
      </c>
      <c r="D1881" s="43" t="s">
        <v>29</v>
      </c>
      <c r="E1881" s="46">
        <v>6372055035</v>
      </c>
      <c r="F1881" s="2">
        <f>IF(C1881="GBP",E1881*$C$3,IF(C1881="TRY",E1881/$C$1,IF(C1881="EUR",E1881*$E$1,IF(C1881="RUB",E1881/#REF!,IF(C1881="EGP",E1881/$E$2,E1881)))))</f>
        <v>174735308.86913884</v>
      </c>
      <c r="G1881" s="15" t="str">
        <f>VLOOKUP(B1881,SPECIFICATIONF!$C$2:$D$65,2,0)</f>
        <v>GLOBAL HFT</v>
      </c>
      <c r="H1881" s="12">
        <f t="shared" si="76"/>
        <v>10</v>
      </c>
      <c r="I1881" s="12">
        <f t="shared" si="77"/>
        <v>2025</v>
      </c>
    </row>
    <row r="1882" spans="1:9" ht="19.5" customHeight="1" x14ac:dyDescent="0.35">
      <c r="A1882" s="41">
        <v>45936</v>
      </c>
      <c r="B1882" s="8" t="s">
        <v>32</v>
      </c>
      <c r="C1882" s="42" t="s">
        <v>33</v>
      </c>
      <c r="D1882" s="43" t="s">
        <v>29</v>
      </c>
      <c r="E1882" s="46">
        <v>40614052</v>
      </c>
      <c r="F1882" s="2">
        <f>IF(C1882="GBP",E1882*$C$3,IF(C1882="TRY",E1882/$C$1,IF(C1882="EUR",E1882*$E$1,IF(C1882="RUB",E1882/#REF!,IF(C1882="EGP",E1882/$E$2,E1882)))))</f>
        <v>40614052</v>
      </c>
      <c r="G1882" s="15" t="str">
        <f>VLOOKUP(B1882,SPECIFICATIONF!$C$2:$D$65,2,0)</f>
        <v>GLOBAL HFT</v>
      </c>
      <c r="H1882" s="12">
        <f t="shared" si="76"/>
        <v>10</v>
      </c>
      <c r="I1882" s="12">
        <f t="shared" si="77"/>
        <v>2025</v>
      </c>
    </row>
    <row r="1883" spans="1:9" ht="19.5" customHeight="1" x14ac:dyDescent="0.35">
      <c r="A1883" s="41">
        <v>45936</v>
      </c>
      <c r="B1883" s="8" t="s">
        <v>24</v>
      </c>
      <c r="C1883" s="42" t="s">
        <v>11</v>
      </c>
      <c r="D1883" s="43" t="s">
        <v>30</v>
      </c>
      <c r="E1883" s="46">
        <v>0</v>
      </c>
      <c r="F1883" s="2">
        <f>IF(C1883="GBP",E1883*$C$3,IF(C1883="TRY",E1883/$C$1,IF(C1883="EUR",E1883*$E$1,IF(C1883="RUB",E1883/#REF!,IF(C1883="EGP",E1883/$E$2,E1883)))))</f>
        <v>0</v>
      </c>
      <c r="G1883" s="15" t="str">
        <f>VLOOKUP(B1883,SPECIFICATIONF!$C$2:$D$65,2,0)</f>
        <v>GLOBAL RETAIL</v>
      </c>
      <c r="H1883" s="12">
        <f t="shared" si="76"/>
        <v>10</v>
      </c>
      <c r="I1883" s="12">
        <f t="shared" si="77"/>
        <v>2025</v>
      </c>
    </row>
    <row r="1884" spans="1:9" ht="19.5" customHeight="1" x14ac:dyDescent="0.35">
      <c r="A1884" s="41">
        <v>45936</v>
      </c>
      <c r="B1884" s="8" t="s">
        <v>24</v>
      </c>
      <c r="C1884" s="42" t="s">
        <v>33</v>
      </c>
      <c r="D1884" s="43" t="s">
        <v>30</v>
      </c>
      <c r="E1884" s="46">
        <v>0</v>
      </c>
      <c r="F1884" s="2">
        <f>IF(C1884="GBP",E1884*$C$3,IF(C1884="TRY",E1884/$C$1,IF(C1884="EUR",E1884*$E$1,IF(C1884="RUB",E1884/#REF!,IF(C1884="EGP",E1884/$E$2,E1884)))))</f>
        <v>0</v>
      </c>
      <c r="G1884" s="15" t="str">
        <f>VLOOKUP(B1884,SPECIFICATIONF!$C$2:$D$65,2,0)</f>
        <v>GLOBAL RETAIL</v>
      </c>
      <c r="H1884" s="12">
        <f t="shared" si="76"/>
        <v>10</v>
      </c>
      <c r="I1884" s="12">
        <f t="shared" si="77"/>
        <v>2025</v>
      </c>
    </row>
    <row r="1885" spans="1:9" ht="19.5" customHeight="1" x14ac:dyDescent="0.35">
      <c r="A1885" s="41">
        <v>45936</v>
      </c>
      <c r="B1885" s="8" t="s">
        <v>24</v>
      </c>
      <c r="C1885" s="42" t="s">
        <v>11</v>
      </c>
      <c r="D1885" s="43" t="s">
        <v>29</v>
      </c>
      <c r="E1885" s="46">
        <v>845747</v>
      </c>
      <c r="F1885" s="2">
        <f>IF(C1885="GBP",E1885*$C$3,IF(C1885="TRY",E1885/$C$1,IF(C1885="EUR",E1885*$E$1,IF(C1885="RUB",E1885/#REF!,IF(C1885="EGP",E1885/$E$2,E1885)))))</f>
        <v>23192.182499746345</v>
      </c>
      <c r="G1885" s="15" t="str">
        <f>VLOOKUP(B1885,SPECIFICATIONF!$C$2:$D$65,2,0)</f>
        <v>GLOBAL RETAIL</v>
      </c>
      <c r="H1885" s="12">
        <f t="shared" si="76"/>
        <v>10</v>
      </c>
      <c r="I1885" s="12">
        <f t="shared" si="77"/>
        <v>2025</v>
      </c>
    </row>
    <row r="1886" spans="1:9" ht="19.5" customHeight="1" x14ac:dyDescent="0.35">
      <c r="A1886" s="41">
        <v>45936</v>
      </c>
      <c r="B1886" s="8" t="s">
        <v>24</v>
      </c>
      <c r="C1886" s="42" t="s">
        <v>33</v>
      </c>
      <c r="D1886" s="43" t="s">
        <v>29</v>
      </c>
      <c r="E1886" s="46">
        <v>123</v>
      </c>
      <c r="F1886" s="2">
        <f>IF(C1886="GBP",E1886*$C$3,IF(C1886="TRY",E1886/$C$1,IF(C1886="EUR",E1886*$E$1,IF(C1886="RUB",E1886/#REF!,IF(C1886="EGP",E1886/$E$2,E1886)))))</f>
        <v>123</v>
      </c>
      <c r="G1886" s="15" t="str">
        <f>VLOOKUP(B1886,SPECIFICATIONF!$C$2:$D$65,2,0)</f>
        <v>GLOBAL RETAIL</v>
      </c>
      <c r="H1886" s="12">
        <f t="shared" si="76"/>
        <v>10</v>
      </c>
      <c r="I1886" s="12">
        <f t="shared" si="77"/>
        <v>2025</v>
      </c>
    </row>
    <row r="1887" spans="1:9" ht="19.5" customHeight="1" x14ac:dyDescent="0.35">
      <c r="A1887" s="41">
        <v>45937</v>
      </c>
      <c r="B1887" s="8" t="s">
        <v>32</v>
      </c>
      <c r="C1887" s="42" t="s">
        <v>11</v>
      </c>
      <c r="D1887" s="43" t="s">
        <v>30</v>
      </c>
      <c r="E1887" s="46">
        <v>1838875.26</v>
      </c>
      <c r="F1887" s="2">
        <f>IF(C1887="GBP",E1887*$C$3,IF(C1887="TRY",E1887/$C$1,IF(C1887="EUR",E1887*$E$1,IF(C1887="RUB",E1887/#REF!,IF(C1887="EGP",E1887/$E$2,E1887)))))</f>
        <v>50425.872777779296</v>
      </c>
      <c r="G1887" s="15" t="str">
        <f>VLOOKUP(B1887,SPECIFICATIONF!$C$2:$D$65,2,0)</f>
        <v>GLOBAL HFT</v>
      </c>
      <c r="H1887" s="12">
        <f t="shared" ref="H1887:H1894" si="78">MONTH(A1887)</f>
        <v>10</v>
      </c>
      <c r="I1887" s="12">
        <f t="shared" ref="I1887:I1894" si="79">YEAR(A1887)</f>
        <v>2025</v>
      </c>
    </row>
    <row r="1888" spans="1:9" ht="19.5" customHeight="1" x14ac:dyDescent="0.35">
      <c r="A1888" s="41">
        <v>45937</v>
      </c>
      <c r="B1888" s="8" t="s">
        <v>32</v>
      </c>
      <c r="C1888" s="42" t="s">
        <v>33</v>
      </c>
      <c r="D1888" s="43" t="s">
        <v>30</v>
      </c>
      <c r="E1888" s="46">
        <v>13139.4</v>
      </c>
      <c r="F1888" s="2">
        <f>IF(C1888="GBP",E1888*$C$3,IF(C1888="TRY",E1888/$C$1,IF(C1888="EUR",E1888*$E$1,IF(C1888="RUB",E1888/#REF!,IF(C1888="EGP",E1888/$E$2,E1888)))))</f>
        <v>13139.4</v>
      </c>
      <c r="G1888" s="15" t="str">
        <f>VLOOKUP(B1888,SPECIFICATIONF!$C$2:$D$65,2,0)</f>
        <v>GLOBAL HFT</v>
      </c>
      <c r="H1888" s="12">
        <f t="shared" si="78"/>
        <v>10</v>
      </c>
      <c r="I1888" s="12">
        <f t="shared" si="79"/>
        <v>2025</v>
      </c>
    </row>
    <row r="1889" spans="1:9" ht="19.5" customHeight="1" x14ac:dyDescent="0.35">
      <c r="A1889" s="41">
        <v>45937</v>
      </c>
      <c r="B1889" s="8" t="s">
        <v>32</v>
      </c>
      <c r="C1889" s="42" t="s">
        <v>11</v>
      </c>
      <c r="D1889" s="43" t="s">
        <v>29</v>
      </c>
      <c r="E1889" s="46">
        <v>7103846368</v>
      </c>
      <c r="F1889" s="2">
        <f>IF(C1889="GBP",E1889*$C$3,IF(C1889="TRY",E1889/$C$1,IF(C1889="EUR",E1889*$E$1,IF(C1889="RUB",E1889/#REF!,IF(C1889="EGP",E1889/$E$2,E1889)))))</f>
        <v>194802584.48072085</v>
      </c>
      <c r="G1889" s="15" t="str">
        <f>VLOOKUP(B1889,SPECIFICATIONF!$C$2:$D$65,2,0)</f>
        <v>GLOBAL HFT</v>
      </c>
      <c r="H1889" s="12">
        <f t="shared" si="78"/>
        <v>10</v>
      </c>
      <c r="I1889" s="12">
        <f t="shared" si="79"/>
        <v>2025</v>
      </c>
    </row>
    <row r="1890" spans="1:9" ht="19.5" customHeight="1" x14ac:dyDescent="0.35">
      <c r="A1890" s="41">
        <v>45937</v>
      </c>
      <c r="B1890" s="8" t="s">
        <v>32</v>
      </c>
      <c r="C1890" s="42" t="s">
        <v>33</v>
      </c>
      <c r="D1890" s="43" t="s">
        <v>29</v>
      </c>
      <c r="E1890" s="46">
        <v>45436007</v>
      </c>
      <c r="F1890" s="2">
        <f>IF(C1890="GBP",E1890*$C$3,IF(C1890="TRY",E1890/$C$1,IF(C1890="EUR",E1890*$E$1,IF(C1890="RUB",E1890/#REF!,IF(C1890="EGP",E1890/$E$2,E1890)))))</f>
        <v>45436007</v>
      </c>
      <c r="G1890" s="15" t="str">
        <f>VLOOKUP(B1890,SPECIFICATIONF!$C$2:$D$65,2,0)</f>
        <v>GLOBAL HFT</v>
      </c>
      <c r="H1890" s="12">
        <f t="shared" si="78"/>
        <v>10</v>
      </c>
      <c r="I1890" s="12">
        <f t="shared" si="79"/>
        <v>2025</v>
      </c>
    </row>
    <row r="1891" spans="1:9" ht="19.5" customHeight="1" x14ac:dyDescent="0.35">
      <c r="A1891" s="41">
        <v>45937</v>
      </c>
      <c r="B1891" s="8" t="s">
        <v>24</v>
      </c>
      <c r="C1891" s="42" t="s">
        <v>11</v>
      </c>
      <c r="D1891" s="43" t="s">
        <v>30</v>
      </c>
      <c r="E1891" s="46">
        <v>0</v>
      </c>
      <c r="F1891" s="2">
        <f>IF(C1891="GBP",E1891*$C$3,IF(C1891="TRY",E1891/$C$1,IF(C1891="EUR",E1891*$E$1,IF(C1891="RUB",E1891/#REF!,IF(C1891="EGP",E1891/$E$2,E1891)))))</f>
        <v>0</v>
      </c>
      <c r="G1891" s="15" t="str">
        <f>VLOOKUP(B1891,SPECIFICATIONF!$C$2:$D$65,2,0)</f>
        <v>GLOBAL RETAIL</v>
      </c>
      <c r="H1891" s="12">
        <f t="shared" si="78"/>
        <v>10</v>
      </c>
      <c r="I1891" s="12">
        <f t="shared" si="79"/>
        <v>2025</v>
      </c>
    </row>
    <row r="1892" spans="1:9" ht="19.5" customHeight="1" x14ac:dyDescent="0.35">
      <c r="A1892" s="41">
        <v>45937</v>
      </c>
      <c r="B1892" s="8" t="s">
        <v>24</v>
      </c>
      <c r="C1892" s="42" t="s">
        <v>33</v>
      </c>
      <c r="D1892" s="43" t="s">
        <v>30</v>
      </c>
      <c r="E1892" s="46">
        <v>0</v>
      </c>
      <c r="F1892" s="2">
        <f>IF(C1892="GBP",E1892*$C$3,IF(C1892="TRY",E1892/$C$1,IF(C1892="EUR",E1892*$E$1,IF(C1892="RUB",E1892/#REF!,IF(C1892="EGP",E1892/$E$2,E1892)))))</f>
        <v>0</v>
      </c>
      <c r="G1892" s="15" t="str">
        <f>VLOOKUP(B1892,SPECIFICATIONF!$C$2:$D$65,2,0)</f>
        <v>GLOBAL RETAIL</v>
      </c>
      <c r="H1892" s="12">
        <f t="shared" si="78"/>
        <v>10</v>
      </c>
      <c r="I1892" s="12">
        <f t="shared" si="79"/>
        <v>2025</v>
      </c>
    </row>
    <row r="1893" spans="1:9" ht="19.5" customHeight="1" x14ac:dyDescent="0.35">
      <c r="A1893" s="41">
        <v>45937</v>
      </c>
      <c r="B1893" s="8" t="s">
        <v>24</v>
      </c>
      <c r="C1893" s="42" t="s">
        <v>11</v>
      </c>
      <c r="D1893" s="43" t="s">
        <v>29</v>
      </c>
      <c r="E1893" s="46">
        <v>1696879</v>
      </c>
      <c r="F1893" s="2">
        <f>IF(C1893="GBP",E1893*$C$3,IF(C1893="TRY",E1893/$C$1,IF(C1893="EUR",E1893*$E$1,IF(C1893="RUB",E1893/#REF!,IF(C1893="EGP",E1893/$E$2,E1893)))))</f>
        <v>46532.033158837192</v>
      </c>
      <c r="G1893" s="15" t="str">
        <f>VLOOKUP(B1893,SPECIFICATIONF!$C$2:$D$65,2,0)</f>
        <v>GLOBAL RETAIL</v>
      </c>
      <c r="H1893" s="12">
        <f t="shared" si="78"/>
        <v>10</v>
      </c>
      <c r="I1893" s="12">
        <f t="shared" si="79"/>
        <v>2025</v>
      </c>
    </row>
    <row r="1894" spans="1:9" ht="19.5" customHeight="1" x14ac:dyDescent="0.35">
      <c r="A1894" s="41">
        <v>45937</v>
      </c>
      <c r="B1894" s="8" t="s">
        <v>24</v>
      </c>
      <c r="C1894" s="42" t="s">
        <v>33</v>
      </c>
      <c r="D1894" s="43" t="s">
        <v>29</v>
      </c>
      <c r="E1894" s="46">
        <v>74</v>
      </c>
      <c r="F1894" s="2">
        <f>IF(C1894="GBP",E1894*$C$3,IF(C1894="TRY",E1894/$C$1,IF(C1894="EUR",E1894*$E$1,IF(C1894="RUB",E1894/#REF!,IF(C1894="EGP",E1894/$E$2,E1894)))))</f>
        <v>74</v>
      </c>
      <c r="G1894" s="15" t="str">
        <f>VLOOKUP(B1894,SPECIFICATIONF!$C$2:$D$65,2,0)</f>
        <v>GLOBAL RETAIL</v>
      </c>
      <c r="H1894" s="12">
        <f t="shared" si="78"/>
        <v>10</v>
      </c>
      <c r="I1894" s="12">
        <f t="shared" si="79"/>
        <v>2025</v>
      </c>
    </row>
    <row r="1895" spans="1:9" ht="19.5" customHeight="1" x14ac:dyDescent="0.35">
      <c r="A1895" s="41">
        <v>45938</v>
      </c>
      <c r="B1895" s="8" t="s">
        <v>32</v>
      </c>
      <c r="C1895" s="42" t="s">
        <v>11</v>
      </c>
      <c r="D1895" s="43" t="s">
        <v>30</v>
      </c>
      <c r="E1895" s="46">
        <v>1310272.8799999999</v>
      </c>
      <c r="F1895" s="2">
        <f>IF(C1895="GBP",E1895*$C$3,IF(C1895="TRY",E1895/$C$1,IF(C1895="EUR",E1895*$E$1,IF(C1895="RUB",E1895/#REF!,IF(C1895="EGP",E1895/$E$2,E1895)))))</f>
        <v>35930.470645983063</v>
      </c>
      <c r="G1895" s="15" t="str">
        <f>VLOOKUP(B1895,SPECIFICATIONF!$C$2:$D$65,2,0)</f>
        <v>GLOBAL HFT</v>
      </c>
      <c r="H1895" s="12">
        <f t="shared" ref="H1895:H1902" si="80">MONTH(A1895)</f>
        <v>10</v>
      </c>
      <c r="I1895" s="12">
        <f t="shared" ref="I1895:I1902" si="81">YEAR(A1895)</f>
        <v>2025</v>
      </c>
    </row>
    <row r="1896" spans="1:9" ht="19.5" customHeight="1" x14ac:dyDescent="0.35">
      <c r="A1896" s="41">
        <v>45938</v>
      </c>
      <c r="B1896" s="8" t="s">
        <v>32</v>
      </c>
      <c r="C1896" s="42" t="s">
        <v>33</v>
      </c>
      <c r="D1896" s="43" t="s">
        <v>30</v>
      </c>
      <c r="E1896" s="46">
        <v>8801.14</v>
      </c>
      <c r="F1896" s="2">
        <f>IF(C1896="GBP",E1896*$C$3,IF(C1896="TRY",E1896/$C$1,IF(C1896="EUR",E1896*$E$1,IF(C1896="RUB",E1896/#REF!,IF(C1896="EGP",E1896/$E$2,E1896)))))</f>
        <v>8801.14</v>
      </c>
      <c r="G1896" s="15" t="str">
        <f>VLOOKUP(B1896,SPECIFICATIONF!$C$2:$D$65,2,0)</f>
        <v>GLOBAL HFT</v>
      </c>
      <c r="H1896" s="12">
        <f t="shared" si="80"/>
        <v>10</v>
      </c>
      <c r="I1896" s="12">
        <f t="shared" si="81"/>
        <v>2025</v>
      </c>
    </row>
    <row r="1897" spans="1:9" ht="19.5" customHeight="1" x14ac:dyDescent="0.35">
      <c r="A1897" s="41">
        <v>45938</v>
      </c>
      <c r="B1897" s="8" t="s">
        <v>32</v>
      </c>
      <c r="C1897" s="42" t="s">
        <v>11</v>
      </c>
      <c r="D1897" s="43" t="s">
        <v>29</v>
      </c>
      <c r="E1897" s="46">
        <v>5382362198</v>
      </c>
      <c r="F1897" s="2">
        <f>IF(C1897="GBP",E1897*$C$3,IF(C1897="TRY",E1897/$C$1,IF(C1897="EUR",E1897*$E$1,IF(C1897="RUB",E1897/#REF!,IF(C1897="EGP",E1897/$E$2,E1897)))))</f>
        <v>147595825.20038718</v>
      </c>
      <c r="G1897" s="15" t="str">
        <f>VLOOKUP(B1897,SPECIFICATIONF!$C$2:$D$65,2,0)</f>
        <v>GLOBAL HFT</v>
      </c>
      <c r="H1897" s="12">
        <f t="shared" si="80"/>
        <v>10</v>
      </c>
      <c r="I1897" s="12">
        <f t="shared" si="81"/>
        <v>2025</v>
      </c>
    </row>
    <row r="1898" spans="1:9" ht="19.5" customHeight="1" x14ac:dyDescent="0.35">
      <c r="A1898" s="41">
        <v>45938</v>
      </c>
      <c r="B1898" s="8" t="s">
        <v>32</v>
      </c>
      <c r="C1898" s="42" t="s">
        <v>33</v>
      </c>
      <c r="D1898" s="43" t="s">
        <v>29</v>
      </c>
      <c r="E1898" s="46">
        <v>30846514</v>
      </c>
      <c r="F1898" s="2">
        <f>IF(C1898="GBP",E1898*$C$3,IF(C1898="TRY",E1898/$C$1,IF(C1898="EUR",E1898*$E$1,IF(C1898="RUB",E1898/#REF!,IF(C1898="EGP",E1898/$E$2,E1898)))))</f>
        <v>30846514</v>
      </c>
      <c r="G1898" s="15" t="str">
        <f>VLOOKUP(B1898,SPECIFICATIONF!$C$2:$D$65,2,0)</f>
        <v>GLOBAL HFT</v>
      </c>
      <c r="H1898" s="12">
        <f t="shared" si="80"/>
        <v>10</v>
      </c>
      <c r="I1898" s="12">
        <f t="shared" si="81"/>
        <v>2025</v>
      </c>
    </row>
    <row r="1899" spans="1:9" ht="19.5" customHeight="1" x14ac:dyDescent="0.35">
      <c r="A1899" s="41">
        <v>45938</v>
      </c>
      <c r="B1899" s="8" t="s">
        <v>24</v>
      </c>
      <c r="C1899" s="42" t="s">
        <v>11</v>
      </c>
      <c r="D1899" s="43" t="s">
        <v>30</v>
      </c>
      <c r="E1899" s="46">
        <v>0</v>
      </c>
      <c r="F1899" s="2">
        <f>IF(C1899="GBP",E1899*$C$3,IF(C1899="TRY",E1899/$C$1,IF(C1899="EUR",E1899*$E$1,IF(C1899="RUB",E1899/#REF!,IF(C1899="EGP",E1899/$E$2,E1899)))))</f>
        <v>0</v>
      </c>
      <c r="G1899" s="15" t="str">
        <f>VLOOKUP(B1899,SPECIFICATIONF!$C$2:$D$65,2,0)</f>
        <v>GLOBAL RETAIL</v>
      </c>
      <c r="H1899" s="12">
        <f t="shared" si="80"/>
        <v>10</v>
      </c>
      <c r="I1899" s="12">
        <f t="shared" si="81"/>
        <v>2025</v>
      </c>
    </row>
    <row r="1900" spans="1:9" ht="19.5" customHeight="1" x14ac:dyDescent="0.35">
      <c r="A1900" s="41">
        <v>45938</v>
      </c>
      <c r="B1900" s="8" t="s">
        <v>24</v>
      </c>
      <c r="C1900" s="42" t="s">
        <v>33</v>
      </c>
      <c r="D1900" s="43" t="s">
        <v>30</v>
      </c>
      <c r="E1900" s="46">
        <v>0</v>
      </c>
      <c r="F1900" s="2">
        <f>IF(C1900="GBP",E1900*$C$3,IF(C1900="TRY",E1900/$C$1,IF(C1900="EUR",E1900*$E$1,IF(C1900="RUB",E1900/#REF!,IF(C1900="EGP",E1900/$E$2,E1900)))))</f>
        <v>0</v>
      </c>
      <c r="G1900" s="15" t="str">
        <f>VLOOKUP(B1900,SPECIFICATIONF!$C$2:$D$65,2,0)</f>
        <v>GLOBAL RETAIL</v>
      </c>
      <c r="H1900" s="12">
        <f t="shared" si="80"/>
        <v>10</v>
      </c>
      <c r="I1900" s="12">
        <f t="shared" si="81"/>
        <v>2025</v>
      </c>
    </row>
    <row r="1901" spans="1:9" ht="19.5" customHeight="1" x14ac:dyDescent="0.35">
      <c r="A1901" s="41">
        <v>45938</v>
      </c>
      <c r="B1901" s="8" t="s">
        <v>24</v>
      </c>
      <c r="C1901" s="42" t="s">
        <v>11</v>
      </c>
      <c r="D1901" s="43" t="s">
        <v>29</v>
      </c>
      <c r="E1901" s="46">
        <v>0</v>
      </c>
      <c r="F1901" s="2">
        <f>IF(C1901="GBP",E1901*$C$3,IF(C1901="TRY",E1901/$C$1,IF(C1901="EUR",E1901*$E$1,IF(C1901="RUB",E1901/#REF!,IF(C1901="EGP",E1901/$E$2,E1901)))))</f>
        <v>0</v>
      </c>
      <c r="G1901" s="15" t="str">
        <f>VLOOKUP(B1901,SPECIFICATIONF!$C$2:$D$65,2,0)</f>
        <v>GLOBAL RETAIL</v>
      </c>
      <c r="H1901" s="12">
        <f t="shared" si="80"/>
        <v>10</v>
      </c>
      <c r="I1901" s="12">
        <f t="shared" si="81"/>
        <v>2025</v>
      </c>
    </row>
    <row r="1902" spans="1:9" ht="19.5" customHeight="1" x14ac:dyDescent="0.35">
      <c r="A1902" s="41">
        <v>45938</v>
      </c>
      <c r="B1902" s="8" t="s">
        <v>24</v>
      </c>
      <c r="C1902" s="42" t="s">
        <v>33</v>
      </c>
      <c r="D1902" s="43" t="s">
        <v>29</v>
      </c>
      <c r="E1902" s="46">
        <v>135</v>
      </c>
      <c r="F1902" s="2">
        <f>IF(C1902="GBP",E1902*$C$3,IF(C1902="TRY",E1902/$C$1,IF(C1902="EUR",E1902*$E$1,IF(C1902="RUB",E1902/#REF!,IF(C1902="EGP",E1902/$E$2,E1902)))))</f>
        <v>135</v>
      </c>
      <c r="G1902" s="15" t="str">
        <f>VLOOKUP(B1902,SPECIFICATIONF!$C$2:$D$65,2,0)</f>
        <v>GLOBAL RETAIL</v>
      </c>
      <c r="H1902" s="12">
        <f t="shared" si="80"/>
        <v>10</v>
      </c>
      <c r="I1902" s="12">
        <f t="shared" si="81"/>
        <v>2025</v>
      </c>
    </row>
    <row r="1903" spans="1:9" ht="19.5" customHeight="1" x14ac:dyDescent="0.35">
      <c r="A1903" s="41">
        <v>45939</v>
      </c>
      <c r="B1903" s="8" t="s">
        <v>32</v>
      </c>
      <c r="C1903" s="42" t="s">
        <v>11</v>
      </c>
      <c r="D1903" s="43" t="s">
        <v>30</v>
      </c>
      <c r="E1903" s="46">
        <v>1160018.6000000001</v>
      </c>
      <c r="F1903" s="2">
        <f>IF(C1903="GBP",E1903*$C$3,IF(C1903="TRY",E1903/$C$1,IF(C1903="EUR",E1903*$E$1,IF(C1903="RUB",E1903/#REF!,IF(C1903="EGP",E1903/$E$2,E1903)))))</f>
        <v>31810.178545475486</v>
      </c>
      <c r="G1903" s="15" t="str">
        <f>VLOOKUP(B1903,SPECIFICATIONF!$C$2:$D$65,2,0)</f>
        <v>GLOBAL HFT</v>
      </c>
      <c r="H1903" s="12">
        <f t="shared" ref="H1903:H1910" si="82">MONTH(A1903)</f>
        <v>10</v>
      </c>
      <c r="I1903" s="12">
        <f t="shared" ref="I1903:I1910" si="83">YEAR(A1903)</f>
        <v>2025</v>
      </c>
    </row>
    <row r="1904" spans="1:9" ht="19.5" customHeight="1" x14ac:dyDescent="0.35">
      <c r="A1904" s="41">
        <v>45939</v>
      </c>
      <c r="B1904" s="8" t="s">
        <v>32</v>
      </c>
      <c r="C1904" s="42" t="s">
        <v>33</v>
      </c>
      <c r="D1904" s="43" t="s">
        <v>30</v>
      </c>
      <c r="E1904" s="46">
        <v>9014.6</v>
      </c>
      <c r="F1904" s="2">
        <f>IF(C1904="GBP",E1904*$C$3,IF(C1904="TRY",E1904/$C$1,IF(C1904="EUR",E1904*$E$1,IF(C1904="RUB",E1904/#REF!,IF(C1904="EGP",E1904/$E$2,E1904)))))</f>
        <v>9014.6</v>
      </c>
      <c r="G1904" s="15" t="str">
        <f>VLOOKUP(B1904,SPECIFICATIONF!$C$2:$D$65,2,0)</f>
        <v>GLOBAL HFT</v>
      </c>
      <c r="H1904" s="12">
        <f t="shared" si="82"/>
        <v>10</v>
      </c>
      <c r="I1904" s="12">
        <f t="shared" si="83"/>
        <v>2025</v>
      </c>
    </row>
    <row r="1905" spans="1:9" ht="19.5" customHeight="1" x14ac:dyDescent="0.35">
      <c r="A1905" s="41">
        <v>45939</v>
      </c>
      <c r="B1905" s="8" t="s">
        <v>32</v>
      </c>
      <c r="C1905" s="42" t="s">
        <v>11</v>
      </c>
      <c r="D1905" s="43" t="s">
        <v>29</v>
      </c>
      <c r="E1905" s="46">
        <v>4813117585</v>
      </c>
      <c r="F1905" s="2">
        <f>IF(C1905="GBP",E1905*$C$3,IF(C1905="TRY",E1905/$C$1,IF(C1905="EUR",E1905*$E$1,IF(C1905="RUB",E1905/#REF!,IF(C1905="EGP",E1905/$E$2,E1905)))))</f>
        <v>131985926.55257232</v>
      </c>
      <c r="G1905" s="15" t="str">
        <f>VLOOKUP(B1905,SPECIFICATIONF!$C$2:$D$65,2,0)</f>
        <v>GLOBAL HFT</v>
      </c>
      <c r="H1905" s="12">
        <f t="shared" si="82"/>
        <v>10</v>
      </c>
      <c r="I1905" s="12">
        <f t="shared" si="83"/>
        <v>2025</v>
      </c>
    </row>
    <row r="1906" spans="1:9" ht="19.5" customHeight="1" x14ac:dyDescent="0.35">
      <c r="A1906" s="41">
        <v>45939</v>
      </c>
      <c r="B1906" s="8" t="s">
        <v>32</v>
      </c>
      <c r="C1906" s="42" t="s">
        <v>33</v>
      </c>
      <c r="D1906" s="43" t="s">
        <v>29</v>
      </c>
      <c r="E1906" s="46">
        <v>30660523</v>
      </c>
      <c r="F1906" s="2">
        <f>IF(C1906="GBP",E1906*$C$3,IF(C1906="TRY",E1906/$C$1,IF(C1906="EUR",E1906*$E$1,IF(C1906="RUB",E1906/#REF!,IF(C1906="EGP",E1906/$E$2,E1906)))))</f>
        <v>30660523</v>
      </c>
      <c r="G1906" s="15" t="str">
        <f>VLOOKUP(B1906,SPECIFICATIONF!$C$2:$D$65,2,0)</f>
        <v>GLOBAL HFT</v>
      </c>
      <c r="H1906" s="12">
        <f t="shared" si="82"/>
        <v>10</v>
      </c>
      <c r="I1906" s="12">
        <f t="shared" si="83"/>
        <v>2025</v>
      </c>
    </row>
    <row r="1907" spans="1:9" ht="19.5" customHeight="1" x14ac:dyDescent="0.35">
      <c r="A1907" s="41">
        <v>45939</v>
      </c>
      <c r="B1907" s="8" t="s">
        <v>24</v>
      </c>
      <c r="C1907" s="42" t="s">
        <v>11</v>
      </c>
      <c r="D1907" s="43" t="s">
        <v>30</v>
      </c>
      <c r="E1907" s="46">
        <v>0</v>
      </c>
      <c r="F1907" s="2">
        <f>IF(C1907="GBP",E1907*$C$3,IF(C1907="TRY",E1907/$C$1,IF(C1907="EUR",E1907*$E$1,IF(C1907="RUB",E1907/#REF!,IF(C1907="EGP",E1907/$E$2,E1907)))))</f>
        <v>0</v>
      </c>
      <c r="G1907" s="15" t="str">
        <f>VLOOKUP(B1907,SPECIFICATIONF!$C$2:$D$65,2,0)</f>
        <v>GLOBAL RETAIL</v>
      </c>
      <c r="H1907" s="12">
        <f t="shared" si="82"/>
        <v>10</v>
      </c>
      <c r="I1907" s="12">
        <f t="shared" si="83"/>
        <v>2025</v>
      </c>
    </row>
    <row r="1908" spans="1:9" ht="19.5" customHeight="1" x14ac:dyDescent="0.35">
      <c r="A1908" s="41">
        <v>45939</v>
      </c>
      <c r="B1908" s="8" t="s">
        <v>24</v>
      </c>
      <c r="C1908" s="42" t="s">
        <v>33</v>
      </c>
      <c r="D1908" s="43" t="s">
        <v>30</v>
      </c>
      <c r="E1908" s="46">
        <v>0</v>
      </c>
      <c r="F1908" s="2">
        <f>IF(C1908="GBP",E1908*$C$3,IF(C1908="TRY",E1908/$C$1,IF(C1908="EUR",E1908*$E$1,IF(C1908="RUB",E1908/#REF!,IF(C1908="EGP",E1908/$E$2,E1908)))))</f>
        <v>0</v>
      </c>
      <c r="G1908" s="15" t="str">
        <f>VLOOKUP(B1908,SPECIFICATIONF!$C$2:$D$65,2,0)</f>
        <v>GLOBAL RETAIL</v>
      </c>
      <c r="H1908" s="12">
        <f t="shared" si="82"/>
        <v>10</v>
      </c>
      <c r="I1908" s="12">
        <f t="shared" si="83"/>
        <v>2025</v>
      </c>
    </row>
    <row r="1909" spans="1:9" ht="19.5" customHeight="1" x14ac:dyDescent="0.35">
      <c r="A1909" s="41">
        <v>45939</v>
      </c>
      <c r="B1909" s="8" t="s">
        <v>24</v>
      </c>
      <c r="C1909" s="42" t="s">
        <v>11</v>
      </c>
      <c r="D1909" s="43" t="s">
        <v>29</v>
      </c>
      <c r="E1909" s="46">
        <v>0</v>
      </c>
      <c r="F1909" s="2">
        <f>IF(C1909="GBP",E1909*$C$3,IF(C1909="TRY",E1909/$C$1,IF(C1909="EUR",E1909*$E$1,IF(C1909="RUB",E1909/#REF!,IF(C1909="EGP",E1909/$E$2,E1909)))))</f>
        <v>0</v>
      </c>
      <c r="G1909" s="15" t="str">
        <f>VLOOKUP(B1909,SPECIFICATIONF!$C$2:$D$65,2,0)</f>
        <v>GLOBAL RETAIL</v>
      </c>
      <c r="H1909" s="12">
        <f t="shared" si="82"/>
        <v>10</v>
      </c>
      <c r="I1909" s="12">
        <f t="shared" si="83"/>
        <v>2025</v>
      </c>
    </row>
    <row r="1910" spans="1:9" ht="19.5" customHeight="1" x14ac:dyDescent="0.35">
      <c r="A1910" s="41">
        <v>45939</v>
      </c>
      <c r="B1910" s="8" t="s">
        <v>24</v>
      </c>
      <c r="C1910" s="42" t="s">
        <v>33</v>
      </c>
      <c r="D1910" s="43" t="s">
        <v>29</v>
      </c>
      <c r="E1910" s="46">
        <v>0</v>
      </c>
      <c r="F1910" s="2">
        <f>IF(C1910="GBP",E1910*$C$3,IF(C1910="TRY",E1910/$C$1,IF(C1910="EUR",E1910*$E$1,IF(C1910="RUB",E1910/#REF!,IF(C1910="EGP",E1910/$E$2,E1910)))))</f>
        <v>0</v>
      </c>
      <c r="G1910" s="15" t="str">
        <f>VLOOKUP(B1910,SPECIFICATIONF!$C$2:$D$65,2,0)</f>
        <v>GLOBAL RETAIL</v>
      </c>
      <c r="H1910" s="12">
        <f t="shared" si="82"/>
        <v>10</v>
      </c>
      <c r="I1910" s="12">
        <f t="shared" si="83"/>
        <v>2025</v>
      </c>
    </row>
    <row r="1911" spans="1:9" ht="19.5" customHeight="1" x14ac:dyDescent="0.35">
      <c r="A1911" s="41">
        <v>45940</v>
      </c>
      <c r="B1911" s="8" t="s">
        <v>32</v>
      </c>
      <c r="C1911" s="42" t="s">
        <v>11</v>
      </c>
      <c r="D1911" s="43" t="s">
        <v>30</v>
      </c>
      <c r="E1911" s="46">
        <v>2058024.23</v>
      </c>
      <c r="F1911" s="2">
        <f>IF(C1911="GBP",E1911*$C$3,IF(C1911="TRY",E1911/$C$1,IF(C1911="EUR",E1911*$E$1,IF(C1911="RUB",E1911/#REF!,IF(C1911="EGP",E1911/$E$2,E1911)))))</f>
        <v>56435.403886812419</v>
      </c>
      <c r="G1911" s="15" t="str">
        <f>VLOOKUP(B1911,SPECIFICATIONF!$C$2:$D$65,2,0)</f>
        <v>GLOBAL HFT</v>
      </c>
      <c r="H1911" s="12">
        <f t="shared" ref="H1911:H1918" si="84">MONTH(A1911)</f>
        <v>10</v>
      </c>
      <c r="I1911" s="12">
        <f t="shared" ref="I1911:I1918" si="85">YEAR(A1911)</f>
        <v>2025</v>
      </c>
    </row>
    <row r="1912" spans="1:9" ht="19.5" customHeight="1" x14ac:dyDescent="0.35">
      <c r="A1912" s="41">
        <v>45940</v>
      </c>
      <c r="B1912" s="8" t="s">
        <v>32</v>
      </c>
      <c r="C1912" s="42" t="s">
        <v>33</v>
      </c>
      <c r="D1912" s="43" t="s">
        <v>30</v>
      </c>
      <c r="E1912" s="46">
        <v>16324.81</v>
      </c>
      <c r="F1912" s="2">
        <f>IF(C1912="GBP",E1912*$C$3,IF(C1912="TRY",E1912/$C$1,IF(C1912="EUR",E1912*$E$1,IF(C1912="RUB",E1912/#REF!,IF(C1912="EGP",E1912/$E$2,E1912)))))</f>
        <v>16324.81</v>
      </c>
      <c r="G1912" s="15" t="str">
        <f>VLOOKUP(B1912,SPECIFICATIONF!$C$2:$D$65,2,0)</f>
        <v>GLOBAL HFT</v>
      </c>
      <c r="H1912" s="12">
        <f t="shared" si="84"/>
        <v>10</v>
      </c>
      <c r="I1912" s="12">
        <f t="shared" si="85"/>
        <v>2025</v>
      </c>
    </row>
    <row r="1913" spans="1:9" ht="19.5" customHeight="1" x14ac:dyDescent="0.35">
      <c r="A1913" s="41">
        <v>45940</v>
      </c>
      <c r="B1913" s="8" t="s">
        <v>32</v>
      </c>
      <c r="C1913" s="42" t="s">
        <v>11</v>
      </c>
      <c r="D1913" s="43" t="s">
        <v>29</v>
      </c>
      <c r="E1913" s="46">
        <v>7657782914</v>
      </c>
      <c r="F1913" s="2">
        <f>IF(C1913="GBP",E1913*$C$3,IF(C1913="TRY",E1913/$C$1,IF(C1913="EUR",E1913*$E$1,IF(C1913="RUB",E1913/#REF!,IF(C1913="EGP",E1913/$E$2,E1913)))))</f>
        <v>209992703.35564578</v>
      </c>
      <c r="G1913" s="15" t="str">
        <f>VLOOKUP(B1913,SPECIFICATIONF!$C$2:$D$65,2,0)</f>
        <v>GLOBAL HFT</v>
      </c>
      <c r="H1913" s="12">
        <f t="shared" si="84"/>
        <v>10</v>
      </c>
      <c r="I1913" s="12">
        <f t="shared" si="85"/>
        <v>2025</v>
      </c>
    </row>
    <row r="1914" spans="1:9" ht="19.5" customHeight="1" x14ac:dyDescent="0.35">
      <c r="A1914" s="41">
        <v>45940</v>
      </c>
      <c r="B1914" s="8" t="s">
        <v>32</v>
      </c>
      <c r="C1914" s="42" t="s">
        <v>33</v>
      </c>
      <c r="D1914" s="43" t="s">
        <v>29</v>
      </c>
      <c r="E1914" s="46">
        <v>53461501</v>
      </c>
      <c r="F1914" s="2">
        <f>IF(C1914="GBP",E1914*$C$3,IF(C1914="TRY",E1914/$C$1,IF(C1914="EUR",E1914*$E$1,IF(C1914="RUB",E1914/#REF!,IF(C1914="EGP",E1914/$E$2,E1914)))))</f>
        <v>53461501</v>
      </c>
      <c r="G1914" s="15" t="str">
        <f>VLOOKUP(B1914,SPECIFICATIONF!$C$2:$D$65,2,0)</f>
        <v>GLOBAL HFT</v>
      </c>
      <c r="H1914" s="12">
        <f t="shared" si="84"/>
        <v>10</v>
      </c>
      <c r="I1914" s="12">
        <f t="shared" si="85"/>
        <v>2025</v>
      </c>
    </row>
    <row r="1915" spans="1:9" ht="19.5" customHeight="1" x14ac:dyDescent="0.35">
      <c r="A1915" s="41">
        <v>45940</v>
      </c>
      <c r="B1915" s="8" t="s">
        <v>24</v>
      </c>
      <c r="C1915" s="42" t="s">
        <v>11</v>
      </c>
      <c r="D1915" s="43" t="s">
        <v>30</v>
      </c>
      <c r="E1915" s="46">
        <v>0</v>
      </c>
      <c r="F1915" s="2">
        <f>IF(C1915="GBP",E1915*$C$3,IF(C1915="TRY",E1915/$C$1,IF(C1915="EUR",E1915*$E$1,IF(C1915="RUB",E1915/#REF!,IF(C1915="EGP",E1915/$E$2,E1915)))))</f>
        <v>0</v>
      </c>
      <c r="G1915" s="15" t="str">
        <f>VLOOKUP(B1915,SPECIFICATIONF!$C$2:$D$65,2,0)</f>
        <v>GLOBAL RETAIL</v>
      </c>
      <c r="H1915" s="12">
        <f t="shared" si="84"/>
        <v>10</v>
      </c>
      <c r="I1915" s="12">
        <f t="shared" si="85"/>
        <v>2025</v>
      </c>
    </row>
    <row r="1916" spans="1:9" ht="19.5" customHeight="1" x14ac:dyDescent="0.35">
      <c r="A1916" s="41">
        <v>45940</v>
      </c>
      <c r="B1916" s="8" t="s">
        <v>24</v>
      </c>
      <c r="C1916" s="42" t="s">
        <v>33</v>
      </c>
      <c r="D1916" s="43" t="s">
        <v>30</v>
      </c>
      <c r="E1916" s="46">
        <v>0</v>
      </c>
      <c r="F1916" s="2">
        <f>IF(C1916="GBP",E1916*$C$3,IF(C1916="TRY",E1916/$C$1,IF(C1916="EUR",E1916*$E$1,IF(C1916="RUB",E1916/#REF!,IF(C1916="EGP",E1916/$E$2,E1916)))))</f>
        <v>0</v>
      </c>
      <c r="G1916" s="15" t="str">
        <f>VLOOKUP(B1916,SPECIFICATIONF!$C$2:$D$65,2,0)</f>
        <v>GLOBAL RETAIL</v>
      </c>
      <c r="H1916" s="12">
        <f t="shared" si="84"/>
        <v>10</v>
      </c>
      <c r="I1916" s="12">
        <f t="shared" si="85"/>
        <v>2025</v>
      </c>
    </row>
    <row r="1917" spans="1:9" ht="19.5" customHeight="1" x14ac:dyDescent="0.35">
      <c r="A1917" s="41">
        <v>45940</v>
      </c>
      <c r="B1917" s="8" t="s">
        <v>24</v>
      </c>
      <c r="C1917" s="42" t="s">
        <v>11</v>
      </c>
      <c r="D1917" s="43" t="s">
        <v>29</v>
      </c>
      <c r="E1917" s="46">
        <v>2440176</v>
      </c>
      <c r="F1917" s="2">
        <f>IF(C1917="GBP",E1917*$C$3,IF(C1917="TRY",E1917/$C$1,IF(C1917="EUR",E1917*$E$1,IF(C1917="RUB",E1917/#REF!,IF(C1917="EGP",E1917/$E$2,E1917)))))</f>
        <v>66914.818643756385</v>
      </c>
      <c r="G1917" s="15" t="str">
        <f>VLOOKUP(B1917,SPECIFICATIONF!$C$2:$D$65,2,0)</f>
        <v>GLOBAL RETAIL</v>
      </c>
      <c r="H1917" s="12">
        <f t="shared" si="84"/>
        <v>10</v>
      </c>
      <c r="I1917" s="12">
        <f t="shared" si="85"/>
        <v>2025</v>
      </c>
    </row>
    <row r="1918" spans="1:9" ht="19.5" customHeight="1" x14ac:dyDescent="0.35">
      <c r="A1918" s="41">
        <v>45940</v>
      </c>
      <c r="B1918" s="8" t="s">
        <v>24</v>
      </c>
      <c r="C1918" s="42" t="s">
        <v>33</v>
      </c>
      <c r="D1918" s="43" t="s">
        <v>29</v>
      </c>
      <c r="E1918" s="46">
        <v>38295</v>
      </c>
      <c r="F1918" s="2">
        <f>IF(C1918="GBP",E1918*$C$3,IF(C1918="TRY",E1918/$C$1,IF(C1918="EUR",E1918*$E$1,IF(C1918="RUB",E1918/#REF!,IF(C1918="EGP",E1918/$E$2,E1918)))))</f>
        <v>38295</v>
      </c>
      <c r="G1918" s="15" t="str">
        <f>VLOOKUP(B1918,SPECIFICATIONF!$C$2:$D$65,2,0)</f>
        <v>GLOBAL RETAIL</v>
      </c>
      <c r="H1918" s="12">
        <f t="shared" si="84"/>
        <v>10</v>
      </c>
      <c r="I1918" s="12">
        <f t="shared" si="85"/>
        <v>2025</v>
      </c>
    </row>
    <row r="1919" spans="1:9" ht="19.5" customHeight="1" x14ac:dyDescent="0.35">
      <c r="A1919" s="41">
        <v>45941</v>
      </c>
      <c r="B1919" s="8" t="s">
        <v>32</v>
      </c>
      <c r="C1919" s="42" t="s">
        <v>11</v>
      </c>
      <c r="D1919" s="43" t="s">
        <v>30</v>
      </c>
      <c r="E1919" s="46">
        <v>5300129.1399999997</v>
      </c>
      <c r="F1919" s="2">
        <f>IF(C1919="GBP",E1919*$C$3,IF(C1919="TRY",E1919/$C$1,IF(C1919="EUR",E1919*$E$1,IF(C1919="RUB",E1919/#REF!,IF(C1919="EGP",E1919/$E$2,E1919)))))</f>
        <v>145340.81975709478</v>
      </c>
      <c r="G1919" s="15" t="str">
        <f>VLOOKUP(B1919,SPECIFICATIONF!$C$2:$D$65,2,0)</f>
        <v>GLOBAL HFT</v>
      </c>
      <c r="H1919" s="12">
        <f t="shared" ref="H1919:H1942" si="86">MONTH(A1919)</f>
        <v>10</v>
      </c>
      <c r="I1919" s="12">
        <f t="shared" ref="I1919:I1942" si="87">YEAR(A1919)</f>
        <v>2025</v>
      </c>
    </row>
    <row r="1920" spans="1:9" ht="19.5" customHeight="1" x14ac:dyDescent="0.35">
      <c r="A1920" s="41">
        <v>45941</v>
      </c>
      <c r="B1920" s="8" t="s">
        <v>32</v>
      </c>
      <c r="C1920" s="42" t="s">
        <v>33</v>
      </c>
      <c r="D1920" s="43" t="s">
        <v>30</v>
      </c>
      <c r="E1920" s="46">
        <v>30307.32</v>
      </c>
      <c r="F1920" s="2">
        <f>IF(C1920="GBP",E1920*$C$3,IF(C1920="TRY",E1920/$C$1,IF(C1920="EUR",E1920*$E$1,IF(C1920="RUB",E1920/#REF!,IF(C1920="EGP",E1920/$E$2,E1920)))))</f>
        <v>30307.32</v>
      </c>
      <c r="G1920" s="15" t="str">
        <f>VLOOKUP(B1920,SPECIFICATIONF!$C$2:$D$65,2,0)</f>
        <v>GLOBAL HFT</v>
      </c>
      <c r="H1920" s="12">
        <f t="shared" si="86"/>
        <v>10</v>
      </c>
      <c r="I1920" s="12">
        <f t="shared" si="87"/>
        <v>2025</v>
      </c>
    </row>
    <row r="1921" spans="1:9" ht="19.5" customHeight="1" x14ac:dyDescent="0.35">
      <c r="A1921" s="41">
        <v>45941</v>
      </c>
      <c r="B1921" s="8" t="s">
        <v>32</v>
      </c>
      <c r="C1921" s="42" t="s">
        <v>11</v>
      </c>
      <c r="D1921" s="43" t="s">
        <v>29</v>
      </c>
      <c r="E1921" s="46">
        <v>18699386167</v>
      </c>
      <c r="F1921" s="2">
        <f>IF(C1921="GBP",E1921*$C$3,IF(C1921="TRY",E1921/$C$1,IF(C1921="EUR",E1921*$E$1,IF(C1921="RUB",E1921/#REF!,IF(C1921="EGP",E1921/$E$2,E1921)))))</f>
        <v>512776961.21688432</v>
      </c>
      <c r="G1921" s="15" t="str">
        <f>VLOOKUP(B1921,SPECIFICATIONF!$C$2:$D$65,2,0)</f>
        <v>GLOBAL HFT</v>
      </c>
      <c r="H1921" s="12">
        <f t="shared" si="86"/>
        <v>10</v>
      </c>
      <c r="I1921" s="12">
        <f t="shared" si="87"/>
        <v>2025</v>
      </c>
    </row>
    <row r="1922" spans="1:9" ht="19.5" customHeight="1" x14ac:dyDescent="0.35">
      <c r="A1922" s="41">
        <v>45941</v>
      </c>
      <c r="B1922" s="8" t="s">
        <v>32</v>
      </c>
      <c r="C1922" s="42" t="s">
        <v>33</v>
      </c>
      <c r="D1922" s="43" t="s">
        <v>29</v>
      </c>
      <c r="E1922" s="46">
        <v>99636646</v>
      </c>
      <c r="F1922" s="2">
        <f>IF(C1922="GBP",E1922*$C$3,IF(C1922="TRY",E1922/$C$1,IF(C1922="EUR",E1922*$E$1,IF(C1922="RUB",E1922/#REF!,IF(C1922="EGP",E1922/$E$2,E1922)))))</f>
        <v>99636646</v>
      </c>
      <c r="G1922" s="15" t="str">
        <f>VLOOKUP(B1922,SPECIFICATIONF!$C$2:$D$65,2,0)</f>
        <v>GLOBAL HFT</v>
      </c>
      <c r="H1922" s="12">
        <f t="shared" si="86"/>
        <v>10</v>
      </c>
      <c r="I1922" s="12">
        <f t="shared" si="87"/>
        <v>2025</v>
      </c>
    </row>
    <row r="1923" spans="1:9" ht="19.5" customHeight="1" x14ac:dyDescent="0.35">
      <c r="A1923" s="41">
        <v>45941</v>
      </c>
      <c r="B1923" s="8" t="s">
        <v>24</v>
      </c>
      <c r="C1923" s="42" t="s">
        <v>11</v>
      </c>
      <c r="D1923" s="43" t="s">
        <v>30</v>
      </c>
      <c r="E1923" s="46">
        <v>0</v>
      </c>
      <c r="F1923" s="2">
        <f>IF(C1923="GBP",E1923*$C$3,IF(C1923="TRY",E1923/$C$1,IF(C1923="EUR",E1923*$E$1,IF(C1923="RUB",E1923/#REF!,IF(C1923="EGP",E1923/$E$2,E1923)))))</f>
        <v>0</v>
      </c>
      <c r="G1923" s="15" t="str">
        <f>VLOOKUP(B1923,SPECIFICATIONF!$C$2:$D$65,2,0)</f>
        <v>GLOBAL RETAIL</v>
      </c>
      <c r="H1923" s="12">
        <f t="shared" si="86"/>
        <v>10</v>
      </c>
      <c r="I1923" s="12">
        <f t="shared" si="87"/>
        <v>2025</v>
      </c>
    </row>
    <row r="1924" spans="1:9" ht="19.5" customHeight="1" x14ac:dyDescent="0.35">
      <c r="A1924" s="41">
        <v>45941</v>
      </c>
      <c r="B1924" s="8" t="s">
        <v>24</v>
      </c>
      <c r="C1924" s="42" t="s">
        <v>33</v>
      </c>
      <c r="D1924" s="43" t="s">
        <v>30</v>
      </c>
      <c r="E1924" s="46">
        <v>0</v>
      </c>
      <c r="F1924" s="2">
        <f>IF(C1924="GBP",E1924*$C$3,IF(C1924="TRY",E1924/$C$1,IF(C1924="EUR",E1924*$E$1,IF(C1924="RUB",E1924/#REF!,IF(C1924="EGP",E1924/$E$2,E1924)))))</f>
        <v>0</v>
      </c>
      <c r="G1924" s="15" t="str">
        <f>VLOOKUP(B1924,SPECIFICATIONF!$C$2:$D$65,2,0)</f>
        <v>GLOBAL RETAIL</v>
      </c>
      <c r="H1924" s="12">
        <f t="shared" si="86"/>
        <v>10</v>
      </c>
      <c r="I1924" s="12">
        <f t="shared" si="87"/>
        <v>2025</v>
      </c>
    </row>
    <row r="1925" spans="1:9" ht="19.5" customHeight="1" x14ac:dyDescent="0.35">
      <c r="A1925" s="41">
        <v>45941</v>
      </c>
      <c r="B1925" s="8" t="s">
        <v>24</v>
      </c>
      <c r="C1925" s="42" t="s">
        <v>11</v>
      </c>
      <c r="D1925" s="43" t="s">
        <v>29</v>
      </c>
      <c r="E1925" s="46">
        <v>39609860</v>
      </c>
      <c r="F1925" s="2">
        <f>IF(C1925="GBP",E1925*$C$3,IF(C1925="TRY",E1925/$C$1,IF(C1925="EUR",E1925*$E$1,IF(C1925="RUB",E1925/#REF!,IF(C1925="EGP",E1925/$E$2,E1925)))))</f>
        <v>1086186.6514565262</v>
      </c>
      <c r="G1925" s="15" t="str">
        <f>VLOOKUP(B1925,SPECIFICATIONF!$C$2:$D$65,2,0)</f>
        <v>GLOBAL RETAIL</v>
      </c>
      <c r="H1925" s="12">
        <f t="shared" si="86"/>
        <v>10</v>
      </c>
      <c r="I1925" s="12">
        <f t="shared" si="87"/>
        <v>2025</v>
      </c>
    </row>
    <row r="1926" spans="1:9" ht="19.5" customHeight="1" x14ac:dyDescent="0.35">
      <c r="A1926" s="41">
        <v>45941</v>
      </c>
      <c r="B1926" s="8" t="s">
        <v>24</v>
      </c>
      <c r="C1926" s="42" t="s">
        <v>33</v>
      </c>
      <c r="D1926" s="43" t="s">
        <v>29</v>
      </c>
      <c r="E1926" s="46">
        <v>2571</v>
      </c>
      <c r="F1926" s="2">
        <f>IF(C1926="GBP",E1926*$C$3,IF(C1926="TRY",E1926/$C$1,IF(C1926="EUR",E1926*$E$1,IF(C1926="RUB",E1926/#REF!,IF(C1926="EGP",E1926/$E$2,E1926)))))</f>
        <v>2571</v>
      </c>
      <c r="G1926" s="15" t="str">
        <f>VLOOKUP(B1926,SPECIFICATIONF!$C$2:$D$65,2,0)</f>
        <v>GLOBAL RETAIL</v>
      </c>
      <c r="H1926" s="12">
        <f t="shared" si="86"/>
        <v>10</v>
      </c>
      <c r="I1926" s="12">
        <f t="shared" si="87"/>
        <v>2025</v>
      </c>
    </row>
    <row r="1927" spans="1:9" ht="19.5" customHeight="1" x14ac:dyDescent="0.35">
      <c r="A1927" s="41">
        <v>45942</v>
      </c>
      <c r="B1927" s="8" t="s">
        <v>32</v>
      </c>
      <c r="C1927" s="42" t="s">
        <v>11</v>
      </c>
      <c r="D1927" s="43" t="s">
        <v>30</v>
      </c>
      <c r="E1927" s="46">
        <v>3025349.9</v>
      </c>
      <c r="F1927" s="2">
        <f>IF(C1927="GBP",E1927*$C$3,IF(C1927="TRY",E1927/$C$1,IF(C1927="EUR",E1927*$E$1,IF(C1927="RUB",E1927/#REF!,IF(C1927="EGP",E1927/$E$2,E1927)))))</f>
        <v>82961.532238824788</v>
      </c>
      <c r="G1927" s="15" t="str">
        <f>VLOOKUP(B1927,SPECIFICATIONF!$C$2:$D$65,2,0)</f>
        <v>GLOBAL HFT</v>
      </c>
      <c r="H1927" s="12">
        <f t="shared" si="86"/>
        <v>10</v>
      </c>
      <c r="I1927" s="12">
        <f t="shared" si="87"/>
        <v>2025</v>
      </c>
    </row>
    <row r="1928" spans="1:9" ht="19.5" customHeight="1" x14ac:dyDescent="0.35">
      <c r="A1928" s="41">
        <v>45942</v>
      </c>
      <c r="B1928" s="8" t="s">
        <v>32</v>
      </c>
      <c r="C1928" s="42" t="s">
        <v>33</v>
      </c>
      <c r="D1928" s="43" t="s">
        <v>30</v>
      </c>
      <c r="E1928" s="46">
        <v>15800.86</v>
      </c>
      <c r="F1928" s="2">
        <f>IF(C1928="GBP",E1928*$C$3,IF(C1928="TRY",E1928/$C$1,IF(C1928="EUR",E1928*$E$1,IF(C1928="RUB",E1928/#REF!,IF(C1928="EGP",E1928/$E$2,E1928)))))</f>
        <v>15800.86</v>
      </c>
      <c r="G1928" s="15" t="str">
        <f>VLOOKUP(B1928,SPECIFICATIONF!$C$2:$D$65,2,0)</f>
        <v>GLOBAL HFT</v>
      </c>
      <c r="H1928" s="12">
        <f t="shared" si="86"/>
        <v>10</v>
      </c>
      <c r="I1928" s="12">
        <f t="shared" si="87"/>
        <v>2025</v>
      </c>
    </row>
    <row r="1929" spans="1:9" ht="19.5" customHeight="1" x14ac:dyDescent="0.35">
      <c r="A1929" s="41">
        <v>45942</v>
      </c>
      <c r="B1929" s="8" t="s">
        <v>32</v>
      </c>
      <c r="C1929" s="42" t="s">
        <v>11</v>
      </c>
      <c r="D1929" s="43" t="s">
        <v>29</v>
      </c>
      <c r="E1929" s="46">
        <v>11183716956</v>
      </c>
      <c r="F1929" s="2">
        <f>IF(C1929="GBP",E1929*$C$3,IF(C1929="TRY",E1929/$C$1,IF(C1929="EUR",E1929*$E$1,IF(C1929="RUB",E1929/#REF!,IF(C1929="EGP",E1929/$E$2,E1929)))))</f>
        <v>306681318.01716077</v>
      </c>
      <c r="G1929" s="15" t="str">
        <f>VLOOKUP(B1929,SPECIFICATIONF!$C$2:$D$65,2,0)</f>
        <v>GLOBAL HFT</v>
      </c>
      <c r="H1929" s="12">
        <f t="shared" si="86"/>
        <v>10</v>
      </c>
      <c r="I1929" s="12">
        <f t="shared" si="87"/>
        <v>2025</v>
      </c>
    </row>
    <row r="1930" spans="1:9" ht="19.5" customHeight="1" x14ac:dyDescent="0.35">
      <c r="A1930" s="41">
        <v>45942</v>
      </c>
      <c r="B1930" s="8" t="s">
        <v>32</v>
      </c>
      <c r="C1930" s="42" t="s">
        <v>33</v>
      </c>
      <c r="D1930" s="43" t="s">
        <v>29</v>
      </c>
      <c r="E1930" s="46">
        <v>53815364</v>
      </c>
      <c r="F1930" s="2">
        <f>IF(C1930="GBP",E1930*$C$3,IF(C1930="TRY",E1930/$C$1,IF(C1930="EUR",E1930*$E$1,IF(C1930="RUB",E1930/#REF!,IF(C1930="EGP",E1930/$E$2,E1930)))))</f>
        <v>53815364</v>
      </c>
      <c r="G1930" s="15" t="str">
        <f>VLOOKUP(B1930,SPECIFICATIONF!$C$2:$D$65,2,0)</f>
        <v>GLOBAL HFT</v>
      </c>
      <c r="H1930" s="12">
        <f t="shared" si="86"/>
        <v>10</v>
      </c>
      <c r="I1930" s="12">
        <f t="shared" si="87"/>
        <v>2025</v>
      </c>
    </row>
    <row r="1931" spans="1:9" ht="19.5" customHeight="1" x14ac:dyDescent="0.35">
      <c r="A1931" s="41">
        <v>45942</v>
      </c>
      <c r="B1931" s="8" t="s">
        <v>24</v>
      </c>
      <c r="C1931" s="42" t="s">
        <v>11</v>
      </c>
      <c r="D1931" s="43" t="s">
        <v>30</v>
      </c>
      <c r="E1931" s="46">
        <v>0</v>
      </c>
      <c r="F1931" s="2">
        <f>IF(C1931="GBP",E1931*$C$3,IF(C1931="TRY",E1931/$C$1,IF(C1931="EUR",E1931*$E$1,IF(C1931="RUB",E1931/#REF!,IF(C1931="EGP",E1931/$E$2,E1931)))))</f>
        <v>0</v>
      </c>
      <c r="G1931" s="15" t="str">
        <f>VLOOKUP(B1931,SPECIFICATIONF!$C$2:$D$65,2,0)</f>
        <v>GLOBAL RETAIL</v>
      </c>
      <c r="H1931" s="12">
        <f t="shared" si="86"/>
        <v>10</v>
      </c>
      <c r="I1931" s="12">
        <f t="shared" si="87"/>
        <v>2025</v>
      </c>
    </row>
    <row r="1932" spans="1:9" ht="19.5" customHeight="1" x14ac:dyDescent="0.35">
      <c r="A1932" s="41">
        <v>45942</v>
      </c>
      <c r="B1932" s="8" t="s">
        <v>24</v>
      </c>
      <c r="C1932" s="42" t="s">
        <v>33</v>
      </c>
      <c r="D1932" s="43" t="s">
        <v>30</v>
      </c>
      <c r="E1932" s="46">
        <v>0</v>
      </c>
      <c r="F1932" s="2">
        <f>IF(C1932="GBP",E1932*$C$3,IF(C1932="TRY",E1932/$C$1,IF(C1932="EUR",E1932*$E$1,IF(C1932="RUB",E1932/#REF!,IF(C1932="EGP",E1932/$E$2,E1932)))))</f>
        <v>0</v>
      </c>
      <c r="G1932" s="15" t="str">
        <f>VLOOKUP(B1932,SPECIFICATIONF!$C$2:$D$65,2,0)</f>
        <v>GLOBAL RETAIL</v>
      </c>
      <c r="H1932" s="12">
        <f t="shared" si="86"/>
        <v>10</v>
      </c>
      <c r="I1932" s="12">
        <f t="shared" si="87"/>
        <v>2025</v>
      </c>
    </row>
    <row r="1933" spans="1:9" ht="19.5" customHeight="1" x14ac:dyDescent="0.35">
      <c r="A1933" s="41">
        <v>45942</v>
      </c>
      <c r="B1933" s="8" t="s">
        <v>24</v>
      </c>
      <c r="C1933" s="42" t="s">
        <v>11</v>
      </c>
      <c r="D1933" s="43" t="s">
        <v>29</v>
      </c>
      <c r="E1933" s="46">
        <v>12953794</v>
      </c>
      <c r="F1933" s="2">
        <f>IF(C1933="GBP",E1933*$C$3,IF(C1933="TRY",E1933/$C$1,IF(C1933="EUR",E1933*$E$1,IF(C1933="RUB",E1933/#REF!,IF(C1933="EGP",E1933/$E$2,E1933)))))</f>
        <v>355220.59730879235</v>
      </c>
      <c r="G1933" s="15" t="str">
        <f>VLOOKUP(B1933,SPECIFICATIONF!$C$2:$D$65,2,0)</f>
        <v>GLOBAL RETAIL</v>
      </c>
      <c r="H1933" s="12">
        <f t="shared" si="86"/>
        <v>10</v>
      </c>
      <c r="I1933" s="12">
        <f t="shared" si="87"/>
        <v>2025</v>
      </c>
    </row>
    <row r="1934" spans="1:9" ht="19.5" customHeight="1" x14ac:dyDescent="0.35">
      <c r="A1934" s="41">
        <v>45942</v>
      </c>
      <c r="B1934" s="8" t="s">
        <v>24</v>
      </c>
      <c r="C1934" s="42" t="s">
        <v>33</v>
      </c>
      <c r="D1934" s="43" t="s">
        <v>29</v>
      </c>
      <c r="E1934" s="46">
        <v>4515</v>
      </c>
      <c r="F1934" s="2">
        <f>IF(C1934="GBP",E1934*$C$3,IF(C1934="TRY",E1934/$C$1,IF(C1934="EUR",E1934*$E$1,IF(C1934="RUB",E1934/#REF!,IF(C1934="EGP",E1934/$E$2,E1934)))))</f>
        <v>4515</v>
      </c>
      <c r="G1934" s="15" t="str">
        <f>VLOOKUP(B1934,SPECIFICATIONF!$C$2:$D$65,2,0)</f>
        <v>GLOBAL RETAIL</v>
      </c>
      <c r="H1934" s="12">
        <f t="shared" si="86"/>
        <v>10</v>
      </c>
      <c r="I1934" s="12">
        <f t="shared" si="87"/>
        <v>2025</v>
      </c>
    </row>
    <row r="1935" spans="1:9" ht="19.5" customHeight="1" x14ac:dyDescent="0.35">
      <c r="A1935" s="41">
        <v>45943</v>
      </c>
      <c r="B1935" s="8" t="s">
        <v>32</v>
      </c>
      <c r="C1935" s="42" t="s">
        <v>11</v>
      </c>
      <c r="D1935" s="43" t="s">
        <v>30</v>
      </c>
      <c r="E1935" s="46">
        <v>3589359.94</v>
      </c>
      <c r="F1935" s="2">
        <f>IF(C1935="GBP",E1935*$C$3,IF(C1935="TRY",E1935/$C$1,IF(C1935="EUR",E1935*$E$1,IF(C1935="RUB",E1935/#REF!,IF(C1935="EGP",E1935/$E$2,E1935)))))</f>
        <v>98427.887755745614</v>
      </c>
      <c r="G1935" s="15" t="str">
        <f>VLOOKUP(B1935,SPECIFICATIONF!$C$2:$D$65,2,0)</f>
        <v>GLOBAL HFT</v>
      </c>
      <c r="H1935" s="12">
        <f t="shared" si="86"/>
        <v>10</v>
      </c>
      <c r="I1935" s="12">
        <f t="shared" si="87"/>
        <v>2025</v>
      </c>
    </row>
    <row r="1936" spans="1:9" ht="19.5" customHeight="1" x14ac:dyDescent="0.35">
      <c r="A1936" s="41">
        <v>45943</v>
      </c>
      <c r="B1936" s="8" t="s">
        <v>32</v>
      </c>
      <c r="C1936" s="42" t="s">
        <v>33</v>
      </c>
      <c r="D1936" s="43" t="s">
        <v>30</v>
      </c>
      <c r="E1936" s="46">
        <v>16410.07</v>
      </c>
      <c r="F1936" s="2">
        <f>IF(C1936="GBP",E1936*$C$3,IF(C1936="TRY",E1936/$C$1,IF(C1936="EUR",E1936*$E$1,IF(C1936="RUB",E1936/#REF!,IF(C1936="EGP",E1936/$E$2,E1936)))))</f>
        <v>16410.07</v>
      </c>
      <c r="G1936" s="15" t="str">
        <f>VLOOKUP(B1936,SPECIFICATIONF!$C$2:$D$65,2,0)</f>
        <v>GLOBAL HFT</v>
      </c>
      <c r="H1936" s="12">
        <f t="shared" si="86"/>
        <v>10</v>
      </c>
      <c r="I1936" s="12">
        <f t="shared" si="87"/>
        <v>2025</v>
      </c>
    </row>
    <row r="1937" spans="1:9" ht="19.5" customHeight="1" x14ac:dyDescent="0.35">
      <c r="A1937" s="41">
        <v>45943</v>
      </c>
      <c r="B1937" s="8" t="s">
        <v>32</v>
      </c>
      <c r="C1937" s="42" t="s">
        <v>11</v>
      </c>
      <c r="D1937" s="43" t="s">
        <v>29</v>
      </c>
      <c r="E1937" s="46">
        <v>13441008042</v>
      </c>
      <c r="F1937" s="2">
        <f>IF(C1937="GBP",E1937*$C$3,IF(C1937="TRY",E1937/$C$1,IF(C1937="EUR",E1937*$E$1,IF(C1937="RUB",E1937/#REF!,IF(C1937="EGP",E1937/$E$2,E1937)))))</f>
        <v>368581043.13774955</v>
      </c>
      <c r="G1937" s="15" t="str">
        <f>VLOOKUP(B1937,SPECIFICATIONF!$C$2:$D$65,2,0)</f>
        <v>GLOBAL HFT</v>
      </c>
      <c r="H1937" s="12">
        <f t="shared" si="86"/>
        <v>10</v>
      </c>
      <c r="I1937" s="12">
        <f t="shared" si="87"/>
        <v>2025</v>
      </c>
    </row>
    <row r="1938" spans="1:9" ht="19.5" customHeight="1" x14ac:dyDescent="0.35">
      <c r="A1938" s="41">
        <v>45943</v>
      </c>
      <c r="B1938" s="8" t="s">
        <v>32</v>
      </c>
      <c r="C1938" s="42" t="s">
        <v>33</v>
      </c>
      <c r="D1938" s="43" t="s">
        <v>29</v>
      </c>
      <c r="E1938" s="46">
        <v>55642048</v>
      </c>
      <c r="F1938" s="2">
        <f>IF(C1938="GBP",E1938*$C$3,IF(C1938="TRY",E1938/$C$1,IF(C1938="EUR",E1938*$E$1,IF(C1938="RUB",E1938/#REF!,IF(C1938="EGP",E1938/$E$2,E1938)))))</f>
        <v>55642048</v>
      </c>
      <c r="G1938" s="15" t="str">
        <f>VLOOKUP(B1938,SPECIFICATIONF!$C$2:$D$65,2,0)</f>
        <v>GLOBAL HFT</v>
      </c>
      <c r="H1938" s="12">
        <f t="shared" si="86"/>
        <v>10</v>
      </c>
      <c r="I1938" s="12">
        <f t="shared" si="87"/>
        <v>2025</v>
      </c>
    </row>
    <row r="1939" spans="1:9" ht="19.5" customHeight="1" x14ac:dyDescent="0.35">
      <c r="A1939" s="41">
        <v>45943</v>
      </c>
      <c r="B1939" s="8" t="s">
        <v>24</v>
      </c>
      <c r="C1939" s="42" t="s">
        <v>11</v>
      </c>
      <c r="D1939" s="43" t="s">
        <v>30</v>
      </c>
      <c r="E1939" s="46">
        <v>0</v>
      </c>
      <c r="F1939" s="2">
        <f>IF(C1939="GBP",E1939*$C$3,IF(C1939="TRY",E1939/$C$1,IF(C1939="EUR",E1939*$E$1,IF(C1939="RUB",E1939/#REF!,IF(C1939="EGP",E1939/$E$2,E1939)))))</f>
        <v>0</v>
      </c>
      <c r="G1939" s="15" t="str">
        <f>VLOOKUP(B1939,SPECIFICATIONF!$C$2:$D$65,2,0)</f>
        <v>GLOBAL RETAIL</v>
      </c>
      <c r="H1939" s="12">
        <f t="shared" si="86"/>
        <v>10</v>
      </c>
      <c r="I1939" s="12">
        <f t="shared" si="87"/>
        <v>2025</v>
      </c>
    </row>
    <row r="1940" spans="1:9" ht="19.5" customHeight="1" x14ac:dyDescent="0.35">
      <c r="A1940" s="41">
        <v>45943</v>
      </c>
      <c r="B1940" s="8" t="s">
        <v>24</v>
      </c>
      <c r="C1940" s="42" t="s">
        <v>33</v>
      </c>
      <c r="D1940" s="43" t="s">
        <v>30</v>
      </c>
      <c r="E1940" s="46">
        <v>0</v>
      </c>
      <c r="F1940" s="2">
        <f>IF(C1940="GBP",E1940*$C$3,IF(C1940="TRY",E1940/$C$1,IF(C1940="EUR",E1940*$E$1,IF(C1940="RUB",E1940/#REF!,IF(C1940="EGP",E1940/$E$2,E1940)))))</f>
        <v>0</v>
      </c>
      <c r="G1940" s="15" t="str">
        <f>VLOOKUP(B1940,SPECIFICATIONF!$C$2:$D$65,2,0)</f>
        <v>GLOBAL RETAIL</v>
      </c>
      <c r="H1940" s="12">
        <f t="shared" si="86"/>
        <v>10</v>
      </c>
      <c r="I1940" s="12">
        <f t="shared" si="87"/>
        <v>2025</v>
      </c>
    </row>
    <row r="1941" spans="1:9" ht="19.5" customHeight="1" x14ac:dyDescent="0.35">
      <c r="A1941" s="41">
        <v>45943</v>
      </c>
      <c r="B1941" s="8" t="s">
        <v>24</v>
      </c>
      <c r="C1941" s="42" t="s">
        <v>11</v>
      </c>
      <c r="D1941" s="43" t="s">
        <v>29</v>
      </c>
      <c r="E1941" s="46">
        <v>7138872</v>
      </c>
      <c r="F1941" s="2">
        <f>IF(C1941="GBP",E1941*$C$3,IF(C1941="TRY",E1941/$C$1,IF(C1941="EUR",E1941*$E$1,IF(C1941="RUB",E1941/#REF!,IF(C1941="EGP",E1941/$E$2,E1941)))))</f>
        <v>195763.06184512528</v>
      </c>
      <c r="G1941" s="15" t="str">
        <f>VLOOKUP(B1941,SPECIFICATIONF!$C$2:$D$65,2,0)</f>
        <v>GLOBAL RETAIL</v>
      </c>
      <c r="H1941" s="12">
        <f t="shared" si="86"/>
        <v>10</v>
      </c>
      <c r="I1941" s="12">
        <f t="shared" si="87"/>
        <v>2025</v>
      </c>
    </row>
    <row r="1942" spans="1:9" ht="19.5" customHeight="1" x14ac:dyDescent="0.35">
      <c r="A1942" s="41">
        <v>45943</v>
      </c>
      <c r="B1942" s="8" t="s">
        <v>24</v>
      </c>
      <c r="C1942" s="42" t="s">
        <v>33</v>
      </c>
      <c r="D1942" s="43" t="s">
        <v>29</v>
      </c>
      <c r="E1942" s="46">
        <v>237</v>
      </c>
      <c r="F1942" s="2">
        <f>IF(C1942="GBP",E1942*$C$3,IF(C1942="TRY",E1942/$C$1,IF(C1942="EUR",E1942*$E$1,IF(C1942="RUB",E1942/#REF!,IF(C1942="EGP",E1942/$E$2,E1942)))))</f>
        <v>237</v>
      </c>
      <c r="G1942" s="15" t="str">
        <f>VLOOKUP(B1942,SPECIFICATIONF!$C$2:$D$65,2,0)</f>
        <v>GLOBAL RETAIL</v>
      </c>
      <c r="H1942" s="12">
        <f t="shared" si="86"/>
        <v>10</v>
      </c>
      <c r="I1942" s="12">
        <f t="shared" si="87"/>
        <v>2025</v>
      </c>
    </row>
    <row r="1943" spans="1:9" ht="19.5" customHeight="1" x14ac:dyDescent="0.35">
      <c r="A1943" s="41">
        <v>45944</v>
      </c>
      <c r="B1943" s="8" t="s">
        <v>32</v>
      </c>
      <c r="C1943" s="42" t="s">
        <v>11</v>
      </c>
      <c r="D1943" s="43" t="s">
        <v>30</v>
      </c>
      <c r="E1943" s="46">
        <v>2776096.63</v>
      </c>
      <c r="F1943" s="2">
        <f>IF(C1943="GBP",E1943*$C$3,IF(C1943="TRY",E1943/$C$1,IF(C1943="EUR",E1943*$E$1,IF(C1943="RUB",E1943/#REF!,IF(C1943="EGP",E1943/$E$2,E1943)))))</f>
        <v>76126.477161480681</v>
      </c>
      <c r="G1943" s="15" t="str">
        <f>VLOOKUP(B1943,SPECIFICATIONF!$C$2:$D$65,2,0)</f>
        <v>GLOBAL HFT</v>
      </c>
      <c r="H1943" s="12">
        <f t="shared" ref="H1943:H1950" si="88">MONTH(A1943)</f>
        <v>10</v>
      </c>
      <c r="I1943" s="12">
        <f t="shared" ref="I1943:I1950" si="89">YEAR(A1943)</f>
        <v>2025</v>
      </c>
    </row>
    <row r="1944" spans="1:9" ht="19.5" customHeight="1" x14ac:dyDescent="0.35">
      <c r="A1944" s="41">
        <v>45944</v>
      </c>
      <c r="B1944" s="8" t="s">
        <v>32</v>
      </c>
      <c r="C1944" s="42" t="s">
        <v>33</v>
      </c>
      <c r="D1944" s="43" t="s">
        <v>30</v>
      </c>
      <c r="E1944" s="46">
        <v>14727.48</v>
      </c>
      <c r="F1944" s="2">
        <f>IF(C1944="GBP",E1944*$C$3,IF(C1944="TRY",E1944/$C$1,IF(C1944="EUR",E1944*$E$1,IF(C1944="RUB",E1944/#REF!,IF(C1944="EGP",E1944/$E$2,E1944)))))</f>
        <v>14727.48</v>
      </c>
      <c r="G1944" s="15" t="str">
        <f>VLOOKUP(B1944,SPECIFICATIONF!$C$2:$D$65,2,0)</f>
        <v>GLOBAL HFT</v>
      </c>
      <c r="H1944" s="12">
        <f t="shared" si="88"/>
        <v>10</v>
      </c>
      <c r="I1944" s="12">
        <f t="shared" si="89"/>
        <v>2025</v>
      </c>
    </row>
    <row r="1945" spans="1:9" ht="19.5" customHeight="1" x14ac:dyDescent="0.35">
      <c r="A1945" s="41">
        <v>45944</v>
      </c>
      <c r="B1945" s="8" t="s">
        <v>32</v>
      </c>
      <c r="C1945" s="42" t="s">
        <v>11</v>
      </c>
      <c r="D1945" s="43" t="s">
        <v>29</v>
      </c>
      <c r="E1945" s="46">
        <v>10599984708</v>
      </c>
      <c r="F1945" s="2">
        <f>IF(C1945="GBP",E1945*$C$3,IF(C1945="TRY",E1945/$C$1,IF(C1945="EUR",E1945*$E$1,IF(C1945="RUB",E1945/#REF!,IF(C1945="EGP",E1945/$E$2,E1945)))))</f>
        <v>290674137.58778507</v>
      </c>
      <c r="G1945" s="15" t="str">
        <f>VLOOKUP(B1945,SPECIFICATIONF!$C$2:$D$65,2,0)</f>
        <v>GLOBAL HFT</v>
      </c>
      <c r="H1945" s="12">
        <f t="shared" si="88"/>
        <v>10</v>
      </c>
      <c r="I1945" s="12">
        <f t="shared" si="89"/>
        <v>2025</v>
      </c>
    </row>
    <row r="1946" spans="1:9" ht="19.5" customHeight="1" x14ac:dyDescent="0.35">
      <c r="A1946" s="41">
        <v>45944</v>
      </c>
      <c r="B1946" s="8" t="s">
        <v>32</v>
      </c>
      <c r="C1946" s="42" t="s">
        <v>33</v>
      </c>
      <c r="D1946" s="43" t="s">
        <v>29</v>
      </c>
      <c r="E1946" s="46">
        <v>50832931</v>
      </c>
      <c r="F1946" s="2">
        <f>IF(C1946="GBP",E1946*$C$3,IF(C1946="TRY",E1946/$C$1,IF(C1946="EUR",E1946*$E$1,IF(C1946="RUB",E1946/#REF!,IF(C1946="EGP",E1946/$E$2,E1946)))))</f>
        <v>50832931</v>
      </c>
      <c r="G1946" s="15" t="str">
        <f>VLOOKUP(B1946,SPECIFICATIONF!$C$2:$D$65,2,0)</f>
        <v>GLOBAL HFT</v>
      </c>
      <c r="H1946" s="12">
        <f t="shared" si="88"/>
        <v>10</v>
      </c>
      <c r="I1946" s="12">
        <f t="shared" si="89"/>
        <v>2025</v>
      </c>
    </row>
    <row r="1947" spans="1:9" ht="19.5" customHeight="1" x14ac:dyDescent="0.35">
      <c r="A1947" s="41">
        <v>45944</v>
      </c>
      <c r="B1947" s="8" t="s">
        <v>24</v>
      </c>
      <c r="C1947" s="42" t="s">
        <v>11</v>
      </c>
      <c r="D1947" s="43" t="s">
        <v>30</v>
      </c>
      <c r="E1947" s="46">
        <v>0</v>
      </c>
      <c r="F1947" s="2">
        <f>IF(C1947="GBP",E1947*$C$3,IF(C1947="TRY",E1947/$C$1,IF(C1947="EUR",E1947*$E$1,IF(C1947="RUB",E1947/#REF!,IF(C1947="EGP",E1947/$E$2,E1947)))))</f>
        <v>0</v>
      </c>
      <c r="G1947" s="15" t="str">
        <f>VLOOKUP(B1947,SPECIFICATIONF!$C$2:$D$65,2,0)</f>
        <v>GLOBAL RETAIL</v>
      </c>
      <c r="H1947" s="12">
        <f t="shared" si="88"/>
        <v>10</v>
      </c>
      <c r="I1947" s="12">
        <f t="shared" si="89"/>
        <v>2025</v>
      </c>
    </row>
    <row r="1948" spans="1:9" ht="19.5" customHeight="1" x14ac:dyDescent="0.35">
      <c r="A1948" s="41">
        <v>45944</v>
      </c>
      <c r="B1948" s="8" t="s">
        <v>24</v>
      </c>
      <c r="C1948" s="42" t="s">
        <v>33</v>
      </c>
      <c r="D1948" s="43" t="s">
        <v>30</v>
      </c>
      <c r="E1948" s="46">
        <v>0</v>
      </c>
      <c r="F1948" s="2">
        <f>IF(C1948="GBP",E1948*$C$3,IF(C1948="TRY",E1948/$C$1,IF(C1948="EUR",E1948*$E$1,IF(C1948="RUB",E1948/#REF!,IF(C1948="EGP",E1948/$E$2,E1948)))))</f>
        <v>0</v>
      </c>
      <c r="G1948" s="15" t="str">
        <f>VLOOKUP(B1948,SPECIFICATIONF!$C$2:$D$65,2,0)</f>
        <v>GLOBAL RETAIL</v>
      </c>
      <c r="H1948" s="12">
        <f t="shared" si="88"/>
        <v>10</v>
      </c>
      <c r="I1948" s="12">
        <f t="shared" si="89"/>
        <v>2025</v>
      </c>
    </row>
    <row r="1949" spans="1:9" ht="19.5" customHeight="1" x14ac:dyDescent="0.35">
      <c r="A1949" s="41">
        <v>45944</v>
      </c>
      <c r="B1949" s="8" t="s">
        <v>24</v>
      </c>
      <c r="C1949" s="42" t="s">
        <v>11</v>
      </c>
      <c r="D1949" s="43" t="s">
        <v>29</v>
      </c>
      <c r="E1949" s="46">
        <v>15336586</v>
      </c>
      <c r="F1949" s="2">
        <f>IF(C1949="GBP",E1949*$C$3,IF(C1949="TRY",E1949/$C$1,IF(C1949="EUR",E1949*$E$1,IF(C1949="RUB",E1949/#REF!,IF(C1949="EGP",E1949/$E$2,E1949)))))</f>
        <v>420561.8245587094</v>
      </c>
      <c r="G1949" s="15" t="str">
        <f>VLOOKUP(B1949,SPECIFICATIONF!$C$2:$D$65,2,0)</f>
        <v>GLOBAL RETAIL</v>
      </c>
      <c r="H1949" s="12">
        <f t="shared" si="88"/>
        <v>10</v>
      </c>
      <c r="I1949" s="12">
        <f t="shared" si="89"/>
        <v>2025</v>
      </c>
    </row>
    <row r="1950" spans="1:9" ht="19.5" customHeight="1" x14ac:dyDescent="0.35">
      <c r="A1950" s="41">
        <v>45944</v>
      </c>
      <c r="B1950" s="8" t="s">
        <v>24</v>
      </c>
      <c r="C1950" s="42" t="s">
        <v>33</v>
      </c>
      <c r="D1950" s="43" t="s">
        <v>29</v>
      </c>
      <c r="E1950" s="46">
        <v>11813</v>
      </c>
      <c r="F1950" s="2">
        <f>IF(C1950="GBP",E1950*$C$3,IF(C1950="TRY",E1950/$C$1,IF(C1950="EUR",E1950*$E$1,IF(C1950="RUB",E1950/#REF!,IF(C1950="EGP",E1950/$E$2,E1950)))))</f>
        <v>11813</v>
      </c>
      <c r="G1950" s="15" t="str">
        <f>VLOOKUP(B1950,SPECIFICATIONF!$C$2:$D$65,2,0)</f>
        <v>GLOBAL RETAIL</v>
      </c>
      <c r="H1950" s="12">
        <f t="shared" si="88"/>
        <v>10</v>
      </c>
      <c r="I1950" s="12">
        <f t="shared" si="89"/>
        <v>2025</v>
      </c>
    </row>
    <row r="1951" spans="1:9" ht="19.5" customHeight="1" x14ac:dyDescent="0.35">
      <c r="A1951" s="41">
        <v>45945</v>
      </c>
      <c r="B1951" s="8" t="s">
        <v>32</v>
      </c>
      <c r="C1951" s="42" t="s">
        <v>11</v>
      </c>
      <c r="D1951" s="43" t="s">
        <v>30</v>
      </c>
      <c r="E1951" s="46">
        <v>1903849.03</v>
      </c>
      <c r="F1951" s="2">
        <f>IF(C1951="GBP",E1951*$C$3,IF(C1951="TRY",E1951/$C$1,IF(C1951="EUR",E1951*$E$1,IF(C1951="RUB",E1951/#REF!,IF(C1951="EGP",E1951/$E$2,E1951)))))</f>
        <v>52207.591816140113</v>
      </c>
      <c r="G1951" s="15" t="str">
        <f>VLOOKUP(B1951,SPECIFICATIONF!$C$2:$D$65,2,0)</f>
        <v>GLOBAL HFT</v>
      </c>
      <c r="H1951" s="12">
        <f t="shared" ref="H1951:H1958" si="90">MONTH(A1951)</f>
        <v>10</v>
      </c>
      <c r="I1951" s="12">
        <f t="shared" ref="I1951:I1958" si="91">YEAR(A1951)</f>
        <v>2025</v>
      </c>
    </row>
    <row r="1952" spans="1:9" ht="19.5" customHeight="1" x14ac:dyDescent="0.35">
      <c r="A1952" s="41">
        <v>45945</v>
      </c>
      <c r="B1952" s="8" t="s">
        <v>32</v>
      </c>
      <c r="C1952" s="42" t="s">
        <v>33</v>
      </c>
      <c r="D1952" s="43" t="s">
        <v>30</v>
      </c>
      <c r="E1952" s="46">
        <v>8977.44</v>
      </c>
      <c r="F1952" s="2">
        <f>IF(C1952="GBP",E1952*$C$3,IF(C1952="TRY",E1952/$C$1,IF(C1952="EUR",E1952*$E$1,IF(C1952="RUB",E1952/#REF!,IF(C1952="EGP",E1952/$E$2,E1952)))))</f>
        <v>8977.44</v>
      </c>
      <c r="G1952" s="15" t="str">
        <f>VLOOKUP(B1952,SPECIFICATIONF!$C$2:$D$65,2,0)</f>
        <v>GLOBAL HFT</v>
      </c>
      <c r="H1952" s="12">
        <f t="shared" si="90"/>
        <v>10</v>
      </c>
      <c r="I1952" s="12">
        <f t="shared" si="91"/>
        <v>2025</v>
      </c>
    </row>
    <row r="1953" spans="1:9" ht="19.5" customHeight="1" x14ac:dyDescent="0.35">
      <c r="A1953" s="41">
        <v>45945</v>
      </c>
      <c r="B1953" s="8" t="s">
        <v>32</v>
      </c>
      <c r="C1953" s="42" t="s">
        <v>11</v>
      </c>
      <c r="D1953" s="43" t="s">
        <v>29</v>
      </c>
      <c r="E1953" s="46">
        <v>7474444267</v>
      </c>
      <c r="F1953" s="2">
        <f>IF(C1953="GBP",E1953*$C$3,IF(C1953="TRY",E1953/$C$1,IF(C1953="EUR",E1953*$E$1,IF(C1953="RUB",E1953/#REF!,IF(C1953="EGP",E1953/$E$2,E1953)))))</f>
        <v>204965167.50806895</v>
      </c>
      <c r="G1953" s="15" t="str">
        <f>VLOOKUP(B1953,SPECIFICATIONF!$C$2:$D$65,2,0)</f>
        <v>GLOBAL HFT</v>
      </c>
      <c r="H1953" s="12">
        <f t="shared" si="90"/>
        <v>10</v>
      </c>
      <c r="I1953" s="12">
        <f t="shared" si="91"/>
        <v>2025</v>
      </c>
    </row>
    <row r="1954" spans="1:9" ht="19.5" customHeight="1" x14ac:dyDescent="0.35">
      <c r="A1954" s="41">
        <v>45945</v>
      </c>
      <c r="B1954" s="8" t="s">
        <v>32</v>
      </c>
      <c r="C1954" s="42" t="s">
        <v>33</v>
      </c>
      <c r="D1954" s="43" t="s">
        <v>29</v>
      </c>
      <c r="E1954" s="46">
        <v>31857527</v>
      </c>
      <c r="F1954" s="2">
        <f>IF(C1954="GBP",E1954*$C$3,IF(C1954="TRY",E1954/$C$1,IF(C1954="EUR",E1954*$E$1,IF(C1954="RUB",E1954/#REF!,IF(C1954="EGP",E1954/$E$2,E1954)))))</f>
        <v>31857527</v>
      </c>
      <c r="G1954" s="15" t="str">
        <f>VLOOKUP(B1954,SPECIFICATIONF!$C$2:$D$65,2,0)</f>
        <v>GLOBAL HFT</v>
      </c>
      <c r="H1954" s="12">
        <f t="shared" si="90"/>
        <v>10</v>
      </c>
      <c r="I1954" s="12">
        <f t="shared" si="91"/>
        <v>2025</v>
      </c>
    </row>
    <row r="1955" spans="1:9" ht="19.5" customHeight="1" x14ac:dyDescent="0.35">
      <c r="A1955" s="41">
        <v>45945</v>
      </c>
      <c r="B1955" s="8" t="s">
        <v>24</v>
      </c>
      <c r="C1955" s="42" t="s">
        <v>11</v>
      </c>
      <c r="D1955" s="43" t="s">
        <v>30</v>
      </c>
      <c r="E1955" s="46">
        <v>0</v>
      </c>
      <c r="F1955" s="2">
        <f>IF(C1955="GBP",E1955*$C$3,IF(C1955="TRY",E1955/$C$1,IF(C1955="EUR",E1955*$E$1,IF(C1955="RUB",E1955/#REF!,IF(C1955="EGP",E1955/$E$2,E1955)))))</f>
        <v>0</v>
      </c>
      <c r="G1955" s="15" t="str">
        <f>VLOOKUP(B1955,SPECIFICATIONF!$C$2:$D$65,2,0)</f>
        <v>GLOBAL RETAIL</v>
      </c>
      <c r="H1955" s="12">
        <f t="shared" si="90"/>
        <v>10</v>
      </c>
      <c r="I1955" s="12">
        <f t="shared" si="91"/>
        <v>2025</v>
      </c>
    </row>
    <row r="1956" spans="1:9" ht="19.5" customHeight="1" x14ac:dyDescent="0.35">
      <c r="A1956" s="41">
        <v>45945</v>
      </c>
      <c r="B1956" s="8" t="s">
        <v>24</v>
      </c>
      <c r="C1956" s="42" t="s">
        <v>33</v>
      </c>
      <c r="D1956" s="43" t="s">
        <v>30</v>
      </c>
      <c r="E1956" s="46">
        <v>0</v>
      </c>
      <c r="F1956" s="2">
        <f>IF(C1956="GBP",E1956*$C$3,IF(C1956="TRY",E1956/$C$1,IF(C1956="EUR",E1956*$E$1,IF(C1956="RUB",E1956/#REF!,IF(C1956="EGP",E1956/$E$2,E1956)))))</f>
        <v>0</v>
      </c>
      <c r="G1956" s="15" t="str">
        <f>VLOOKUP(B1956,SPECIFICATIONF!$C$2:$D$65,2,0)</f>
        <v>GLOBAL RETAIL</v>
      </c>
      <c r="H1956" s="12">
        <f t="shared" si="90"/>
        <v>10</v>
      </c>
      <c r="I1956" s="12">
        <f t="shared" si="91"/>
        <v>2025</v>
      </c>
    </row>
    <row r="1957" spans="1:9" ht="19.5" customHeight="1" x14ac:dyDescent="0.35">
      <c r="A1957" s="41">
        <v>45945</v>
      </c>
      <c r="B1957" s="8" t="s">
        <v>24</v>
      </c>
      <c r="C1957" s="42" t="s">
        <v>11</v>
      </c>
      <c r="D1957" s="43" t="s">
        <v>29</v>
      </c>
      <c r="E1957" s="46">
        <v>2399987</v>
      </c>
      <c r="F1957" s="2">
        <f>IF(C1957="GBP",E1957*$C$3,IF(C1957="TRY",E1957/$C$1,IF(C1957="EUR",E1957*$E$1,IF(C1957="RUB",E1957/#REF!,IF(C1957="EGP",E1957/$E$2,E1957)))))</f>
        <v>65812.750741083</v>
      </c>
      <c r="G1957" s="15" t="str">
        <f>VLOOKUP(B1957,SPECIFICATIONF!$C$2:$D$65,2,0)</f>
        <v>GLOBAL RETAIL</v>
      </c>
      <c r="H1957" s="12">
        <f t="shared" si="90"/>
        <v>10</v>
      </c>
      <c r="I1957" s="12">
        <f t="shared" si="91"/>
        <v>2025</v>
      </c>
    </row>
    <row r="1958" spans="1:9" ht="19.5" customHeight="1" x14ac:dyDescent="0.35">
      <c r="A1958" s="41">
        <v>45945</v>
      </c>
      <c r="B1958" s="8" t="s">
        <v>24</v>
      </c>
      <c r="C1958" s="42" t="s">
        <v>33</v>
      </c>
      <c r="D1958" s="43" t="s">
        <v>29</v>
      </c>
      <c r="E1958" s="46">
        <v>0</v>
      </c>
      <c r="F1958" s="2">
        <f>IF(C1958="GBP",E1958*$C$3,IF(C1958="TRY",E1958/$C$1,IF(C1958="EUR",E1958*$E$1,IF(C1958="RUB",E1958/#REF!,IF(C1958="EGP",E1958/$E$2,E1958)))))</f>
        <v>0</v>
      </c>
      <c r="G1958" s="15" t="str">
        <f>VLOOKUP(B1958,SPECIFICATIONF!$C$2:$D$65,2,0)</f>
        <v>GLOBAL RETAIL</v>
      </c>
      <c r="H1958" s="12">
        <f t="shared" si="90"/>
        <v>10</v>
      </c>
      <c r="I1958" s="12">
        <f t="shared" si="91"/>
        <v>2025</v>
      </c>
    </row>
    <row r="1959" spans="1:9" ht="19.5" customHeight="1" x14ac:dyDescent="0.35">
      <c r="A1959" s="41">
        <v>45946</v>
      </c>
      <c r="B1959" s="8" t="s">
        <v>32</v>
      </c>
      <c r="C1959" s="42" t="s">
        <v>11</v>
      </c>
      <c r="D1959" s="43" t="s">
        <v>30</v>
      </c>
      <c r="E1959" s="46">
        <v>2048597.05</v>
      </c>
      <c r="F1959" s="2">
        <f>IF(C1959="GBP",E1959*$C$3,IF(C1959="TRY",E1959/$C$1,IF(C1959="EUR",E1959*$E$1,IF(C1959="RUB",E1959/#REF!,IF(C1959="EGP",E1959/$E$2,E1959)))))</f>
        <v>56176.89055006046</v>
      </c>
      <c r="G1959" s="15" t="str">
        <f>VLOOKUP(B1959,SPECIFICATIONF!$C$2:$D$65,2,0)</f>
        <v>GLOBAL HFT</v>
      </c>
      <c r="H1959" s="12">
        <f t="shared" ref="H1959:H1966" si="92">MONTH(A1959)</f>
        <v>10</v>
      </c>
      <c r="I1959" s="12">
        <f t="shared" ref="I1959:I1966" si="93">YEAR(A1959)</f>
        <v>2025</v>
      </c>
    </row>
    <row r="1960" spans="1:9" ht="19.5" customHeight="1" x14ac:dyDescent="0.35">
      <c r="A1960" s="41">
        <v>45946</v>
      </c>
      <c r="B1960" s="8" t="s">
        <v>32</v>
      </c>
      <c r="C1960" s="42" t="s">
        <v>33</v>
      </c>
      <c r="D1960" s="43" t="s">
        <v>30</v>
      </c>
      <c r="E1960" s="46">
        <v>9832.2800000000007</v>
      </c>
      <c r="F1960" s="2">
        <f>IF(C1960="GBP",E1960*$C$3,IF(C1960="TRY",E1960/$C$1,IF(C1960="EUR",E1960*$E$1,IF(C1960="RUB",E1960/#REF!,IF(C1960="EGP",E1960/$E$2,E1960)))))</f>
        <v>9832.2800000000007</v>
      </c>
      <c r="G1960" s="15" t="str">
        <f>VLOOKUP(B1960,SPECIFICATIONF!$C$2:$D$65,2,0)</f>
        <v>GLOBAL HFT</v>
      </c>
      <c r="H1960" s="12">
        <f t="shared" si="92"/>
        <v>10</v>
      </c>
      <c r="I1960" s="12">
        <f t="shared" si="93"/>
        <v>2025</v>
      </c>
    </row>
    <row r="1961" spans="1:9" ht="19.5" customHeight="1" x14ac:dyDescent="0.35">
      <c r="A1961" s="41">
        <v>45946</v>
      </c>
      <c r="B1961" s="8" t="s">
        <v>32</v>
      </c>
      <c r="C1961" s="42" t="s">
        <v>11</v>
      </c>
      <c r="D1961" s="43" t="s">
        <v>29</v>
      </c>
      <c r="E1961" s="46">
        <v>7791990880</v>
      </c>
      <c r="F1961" s="2">
        <f>IF(C1961="GBP",E1961*$C$3,IF(C1961="TRY",E1961/$C$1,IF(C1961="EUR",E1961*$E$1,IF(C1961="RUB",E1961/#REF!,IF(C1961="EGP",E1961/$E$2,E1961)))))</f>
        <v>213672971.37952498</v>
      </c>
      <c r="G1961" s="15" t="str">
        <f>VLOOKUP(B1961,SPECIFICATIONF!$C$2:$D$65,2,0)</f>
        <v>GLOBAL HFT</v>
      </c>
      <c r="H1961" s="12">
        <f t="shared" si="92"/>
        <v>10</v>
      </c>
      <c r="I1961" s="12">
        <f t="shared" si="93"/>
        <v>2025</v>
      </c>
    </row>
    <row r="1962" spans="1:9" ht="19.5" customHeight="1" x14ac:dyDescent="0.35">
      <c r="A1962" s="41">
        <v>45946</v>
      </c>
      <c r="B1962" s="8" t="s">
        <v>32</v>
      </c>
      <c r="C1962" s="42" t="s">
        <v>33</v>
      </c>
      <c r="D1962" s="43" t="s">
        <v>29</v>
      </c>
      <c r="E1962" s="46">
        <v>34458891</v>
      </c>
      <c r="F1962" s="2">
        <f>IF(C1962="GBP",E1962*$C$3,IF(C1962="TRY",E1962/$C$1,IF(C1962="EUR",E1962*$E$1,IF(C1962="RUB",E1962/#REF!,IF(C1962="EGP",E1962/$E$2,E1962)))))</f>
        <v>34458891</v>
      </c>
      <c r="G1962" s="15" t="str">
        <f>VLOOKUP(B1962,SPECIFICATIONF!$C$2:$D$65,2,0)</f>
        <v>GLOBAL HFT</v>
      </c>
      <c r="H1962" s="12">
        <f t="shared" si="92"/>
        <v>10</v>
      </c>
      <c r="I1962" s="12">
        <f t="shared" si="93"/>
        <v>2025</v>
      </c>
    </row>
    <row r="1963" spans="1:9" ht="19.5" customHeight="1" x14ac:dyDescent="0.35">
      <c r="A1963" s="41">
        <v>45946</v>
      </c>
      <c r="B1963" s="8" t="s">
        <v>24</v>
      </c>
      <c r="C1963" s="42" t="s">
        <v>11</v>
      </c>
      <c r="D1963" s="43" t="s">
        <v>30</v>
      </c>
      <c r="E1963" s="46">
        <v>0</v>
      </c>
      <c r="F1963" s="2">
        <f>IF(C1963="GBP",E1963*$C$3,IF(C1963="TRY",E1963/$C$1,IF(C1963="EUR",E1963*$E$1,IF(C1963="RUB",E1963/#REF!,IF(C1963="EGP",E1963/$E$2,E1963)))))</f>
        <v>0</v>
      </c>
      <c r="G1963" s="15" t="str">
        <f>VLOOKUP(B1963,SPECIFICATIONF!$C$2:$D$65,2,0)</f>
        <v>GLOBAL RETAIL</v>
      </c>
      <c r="H1963" s="12">
        <f t="shared" si="92"/>
        <v>10</v>
      </c>
      <c r="I1963" s="12">
        <f t="shared" si="93"/>
        <v>2025</v>
      </c>
    </row>
    <row r="1964" spans="1:9" ht="19.5" customHeight="1" x14ac:dyDescent="0.35">
      <c r="A1964" s="41">
        <v>45946</v>
      </c>
      <c r="B1964" s="8" t="s">
        <v>24</v>
      </c>
      <c r="C1964" s="42" t="s">
        <v>33</v>
      </c>
      <c r="D1964" s="43" t="s">
        <v>30</v>
      </c>
      <c r="E1964" s="46">
        <v>0</v>
      </c>
      <c r="F1964" s="2">
        <f>IF(C1964="GBP",E1964*$C$3,IF(C1964="TRY",E1964/$C$1,IF(C1964="EUR",E1964*$E$1,IF(C1964="RUB",E1964/#REF!,IF(C1964="EGP",E1964/$E$2,E1964)))))</f>
        <v>0</v>
      </c>
      <c r="G1964" s="15" t="str">
        <f>VLOOKUP(B1964,SPECIFICATIONF!$C$2:$D$65,2,0)</f>
        <v>GLOBAL RETAIL</v>
      </c>
      <c r="H1964" s="12">
        <f t="shared" si="92"/>
        <v>10</v>
      </c>
      <c r="I1964" s="12">
        <f t="shared" si="93"/>
        <v>2025</v>
      </c>
    </row>
    <row r="1965" spans="1:9" ht="19.5" customHeight="1" x14ac:dyDescent="0.35">
      <c r="A1965" s="41">
        <v>45946</v>
      </c>
      <c r="B1965" s="8" t="s">
        <v>24</v>
      </c>
      <c r="C1965" s="42" t="s">
        <v>11</v>
      </c>
      <c r="D1965" s="43" t="s">
        <v>29</v>
      </c>
      <c r="E1965" s="46">
        <v>4768419</v>
      </c>
      <c r="F1965" s="2">
        <f>IF(C1965="GBP",E1965*$C$3,IF(C1965="TRY",E1965/$C$1,IF(C1965="EUR",E1965*$E$1,IF(C1965="RUB",E1965/#REF!,IF(C1965="EGP",E1965/$E$2,E1965)))))</f>
        <v>130760.19623274804</v>
      </c>
      <c r="G1965" s="15" t="str">
        <f>VLOOKUP(B1965,SPECIFICATIONF!$C$2:$D$65,2,0)</f>
        <v>GLOBAL RETAIL</v>
      </c>
      <c r="H1965" s="12">
        <f t="shared" si="92"/>
        <v>10</v>
      </c>
      <c r="I1965" s="12">
        <f t="shared" si="93"/>
        <v>2025</v>
      </c>
    </row>
    <row r="1966" spans="1:9" ht="19.5" customHeight="1" x14ac:dyDescent="0.35">
      <c r="A1966" s="41">
        <v>45946</v>
      </c>
      <c r="B1966" s="8" t="s">
        <v>24</v>
      </c>
      <c r="C1966" s="42" t="s">
        <v>33</v>
      </c>
      <c r="D1966" s="43" t="s">
        <v>29</v>
      </c>
      <c r="E1966" s="46">
        <v>0</v>
      </c>
      <c r="F1966" s="2">
        <f>IF(C1966="GBP",E1966*$C$3,IF(C1966="TRY",E1966/$C$1,IF(C1966="EUR",E1966*$E$1,IF(C1966="RUB",E1966/#REF!,IF(C1966="EGP",E1966/$E$2,E1966)))))</f>
        <v>0</v>
      </c>
      <c r="G1966" s="15" t="str">
        <f>VLOOKUP(B1966,SPECIFICATIONF!$C$2:$D$65,2,0)</f>
        <v>GLOBAL RETAIL</v>
      </c>
      <c r="H1966" s="12">
        <f t="shared" si="92"/>
        <v>10</v>
      </c>
      <c r="I1966" s="12">
        <f t="shared" si="93"/>
        <v>2025</v>
      </c>
    </row>
    <row r="1967" spans="1:9" ht="19.5" customHeight="1" x14ac:dyDescent="0.35">
      <c r="A1967" s="41">
        <v>45947</v>
      </c>
      <c r="B1967" s="8" t="s">
        <v>32</v>
      </c>
      <c r="C1967" s="42" t="s">
        <v>11</v>
      </c>
      <c r="D1967" s="43" t="s">
        <v>30</v>
      </c>
      <c r="E1967" s="46">
        <v>2388045.4</v>
      </c>
      <c r="F1967" s="2">
        <f>IF(C1967="GBP",E1967*$C$3,IF(C1967="TRY",E1967/$C$1,IF(C1967="EUR",E1967*$E$1,IF(C1967="RUB",E1967/#REF!,IF(C1967="EGP",E1967/$E$2,E1967)))))</f>
        <v>65485.286657215169</v>
      </c>
      <c r="G1967" s="15" t="str">
        <f>VLOOKUP(B1967,SPECIFICATIONF!$C$2:$D$65,2,0)</f>
        <v>GLOBAL HFT</v>
      </c>
      <c r="H1967" s="12">
        <f t="shared" ref="H1967:H1974" si="94">MONTH(A1967)</f>
        <v>10</v>
      </c>
      <c r="I1967" s="12">
        <f t="shared" ref="I1967:I1974" si="95">YEAR(A1967)</f>
        <v>2025</v>
      </c>
    </row>
    <row r="1968" spans="1:9" ht="19.5" customHeight="1" x14ac:dyDescent="0.35">
      <c r="A1968" s="41">
        <v>45947</v>
      </c>
      <c r="B1968" s="8" t="s">
        <v>32</v>
      </c>
      <c r="C1968" s="42" t="s">
        <v>33</v>
      </c>
      <c r="D1968" s="43" t="s">
        <v>30</v>
      </c>
      <c r="E1968" s="46">
        <v>11197.88</v>
      </c>
      <c r="F1968" s="2">
        <f>IF(C1968="GBP",E1968*$C$3,IF(C1968="TRY",E1968/$C$1,IF(C1968="EUR",E1968*$E$1,IF(C1968="RUB",E1968/#REF!,IF(C1968="EGP",E1968/$E$2,E1968)))))</f>
        <v>11197.88</v>
      </c>
      <c r="G1968" s="15" t="str">
        <f>VLOOKUP(B1968,SPECIFICATIONF!$C$2:$D$65,2,0)</f>
        <v>GLOBAL HFT</v>
      </c>
      <c r="H1968" s="12">
        <f t="shared" si="94"/>
        <v>10</v>
      </c>
      <c r="I1968" s="12">
        <f t="shared" si="95"/>
        <v>2025</v>
      </c>
    </row>
    <row r="1969" spans="1:9" ht="19.5" customHeight="1" x14ac:dyDescent="0.35">
      <c r="A1969" s="41">
        <v>45947</v>
      </c>
      <c r="B1969" s="8" t="s">
        <v>32</v>
      </c>
      <c r="C1969" s="42" t="s">
        <v>11</v>
      </c>
      <c r="D1969" s="43" t="s">
        <v>29</v>
      </c>
      <c r="E1969" s="46">
        <v>8789215641</v>
      </c>
      <c r="F1969" s="2">
        <f>IF(C1969="GBP",E1969*$C$3,IF(C1969="TRY",E1969/$C$1,IF(C1969="EUR",E1969*$E$1,IF(C1969="RUB",E1969/#REF!,IF(C1969="EGP",E1969/$E$2,E1969)))))</f>
        <v>241018996.43238112</v>
      </c>
      <c r="G1969" s="15" t="str">
        <f>VLOOKUP(B1969,SPECIFICATIONF!$C$2:$D$65,2,0)</f>
        <v>GLOBAL HFT</v>
      </c>
      <c r="H1969" s="12">
        <f t="shared" si="94"/>
        <v>10</v>
      </c>
      <c r="I1969" s="12">
        <f t="shared" si="95"/>
        <v>2025</v>
      </c>
    </row>
    <row r="1970" spans="1:9" ht="19.5" customHeight="1" x14ac:dyDescent="0.35">
      <c r="A1970" s="41">
        <v>45947</v>
      </c>
      <c r="B1970" s="8" t="s">
        <v>32</v>
      </c>
      <c r="C1970" s="42" t="s">
        <v>33</v>
      </c>
      <c r="D1970" s="43" t="s">
        <v>29</v>
      </c>
      <c r="E1970" s="46">
        <v>39073941</v>
      </c>
      <c r="F1970" s="2">
        <f>IF(C1970="GBP",E1970*$C$3,IF(C1970="TRY",E1970/$C$1,IF(C1970="EUR",E1970*$E$1,IF(C1970="RUB",E1970/#REF!,IF(C1970="EGP",E1970/$E$2,E1970)))))</f>
        <v>39073941</v>
      </c>
      <c r="G1970" s="15" t="str">
        <f>VLOOKUP(B1970,SPECIFICATIONF!$C$2:$D$65,2,0)</f>
        <v>GLOBAL HFT</v>
      </c>
      <c r="H1970" s="12">
        <f t="shared" si="94"/>
        <v>10</v>
      </c>
      <c r="I1970" s="12">
        <f t="shared" si="95"/>
        <v>2025</v>
      </c>
    </row>
    <row r="1971" spans="1:9" ht="19.5" customHeight="1" x14ac:dyDescent="0.35">
      <c r="A1971" s="41">
        <v>45947</v>
      </c>
      <c r="B1971" s="8" t="s">
        <v>24</v>
      </c>
      <c r="C1971" s="42" t="s">
        <v>11</v>
      </c>
      <c r="D1971" s="43" t="s">
        <v>30</v>
      </c>
      <c r="E1971" s="46">
        <v>0</v>
      </c>
      <c r="F1971" s="2">
        <f>IF(C1971="GBP",E1971*$C$3,IF(C1971="TRY",E1971/$C$1,IF(C1971="EUR",E1971*$E$1,IF(C1971="RUB",E1971/#REF!,IF(C1971="EGP",E1971/$E$2,E1971)))))</f>
        <v>0</v>
      </c>
      <c r="G1971" s="15" t="str">
        <f>VLOOKUP(B1971,SPECIFICATIONF!$C$2:$D$65,2,0)</f>
        <v>GLOBAL RETAIL</v>
      </c>
      <c r="H1971" s="12">
        <f t="shared" si="94"/>
        <v>10</v>
      </c>
      <c r="I1971" s="12">
        <f t="shared" si="95"/>
        <v>2025</v>
      </c>
    </row>
    <row r="1972" spans="1:9" ht="19.5" customHeight="1" x14ac:dyDescent="0.35">
      <c r="A1972" s="41">
        <v>45947</v>
      </c>
      <c r="B1972" s="8" t="s">
        <v>24</v>
      </c>
      <c r="C1972" s="42" t="s">
        <v>33</v>
      </c>
      <c r="D1972" s="43" t="s">
        <v>30</v>
      </c>
      <c r="E1972" s="46">
        <v>0</v>
      </c>
      <c r="F1972" s="2">
        <f>IF(C1972="GBP",E1972*$C$3,IF(C1972="TRY",E1972/$C$1,IF(C1972="EUR",E1972*$E$1,IF(C1972="RUB",E1972/#REF!,IF(C1972="EGP",E1972/$E$2,E1972)))))</f>
        <v>0</v>
      </c>
      <c r="G1972" s="15" t="str">
        <f>VLOOKUP(B1972,SPECIFICATIONF!$C$2:$D$65,2,0)</f>
        <v>GLOBAL RETAIL</v>
      </c>
      <c r="H1972" s="12">
        <f t="shared" si="94"/>
        <v>10</v>
      </c>
      <c r="I1972" s="12">
        <f t="shared" si="95"/>
        <v>2025</v>
      </c>
    </row>
    <row r="1973" spans="1:9" ht="19.5" customHeight="1" x14ac:dyDescent="0.35">
      <c r="A1973" s="41">
        <v>45947</v>
      </c>
      <c r="B1973" s="8" t="s">
        <v>24</v>
      </c>
      <c r="C1973" s="42" t="s">
        <v>11</v>
      </c>
      <c r="D1973" s="43" t="s">
        <v>29</v>
      </c>
      <c r="E1973" s="46">
        <v>7661405</v>
      </c>
      <c r="F1973" s="2">
        <f>IF(C1973="GBP",E1973*$C$3,IF(C1973="TRY",E1973/$C$1,IF(C1973="EUR",E1973*$E$1,IF(C1973="RUB",E1973/#REF!,IF(C1973="EGP",E1973/$E$2,E1973)))))</f>
        <v>210092.02866160817</v>
      </c>
      <c r="G1973" s="15" t="str">
        <f>VLOOKUP(B1973,SPECIFICATIONF!$C$2:$D$65,2,0)</f>
        <v>GLOBAL RETAIL</v>
      </c>
      <c r="H1973" s="12">
        <f t="shared" si="94"/>
        <v>10</v>
      </c>
      <c r="I1973" s="12">
        <f t="shared" si="95"/>
        <v>2025</v>
      </c>
    </row>
    <row r="1974" spans="1:9" ht="19.5" customHeight="1" x14ac:dyDescent="0.35">
      <c r="A1974" s="41">
        <v>45947</v>
      </c>
      <c r="B1974" s="8" t="s">
        <v>24</v>
      </c>
      <c r="C1974" s="42" t="s">
        <v>33</v>
      </c>
      <c r="D1974" s="43" t="s">
        <v>29</v>
      </c>
      <c r="E1974" s="46">
        <v>23</v>
      </c>
      <c r="F1974" s="2">
        <f>IF(C1974="GBP",E1974*$C$3,IF(C1974="TRY",E1974/$C$1,IF(C1974="EUR",E1974*$E$1,IF(C1974="RUB",E1974/#REF!,IF(C1974="EGP",E1974/$E$2,E1974)))))</f>
        <v>23</v>
      </c>
      <c r="G1974" s="15" t="str">
        <f>VLOOKUP(B1974,SPECIFICATIONF!$C$2:$D$65,2,0)</f>
        <v>GLOBAL RETAIL</v>
      </c>
      <c r="H1974" s="12">
        <f t="shared" si="94"/>
        <v>10</v>
      </c>
      <c r="I1974" s="12">
        <f t="shared" si="95"/>
        <v>2025</v>
      </c>
    </row>
    <row r="1975" spans="1:9" ht="19.5" customHeight="1" x14ac:dyDescent="0.35">
      <c r="A1975" s="41">
        <v>45948</v>
      </c>
      <c r="B1975" s="8" t="s">
        <v>32</v>
      </c>
      <c r="C1975" s="42" t="s">
        <v>11</v>
      </c>
      <c r="D1975" s="43" t="s">
        <v>30</v>
      </c>
      <c r="E1975" s="46">
        <v>1235844.8700000001</v>
      </c>
      <c r="F1975" s="2">
        <f>IF(C1975="GBP",E1975*$C$3,IF(C1975="TRY",E1975/$C$1,IF(C1975="EUR",E1975*$E$1,IF(C1975="RUB",E1975/#REF!,IF(C1975="EGP",E1975/$E$2,E1975)))))</f>
        <v>33889.496228086289</v>
      </c>
      <c r="G1975" s="15" t="str">
        <f>VLOOKUP(B1975,SPECIFICATIONF!$C$2:$D$65,2,0)</f>
        <v>GLOBAL HFT</v>
      </c>
      <c r="H1975" s="12">
        <f t="shared" ref="H1975:H1998" si="96">MONTH(A1975)</f>
        <v>10</v>
      </c>
      <c r="I1975" s="12">
        <f t="shared" ref="I1975:I1998" si="97">YEAR(A1975)</f>
        <v>2025</v>
      </c>
    </row>
    <row r="1976" spans="1:9" ht="19.5" customHeight="1" x14ac:dyDescent="0.35">
      <c r="A1976" s="41">
        <v>45948</v>
      </c>
      <c r="B1976" s="8" t="s">
        <v>32</v>
      </c>
      <c r="C1976" s="42" t="s">
        <v>33</v>
      </c>
      <c r="D1976" s="43" t="s">
        <v>30</v>
      </c>
      <c r="E1976" s="46">
        <v>5228.95</v>
      </c>
      <c r="F1976" s="2">
        <f>IF(C1976="GBP",E1976*$C$3,IF(C1976="TRY",E1976/$C$1,IF(C1976="EUR",E1976*$E$1,IF(C1976="RUB",E1976/#REF!,IF(C1976="EGP",E1976/$E$2,E1976)))))</f>
        <v>5228.95</v>
      </c>
      <c r="G1976" s="15" t="str">
        <f>VLOOKUP(B1976,SPECIFICATIONF!$C$2:$D$65,2,0)</f>
        <v>GLOBAL HFT</v>
      </c>
      <c r="H1976" s="12">
        <f t="shared" si="96"/>
        <v>10</v>
      </c>
      <c r="I1976" s="12">
        <f t="shared" si="97"/>
        <v>2025</v>
      </c>
    </row>
    <row r="1977" spans="1:9" ht="19.5" customHeight="1" x14ac:dyDescent="0.35">
      <c r="A1977" s="41">
        <v>45948</v>
      </c>
      <c r="B1977" s="8" t="s">
        <v>32</v>
      </c>
      <c r="C1977" s="42" t="s">
        <v>11</v>
      </c>
      <c r="D1977" s="43" t="s">
        <v>29</v>
      </c>
      <c r="E1977" s="46">
        <v>4737603490</v>
      </c>
      <c r="F1977" s="2">
        <f>IF(C1977="GBP",E1977*$C$3,IF(C1977="TRY",E1977/$C$1,IF(C1977="EUR",E1977*$E$1,IF(C1977="RUB",E1977/#REF!,IF(C1977="EGP",E1977/$E$2,E1977)))))</f>
        <v>129915169.37277366</v>
      </c>
      <c r="G1977" s="15" t="str">
        <f>VLOOKUP(B1977,SPECIFICATIONF!$C$2:$D$65,2,0)</f>
        <v>GLOBAL HFT</v>
      </c>
      <c r="H1977" s="12">
        <f t="shared" si="96"/>
        <v>10</v>
      </c>
      <c r="I1977" s="12">
        <f t="shared" si="97"/>
        <v>2025</v>
      </c>
    </row>
    <row r="1978" spans="1:9" ht="19.5" customHeight="1" x14ac:dyDescent="0.35">
      <c r="A1978" s="41">
        <v>45948</v>
      </c>
      <c r="B1978" s="8" t="s">
        <v>32</v>
      </c>
      <c r="C1978" s="42" t="s">
        <v>33</v>
      </c>
      <c r="D1978" s="43" t="s">
        <v>29</v>
      </c>
      <c r="E1978" s="46">
        <v>18675880</v>
      </c>
      <c r="F1978" s="2">
        <f>IF(C1978="GBP",E1978*$C$3,IF(C1978="TRY",E1978/$C$1,IF(C1978="EUR",E1978*$E$1,IF(C1978="RUB",E1978/#REF!,IF(C1978="EGP",E1978/$E$2,E1978)))))</f>
        <v>18675880</v>
      </c>
      <c r="G1978" s="15" t="str">
        <f>VLOOKUP(B1978,SPECIFICATIONF!$C$2:$D$65,2,0)</f>
        <v>GLOBAL HFT</v>
      </c>
      <c r="H1978" s="12">
        <f t="shared" si="96"/>
        <v>10</v>
      </c>
      <c r="I1978" s="12">
        <f t="shared" si="97"/>
        <v>2025</v>
      </c>
    </row>
    <row r="1979" spans="1:9" ht="19.5" customHeight="1" x14ac:dyDescent="0.35">
      <c r="A1979" s="41">
        <v>45948</v>
      </c>
      <c r="B1979" s="8" t="s">
        <v>24</v>
      </c>
      <c r="C1979" s="42" t="s">
        <v>11</v>
      </c>
      <c r="D1979" s="43" t="s">
        <v>30</v>
      </c>
      <c r="E1979" s="46">
        <v>0</v>
      </c>
      <c r="F1979" s="2">
        <f>IF(C1979="GBP",E1979*$C$3,IF(C1979="TRY",E1979/$C$1,IF(C1979="EUR",E1979*$E$1,IF(C1979="RUB",E1979/#REF!,IF(C1979="EGP",E1979/$E$2,E1979)))))</f>
        <v>0</v>
      </c>
      <c r="G1979" s="15" t="str">
        <f>VLOOKUP(B1979,SPECIFICATIONF!$C$2:$D$65,2,0)</f>
        <v>GLOBAL RETAIL</v>
      </c>
      <c r="H1979" s="12">
        <f t="shared" si="96"/>
        <v>10</v>
      </c>
      <c r="I1979" s="12">
        <f t="shared" si="97"/>
        <v>2025</v>
      </c>
    </row>
    <row r="1980" spans="1:9" ht="19.5" customHeight="1" x14ac:dyDescent="0.35">
      <c r="A1980" s="41">
        <v>45948</v>
      </c>
      <c r="B1980" s="8" t="s">
        <v>24</v>
      </c>
      <c r="C1980" s="42" t="s">
        <v>33</v>
      </c>
      <c r="D1980" s="43" t="s">
        <v>30</v>
      </c>
      <c r="E1980" s="46">
        <v>0</v>
      </c>
      <c r="F1980" s="2">
        <f>IF(C1980="GBP",E1980*$C$3,IF(C1980="TRY",E1980/$C$1,IF(C1980="EUR",E1980*$E$1,IF(C1980="RUB",E1980/#REF!,IF(C1980="EGP",E1980/$E$2,E1980)))))</f>
        <v>0</v>
      </c>
      <c r="G1980" s="15" t="str">
        <f>VLOOKUP(B1980,SPECIFICATIONF!$C$2:$D$65,2,0)</f>
        <v>GLOBAL RETAIL</v>
      </c>
      <c r="H1980" s="12">
        <f t="shared" si="96"/>
        <v>10</v>
      </c>
      <c r="I1980" s="12">
        <f t="shared" si="97"/>
        <v>2025</v>
      </c>
    </row>
    <row r="1981" spans="1:9" ht="19.5" customHeight="1" x14ac:dyDescent="0.35">
      <c r="A1981" s="41">
        <v>45948</v>
      </c>
      <c r="B1981" s="8" t="s">
        <v>24</v>
      </c>
      <c r="C1981" s="42" t="s">
        <v>11</v>
      </c>
      <c r="D1981" s="43" t="s">
        <v>29</v>
      </c>
      <c r="E1981" s="46">
        <v>150</v>
      </c>
      <c r="F1981" s="2">
        <f>IF(C1981="GBP",E1981*$C$3,IF(C1981="TRY",E1981/$C$1,IF(C1981="EUR",E1981*$E$1,IF(C1981="RUB",E1981/#REF!,IF(C1981="EGP",E1981/$E$2,E1981)))))</f>
        <v>4.1133192017966973</v>
      </c>
      <c r="G1981" s="15" t="str">
        <f>VLOOKUP(B1981,SPECIFICATIONF!$C$2:$D$65,2,0)</f>
        <v>GLOBAL RETAIL</v>
      </c>
      <c r="H1981" s="12">
        <f t="shared" si="96"/>
        <v>10</v>
      </c>
      <c r="I1981" s="12">
        <f t="shared" si="97"/>
        <v>2025</v>
      </c>
    </row>
    <row r="1982" spans="1:9" ht="19.5" customHeight="1" x14ac:dyDescent="0.35">
      <c r="A1982" s="41">
        <v>45948</v>
      </c>
      <c r="B1982" s="8" t="s">
        <v>24</v>
      </c>
      <c r="C1982" s="42" t="s">
        <v>33</v>
      </c>
      <c r="D1982" s="43" t="s">
        <v>29</v>
      </c>
      <c r="E1982" s="46">
        <v>0</v>
      </c>
      <c r="F1982" s="2">
        <f>IF(C1982="GBP",E1982*$C$3,IF(C1982="TRY",E1982/$C$1,IF(C1982="EUR",E1982*$E$1,IF(C1982="RUB",E1982/#REF!,IF(C1982="EGP",E1982/$E$2,E1982)))))</f>
        <v>0</v>
      </c>
      <c r="G1982" s="15" t="str">
        <f>VLOOKUP(B1982,SPECIFICATIONF!$C$2:$D$65,2,0)</f>
        <v>GLOBAL RETAIL</v>
      </c>
      <c r="H1982" s="12">
        <f t="shared" si="96"/>
        <v>10</v>
      </c>
      <c r="I1982" s="12">
        <f t="shared" si="97"/>
        <v>2025</v>
      </c>
    </row>
    <row r="1983" spans="1:9" ht="19.5" customHeight="1" x14ac:dyDescent="0.35">
      <c r="A1983" s="41">
        <v>45949</v>
      </c>
      <c r="B1983" s="8" t="s">
        <v>32</v>
      </c>
      <c r="C1983" s="42" t="s">
        <v>11</v>
      </c>
      <c r="D1983" s="43" t="s">
        <v>30</v>
      </c>
      <c r="E1983" s="46">
        <v>1546170.63</v>
      </c>
      <c r="F1983" s="2">
        <f>IF(C1983="GBP",E1983*$C$3,IF(C1983="TRY",E1983/$C$1,IF(C1983="EUR",E1983*$E$1,IF(C1983="RUB",E1983/#REF!,IF(C1983="EGP",E1983/$E$2,E1983)))))</f>
        <v>42399.288944220643</v>
      </c>
      <c r="G1983" s="15" t="str">
        <f>VLOOKUP(B1983,SPECIFICATIONF!$C$2:$D$65,2,0)</f>
        <v>GLOBAL HFT</v>
      </c>
      <c r="H1983" s="12">
        <f t="shared" si="96"/>
        <v>10</v>
      </c>
      <c r="I1983" s="12">
        <f t="shared" si="97"/>
        <v>2025</v>
      </c>
    </row>
    <row r="1984" spans="1:9" ht="19.5" customHeight="1" x14ac:dyDescent="0.35">
      <c r="A1984" s="41">
        <v>45949</v>
      </c>
      <c r="B1984" s="8" t="s">
        <v>32</v>
      </c>
      <c r="C1984" s="42" t="s">
        <v>33</v>
      </c>
      <c r="D1984" s="43" t="s">
        <v>30</v>
      </c>
      <c r="E1984" s="46">
        <v>7077.68</v>
      </c>
      <c r="F1984" s="2">
        <f>IF(C1984="GBP",E1984*$C$3,IF(C1984="TRY",E1984/$C$1,IF(C1984="EUR",E1984*$E$1,IF(C1984="RUB",E1984/#REF!,IF(C1984="EGP",E1984/$E$2,E1984)))))</f>
        <v>7077.68</v>
      </c>
      <c r="G1984" s="15" t="str">
        <f>VLOOKUP(B1984,SPECIFICATIONF!$C$2:$D$65,2,0)</f>
        <v>GLOBAL HFT</v>
      </c>
      <c r="H1984" s="12">
        <f t="shared" si="96"/>
        <v>10</v>
      </c>
      <c r="I1984" s="12">
        <f t="shared" si="97"/>
        <v>2025</v>
      </c>
    </row>
    <row r="1985" spans="1:9" ht="19.5" customHeight="1" x14ac:dyDescent="0.35">
      <c r="A1985" s="41">
        <v>45949</v>
      </c>
      <c r="B1985" s="8" t="s">
        <v>32</v>
      </c>
      <c r="C1985" s="42" t="s">
        <v>11</v>
      </c>
      <c r="D1985" s="43" t="s">
        <v>29</v>
      </c>
      <c r="E1985" s="46">
        <v>5736750993</v>
      </c>
      <c r="F1985" s="2">
        <f>IF(C1985="GBP",E1985*$C$3,IF(C1985="TRY",E1985/$C$1,IF(C1985="EUR",E1985*$E$1,IF(C1985="RUB",E1985/#REF!,IF(C1985="EGP",E1985/$E$2,E1985)))))</f>
        <v>157313920.10288781</v>
      </c>
      <c r="G1985" s="15" t="str">
        <f>VLOOKUP(B1985,SPECIFICATIONF!$C$2:$D$65,2,0)</f>
        <v>GLOBAL HFT</v>
      </c>
      <c r="H1985" s="12">
        <f t="shared" si="96"/>
        <v>10</v>
      </c>
      <c r="I1985" s="12">
        <f t="shared" si="97"/>
        <v>2025</v>
      </c>
    </row>
    <row r="1986" spans="1:9" ht="19.5" customHeight="1" x14ac:dyDescent="0.35">
      <c r="A1986" s="41">
        <v>45949</v>
      </c>
      <c r="B1986" s="8" t="s">
        <v>32</v>
      </c>
      <c r="C1986" s="42" t="s">
        <v>33</v>
      </c>
      <c r="D1986" s="43" t="s">
        <v>29</v>
      </c>
      <c r="E1986" s="46">
        <v>24562138</v>
      </c>
      <c r="F1986" s="2">
        <f>IF(C1986="GBP",E1986*$C$3,IF(C1986="TRY",E1986/$C$1,IF(C1986="EUR",E1986*$E$1,IF(C1986="RUB",E1986/#REF!,IF(C1986="EGP",E1986/$E$2,E1986)))))</f>
        <v>24562138</v>
      </c>
      <c r="G1986" s="15" t="str">
        <f>VLOOKUP(B1986,SPECIFICATIONF!$C$2:$D$65,2,0)</f>
        <v>GLOBAL HFT</v>
      </c>
      <c r="H1986" s="12">
        <f t="shared" si="96"/>
        <v>10</v>
      </c>
      <c r="I1986" s="12">
        <f t="shared" si="97"/>
        <v>2025</v>
      </c>
    </row>
    <row r="1987" spans="1:9" ht="19.5" customHeight="1" x14ac:dyDescent="0.35">
      <c r="A1987" s="41">
        <v>45949</v>
      </c>
      <c r="B1987" s="8" t="s">
        <v>24</v>
      </c>
      <c r="C1987" s="42" t="s">
        <v>11</v>
      </c>
      <c r="D1987" s="43" t="s">
        <v>30</v>
      </c>
      <c r="E1987" s="46">
        <v>0</v>
      </c>
      <c r="F1987" s="2">
        <f>IF(C1987="GBP",E1987*$C$3,IF(C1987="TRY",E1987/$C$1,IF(C1987="EUR",E1987*$E$1,IF(C1987="RUB",E1987/#REF!,IF(C1987="EGP",E1987/$E$2,E1987)))))</f>
        <v>0</v>
      </c>
      <c r="G1987" s="15" t="str">
        <f>VLOOKUP(B1987,SPECIFICATIONF!$C$2:$D$65,2,0)</f>
        <v>GLOBAL RETAIL</v>
      </c>
      <c r="H1987" s="12">
        <f t="shared" si="96"/>
        <v>10</v>
      </c>
      <c r="I1987" s="12">
        <f t="shared" si="97"/>
        <v>2025</v>
      </c>
    </row>
    <row r="1988" spans="1:9" ht="19.5" customHeight="1" x14ac:dyDescent="0.35">
      <c r="A1988" s="41">
        <v>45949</v>
      </c>
      <c r="B1988" s="8" t="s">
        <v>24</v>
      </c>
      <c r="C1988" s="42" t="s">
        <v>33</v>
      </c>
      <c r="D1988" s="43" t="s">
        <v>30</v>
      </c>
      <c r="E1988" s="46">
        <v>0</v>
      </c>
      <c r="F1988" s="2">
        <f>IF(C1988="GBP",E1988*$C$3,IF(C1988="TRY",E1988/$C$1,IF(C1988="EUR",E1988*$E$1,IF(C1988="RUB",E1988/#REF!,IF(C1988="EGP",E1988/$E$2,E1988)))))</f>
        <v>0</v>
      </c>
      <c r="G1988" s="15" t="str">
        <f>VLOOKUP(B1988,SPECIFICATIONF!$C$2:$D$65,2,0)</f>
        <v>GLOBAL RETAIL</v>
      </c>
      <c r="H1988" s="12">
        <f t="shared" si="96"/>
        <v>10</v>
      </c>
      <c r="I1988" s="12">
        <f t="shared" si="97"/>
        <v>2025</v>
      </c>
    </row>
    <row r="1989" spans="1:9" ht="19.5" customHeight="1" x14ac:dyDescent="0.35">
      <c r="A1989" s="41">
        <v>45949</v>
      </c>
      <c r="B1989" s="8" t="s">
        <v>24</v>
      </c>
      <c r="C1989" s="42" t="s">
        <v>11</v>
      </c>
      <c r="D1989" s="43" t="s">
        <v>29</v>
      </c>
      <c r="E1989" s="46">
        <v>850803</v>
      </c>
      <c r="F1989" s="2">
        <f>IF(C1989="GBP",E1989*$C$3,IF(C1989="TRY",E1989/$C$1,IF(C1989="EUR",E1989*$E$1,IF(C1989="RUB",E1989/#REF!,IF(C1989="EGP",E1989/$E$2,E1989)))))</f>
        <v>23330.828778974905</v>
      </c>
      <c r="G1989" s="15" t="str">
        <f>VLOOKUP(B1989,SPECIFICATIONF!$C$2:$D$65,2,0)</f>
        <v>GLOBAL RETAIL</v>
      </c>
      <c r="H1989" s="12">
        <f t="shared" si="96"/>
        <v>10</v>
      </c>
      <c r="I1989" s="12">
        <f t="shared" si="97"/>
        <v>2025</v>
      </c>
    </row>
    <row r="1990" spans="1:9" ht="19.5" customHeight="1" x14ac:dyDescent="0.35">
      <c r="A1990" s="41">
        <v>45949</v>
      </c>
      <c r="B1990" s="8" t="s">
        <v>24</v>
      </c>
      <c r="C1990" s="42" t="s">
        <v>33</v>
      </c>
      <c r="D1990" s="43" t="s">
        <v>29</v>
      </c>
      <c r="E1990" s="46">
        <v>0</v>
      </c>
      <c r="F1990" s="2">
        <f>IF(C1990="GBP",E1990*$C$3,IF(C1990="TRY",E1990/$C$1,IF(C1990="EUR",E1990*$E$1,IF(C1990="RUB",E1990/#REF!,IF(C1990="EGP",E1990/$E$2,E1990)))))</f>
        <v>0</v>
      </c>
      <c r="G1990" s="15" t="str">
        <f>VLOOKUP(B1990,SPECIFICATIONF!$C$2:$D$65,2,0)</f>
        <v>GLOBAL RETAIL</v>
      </c>
      <c r="H1990" s="12">
        <f t="shared" si="96"/>
        <v>10</v>
      </c>
      <c r="I1990" s="12">
        <f t="shared" si="97"/>
        <v>2025</v>
      </c>
    </row>
    <row r="1991" spans="1:9" ht="19.5" customHeight="1" x14ac:dyDescent="0.35">
      <c r="A1991" s="41">
        <v>45950</v>
      </c>
      <c r="B1991" s="8" t="s">
        <v>32</v>
      </c>
      <c r="C1991" s="42" t="s">
        <v>11</v>
      </c>
      <c r="D1991" s="43" t="s">
        <v>30</v>
      </c>
      <c r="E1991" s="46">
        <v>2268897.7599999998</v>
      </c>
      <c r="F1991" s="2">
        <f>IF(C1991="GBP",E1991*$C$3,IF(C1991="TRY",E1991/$C$1,IF(C1991="EUR",E1991*$E$1,IF(C1991="RUB",E1991/#REF!,IF(C1991="EGP",E1991/$E$2,E1991)))))</f>
        <v>62218.004820810092</v>
      </c>
      <c r="G1991" s="15" t="str">
        <f>VLOOKUP(B1991,SPECIFICATIONF!$C$2:$D$65,2,0)</f>
        <v>GLOBAL HFT</v>
      </c>
      <c r="H1991" s="12">
        <f t="shared" si="96"/>
        <v>10</v>
      </c>
      <c r="I1991" s="12">
        <f t="shared" si="97"/>
        <v>2025</v>
      </c>
    </row>
    <row r="1992" spans="1:9" ht="19.5" customHeight="1" x14ac:dyDescent="0.35">
      <c r="A1992" s="41">
        <v>45950</v>
      </c>
      <c r="B1992" s="8" t="s">
        <v>32</v>
      </c>
      <c r="C1992" s="42" t="s">
        <v>33</v>
      </c>
      <c r="D1992" s="43" t="s">
        <v>30</v>
      </c>
      <c r="E1992" s="46">
        <v>10849.38</v>
      </c>
      <c r="F1992" s="2">
        <f>IF(C1992="GBP",E1992*$C$3,IF(C1992="TRY",E1992/$C$1,IF(C1992="EUR",E1992*$E$1,IF(C1992="RUB",E1992/#REF!,IF(C1992="EGP",E1992/$E$2,E1992)))))</f>
        <v>10849.38</v>
      </c>
      <c r="G1992" s="15" t="str">
        <f>VLOOKUP(B1992,SPECIFICATIONF!$C$2:$D$65,2,0)</f>
        <v>GLOBAL HFT</v>
      </c>
      <c r="H1992" s="12">
        <f t="shared" si="96"/>
        <v>10</v>
      </c>
      <c r="I1992" s="12">
        <f t="shared" si="97"/>
        <v>2025</v>
      </c>
    </row>
    <row r="1993" spans="1:9" ht="19.5" customHeight="1" x14ac:dyDescent="0.35">
      <c r="A1993" s="41">
        <v>45950</v>
      </c>
      <c r="B1993" s="8" t="s">
        <v>32</v>
      </c>
      <c r="C1993" s="42" t="s">
        <v>11</v>
      </c>
      <c r="D1993" s="43" t="s">
        <v>29</v>
      </c>
      <c r="E1993" s="46">
        <v>8246051355</v>
      </c>
      <c r="F1993" s="2">
        <f>IF(C1993="GBP",E1993*$C$3,IF(C1993="TRY",E1993/$C$1,IF(C1993="EUR",E1993*$E$1,IF(C1993="RUB",E1993/#REF!,IF(C1993="EGP",E1993/$E$2,E1993)))))</f>
        <v>226124275.85015452</v>
      </c>
      <c r="G1993" s="15" t="str">
        <f>VLOOKUP(B1993,SPECIFICATIONF!$C$2:$D$65,2,0)</f>
        <v>GLOBAL HFT</v>
      </c>
      <c r="H1993" s="12">
        <f t="shared" si="96"/>
        <v>10</v>
      </c>
      <c r="I1993" s="12">
        <f t="shared" si="97"/>
        <v>2025</v>
      </c>
    </row>
    <row r="1994" spans="1:9" ht="19.5" customHeight="1" x14ac:dyDescent="0.35">
      <c r="A1994" s="41">
        <v>45950</v>
      </c>
      <c r="B1994" s="8" t="s">
        <v>32</v>
      </c>
      <c r="C1994" s="42" t="s">
        <v>33</v>
      </c>
      <c r="D1994" s="43" t="s">
        <v>29</v>
      </c>
      <c r="E1994" s="46">
        <v>37868791</v>
      </c>
      <c r="F1994" s="2">
        <f>IF(C1994="GBP",E1994*$C$3,IF(C1994="TRY",E1994/$C$1,IF(C1994="EUR",E1994*$E$1,IF(C1994="RUB",E1994/#REF!,IF(C1994="EGP",E1994/$E$2,E1994)))))</f>
        <v>37868791</v>
      </c>
      <c r="G1994" s="15" t="str">
        <f>VLOOKUP(B1994,SPECIFICATIONF!$C$2:$D$65,2,0)</f>
        <v>GLOBAL HFT</v>
      </c>
      <c r="H1994" s="12">
        <f t="shared" si="96"/>
        <v>10</v>
      </c>
      <c r="I1994" s="12">
        <f t="shared" si="97"/>
        <v>2025</v>
      </c>
    </row>
    <row r="1995" spans="1:9" ht="19.5" customHeight="1" x14ac:dyDescent="0.35">
      <c r="A1995" s="41">
        <v>45950</v>
      </c>
      <c r="B1995" s="8" t="s">
        <v>24</v>
      </c>
      <c r="C1995" s="42" t="s">
        <v>11</v>
      </c>
      <c r="D1995" s="43" t="s">
        <v>30</v>
      </c>
      <c r="E1995" s="46">
        <v>0</v>
      </c>
      <c r="F1995" s="2">
        <f>IF(C1995="GBP",E1995*$C$3,IF(C1995="TRY",E1995/$C$1,IF(C1995="EUR",E1995*$E$1,IF(C1995="RUB",E1995/#REF!,IF(C1995="EGP",E1995/$E$2,E1995)))))</f>
        <v>0</v>
      </c>
      <c r="G1995" s="15" t="str">
        <f>VLOOKUP(B1995,SPECIFICATIONF!$C$2:$D$65,2,0)</f>
        <v>GLOBAL RETAIL</v>
      </c>
      <c r="H1995" s="12">
        <f t="shared" si="96"/>
        <v>10</v>
      </c>
      <c r="I1995" s="12">
        <f t="shared" si="97"/>
        <v>2025</v>
      </c>
    </row>
    <row r="1996" spans="1:9" ht="19.5" customHeight="1" x14ac:dyDescent="0.35">
      <c r="A1996" s="41">
        <v>45950</v>
      </c>
      <c r="B1996" s="8" t="s">
        <v>24</v>
      </c>
      <c r="C1996" s="42" t="s">
        <v>33</v>
      </c>
      <c r="D1996" s="43" t="s">
        <v>30</v>
      </c>
      <c r="E1996" s="46">
        <v>0</v>
      </c>
      <c r="F1996" s="2">
        <f>IF(C1996="GBP",E1996*$C$3,IF(C1996="TRY",E1996/$C$1,IF(C1996="EUR",E1996*$E$1,IF(C1996="RUB",E1996/#REF!,IF(C1996="EGP",E1996/$E$2,E1996)))))</f>
        <v>0</v>
      </c>
      <c r="G1996" s="15" t="str">
        <f>VLOOKUP(B1996,SPECIFICATIONF!$C$2:$D$65,2,0)</f>
        <v>GLOBAL RETAIL</v>
      </c>
      <c r="H1996" s="12">
        <f t="shared" si="96"/>
        <v>10</v>
      </c>
      <c r="I1996" s="12">
        <f t="shared" si="97"/>
        <v>2025</v>
      </c>
    </row>
    <row r="1997" spans="1:9" ht="19.5" customHeight="1" x14ac:dyDescent="0.35">
      <c r="A1997" s="41">
        <v>45950</v>
      </c>
      <c r="B1997" s="8" t="s">
        <v>24</v>
      </c>
      <c r="C1997" s="42" t="s">
        <v>11</v>
      </c>
      <c r="D1997" s="43" t="s">
        <v>29</v>
      </c>
      <c r="E1997" s="46">
        <v>0</v>
      </c>
      <c r="F1997" s="2">
        <f>IF(C1997="GBP",E1997*$C$3,IF(C1997="TRY",E1997/$C$1,IF(C1997="EUR",E1997*$E$1,IF(C1997="RUB",E1997/#REF!,IF(C1997="EGP",E1997/$E$2,E1997)))))</f>
        <v>0</v>
      </c>
      <c r="G1997" s="15" t="str">
        <f>VLOOKUP(B1997,SPECIFICATIONF!$C$2:$D$65,2,0)</f>
        <v>GLOBAL RETAIL</v>
      </c>
      <c r="H1997" s="12">
        <f t="shared" si="96"/>
        <v>10</v>
      </c>
      <c r="I1997" s="12">
        <f t="shared" si="97"/>
        <v>2025</v>
      </c>
    </row>
    <row r="1998" spans="1:9" ht="19.5" customHeight="1" x14ac:dyDescent="0.35">
      <c r="A1998" s="41">
        <v>45950</v>
      </c>
      <c r="B1998" s="8" t="s">
        <v>24</v>
      </c>
      <c r="C1998" s="42" t="s">
        <v>33</v>
      </c>
      <c r="D1998" s="43" t="s">
        <v>29</v>
      </c>
      <c r="E1998" s="46">
        <v>0</v>
      </c>
      <c r="F1998" s="2">
        <f>IF(C1998="GBP",E1998*$C$3,IF(C1998="TRY",E1998/$C$1,IF(C1998="EUR",E1998*$E$1,IF(C1998="RUB",E1998/#REF!,IF(C1998="EGP",E1998/$E$2,E1998)))))</f>
        <v>0</v>
      </c>
      <c r="G1998" s="15" t="str">
        <f>VLOOKUP(B1998,SPECIFICATIONF!$C$2:$D$65,2,0)</f>
        <v>GLOBAL RETAIL</v>
      </c>
      <c r="H1998" s="12">
        <f t="shared" si="96"/>
        <v>10</v>
      </c>
      <c r="I1998" s="12">
        <f t="shared" si="97"/>
        <v>2025</v>
      </c>
    </row>
    <row r="1999" spans="1:9" ht="19.5" customHeight="1" x14ac:dyDescent="0.35">
      <c r="A1999" s="41">
        <v>45951</v>
      </c>
      <c r="B1999" s="8" t="s">
        <v>32</v>
      </c>
      <c r="C1999" s="42" t="s">
        <v>11</v>
      </c>
      <c r="D1999" s="43" t="s">
        <v>30</v>
      </c>
      <c r="E1999" s="46">
        <v>1983072.96</v>
      </c>
      <c r="F1999" s="2">
        <f>IF(C1999="GBP",E1999*$C$3,IF(C1999="TRY",E1999/$C$1,IF(C1999="EUR",E1999*$E$1,IF(C1999="RUB",E1999/#REF!,IF(C1999="EGP",E1999/$E$2,E1999)))))</f>
        <v>54380.080566212091</v>
      </c>
      <c r="G1999" s="15" t="str">
        <f>VLOOKUP(B1999,SPECIFICATIONF!$C$2:$D$65,2,0)</f>
        <v>GLOBAL HFT</v>
      </c>
      <c r="H1999" s="12">
        <f t="shared" ref="H1999:H2006" si="98">MONTH(A1999)</f>
        <v>10</v>
      </c>
      <c r="I1999" s="12">
        <f t="shared" ref="I1999:I2006" si="99">YEAR(A1999)</f>
        <v>2025</v>
      </c>
    </row>
    <row r="2000" spans="1:9" ht="19.5" customHeight="1" x14ac:dyDescent="0.35">
      <c r="A2000" s="41">
        <v>45951</v>
      </c>
      <c r="B2000" s="8" t="s">
        <v>32</v>
      </c>
      <c r="C2000" s="42" t="s">
        <v>33</v>
      </c>
      <c r="D2000" s="43" t="s">
        <v>30</v>
      </c>
      <c r="E2000" s="46">
        <v>9815.5</v>
      </c>
      <c r="F2000" s="2">
        <f>IF(C2000="GBP",E2000*$C$3,IF(C2000="TRY",E2000/$C$1,IF(C2000="EUR",E2000*$E$1,IF(C2000="RUB",E2000/#REF!,IF(C2000="EGP",E2000/$E$2,E2000)))))</f>
        <v>9815.5</v>
      </c>
      <c r="G2000" s="15" t="str">
        <f>VLOOKUP(B2000,SPECIFICATIONF!$C$2:$D$65,2,0)</f>
        <v>GLOBAL HFT</v>
      </c>
      <c r="H2000" s="12">
        <f t="shared" si="98"/>
        <v>10</v>
      </c>
      <c r="I2000" s="12">
        <f t="shared" si="99"/>
        <v>2025</v>
      </c>
    </row>
    <row r="2001" spans="1:9" ht="19.5" customHeight="1" x14ac:dyDescent="0.35">
      <c r="A2001" s="41">
        <v>45951</v>
      </c>
      <c r="B2001" s="8" t="s">
        <v>32</v>
      </c>
      <c r="C2001" s="42" t="s">
        <v>11</v>
      </c>
      <c r="D2001" s="43" t="s">
        <v>29</v>
      </c>
      <c r="E2001" s="46">
        <v>7357594515</v>
      </c>
      <c r="F2001" s="2">
        <f>IF(C2001="GBP",E2001*$C$3,IF(C2001="TRY",E2001/$C$1,IF(C2001="EUR",E2001*$E$1,IF(C2001="RUB",E2001/#REF!,IF(C2001="EGP",E2001/$E$2,E2001)))))</f>
        <v>201760898.65055707</v>
      </c>
      <c r="G2001" s="15" t="str">
        <f>VLOOKUP(B2001,SPECIFICATIONF!$C$2:$D$65,2,0)</f>
        <v>GLOBAL HFT</v>
      </c>
      <c r="H2001" s="12">
        <f t="shared" si="98"/>
        <v>10</v>
      </c>
      <c r="I2001" s="12">
        <f t="shared" si="99"/>
        <v>2025</v>
      </c>
    </row>
    <row r="2002" spans="1:9" ht="19.5" customHeight="1" x14ac:dyDescent="0.35">
      <c r="A2002" s="41">
        <v>45951</v>
      </c>
      <c r="B2002" s="8" t="s">
        <v>32</v>
      </c>
      <c r="C2002" s="42" t="s">
        <v>33</v>
      </c>
      <c r="D2002" s="43" t="s">
        <v>29</v>
      </c>
      <c r="E2002" s="46">
        <v>33230789</v>
      </c>
      <c r="F2002" s="2">
        <f>IF(C2002="GBP",E2002*$C$3,IF(C2002="TRY",E2002/$C$1,IF(C2002="EUR",E2002*$E$1,IF(C2002="RUB",E2002/#REF!,IF(C2002="EGP",E2002/$E$2,E2002)))))</f>
        <v>33230789</v>
      </c>
      <c r="G2002" s="15" t="str">
        <f>VLOOKUP(B2002,SPECIFICATIONF!$C$2:$D$65,2,0)</f>
        <v>GLOBAL HFT</v>
      </c>
      <c r="H2002" s="12">
        <f t="shared" si="98"/>
        <v>10</v>
      </c>
      <c r="I2002" s="12">
        <f t="shared" si="99"/>
        <v>2025</v>
      </c>
    </row>
    <row r="2003" spans="1:9" ht="19.5" customHeight="1" x14ac:dyDescent="0.35">
      <c r="A2003" s="41">
        <v>45951</v>
      </c>
      <c r="B2003" s="8" t="s">
        <v>24</v>
      </c>
      <c r="C2003" s="42" t="s">
        <v>11</v>
      </c>
      <c r="D2003" s="43" t="s">
        <v>30</v>
      </c>
      <c r="E2003" s="46">
        <v>0</v>
      </c>
      <c r="F2003" s="2">
        <f>IF(C2003="GBP",E2003*$C$3,IF(C2003="TRY",E2003/$C$1,IF(C2003="EUR",E2003*$E$1,IF(C2003="RUB",E2003/#REF!,IF(C2003="EGP",E2003/$E$2,E2003)))))</f>
        <v>0</v>
      </c>
      <c r="G2003" s="15" t="str">
        <f>VLOOKUP(B2003,SPECIFICATIONF!$C$2:$D$65,2,0)</f>
        <v>GLOBAL RETAIL</v>
      </c>
      <c r="H2003" s="12">
        <f t="shared" si="98"/>
        <v>10</v>
      </c>
      <c r="I2003" s="12">
        <f t="shared" si="99"/>
        <v>2025</v>
      </c>
    </row>
    <row r="2004" spans="1:9" ht="19.5" customHeight="1" x14ac:dyDescent="0.35">
      <c r="A2004" s="41">
        <v>45951</v>
      </c>
      <c r="B2004" s="8" t="s">
        <v>24</v>
      </c>
      <c r="C2004" s="42" t="s">
        <v>33</v>
      </c>
      <c r="D2004" s="43" t="s">
        <v>30</v>
      </c>
      <c r="E2004" s="46">
        <v>0</v>
      </c>
      <c r="F2004" s="2">
        <f>IF(C2004="GBP",E2004*$C$3,IF(C2004="TRY",E2004/$C$1,IF(C2004="EUR",E2004*$E$1,IF(C2004="RUB",E2004/#REF!,IF(C2004="EGP",E2004/$E$2,E2004)))))</f>
        <v>0</v>
      </c>
      <c r="G2004" s="15" t="str">
        <f>VLOOKUP(B2004,SPECIFICATIONF!$C$2:$D$65,2,0)</f>
        <v>GLOBAL RETAIL</v>
      </c>
      <c r="H2004" s="12">
        <f t="shared" si="98"/>
        <v>10</v>
      </c>
      <c r="I2004" s="12">
        <f t="shared" si="99"/>
        <v>2025</v>
      </c>
    </row>
    <row r="2005" spans="1:9" ht="19.5" customHeight="1" x14ac:dyDescent="0.35">
      <c r="A2005" s="41">
        <v>45951</v>
      </c>
      <c r="B2005" s="8" t="s">
        <v>24</v>
      </c>
      <c r="C2005" s="42" t="s">
        <v>11</v>
      </c>
      <c r="D2005" s="43" t="s">
        <v>29</v>
      </c>
      <c r="E2005" s="46">
        <v>2963790</v>
      </c>
      <c r="F2005" s="2">
        <f>IF(C2005="GBP",E2005*$C$3,IF(C2005="TRY",E2005/$C$1,IF(C2005="EUR",E2005*$E$1,IF(C2005="RUB",E2005/#REF!,IF(C2005="EGP",E2005/$E$2,E2005)))))</f>
        <v>81273.428780620234</v>
      </c>
      <c r="G2005" s="15" t="str">
        <f>VLOOKUP(B2005,SPECIFICATIONF!$C$2:$D$65,2,0)</f>
        <v>GLOBAL RETAIL</v>
      </c>
      <c r="H2005" s="12">
        <f t="shared" si="98"/>
        <v>10</v>
      </c>
      <c r="I2005" s="12">
        <f t="shared" si="99"/>
        <v>2025</v>
      </c>
    </row>
    <row r="2006" spans="1:9" ht="19.5" customHeight="1" x14ac:dyDescent="0.35">
      <c r="A2006" s="41">
        <v>45951</v>
      </c>
      <c r="B2006" s="8" t="s">
        <v>24</v>
      </c>
      <c r="C2006" s="42" t="s">
        <v>33</v>
      </c>
      <c r="D2006" s="43" t="s">
        <v>29</v>
      </c>
      <c r="E2006" s="46">
        <v>0</v>
      </c>
      <c r="F2006" s="2">
        <f>IF(C2006="GBP",E2006*$C$3,IF(C2006="TRY",E2006/$C$1,IF(C2006="EUR",E2006*$E$1,IF(C2006="RUB",E2006/#REF!,IF(C2006="EGP",E2006/$E$2,E2006)))))</f>
        <v>0</v>
      </c>
      <c r="G2006" s="15" t="str">
        <f>VLOOKUP(B2006,SPECIFICATIONF!$C$2:$D$65,2,0)</f>
        <v>GLOBAL RETAIL</v>
      </c>
      <c r="H2006" s="12">
        <f t="shared" si="98"/>
        <v>10</v>
      </c>
      <c r="I2006" s="12">
        <f t="shared" si="99"/>
        <v>2025</v>
      </c>
    </row>
    <row r="2007" spans="1:9" ht="19.5" customHeight="1" x14ac:dyDescent="0.35">
      <c r="A2007" s="41">
        <v>45952</v>
      </c>
      <c r="B2007" s="8" t="s">
        <v>32</v>
      </c>
      <c r="C2007" s="42" t="s">
        <v>11</v>
      </c>
      <c r="D2007" s="43" t="s">
        <v>30</v>
      </c>
      <c r="E2007" s="46">
        <v>1300871.33</v>
      </c>
      <c r="F2007" s="2">
        <f>IF(C2007="GBP",E2007*$C$3,IF(C2007="TRY",E2007/$C$1,IF(C2007="EUR",E2007*$E$1,IF(C2007="RUB",E2007/#REF!,IF(C2007="EGP",E2007/$E$2,E2007)))))</f>
        <v>35672.660138372055</v>
      </c>
      <c r="G2007" s="15" t="str">
        <f>VLOOKUP(B2007,SPECIFICATIONF!$C$2:$D$65,2,0)</f>
        <v>GLOBAL HFT</v>
      </c>
      <c r="H2007" s="12">
        <f t="shared" ref="H2007:H2014" si="100">MONTH(A2007)</f>
        <v>10</v>
      </c>
      <c r="I2007" s="12">
        <f t="shared" ref="I2007:I2014" si="101">YEAR(A2007)</f>
        <v>2025</v>
      </c>
    </row>
    <row r="2008" spans="1:9" ht="19.5" customHeight="1" x14ac:dyDescent="0.35">
      <c r="A2008" s="41">
        <v>45952</v>
      </c>
      <c r="B2008" s="8" t="s">
        <v>32</v>
      </c>
      <c r="C2008" s="42" t="s">
        <v>33</v>
      </c>
      <c r="D2008" s="43" t="s">
        <v>30</v>
      </c>
      <c r="E2008" s="46">
        <v>8261.82</v>
      </c>
      <c r="F2008" s="2">
        <f>IF(C2008="GBP",E2008*$C$3,IF(C2008="TRY",E2008/$C$1,IF(C2008="EUR",E2008*$E$1,IF(C2008="RUB",E2008/#REF!,IF(C2008="EGP",E2008/$E$2,E2008)))))</f>
        <v>8261.82</v>
      </c>
      <c r="G2008" s="15" t="str">
        <f>VLOOKUP(B2008,SPECIFICATIONF!$C$2:$D$65,2,0)</f>
        <v>GLOBAL HFT</v>
      </c>
      <c r="H2008" s="12">
        <f t="shared" si="100"/>
        <v>10</v>
      </c>
      <c r="I2008" s="12">
        <f t="shared" si="101"/>
        <v>2025</v>
      </c>
    </row>
    <row r="2009" spans="1:9" ht="19.5" customHeight="1" x14ac:dyDescent="0.35">
      <c r="A2009" s="41">
        <v>45952</v>
      </c>
      <c r="B2009" s="8" t="s">
        <v>32</v>
      </c>
      <c r="C2009" s="42" t="s">
        <v>11</v>
      </c>
      <c r="D2009" s="43" t="s">
        <v>29</v>
      </c>
      <c r="E2009" s="46">
        <v>4806286090</v>
      </c>
      <c r="F2009" s="2">
        <f>IF(C2009="GBP",E2009*$C$3,IF(C2009="TRY",E2009/$C$1,IF(C2009="EUR",E2009*$E$1,IF(C2009="RUB",E2009/#REF!,IF(C2009="EGP",E2009/$E$2,E2009)))))</f>
        <v>131798592.42216913</v>
      </c>
      <c r="G2009" s="15" t="str">
        <f>VLOOKUP(B2009,SPECIFICATIONF!$C$2:$D$65,2,0)</f>
        <v>GLOBAL HFT</v>
      </c>
      <c r="H2009" s="12">
        <f t="shared" si="100"/>
        <v>10</v>
      </c>
      <c r="I2009" s="12">
        <f t="shared" si="101"/>
        <v>2025</v>
      </c>
    </row>
    <row r="2010" spans="1:9" ht="19.5" customHeight="1" x14ac:dyDescent="0.35">
      <c r="A2010" s="41">
        <v>45952</v>
      </c>
      <c r="B2010" s="8" t="s">
        <v>32</v>
      </c>
      <c r="C2010" s="42" t="s">
        <v>33</v>
      </c>
      <c r="D2010" s="43" t="s">
        <v>29</v>
      </c>
      <c r="E2010" s="46">
        <v>26319666</v>
      </c>
      <c r="F2010" s="2">
        <f>IF(C2010="GBP",E2010*$C$3,IF(C2010="TRY",E2010/$C$1,IF(C2010="EUR",E2010*$E$1,IF(C2010="RUB",E2010/#REF!,IF(C2010="EGP",E2010/$E$2,E2010)))))</f>
        <v>26319666</v>
      </c>
      <c r="G2010" s="15" t="str">
        <f>VLOOKUP(B2010,SPECIFICATIONF!$C$2:$D$65,2,0)</f>
        <v>GLOBAL HFT</v>
      </c>
      <c r="H2010" s="12">
        <f t="shared" si="100"/>
        <v>10</v>
      </c>
      <c r="I2010" s="12">
        <f t="shared" si="101"/>
        <v>2025</v>
      </c>
    </row>
    <row r="2011" spans="1:9" ht="19.5" customHeight="1" x14ac:dyDescent="0.35">
      <c r="A2011" s="41">
        <v>45952</v>
      </c>
      <c r="B2011" s="8" t="s">
        <v>24</v>
      </c>
      <c r="C2011" s="42" t="s">
        <v>11</v>
      </c>
      <c r="D2011" s="43" t="s">
        <v>30</v>
      </c>
      <c r="E2011" s="46">
        <v>0</v>
      </c>
      <c r="F2011" s="2">
        <f>IF(C2011="GBP",E2011*$C$3,IF(C2011="TRY",E2011/$C$1,IF(C2011="EUR",E2011*$E$1,IF(C2011="RUB",E2011/#REF!,IF(C2011="EGP",E2011/$E$2,E2011)))))</f>
        <v>0</v>
      </c>
      <c r="G2011" s="15" t="str">
        <f>VLOOKUP(B2011,SPECIFICATIONF!$C$2:$D$65,2,0)</f>
        <v>GLOBAL RETAIL</v>
      </c>
      <c r="H2011" s="12">
        <f t="shared" si="100"/>
        <v>10</v>
      </c>
      <c r="I2011" s="12">
        <f t="shared" si="101"/>
        <v>2025</v>
      </c>
    </row>
    <row r="2012" spans="1:9" ht="19.5" customHeight="1" x14ac:dyDescent="0.35">
      <c r="A2012" s="41">
        <v>45952</v>
      </c>
      <c r="B2012" s="8" t="s">
        <v>24</v>
      </c>
      <c r="C2012" s="42" t="s">
        <v>33</v>
      </c>
      <c r="D2012" s="43" t="s">
        <v>30</v>
      </c>
      <c r="E2012" s="46">
        <v>0</v>
      </c>
      <c r="F2012" s="2">
        <f>IF(C2012="GBP",E2012*$C$3,IF(C2012="TRY",E2012/$C$1,IF(C2012="EUR",E2012*$E$1,IF(C2012="RUB",E2012/#REF!,IF(C2012="EGP",E2012/$E$2,E2012)))))</f>
        <v>0</v>
      </c>
      <c r="G2012" s="15" t="str">
        <f>VLOOKUP(B2012,SPECIFICATIONF!$C$2:$D$65,2,0)</f>
        <v>GLOBAL RETAIL</v>
      </c>
      <c r="H2012" s="12">
        <f t="shared" si="100"/>
        <v>10</v>
      </c>
      <c r="I2012" s="12">
        <f t="shared" si="101"/>
        <v>2025</v>
      </c>
    </row>
    <row r="2013" spans="1:9" ht="19.5" customHeight="1" x14ac:dyDescent="0.35">
      <c r="A2013" s="41">
        <v>45952</v>
      </c>
      <c r="B2013" s="8" t="s">
        <v>24</v>
      </c>
      <c r="C2013" s="42" t="s">
        <v>11</v>
      </c>
      <c r="D2013" s="43" t="s">
        <v>29</v>
      </c>
      <c r="E2013" s="46">
        <v>210688</v>
      </c>
      <c r="F2013" s="2">
        <f>IF(C2013="GBP",E2013*$C$3,IF(C2013="TRY",E2013/$C$1,IF(C2013="EUR",E2013*$E$1,IF(C2013="RUB",E2013/#REF!,IF(C2013="EGP",E2013/$E$2,E2013)))))</f>
        <v>5777.5133065876171</v>
      </c>
      <c r="G2013" s="15" t="str">
        <f>VLOOKUP(B2013,SPECIFICATIONF!$C$2:$D$65,2,0)</f>
        <v>GLOBAL RETAIL</v>
      </c>
      <c r="H2013" s="12">
        <f t="shared" si="100"/>
        <v>10</v>
      </c>
      <c r="I2013" s="12">
        <f t="shared" si="101"/>
        <v>2025</v>
      </c>
    </row>
    <row r="2014" spans="1:9" ht="19.5" customHeight="1" x14ac:dyDescent="0.35">
      <c r="A2014" s="41">
        <v>45952</v>
      </c>
      <c r="B2014" s="8" t="s">
        <v>24</v>
      </c>
      <c r="C2014" s="42" t="s">
        <v>33</v>
      </c>
      <c r="D2014" s="43" t="s">
        <v>29</v>
      </c>
      <c r="E2014" s="46">
        <v>8237</v>
      </c>
      <c r="F2014" s="2">
        <f>IF(C2014="GBP",E2014*$C$3,IF(C2014="TRY",E2014/$C$1,IF(C2014="EUR",E2014*$E$1,IF(C2014="RUB",E2014/#REF!,IF(C2014="EGP",E2014/$E$2,E2014)))))</f>
        <v>8237</v>
      </c>
      <c r="G2014" s="15" t="str">
        <f>VLOOKUP(B2014,SPECIFICATIONF!$C$2:$D$65,2,0)</f>
        <v>GLOBAL RETAIL</v>
      </c>
      <c r="H2014" s="12">
        <f t="shared" si="100"/>
        <v>10</v>
      </c>
      <c r="I2014" s="12">
        <f t="shared" si="101"/>
        <v>2025</v>
      </c>
    </row>
    <row r="2015" spans="1:9" ht="19.5" customHeight="1" x14ac:dyDescent="0.35">
      <c r="A2015" s="41">
        <v>45953</v>
      </c>
      <c r="B2015" s="8" t="s">
        <v>32</v>
      </c>
      <c r="C2015" s="42" t="s">
        <v>11</v>
      </c>
      <c r="D2015" s="43" t="s">
        <v>30</v>
      </c>
      <c r="E2015" s="46">
        <v>1181489.3999999999</v>
      </c>
      <c r="F2015" s="2">
        <f>IF(C2015="GBP",E2015*$C$3,IF(C2015="TRY",E2015/$C$1,IF(C2015="EUR",E2015*$E$1,IF(C2015="RUB",E2015/#REF!,IF(C2015="EGP",E2015/$E$2,E2015)))))</f>
        <v>32398.953571595059</v>
      </c>
      <c r="G2015" s="15" t="str">
        <f>VLOOKUP(B2015,SPECIFICATIONF!$C$2:$D$65,2,0)</f>
        <v>GLOBAL HFT</v>
      </c>
      <c r="H2015" s="12">
        <f t="shared" ref="H2015:H2022" si="102">MONTH(A2015)</f>
        <v>10</v>
      </c>
      <c r="I2015" s="12">
        <f t="shared" ref="I2015:I2022" si="103">YEAR(A2015)</f>
        <v>2025</v>
      </c>
    </row>
    <row r="2016" spans="1:9" ht="19.5" customHeight="1" x14ac:dyDescent="0.35">
      <c r="A2016" s="41">
        <v>45953</v>
      </c>
      <c r="B2016" s="8" t="s">
        <v>32</v>
      </c>
      <c r="C2016" s="42" t="s">
        <v>33</v>
      </c>
      <c r="D2016" s="43" t="s">
        <v>30</v>
      </c>
      <c r="E2016" s="46">
        <v>7189.22</v>
      </c>
      <c r="F2016" s="2">
        <f>IF(C2016="GBP",E2016*$C$3,IF(C2016="TRY",E2016/$C$1,IF(C2016="EUR",E2016*$E$1,IF(C2016="RUB",E2016/#REF!,IF(C2016="EGP",E2016/$E$2,E2016)))))</f>
        <v>7189.22</v>
      </c>
      <c r="G2016" s="15" t="str">
        <f>VLOOKUP(B2016,SPECIFICATIONF!$C$2:$D$65,2,0)</f>
        <v>GLOBAL HFT</v>
      </c>
      <c r="H2016" s="12">
        <f t="shared" si="102"/>
        <v>10</v>
      </c>
      <c r="I2016" s="12">
        <f t="shared" si="103"/>
        <v>2025</v>
      </c>
    </row>
    <row r="2017" spans="1:9" ht="19.5" customHeight="1" x14ac:dyDescent="0.35">
      <c r="A2017" s="41">
        <v>45953</v>
      </c>
      <c r="B2017" s="8" t="s">
        <v>32</v>
      </c>
      <c r="C2017" s="42" t="s">
        <v>11</v>
      </c>
      <c r="D2017" s="43" t="s">
        <v>29</v>
      </c>
      <c r="E2017" s="46">
        <v>4370724203</v>
      </c>
      <c r="F2017" s="2">
        <f>IF(C2017="GBP",E2017*$C$3,IF(C2017="TRY",E2017/$C$1,IF(C2017="EUR",E2017*$E$1,IF(C2017="RUB",E2017/#REF!,IF(C2017="EGP",E2017/$E$2,E2017)))))</f>
        <v>119854558.59971644</v>
      </c>
      <c r="G2017" s="15" t="str">
        <f>VLOOKUP(B2017,SPECIFICATIONF!$C$2:$D$65,2,0)</f>
        <v>GLOBAL HFT</v>
      </c>
      <c r="H2017" s="12">
        <f t="shared" si="102"/>
        <v>10</v>
      </c>
      <c r="I2017" s="12">
        <f t="shared" si="103"/>
        <v>2025</v>
      </c>
    </row>
    <row r="2018" spans="1:9" ht="19.5" customHeight="1" x14ac:dyDescent="0.35">
      <c r="A2018" s="41">
        <v>45953</v>
      </c>
      <c r="B2018" s="8" t="s">
        <v>32</v>
      </c>
      <c r="C2018" s="42" t="s">
        <v>33</v>
      </c>
      <c r="D2018" s="43" t="s">
        <v>29</v>
      </c>
      <c r="E2018" s="46">
        <v>23597528</v>
      </c>
      <c r="F2018" s="2">
        <f>IF(C2018="GBP",E2018*$C$3,IF(C2018="TRY",E2018/$C$1,IF(C2018="EUR",E2018*$E$1,IF(C2018="RUB",E2018/#REF!,IF(C2018="EGP",E2018/$E$2,E2018)))))</f>
        <v>23597528</v>
      </c>
      <c r="G2018" s="15" t="str">
        <f>VLOOKUP(B2018,SPECIFICATIONF!$C$2:$D$65,2,0)</f>
        <v>GLOBAL HFT</v>
      </c>
      <c r="H2018" s="12">
        <f t="shared" si="102"/>
        <v>10</v>
      </c>
      <c r="I2018" s="12">
        <f t="shared" si="103"/>
        <v>2025</v>
      </c>
    </row>
    <row r="2019" spans="1:9" ht="19.5" customHeight="1" x14ac:dyDescent="0.35">
      <c r="A2019" s="41">
        <v>45953</v>
      </c>
      <c r="B2019" s="8" t="s">
        <v>24</v>
      </c>
      <c r="C2019" s="42" t="s">
        <v>11</v>
      </c>
      <c r="D2019" s="43" t="s">
        <v>30</v>
      </c>
      <c r="E2019" s="46">
        <v>0</v>
      </c>
      <c r="F2019" s="2">
        <f>IF(C2019="GBP",E2019*$C$3,IF(C2019="TRY",E2019/$C$1,IF(C2019="EUR",E2019*$E$1,IF(C2019="RUB",E2019/#REF!,IF(C2019="EGP",E2019/$E$2,E2019)))))</f>
        <v>0</v>
      </c>
      <c r="G2019" s="15" t="str">
        <f>VLOOKUP(B2019,SPECIFICATIONF!$C$2:$D$65,2,0)</f>
        <v>GLOBAL RETAIL</v>
      </c>
      <c r="H2019" s="12">
        <f t="shared" si="102"/>
        <v>10</v>
      </c>
      <c r="I2019" s="12">
        <f t="shared" si="103"/>
        <v>2025</v>
      </c>
    </row>
    <row r="2020" spans="1:9" ht="19.5" customHeight="1" x14ac:dyDescent="0.35">
      <c r="A2020" s="41">
        <v>45953</v>
      </c>
      <c r="B2020" s="8" t="s">
        <v>24</v>
      </c>
      <c r="C2020" s="42" t="s">
        <v>33</v>
      </c>
      <c r="D2020" s="43" t="s">
        <v>30</v>
      </c>
      <c r="E2020" s="46">
        <v>0</v>
      </c>
      <c r="F2020" s="2">
        <f>IF(C2020="GBP",E2020*$C$3,IF(C2020="TRY",E2020/$C$1,IF(C2020="EUR",E2020*$E$1,IF(C2020="RUB",E2020/#REF!,IF(C2020="EGP",E2020/$E$2,E2020)))))</f>
        <v>0</v>
      </c>
      <c r="G2020" s="15" t="str">
        <f>VLOOKUP(B2020,SPECIFICATIONF!$C$2:$D$65,2,0)</f>
        <v>GLOBAL RETAIL</v>
      </c>
      <c r="H2020" s="12">
        <f t="shared" si="102"/>
        <v>10</v>
      </c>
      <c r="I2020" s="12">
        <f t="shared" si="103"/>
        <v>2025</v>
      </c>
    </row>
    <row r="2021" spans="1:9" ht="19.5" customHeight="1" x14ac:dyDescent="0.35">
      <c r="A2021" s="41">
        <v>45953</v>
      </c>
      <c r="B2021" s="8" t="s">
        <v>24</v>
      </c>
      <c r="C2021" s="42" t="s">
        <v>11</v>
      </c>
      <c r="D2021" s="43" t="s">
        <v>29</v>
      </c>
      <c r="E2021" s="46">
        <v>168907</v>
      </c>
      <c r="F2021" s="2">
        <f>IF(C2021="GBP",E2021*$C$3,IF(C2021="TRY",E2021/$C$1,IF(C2021="EUR",E2021*$E$1,IF(C2021="RUB",E2021/#REF!,IF(C2021="EGP",E2021/$E$2,E2021)))))</f>
        <v>4631.7893761191654</v>
      </c>
      <c r="G2021" s="15" t="str">
        <f>VLOOKUP(B2021,SPECIFICATIONF!$C$2:$D$65,2,0)</f>
        <v>GLOBAL RETAIL</v>
      </c>
      <c r="H2021" s="12">
        <f t="shared" si="102"/>
        <v>10</v>
      </c>
      <c r="I2021" s="12">
        <f t="shared" si="103"/>
        <v>2025</v>
      </c>
    </row>
    <row r="2022" spans="1:9" ht="19.5" customHeight="1" x14ac:dyDescent="0.35">
      <c r="A2022" s="41">
        <v>45953</v>
      </c>
      <c r="B2022" s="8" t="s">
        <v>24</v>
      </c>
      <c r="C2022" s="42" t="s">
        <v>33</v>
      </c>
      <c r="D2022" s="43" t="s">
        <v>29</v>
      </c>
      <c r="E2022" s="46">
        <v>65</v>
      </c>
      <c r="F2022" s="2">
        <f>IF(C2022="GBP",E2022*$C$3,IF(C2022="TRY",E2022/$C$1,IF(C2022="EUR",E2022*$E$1,IF(C2022="RUB",E2022/#REF!,IF(C2022="EGP",E2022/$E$2,E2022)))))</f>
        <v>65</v>
      </c>
      <c r="G2022" s="15" t="str">
        <f>VLOOKUP(B2022,SPECIFICATIONF!$C$2:$D$65,2,0)</f>
        <v>GLOBAL RETAIL</v>
      </c>
      <c r="H2022" s="12">
        <f t="shared" si="102"/>
        <v>10</v>
      </c>
      <c r="I2022" s="12">
        <f t="shared" si="103"/>
        <v>2025</v>
      </c>
    </row>
    <row r="2023" spans="1:9" ht="19.5" customHeight="1" x14ac:dyDescent="0.35">
      <c r="A2023" s="41">
        <v>45954</v>
      </c>
      <c r="B2023" s="8" t="s">
        <v>32</v>
      </c>
      <c r="C2023" s="42" t="s">
        <v>11</v>
      </c>
      <c r="D2023" s="43" t="s">
        <v>30</v>
      </c>
      <c r="E2023" s="46">
        <v>1438164.55</v>
      </c>
      <c r="F2023" s="2">
        <f>IF(C2023="GBP",E2023*$C$3,IF(C2023="TRY",E2023/$C$1,IF(C2023="EUR",E2023*$E$1,IF(C2023="RUB",E2023/#REF!,IF(C2023="EGP",E2023/$E$2,E2023)))))</f>
        <v>39437.532392388712</v>
      </c>
      <c r="G2023" s="15" t="str">
        <f>VLOOKUP(B2023,SPECIFICATIONF!$C$2:$D$65,2,0)</f>
        <v>GLOBAL HFT</v>
      </c>
      <c r="H2023" s="12">
        <f t="shared" ref="H2023:H2030" si="104">MONTH(A2023)</f>
        <v>10</v>
      </c>
      <c r="I2023" s="12">
        <f t="shared" ref="I2023:I2030" si="105">YEAR(A2023)</f>
        <v>2025</v>
      </c>
    </row>
    <row r="2024" spans="1:9" ht="19.5" customHeight="1" x14ac:dyDescent="0.35">
      <c r="A2024" s="41">
        <v>45954</v>
      </c>
      <c r="B2024" s="8" t="s">
        <v>32</v>
      </c>
      <c r="C2024" s="42" t="s">
        <v>33</v>
      </c>
      <c r="D2024" s="43" t="s">
        <v>30</v>
      </c>
      <c r="E2024" s="46">
        <v>8245.7800000000007</v>
      </c>
      <c r="F2024" s="2">
        <f>IF(C2024="GBP",E2024*$C$3,IF(C2024="TRY",E2024/$C$1,IF(C2024="EUR",E2024*$E$1,IF(C2024="RUB",E2024/#REF!,IF(C2024="EGP",E2024/$E$2,E2024)))))</f>
        <v>8245.7800000000007</v>
      </c>
      <c r="G2024" s="15" t="str">
        <f>VLOOKUP(B2024,SPECIFICATIONF!$C$2:$D$65,2,0)</f>
        <v>GLOBAL HFT</v>
      </c>
      <c r="H2024" s="12">
        <f t="shared" si="104"/>
        <v>10</v>
      </c>
      <c r="I2024" s="12">
        <f t="shared" si="105"/>
        <v>2025</v>
      </c>
    </row>
    <row r="2025" spans="1:9" ht="19.5" customHeight="1" x14ac:dyDescent="0.35">
      <c r="A2025" s="41">
        <v>45954</v>
      </c>
      <c r="B2025" s="8" t="s">
        <v>32</v>
      </c>
      <c r="C2025" s="42" t="s">
        <v>11</v>
      </c>
      <c r="D2025" s="43" t="s">
        <v>29</v>
      </c>
      <c r="E2025" s="46">
        <v>5266298272</v>
      </c>
      <c r="F2025" s="2">
        <f>IF(C2025="GBP",E2025*$C$3,IF(C2025="TRY",E2025/$C$1,IF(C2025="EUR",E2025*$E$1,IF(C2025="RUB",E2025/#REF!,IF(C2025="EGP",E2025/$E$2,E2025)))))</f>
        <v>144413105.36404246</v>
      </c>
      <c r="G2025" s="15" t="str">
        <f>VLOOKUP(B2025,SPECIFICATIONF!$C$2:$D$65,2,0)</f>
        <v>GLOBAL HFT</v>
      </c>
      <c r="H2025" s="12">
        <f t="shared" si="104"/>
        <v>10</v>
      </c>
      <c r="I2025" s="12">
        <f t="shared" si="105"/>
        <v>2025</v>
      </c>
    </row>
    <row r="2026" spans="1:9" ht="19.5" customHeight="1" x14ac:dyDescent="0.35">
      <c r="A2026" s="41">
        <v>45954</v>
      </c>
      <c r="B2026" s="8" t="s">
        <v>32</v>
      </c>
      <c r="C2026" s="42" t="s">
        <v>33</v>
      </c>
      <c r="D2026" s="43" t="s">
        <v>29</v>
      </c>
      <c r="E2026" s="46">
        <v>26524699</v>
      </c>
      <c r="F2026" s="2">
        <f>IF(C2026="GBP",E2026*$C$3,IF(C2026="TRY",E2026/$C$1,IF(C2026="EUR",E2026*$E$1,IF(C2026="RUB",E2026/#REF!,IF(C2026="EGP",E2026/$E$2,E2026)))))</f>
        <v>26524699</v>
      </c>
      <c r="G2026" s="15" t="str">
        <f>VLOOKUP(B2026,SPECIFICATIONF!$C$2:$D$65,2,0)</f>
        <v>GLOBAL HFT</v>
      </c>
      <c r="H2026" s="12">
        <f t="shared" si="104"/>
        <v>10</v>
      </c>
      <c r="I2026" s="12">
        <f t="shared" si="105"/>
        <v>2025</v>
      </c>
    </row>
    <row r="2027" spans="1:9" ht="19.5" customHeight="1" x14ac:dyDescent="0.35">
      <c r="A2027" s="41">
        <v>45954</v>
      </c>
      <c r="B2027" s="8" t="s">
        <v>24</v>
      </c>
      <c r="C2027" s="42" t="s">
        <v>11</v>
      </c>
      <c r="D2027" s="43" t="s">
        <v>30</v>
      </c>
      <c r="E2027" s="46">
        <v>0</v>
      </c>
      <c r="F2027" s="2">
        <f>IF(C2027="GBP",E2027*$C$3,IF(C2027="TRY",E2027/$C$1,IF(C2027="EUR",E2027*$E$1,IF(C2027="RUB",E2027/#REF!,IF(C2027="EGP",E2027/$E$2,E2027)))))</f>
        <v>0</v>
      </c>
      <c r="G2027" s="15" t="str">
        <f>VLOOKUP(B2027,SPECIFICATIONF!$C$2:$D$65,2,0)</f>
        <v>GLOBAL RETAIL</v>
      </c>
      <c r="H2027" s="12">
        <f t="shared" si="104"/>
        <v>10</v>
      </c>
      <c r="I2027" s="12">
        <f t="shared" si="105"/>
        <v>2025</v>
      </c>
    </row>
    <row r="2028" spans="1:9" ht="19.5" customHeight="1" x14ac:dyDescent="0.35">
      <c r="A2028" s="41">
        <v>45954</v>
      </c>
      <c r="B2028" s="8" t="s">
        <v>24</v>
      </c>
      <c r="C2028" s="42" t="s">
        <v>33</v>
      </c>
      <c r="D2028" s="43" t="s">
        <v>30</v>
      </c>
      <c r="E2028" s="46">
        <v>0</v>
      </c>
      <c r="F2028" s="2">
        <f>IF(C2028="GBP",E2028*$C$3,IF(C2028="TRY",E2028/$C$1,IF(C2028="EUR",E2028*$E$1,IF(C2028="RUB",E2028/#REF!,IF(C2028="EGP",E2028/$E$2,E2028)))))</f>
        <v>0</v>
      </c>
      <c r="G2028" s="15" t="str">
        <f>VLOOKUP(B2028,SPECIFICATIONF!$C$2:$D$65,2,0)</f>
        <v>GLOBAL RETAIL</v>
      </c>
      <c r="H2028" s="12">
        <f t="shared" si="104"/>
        <v>10</v>
      </c>
      <c r="I2028" s="12">
        <f t="shared" si="105"/>
        <v>2025</v>
      </c>
    </row>
    <row r="2029" spans="1:9" ht="19.5" customHeight="1" x14ac:dyDescent="0.35">
      <c r="A2029" s="41">
        <v>45954</v>
      </c>
      <c r="B2029" s="8" t="s">
        <v>24</v>
      </c>
      <c r="C2029" s="42" t="s">
        <v>11</v>
      </c>
      <c r="D2029" s="43" t="s">
        <v>29</v>
      </c>
      <c r="E2029" s="46">
        <v>0</v>
      </c>
      <c r="F2029" s="2">
        <f>IF(C2029="GBP",E2029*$C$3,IF(C2029="TRY",E2029/$C$1,IF(C2029="EUR",E2029*$E$1,IF(C2029="RUB",E2029/#REF!,IF(C2029="EGP",E2029/$E$2,E2029)))))</f>
        <v>0</v>
      </c>
      <c r="G2029" s="15" t="str">
        <f>VLOOKUP(B2029,SPECIFICATIONF!$C$2:$D$65,2,0)</f>
        <v>GLOBAL RETAIL</v>
      </c>
      <c r="H2029" s="12">
        <f t="shared" si="104"/>
        <v>10</v>
      </c>
      <c r="I2029" s="12">
        <f t="shared" si="105"/>
        <v>2025</v>
      </c>
    </row>
    <row r="2030" spans="1:9" ht="19.5" customHeight="1" x14ac:dyDescent="0.35">
      <c r="A2030" s="41">
        <v>45954</v>
      </c>
      <c r="B2030" s="8" t="s">
        <v>24</v>
      </c>
      <c r="C2030" s="42" t="s">
        <v>33</v>
      </c>
      <c r="D2030" s="43" t="s">
        <v>29</v>
      </c>
      <c r="E2030" s="46">
        <v>0</v>
      </c>
      <c r="F2030" s="2">
        <f>IF(C2030="GBP",E2030*$C$3,IF(C2030="TRY",E2030/$C$1,IF(C2030="EUR",E2030*$E$1,IF(C2030="RUB",E2030/#REF!,IF(C2030="EGP",E2030/$E$2,E2030)))))</f>
        <v>0</v>
      </c>
      <c r="G2030" s="15" t="str">
        <f>VLOOKUP(B2030,SPECIFICATIONF!$C$2:$D$65,2,0)</f>
        <v>GLOBAL RETAIL</v>
      </c>
      <c r="H2030" s="12">
        <f t="shared" si="104"/>
        <v>10</v>
      </c>
      <c r="I2030" s="12">
        <f t="shared" si="105"/>
        <v>2025</v>
      </c>
    </row>
    <row r="2031" spans="1:9" ht="19.5" customHeight="1" x14ac:dyDescent="0.35">
      <c r="A2031" s="41">
        <v>45955</v>
      </c>
      <c r="B2031" s="8" t="s">
        <v>32</v>
      </c>
      <c r="C2031" s="42" t="s">
        <v>11</v>
      </c>
      <c r="D2031" s="43" t="s">
        <v>30</v>
      </c>
      <c r="E2031" s="46">
        <v>1505892.55</v>
      </c>
      <c r="F2031" s="2">
        <f>IF(C2031="GBP",E2031*$C$3,IF(C2031="TRY",E2031/$C$1,IF(C2031="EUR",E2031*$E$1,IF(C2031="RUB",E2031/#REF!,IF(C2031="EGP",E2031/$E$2,E2031)))))</f>
        <v>41294.778278383958</v>
      </c>
      <c r="G2031" s="15" t="str">
        <f>VLOOKUP(B2031,SPECIFICATIONF!$C$2:$D$65,2,0)</f>
        <v>GLOBAL HFT</v>
      </c>
      <c r="H2031" s="12">
        <f t="shared" ref="H2031:H2054" si="106">MONTH(A2031)</f>
        <v>10</v>
      </c>
      <c r="I2031" s="12">
        <f t="shared" ref="I2031:I2054" si="107">YEAR(A2031)</f>
        <v>2025</v>
      </c>
    </row>
    <row r="2032" spans="1:9" ht="19.5" customHeight="1" x14ac:dyDescent="0.35">
      <c r="A2032" s="41">
        <v>45955</v>
      </c>
      <c r="B2032" s="8" t="s">
        <v>32</v>
      </c>
      <c r="C2032" s="42" t="s">
        <v>33</v>
      </c>
      <c r="D2032" s="43" t="s">
        <v>30</v>
      </c>
      <c r="E2032" s="46">
        <v>5725.51</v>
      </c>
      <c r="F2032" s="2">
        <f>IF(C2032="GBP",E2032*$C$3,IF(C2032="TRY",E2032/$C$1,IF(C2032="EUR",E2032*$E$1,IF(C2032="RUB",E2032/#REF!,IF(C2032="EGP",E2032/$E$2,E2032)))))</f>
        <v>5725.51</v>
      </c>
      <c r="G2032" s="15" t="str">
        <f>VLOOKUP(B2032,SPECIFICATIONF!$C$2:$D$65,2,0)</f>
        <v>GLOBAL HFT</v>
      </c>
      <c r="H2032" s="12">
        <f t="shared" si="106"/>
        <v>10</v>
      </c>
      <c r="I2032" s="12">
        <f t="shared" si="107"/>
        <v>2025</v>
      </c>
    </row>
    <row r="2033" spans="1:9" ht="19.5" customHeight="1" x14ac:dyDescent="0.35">
      <c r="A2033" s="41">
        <v>45955</v>
      </c>
      <c r="B2033" s="8" t="s">
        <v>32</v>
      </c>
      <c r="C2033" s="42" t="s">
        <v>11</v>
      </c>
      <c r="D2033" s="43" t="s">
        <v>29</v>
      </c>
      <c r="E2033" s="46">
        <v>5625667464</v>
      </c>
      <c r="F2033" s="2">
        <f>IF(C2033="GBP",E2033*$C$3,IF(C2033="TRY",E2033/$C$1,IF(C2033="EUR",E2033*$E$1,IF(C2033="RUB",E2033/#REF!,IF(C2033="EGP",E2033/$E$2,E2033)))))</f>
        <v>154267773.35062754</v>
      </c>
      <c r="G2033" s="15" t="str">
        <f>VLOOKUP(B2033,SPECIFICATIONF!$C$2:$D$65,2,0)</f>
        <v>GLOBAL HFT</v>
      </c>
      <c r="H2033" s="12">
        <f t="shared" si="106"/>
        <v>10</v>
      </c>
      <c r="I2033" s="12">
        <f t="shared" si="107"/>
        <v>2025</v>
      </c>
    </row>
    <row r="2034" spans="1:9" ht="19.5" customHeight="1" x14ac:dyDescent="0.35">
      <c r="A2034" s="41">
        <v>45955</v>
      </c>
      <c r="B2034" s="8" t="s">
        <v>32</v>
      </c>
      <c r="C2034" s="42" t="s">
        <v>33</v>
      </c>
      <c r="D2034" s="43" t="s">
        <v>29</v>
      </c>
      <c r="E2034" s="46">
        <v>19613819</v>
      </c>
      <c r="F2034" s="2">
        <f>IF(C2034="GBP",E2034*$C$3,IF(C2034="TRY",E2034/$C$1,IF(C2034="EUR",E2034*$E$1,IF(C2034="RUB",E2034/#REF!,IF(C2034="EGP",E2034/$E$2,E2034)))))</f>
        <v>19613819</v>
      </c>
      <c r="G2034" s="15" t="str">
        <f>VLOOKUP(B2034,SPECIFICATIONF!$C$2:$D$65,2,0)</f>
        <v>GLOBAL HFT</v>
      </c>
      <c r="H2034" s="12">
        <f t="shared" si="106"/>
        <v>10</v>
      </c>
      <c r="I2034" s="12">
        <f t="shared" si="107"/>
        <v>2025</v>
      </c>
    </row>
    <row r="2035" spans="1:9" ht="19.5" customHeight="1" x14ac:dyDescent="0.35">
      <c r="A2035" s="41">
        <v>45955</v>
      </c>
      <c r="B2035" s="8" t="s">
        <v>24</v>
      </c>
      <c r="C2035" s="42" t="s">
        <v>11</v>
      </c>
      <c r="D2035" s="43" t="s">
        <v>30</v>
      </c>
      <c r="E2035" s="46">
        <v>0</v>
      </c>
      <c r="F2035" s="2">
        <f>IF(C2035="GBP",E2035*$C$3,IF(C2035="TRY",E2035/$C$1,IF(C2035="EUR",E2035*$E$1,IF(C2035="RUB",E2035/#REF!,IF(C2035="EGP",E2035/$E$2,E2035)))))</f>
        <v>0</v>
      </c>
      <c r="G2035" s="15" t="str">
        <f>VLOOKUP(B2035,SPECIFICATIONF!$C$2:$D$65,2,0)</f>
        <v>GLOBAL RETAIL</v>
      </c>
      <c r="H2035" s="12">
        <f t="shared" si="106"/>
        <v>10</v>
      </c>
      <c r="I2035" s="12">
        <f t="shared" si="107"/>
        <v>2025</v>
      </c>
    </row>
    <row r="2036" spans="1:9" ht="19.5" customHeight="1" x14ac:dyDescent="0.35">
      <c r="A2036" s="41">
        <v>45955</v>
      </c>
      <c r="B2036" s="8" t="s">
        <v>24</v>
      </c>
      <c r="C2036" s="42" t="s">
        <v>33</v>
      </c>
      <c r="D2036" s="43" t="s">
        <v>30</v>
      </c>
      <c r="E2036" s="46">
        <v>0</v>
      </c>
      <c r="F2036" s="2">
        <f>IF(C2036="GBP",E2036*$C$3,IF(C2036="TRY",E2036/$C$1,IF(C2036="EUR",E2036*$E$1,IF(C2036="RUB",E2036/#REF!,IF(C2036="EGP",E2036/$E$2,E2036)))))</f>
        <v>0</v>
      </c>
      <c r="G2036" s="15" t="str">
        <f>VLOOKUP(B2036,SPECIFICATIONF!$C$2:$D$65,2,0)</f>
        <v>GLOBAL RETAIL</v>
      </c>
      <c r="H2036" s="12">
        <f t="shared" si="106"/>
        <v>10</v>
      </c>
      <c r="I2036" s="12">
        <f t="shared" si="107"/>
        <v>2025</v>
      </c>
    </row>
    <row r="2037" spans="1:9" ht="19.5" customHeight="1" x14ac:dyDescent="0.35">
      <c r="A2037" s="41">
        <v>45955</v>
      </c>
      <c r="B2037" s="8" t="s">
        <v>24</v>
      </c>
      <c r="C2037" s="42" t="s">
        <v>11</v>
      </c>
      <c r="D2037" s="43" t="s">
        <v>29</v>
      </c>
      <c r="E2037" s="46">
        <v>0</v>
      </c>
      <c r="F2037" s="2">
        <f>IF(C2037="GBP",E2037*$C$3,IF(C2037="TRY",E2037/$C$1,IF(C2037="EUR",E2037*$E$1,IF(C2037="RUB",E2037/#REF!,IF(C2037="EGP",E2037/$E$2,E2037)))))</f>
        <v>0</v>
      </c>
      <c r="G2037" s="15" t="str">
        <f>VLOOKUP(B2037,SPECIFICATIONF!$C$2:$D$65,2,0)</f>
        <v>GLOBAL RETAIL</v>
      </c>
      <c r="H2037" s="12">
        <f t="shared" si="106"/>
        <v>10</v>
      </c>
      <c r="I2037" s="12">
        <f t="shared" si="107"/>
        <v>2025</v>
      </c>
    </row>
    <row r="2038" spans="1:9" ht="19.5" customHeight="1" x14ac:dyDescent="0.35">
      <c r="A2038" s="41">
        <v>45955</v>
      </c>
      <c r="B2038" s="8" t="s">
        <v>24</v>
      </c>
      <c r="C2038" s="42" t="s">
        <v>33</v>
      </c>
      <c r="D2038" s="43" t="s">
        <v>29</v>
      </c>
      <c r="E2038" s="46">
        <v>0</v>
      </c>
      <c r="F2038" s="2">
        <f>IF(C2038="GBP",E2038*$C$3,IF(C2038="TRY",E2038/$C$1,IF(C2038="EUR",E2038*$E$1,IF(C2038="RUB",E2038/#REF!,IF(C2038="EGP",E2038/$E$2,E2038)))))</f>
        <v>0</v>
      </c>
      <c r="G2038" s="15" t="str">
        <f>VLOOKUP(B2038,SPECIFICATIONF!$C$2:$D$65,2,0)</f>
        <v>GLOBAL RETAIL</v>
      </c>
      <c r="H2038" s="12">
        <f t="shared" si="106"/>
        <v>10</v>
      </c>
      <c r="I2038" s="12">
        <f t="shared" si="107"/>
        <v>2025</v>
      </c>
    </row>
    <row r="2039" spans="1:9" ht="19.5" customHeight="1" x14ac:dyDescent="0.35">
      <c r="A2039" s="41">
        <v>45956</v>
      </c>
      <c r="B2039" s="8" t="s">
        <v>32</v>
      </c>
      <c r="C2039" s="42" t="s">
        <v>11</v>
      </c>
      <c r="D2039" s="43" t="s">
        <v>30</v>
      </c>
      <c r="E2039" s="46">
        <v>1708400.81</v>
      </c>
      <c r="F2039" s="2">
        <f>IF(C2039="GBP",E2039*$C$3,IF(C2039="TRY",E2039/$C$1,IF(C2039="EUR",E2039*$E$1,IF(C2039="RUB",E2039/#REF!,IF(C2039="EGP",E2039/$E$2,E2039)))))</f>
        <v>46847.985707586879</v>
      </c>
      <c r="G2039" s="15" t="str">
        <f>VLOOKUP(B2039,SPECIFICATIONF!$C$2:$D$65,2,0)</f>
        <v>GLOBAL HFT</v>
      </c>
      <c r="H2039" s="12">
        <f t="shared" si="106"/>
        <v>10</v>
      </c>
      <c r="I2039" s="12">
        <f t="shared" si="107"/>
        <v>2025</v>
      </c>
    </row>
    <row r="2040" spans="1:9" ht="19.5" customHeight="1" x14ac:dyDescent="0.35">
      <c r="A2040" s="41">
        <v>45956</v>
      </c>
      <c r="B2040" s="8" t="s">
        <v>32</v>
      </c>
      <c r="C2040" s="42" t="s">
        <v>33</v>
      </c>
      <c r="D2040" s="43" t="s">
        <v>30</v>
      </c>
      <c r="E2040" s="46">
        <v>8172.77</v>
      </c>
      <c r="F2040" s="2">
        <f>IF(C2040="GBP",E2040*$C$3,IF(C2040="TRY",E2040/$C$1,IF(C2040="EUR",E2040*$E$1,IF(C2040="RUB",E2040/#REF!,IF(C2040="EGP",E2040/$E$2,E2040)))))</f>
        <v>8172.77</v>
      </c>
      <c r="G2040" s="15" t="str">
        <f>VLOOKUP(B2040,SPECIFICATIONF!$C$2:$D$65,2,0)</f>
        <v>GLOBAL HFT</v>
      </c>
      <c r="H2040" s="12">
        <f t="shared" si="106"/>
        <v>10</v>
      </c>
      <c r="I2040" s="12">
        <f t="shared" si="107"/>
        <v>2025</v>
      </c>
    </row>
    <row r="2041" spans="1:9" ht="19.5" customHeight="1" x14ac:dyDescent="0.35">
      <c r="A2041" s="41">
        <v>45956</v>
      </c>
      <c r="B2041" s="8" t="s">
        <v>32</v>
      </c>
      <c r="C2041" s="42" t="s">
        <v>11</v>
      </c>
      <c r="D2041" s="43" t="s">
        <v>29</v>
      </c>
      <c r="E2041" s="46">
        <v>6201231856</v>
      </c>
      <c r="F2041" s="2">
        <f>IF(C2041="GBP",E2041*$C$3,IF(C2041="TRY",E2041/$C$1,IF(C2041="EUR",E2041*$E$1,IF(C2041="RUB",E2041/#REF!,IF(C2041="EGP",E2041/$E$2,E2041)))))</f>
        <v>170050973.78718781</v>
      </c>
      <c r="G2041" s="15" t="str">
        <f>VLOOKUP(B2041,SPECIFICATIONF!$C$2:$D$65,2,0)</f>
        <v>GLOBAL HFT</v>
      </c>
      <c r="H2041" s="12">
        <f t="shared" si="106"/>
        <v>10</v>
      </c>
      <c r="I2041" s="12">
        <f t="shared" si="107"/>
        <v>2025</v>
      </c>
    </row>
    <row r="2042" spans="1:9" ht="19.5" customHeight="1" x14ac:dyDescent="0.35">
      <c r="A2042" s="41">
        <v>45956</v>
      </c>
      <c r="B2042" s="8" t="s">
        <v>32</v>
      </c>
      <c r="C2042" s="42" t="s">
        <v>33</v>
      </c>
      <c r="D2042" s="43" t="s">
        <v>29</v>
      </c>
      <c r="E2042" s="46">
        <v>26447512</v>
      </c>
      <c r="F2042" s="2">
        <f>IF(C2042="GBP",E2042*$C$3,IF(C2042="TRY",E2042/$C$1,IF(C2042="EUR",E2042*$E$1,IF(C2042="RUB",E2042/#REF!,IF(C2042="EGP",E2042/$E$2,E2042)))))</f>
        <v>26447512</v>
      </c>
      <c r="G2042" s="15" t="str">
        <f>VLOOKUP(B2042,SPECIFICATIONF!$C$2:$D$65,2,0)</f>
        <v>GLOBAL HFT</v>
      </c>
      <c r="H2042" s="12">
        <f t="shared" si="106"/>
        <v>10</v>
      </c>
      <c r="I2042" s="12">
        <f t="shared" si="107"/>
        <v>2025</v>
      </c>
    </row>
    <row r="2043" spans="1:9" ht="19.5" customHeight="1" x14ac:dyDescent="0.35">
      <c r="A2043" s="41">
        <v>45956</v>
      </c>
      <c r="B2043" s="8" t="s">
        <v>24</v>
      </c>
      <c r="C2043" s="42" t="s">
        <v>11</v>
      </c>
      <c r="D2043" s="43" t="s">
        <v>30</v>
      </c>
      <c r="E2043" s="46">
        <v>0</v>
      </c>
      <c r="F2043" s="2">
        <f>IF(C2043="GBP",E2043*$C$3,IF(C2043="TRY",E2043/$C$1,IF(C2043="EUR",E2043*$E$1,IF(C2043="RUB",E2043/#REF!,IF(C2043="EGP",E2043/$E$2,E2043)))))</f>
        <v>0</v>
      </c>
      <c r="G2043" s="15" t="str">
        <f>VLOOKUP(B2043,SPECIFICATIONF!$C$2:$D$65,2,0)</f>
        <v>GLOBAL RETAIL</v>
      </c>
      <c r="H2043" s="12">
        <f t="shared" si="106"/>
        <v>10</v>
      </c>
      <c r="I2043" s="12">
        <f t="shared" si="107"/>
        <v>2025</v>
      </c>
    </row>
    <row r="2044" spans="1:9" ht="19.5" customHeight="1" x14ac:dyDescent="0.35">
      <c r="A2044" s="41">
        <v>45956</v>
      </c>
      <c r="B2044" s="8" t="s">
        <v>24</v>
      </c>
      <c r="C2044" s="42" t="s">
        <v>33</v>
      </c>
      <c r="D2044" s="43" t="s">
        <v>30</v>
      </c>
      <c r="E2044" s="46">
        <v>0</v>
      </c>
      <c r="F2044" s="2">
        <f>IF(C2044="GBP",E2044*$C$3,IF(C2044="TRY",E2044/$C$1,IF(C2044="EUR",E2044*$E$1,IF(C2044="RUB",E2044/#REF!,IF(C2044="EGP",E2044/$E$2,E2044)))))</f>
        <v>0</v>
      </c>
      <c r="G2044" s="15" t="str">
        <f>VLOOKUP(B2044,SPECIFICATIONF!$C$2:$D$65,2,0)</f>
        <v>GLOBAL RETAIL</v>
      </c>
      <c r="H2044" s="12">
        <f t="shared" si="106"/>
        <v>10</v>
      </c>
      <c r="I2044" s="12">
        <f t="shared" si="107"/>
        <v>2025</v>
      </c>
    </row>
    <row r="2045" spans="1:9" ht="19.5" customHeight="1" x14ac:dyDescent="0.35">
      <c r="A2045" s="41">
        <v>45956</v>
      </c>
      <c r="B2045" s="8" t="s">
        <v>24</v>
      </c>
      <c r="C2045" s="42" t="s">
        <v>11</v>
      </c>
      <c r="D2045" s="43" t="s">
        <v>29</v>
      </c>
      <c r="E2045" s="46">
        <v>0</v>
      </c>
      <c r="F2045" s="2">
        <f>IF(C2045="GBP",E2045*$C$3,IF(C2045="TRY",E2045/$C$1,IF(C2045="EUR",E2045*$E$1,IF(C2045="RUB",E2045/#REF!,IF(C2045="EGP",E2045/$E$2,E2045)))))</f>
        <v>0</v>
      </c>
      <c r="G2045" s="15" t="str">
        <f>VLOOKUP(B2045,SPECIFICATIONF!$C$2:$D$65,2,0)</f>
        <v>GLOBAL RETAIL</v>
      </c>
      <c r="H2045" s="12">
        <f t="shared" si="106"/>
        <v>10</v>
      </c>
      <c r="I2045" s="12">
        <f t="shared" si="107"/>
        <v>2025</v>
      </c>
    </row>
    <row r="2046" spans="1:9" ht="19.5" customHeight="1" x14ac:dyDescent="0.35">
      <c r="A2046" s="41">
        <v>45956</v>
      </c>
      <c r="B2046" s="8" t="s">
        <v>24</v>
      </c>
      <c r="C2046" s="42" t="s">
        <v>33</v>
      </c>
      <c r="D2046" s="43" t="s">
        <v>29</v>
      </c>
      <c r="E2046" s="46">
        <v>0</v>
      </c>
      <c r="F2046" s="2">
        <f>IF(C2046="GBP",E2046*$C$3,IF(C2046="TRY",E2046/$C$1,IF(C2046="EUR",E2046*$E$1,IF(C2046="RUB",E2046/#REF!,IF(C2046="EGP",E2046/$E$2,E2046)))))</f>
        <v>0</v>
      </c>
      <c r="G2046" s="15" t="str">
        <f>VLOOKUP(B2046,SPECIFICATIONF!$C$2:$D$65,2,0)</f>
        <v>GLOBAL RETAIL</v>
      </c>
      <c r="H2046" s="12">
        <f t="shared" si="106"/>
        <v>10</v>
      </c>
      <c r="I2046" s="12">
        <f t="shared" si="107"/>
        <v>2025</v>
      </c>
    </row>
    <row r="2047" spans="1:9" ht="19.5" customHeight="1" x14ac:dyDescent="0.35">
      <c r="A2047" s="41">
        <v>45957</v>
      </c>
      <c r="B2047" s="8" t="s">
        <v>32</v>
      </c>
      <c r="C2047" s="42" t="s">
        <v>11</v>
      </c>
      <c r="D2047" s="43" t="s">
        <v>30</v>
      </c>
      <c r="E2047" s="46">
        <v>2361443.06</v>
      </c>
      <c r="F2047" s="2">
        <f>IF(C2047="GBP",E2047*$C$3,IF(C2047="TRY",E2047/$C$1,IF(C2047="EUR",E2047*$E$1,IF(C2047="RUB",E2047/#REF!,IF(C2047="EGP",E2047/$E$2,E2047)))))</f>
        <v>64755.793884317005</v>
      </c>
      <c r="G2047" s="15" t="str">
        <f>VLOOKUP(B2047,SPECIFICATIONF!$C$2:$D$65,2,0)</f>
        <v>GLOBAL HFT</v>
      </c>
      <c r="H2047" s="12">
        <f t="shared" si="106"/>
        <v>10</v>
      </c>
      <c r="I2047" s="12">
        <f t="shared" si="107"/>
        <v>2025</v>
      </c>
    </row>
    <row r="2048" spans="1:9" ht="19.5" customHeight="1" x14ac:dyDescent="0.35">
      <c r="A2048" s="41">
        <v>45957</v>
      </c>
      <c r="B2048" s="8" t="s">
        <v>32</v>
      </c>
      <c r="C2048" s="42" t="s">
        <v>33</v>
      </c>
      <c r="D2048" s="43" t="s">
        <v>30</v>
      </c>
      <c r="E2048" s="46">
        <v>14103.83</v>
      </c>
      <c r="F2048" s="2">
        <f>IF(C2048="GBP",E2048*$C$3,IF(C2048="TRY",E2048/$C$1,IF(C2048="EUR",E2048*$E$1,IF(C2048="RUB",E2048/#REF!,IF(C2048="EGP",E2048/$E$2,E2048)))))</f>
        <v>14103.83</v>
      </c>
      <c r="G2048" s="15" t="str">
        <f>VLOOKUP(B2048,SPECIFICATIONF!$C$2:$D$65,2,0)</f>
        <v>GLOBAL HFT</v>
      </c>
      <c r="H2048" s="12">
        <f t="shared" si="106"/>
        <v>10</v>
      </c>
      <c r="I2048" s="12">
        <f t="shared" si="107"/>
        <v>2025</v>
      </c>
    </row>
    <row r="2049" spans="1:9" ht="19.5" customHeight="1" x14ac:dyDescent="0.35">
      <c r="A2049" s="41">
        <v>45957</v>
      </c>
      <c r="B2049" s="8" t="s">
        <v>32</v>
      </c>
      <c r="C2049" s="42" t="s">
        <v>11</v>
      </c>
      <c r="D2049" s="43" t="s">
        <v>29</v>
      </c>
      <c r="E2049" s="46">
        <v>8603652606</v>
      </c>
      <c r="F2049" s="2">
        <f>IF(C2049="GBP",E2049*$C$3,IF(C2049="TRY",E2049/$C$1,IF(C2049="EUR",E2049*$E$1,IF(C2049="RUB",E2049/#REF!,IF(C2049="EGP",E2049/$E$2,E2049)))))</f>
        <v>235930463.13231999</v>
      </c>
      <c r="G2049" s="15" t="str">
        <f>VLOOKUP(B2049,SPECIFICATIONF!$C$2:$D$65,2,0)</f>
        <v>GLOBAL HFT</v>
      </c>
      <c r="H2049" s="12">
        <f t="shared" si="106"/>
        <v>10</v>
      </c>
      <c r="I2049" s="12">
        <f t="shared" si="107"/>
        <v>2025</v>
      </c>
    </row>
    <row r="2050" spans="1:9" ht="19.5" customHeight="1" x14ac:dyDescent="0.35">
      <c r="A2050" s="41">
        <v>45957</v>
      </c>
      <c r="B2050" s="8" t="s">
        <v>32</v>
      </c>
      <c r="C2050" s="42" t="s">
        <v>33</v>
      </c>
      <c r="D2050" s="43" t="s">
        <v>29</v>
      </c>
      <c r="E2050" s="46">
        <v>45698777</v>
      </c>
      <c r="F2050" s="2">
        <f>IF(C2050="GBP",E2050*$C$3,IF(C2050="TRY",E2050/$C$1,IF(C2050="EUR",E2050*$E$1,IF(C2050="RUB",E2050/#REF!,IF(C2050="EGP",E2050/$E$2,E2050)))))</f>
        <v>45698777</v>
      </c>
      <c r="G2050" s="15" t="str">
        <f>VLOOKUP(B2050,SPECIFICATIONF!$C$2:$D$65,2,0)</f>
        <v>GLOBAL HFT</v>
      </c>
      <c r="H2050" s="12">
        <f t="shared" si="106"/>
        <v>10</v>
      </c>
      <c r="I2050" s="12">
        <f t="shared" si="107"/>
        <v>2025</v>
      </c>
    </row>
    <row r="2051" spans="1:9" ht="19.5" customHeight="1" x14ac:dyDescent="0.35">
      <c r="A2051" s="41">
        <v>45957</v>
      </c>
      <c r="B2051" s="8" t="s">
        <v>24</v>
      </c>
      <c r="C2051" s="42" t="s">
        <v>11</v>
      </c>
      <c r="D2051" s="43" t="s">
        <v>30</v>
      </c>
      <c r="E2051" s="46">
        <v>0</v>
      </c>
      <c r="F2051" s="2">
        <f>IF(C2051="GBP",E2051*$C$3,IF(C2051="TRY",E2051/$C$1,IF(C2051="EUR",E2051*$E$1,IF(C2051="RUB",E2051/#REF!,IF(C2051="EGP",E2051/$E$2,E2051)))))</f>
        <v>0</v>
      </c>
      <c r="G2051" s="15" t="str">
        <f>VLOOKUP(B2051,SPECIFICATIONF!$C$2:$D$65,2,0)</f>
        <v>GLOBAL RETAIL</v>
      </c>
      <c r="H2051" s="12">
        <f t="shared" si="106"/>
        <v>10</v>
      </c>
      <c r="I2051" s="12">
        <f t="shared" si="107"/>
        <v>2025</v>
      </c>
    </row>
    <row r="2052" spans="1:9" ht="19.5" customHeight="1" x14ac:dyDescent="0.35">
      <c r="A2052" s="41">
        <v>45957</v>
      </c>
      <c r="B2052" s="8" t="s">
        <v>24</v>
      </c>
      <c r="C2052" s="42" t="s">
        <v>33</v>
      </c>
      <c r="D2052" s="43" t="s">
        <v>30</v>
      </c>
      <c r="E2052" s="46">
        <v>0</v>
      </c>
      <c r="F2052" s="2">
        <f>IF(C2052="GBP",E2052*$C$3,IF(C2052="TRY",E2052/$C$1,IF(C2052="EUR",E2052*$E$1,IF(C2052="RUB",E2052/#REF!,IF(C2052="EGP",E2052/$E$2,E2052)))))</f>
        <v>0</v>
      </c>
      <c r="G2052" s="15" t="str">
        <f>VLOOKUP(B2052,SPECIFICATIONF!$C$2:$D$65,2,0)</f>
        <v>GLOBAL RETAIL</v>
      </c>
      <c r="H2052" s="12">
        <f t="shared" si="106"/>
        <v>10</v>
      </c>
      <c r="I2052" s="12">
        <f t="shared" si="107"/>
        <v>2025</v>
      </c>
    </row>
    <row r="2053" spans="1:9" ht="19.5" customHeight="1" x14ac:dyDescent="0.35">
      <c r="A2053" s="41">
        <v>45957</v>
      </c>
      <c r="B2053" s="8" t="s">
        <v>24</v>
      </c>
      <c r="C2053" s="42" t="s">
        <v>11</v>
      </c>
      <c r="D2053" s="43" t="s">
        <v>29</v>
      </c>
      <c r="E2053" s="46">
        <v>1385475</v>
      </c>
      <c r="F2053" s="2">
        <f>IF(C2053="GBP",E2053*$C$3,IF(C2053="TRY",E2053/$C$1,IF(C2053="EUR",E2053*$E$1,IF(C2053="RUB",E2053/#REF!,IF(C2053="EGP",E2053/$E$2,E2053)))))</f>
        <v>37992.672807395196</v>
      </c>
      <c r="G2053" s="15" t="str">
        <f>VLOOKUP(B2053,SPECIFICATIONF!$C$2:$D$65,2,0)</f>
        <v>GLOBAL RETAIL</v>
      </c>
      <c r="H2053" s="12">
        <f t="shared" si="106"/>
        <v>10</v>
      </c>
      <c r="I2053" s="12">
        <f t="shared" si="107"/>
        <v>2025</v>
      </c>
    </row>
    <row r="2054" spans="1:9" ht="19.5" customHeight="1" x14ac:dyDescent="0.35">
      <c r="A2054" s="41">
        <v>45957</v>
      </c>
      <c r="B2054" s="8" t="s">
        <v>24</v>
      </c>
      <c r="C2054" s="42" t="s">
        <v>33</v>
      </c>
      <c r="D2054" s="43" t="s">
        <v>29</v>
      </c>
      <c r="E2054" s="46">
        <v>0</v>
      </c>
      <c r="F2054" s="2">
        <f>IF(C2054="GBP",E2054*$C$3,IF(C2054="TRY",E2054/$C$1,IF(C2054="EUR",E2054*$E$1,IF(C2054="RUB",E2054/#REF!,IF(C2054="EGP",E2054/$E$2,E2054)))))</f>
        <v>0</v>
      </c>
      <c r="G2054" s="15" t="str">
        <f>VLOOKUP(B2054,SPECIFICATIONF!$C$2:$D$65,2,0)</f>
        <v>GLOBAL RETAIL</v>
      </c>
      <c r="H2054" s="12">
        <f t="shared" si="106"/>
        <v>10</v>
      </c>
      <c r="I2054" s="12">
        <f t="shared" si="107"/>
        <v>2025</v>
      </c>
    </row>
    <row r="2055" spans="1:9" ht="19.5" customHeight="1" x14ac:dyDescent="0.35">
      <c r="A2055" s="41">
        <v>45958</v>
      </c>
      <c r="B2055" s="8" t="s">
        <v>32</v>
      </c>
      <c r="C2055" s="42" t="s">
        <v>11</v>
      </c>
      <c r="D2055" s="43" t="s">
        <v>30</v>
      </c>
      <c r="E2055" s="46">
        <v>1863916.32</v>
      </c>
      <c r="F2055" s="2">
        <f>IF(C2055="GBP",E2055*$C$3,IF(C2055="TRY",E2055/$C$1,IF(C2055="EUR",E2055*$E$1,IF(C2055="RUB",E2055/#REF!,IF(C2055="EGP",E2055/$E$2,E2055)))))</f>
        <v>51112.551930654918</v>
      </c>
      <c r="G2055" s="15" t="str">
        <f>VLOOKUP(B2055,SPECIFICATIONF!$C$2:$D$65,2,0)</f>
        <v>GLOBAL HFT</v>
      </c>
      <c r="H2055" s="12">
        <f t="shared" ref="H2055:H2078" si="108">MONTH(A2055)</f>
        <v>10</v>
      </c>
      <c r="I2055" s="12">
        <f t="shared" ref="I2055:I2078" si="109">YEAR(A2055)</f>
        <v>2025</v>
      </c>
    </row>
    <row r="2056" spans="1:9" ht="19.5" customHeight="1" x14ac:dyDescent="0.35">
      <c r="A2056" s="41">
        <v>45958</v>
      </c>
      <c r="B2056" s="8" t="s">
        <v>32</v>
      </c>
      <c r="C2056" s="42" t="s">
        <v>33</v>
      </c>
      <c r="D2056" s="43" t="s">
        <v>30</v>
      </c>
      <c r="E2056" s="46">
        <v>11238.49</v>
      </c>
      <c r="F2056" s="2">
        <f>IF(C2056="GBP",E2056*$C$3,IF(C2056="TRY",E2056/$C$1,IF(C2056="EUR",E2056*$E$1,IF(C2056="RUB",E2056/#REF!,IF(C2056="EGP",E2056/$E$2,E2056)))))</f>
        <v>11238.49</v>
      </c>
      <c r="G2056" s="15" t="str">
        <f>VLOOKUP(B2056,SPECIFICATIONF!$C$2:$D$65,2,0)</f>
        <v>GLOBAL HFT</v>
      </c>
      <c r="H2056" s="12">
        <f t="shared" si="108"/>
        <v>10</v>
      </c>
      <c r="I2056" s="12">
        <f t="shared" si="109"/>
        <v>2025</v>
      </c>
    </row>
    <row r="2057" spans="1:9" ht="19.5" customHeight="1" x14ac:dyDescent="0.35">
      <c r="A2057" s="41">
        <v>45958</v>
      </c>
      <c r="B2057" s="8" t="s">
        <v>32</v>
      </c>
      <c r="C2057" s="42" t="s">
        <v>11</v>
      </c>
      <c r="D2057" s="43" t="s">
        <v>29</v>
      </c>
      <c r="E2057" s="46">
        <v>7005486994</v>
      </c>
      <c r="F2057" s="2">
        <f>IF(C2057="GBP",E2057*$C$3,IF(C2057="TRY",E2057/$C$1,IF(C2057="EUR",E2057*$E$1,IF(C2057="RUB",E2057/#REF!,IF(C2057="EGP",E2057/$E$2,E2057)))))</f>
        <v>192105361.13571483</v>
      </c>
      <c r="G2057" s="15" t="str">
        <f>VLOOKUP(B2057,SPECIFICATIONF!$C$2:$D$65,2,0)</f>
        <v>GLOBAL HFT</v>
      </c>
      <c r="H2057" s="12">
        <f t="shared" si="108"/>
        <v>10</v>
      </c>
      <c r="I2057" s="12">
        <f t="shared" si="109"/>
        <v>2025</v>
      </c>
    </row>
    <row r="2058" spans="1:9" ht="19.5" customHeight="1" x14ac:dyDescent="0.35">
      <c r="A2058" s="41">
        <v>45958</v>
      </c>
      <c r="B2058" s="8" t="s">
        <v>32</v>
      </c>
      <c r="C2058" s="42" t="s">
        <v>33</v>
      </c>
      <c r="D2058" s="43" t="s">
        <v>29</v>
      </c>
      <c r="E2058" s="46">
        <v>38268530</v>
      </c>
      <c r="F2058" s="2">
        <f>IF(C2058="GBP",E2058*$C$3,IF(C2058="TRY",E2058/$C$1,IF(C2058="EUR",E2058*$E$1,IF(C2058="RUB",E2058/#REF!,IF(C2058="EGP",E2058/$E$2,E2058)))))</f>
        <v>38268530</v>
      </c>
      <c r="G2058" s="15" t="str">
        <f>VLOOKUP(B2058,SPECIFICATIONF!$C$2:$D$65,2,0)</f>
        <v>GLOBAL HFT</v>
      </c>
      <c r="H2058" s="12">
        <f t="shared" si="108"/>
        <v>10</v>
      </c>
      <c r="I2058" s="12">
        <f t="shared" si="109"/>
        <v>2025</v>
      </c>
    </row>
    <row r="2059" spans="1:9" ht="19.5" customHeight="1" x14ac:dyDescent="0.35">
      <c r="A2059" s="41">
        <v>45958</v>
      </c>
      <c r="B2059" s="8" t="s">
        <v>24</v>
      </c>
      <c r="C2059" s="42" t="s">
        <v>11</v>
      </c>
      <c r="D2059" s="43" t="s">
        <v>30</v>
      </c>
      <c r="E2059" s="46">
        <v>0</v>
      </c>
      <c r="F2059" s="2">
        <f>IF(C2059="GBP",E2059*$C$3,IF(C2059="TRY",E2059/$C$1,IF(C2059="EUR",E2059*$E$1,IF(C2059="RUB",E2059/#REF!,IF(C2059="EGP",E2059/$E$2,E2059)))))</f>
        <v>0</v>
      </c>
      <c r="G2059" s="15" t="str">
        <f>VLOOKUP(B2059,SPECIFICATIONF!$C$2:$D$65,2,0)</f>
        <v>GLOBAL RETAIL</v>
      </c>
      <c r="H2059" s="12">
        <f t="shared" si="108"/>
        <v>10</v>
      </c>
      <c r="I2059" s="12">
        <f t="shared" si="109"/>
        <v>2025</v>
      </c>
    </row>
    <row r="2060" spans="1:9" ht="19.5" customHeight="1" x14ac:dyDescent="0.35">
      <c r="A2060" s="41">
        <v>45958</v>
      </c>
      <c r="B2060" s="8" t="s">
        <v>24</v>
      </c>
      <c r="C2060" s="42" t="s">
        <v>33</v>
      </c>
      <c r="D2060" s="43" t="s">
        <v>30</v>
      </c>
      <c r="E2060" s="46">
        <v>0</v>
      </c>
      <c r="F2060" s="2">
        <f>IF(C2060="GBP",E2060*$C$3,IF(C2060="TRY",E2060/$C$1,IF(C2060="EUR",E2060*$E$1,IF(C2060="RUB",E2060/#REF!,IF(C2060="EGP",E2060/$E$2,E2060)))))</f>
        <v>0</v>
      </c>
      <c r="G2060" s="15" t="str">
        <f>VLOOKUP(B2060,SPECIFICATIONF!$C$2:$D$65,2,0)</f>
        <v>GLOBAL RETAIL</v>
      </c>
      <c r="H2060" s="12">
        <f t="shared" si="108"/>
        <v>10</v>
      </c>
      <c r="I2060" s="12">
        <f t="shared" si="109"/>
        <v>2025</v>
      </c>
    </row>
    <row r="2061" spans="1:9" ht="19.5" customHeight="1" x14ac:dyDescent="0.35">
      <c r="A2061" s="41">
        <v>45958</v>
      </c>
      <c r="B2061" s="8" t="s">
        <v>24</v>
      </c>
      <c r="C2061" s="42" t="s">
        <v>11</v>
      </c>
      <c r="D2061" s="43" t="s">
        <v>29</v>
      </c>
      <c r="E2061" s="46">
        <v>0</v>
      </c>
      <c r="F2061" s="2">
        <f>IF(C2061="GBP",E2061*$C$3,IF(C2061="TRY",E2061/$C$1,IF(C2061="EUR",E2061*$E$1,IF(C2061="RUB",E2061/#REF!,IF(C2061="EGP",E2061/$E$2,E2061)))))</f>
        <v>0</v>
      </c>
      <c r="G2061" s="15" t="str">
        <f>VLOOKUP(B2061,SPECIFICATIONF!$C$2:$D$65,2,0)</f>
        <v>GLOBAL RETAIL</v>
      </c>
      <c r="H2061" s="12">
        <f t="shared" si="108"/>
        <v>10</v>
      </c>
      <c r="I2061" s="12">
        <f t="shared" si="109"/>
        <v>2025</v>
      </c>
    </row>
    <row r="2062" spans="1:9" ht="19.5" customHeight="1" x14ac:dyDescent="0.35">
      <c r="A2062" s="41">
        <v>45958</v>
      </c>
      <c r="B2062" s="8" t="s">
        <v>24</v>
      </c>
      <c r="C2062" s="42" t="s">
        <v>33</v>
      </c>
      <c r="D2062" s="43" t="s">
        <v>29</v>
      </c>
      <c r="E2062" s="46">
        <v>0</v>
      </c>
      <c r="F2062" s="2">
        <f>IF(C2062="GBP",E2062*$C$3,IF(C2062="TRY",E2062/$C$1,IF(C2062="EUR",E2062*$E$1,IF(C2062="RUB",E2062/#REF!,IF(C2062="EGP",E2062/$E$2,E2062)))))</f>
        <v>0</v>
      </c>
      <c r="G2062" s="15" t="str">
        <f>VLOOKUP(B2062,SPECIFICATIONF!$C$2:$D$65,2,0)</f>
        <v>GLOBAL RETAIL</v>
      </c>
      <c r="H2062" s="12">
        <f t="shared" si="108"/>
        <v>10</v>
      </c>
      <c r="I2062" s="12">
        <f t="shared" si="109"/>
        <v>2025</v>
      </c>
    </row>
    <row r="2063" spans="1:9" ht="19.5" customHeight="1" x14ac:dyDescent="0.35">
      <c r="A2063" s="41">
        <v>45959</v>
      </c>
      <c r="B2063" s="8" t="s">
        <v>32</v>
      </c>
      <c r="C2063" s="42" t="s">
        <v>11</v>
      </c>
      <c r="D2063" s="43" t="s">
        <v>30</v>
      </c>
      <c r="E2063" s="46">
        <v>1637536.29</v>
      </c>
      <c r="F2063" s="2">
        <f>IF(C2063="GBP",E2063*$C$3,IF(C2063="TRY",E2063/$C$1,IF(C2063="EUR",E2063*$E$1,IF(C2063="RUB",E2063/#REF!,IF(C2063="EGP",E2063/$E$2,E2063)))))</f>
        <v>44904.729768639503</v>
      </c>
      <c r="G2063" s="15" t="str">
        <f>VLOOKUP(B2063,SPECIFICATIONF!$C$2:$D$65,2,0)</f>
        <v>GLOBAL HFT</v>
      </c>
      <c r="H2063" s="12">
        <f t="shared" si="108"/>
        <v>10</v>
      </c>
      <c r="I2063" s="12">
        <f t="shared" si="109"/>
        <v>2025</v>
      </c>
    </row>
    <row r="2064" spans="1:9" ht="19.5" customHeight="1" x14ac:dyDescent="0.35">
      <c r="A2064" s="41">
        <v>45959</v>
      </c>
      <c r="B2064" s="8" t="s">
        <v>32</v>
      </c>
      <c r="C2064" s="42" t="s">
        <v>33</v>
      </c>
      <c r="D2064" s="43" t="s">
        <v>30</v>
      </c>
      <c r="E2064" s="46">
        <v>11596.06</v>
      </c>
      <c r="F2064" s="2">
        <f>IF(C2064="GBP",E2064*$C$3,IF(C2064="TRY",E2064/$C$1,IF(C2064="EUR",E2064*$E$1,IF(C2064="RUB",E2064/#REF!,IF(C2064="EGP",E2064/$E$2,E2064)))))</f>
        <v>11596.06</v>
      </c>
      <c r="G2064" s="15" t="str">
        <f>VLOOKUP(B2064,SPECIFICATIONF!$C$2:$D$65,2,0)</f>
        <v>GLOBAL HFT</v>
      </c>
      <c r="H2064" s="12">
        <f t="shared" si="108"/>
        <v>10</v>
      </c>
      <c r="I2064" s="12">
        <f t="shared" si="109"/>
        <v>2025</v>
      </c>
    </row>
    <row r="2065" spans="1:9" ht="19.5" customHeight="1" x14ac:dyDescent="0.35">
      <c r="A2065" s="41">
        <v>45959</v>
      </c>
      <c r="B2065" s="8" t="s">
        <v>32</v>
      </c>
      <c r="C2065" s="42" t="s">
        <v>11</v>
      </c>
      <c r="D2065" s="43" t="s">
        <v>29</v>
      </c>
      <c r="E2065" s="46">
        <v>6082173418</v>
      </c>
      <c r="F2065" s="2">
        <f>IF(C2065="GBP",E2065*$C$3,IF(C2065="TRY",E2065/$C$1,IF(C2065="EUR",E2065*$E$1,IF(C2065="RUB",E2065/#REF!,IF(C2065="EGP",E2065/$E$2,E2065)))))</f>
        <v>166786138.05944568</v>
      </c>
      <c r="G2065" s="15" t="str">
        <f>VLOOKUP(B2065,SPECIFICATIONF!$C$2:$D$65,2,0)</f>
        <v>GLOBAL HFT</v>
      </c>
      <c r="H2065" s="12">
        <f t="shared" si="108"/>
        <v>10</v>
      </c>
      <c r="I2065" s="12">
        <f t="shared" si="109"/>
        <v>2025</v>
      </c>
    </row>
    <row r="2066" spans="1:9" ht="19.5" customHeight="1" x14ac:dyDescent="0.35">
      <c r="A2066" s="41">
        <v>45959</v>
      </c>
      <c r="B2066" s="8" t="s">
        <v>32</v>
      </c>
      <c r="C2066" s="42" t="s">
        <v>33</v>
      </c>
      <c r="D2066" s="43" t="s">
        <v>29</v>
      </c>
      <c r="E2066" s="46">
        <v>39547610</v>
      </c>
      <c r="F2066" s="2">
        <f>IF(C2066="GBP",E2066*$C$3,IF(C2066="TRY",E2066/$C$1,IF(C2066="EUR",E2066*$E$1,IF(C2066="RUB",E2066/#REF!,IF(C2066="EGP",E2066/$E$2,E2066)))))</f>
        <v>39547610</v>
      </c>
      <c r="G2066" s="15" t="str">
        <f>VLOOKUP(B2066,SPECIFICATIONF!$C$2:$D$65,2,0)</f>
        <v>GLOBAL HFT</v>
      </c>
      <c r="H2066" s="12">
        <f t="shared" si="108"/>
        <v>10</v>
      </c>
      <c r="I2066" s="12">
        <f t="shared" si="109"/>
        <v>2025</v>
      </c>
    </row>
    <row r="2067" spans="1:9" ht="19.5" customHeight="1" x14ac:dyDescent="0.35">
      <c r="A2067" s="41">
        <v>45959</v>
      </c>
      <c r="B2067" s="8" t="s">
        <v>24</v>
      </c>
      <c r="C2067" s="42" t="s">
        <v>11</v>
      </c>
      <c r="D2067" s="43" t="s">
        <v>30</v>
      </c>
      <c r="E2067" s="46">
        <v>0</v>
      </c>
      <c r="F2067" s="2">
        <f>IF(C2067="GBP",E2067*$C$3,IF(C2067="TRY",E2067/$C$1,IF(C2067="EUR",E2067*$E$1,IF(C2067="RUB",E2067/#REF!,IF(C2067="EGP",E2067/$E$2,E2067)))))</f>
        <v>0</v>
      </c>
      <c r="G2067" s="15" t="str">
        <f>VLOOKUP(B2067,SPECIFICATIONF!$C$2:$D$65,2,0)</f>
        <v>GLOBAL RETAIL</v>
      </c>
      <c r="H2067" s="12">
        <f t="shared" si="108"/>
        <v>10</v>
      </c>
      <c r="I2067" s="12">
        <f t="shared" si="109"/>
        <v>2025</v>
      </c>
    </row>
    <row r="2068" spans="1:9" ht="19.5" customHeight="1" x14ac:dyDescent="0.35">
      <c r="A2068" s="41">
        <v>45959</v>
      </c>
      <c r="B2068" s="8" t="s">
        <v>24</v>
      </c>
      <c r="C2068" s="42" t="s">
        <v>33</v>
      </c>
      <c r="D2068" s="43" t="s">
        <v>30</v>
      </c>
      <c r="E2068" s="46">
        <v>0</v>
      </c>
      <c r="F2068" s="2">
        <f>IF(C2068="GBP",E2068*$C$3,IF(C2068="TRY",E2068/$C$1,IF(C2068="EUR",E2068*$E$1,IF(C2068="RUB",E2068/#REF!,IF(C2068="EGP",E2068/$E$2,E2068)))))</f>
        <v>0</v>
      </c>
      <c r="G2068" s="15" t="str">
        <f>VLOOKUP(B2068,SPECIFICATIONF!$C$2:$D$65,2,0)</f>
        <v>GLOBAL RETAIL</v>
      </c>
      <c r="H2068" s="12">
        <f t="shared" si="108"/>
        <v>10</v>
      </c>
      <c r="I2068" s="12">
        <f t="shared" si="109"/>
        <v>2025</v>
      </c>
    </row>
    <row r="2069" spans="1:9" ht="19.5" customHeight="1" x14ac:dyDescent="0.35">
      <c r="A2069" s="41">
        <v>45959</v>
      </c>
      <c r="B2069" s="8" t="s">
        <v>24</v>
      </c>
      <c r="C2069" s="42" t="s">
        <v>11</v>
      </c>
      <c r="D2069" s="43" t="s">
        <v>29</v>
      </c>
      <c r="E2069" s="46">
        <v>1564983</v>
      </c>
      <c r="F2069" s="2">
        <f>IF(C2069="GBP",E2069*$C$3,IF(C2069="TRY",E2069/$C$1,IF(C2069="EUR",E2069*$E$1,IF(C2069="RUB",E2069/#REF!,IF(C2069="EGP",E2069/$E$2,E2069)))))</f>
        <v>42915.164162569337</v>
      </c>
      <c r="G2069" s="15" t="str">
        <f>VLOOKUP(B2069,SPECIFICATIONF!$C$2:$D$65,2,0)</f>
        <v>GLOBAL RETAIL</v>
      </c>
      <c r="H2069" s="12">
        <f t="shared" si="108"/>
        <v>10</v>
      </c>
      <c r="I2069" s="12">
        <f t="shared" si="109"/>
        <v>2025</v>
      </c>
    </row>
    <row r="2070" spans="1:9" ht="19.5" customHeight="1" x14ac:dyDescent="0.35">
      <c r="A2070" s="41">
        <v>45959</v>
      </c>
      <c r="B2070" s="8" t="s">
        <v>24</v>
      </c>
      <c r="C2070" s="42" t="s">
        <v>33</v>
      </c>
      <c r="D2070" s="43" t="s">
        <v>29</v>
      </c>
      <c r="E2070" s="46">
        <v>0</v>
      </c>
      <c r="F2070" s="2">
        <f>IF(C2070="GBP",E2070*$C$3,IF(C2070="TRY",E2070/$C$1,IF(C2070="EUR",E2070*$E$1,IF(C2070="RUB",E2070/#REF!,IF(C2070="EGP",E2070/$E$2,E2070)))))</f>
        <v>0</v>
      </c>
      <c r="G2070" s="15" t="str">
        <f>VLOOKUP(B2070,SPECIFICATIONF!$C$2:$D$65,2,0)</f>
        <v>GLOBAL RETAIL</v>
      </c>
      <c r="H2070" s="12">
        <f t="shared" si="108"/>
        <v>10</v>
      </c>
      <c r="I2070" s="12">
        <f t="shared" si="109"/>
        <v>2025</v>
      </c>
    </row>
    <row r="2071" spans="1:9" ht="19.5" customHeight="1" x14ac:dyDescent="0.35">
      <c r="A2071" s="41">
        <v>45960</v>
      </c>
      <c r="B2071" s="8" t="s">
        <v>32</v>
      </c>
      <c r="C2071" s="42" t="s">
        <v>11</v>
      </c>
      <c r="D2071" s="43" t="s">
        <v>30</v>
      </c>
      <c r="E2071" s="46">
        <v>1479340</v>
      </c>
      <c r="F2071" s="2">
        <f>IF(C2071="GBP",E2071*$C$3,IF(C2071="TRY",E2071/$C$1,IF(C2071="EUR",E2071*$E$1,IF(C2071="RUB",E2071/#REF!,IF(C2071="EGP",E2071/$E$2,E2071)))))</f>
        <v>40566.650853239509</v>
      </c>
      <c r="G2071" s="15" t="str">
        <f>VLOOKUP(B2071,SPECIFICATIONF!$C$2:$D$65,2,0)</f>
        <v>GLOBAL HFT</v>
      </c>
      <c r="H2071" s="12">
        <f t="shared" si="108"/>
        <v>10</v>
      </c>
      <c r="I2071" s="12">
        <f t="shared" si="109"/>
        <v>2025</v>
      </c>
    </row>
    <row r="2072" spans="1:9" ht="19.5" customHeight="1" x14ac:dyDescent="0.35">
      <c r="A2072" s="41">
        <v>45960</v>
      </c>
      <c r="B2072" s="8" t="s">
        <v>32</v>
      </c>
      <c r="C2072" s="42" t="s">
        <v>33</v>
      </c>
      <c r="D2072" s="43" t="s">
        <v>30</v>
      </c>
      <c r="E2072" s="46">
        <v>10475.48</v>
      </c>
      <c r="F2072" s="2">
        <f>IF(C2072="GBP",E2072*$C$3,IF(C2072="TRY",E2072/$C$1,IF(C2072="EUR",E2072*$E$1,IF(C2072="RUB",E2072/#REF!,IF(C2072="EGP",E2072/$E$2,E2072)))))</f>
        <v>10475.48</v>
      </c>
      <c r="G2072" s="15" t="str">
        <f>VLOOKUP(B2072,SPECIFICATIONF!$C$2:$D$65,2,0)</f>
        <v>GLOBAL HFT</v>
      </c>
      <c r="H2072" s="12">
        <f t="shared" si="108"/>
        <v>10</v>
      </c>
      <c r="I2072" s="12">
        <f t="shared" si="109"/>
        <v>2025</v>
      </c>
    </row>
    <row r="2073" spans="1:9" ht="19.5" customHeight="1" x14ac:dyDescent="0.35">
      <c r="A2073" s="41">
        <v>45960</v>
      </c>
      <c r="B2073" s="8" t="s">
        <v>32</v>
      </c>
      <c r="C2073" s="42" t="s">
        <v>11</v>
      </c>
      <c r="D2073" s="43" t="s">
        <v>29</v>
      </c>
      <c r="E2073" s="46">
        <v>5568750943</v>
      </c>
      <c r="F2073" s="2">
        <f>IF(C2073="GBP",E2073*$C$3,IF(C2073="TRY",E2073/$C$1,IF(C2073="EUR",E2073*$E$1,IF(C2073="RUB",E2073/#REF!,IF(C2073="EGP",E2073/$E$2,E2073)))))</f>
        <v>152707001.2257691</v>
      </c>
      <c r="G2073" s="15" t="str">
        <f>VLOOKUP(B2073,SPECIFICATIONF!$C$2:$D$65,2,0)</f>
        <v>GLOBAL HFT</v>
      </c>
      <c r="H2073" s="12">
        <f t="shared" si="108"/>
        <v>10</v>
      </c>
      <c r="I2073" s="12">
        <f t="shared" si="109"/>
        <v>2025</v>
      </c>
    </row>
    <row r="2074" spans="1:9" ht="19.5" customHeight="1" x14ac:dyDescent="0.35">
      <c r="A2074" s="41">
        <v>45960</v>
      </c>
      <c r="B2074" s="8" t="s">
        <v>32</v>
      </c>
      <c r="C2074" s="42" t="s">
        <v>33</v>
      </c>
      <c r="D2074" s="43" t="s">
        <v>29</v>
      </c>
      <c r="E2074" s="46">
        <v>36749624</v>
      </c>
      <c r="F2074" s="2">
        <f>IF(C2074="GBP",E2074*$C$3,IF(C2074="TRY",E2074/$C$1,IF(C2074="EUR",E2074*$E$1,IF(C2074="RUB",E2074/#REF!,IF(C2074="EGP",E2074/$E$2,E2074)))))</f>
        <v>36749624</v>
      </c>
      <c r="G2074" s="15" t="str">
        <f>VLOOKUP(B2074,SPECIFICATIONF!$C$2:$D$65,2,0)</f>
        <v>GLOBAL HFT</v>
      </c>
      <c r="H2074" s="12">
        <f t="shared" si="108"/>
        <v>10</v>
      </c>
      <c r="I2074" s="12">
        <f t="shared" si="109"/>
        <v>2025</v>
      </c>
    </row>
    <row r="2075" spans="1:9" ht="19.5" customHeight="1" x14ac:dyDescent="0.35">
      <c r="A2075" s="41">
        <v>45960</v>
      </c>
      <c r="B2075" s="8" t="s">
        <v>24</v>
      </c>
      <c r="C2075" s="42" t="s">
        <v>11</v>
      </c>
      <c r="D2075" s="43" t="s">
        <v>30</v>
      </c>
      <c r="E2075" s="46">
        <v>0</v>
      </c>
      <c r="F2075" s="2">
        <f>IF(C2075="GBP",E2075*$C$3,IF(C2075="TRY",E2075/$C$1,IF(C2075="EUR",E2075*$E$1,IF(C2075="RUB",E2075/#REF!,IF(C2075="EGP",E2075/$E$2,E2075)))))</f>
        <v>0</v>
      </c>
      <c r="G2075" s="15" t="str">
        <f>VLOOKUP(B2075,SPECIFICATIONF!$C$2:$D$65,2,0)</f>
        <v>GLOBAL RETAIL</v>
      </c>
      <c r="H2075" s="12">
        <f t="shared" si="108"/>
        <v>10</v>
      </c>
      <c r="I2075" s="12">
        <f t="shared" si="109"/>
        <v>2025</v>
      </c>
    </row>
    <row r="2076" spans="1:9" ht="19.5" customHeight="1" x14ac:dyDescent="0.35">
      <c r="A2076" s="41">
        <v>45960</v>
      </c>
      <c r="B2076" s="8" t="s">
        <v>24</v>
      </c>
      <c r="C2076" s="42" t="s">
        <v>33</v>
      </c>
      <c r="D2076" s="43" t="s">
        <v>30</v>
      </c>
      <c r="E2076" s="46">
        <v>0</v>
      </c>
      <c r="F2076" s="2">
        <f>IF(C2076="GBP",E2076*$C$3,IF(C2076="TRY",E2076/$C$1,IF(C2076="EUR",E2076*$E$1,IF(C2076="RUB",E2076/#REF!,IF(C2076="EGP",E2076/$E$2,E2076)))))</f>
        <v>0</v>
      </c>
      <c r="G2076" s="15" t="str">
        <f>VLOOKUP(B2076,SPECIFICATIONF!$C$2:$D$65,2,0)</f>
        <v>GLOBAL RETAIL</v>
      </c>
      <c r="H2076" s="12">
        <f t="shared" si="108"/>
        <v>10</v>
      </c>
      <c r="I2076" s="12">
        <f t="shared" si="109"/>
        <v>2025</v>
      </c>
    </row>
    <row r="2077" spans="1:9" ht="19.5" customHeight="1" x14ac:dyDescent="0.35">
      <c r="A2077" s="41">
        <v>45960</v>
      </c>
      <c r="B2077" s="8" t="s">
        <v>24</v>
      </c>
      <c r="C2077" s="42" t="s">
        <v>11</v>
      </c>
      <c r="D2077" s="43" t="s">
        <v>29</v>
      </c>
      <c r="E2077" s="46">
        <v>5503270</v>
      </c>
      <c r="F2077" s="2">
        <f>IF(C2077="GBP",E2077*$C$3,IF(C2077="TRY",E2077/$C$1,IF(C2077="EUR",E2077*$E$1,IF(C2077="RUB",E2077/#REF!,IF(C2077="EGP",E2077/$E$2,E2077)))))</f>
        <v>150911.37442447807</v>
      </c>
      <c r="G2077" s="15" t="str">
        <f>VLOOKUP(B2077,SPECIFICATIONF!$C$2:$D$65,2,0)</f>
        <v>GLOBAL RETAIL</v>
      </c>
      <c r="H2077" s="12">
        <f t="shared" si="108"/>
        <v>10</v>
      </c>
      <c r="I2077" s="12">
        <f t="shared" si="109"/>
        <v>2025</v>
      </c>
    </row>
    <row r="2078" spans="1:9" ht="19.5" customHeight="1" x14ac:dyDescent="0.35">
      <c r="A2078" s="41">
        <v>45960</v>
      </c>
      <c r="B2078" s="8" t="s">
        <v>24</v>
      </c>
      <c r="C2078" s="42" t="s">
        <v>33</v>
      </c>
      <c r="D2078" s="43" t="s">
        <v>29</v>
      </c>
      <c r="E2078" s="46">
        <v>0</v>
      </c>
      <c r="F2078" s="2">
        <f>IF(C2078="GBP",E2078*$C$3,IF(C2078="TRY",E2078/$C$1,IF(C2078="EUR",E2078*$E$1,IF(C2078="RUB",E2078/#REF!,IF(C2078="EGP",E2078/$E$2,E2078)))))</f>
        <v>0</v>
      </c>
      <c r="G2078" s="15" t="str">
        <f>VLOOKUP(B2078,SPECIFICATIONF!$C$2:$D$65,2,0)</f>
        <v>GLOBAL RETAIL</v>
      </c>
      <c r="H2078" s="12">
        <f t="shared" si="108"/>
        <v>10</v>
      </c>
      <c r="I2078" s="12">
        <f t="shared" si="109"/>
        <v>2025</v>
      </c>
    </row>
    <row r="2079" spans="1:9" ht="19.5" customHeight="1" x14ac:dyDescent="0.35">
      <c r="A2079" s="41">
        <v>45961</v>
      </c>
      <c r="B2079" s="8" t="s">
        <v>32</v>
      </c>
      <c r="C2079" s="42" t="s">
        <v>11</v>
      </c>
      <c r="D2079" s="43" t="s">
        <v>30</v>
      </c>
      <c r="E2079" s="46">
        <v>1512015.67</v>
      </c>
      <c r="F2079" s="2">
        <f>IF(C2079="GBP",E2079*$C$3,IF(C2079="TRY",E2079/$C$1,IF(C2079="EUR",E2079*$E$1,IF(C2079="RUB",E2079/#REF!,IF(C2079="EGP",E2079/$E$2,E2079)))))</f>
        <v>41462.687258856655</v>
      </c>
      <c r="G2079" s="15" t="str">
        <f>VLOOKUP(B2079,SPECIFICATIONF!$C$2:$D$65,2,0)</f>
        <v>GLOBAL HFT</v>
      </c>
      <c r="H2079" s="12">
        <f t="shared" ref="H2079:H2086" si="110">MONTH(A2079)</f>
        <v>10</v>
      </c>
      <c r="I2079" s="12">
        <f t="shared" ref="I2079:I2086" si="111">YEAR(A2079)</f>
        <v>2025</v>
      </c>
    </row>
    <row r="2080" spans="1:9" ht="19.5" customHeight="1" x14ac:dyDescent="0.35">
      <c r="A2080" s="41">
        <v>45961</v>
      </c>
      <c r="B2080" s="8" t="s">
        <v>32</v>
      </c>
      <c r="C2080" s="42" t="s">
        <v>33</v>
      </c>
      <c r="D2080" s="43" t="s">
        <v>30</v>
      </c>
      <c r="E2080" s="46">
        <v>7558.63</v>
      </c>
      <c r="F2080" s="2">
        <f>IF(C2080="GBP",E2080*$C$3,IF(C2080="TRY",E2080/$C$1,IF(C2080="EUR",E2080*$E$1,IF(C2080="RUB",E2080/#REF!,IF(C2080="EGP",E2080/$E$2,E2080)))))</f>
        <v>7558.63</v>
      </c>
      <c r="G2080" s="15" t="str">
        <f>VLOOKUP(B2080,SPECIFICATIONF!$C$2:$D$65,2,0)</f>
        <v>GLOBAL HFT</v>
      </c>
      <c r="H2080" s="12">
        <f t="shared" si="110"/>
        <v>10</v>
      </c>
      <c r="I2080" s="12">
        <f t="shared" si="111"/>
        <v>2025</v>
      </c>
    </row>
    <row r="2081" spans="1:9" ht="19.5" customHeight="1" x14ac:dyDescent="0.35">
      <c r="A2081" s="41">
        <v>45961</v>
      </c>
      <c r="B2081" s="8" t="s">
        <v>32</v>
      </c>
      <c r="C2081" s="42" t="s">
        <v>11</v>
      </c>
      <c r="D2081" s="43" t="s">
        <v>29</v>
      </c>
      <c r="E2081" s="46">
        <v>5747348372</v>
      </c>
      <c r="F2081" s="2">
        <f>IF(C2081="GBP",E2081*$C$3,IF(C2081="TRY",E2081/$C$1,IF(C2081="EUR",E2081*$E$1,IF(C2081="RUB",E2081/#REF!,IF(C2081="EGP",E2081/$E$2,E2081)))))</f>
        <v>157604522.78641725</v>
      </c>
      <c r="G2081" s="15" t="str">
        <f>VLOOKUP(B2081,SPECIFICATIONF!$C$2:$D$65,2,0)</f>
        <v>GLOBAL HFT</v>
      </c>
      <c r="H2081" s="12">
        <f t="shared" si="110"/>
        <v>10</v>
      </c>
      <c r="I2081" s="12">
        <f t="shared" si="111"/>
        <v>2025</v>
      </c>
    </row>
    <row r="2082" spans="1:9" ht="19.5" customHeight="1" x14ac:dyDescent="0.35">
      <c r="A2082" s="41">
        <v>45961</v>
      </c>
      <c r="B2082" s="8" t="s">
        <v>32</v>
      </c>
      <c r="C2082" s="42" t="s">
        <v>33</v>
      </c>
      <c r="D2082" s="43" t="s">
        <v>29</v>
      </c>
      <c r="E2082" s="46">
        <v>26830513</v>
      </c>
      <c r="F2082" s="2">
        <f>IF(C2082="GBP",E2082*$C$3,IF(C2082="TRY",E2082/$C$1,IF(C2082="EUR",E2082*$E$1,IF(C2082="RUB",E2082/#REF!,IF(C2082="EGP",E2082/$E$2,E2082)))))</f>
        <v>26830513</v>
      </c>
      <c r="G2082" s="15" t="str">
        <f>VLOOKUP(B2082,SPECIFICATIONF!$C$2:$D$65,2,0)</f>
        <v>GLOBAL HFT</v>
      </c>
      <c r="H2082" s="12">
        <f t="shared" si="110"/>
        <v>10</v>
      </c>
      <c r="I2082" s="12">
        <f t="shared" si="111"/>
        <v>2025</v>
      </c>
    </row>
    <row r="2083" spans="1:9" ht="19.5" customHeight="1" x14ac:dyDescent="0.35">
      <c r="A2083" s="41">
        <v>45961</v>
      </c>
      <c r="B2083" s="8" t="s">
        <v>24</v>
      </c>
      <c r="C2083" s="42" t="s">
        <v>11</v>
      </c>
      <c r="D2083" s="43" t="s">
        <v>30</v>
      </c>
      <c r="E2083" s="46">
        <v>0</v>
      </c>
      <c r="F2083" s="2">
        <f>IF(C2083="GBP",E2083*$C$3,IF(C2083="TRY",E2083/$C$1,IF(C2083="EUR",E2083*$E$1,IF(C2083="RUB",E2083/#REF!,IF(C2083="EGP",E2083/$E$2,E2083)))))</f>
        <v>0</v>
      </c>
      <c r="G2083" s="15" t="str">
        <f>VLOOKUP(B2083,SPECIFICATIONF!$C$2:$D$65,2,0)</f>
        <v>GLOBAL RETAIL</v>
      </c>
      <c r="H2083" s="12">
        <f t="shared" si="110"/>
        <v>10</v>
      </c>
      <c r="I2083" s="12">
        <f t="shared" si="111"/>
        <v>2025</v>
      </c>
    </row>
    <row r="2084" spans="1:9" ht="19.5" customHeight="1" x14ac:dyDescent="0.35">
      <c r="A2084" s="41">
        <v>45961</v>
      </c>
      <c r="B2084" s="8" t="s">
        <v>24</v>
      </c>
      <c r="C2084" s="42" t="s">
        <v>33</v>
      </c>
      <c r="D2084" s="43" t="s">
        <v>30</v>
      </c>
      <c r="E2084" s="46">
        <v>0</v>
      </c>
      <c r="F2084" s="2">
        <f>IF(C2084="GBP",E2084*$C$3,IF(C2084="TRY",E2084/$C$1,IF(C2084="EUR",E2084*$E$1,IF(C2084="RUB",E2084/#REF!,IF(C2084="EGP",E2084/$E$2,E2084)))))</f>
        <v>0</v>
      </c>
      <c r="G2084" s="15" t="str">
        <f>VLOOKUP(B2084,SPECIFICATIONF!$C$2:$D$65,2,0)</f>
        <v>GLOBAL RETAIL</v>
      </c>
      <c r="H2084" s="12">
        <f t="shared" si="110"/>
        <v>10</v>
      </c>
      <c r="I2084" s="12">
        <f t="shared" si="111"/>
        <v>2025</v>
      </c>
    </row>
    <row r="2085" spans="1:9" ht="19.5" customHeight="1" x14ac:dyDescent="0.35">
      <c r="A2085" s="41">
        <v>45961</v>
      </c>
      <c r="B2085" s="8" t="s">
        <v>24</v>
      </c>
      <c r="C2085" s="42" t="s">
        <v>11</v>
      </c>
      <c r="D2085" s="43" t="s">
        <v>29</v>
      </c>
      <c r="E2085" s="46">
        <v>1792119</v>
      </c>
      <c r="F2085" s="2">
        <f>IF(C2085="GBP",E2085*$C$3,IF(C2085="TRY",E2085/$C$1,IF(C2085="EUR",E2085*$E$1,IF(C2085="RUB",E2085/#REF!,IF(C2085="EGP",E2085/$E$2,E2085)))))</f>
        <v>49143.716630697971</v>
      </c>
      <c r="G2085" s="15" t="str">
        <f>VLOOKUP(B2085,SPECIFICATIONF!$C$2:$D$65,2,0)</f>
        <v>GLOBAL RETAIL</v>
      </c>
      <c r="H2085" s="12">
        <f t="shared" si="110"/>
        <v>10</v>
      </c>
      <c r="I2085" s="12">
        <f t="shared" si="111"/>
        <v>2025</v>
      </c>
    </row>
    <row r="2086" spans="1:9" ht="19.5" customHeight="1" x14ac:dyDescent="0.35">
      <c r="A2086" s="41">
        <v>45961</v>
      </c>
      <c r="B2086" s="8" t="s">
        <v>24</v>
      </c>
      <c r="C2086" s="42" t="s">
        <v>33</v>
      </c>
      <c r="D2086" s="43" t="s">
        <v>29</v>
      </c>
      <c r="E2086" s="46">
        <v>0</v>
      </c>
      <c r="F2086" s="2">
        <f>IF(C2086="GBP",E2086*$C$3,IF(C2086="TRY",E2086/$C$1,IF(C2086="EUR",E2086*$E$1,IF(C2086="RUB",E2086/#REF!,IF(C2086="EGP",E2086/$E$2,E2086)))))</f>
        <v>0</v>
      </c>
      <c r="G2086" s="15" t="str">
        <f>VLOOKUP(B2086,SPECIFICATIONF!$C$2:$D$65,2,0)</f>
        <v>GLOBAL RETAIL</v>
      </c>
      <c r="H2086" s="12">
        <f t="shared" si="110"/>
        <v>10</v>
      </c>
      <c r="I2086" s="12">
        <f t="shared" si="111"/>
        <v>2025</v>
      </c>
    </row>
    <row r="2087" spans="1:9" ht="19.5" customHeight="1" x14ac:dyDescent="0.35">
      <c r="A2087" s="41">
        <v>45962</v>
      </c>
      <c r="B2087" s="8" t="s">
        <v>32</v>
      </c>
      <c r="C2087" s="42" t="s">
        <v>11</v>
      </c>
      <c r="D2087" s="43" t="s">
        <v>30</v>
      </c>
      <c r="E2087" s="46">
        <v>1735205.73</v>
      </c>
      <c r="F2087" s="2">
        <f>IF(C2087="GBP",E2087*$C$3,IF(C2087="TRY",E2087/$C$1,IF(C2087="EUR",E2087*$E$1,IF(C2087="RUB",E2087/#REF!,IF(C2087="EGP",E2087/$E$2,E2087)))))</f>
        <v>47583.033655177707</v>
      </c>
      <c r="G2087" s="15" t="str">
        <f>VLOOKUP(B2087,SPECIFICATIONF!$C$2:$D$65,2,0)</f>
        <v>GLOBAL HFT</v>
      </c>
      <c r="H2087" s="12">
        <f t="shared" ref="H2087:H2110" si="112">MONTH(A2087)</f>
        <v>11</v>
      </c>
      <c r="I2087" s="12">
        <f t="shared" ref="I2087:I2110" si="113">YEAR(A2087)</f>
        <v>2025</v>
      </c>
    </row>
    <row r="2088" spans="1:9" ht="19.5" customHeight="1" x14ac:dyDescent="0.35">
      <c r="A2088" s="41">
        <v>45962</v>
      </c>
      <c r="B2088" s="8" t="s">
        <v>32</v>
      </c>
      <c r="C2088" s="42" t="s">
        <v>33</v>
      </c>
      <c r="D2088" s="43" t="s">
        <v>30</v>
      </c>
      <c r="E2088" s="46">
        <v>7980.23</v>
      </c>
      <c r="F2088" s="2">
        <f>IF(C2088="GBP",E2088*$C$3,IF(C2088="TRY",E2088/$C$1,IF(C2088="EUR",E2088*$E$1,IF(C2088="RUB",E2088/#REF!,IF(C2088="EGP",E2088/$E$2,E2088)))))</f>
        <v>7980.23</v>
      </c>
      <c r="G2088" s="15" t="str">
        <f>VLOOKUP(B2088,SPECIFICATIONF!$C$2:$D$65,2,0)</f>
        <v>GLOBAL HFT</v>
      </c>
      <c r="H2088" s="12">
        <f t="shared" si="112"/>
        <v>11</v>
      </c>
      <c r="I2088" s="12">
        <f t="shared" si="113"/>
        <v>2025</v>
      </c>
    </row>
    <row r="2089" spans="1:9" ht="19.5" customHeight="1" x14ac:dyDescent="0.35">
      <c r="A2089" s="41">
        <v>45962</v>
      </c>
      <c r="B2089" s="8" t="s">
        <v>32</v>
      </c>
      <c r="C2089" s="42" t="s">
        <v>11</v>
      </c>
      <c r="D2089" s="43" t="s">
        <v>29</v>
      </c>
      <c r="E2089" s="46">
        <v>6486710183</v>
      </c>
      <c r="F2089" s="2">
        <f>IF(C2089="GBP",E2089*$C$3,IF(C2089="TRY",E2089/$C$1,IF(C2089="EUR",E2089*$E$1,IF(C2089="RUB",E2089/#REF!,IF(C2089="EGP",E2089/$E$2,E2089)))))</f>
        <v>177879397.01482713</v>
      </c>
      <c r="G2089" s="15" t="str">
        <f>VLOOKUP(B2089,SPECIFICATIONF!$C$2:$D$65,2,0)</f>
        <v>GLOBAL HFT</v>
      </c>
      <c r="H2089" s="12">
        <f t="shared" si="112"/>
        <v>11</v>
      </c>
      <c r="I2089" s="12">
        <f t="shared" si="113"/>
        <v>2025</v>
      </c>
    </row>
    <row r="2090" spans="1:9" ht="19.5" customHeight="1" x14ac:dyDescent="0.35">
      <c r="A2090" s="41">
        <v>45962</v>
      </c>
      <c r="B2090" s="8" t="s">
        <v>32</v>
      </c>
      <c r="C2090" s="42" t="s">
        <v>33</v>
      </c>
      <c r="D2090" s="43" t="s">
        <v>29</v>
      </c>
      <c r="E2090" s="46">
        <v>27582176</v>
      </c>
      <c r="F2090" s="2">
        <f>IF(C2090="GBP",E2090*$C$3,IF(C2090="TRY",E2090/$C$1,IF(C2090="EUR",E2090*$E$1,IF(C2090="RUB",E2090/#REF!,IF(C2090="EGP",E2090/$E$2,E2090)))))</f>
        <v>27582176</v>
      </c>
      <c r="G2090" s="15" t="str">
        <f>VLOOKUP(B2090,SPECIFICATIONF!$C$2:$D$65,2,0)</f>
        <v>GLOBAL HFT</v>
      </c>
      <c r="H2090" s="12">
        <f t="shared" si="112"/>
        <v>11</v>
      </c>
      <c r="I2090" s="12">
        <f t="shared" si="113"/>
        <v>2025</v>
      </c>
    </row>
    <row r="2091" spans="1:9" ht="19.5" customHeight="1" x14ac:dyDescent="0.35">
      <c r="A2091" s="41">
        <v>45962</v>
      </c>
      <c r="B2091" s="8" t="s">
        <v>24</v>
      </c>
      <c r="C2091" s="42" t="s">
        <v>11</v>
      </c>
      <c r="D2091" s="43" t="s">
        <v>30</v>
      </c>
      <c r="E2091" s="46">
        <v>0</v>
      </c>
      <c r="F2091" s="2">
        <f>IF(C2091="GBP",E2091*$C$3,IF(C2091="TRY",E2091/$C$1,IF(C2091="EUR",E2091*$E$1,IF(C2091="RUB",E2091/#REF!,IF(C2091="EGP",E2091/$E$2,E2091)))))</f>
        <v>0</v>
      </c>
      <c r="G2091" s="15" t="str">
        <f>VLOOKUP(B2091,SPECIFICATIONF!$C$2:$D$65,2,0)</f>
        <v>GLOBAL RETAIL</v>
      </c>
      <c r="H2091" s="12">
        <f t="shared" si="112"/>
        <v>11</v>
      </c>
      <c r="I2091" s="12">
        <f t="shared" si="113"/>
        <v>2025</v>
      </c>
    </row>
    <row r="2092" spans="1:9" ht="19.5" customHeight="1" x14ac:dyDescent="0.35">
      <c r="A2092" s="41">
        <v>45962</v>
      </c>
      <c r="B2092" s="8" t="s">
        <v>24</v>
      </c>
      <c r="C2092" s="42" t="s">
        <v>33</v>
      </c>
      <c r="D2092" s="43" t="s">
        <v>30</v>
      </c>
      <c r="E2092" s="46">
        <v>0</v>
      </c>
      <c r="F2092" s="2">
        <f>IF(C2092="GBP",E2092*$C$3,IF(C2092="TRY",E2092/$C$1,IF(C2092="EUR",E2092*$E$1,IF(C2092="RUB",E2092/#REF!,IF(C2092="EGP",E2092/$E$2,E2092)))))</f>
        <v>0</v>
      </c>
      <c r="G2092" s="15" t="str">
        <f>VLOOKUP(B2092,SPECIFICATIONF!$C$2:$D$65,2,0)</f>
        <v>GLOBAL RETAIL</v>
      </c>
      <c r="H2092" s="12">
        <f t="shared" si="112"/>
        <v>11</v>
      </c>
      <c r="I2092" s="12">
        <f t="shared" si="113"/>
        <v>2025</v>
      </c>
    </row>
    <row r="2093" spans="1:9" ht="19.5" customHeight="1" x14ac:dyDescent="0.35">
      <c r="A2093" s="41">
        <v>45962</v>
      </c>
      <c r="B2093" s="8" t="s">
        <v>24</v>
      </c>
      <c r="C2093" s="42" t="s">
        <v>11</v>
      </c>
      <c r="D2093" s="43" t="s">
        <v>29</v>
      </c>
      <c r="E2093" s="46">
        <v>0</v>
      </c>
      <c r="F2093" s="2">
        <f>IF(C2093="GBP",E2093*$C$3,IF(C2093="TRY",E2093/$C$1,IF(C2093="EUR",E2093*$E$1,IF(C2093="RUB",E2093/#REF!,IF(C2093="EGP",E2093/$E$2,E2093)))))</f>
        <v>0</v>
      </c>
      <c r="G2093" s="15" t="str">
        <f>VLOOKUP(B2093,SPECIFICATIONF!$C$2:$D$65,2,0)</f>
        <v>GLOBAL RETAIL</v>
      </c>
      <c r="H2093" s="12">
        <f t="shared" si="112"/>
        <v>11</v>
      </c>
      <c r="I2093" s="12">
        <f t="shared" si="113"/>
        <v>2025</v>
      </c>
    </row>
    <row r="2094" spans="1:9" ht="19.5" customHeight="1" x14ac:dyDescent="0.35">
      <c r="A2094" s="41">
        <v>45962</v>
      </c>
      <c r="B2094" s="8" t="s">
        <v>24</v>
      </c>
      <c r="C2094" s="42" t="s">
        <v>33</v>
      </c>
      <c r="D2094" s="43" t="s">
        <v>29</v>
      </c>
      <c r="E2094" s="46">
        <v>0</v>
      </c>
      <c r="F2094" s="2">
        <f>IF(C2094="GBP",E2094*$C$3,IF(C2094="TRY",E2094/$C$1,IF(C2094="EUR",E2094*$E$1,IF(C2094="RUB",E2094/#REF!,IF(C2094="EGP",E2094/$E$2,E2094)))))</f>
        <v>0</v>
      </c>
      <c r="G2094" s="15" t="str">
        <f>VLOOKUP(B2094,SPECIFICATIONF!$C$2:$D$65,2,0)</f>
        <v>GLOBAL RETAIL</v>
      </c>
      <c r="H2094" s="12">
        <f t="shared" si="112"/>
        <v>11</v>
      </c>
      <c r="I2094" s="12">
        <f t="shared" si="113"/>
        <v>2025</v>
      </c>
    </row>
    <row r="2095" spans="1:9" ht="19.5" customHeight="1" x14ac:dyDescent="0.35">
      <c r="A2095" s="41">
        <v>45963</v>
      </c>
      <c r="B2095" s="8" t="s">
        <v>32</v>
      </c>
      <c r="C2095" s="42" t="s">
        <v>11</v>
      </c>
      <c r="D2095" s="43" t="s">
        <v>30</v>
      </c>
      <c r="E2095" s="46">
        <v>2096921.56</v>
      </c>
      <c r="F2095" s="2">
        <f>IF(C2095="GBP",E2095*$C$3,IF(C2095="TRY",E2095/$C$1,IF(C2095="EUR",E2095*$E$1,IF(C2095="RUB",E2095/#REF!,IF(C2095="EGP",E2095/$E$2,E2095)))))</f>
        <v>57502.051449396575</v>
      </c>
      <c r="G2095" s="15" t="str">
        <f>VLOOKUP(B2095,SPECIFICATIONF!$C$2:$D$65,2,0)</f>
        <v>GLOBAL HFT</v>
      </c>
      <c r="H2095" s="12">
        <f t="shared" si="112"/>
        <v>11</v>
      </c>
      <c r="I2095" s="12">
        <f t="shared" si="113"/>
        <v>2025</v>
      </c>
    </row>
    <row r="2096" spans="1:9" ht="19.5" customHeight="1" x14ac:dyDescent="0.35">
      <c r="A2096" s="41">
        <v>45963</v>
      </c>
      <c r="B2096" s="8" t="s">
        <v>32</v>
      </c>
      <c r="C2096" s="42" t="s">
        <v>33</v>
      </c>
      <c r="D2096" s="43" t="s">
        <v>30</v>
      </c>
      <c r="E2096" s="46">
        <v>10080.58</v>
      </c>
      <c r="F2096" s="2">
        <f>IF(C2096="GBP",E2096*$C$3,IF(C2096="TRY",E2096/$C$1,IF(C2096="EUR",E2096*$E$1,IF(C2096="RUB",E2096/#REF!,IF(C2096="EGP",E2096/$E$2,E2096)))))</f>
        <v>10080.58</v>
      </c>
      <c r="G2096" s="15" t="str">
        <f>VLOOKUP(B2096,SPECIFICATIONF!$C$2:$D$65,2,0)</f>
        <v>GLOBAL HFT</v>
      </c>
      <c r="H2096" s="12">
        <f t="shared" si="112"/>
        <v>11</v>
      </c>
      <c r="I2096" s="12">
        <f t="shared" si="113"/>
        <v>2025</v>
      </c>
    </row>
    <row r="2097" spans="1:9" ht="19.5" customHeight="1" x14ac:dyDescent="0.35">
      <c r="A2097" s="41">
        <v>45963</v>
      </c>
      <c r="B2097" s="8" t="s">
        <v>32</v>
      </c>
      <c r="C2097" s="42" t="s">
        <v>11</v>
      </c>
      <c r="D2097" s="43" t="s">
        <v>29</v>
      </c>
      <c r="E2097" s="46">
        <v>7727516151</v>
      </c>
      <c r="F2097" s="2">
        <f>IF(C2097="GBP",E2097*$C$3,IF(C2097="TRY",E2097/$C$1,IF(C2097="EUR",E2097*$E$1,IF(C2097="RUB",E2097/#REF!,IF(C2097="EGP",E2097/$E$2,E2097)))))</f>
        <v>211904937.1073494</v>
      </c>
      <c r="G2097" s="15" t="str">
        <f>VLOOKUP(B2097,SPECIFICATIONF!$C$2:$D$65,2,0)</f>
        <v>GLOBAL HFT</v>
      </c>
      <c r="H2097" s="12">
        <f t="shared" si="112"/>
        <v>11</v>
      </c>
      <c r="I2097" s="12">
        <f t="shared" si="113"/>
        <v>2025</v>
      </c>
    </row>
    <row r="2098" spans="1:9" ht="19.5" customHeight="1" x14ac:dyDescent="0.35">
      <c r="A2098" s="41">
        <v>45963</v>
      </c>
      <c r="B2098" s="8" t="s">
        <v>32</v>
      </c>
      <c r="C2098" s="42" t="s">
        <v>33</v>
      </c>
      <c r="D2098" s="43" t="s">
        <v>29</v>
      </c>
      <c r="E2098" s="46">
        <v>33599253</v>
      </c>
      <c r="F2098" s="2">
        <f>IF(C2098="GBP",E2098*$C$3,IF(C2098="TRY",E2098/$C$1,IF(C2098="EUR",E2098*$E$1,IF(C2098="RUB",E2098/#REF!,IF(C2098="EGP",E2098/$E$2,E2098)))))</f>
        <v>33599253</v>
      </c>
      <c r="G2098" s="15" t="str">
        <f>VLOOKUP(B2098,SPECIFICATIONF!$C$2:$D$65,2,0)</f>
        <v>GLOBAL HFT</v>
      </c>
      <c r="H2098" s="12">
        <f t="shared" si="112"/>
        <v>11</v>
      </c>
      <c r="I2098" s="12">
        <f t="shared" si="113"/>
        <v>2025</v>
      </c>
    </row>
    <row r="2099" spans="1:9" ht="19.5" customHeight="1" x14ac:dyDescent="0.35">
      <c r="A2099" s="41">
        <v>45963</v>
      </c>
      <c r="B2099" s="8" t="s">
        <v>24</v>
      </c>
      <c r="C2099" s="42" t="s">
        <v>11</v>
      </c>
      <c r="D2099" s="43" t="s">
        <v>30</v>
      </c>
      <c r="E2099" s="46">
        <v>0</v>
      </c>
      <c r="F2099" s="2">
        <f>IF(C2099="GBP",E2099*$C$3,IF(C2099="TRY",E2099/$C$1,IF(C2099="EUR",E2099*$E$1,IF(C2099="RUB",E2099/#REF!,IF(C2099="EGP",E2099/$E$2,E2099)))))</f>
        <v>0</v>
      </c>
      <c r="G2099" s="15" t="str">
        <f>VLOOKUP(B2099,SPECIFICATIONF!$C$2:$D$65,2,0)</f>
        <v>GLOBAL RETAIL</v>
      </c>
      <c r="H2099" s="12">
        <f t="shared" si="112"/>
        <v>11</v>
      </c>
      <c r="I2099" s="12">
        <f t="shared" si="113"/>
        <v>2025</v>
      </c>
    </row>
    <row r="2100" spans="1:9" ht="19.5" customHeight="1" x14ac:dyDescent="0.35">
      <c r="A2100" s="41">
        <v>45963</v>
      </c>
      <c r="B2100" s="8" t="s">
        <v>24</v>
      </c>
      <c r="C2100" s="42" t="s">
        <v>33</v>
      </c>
      <c r="D2100" s="43" t="s">
        <v>30</v>
      </c>
      <c r="E2100" s="46">
        <v>0</v>
      </c>
      <c r="F2100" s="2">
        <f>IF(C2100="GBP",E2100*$C$3,IF(C2100="TRY",E2100/$C$1,IF(C2100="EUR",E2100*$E$1,IF(C2100="RUB",E2100/#REF!,IF(C2100="EGP",E2100/$E$2,E2100)))))</f>
        <v>0</v>
      </c>
      <c r="G2100" s="15" t="str">
        <f>VLOOKUP(B2100,SPECIFICATIONF!$C$2:$D$65,2,0)</f>
        <v>GLOBAL RETAIL</v>
      </c>
      <c r="H2100" s="12">
        <f t="shared" si="112"/>
        <v>11</v>
      </c>
      <c r="I2100" s="12">
        <f t="shared" si="113"/>
        <v>2025</v>
      </c>
    </row>
    <row r="2101" spans="1:9" ht="19.5" customHeight="1" x14ac:dyDescent="0.35">
      <c r="A2101" s="41">
        <v>45963</v>
      </c>
      <c r="B2101" s="8" t="s">
        <v>24</v>
      </c>
      <c r="C2101" s="42" t="s">
        <v>11</v>
      </c>
      <c r="D2101" s="43" t="s">
        <v>29</v>
      </c>
      <c r="E2101" s="46">
        <v>0</v>
      </c>
      <c r="F2101" s="2">
        <f>IF(C2101="GBP",E2101*$C$3,IF(C2101="TRY",E2101/$C$1,IF(C2101="EUR",E2101*$E$1,IF(C2101="RUB",E2101/#REF!,IF(C2101="EGP",E2101/$E$2,E2101)))))</f>
        <v>0</v>
      </c>
      <c r="G2101" s="15" t="str">
        <f>VLOOKUP(B2101,SPECIFICATIONF!$C$2:$D$65,2,0)</f>
        <v>GLOBAL RETAIL</v>
      </c>
      <c r="H2101" s="12">
        <f t="shared" si="112"/>
        <v>11</v>
      </c>
      <c r="I2101" s="12">
        <f t="shared" si="113"/>
        <v>2025</v>
      </c>
    </row>
    <row r="2102" spans="1:9" ht="19.5" customHeight="1" x14ac:dyDescent="0.35">
      <c r="A2102" s="41">
        <v>45963</v>
      </c>
      <c r="B2102" s="8" t="s">
        <v>24</v>
      </c>
      <c r="C2102" s="42" t="s">
        <v>33</v>
      </c>
      <c r="D2102" s="43" t="s">
        <v>29</v>
      </c>
      <c r="E2102" s="46">
        <v>0</v>
      </c>
      <c r="F2102" s="2">
        <f>IF(C2102="GBP",E2102*$C$3,IF(C2102="TRY",E2102/$C$1,IF(C2102="EUR",E2102*$E$1,IF(C2102="RUB",E2102/#REF!,IF(C2102="EGP",E2102/$E$2,E2102)))))</f>
        <v>0</v>
      </c>
      <c r="G2102" s="15" t="str">
        <f>VLOOKUP(B2102,SPECIFICATIONF!$C$2:$D$65,2,0)</f>
        <v>GLOBAL RETAIL</v>
      </c>
      <c r="H2102" s="12">
        <f t="shared" si="112"/>
        <v>11</v>
      </c>
      <c r="I2102" s="12">
        <f t="shared" si="113"/>
        <v>2025</v>
      </c>
    </row>
    <row r="2103" spans="1:9" ht="19.5" customHeight="1" x14ac:dyDescent="0.35">
      <c r="A2103" s="41">
        <v>45964</v>
      </c>
      <c r="B2103" s="8" t="s">
        <v>32</v>
      </c>
      <c r="C2103" s="42" t="s">
        <v>11</v>
      </c>
      <c r="D2103" s="43" t="s">
        <v>30</v>
      </c>
      <c r="E2103" s="46">
        <v>2013805.31</v>
      </c>
      <c r="F2103" s="2">
        <f>IF(C2103="GBP",E2103*$C$3,IF(C2103="TRY",E2103/$C$1,IF(C2103="EUR",E2103*$E$1,IF(C2103="RUB",E2103/#REF!,IF(C2103="EGP",E2103/$E$2,E2103)))))</f>
        <v>55222.827002021011</v>
      </c>
      <c r="G2103" s="15" t="str">
        <f>VLOOKUP(B2103,SPECIFICATIONF!$C$2:$D$65,2,0)</f>
        <v>GLOBAL HFT</v>
      </c>
      <c r="H2103" s="12">
        <f t="shared" si="112"/>
        <v>11</v>
      </c>
      <c r="I2103" s="12">
        <f t="shared" si="113"/>
        <v>2025</v>
      </c>
    </row>
    <row r="2104" spans="1:9" ht="19.5" customHeight="1" x14ac:dyDescent="0.35">
      <c r="A2104" s="41">
        <v>45964</v>
      </c>
      <c r="B2104" s="8" t="s">
        <v>32</v>
      </c>
      <c r="C2104" s="42" t="s">
        <v>33</v>
      </c>
      <c r="D2104" s="43" t="s">
        <v>30</v>
      </c>
      <c r="E2104" s="46">
        <v>12754.35</v>
      </c>
      <c r="F2104" s="2">
        <f>IF(C2104="GBP",E2104*$C$3,IF(C2104="TRY",E2104/$C$1,IF(C2104="EUR",E2104*$E$1,IF(C2104="RUB",E2104/#REF!,IF(C2104="EGP",E2104/$E$2,E2104)))))</f>
        <v>12754.35</v>
      </c>
      <c r="G2104" s="15" t="str">
        <f>VLOOKUP(B2104,SPECIFICATIONF!$C$2:$D$65,2,0)</f>
        <v>GLOBAL HFT</v>
      </c>
      <c r="H2104" s="12">
        <f t="shared" si="112"/>
        <v>11</v>
      </c>
      <c r="I2104" s="12">
        <f t="shared" si="113"/>
        <v>2025</v>
      </c>
    </row>
    <row r="2105" spans="1:9" ht="19.5" customHeight="1" x14ac:dyDescent="0.35">
      <c r="A2105" s="41">
        <v>45964</v>
      </c>
      <c r="B2105" s="8" t="s">
        <v>32</v>
      </c>
      <c r="C2105" s="42" t="s">
        <v>11</v>
      </c>
      <c r="D2105" s="43" t="s">
        <v>29</v>
      </c>
      <c r="E2105" s="46">
        <v>7510912182</v>
      </c>
      <c r="F2105" s="2">
        <f>IF(C2105="GBP",E2105*$C$3,IF(C2105="TRY",E2105/$C$1,IF(C2105="EUR",E2105*$E$1,IF(C2105="RUB",E2105/#REF!,IF(C2105="EGP",E2105/$E$2,E2105)))))</f>
        <v>205965195.34152889</v>
      </c>
      <c r="G2105" s="15" t="str">
        <f>VLOOKUP(B2105,SPECIFICATIONF!$C$2:$D$65,2,0)</f>
        <v>GLOBAL HFT</v>
      </c>
      <c r="H2105" s="12">
        <f t="shared" si="112"/>
        <v>11</v>
      </c>
      <c r="I2105" s="12">
        <f t="shared" si="113"/>
        <v>2025</v>
      </c>
    </row>
    <row r="2106" spans="1:9" ht="19.5" customHeight="1" x14ac:dyDescent="0.35">
      <c r="A2106" s="41">
        <v>45964</v>
      </c>
      <c r="B2106" s="8" t="s">
        <v>32</v>
      </c>
      <c r="C2106" s="42" t="s">
        <v>33</v>
      </c>
      <c r="D2106" s="43" t="s">
        <v>29</v>
      </c>
      <c r="E2106" s="46">
        <v>43949198</v>
      </c>
      <c r="F2106" s="2">
        <f>IF(C2106="GBP",E2106*$C$3,IF(C2106="TRY",E2106/$C$1,IF(C2106="EUR",E2106*$E$1,IF(C2106="RUB",E2106/#REF!,IF(C2106="EGP",E2106/$E$2,E2106)))))</f>
        <v>43949198</v>
      </c>
      <c r="G2106" s="15" t="str">
        <f>VLOOKUP(B2106,SPECIFICATIONF!$C$2:$D$65,2,0)</f>
        <v>GLOBAL HFT</v>
      </c>
      <c r="H2106" s="12">
        <f t="shared" si="112"/>
        <v>11</v>
      </c>
      <c r="I2106" s="12">
        <f t="shared" si="113"/>
        <v>2025</v>
      </c>
    </row>
    <row r="2107" spans="1:9" ht="19.5" customHeight="1" x14ac:dyDescent="0.35">
      <c r="A2107" s="41">
        <v>45964</v>
      </c>
      <c r="B2107" s="8" t="s">
        <v>24</v>
      </c>
      <c r="C2107" s="42" t="s">
        <v>11</v>
      </c>
      <c r="D2107" s="43" t="s">
        <v>30</v>
      </c>
      <c r="E2107" s="46">
        <v>0</v>
      </c>
      <c r="F2107" s="2">
        <f>IF(C2107="GBP",E2107*$C$3,IF(C2107="TRY",E2107/$C$1,IF(C2107="EUR",E2107*$E$1,IF(C2107="RUB",E2107/#REF!,IF(C2107="EGP",E2107/$E$2,E2107)))))</f>
        <v>0</v>
      </c>
      <c r="G2107" s="15" t="str">
        <f>VLOOKUP(B2107,SPECIFICATIONF!$C$2:$D$65,2,0)</f>
        <v>GLOBAL RETAIL</v>
      </c>
      <c r="H2107" s="12">
        <f t="shared" si="112"/>
        <v>11</v>
      </c>
      <c r="I2107" s="12">
        <f t="shared" si="113"/>
        <v>2025</v>
      </c>
    </row>
    <row r="2108" spans="1:9" ht="19.5" customHeight="1" x14ac:dyDescent="0.35">
      <c r="A2108" s="41">
        <v>45964</v>
      </c>
      <c r="B2108" s="8" t="s">
        <v>24</v>
      </c>
      <c r="C2108" s="42" t="s">
        <v>33</v>
      </c>
      <c r="D2108" s="43" t="s">
        <v>30</v>
      </c>
      <c r="E2108" s="46">
        <v>0</v>
      </c>
      <c r="F2108" s="2">
        <f>IF(C2108="GBP",E2108*$C$3,IF(C2108="TRY",E2108/$C$1,IF(C2108="EUR",E2108*$E$1,IF(C2108="RUB",E2108/#REF!,IF(C2108="EGP",E2108/$E$2,E2108)))))</f>
        <v>0</v>
      </c>
      <c r="G2108" s="15" t="str">
        <f>VLOOKUP(B2108,SPECIFICATIONF!$C$2:$D$65,2,0)</f>
        <v>GLOBAL RETAIL</v>
      </c>
      <c r="H2108" s="12">
        <f t="shared" si="112"/>
        <v>11</v>
      </c>
      <c r="I2108" s="12">
        <f t="shared" si="113"/>
        <v>2025</v>
      </c>
    </row>
    <row r="2109" spans="1:9" ht="19.5" customHeight="1" x14ac:dyDescent="0.35">
      <c r="A2109" s="41">
        <v>45964</v>
      </c>
      <c r="B2109" s="8" t="s">
        <v>24</v>
      </c>
      <c r="C2109" s="42" t="s">
        <v>11</v>
      </c>
      <c r="D2109" s="43" t="s">
        <v>29</v>
      </c>
      <c r="E2109" s="46">
        <v>1768273</v>
      </c>
      <c r="F2109" s="2">
        <f>IF(C2109="GBP",E2109*$C$3,IF(C2109="TRY",E2109/$C$1,IF(C2109="EUR",E2109*$E$1,IF(C2109="RUB",E2109/#REF!,IF(C2109="EGP",E2109/$E$2,E2109)))))</f>
        <v>48489.808566124346</v>
      </c>
      <c r="G2109" s="15" t="str">
        <f>VLOOKUP(B2109,SPECIFICATIONF!$C$2:$D$65,2,0)</f>
        <v>GLOBAL RETAIL</v>
      </c>
      <c r="H2109" s="12">
        <f t="shared" si="112"/>
        <v>11</v>
      </c>
      <c r="I2109" s="12">
        <f t="shared" si="113"/>
        <v>2025</v>
      </c>
    </row>
    <row r="2110" spans="1:9" ht="19.5" customHeight="1" x14ac:dyDescent="0.35">
      <c r="A2110" s="41">
        <v>45964</v>
      </c>
      <c r="B2110" s="8" t="s">
        <v>24</v>
      </c>
      <c r="C2110" s="42" t="s">
        <v>33</v>
      </c>
      <c r="D2110" s="43" t="s">
        <v>29</v>
      </c>
      <c r="E2110" s="46">
        <v>710</v>
      </c>
      <c r="F2110" s="2">
        <f>IF(C2110="GBP",E2110*$C$3,IF(C2110="TRY",E2110/$C$1,IF(C2110="EUR",E2110*$E$1,IF(C2110="RUB",E2110/#REF!,IF(C2110="EGP",E2110/$E$2,E2110)))))</f>
        <v>710</v>
      </c>
      <c r="G2110" s="15" t="str">
        <f>VLOOKUP(B2110,SPECIFICATIONF!$C$2:$D$65,2,0)</f>
        <v>GLOBAL RETAIL</v>
      </c>
      <c r="H2110" s="12">
        <f t="shared" si="112"/>
        <v>11</v>
      </c>
      <c r="I2110" s="12">
        <f t="shared" si="113"/>
        <v>2025</v>
      </c>
    </row>
    <row r="2111" spans="1:9" ht="19.5" customHeight="1" x14ac:dyDescent="0.35">
      <c r="A2111" s="41">
        <v>45965</v>
      </c>
      <c r="B2111" s="8" t="s">
        <v>32</v>
      </c>
      <c r="C2111" s="42" t="s">
        <v>11</v>
      </c>
      <c r="D2111" s="43" t="s">
        <v>30</v>
      </c>
      <c r="E2111" s="46">
        <v>2556354.21</v>
      </c>
      <c r="F2111" s="2">
        <f>IF(C2111="GBP",E2111*$C$3,IF(C2111="TRY",E2111/$C$1,IF(C2111="EUR",E2111*$E$1,IF(C2111="RUB",E2111/#REF!,IF(C2111="EGP",E2111/$E$2,E2111)))))</f>
        <v>70100.672390578853</v>
      </c>
      <c r="G2111" s="15" t="str">
        <f>VLOOKUP(B2111,SPECIFICATIONF!$C$2:$D$65,2,0)</f>
        <v>GLOBAL HFT</v>
      </c>
      <c r="H2111" s="12">
        <f t="shared" ref="H2111:H2118" si="114">MONTH(A2111)</f>
        <v>11</v>
      </c>
      <c r="I2111" s="12">
        <f t="shared" ref="I2111:I2118" si="115">YEAR(A2111)</f>
        <v>2025</v>
      </c>
    </row>
    <row r="2112" spans="1:9" ht="19.5" customHeight="1" x14ac:dyDescent="0.35">
      <c r="A2112" s="41">
        <v>45965</v>
      </c>
      <c r="B2112" s="8" t="s">
        <v>32</v>
      </c>
      <c r="C2112" s="42" t="s">
        <v>33</v>
      </c>
      <c r="D2112" s="43" t="s">
        <v>30</v>
      </c>
      <c r="E2112" s="46">
        <v>16838.05</v>
      </c>
      <c r="F2112" s="2">
        <f>IF(C2112="GBP",E2112*$C$3,IF(C2112="TRY",E2112/$C$1,IF(C2112="EUR",E2112*$E$1,IF(C2112="RUB",E2112/#REF!,IF(C2112="EGP",E2112/$E$2,E2112)))))</f>
        <v>16838.05</v>
      </c>
      <c r="G2112" s="15" t="str">
        <f>VLOOKUP(B2112,SPECIFICATIONF!$C$2:$D$65,2,0)</f>
        <v>GLOBAL HFT</v>
      </c>
      <c r="H2112" s="12">
        <f t="shared" si="114"/>
        <v>11</v>
      </c>
      <c r="I2112" s="12">
        <f t="shared" si="115"/>
        <v>2025</v>
      </c>
    </row>
    <row r="2113" spans="1:9" ht="19.5" customHeight="1" x14ac:dyDescent="0.35">
      <c r="A2113" s="41">
        <v>45965</v>
      </c>
      <c r="B2113" s="8" t="s">
        <v>32</v>
      </c>
      <c r="C2113" s="42" t="s">
        <v>11</v>
      </c>
      <c r="D2113" s="43" t="s">
        <v>29</v>
      </c>
      <c r="E2113" s="46">
        <v>9285373988</v>
      </c>
      <c r="F2113" s="2">
        <f>IF(C2113="GBP",E2113*$C$3,IF(C2113="TRY",E2113/$C$1,IF(C2113="EUR",E2113*$E$1,IF(C2113="RUB",E2113/#REF!,IF(C2113="EGP",E2113/$E$2,E2113)))))</f>
        <v>254624714.13802654</v>
      </c>
      <c r="G2113" s="15" t="str">
        <f>VLOOKUP(B2113,SPECIFICATIONF!$C$2:$D$65,2,0)</f>
        <v>GLOBAL HFT</v>
      </c>
      <c r="H2113" s="12">
        <f t="shared" si="114"/>
        <v>11</v>
      </c>
      <c r="I2113" s="12">
        <f t="shared" si="115"/>
        <v>2025</v>
      </c>
    </row>
    <row r="2114" spans="1:9" ht="19.5" customHeight="1" x14ac:dyDescent="0.35">
      <c r="A2114" s="41">
        <v>45965</v>
      </c>
      <c r="B2114" s="8" t="s">
        <v>32</v>
      </c>
      <c r="C2114" s="42" t="s">
        <v>33</v>
      </c>
      <c r="D2114" s="43" t="s">
        <v>29</v>
      </c>
      <c r="E2114" s="46">
        <v>56159211</v>
      </c>
      <c r="F2114" s="2">
        <f>IF(C2114="GBP",E2114*$C$3,IF(C2114="TRY",E2114/$C$1,IF(C2114="EUR",E2114*$E$1,IF(C2114="RUB",E2114/#REF!,IF(C2114="EGP",E2114/$E$2,E2114)))))</f>
        <v>56159211</v>
      </c>
      <c r="G2114" s="15" t="str">
        <f>VLOOKUP(B2114,SPECIFICATIONF!$C$2:$D$65,2,0)</f>
        <v>GLOBAL HFT</v>
      </c>
      <c r="H2114" s="12">
        <f t="shared" si="114"/>
        <v>11</v>
      </c>
      <c r="I2114" s="12">
        <f t="shared" si="115"/>
        <v>2025</v>
      </c>
    </row>
    <row r="2115" spans="1:9" ht="19.5" customHeight="1" x14ac:dyDescent="0.35">
      <c r="A2115" s="41">
        <v>45965</v>
      </c>
      <c r="B2115" s="8" t="s">
        <v>24</v>
      </c>
      <c r="C2115" s="42" t="s">
        <v>11</v>
      </c>
      <c r="D2115" s="43" t="s">
        <v>30</v>
      </c>
      <c r="E2115" s="46">
        <v>0</v>
      </c>
      <c r="F2115" s="2">
        <f>IF(C2115="GBP",E2115*$C$3,IF(C2115="TRY",E2115/$C$1,IF(C2115="EUR",E2115*$E$1,IF(C2115="RUB",E2115/#REF!,IF(C2115="EGP",E2115/$E$2,E2115)))))</f>
        <v>0</v>
      </c>
      <c r="G2115" s="15" t="str">
        <f>VLOOKUP(B2115,SPECIFICATIONF!$C$2:$D$65,2,0)</f>
        <v>GLOBAL RETAIL</v>
      </c>
      <c r="H2115" s="12">
        <f t="shared" si="114"/>
        <v>11</v>
      </c>
      <c r="I2115" s="12">
        <f t="shared" si="115"/>
        <v>2025</v>
      </c>
    </row>
    <row r="2116" spans="1:9" ht="19.5" customHeight="1" x14ac:dyDescent="0.35">
      <c r="A2116" s="41">
        <v>45965</v>
      </c>
      <c r="B2116" s="8" t="s">
        <v>24</v>
      </c>
      <c r="C2116" s="42" t="s">
        <v>33</v>
      </c>
      <c r="D2116" s="43" t="s">
        <v>30</v>
      </c>
      <c r="E2116" s="46">
        <v>0</v>
      </c>
      <c r="F2116" s="2">
        <f>IF(C2116="GBP",E2116*$C$3,IF(C2116="TRY",E2116/$C$1,IF(C2116="EUR",E2116*$E$1,IF(C2116="RUB",E2116/#REF!,IF(C2116="EGP",E2116/$E$2,E2116)))))</f>
        <v>0</v>
      </c>
      <c r="G2116" s="15" t="str">
        <f>VLOOKUP(B2116,SPECIFICATIONF!$C$2:$D$65,2,0)</f>
        <v>GLOBAL RETAIL</v>
      </c>
      <c r="H2116" s="12">
        <f t="shared" si="114"/>
        <v>11</v>
      </c>
      <c r="I2116" s="12">
        <f t="shared" si="115"/>
        <v>2025</v>
      </c>
    </row>
    <row r="2117" spans="1:9" ht="19.5" customHeight="1" x14ac:dyDescent="0.35">
      <c r="A2117" s="41">
        <v>45965</v>
      </c>
      <c r="B2117" s="8" t="s">
        <v>24</v>
      </c>
      <c r="C2117" s="42" t="s">
        <v>11</v>
      </c>
      <c r="D2117" s="43" t="s">
        <v>29</v>
      </c>
      <c r="E2117" s="46">
        <v>4349592</v>
      </c>
      <c r="F2117" s="2">
        <f>IF(C2117="GBP",E2117*$C$3,IF(C2117="TRY",E2117/$C$1,IF(C2117="EUR",E2117*$E$1,IF(C2117="RUB",E2117/#REF!,IF(C2117="EGP",E2117/$E$2,E2117)))))</f>
        <v>119275.06862387534</v>
      </c>
      <c r="G2117" s="15" t="str">
        <f>VLOOKUP(B2117,SPECIFICATIONF!$C$2:$D$65,2,0)</f>
        <v>GLOBAL RETAIL</v>
      </c>
      <c r="H2117" s="12">
        <f t="shared" si="114"/>
        <v>11</v>
      </c>
      <c r="I2117" s="12">
        <f t="shared" si="115"/>
        <v>2025</v>
      </c>
    </row>
    <row r="2118" spans="1:9" ht="19.5" customHeight="1" x14ac:dyDescent="0.35">
      <c r="A2118" s="41">
        <v>45965</v>
      </c>
      <c r="B2118" s="8" t="s">
        <v>24</v>
      </c>
      <c r="C2118" s="42" t="s">
        <v>33</v>
      </c>
      <c r="D2118" s="43" t="s">
        <v>29</v>
      </c>
      <c r="E2118" s="46">
        <v>0</v>
      </c>
      <c r="F2118" s="2">
        <f>IF(C2118="GBP",E2118*$C$3,IF(C2118="TRY",E2118/$C$1,IF(C2118="EUR",E2118*$E$1,IF(C2118="RUB",E2118/#REF!,IF(C2118="EGP",E2118/$E$2,E2118)))))</f>
        <v>0</v>
      </c>
      <c r="G2118" s="15" t="str">
        <f>VLOOKUP(B2118,SPECIFICATIONF!$C$2:$D$65,2,0)</f>
        <v>GLOBAL RETAIL</v>
      </c>
      <c r="H2118" s="12">
        <f t="shared" si="114"/>
        <v>11</v>
      </c>
      <c r="I2118" s="12">
        <f t="shared" si="115"/>
        <v>2025</v>
      </c>
    </row>
    <row r="2119" spans="1:9" ht="19.5" customHeight="1" x14ac:dyDescent="0.35">
      <c r="A2119" s="41">
        <v>45966</v>
      </c>
      <c r="B2119" s="8" t="s">
        <v>32</v>
      </c>
      <c r="C2119" s="42" t="s">
        <v>11</v>
      </c>
      <c r="D2119" s="43" t="s">
        <v>30</v>
      </c>
      <c r="E2119" s="46">
        <v>2451401.94</v>
      </c>
      <c r="F2119" s="2">
        <f>IF(C2119="GBP",E2119*$C$3,IF(C2119="TRY",E2119/$C$1,IF(C2119="EUR",E2119*$E$1,IF(C2119="RUB",E2119/#REF!,IF(C2119="EGP",E2119/$E$2,E2119)))))</f>
        <v>67222.657807491167</v>
      </c>
      <c r="G2119" s="15" t="str">
        <f>VLOOKUP(B2119,SPECIFICATIONF!$C$2:$D$65,2,0)</f>
        <v>GLOBAL HFT</v>
      </c>
      <c r="H2119" s="12">
        <f t="shared" ref="H2119:H2126" si="116">MONTH(A2119)</f>
        <v>11</v>
      </c>
      <c r="I2119" s="12">
        <f t="shared" ref="I2119:I2126" si="117">YEAR(A2119)</f>
        <v>2025</v>
      </c>
    </row>
    <row r="2120" spans="1:9" ht="19.5" customHeight="1" x14ac:dyDescent="0.35">
      <c r="A2120" s="41">
        <v>45966</v>
      </c>
      <c r="B2120" s="8" t="s">
        <v>32</v>
      </c>
      <c r="C2120" s="42" t="s">
        <v>33</v>
      </c>
      <c r="D2120" s="43" t="s">
        <v>30</v>
      </c>
      <c r="E2120" s="46">
        <v>13329.69</v>
      </c>
      <c r="F2120" s="2">
        <f>IF(C2120="GBP",E2120*$C$3,IF(C2120="TRY",E2120/$C$1,IF(C2120="EUR",E2120*$E$1,IF(C2120="RUB",E2120/#REF!,IF(C2120="EGP",E2120/$E$2,E2120)))))</f>
        <v>13329.69</v>
      </c>
      <c r="G2120" s="15" t="str">
        <f>VLOOKUP(B2120,SPECIFICATIONF!$C$2:$D$65,2,0)</f>
        <v>GLOBAL HFT</v>
      </c>
      <c r="H2120" s="12">
        <f t="shared" si="116"/>
        <v>11</v>
      </c>
      <c r="I2120" s="12">
        <f t="shared" si="117"/>
        <v>2025</v>
      </c>
    </row>
    <row r="2121" spans="1:9" ht="19.5" customHeight="1" x14ac:dyDescent="0.35">
      <c r="A2121" s="41">
        <v>45966</v>
      </c>
      <c r="B2121" s="8" t="s">
        <v>32</v>
      </c>
      <c r="C2121" s="42" t="s">
        <v>11</v>
      </c>
      <c r="D2121" s="43" t="s">
        <v>29</v>
      </c>
      <c r="E2121" s="46">
        <v>9059783787</v>
      </c>
      <c r="F2121" s="2">
        <f>IF(C2121="GBP",E2121*$C$3,IF(C2121="TRY",E2121/$C$1,IF(C2121="EUR",E2121*$E$1,IF(C2121="RUB",E2121/#REF!,IF(C2121="EGP",E2121/$E$2,E2121)))))</f>
        <v>248438550.76795667</v>
      </c>
      <c r="G2121" s="15" t="str">
        <f>VLOOKUP(B2121,SPECIFICATIONF!$C$2:$D$65,2,0)</f>
        <v>GLOBAL HFT</v>
      </c>
      <c r="H2121" s="12">
        <f t="shared" si="116"/>
        <v>11</v>
      </c>
      <c r="I2121" s="12">
        <f t="shared" si="117"/>
        <v>2025</v>
      </c>
    </row>
    <row r="2122" spans="1:9" ht="19.5" customHeight="1" x14ac:dyDescent="0.35">
      <c r="A2122" s="41">
        <v>45966</v>
      </c>
      <c r="B2122" s="8" t="s">
        <v>32</v>
      </c>
      <c r="C2122" s="42" t="s">
        <v>33</v>
      </c>
      <c r="D2122" s="43" t="s">
        <v>29</v>
      </c>
      <c r="E2122" s="46">
        <v>44780084</v>
      </c>
      <c r="F2122" s="2">
        <f>IF(C2122="GBP",E2122*$C$3,IF(C2122="TRY",E2122/$C$1,IF(C2122="EUR",E2122*$E$1,IF(C2122="RUB",E2122/#REF!,IF(C2122="EGP",E2122/$E$2,E2122)))))</f>
        <v>44780084</v>
      </c>
      <c r="G2122" s="15" t="str">
        <f>VLOOKUP(B2122,SPECIFICATIONF!$C$2:$D$65,2,0)</f>
        <v>GLOBAL HFT</v>
      </c>
      <c r="H2122" s="12">
        <f t="shared" si="116"/>
        <v>11</v>
      </c>
      <c r="I2122" s="12">
        <f t="shared" si="117"/>
        <v>2025</v>
      </c>
    </row>
    <row r="2123" spans="1:9" ht="19.5" customHeight="1" x14ac:dyDescent="0.35">
      <c r="A2123" s="41">
        <v>45966</v>
      </c>
      <c r="B2123" s="8" t="s">
        <v>24</v>
      </c>
      <c r="C2123" s="42" t="s">
        <v>11</v>
      </c>
      <c r="D2123" s="43" t="s">
        <v>30</v>
      </c>
      <c r="E2123" s="46">
        <v>0</v>
      </c>
      <c r="F2123" s="2">
        <f>IF(C2123="GBP",E2123*$C$3,IF(C2123="TRY",E2123/$C$1,IF(C2123="EUR",E2123*$E$1,IF(C2123="RUB",E2123/#REF!,IF(C2123="EGP",E2123/$E$2,E2123)))))</f>
        <v>0</v>
      </c>
      <c r="G2123" s="15" t="str">
        <f>VLOOKUP(B2123,SPECIFICATIONF!$C$2:$D$65,2,0)</f>
        <v>GLOBAL RETAIL</v>
      </c>
      <c r="H2123" s="12">
        <f t="shared" si="116"/>
        <v>11</v>
      </c>
      <c r="I2123" s="12">
        <f t="shared" si="117"/>
        <v>2025</v>
      </c>
    </row>
    <row r="2124" spans="1:9" ht="19.5" customHeight="1" x14ac:dyDescent="0.35">
      <c r="A2124" s="41">
        <v>45966</v>
      </c>
      <c r="B2124" s="8" t="s">
        <v>24</v>
      </c>
      <c r="C2124" s="42" t="s">
        <v>33</v>
      </c>
      <c r="D2124" s="43" t="s">
        <v>30</v>
      </c>
      <c r="E2124" s="46">
        <v>0</v>
      </c>
      <c r="F2124" s="2">
        <f>IF(C2124="GBP",E2124*$C$3,IF(C2124="TRY",E2124/$C$1,IF(C2124="EUR",E2124*$E$1,IF(C2124="RUB",E2124/#REF!,IF(C2124="EGP",E2124/$E$2,E2124)))))</f>
        <v>0</v>
      </c>
      <c r="G2124" s="15" t="str">
        <f>VLOOKUP(B2124,SPECIFICATIONF!$C$2:$D$65,2,0)</f>
        <v>GLOBAL RETAIL</v>
      </c>
      <c r="H2124" s="12">
        <f t="shared" si="116"/>
        <v>11</v>
      </c>
      <c r="I2124" s="12">
        <f t="shared" si="117"/>
        <v>2025</v>
      </c>
    </row>
    <row r="2125" spans="1:9" ht="19.5" customHeight="1" x14ac:dyDescent="0.35">
      <c r="A2125" s="41">
        <v>45966</v>
      </c>
      <c r="B2125" s="8" t="s">
        <v>24</v>
      </c>
      <c r="C2125" s="42" t="s">
        <v>11</v>
      </c>
      <c r="D2125" s="43" t="s">
        <v>29</v>
      </c>
      <c r="E2125" s="46">
        <v>10072440</v>
      </c>
      <c r="F2125" s="2">
        <f>IF(C2125="GBP",E2125*$C$3,IF(C2125="TRY",E2125/$C$1,IF(C2125="EUR",E2125*$E$1,IF(C2125="RUB",E2125/#REF!,IF(C2125="EGP",E2125/$E$2,E2125)))))</f>
        <v>276207.7390729675</v>
      </c>
      <c r="G2125" s="15" t="str">
        <f>VLOOKUP(B2125,SPECIFICATIONF!$C$2:$D$65,2,0)</f>
        <v>GLOBAL RETAIL</v>
      </c>
      <c r="H2125" s="12">
        <f t="shared" si="116"/>
        <v>11</v>
      </c>
      <c r="I2125" s="12">
        <f t="shared" si="117"/>
        <v>2025</v>
      </c>
    </row>
    <row r="2126" spans="1:9" ht="19.5" customHeight="1" x14ac:dyDescent="0.35">
      <c r="A2126" s="41">
        <v>45966</v>
      </c>
      <c r="B2126" s="8" t="s">
        <v>24</v>
      </c>
      <c r="C2126" s="42" t="s">
        <v>33</v>
      </c>
      <c r="D2126" s="43" t="s">
        <v>29</v>
      </c>
      <c r="E2126" s="46">
        <v>20</v>
      </c>
      <c r="F2126" s="2">
        <f>IF(C2126="GBP",E2126*$C$3,IF(C2126="TRY",E2126/$C$1,IF(C2126="EUR",E2126*$E$1,IF(C2126="RUB",E2126/#REF!,IF(C2126="EGP",E2126/$E$2,E2126)))))</f>
        <v>20</v>
      </c>
      <c r="G2126" s="15" t="str">
        <f>VLOOKUP(B2126,SPECIFICATIONF!$C$2:$D$65,2,0)</f>
        <v>GLOBAL RETAIL</v>
      </c>
      <c r="H2126" s="12">
        <f t="shared" si="116"/>
        <v>11</v>
      </c>
      <c r="I2126" s="12">
        <f t="shared" si="117"/>
        <v>2025</v>
      </c>
    </row>
    <row r="2127" spans="1:9" ht="19.5" customHeight="1" x14ac:dyDescent="0.35">
      <c r="A2127" s="41">
        <v>45967</v>
      </c>
      <c r="B2127" s="8" t="s">
        <v>32</v>
      </c>
      <c r="C2127" s="42" t="s">
        <v>11</v>
      </c>
      <c r="D2127" s="43" t="s">
        <v>30</v>
      </c>
      <c r="E2127" s="46">
        <v>2135467.27</v>
      </c>
      <c r="F2127" s="2">
        <f>IF(C2127="GBP",E2127*$C$3,IF(C2127="TRY",E2127/$C$1,IF(C2127="EUR",E2127*$E$1,IF(C2127="RUB",E2127/#REF!,IF(C2127="EGP",E2127/$E$2,E2127)))))</f>
        <v>58559.056843329156</v>
      </c>
      <c r="G2127" s="15" t="str">
        <f>VLOOKUP(B2127,SPECIFICATIONF!$C$2:$D$65,2,0)</f>
        <v>GLOBAL HFT</v>
      </c>
      <c r="H2127" s="12">
        <f t="shared" ref="H2127:H2134" si="118">MONTH(A2127)</f>
        <v>11</v>
      </c>
      <c r="I2127" s="12">
        <f t="shared" ref="I2127:I2134" si="119">YEAR(A2127)</f>
        <v>2025</v>
      </c>
    </row>
    <row r="2128" spans="1:9" ht="19.5" customHeight="1" x14ac:dyDescent="0.35">
      <c r="A2128" s="41">
        <v>45967</v>
      </c>
      <c r="B2128" s="8" t="s">
        <v>32</v>
      </c>
      <c r="C2128" s="42" t="s">
        <v>33</v>
      </c>
      <c r="D2128" s="43" t="s">
        <v>30</v>
      </c>
      <c r="E2128" s="46">
        <v>12140.67</v>
      </c>
      <c r="F2128" s="2">
        <f>IF(C2128="GBP",E2128*$C$3,IF(C2128="TRY",E2128/$C$1,IF(C2128="EUR",E2128*$E$1,IF(C2128="RUB",E2128/#REF!,IF(C2128="EGP",E2128/$E$2,E2128)))))</f>
        <v>12140.67</v>
      </c>
      <c r="G2128" s="15" t="str">
        <f>VLOOKUP(B2128,SPECIFICATIONF!$C$2:$D$65,2,0)</f>
        <v>GLOBAL HFT</v>
      </c>
      <c r="H2128" s="12">
        <f t="shared" si="118"/>
        <v>11</v>
      </c>
      <c r="I2128" s="12">
        <f t="shared" si="119"/>
        <v>2025</v>
      </c>
    </row>
    <row r="2129" spans="1:9" ht="19.5" customHeight="1" x14ac:dyDescent="0.35">
      <c r="A2129" s="41">
        <v>45967</v>
      </c>
      <c r="B2129" s="8" t="s">
        <v>32</v>
      </c>
      <c r="C2129" s="42" t="s">
        <v>11</v>
      </c>
      <c r="D2129" s="43" t="s">
        <v>29</v>
      </c>
      <c r="E2129" s="46">
        <v>7660087153</v>
      </c>
      <c r="F2129" s="2">
        <f>IF(C2129="GBP",E2129*$C$3,IF(C2129="TRY",E2129/$C$1,IF(C2129="EUR",E2129*$E$1,IF(C2129="RUB",E2129/#REF!,IF(C2129="EGP",E2129/$E$2,E2129)))))</f>
        <v>210055890.49247399</v>
      </c>
      <c r="G2129" s="15" t="str">
        <f>VLOOKUP(B2129,SPECIFICATIONF!$C$2:$D$65,2,0)</f>
        <v>GLOBAL HFT</v>
      </c>
      <c r="H2129" s="12">
        <f t="shared" si="118"/>
        <v>11</v>
      </c>
      <c r="I2129" s="12">
        <f t="shared" si="119"/>
        <v>2025</v>
      </c>
    </row>
    <row r="2130" spans="1:9" ht="19.5" customHeight="1" x14ac:dyDescent="0.35">
      <c r="A2130" s="41">
        <v>45967</v>
      </c>
      <c r="B2130" s="8" t="s">
        <v>32</v>
      </c>
      <c r="C2130" s="42" t="s">
        <v>33</v>
      </c>
      <c r="D2130" s="43" t="s">
        <v>29</v>
      </c>
      <c r="E2130" s="46">
        <v>41310764</v>
      </c>
      <c r="F2130" s="2">
        <f>IF(C2130="GBP",E2130*$C$3,IF(C2130="TRY",E2130/$C$1,IF(C2130="EUR",E2130*$E$1,IF(C2130="RUB",E2130/#REF!,IF(C2130="EGP",E2130/$E$2,E2130)))))</f>
        <v>41310764</v>
      </c>
      <c r="G2130" s="15" t="str">
        <f>VLOOKUP(B2130,SPECIFICATIONF!$C$2:$D$65,2,0)</f>
        <v>GLOBAL HFT</v>
      </c>
      <c r="H2130" s="12">
        <f t="shared" si="118"/>
        <v>11</v>
      </c>
      <c r="I2130" s="12">
        <f t="shared" si="119"/>
        <v>2025</v>
      </c>
    </row>
    <row r="2131" spans="1:9" ht="19.5" customHeight="1" x14ac:dyDescent="0.35">
      <c r="A2131" s="41">
        <v>45967</v>
      </c>
      <c r="B2131" s="8" t="s">
        <v>24</v>
      </c>
      <c r="C2131" s="42" t="s">
        <v>11</v>
      </c>
      <c r="D2131" s="43" t="s">
        <v>30</v>
      </c>
      <c r="E2131" s="46">
        <v>0</v>
      </c>
      <c r="F2131" s="2">
        <f>IF(C2131="GBP",E2131*$C$3,IF(C2131="TRY",E2131/$C$1,IF(C2131="EUR",E2131*$E$1,IF(C2131="RUB",E2131/#REF!,IF(C2131="EGP",E2131/$E$2,E2131)))))</f>
        <v>0</v>
      </c>
      <c r="G2131" s="15" t="str">
        <f>VLOOKUP(B2131,SPECIFICATIONF!$C$2:$D$65,2,0)</f>
        <v>GLOBAL RETAIL</v>
      </c>
      <c r="H2131" s="12">
        <f t="shared" si="118"/>
        <v>11</v>
      </c>
      <c r="I2131" s="12">
        <f t="shared" si="119"/>
        <v>2025</v>
      </c>
    </row>
    <row r="2132" spans="1:9" ht="19.5" customHeight="1" x14ac:dyDescent="0.35">
      <c r="A2132" s="41">
        <v>45967</v>
      </c>
      <c r="B2132" s="8" t="s">
        <v>24</v>
      </c>
      <c r="C2132" s="42" t="s">
        <v>33</v>
      </c>
      <c r="D2132" s="43" t="s">
        <v>30</v>
      </c>
      <c r="E2132" s="46">
        <v>0</v>
      </c>
      <c r="F2132" s="2">
        <f>IF(C2132="GBP",E2132*$C$3,IF(C2132="TRY",E2132/$C$1,IF(C2132="EUR",E2132*$E$1,IF(C2132="RUB",E2132/#REF!,IF(C2132="EGP",E2132/$E$2,E2132)))))</f>
        <v>0</v>
      </c>
      <c r="G2132" s="15" t="str">
        <f>VLOOKUP(B2132,SPECIFICATIONF!$C$2:$D$65,2,0)</f>
        <v>GLOBAL RETAIL</v>
      </c>
      <c r="H2132" s="12">
        <f t="shared" si="118"/>
        <v>11</v>
      </c>
      <c r="I2132" s="12">
        <f t="shared" si="119"/>
        <v>2025</v>
      </c>
    </row>
    <row r="2133" spans="1:9" ht="19.5" customHeight="1" x14ac:dyDescent="0.35">
      <c r="A2133" s="41">
        <v>45967</v>
      </c>
      <c r="B2133" s="8" t="s">
        <v>24</v>
      </c>
      <c r="C2133" s="42" t="s">
        <v>11</v>
      </c>
      <c r="D2133" s="43" t="s">
        <v>29</v>
      </c>
      <c r="E2133" s="46">
        <v>5362927</v>
      </c>
      <c r="F2133" s="2">
        <f>IF(C2133="GBP",E2133*$C$3,IF(C2133="TRY",E2133/$C$1,IF(C2133="EUR",E2133*$E$1,IF(C2133="RUB",E2133/#REF!,IF(C2133="EGP",E2133/$E$2,E2133)))))</f>
        <v>147062.87071289305</v>
      </c>
      <c r="G2133" s="15" t="str">
        <f>VLOOKUP(B2133,SPECIFICATIONF!$C$2:$D$65,2,0)</f>
        <v>GLOBAL RETAIL</v>
      </c>
      <c r="H2133" s="12">
        <f t="shared" si="118"/>
        <v>11</v>
      </c>
      <c r="I2133" s="12">
        <f t="shared" si="119"/>
        <v>2025</v>
      </c>
    </row>
    <row r="2134" spans="1:9" ht="19.5" customHeight="1" x14ac:dyDescent="0.35">
      <c r="A2134" s="41">
        <v>45967</v>
      </c>
      <c r="B2134" s="8" t="s">
        <v>24</v>
      </c>
      <c r="C2134" s="42" t="s">
        <v>33</v>
      </c>
      <c r="D2134" s="43" t="s">
        <v>29</v>
      </c>
      <c r="E2134" s="46">
        <v>5772</v>
      </c>
      <c r="F2134" s="2">
        <f>IF(C2134="GBP",E2134*$C$3,IF(C2134="TRY",E2134/$C$1,IF(C2134="EUR",E2134*$E$1,IF(C2134="RUB",E2134/#REF!,IF(C2134="EGP",E2134/$E$2,E2134)))))</f>
        <v>5772</v>
      </c>
      <c r="G2134" s="15" t="str">
        <f>VLOOKUP(B2134,SPECIFICATIONF!$C$2:$D$65,2,0)</f>
        <v>GLOBAL RETAIL</v>
      </c>
      <c r="H2134" s="12">
        <f t="shared" si="118"/>
        <v>11</v>
      </c>
      <c r="I2134" s="12">
        <f t="shared" si="119"/>
        <v>2025</v>
      </c>
    </row>
    <row r="2135" spans="1:9" ht="19.5" customHeight="1" x14ac:dyDescent="0.35">
      <c r="A2135" s="41">
        <v>45968</v>
      </c>
      <c r="B2135" s="8" t="s">
        <v>32</v>
      </c>
      <c r="C2135" s="42" t="s">
        <v>11</v>
      </c>
      <c r="D2135" s="43" t="s">
        <v>30</v>
      </c>
      <c r="E2135" s="46">
        <v>3787850.29</v>
      </c>
      <c r="F2135" s="2">
        <f>IF(C2135="GBP",E2135*$C$3,IF(C2135="TRY",E2135/$C$1,IF(C2135="EUR",E2135*$E$1,IF(C2135="RUB",E2135/#REF!,IF(C2135="EGP",E2135/$E$2,E2135)))))</f>
        <v>103870.91554258793</v>
      </c>
      <c r="G2135" s="15" t="str">
        <f>VLOOKUP(B2135,SPECIFICATIONF!$C$2:$D$65,2,0)</f>
        <v>GLOBAL HFT</v>
      </c>
      <c r="H2135" s="12">
        <f t="shared" ref="H2135:H2142" si="120">MONTH(A2135)</f>
        <v>11</v>
      </c>
      <c r="I2135" s="12">
        <f t="shared" ref="I2135:I2142" si="121">YEAR(A2135)</f>
        <v>2025</v>
      </c>
    </row>
    <row r="2136" spans="1:9" ht="19.5" customHeight="1" x14ac:dyDescent="0.35">
      <c r="A2136" s="41">
        <v>45968</v>
      </c>
      <c r="B2136" s="8" t="s">
        <v>32</v>
      </c>
      <c r="C2136" s="42" t="s">
        <v>33</v>
      </c>
      <c r="D2136" s="43" t="s">
        <v>30</v>
      </c>
      <c r="E2136" s="46">
        <v>20246.75</v>
      </c>
      <c r="F2136" s="2">
        <f>IF(C2136="GBP",E2136*$C$3,IF(C2136="TRY",E2136/$C$1,IF(C2136="EUR",E2136*$E$1,IF(C2136="RUB",E2136/#REF!,IF(C2136="EGP",E2136/$E$2,E2136)))))</f>
        <v>20246.75</v>
      </c>
      <c r="G2136" s="15" t="str">
        <f>VLOOKUP(B2136,SPECIFICATIONF!$C$2:$D$65,2,0)</f>
        <v>GLOBAL HFT</v>
      </c>
      <c r="H2136" s="12">
        <f t="shared" si="120"/>
        <v>11</v>
      </c>
      <c r="I2136" s="12">
        <f t="shared" si="121"/>
        <v>2025</v>
      </c>
    </row>
    <row r="2137" spans="1:9" ht="19.5" customHeight="1" x14ac:dyDescent="0.35">
      <c r="A2137" s="41">
        <v>45968</v>
      </c>
      <c r="B2137" s="8" t="s">
        <v>32</v>
      </c>
      <c r="C2137" s="42" t="s">
        <v>11</v>
      </c>
      <c r="D2137" s="43" t="s">
        <v>29</v>
      </c>
      <c r="E2137" s="46">
        <v>13393213193</v>
      </c>
      <c r="F2137" s="2">
        <f>IF(C2137="GBP",E2137*$C$3,IF(C2137="TRY",E2137/$C$1,IF(C2137="EUR",E2137*$E$1,IF(C2137="RUB",E2137/#REF!,IF(C2137="EGP",E2137/$E$2,E2137)))))</f>
        <v>367270406.67015839</v>
      </c>
      <c r="G2137" s="15" t="str">
        <f>VLOOKUP(B2137,SPECIFICATIONF!$C$2:$D$65,2,0)</f>
        <v>GLOBAL HFT</v>
      </c>
      <c r="H2137" s="12">
        <f t="shared" si="120"/>
        <v>11</v>
      </c>
      <c r="I2137" s="12">
        <f t="shared" si="121"/>
        <v>2025</v>
      </c>
    </row>
    <row r="2138" spans="1:9" ht="19.5" customHeight="1" x14ac:dyDescent="0.35">
      <c r="A2138" s="41">
        <v>45968</v>
      </c>
      <c r="B2138" s="8" t="s">
        <v>32</v>
      </c>
      <c r="C2138" s="42" t="s">
        <v>33</v>
      </c>
      <c r="D2138" s="43" t="s">
        <v>29</v>
      </c>
      <c r="E2138" s="46">
        <v>66090467</v>
      </c>
      <c r="F2138" s="2">
        <f>IF(C2138="GBP",E2138*$C$3,IF(C2138="TRY",E2138/$C$1,IF(C2138="EUR",E2138*$E$1,IF(C2138="RUB",E2138/#REF!,IF(C2138="EGP",E2138/$E$2,E2138)))))</f>
        <v>66090467</v>
      </c>
      <c r="G2138" s="15" t="str">
        <f>VLOOKUP(B2138,SPECIFICATIONF!$C$2:$D$65,2,0)</f>
        <v>GLOBAL HFT</v>
      </c>
      <c r="H2138" s="12">
        <f t="shared" si="120"/>
        <v>11</v>
      </c>
      <c r="I2138" s="12">
        <f t="shared" si="121"/>
        <v>2025</v>
      </c>
    </row>
    <row r="2139" spans="1:9" ht="19.5" customHeight="1" x14ac:dyDescent="0.35">
      <c r="A2139" s="41">
        <v>45968</v>
      </c>
      <c r="B2139" s="8" t="s">
        <v>24</v>
      </c>
      <c r="C2139" s="42" t="s">
        <v>11</v>
      </c>
      <c r="D2139" s="43" t="s">
        <v>30</v>
      </c>
      <c r="E2139" s="46">
        <v>0</v>
      </c>
      <c r="F2139" s="2">
        <f>IF(C2139="GBP",E2139*$C$3,IF(C2139="TRY",E2139/$C$1,IF(C2139="EUR",E2139*$E$1,IF(C2139="RUB",E2139/#REF!,IF(C2139="EGP",E2139/$E$2,E2139)))))</f>
        <v>0</v>
      </c>
      <c r="G2139" s="15" t="str">
        <f>VLOOKUP(B2139,SPECIFICATIONF!$C$2:$D$65,2,0)</f>
        <v>GLOBAL RETAIL</v>
      </c>
      <c r="H2139" s="12">
        <f t="shared" si="120"/>
        <v>11</v>
      </c>
      <c r="I2139" s="12">
        <f t="shared" si="121"/>
        <v>2025</v>
      </c>
    </row>
    <row r="2140" spans="1:9" ht="19.5" customHeight="1" x14ac:dyDescent="0.35">
      <c r="A2140" s="41">
        <v>45968</v>
      </c>
      <c r="B2140" s="8" t="s">
        <v>24</v>
      </c>
      <c r="C2140" s="42" t="s">
        <v>33</v>
      </c>
      <c r="D2140" s="43" t="s">
        <v>30</v>
      </c>
      <c r="E2140" s="46">
        <v>0</v>
      </c>
      <c r="F2140" s="2">
        <f>IF(C2140="GBP",E2140*$C$3,IF(C2140="TRY",E2140/$C$1,IF(C2140="EUR",E2140*$E$1,IF(C2140="RUB",E2140/#REF!,IF(C2140="EGP",E2140/$E$2,E2140)))))</f>
        <v>0</v>
      </c>
      <c r="G2140" s="15" t="str">
        <f>VLOOKUP(B2140,SPECIFICATIONF!$C$2:$D$65,2,0)</f>
        <v>GLOBAL RETAIL</v>
      </c>
      <c r="H2140" s="12">
        <f t="shared" si="120"/>
        <v>11</v>
      </c>
      <c r="I2140" s="12">
        <f t="shared" si="121"/>
        <v>2025</v>
      </c>
    </row>
    <row r="2141" spans="1:9" ht="19.5" customHeight="1" x14ac:dyDescent="0.35">
      <c r="A2141" s="41">
        <v>45968</v>
      </c>
      <c r="B2141" s="8" t="s">
        <v>24</v>
      </c>
      <c r="C2141" s="42" t="s">
        <v>11</v>
      </c>
      <c r="D2141" s="43" t="s">
        <v>29</v>
      </c>
      <c r="E2141" s="46">
        <v>2487207</v>
      </c>
      <c r="F2141" s="2">
        <f>IF(C2141="GBP",E2141*$C$3,IF(C2141="TRY",E2141/$C$1,IF(C2141="EUR",E2141*$E$1,IF(C2141="RUB",E2141/#REF!,IF(C2141="EGP",E2141/$E$2,E2141)))))</f>
        <v>68204.508746287727</v>
      </c>
      <c r="G2141" s="15" t="str">
        <f>VLOOKUP(B2141,SPECIFICATIONF!$C$2:$D$65,2,0)</f>
        <v>GLOBAL RETAIL</v>
      </c>
      <c r="H2141" s="12">
        <f t="shared" si="120"/>
        <v>11</v>
      </c>
      <c r="I2141" s="12">
        <f t="shared" si="121"/>
        <v>2025</v>
      </c>
    </row>
    <row r="2142" spans="1:9" ht="19.5" customHeight="1" x14ac:dyDescent="0.35">
      <c r="A2142" s="41">
        <v>45968</v>
      </c>
      <c r="B2142" s="8" t="s">
        <v>24</v>
      </c>
      <c r="C2142" s="42" t="s">
        <v>33</v>
      </c>
      <c r="D2142" s="43" t="s">
        <v>29</v>
      </c>
      <c r="E2142" s="46">
        <v>0</v>
      </c>
      <c r="F2142" s="2">
        <f>IF(C2142="GBP",E2142*$C$3,IF(C2142="TRY",E2142/$C$1,IF(C2142="EUR",E2142*$E$1,IF(C2142="RUB",E2142/#REF!,IF(C2142="EGP",E2142/$E$2,E2142)))))</f>
        <v>0</v>
      </c>
      <c r="G2142" s="15" t="str">
        <f>VLOOKUP(B2142,SPECIFICATIONF!$C$2:$D$65,2,0)</f>
        <v>GLOBAL RETAIL</v>
      </c>
      <c r="H2142" s="12">
        <f t="shared" si="120"/>
        <v>11</v>
      </c>
      <c r="I2142" s="12">
        <f t="shared" si="121"/>
        <v>2025</v>
      </c>
    </row>
    <row r="2143" spans="1:9" ht="19.5" customHeight="1" x14ac:dyDescent="0.35">
      <c r="A2143" s="41">
        <v>45969</v>
      </c>
      <c r="B2143" s="8" t="s">
        <v>32</v>
      </c>
      <c r="C2143" s="42" t="s">
        <v>11</v>
      </c>
      <c r="D2143" s="43" t="s">
        <v>30</v>
      </c>
      <c r="E2143" s="46">
        <v>2953818.84</v>
      </c>
      <c r="F2143" s="2">
        <f>IF(C2143="GBP",E2143*$C$3,IF(C2143="TRY",E2143/$C$1,IF(C2143="EUR",E2143*$E$1,IF(C2143="RUB",E2143/#REF!,IF(C2143="EGP",E2143/$E$2,E2143)))))</f>
        <v>80999.998354672309</v>
      </c>
      <c r="G2143" s="15" t="str">
        <f>VLOOKUP(B2143,SPECIFICATIONF!$C$2:$D$65,2,0)</f>
        <v>GLOBAL HFT</v>
      </c>
      <c r="H2143" s="12">
        <f t="shared" ref="H2143:H2166" si="122">MONTH(A2143)</f>
        <v>11</v>
      </c>
      <c r="I2143" s="12">
        <f t="shared" ref="I2143:I2166" si="123">YEAR(A2143)</f>
        <v>2025</v>
      </c>
    </row>
    <row r="2144" spans="1:9" ht="19.5" customHeight="1" x14ac:dyDescent="0.35">
      <c r="A2144" s="41">
        <v>45969</v>
      </c>
      <c r="B2144" s="8" t="s">
        <v>32</v>
      </c>
      <c r="C2144" s="42" t="s">
        <v>33</v>
      </c>
      <c r="D2144" s="43" t="s">
        <v>30</v>
      </c>
      <c r="E2144" s="46">
        <v>13753.05</v>
      </c>
      <c r="F2144" s="2">
        <f>IF(C2144="GBP",E2144*$C$3,IF(C2144="TRY",E2144/$C$1,IF(C2144="EUR",E2144*$E$1,IF(C2144="RUB",E2144/#REF!,IF(C2144="EGP",E2144/$E$2,E2144)))))</f>
        <v>13753.05</v>
      </c>
      <c r="G2144" s="15" t="str">
        <f>VLOOKUP(B2144,SPECIFICATIONF!$C$2:$D$65,2,0)</f>
        <v>GLOBAL HFT</v>
      </c>
      <c r="H2144" s="12">
        <f t="shared" si="122"/>
        <v>11</v>
      </c>
      <c r="I2144" s="12">
        <f t="shared" si="123"/>
        <v>2025</v>
      </c>
    </row>
    <row r="2145" spans="1:9" ht="19.5" customHeight="1" x14ac:dyDescent="0.35">
      <c r="A2145" s="41">
        <v>45969</v>
      </c>
      <c r="B2145" s="8" t="s">
        <v>32</v>
      </c>
      <c r="C2145" s="42" t="s">
        <v>11</v>
      </c>
      <c r="D2145" s="43" t="s">
        <v>29</v>
      </c>
      <c r="E2145" s="46">
        <v>11013220617</v>
      </c>
      <c r="F2145" s="2">
        <f>IF(C2145="GBP",E2145*$C$3,IF(C2145="TRY",E2145/$C$1,IF(C2145="EUR",E2145*$E$1,IF(C2145="RUB",E2145/#REF!,IF(C2145="EGP",E2145/$E$2,E2145)))))</f>
        <v>302005945.58352917</v>
      </c>
      <c r="G2145" s="15" t="str">
        <f>VLOOKUP(B2145,SPECIFICATIONF!$C$2:$D$65,2,0)</f>
        <v>GLOBAL HFT</v>
      </c>
      <c r="H2145" s="12">
        <f t="shared" si="122"/>
        <v>11</v>
      </c>
      <c r="I2145" s="12">
        <f t="shared" si="123"/>
        <v>2025</v>
      </c>
    </row>
    <row r="2146" spans="1:9" ht="19.5" customHeight="1" x14ac:dyDescent="0.35">
      <c r="A2146" s="41">
        <v>45969</v>
      </c>
      <c r="B2146" s="8" t="s">
        <v>32</v>
      </c>
      <c r="C2146" s="42" t="s">
        <v>33</v>
      </c>
      <c r="D2146" s="43" t="s">
        <v>29</v>
      </c>
      <c r="E2146" s="46">
        <v>47410084</v>
      </c>
      <c r="F2146" s="2">
        <f>IF(C2146="GBP",E2146*$C$3,IF(C2146="TRY",E2146/$C$1,IF(C2146="EUR",E2146*$E$1,IF(C2146="RUB",E2146/#REF!,IF(C2146="EGP",E2146/$E$2,E2146)))))</f>
        <v>47410084</v>
      </c>
      <c r="G2146" s="15" t="str">
        <f>VLOOKUP(B2146,SPECIFICATIONF!$C$2:$D$65,2,0)</f>
        <v>GLOBAL HFT</v>
      </c>
      <c r="H2146" s="12">
        <f t="shared" si="122"/>
        <v>11</v>
      </c>
      <c r="I2146" s="12">
        <f t="shared" si="123"/>
        <v>2025</v>
      </c>
    </row>
    <row r="2147" spans="1:9" ht="19.5" customHeight="1" x14ac:dyDescent="0.35">
      <c r="A2147" s="41">
        <v>45969</v>
      </c>
      <c r="B2147" s="8" t="s">
        <v>24</v>
      </c>
      <c r="C2147" s="42" t="s">
        <v>11</v>
      </c>
      <c r="D2147" s="43" t="s">
        <v>30</v>
      </c>
      <c r="E2147" s="46">
        <v>0</v>
      </c>
      <c r="F2147" s="2">
        <f>IF(C2147="GBP",E2147*$C$3,IF(C2147="TRY",E2147/$C$1,IF(C2147="EUR",E2147*$E$1,IF(C2147="RUB",E2147/#REF!,IF(C2147="EGP",E2147/$E$2,E2147)))))</f>
        <v>0</v>
      </c>
      <c r="G2147" s="15" t="str">
        <f>VLOOKUP(B2147,SPECIFICATIONF!$C$2:$D$65,2,0)</f>
        <v>GLOBAL RETAIL</v>
      </c>
      <c r="H2147" s="12">
        <f t="shared" si="122"/>
        <v>11</v>
      </c>
      <c r="I2147" s="12">
        <f t="shared" si="123"/>
        <v>2025</v>
      </c>
    </row>
    <row r="2148" spans="1:9" ht="19.5" customHeight="1" x14ac:dyDescent="0.35">
      <c r="A2148" s="41">
        <v>45969</v>
      </c>
      <c r="B2148" s="8" t="s">
        <v>24</v>
      </c>
      <c r="C2148" s="42" t="s">
        <v>33</v>
      </c>
      <c r="D2148" s="43" t="s">
        <v>30</v>
      </c>
      <c r="E2148" s="46">
        <v>0</v>
      </c>
      <c r="F2148" s="2">
        <f>IF(C2148="GBP",E2148*$C$3,IF(C2148="TRY",E2148/$C$1,IF(C2148="EUR",E2148*$E$1,IF(C2148="RUB",E2148/#REF!,IF(C2148="EGP",E2148/$E$2,E2148)))))</f>
        <v>0</v>
      </c>
      <c r="G2148" s="15" t="str">
        <f>VLOOKUP(B2148,SPECIFICATIONF!$C$2:$D$65,2,0)</f>
        <v>GLOBAL RETAIL</v>
      </c>
      <c r="H2148" s="12">
        <f t="shared" si="122"/>
        <v>11</v>
      </c>
      <c r="I2148" s="12">
        <f t="shared" si="123"/>
        <v>2025</v>
      </c>
    </row>
    <row r="2149" spans="1:9" ht="19.5" customHeight="1" x14ac:dyDescent="0.35">
      <c r="A2149" s="41">
        <v>45969</v>
      </c>
      <c r="B2149" s="8" t="s">
        <v>24</v>
      </c>
      <c r="C2149" s="42" t="s">
        <v>11</v>
      </c>
      <c r="D2149" s="43" t="s">
        <v>29</v>
      </c>
      <c r="E2149" s="46">
        <v>0</v>
      </c>
      <c r="F2149" s="2">
        <f>IF(C2149="GBP",E2149*$C$3,IF(C2149="TRY",E2149/$C$1,IF(C2149="EUR",E2149*$E$1,IF(C2149="RUB",E2149/#REF!,IF(C2149="EGP",E2149/$E$2,E2149)))))</f>
        <v>0</v>
      </c>
      <c r="G2149" s="15" t="str">
        <f>VLOOKUP(B2149,SPECIFICATIONF!$C$2:$D$65,2,0)</f>
        <v>GLOBAL RETAIL</v>
      </c>
      <c r="H2149" s="12">
        <f t="shared" si="122"/>
        <v>11</v>
      </c>
      <c r="I2149" s="12">
        <f t="shared" si="123"/>
        <v>2025</v>
      </c>
    </row>
    <row r="2150" spans="1:9" ht="19.5" customHeight="1" x14ac:dyDescent="0.35">
      <c r="A2150" s="41">
        <v>45969</v>
      </c>
      <c r="B2150" s="8" t="s">
        <v>24</v>
      </c>
      <c r="C2150" s="42" t="s">
        <v>33</v>
      </c>
      <c r="D2150" s="43" t="s">
        <v>29</v>
      </c>
      <c r="E2150" s="46">
        <v>0</v>
      </c>
      <c r="F2150" s="2">
        <f>IF(C2150="GBP",E2150*$C$3,IF(C2150="TRY",E2150/$C$1,IF(C2150="EUR",E2150*$E$1,IF(C2150="RUB",E2150/#REF!,IF(C2150="EGP",E2150/$E$2,E2150)))))</f>
        <v>0</v>
      </c>
      <c r="G2150" s="15" t="str">
        <f>VLOOKUP(B2150,SPECIFICATIONF!$C$2:$D$65,2,0)</f>
        <v>GLOBAL RETAIL</v>
      </c>
      <c r="H2150" s="12">
        <f t="shared" si="122"/>
        <v>11</v>
      </c>
      <c r="I2150" s="12">
        <f t="shared" si="123"/>
        <v>2025</v>
      </c>
    </row>
    <row r="2151" spans="1:9" ht="19.5" customHeight="1" x14ac:dyDescent="0.35">
      <c r="A2151" s="41">
        <v>45970</v>
      </c>
      <c r="B2151" s="8" t="s">
        <v>32</v>
      </c>
      <c r="C2151" s="42" t="s">
        <v>11</v>
      </c>
      <c r="D2151" s="43" t="s">
        <v>30</v>
      </c>
      <c r="E2151" s="46">
        <v>2523642.23</v>
      </c>
      <c r="F2151" s="2">
        <f>IF(C2151="GBP",E2151*$C$3,IF(C2151="TRY",E2151/$C$1,IF(C2151="EUR",E2151*$E$1,IF(C2151="RUB",E2151/#REF!,IF(C2151="EGP",E2151/$E$2,E2151)))))</f>
        <v>69203.640287493588</v>
      </c>
      <c r="G2151" s="15" t="str">
        <f>VLOOKUP(B2151,SPECIFICATIONF!$C$2:$D$65,2,0)</f>
        <v>GLOBAL HFT</v>
      </c>
      <c r="H2151" s="12">
        <f t="shared" si="122"/>
        <v>11</v>
      </c>
      <c r="I2151" s="12">
        <f t="shared" si="123"/>
        <v>2025</v>
      </c>
    </row>
    <row r="2152" spans="1:9" ht="19.5" customHeight="1" x14ac:dyDescent="0.35">
      <c r="A2152" s="41">
        <v>45970</v>
      </c>
      <c r="B2152" s="8" t="s">
        <v>32</v>
      </c>
      <c r="C2152" s="42" t="s">
        <v>33</v>
      </c>
      <c r="D2152" s="43" t="s">
        <v>30</v>
      </c>
      <c r="E2152" s="46">
        <v>11833.1</v>
      </c>
      <c r="F2152" s="2">
        <f>IF(C2152="GBP",E2152*$C$3,IF(C2152="TRY",E2152/$C$1,IF(C2152="EUR",E2152*$E$1,IF(C2152="RUB",E2152/#REF!,IF(C2152="EGP",E2152/$E$2,E2152)))))</f>
        <v>11833.1</v>
      </c>
      <c r="G2152" s="15" t="str">
        <f>VLOOKUP(B2152,SPECIFICATIONF!$C$2:$D$65,2,0)</f>
        <v>GLOBAL HFT</v>
      </c>
      <c r="H2152" s="12">
        <f t="shared" si="122"/>
        <v>11</v>
      </c>
      <c r="I2152" s="12">
        <f t="shared" si="123"/>
        <v>2025</v>
      </c>
    </row>
    <row r="2153" spans="1:9" ht="19.5" customHeight="1" x14ac:dyDescent="0.35">
      <c r="A2153" s="41">
        <v>45970</v>
      </c>
      <c r="B2153" s="8" t="s">
        <v>32</v>
      </c>
      <c r="C2153" s="42" t="s">
        <v>11</v>
      </c>
      <c r="D2153" s="43" t="s">
        <v>29</v>
      </c>
      <c r="E2153" s="46">
        <v>9356426916</v>
      </c>
      <c r="F2153" s="2">
        <f>IF(C2153="GBP",E2153*$C$3,IF(C2153="TRY",E2153/$C$1,IF(C2153="EUR",E2153*$E$1,IF(C2153="RUB",E2153/#REF!,IF(C2153="EGP",E2153/$E$2,E2153)))))</f>
        <v>256573136.62526837</v>
      </c>
      <c r="G2153" s="15" t="str">
        <f>VLOOKUP(B2153,SPECIFICATIONF!$C$2:$D$65,2,0)</f>
        <v>GLOBAL HFT</v>
      </c>
      <c r="H2153" s="12">
        <f t="shared" si="122"/>
        <v>11</v>
      </c>
      <c r="I2153" s="12">
        <f t="shared" si="123"/>
        <v>2025</v>
      </c>
    </row>
    <row r="2154" spans="1:9" ht="19.5" customHeight="1" x14ac:dyDescent="0.35">
      <c r="A2154" s="41">
        <v>45970</v>
      </c>
      <c r="B2154" s="8" t="s">
        <v>32</v>
      </c>
      <c r="C2154" s="42" t="s">
        <v>33</v>
      </c>
      <c r="D2154" s="43" t="s">
        <v>29</v>
      </c>
      <c r="E2154" s="46">
        <v>40194074</v>
      </c>
      <c r="F2154" s="2">
        <f>IF(C2154="GBP",E2154*$C$3,IF(C2154="TRY",E2154/$C$1,IF(C2154="EUR",E2154*$E$1,IF(C2154="RUB",E2154/#REF!,IF(C2154="EGP",E2154/$E$2,E2154)))))</f>
        <v>40194074</v>
      </c>
      <c r="G2154" s="15" t="str">
        <f>VLOOKUP(B2154,SPECIFICATIONF!$C$2:$D$65,2,0)</f>
        <v>GLOBAL HFT</v>
      </c>
      <c r="H2154" s="12">
        <f t="shared" si="122"/>
        <v>11</v>
      </c>
      <c r="I2154" s="12">
        <f t="shared" si="123"/>
        <v>2025</v>
      </c>
    </row>
    <row r="2155" spans="1:9" ht="19.5" customHeight="1" x14ac:dyDescent="0.35">
      <c r="A2155" s="41">
        <v>45970</v>
      </c>
      <c r="B2155" s="8" t="s">
        <v>24</v>
      </c>
      <c r="C2155" s="42" t="s">
        <v>11</v>
      </c>
      <c r="D2155" s="43" t="s">
        <v>30</v>
      </c>
      <c r="E2155" s="46">
        <v>0</v>
      </c>
      <c r="F2155" s="2">
        <f>IF(C2155="GBP",E2155*$C$3,IF(C2155="TRY",E2155/$C$1,IF(C2155="EUR",E2155*$E$1,IF(C2155="RUB",E2155/#REF!,IF(C2155="EGP",E2155/$E$2,E2155)))))</f>
        <v>0</v>
      </c>
      <c r="G2155" s="15" t="str">
        <f>VLOOKUP(B2155,SPECIFICATIONF!$C$2:$D$65,2,0)</f>
        <v>GLOBAL RETAIL</v>
      </c>
      <c r="H2155" s="12">
        <f t="shared" si="122"/>
        <v>11</v>
      </c>
      <c r="I2155" s="12">
        <f t="shared" si="123"/>
        <v>2025</v>
      </c>
    </row>
    <row r="2156" spans="1:9" ht="19.5" customHeight="1" x14ac:dyDescent="0.35">
      <c r="A2156" s="41">
        <v>45970</v>
      </c>
      <c r="B2156" s="8" t="s">
        <v>24</v>
      </c>
      <c r="C2156" s="42" t="s">
        <v>33</v>
      </c>
      <c r="D2156" s="43" t="s">
        <v>30</v>
      </c>
      <c r="E2156" s="46">
        <v>0</v>
      </c>
      <c r="F2156" s="2">
        <f>IF(C2156="GBP",E2156*$C$3,IF(C2156="TRY",E2156/$C$1,IF(C2156="EUR",E2156*$E$1,IF(C2156="RUB",E2156/#REF!,IF(C2156="EGP",E2156/$E$2,E2156)))))</f>
        <v>0</v>
      </c>
      <c r="G2156" s="15" t="str">
        <f>VLOOKUP(B2156,SPECIFICATIONF!$C$2:$D$65,2,0)</f>
        <v>GLOBAL RETAIL</v>
      </c>
      <c r="H2156" s="12">
        <f t="shared" si="122"/>
        <v>11</v>
      </c>
      <c r="I2156" s="12">
        <f t="shared" si="123"/>
        <v>2025</v>
      </c>
    </row>
    <row r="2157" spans="1:9" ht="19.5" customHeight="1" x14ac:dyDescent="0.35">
      <c r="A2157" s="41">
        <v>45970</v>
      </c>
      <c r="B2157" s="8" t="s">
        <v>24</v>
      </c>
      <c r="C2157" s="42" t="s">
        <v>11</v>
      </c>
      <c r="D2157" s="43" t="s">
        <v>29</v>
      </c>
      <c r="E2157" s="46">
        <v>6236407</v>
      </c>
      <c r="F2157" s="2">
        <f>IF(C2157="GBP",E2157*$C$3,IF(C2157="TRY",E2157/$C$1,IF(C2157="EUR",E2157*$E$1,IF(C2157="RUB",E2157/#REF!,IF(C2157="EGP",E2157/$E$2,E2157)))))</f>
        <v>171015.55108879559</v>
      </c>
      <c r="G2157" s="15" t="str">
        <f>VLOOKUP(B2157,SPECIFICATIONF!$C$2:$D$65,2,0)</f>
        <v>GLOBAL RETAIL</v>
      </c>
      <c r="H2157" s="12">
        <f t="shared" si="122"/>
        <v>11</v>
      </c>
      <c r="I2157" s="12">
        <f t="shared" si="123"/>
        <v>2025</v>
      </c>
    </row>
    <row r="2158" spans="1:9" ht="19.5" customHeight="1" x14ac:dyDescent="0.35">
      <c r="A2158" s="41">
        <v>45970</v>
      </c>
      <c r="B2158" s="8" t="s">
        <v>24</v>
      </c>
      <c r="C2158" s="42" t="s">
        <v>33</v>
      </c>
      <c r="D2158" s="43" t="s">
        <v>29</v>
      </c>
      <c r="E2158" s="46">
        <v>0</v>
      </c>
      <c r="F2158" s="2">
        <f>IF(C2158="GBP",E2158*$C$3,IF(C2158="TRY",E2158/$C$1,IF(C2158="EUR",E2158*$E$1,IF(C2158="RUB",E2158/#REF!,IF(C2158="EGP",E2158/$E$2,E2158)))))</f>
        <v>0</v>
      </c>
      <c r="G2158" s="15" t="str">
        <f>VLOOKUP(B2158,SPECIFICATIONF!$C$2:$D$65,2,0)</f>
        <v>GLOBAL RETAIL</v>
      </c>
      <c r="H2158" s="12">
        <f t="shared" si="122"/>
        <v>11</v>
      </c>
      <c r="I2158" s="12">
        <f t="shared" si="123"/>
        <v>2025</v>
      </c>
    </row>
    <row r="2159" spans="1:9" ht="19.5" customHeight="1" x14ac:dyDescent="0.35">
      <c r="A2159" s="41">
        <v>45971</v>
      </c>
      <c r="B2159" s="8" t="s">
        <v>32</v>
      </c>
      <c r="C2159" s="42" t="s">
        <v>11</v>
      </c>
      <c r="D2159" s="43" t="s">
        <v>30</v>
      </c>
      <c r="E2159" s="46">
        <v>2818175.94</v>
      </c>
      <c r="F2159" s="2">
        <f>IF(C2159="GBP",E2159*$C$3,IF(C2159="TRY",E2159/$C$1,IF(C2159="EUR",E2159*$E$1,IF(C2159="RUB",E2159/#REF!,IF(C2159="EGP",E2159/$E$2,E2159)))))</f>
        <v>77280.381386956389</v>
      </c>
      <c r="G2159" s="15" t="str">
        <f>VLOOKUP(B2159,SPECIFICATIONF!$C$2:$D$65,2,0)</f>
        <v>GLOBAL HFT</v>
      </c>
      <c r="H2159" s="12">
        <f t="shared" si="122"/>
        <v>11</v>
      </c>
      <c r="I2159" s="12">
        <f t="shared" si="123"/>
        <v>2025</v>
      </c>
    </row>
    <row r="2160" spans="1:9" ht="19.5" customHeight="1" x14ac:dyDescent="0.35">
      <c r="A2160" s="41">
        <v>45971</v>
      </c>
      <c r="B2160" s="8" t="s">
        <v>32</v>
      </c>
      <c r="C2160" s="42" t="s">
        <v>33</v>
      </c>
      <c r="D2160" s="43" t="s">
        <v>30</v>
      </c>
      <c r="E2160" s="46">
        <v>16921.3</v>
      </c>
      <c r="F2160" s="2">
        <f>IF(C2160="GBP",E2160*$C$3,IF(C2160="TRY",E2160/$C$1,IF(C2160="EUR",E2160*$E$1,IF(C2160="RUB",E2160/#REF!,IF(C2160="EGP",E2160/$E$2,E2160)))))</f>
        <v>16921.3</v>
      </c>
      <c r="G2160" s="15" t="str">
        <f>VLOOKUP(B2160,SPECIFICATIONF!$C$2:$D$65,2,0)</f>
        <v>GLOBAL HFT</v>
      </c>
      <c r="H2160" s="12">
        <f t="shared" si="122"/>
        <v>11</v>
      </c>
      <c r="I2160" s="12">
        <f t="shared" si="123"/>
        <v>2025</v>
      </c>
    </row>
    <row r="2161" spans="1:9" ht="19.5" customHeight="1" x14ac:dyDescent="0.35">
      <c r="A2161" s="41">
        <v>45971</v>
      </c>
      <c r="B2161" s="8" t="s">
        <v>32</v>
      </c>
      <c r="C2161" s="42" t="s">
        <v>11</v>
      </c>
      <c r="D2161" s="43" t="s">
        <v>29</v>
      </c>
      <c r="E2161" s="46">
        <v>10229576565</v>
      </c>
      <c r="F2161" s="2">
        <f>IF(C2161="GBP",E2161*$C$3,IF(C2161="TRY",E2161/$C$1,IF(C2161="EUR",E2161*$E$1,IF(C2161="RUB",E2161/#REF!,IF(C2161="EGP",E2161/$E$2,E2161)))))</f>
        <v>280516758.07376003</v>
      </c>
      <c r="G2161" s="15" t="str">
        <f>VLOOKUP(B2161,SPECIFICATIONF!$C$2:$D$65,2,0)</f>
        <v>GLOBAL HFT</v>
      </c>
      <c r="H2161" s="12">
        <f t="shared" si="122"/>
        <v>11</v>
      </c>
      <c r="I2161" s="12">
        <f t="shared" si="123"/>
        <v>2025</v>
      </c>
    </row>
    <row r="2162" spans="1:9" ht="19.5" customHeight="1" x14ac:dyDescent="0.35">
      <c r="A2162" s="41">
        <v>45971</v>
      </c>
      <c r="B2162" s="8" t="s">
        <v>32</v>
      </c>
      <c r="C2162" s="42" t="s">
        <v>33</v>
      </c>
      <c r="D2162" s="43" t="s">
        <v>29</v>
      </c>
      <c r="E2162" s="46">
        <v>55795286</v>
      </c>
      <c r="F2162" s="2">
        <f>IF(C2162="GBP",E2162*$C$3,IF(C2162="TRY",E2162/$C$1,IF(C2162="EUR",E2162*$E$1,IF(C2162="RUB",E2162/#REF!,IF(C2162="EGP",E2162/$E$2,E2162)))))</f>
        <v>55795286</v>
      </c>
      <c r="G2162" s="15" t="str">
        <f>VLOOKUP(B2162,SPECIFICATIONF!$C$2:$D$65,2,0)</f>
        <v>GLOBAL HFT</v>
      </c>
      <c r="H2162" s="12">
        <f t="shared" si="122"/>
        <v>11</v>
      </c>
      <c r="I2162" s="12">
        <f t="shared" si="123"/>
        <v>2025</v>
      </c>
    </row>
    <row r="2163" spans="1:9" ht="19.5" customHeight="1" x14ac:dyDescent="0.35">
      <c r="A2163" s="41">
        <v>45971</v>
      </c>
      <c r="B2163" s="8" t="s">
        <v>24</v>
      </c>
      <c r="C2163" s="42" t="s">
        <v>11</v>
      </c>
      <c r="D2163" s="43" t="s">
        <v>30</v>
      </c>
      <c r="E2163" s="46">
        <v>0</v>
      </c>
      <c r="F2163" s="2">
        <f>IF(C2163="GBP",E2163*$C$3,IF(C2163="TRY",E2163/$C$1,IF(C2163="EUR",E2163*$E$1,IF(C2163="RUB",E2163/#REF!,IF(C2163="EGP",E2163/$E$2,E2163)))))</f>
        <v>0</v>
      </c>
      <c r="G2163" s="15" t="str">
        <f>VLOOKUP(B2163,SPECIFICATIONF!$C$2:$D$65,2,0)</f>
        <v>GLOBAL RETAIL</v>
      </c>
      <c r="H2163" s="12">
        <f t="shared" si="122"/>
        <v>11</v>
      </c>
      <c r="I2163" s="12">
        <f t="shared" si="123"/>
        <v>2025</v>
      </c>
    </row>
    <row r="2164" spans="1:9" ht="19.5" customHeight="1" x14ac:dyDescent="0.35">
      <c r="A2164" s="41">
        <v>45971</v>
      </c>
      <c r="B2164" s="8" t="s">
        <v>24</v>
      </c>
      <c r="C2164" s="42" t="s">
        <v>33</v>
      </c>
      <c r="D2164" s="43" t="s">
        <v>30</v>
      </c>
      <c r="E2164" s="46">
        <v>0</v>
      </c>
      <c r="F2164" s="2">
        <f>IF(C2164="GBP",E2164*$C$3,IF(C2164="TRY",E2164/$C$1,IF(C2164="EUR",E2164*$E$1,IF(C2164="RUB",E2164/#REF!,IF(C2164="EGP",E2164/$E$2,E2164)))))</f>
        <v>0</v>
      </c>
      <c r="G2164" s="15" t="str">
        <f>VLOOKUP(B2164,SPECIFICATIONF!$C$2:$D$65,2,0)</f>
        <v>GLOBAL RETAIL</v>
      </c>
      <c r="H2164" s="12">
        <f t="shared" si="122"/>
        <v>11</v>
      </c>
      <c r="I2164" s="12">
        <f t="shared" si="123"/>
        <v>2025</v>
      </c>
    </row>
    <row r="2165" spans="1:9" ht="19.5" customHeight="1" x14ac:dyDescent="0.35">
      <c r="A2165" s="41">
        <v>45971</v>
      </c>
      <c r="B2165" s="8" t="s">
        <v>24</v>
      </c>
      <c r="C2165" s="42" t="s">
        <v>11</v>
      </c>
      <c r="D2165" s="43" t="s">
        <v>29</v>
      </c>
      <c r="E2165" s="46">
        <v>1693816</v>
      </c>
      <c r="F2165" s="2">
        <f>IF(C2165="GBP",E2165*$C$3,IF(C2165="TRY",E2165/$C$1,IF(C2165="EUR",E2165*$E$1,IF(C2165="RUB",E2165/#REF!,IF(C2165="EGP",E2165/$E$2,E2165)))))</f>
        <v>46448.039180736501</v>
      </c>
      <c r="G2165" s="15" t="str">
        <f>VLOOKUP(B2165,SPECIFICATIONF!$C$2:$D$65,2,0)</f>
        <v>GLOBAL RETAIL</v>
      </c>
      <c r="H2165" s="12">
        <f t="shared" si="122"/>
        <v>11</v>
      </c>
      <c r="I2165" s="12">
        <f t="shared" si="123"/>
        <v>2025</v>
      </c>
    </row>
    <row r="2166" spans="1:9" ht="19.5" customHeight="1" x14ac:dyDescent="0.35">
      <c r="A2166" s="41">
        <v>45971</v>
      </c>
      <c r="B2166" s="8" t="s">
        <v>24</v>
      </c>
      <c r="C2166" s="42" t="s">
        <v>33</v>
      </c>
      <c r="D2166" s="43" t="s">
        <v>29</v>
      </c>
      <c r="E2166" s="46">
        <v>0</v>
      </c>
      <c r="F2166" s="2">
        <f>IF(C2166="GBP",E2166*$C$3,IF(C2166="TRY",E2166/$C$1,IF(C2166="EUR",E2166*$E$1,IF(C2166="RUB",E2166/#REF!,IF(C2166="EGP",E2166/$E$2,E2166)))))</f>
        <v>0</v>
      </c>
      <c r="G2166" s="15" t="str">
        <f>VLOOKUP(B2166,SPECIFICATIONF!$C$2:$D$65,2,0)</f>
        <v>GLOBAL RETAIL</v>
      </c>
      <c r="H2166" s="12">
        <f t="shared" si="122"/>
        <v>11</v>
      </c>
      <c r="I2166" s="12">
        <f t="shared" si="123"/>
        <v>2025</v>
      </c>
    </row>
    <row r="2167" spans="1:9" ht="19.5" customHeight="1" x14ac:dyDescent="0.35">
      <c r="A2167" s="41">
        <v>45972</v>
      </c>
      <c r="B2167" s="8" t="s">
        <v>32</v>
      </c>
      <c r="C2167" s="42" t="s">
        <v>11</v>
      </c>
      <c r="D2167" s="43" t="s">
        <v>30</v>
      </c>
      <c r="E2167" s="46">
        <v>2559004.92</v>
      </c>
      <c r="F2167" s="2">
        <f>IF(C2167="GBP",E2167*$C$3,IF(C2167="TRY",E2167/$C$1,IF(C2167="EUR",E2167*$E$1,IF(C2167="RUB",E2167/#REF!,IF(C2167="EGP",E2167/$E$2,E2167)))))</f>
        <v>70173.36049952147</v>
      </c>
      <c r="G2167" s="15" t="str">
        <f>VLOOKUP(B2167,SPECIFICATIONF!$C$2:$D$65,2,0)</f>
        <v>GLOBAL HFT</v>
      </c>
      <c r="H2167" s="12">
        <f t="shared" ref="H2167:H2174" si="124">MONTH(A2167)</f>
        <v>11</v>
      </c>
      <c r="I2167" s="12">
        <f t="shared" ref="I2167:I2174" si="125">YEAR(A2167)</f>
        <v>2025</v>
      </c>
    </row>
    <row r="2168" spans="1:9" ht="19.5" customHeight="1" x14ac:dyDescent="0.35">
      <c r="A2168" s="41">
        <v>45972</v>
      </c>
      <c r="B2168" s="8" t="s">
        <v>32</v>
      </c>
      <c r="C2168" s="42" t="s">
        <v>33</v>
      </c>
      <c r="D2168" s="43" t="s">
        <v>30</v>
      </c>
      <c r="E2168" s="46">
        <v>13899.18</v>
      </c>
      <c r="F2168" s="2">
        <f>IF(C2168="GBP",E2168*$C$3,IF(C2168="TRY",E2168/$C$1,IF(C2168="EUR",E2168*$E$1,IF(C2168="RUB",E2168/#REF!,IF(C2168="EGP",E2168/$E$2,E2168)))))</f>
        <v>13899.18</v>
      </c>
      <c r="G2168" s="15" t="str">
        <f>VLOOKUP(B2168,SPECIFICATIONF!$C$2:$D$65,2,0)</f>
        <v>GLOBAL HFT</v>
      </c>
      <c r="H2168" s="12">
        <f t="shared" si="124"/>
        <v>11</v>
      </c>
      <c r="I2168" s="12">
        <f t="shared" si="125"/>
        <v>2025</v>
      </c>
    </row>
    <row r="2169" spans="1:9" ht="19.5" customHeight="1" x14ac:dyDescent="0.35">
      <c r="A2169" s="41">
        <v>45972</v>
      </c>
      <c r="B2169" s="8" t="s">
        <v>32</v>
      </c>
      <c r="C2169" s="42" t="s">
        <v>11</v>
      </c>
      <c r="D2169" s="43" t="s">
        <v>29</v>
      </c>
      <c r="E2169" s="46">
        <v>9645599129</v>
      </c>
      <c r="F2169" s="2">
        <f>IF(C2169="GBP",E2169*$C$3,IF(C2169="TRY",E2169/$C$1,IF(C2169="EUR",E2169*$E$1,IF(C2169="RUB",E2169/#REF!,IF(C2169="EGP",E2169/$E$2,E2169)))))</f>
        <v>264502854.06766135</v>
      </c>
      <c r="G2169" s="15" t="str">
        <f>VLOOKUP(B2169,SPECIFICATIONF!$C$2:$D$65,2,0)</f>
        <v>GLOBAL HFT</v>
      </c>
      <c r="H2169" s="12">
        <f t="shared" si="124"/>
        <v>11</v>
      </c>
      <c r="I2169" s="12">
        <f t="shared" si="125"/>
        <v>2025</v>
      </c>
    </row>
    <row r="2170" spans="1:9" ht="19.5" customHeight="1" x14ac:dyDescent="0.35">
      <c r="A2170" s="41">
        <v>45972</v>
      </c>
      <c r="B2170" s="8" t="s">
        <v>32</v>
      </c>
      <c r="C2170" s="42" t="s">
        <v>33</v>
      </c>
      <c r="D2170" s="43" t="s">
        <v>29</v>
      </c>
      <c r="E2170" s="46">
        <v>45585328</v>
      </c>
      <c r="F2170" s="2">
        <f>IF(C2170="GBP",E2170*$C$3,IF(C2170="TRY",E2170/$C$1,IF(C2170="EUR",E2170*$E$1,IF(C2170="RUB",E2170/#REF!,IF(C2170="EGP",E2170/$E$2,E2170)))))</f>
        <v>45585328</v>
      </c>
      <c r="G2170" s="15" t="str">
        <f>VLOOKUP(B2170,SPECIFICATIONF!$C$2:$D$65,2,0)</f>
        <v>GLOBAL HFT</v>
      </c>
      <c r="H2170" s="12">
        <f t="shared" si="124"/>
        <v>11</v>
      </c>
      <c r="I2170" s="12">
        <f t="shared" si="125"/>
        <v>2025</v>
      </c>
    </row>
    <row r="2171" spans="1:9" ht="19.5" customHeight="1" x14ac:dyDescent="0.35">
      <c r="A2171" s="41">
        <v>45972</v>
      </c>
      <c r="B2171" s="8" t="s">
        <v>24</v>
      </c>
      <c r="C2171" s="42" t="s">
        <v>11</v>
      </c>
      <c r="D2171" s="43" t="s">
        <v>30</v>
      </c>
      <c r="E2171" s="46">
        <v>0</v>
      </c>
      <c r="F2171" s="2">
        <f>IF(C2171="GBP",E2171*$C$3,IF(C2171="TRY",E2171/$C$1,IF(C2171="EUR",E2171*$E$1,IF(C2171="RUB",E2171/#REF!,IF(C2171="EGP",E2171/$E$2,E2171)))))</f>
        <v>0</v>
      </c>
      <c r="G2171" s="15" t="str">
        <f>VLOOKUP(B2171,SPECIFICATIONF!$C$2:$D$65,2,0)</f>
        <v>GLOBAL RETAIL</v>
      </c>
      <c r="H2171" s="12">
        <f t="shared" si="124"/>
        <v>11</v>
      </c>
      <c r="I2171" s="12">
        <f t="shared" si="125"/>
        <v>2025</v>
      </c>
    </row>
    <row r="2172" spans="1:9" ht="19.5" customHeight="1" x14ac:dyDescent="0.35">
      <c r="A2172" s="41">
        <v>45972</v>
      </c>
      <c r="B2172" s="8" t="s">
        <v>24</v>
      </c>
      <c r="C2172" s="42" t="s">
        <v>33</v>
      </c>
      <c r="D2172" s="43" t="s">
        <v>30</v>
      </c>
      <c r="E2172" s="46">
        <v>0</v>
      </c>
      <c r="F2172" s="2">
        <f>IF(C2172="GBP",E2172*$C$3,IF(C2172="TRY",E2172/$C$1,IF(C2172="EUR",E2172*$E$1,IF(C2172="RUB",E2172/#REF!,IF(C2172="EGP",E2172/$E$2,E2172)))))</f>
        <v>0</v>
      </c>
      <c r="G2172" s="15" t="str">
        <f>VLOOKUP(B2172,SPECIFICATIONF!$C$2:$D$65,2,0)</f>
        <v>GLOBAL RETAIL</v>
      </c>
      <c r="H2172" s="12">
        <f t="shared" si="124"/>
        <v>11</v>
      </c>
      <c r="I2172" s="12">
        <f t="shared" si="125"/>
        <v>2025</v>
      </c>
    </row>
    <row r="2173" spans="1:9" ht="19.5" customHeight="1" x14ac:dyDescent="0.35">
      <c r="A2173" s="41">
        <v>45972</v>
      </c>
      <c r="B2173" s="8" t="s">
        <v>24</v>
      </c>
      <c r="C2173" s="42" t="s">
        <v>11</v>
      </c>
      <c r="D2173" s="43" t="s">
        <v>29</v>
      </c>
      <c r="E2173" s="46">
        <v>6790693</v>
      </c>
      <c r="F2173" s="2">
        <f>IF(C2173="GBP",E2173*$C$3,IF(C2173="TRY",E2173/$C$1,IF(C2173="EUR",E2173*$E$1,IF(C2173="RUB",E2173/#REF!,IF(C2173="EGP",E2173/$E$2,E2173)))))</f>
        <v>186215.25273604281</v>
      </c>
      <c r="G2173" s="15" t="str">
        <f>VLOOKUP(B2173,SPECIFICATIONF!$C$2:$D$65,2,0)</f>
        <v>GLOBAL RETAIL</v>
      </c>
      <c r="H2173" s="12">
        <f t="shared" si="124"/>
        <v>11</v>
      </c>
      <c r="I2173" s="12">
        <f t="shared" si="125"/>
        <v>2025</v>
      </c>
    </row>
    <row r="2174" spans="1:9" ht="19.5" customHeight="1" x14ac:dyDescent="0.35">
      <c r="A2174" s="41">
        <v>45972</v>
      </c>
      <c r="B2174" s="8" t="s">
        <v>24</v>
      </c>
      <c r="C2174" s="42" t="s">
        <v>33</v>
      </c>
      <c r="D2174" s="43" t="s">
        <v>29</v>
      </c>
      <c r="E2174" s="46">
        <v>9783</v>
      </c>
      <c r="F2174" s="2">
        <f>IF(C2174="GBP",E2174*$C$3,IF(C2174="TRY",E2174/$C$1,IF(C2174="EUR",E2174*$E$1,IF(C2174="RUB",E2174/#REF!,IF(C2174="EGP",E2174/$E$2,E2174)))))</f>
        <v>9783</v>
      </c>
      <c r="G2174" s="15" t="str">
        <f>VLOOKUP(B2174,SPECIFICATIONF!$C$2:$D$65,2,0)</f>
        <v>GLOBAL RETAIL</v>
      </c>
      <c r="H2174" s="12">
        <f t="shared" si="124"/>
        <v>11</v>
      </c>
      <c r="I2174" s="12">
        <f t="shared" si="125"/>
        <v>2025</v>
      </c>
    </row>
    <row r="2175" spans="1:9" ht="19.5" customHeight="1" x14ac:dyDescent="0.35">
      <c r="A2175" s="41">
        <v>45973</v>
      </c>
      <c r="B2175" s="8" t="s">
        <v>32</v>
      </c>
      <c r="C2175" s="42" t="s">
        <v>11</v>
      </c>
      <c r="D2175" s="43" t="s">
        <v>30</v>
      </c>
      <c r="E2175" s="46">
        <v>1686581.37</v>
      </c>
      <c r="F2175" s="2">
        <f>IF(C2175="GBP",E2175*$C$3,IF(C2175="TRY",E2175/$C$1,IF(C2175="EUR",E2175*$E$1,IF(C2175="RUB",E2175/#REF!,IF(C2175="EGP",E2175/$E$2,E2175)))))</f>
        <v>46249.650230757208</v>
      </c>
      <c r="G2175" s="15" t="str">
        <f>VLOOKUP(B2175,SPECIFICATIONF!$C$2:$D$65,2,0)</f>
        <v>GLOBAL HFT</v>
      </c>
      <c r="H2175" s="12">
        <f t="shared" ref="H2175:H2182" si="126">MONTH(A2175)</f>
        <v>11</v>
      </c>
      <c r="I2175" s="12">
        <f t="shared" ref="I2175:I2182" si="127">YEAR(A2175)</f>
        <v>2025</v>
      </c>
    </row>
    <row r="2176" spans="1:9" ht="19.5" customHeight="1" x14ac:dyDescent="0.35">
      <c r="A2176" s="41">
        <v>45973</v>
      </c>
      <c r="B2176" s="8" t="s">
        <v>32</v>
      </c>
      <c r="C2176" s="42" t="s">
        <v>33</v>
      </c>
      <c r="D2176" s="43" t="s">
        <v>30</v>
      </c>
      <c r="E2176" s="46">
        <v>10797.05</v>
      </c>
      <c r="F2176" s="2">
        <f>IF(C2176="GBP",E2176*$C$3,IF(C2176="TRY",E2176/$C$1,IF(C2176="EUR",E2176*$E$1,IF(C2176="RUB",E2176/#REF!,IF(C2176="EGP",E2176/$E$2,E2176)))))</f>
        <v>10797.05</v>
      </c>
      <c r="G2176" s="15" t="str">
        <f>VLOOKUP(B2176,SPECIFICATIONF!$C$2:$D$65,2,0)</f>
        <v>GLOBAL HFT</v>
      </c>
      <c r="H2176" s="12">
        <f t="shared" si="126"/>
        <v>11</v>
      </c>
      <c r="I2176" s="12">
        <f t="shared" si="127"/>
        <v>2025</v>
      </c>
    </row>
    <row r="2177" spans="1:9" ht="19.5" customHeight="1" x14ac:dyDescent="0.35">
      <c r="A2177" s="41">
        <v>45973</v>
      </c>
      <c r="B2177" s="8" t="s">
        <v>32</v>
      </c>
      <c r="C2177" s="42" t="s">
        <v>11</v>
      </c>
      <c r="D2177" s="43" t="s">
        <v>29</v>
      </c>
      <c r="E2177" s="46">
        <v>6344877897</v>
      </c>
      <c r="F2177" s="2">
        <f>IF(C2177="GBP",E2177*$C$3,IF(C2177="TRY",E2177/$C$1,IF(C2177="EUR",E2177*$E$1,IF(C2177="RUB",E2177/#REF!,IF(C2177="EGP",E2177/$E$2,E2177)))))</f>
        <v>173990053.91190365</v>
      </c>
      <c r="G2177" s="15" t="str">
        <f>VLOOKUP(B2177,SPECIFICATIONF!$C$2:$D$65,2,0)</f>
        <v>GLOBAL HFT</v>
      </c>
      <c r="H2177" s="12">
        <f t="shared" si="126"/>
        <v>11</v>
      </c>
      <c r="I2177" s="12">
        <f t="shared" si="127"/>
        <v>2025</v>
      </c>
    </row>
    <row r="2178" spans="1:9" ht="19.5" customHeight="1" x14ac:dyDescent="0.35">
      <c r="A2178" s="41">
        <v>45973</v>
      </c>
      <c r="B2178" s="8" t="s">
        <v>32</v>
      </c>
      <c r="C2178" s="42" t="s">
        <v>33</v>
      </c>
      <c r="D2178" s="43" t="s">
        <v>29</v>
      </c>
      <c r="E2178" s="46">
        <v>35731733</v>
      </c>
      <c r="F2178" s="2">
        <f>IF(C2178="GBP",E2178*$C$3,IF(C2178="TRY",E2178/$C$1,IF(C2178="EUR",E2178*$E$1,IF(C2178="RUB",E2178/#REF!,IF(C2178="EGP",E2178/$E$2,E2178)))))</f>
        <v>35731733</v>
      </c>
      <c r="G2178" s="15" t="str">
        <f>VLOOKUP(B2178,SPECIFICATIONF!$C$2:$D$65,2,0)</f>
        <v>GLOBAL HFT</v>
      </c>
      <c r="H2178" s="12">
        <f t="shared" si="126"/>
        <v>11</v>
      </c>
      <c r="I2178" s="12">
        <f t="shared" si="127"/>
        <v>2025</v>
      </c>
    </row>
    <row r="2179" spans="1:9" ht="19.5" customHeight="1" x14ac:dyDescent="0.35">
      <c r="A2179" s="41">
        <v>45973</v>
      </c>
      <c r="B2179" s="8" t="s">
        <v>24</v>
      </c>
      <c r="C2179" s="42" t="s">
        <v>11</v>
      </c>
      <c r="D2179" s="43" t="s">
        <v>30</v>
      </c>
      <c r="E2179" s="46">
        <v>0</v>
      </c>
      <c r="F2179" s="2">
        <f>IF(C2179="GBP",E2179*$C$3,IF(C2179="TRY",E2179/$C$1,IF(C2179="EUR",E2179*$E$1,IF(C2179="RUB",E2179/#REF!,IF(C2179="EGP",E2179/$E$2,E2179)))))</f>
        <v>0</v>
      </c>
      <c r="G2179" s="15" t="str">
        <f>VLOOKUP(B2179,SPECIFICATIONF!$C$2:$D$65,2,0)</f>
        <v>GLOBAL RETAIL</v>
      </c>
      <c r="H2179" s="12">
        <f t="shared" si="126"/>
        <v>11</v>
      </c>
      <c r="I2179" s="12">
        <f t="shared" si="127"/>
        <v>2025</v>
      </c>
    </row>
    <row r="2180" spans="1:9" ht="19.5" customHeight="1" x14ac:dyDescent="0.35">
      <c r="A2180" s="41">
        <v>45973</v>
      </c>
      <c r="B2180" s="8" t="s">
        <v>24</v>
      </c>
      <c r="C2180" s="42" t="s">
        <v>33</v>
      </c>
      <c r="D2180" s="43" t="s">
        <v>30</v>
      </c>
      <c r="E2180" s="46">
        <v>0</v>
      </c>
      <c r="F2180" s="2">
        <f>IF(C2180="GBP",E2180*$C$3,IF(C2180="TRY",E2180/$C$1,IF(C2180="EUR",E2180*$E$1,IF(C2180="RUB",E2180/#REF!,IF(C2180="EGP",E2180/$E$2,E2180)))))</f>
        <v>0</v>
      </c>
      <c r="G2180" s="15" t="str">
        <f>VLOOKUP(B2180,SPECIFICATIONF!$C$2:$D$65,2,0)</f>
        <v>GLOBAL RETAIL</v>
      </c>
      <c r="H2180" s="12">
        <f t="shared" si="126"/>
        <v>11</v>
      </c>
      <c r="I2180" s="12">
        <f t="shared" si="127"/>
        <v>2025</v>
      </c>
    </row>
    <row r="2181" spans="1:9" ht="19.5" customHeight="1" x14ac:dyDescent="0.35">
      <c r="A2181" s="41">
        <v>45973</v>
      </c>
      <c r="B2181" s="8" t="s">
        <v>24</v>
      </c>
      <c r="C2181" s="42" t="s">
        <v>11</v>
      </c>
      <c r="D2181" s="43" t="s">
        <v>29</v>
      </c>
      <c r="E2181" s="46">
        <v>13472212</v>
      </c>
      <c r="F2181" s="2">
        <f>IF(C2181="GBP",E2181*$C$3,IF(C2181="TRY",E2181/$C$1,IF(C2181="EUR",E2181*$E$1,IF(C2181="RUB",E2181/#REF!,IF(C2181="EGP",E2181/$E$2,E2181)))))</f>
        <v>369436.72206850594</v>
      </c>
      <c r="G2181" s="15" t="str">
        <f>VLOOKUP(B2181,SPECIFICATIONF!$C$2:$D$65,2,0)</f>
        <v>GLOBAL RETAIL</v>
      </c>
      <c r="H2181" s="12">
        <f t="shared" si="126"/>
        <v>11</v>
      </c>
      <c r="I2181" s="12">
        <f t="shared" si="127"/>
        <v>2025</v>
      </c>
    </row>
    <row r="2182" spans="1:9" ht="19.5" customHeight="1" x14ac:dyDescent="0.35">
      <c r="A2182" s="41">
        <v>45973</v>
      </c>
      <c r="B2182" s="8" t="s">
        <v>24</v>
      </c>
      <c r="C2182" s="42" t="s">
        <v>33</v>
      </c>
      <c r="D2182" s="43" t="s">
        <v>29</v>
      </c>
      <c r="E2182" s="46">
        <v>49</v>
      </c>
      <c r="F2182" s="2">
        <f>IF(C2182="GBP",E2182*$C$3,IF(C2182="TRY",E2182/$C$1,IF(C2182="EUR",E2182*$E$1,IF(C2182="RUB",E2182/#REF!,IF(C2182="EGP",E2182/$E$2,E2182)))))</f>
        <v>49</v>
      </c>
      <c r="G2182" s="15" t="str">
        <f>VLOOKUP(B2182,SPECIFICATIONF!$C$2:$D$65,2,0)</f>
        <v>GLOBAL RETAIL</v>
      </c>
      <c r="H2182" s="12">
        <f t="shared" si="126"/>
        <v>11</v>
      </c>
      <c r="I2182" s="12">
        <f t="shared" si="127"/>
        <v>2025</v>
      </c>
    </row>
    <row r="2183" spans="1:9" ht="19.5" customHeight="1" x14ac:dyDescent="0.35">
      <c r="A2183" s="41">
        <v>45974</v>
      </c>
      <c r="B2183" s="8" t="s">
        <v>32</v>
      </c>
      <c r="C2183" s="42" t="s">
        <v>11</v>
      </c>
      <c r="D2183" s="43" t="s">
        <v>30</v>
      </c>
      <c r="E2183" s="46">
        <v>1591882.75</v>
      </c>
      <c r="F2183" s="2">
        <f>IF(C2183="GBP",E2183*$C$3,IF(C2183="TRY",E2183/$C$1,IF(C2183="EUR",E2183*$E$1,IF(C2183="RUB",E2183/#REF!,IF(C2183="EGP",E2183/$E$2,E2183)))))</f>
        <v>43652.812550559545</v>
      </c>
      <c r="G2183" s="15" t="str">
        <f>VLOOKUP(B2183,SPECIFICATIONF!$C$2:$D$65,2,0)</f>
        <v>GLOBAL HFT</v>
      </c>
      <c r="H2183" s="12">
        <f t="shared" ref="H2183:H2190" si="128">MONTH(A2183)</f>
        <v>11</v>
      </c>
      <c r="I2183" s="12">
        <f t="shared" ref="I2183:I2190" si="129">YEAR(A2183)</f>
        <v>2025</v>
      </c>
    </row>
    <row r="2184" spans="1:9" ht="19.5" customHeight="1" x14ac:dyDescent="0.35">
      <c r="A2184" s="41">
        <v>45974</v>
      </c>
      <c r="B2184" s="8" t="s">
        <v>32</v>
      </c>
      <c r="C2184" s="42" t="s">
        <v>33</v>
      </c>
      <c r="D2184" s="43" t="s">
        <v>30</v>
      </c>
      <c r="E2184" s="46">
        <v>11521.99</v>
      </c>
      <c r="F2184" s="2">
        <f>IF(C2184="GBP",E2184*$C$3,IF(C2184="TRY",E2184/$C$1,IF(C2184="EUR",E2184*$E$1,IF(C2184="RUB",E2184/#REF!,IF(C2184="EGP",E2184/$E$2,E2184)))))</f>
        <v>11521.99</v>
      </c>
      <c r="G2184" s="15" t="str">
        <f>VLOOKUP(B2184,SPECIFICATIONF!$C$2:$D$65,2,0)</f>
        <v>GLOBAL HFT</v>
      </c>
      <c r="H2184" s="12">
        <f t="shared" si="128"/>
        <v>11</v>
      </c>
      <c r="I2184" s="12">
        <f t="shared" si="129"/>
        <v>2025</v>
      </c>
    </row>
    <row r="2185" spans="1:9" ht="19.5" customHeight="1" x14ac:dyDescent="0.35">
      <c r="A2185" s="41">
        <v>45974</v>
      </c>
      <c r="B2185" s="8" t="s">
        <v>32</v>
      </c>
      <c r="C2185" s="42" t="s">
        <v>11</v>
      </c>
      <c r="D2185" s="43" t="s">
        <v>29</v>
      </c>
      <c r="E2185" s="46">
        <v>5820287792</v>
      </c>
      <c r="F2185" s="2">
        <f>IF(C2185="GBP",E2185*$C$3,IF(C2185="TRY",E2185/$C$1,IF(C2185="EUR",E2185*$E$1,IF(C2185="RUB",E2185/#REF!,IF(C2185="EGP",E2185/$E$2,E2185)))))</f>
        <v>159604676.89877668</v>
      </c>
      <c r="G2185" s="15" t="str">
        <f>VLOOKUP(B2185,SPECIFICATIONF!$C$2:$D$65,2,0)</f>
        <v>GLOBAL HFT</v>
      </c>
      <c r="H2185" s="12">
        <f t="shared" si="128"/>
        <v>11</v>
      </c>
      <c r="I2185" s="12">
        <f t="shared" si="129"/>
        <v>2025</v>
      </c>
    </row>
    <row r="2186" spans="1:9" ht="19.5" customHeight="1" x14ac:dyDescent="0.35">
      <c r="A2186" s="41">
        <v>45974</v>
      </c>
      <c r="B2186" s="8" t="s">
        <v>32</v>
      </c>
      <c r="C2186" s="42" t="s">
        <v>33</v>
      </c>
      <c r="D2186" s="43" t="s">
        <v>29</v>
      </c>
      <c r="E2186" s="46">
        <v>36895619</v>
      </c>
      <c r="F2186" s="2">
        <f>IF(C2186="GBP",E2186*$C$3,IF(C2186="TRY",E2186/$C$1,IF(C2186="EUR",E2186*$E$1,IF(C2186="RUB",E2186/#REF!,IF(C2186="EGP",E2186/$E$2,E2186)))))</f>
        <v>36895619</v>
      </c>
      <c r="G2186" s="15" t="str">
        <f>VLOOKUP(B2186,SPECIFICATIONF!$C$2:$D$65,2,0)</f>
        <v>GLOBAL HFT</v>
      </c>
      <c r="H2186" s="12">
        <f t="shared" si="128"/>
        <v>11</v>
      </c>
      <c r="I2186" s="12">
        <f t="shared" si="129"/>
        <v>2025</v>
      </c>
    </row>
    <row r="2187" spans="1:9" ht="19.5" customHeight="1" x14ac:dyDescent="0.35">
      <c r="A2187" s="41">
        <v>45974</v>
      </c>
      <c r="B2187" s="8" t="s">
        <v>24</v>
      </c>
      <c r="C2187" s="42" t="s">
        <v>11</v>
      </c>
      <c r="D2187" s="43" t="s">
        <v>30</v>
      </c>
      <c r="E2187" s="46">
        <v>0</v>
      </c>
      <c r="F2187" s="2">
        <f>IF(C2187="GBP",E2187*$C$3,IF(C2187="TRY",E2187/$C$1,IF(C2187="EUR",E2187*$E$1,IF(C2187="RUB",E2187/#REF!,IF(C2187="EGP",E2187/$E$2,E2187)))))</f>
        <v>0</v>
      </c>
      <c r="G2187" s="15" t="str">
        <f>VLOOKUP(B2187,SPECIFICATIONF!$C$2:$D$65,2,0)</f>
        <v>GLOBAL RETAIL</v>
      </c>
      <c r="H2187" s="12">
        <f t="shared" si="128"/>
        <v>11</v>
      </c>
      <c r="I2187" s="12">
        <f t="shared" si="129"/>
        <v>2025</v>
      </c>
    </row>
    <row r="2188" spans="1:9" ht="19.5" customHeight="1" x14ac:dyDescent="0.35">
      <c r="A2188" s="41">
        <v>45974</v>
      </c>
      <c r="B2188" s="8" t="s">
        <v>24</v>
      </c>
      <c r="C2188" s="42" t="s">
        <v>33</v>
      </c>
      <c r="D2188" s="43" t="s">
        <v>30</v>
      </c>
      <c r="E2188" s="46">
        <v>0</v>
      </c>
      <c r="F2188" s="2">
        <f>IF(C2188="GBP",E2188*$C$3,IF(C2188="TRY",E2188/$C$1,IF(C2188="EUR",E2188*$E$1,IF(C2188="RUB",E2188/#REF!,IF(C2188="EGP",E2188/$E$2,E2188)))))</f>
        <v>0</v>
      </c>
      <c r="G2188" s="15" t="str">
        <f>VLOOKUP(B2188,SPECIFICATIONF!$C$2:$D$65,2,0)</f>
        <v>GLOBAL RETAIL</v>
      </c>
      <c r="H2188" s="12">
        <f t="shared" si="128"/>
        <v>11</v>
      </c>
      <c r="I2188" s="12">
        <f t="shared" si="129"/>
        <v>2025</v>
      </c>
    </row>
    <row r="2189" spans="1:9" ht="19.5" customHeight="1" x14ac:dyDescent="0.35">
      <c r="A2189" s="41">
        <v>45974</v>
      </c>
      <c r="B2189" s="8" t="s">
        <v>24</v>
      </c>
      <c r="C2189" s="42" t="s">
        <v>11</v>
      </c>
      <c r="D2189" s="43" t="s">
        <v>29</v>
      </c>
      <c r="E2189" s="46">
        <v>832277</v>
      </c>
      <c r="F2189" s="2">
        <f>IF(C2189="GBP",E2189*$C$3,IF(C2189="TRY",E2189/$C$1,IF(C2189="EUR",E2189*$E$1,IF(C2189="RUB",E2189/#REF!,IF(C2189="EGP",E2189/$E$2,E2189)))))</f>
        <v>22822.806435425002</v>
      </c>
      <c r="G2189" s="15" t="str">
        <f>VLOOKUP(B2189,SPECIFICATIONF!$C$2:$D$65,2,0)</f>
        <v>GLOBAL RETAIL</v>
      </c>
      <c r="H2189" s="12">
        <f t="shared" si="128"/>
        <v>11</v>
      </c>
      <c r="I2189" s="12">
        <f t="shared" si="129"/>
        <v>2025</v>
      </c>
    </row>
    <row r="2190" spans="1:9" ht="19.5" customHeight="1" x14ac:dyDescent="0.35">
      <c r="A2190" s="41">
        <v>45974</v>
      </c>
      <c r="B2190" s="8" t="s">
        <v>24</v>
      </c>
      <c r="C2190" s="42" t="s">
        <v>33</v>
      </c>
      <c r="D2190" s="43" t="s">
        <v>29</v>
      </c>
      <c r="E2190" s="46">
        <v>0</v>
      </c>
      <c r="F2190" s="2">
        <f>IF(C2190="GBP",E2190*$C$3,IF(C2190="TRY",E2190/$C$1,IF(C2190="EUR",E2190*$E$1,IF(C2190="RUB",E2190/#REF!,IF(C2190="EGP",E2190/$E$2,E2190)))))</f>
        <v>0</v>
      </c>
      <c r="G2190" s="15" t="str">
        <f>VLOOKUP(B2190,SPECIFICATIONF!$C$2:$D$65,2,0)</f>
        <v>GLOBAL RETAIL</v>
      </c>
      <c r="H2190" s="12">
        <f t="shared" si="128"/>
        <v>11</v>
      </c>
      <c r="I2190" s="12">
        <f t="shared" si="129"/>
        <v>2025</v>
      </c>
    </row>
    <row r="2191" spans="1:9" ht="19.5" customHeight="1" x14ac:dyDescent="0.35">
      <c r="A2191" s="41">
        <v>45975</v>
      </c>
      <c r="B2191" s="8" t="s">
        <v>32</v>
      </c>
      <c r="C2191" s="42" t="s">
        <v>11</v>
      </c>
      <c r="D2191" s="43" t="s">
        <v>30</v>
      </c>
      <c r="E2191" s="46">
        <v>1756988.15</v>
      </c>
      <c r="F2191" s="2">
        <f>IF(C2191="GBP",E2191*$C$3,IF(C2191="TRY",E2191/$C$1,IF(C2191="EUR",E2191*$E$1,IF(C2191="RUB",E2191/#REF!,IF(C2191="EGP",E2191/$E$2,E2191)))))</f>
        <v>48180.353964828369</v>
      </c>
      <c r="G2191" s="15" t="str">
        <f>VLOOKUP(B2191,SPECIFICATIONF!$C$2:$D$65,2,0)</f>
        <v>GLOBAL HFT</v>
      </c>
      <c r="H2191" s="12">
        <f t="shared" ref="H2191:H2198" si="130">MONTH(A2191)</f>
        <v>11</v>
      </c>
      <c r="I2191" s="12">
        <f t="shared" ref="I2191:I2198" si="131">YEAR(A2191)</f>
        <v>2025</v>
      </c>
    </row>
    <row r="2192" spans="1:9" ht="19.5" customHeight="1" x14ac:dyDescent="0.35">
      <c r="A2192" s="41">
        <v>45975</v>
      </c>
      <c r="B2192" s="8" t="s">
        <v>32</v>
      </c>
      <c r="C2192" s="42" t="s">
        <v>33</v>
      </c>
      <c r="D2192" s="43" t="s">
        <v>30</v>
      </c>
      <c r="E2192" s="46">
        <v>11898.33</v>
      </c>
      <c r="F2192" s="2">
        <f>IF(C2192="GBP",E2192*$C$3,IF(C2192="TRY",E2192/$C$1,IF(C2192="EUR",E2192*$E$1,IF(C2192="RUB",E2192/#REF!,IF(C2192="EGP",E2192/$E$2,E2192)))))</f>
        <v>11898.33</v>
      </c>
      <c r="G2192" s="15" t="str">
        <f>VLOOKUP(B2192,SPECIFICATIONF!$C$2:$D$65,2,0)</f>
        <v>GLOBAL HFT</v>
      </c>
      <c r="H2192" s="12">
        <f t="shared" si="130"/>
        <v>11</v>
      </c>
      <c r="I2192" s="12">
        <f t="shared" si="131"/>
        <v>2025</v>
      </c>
    </row>
    <row r="2193" spans="1:9" ht="19.5" customHeight="1" x14ac:dyDescent="0.35">
      <c r="A2193" s="41">
        <v>45975</v>
      </c>
      <c r="B2193" s="8" t="s">
        <v>32</v>
      </c>
      <c r="C2193" s="42" t="s">
        <v>11</v>
      </c>
      <c r="D2193" s="43" t="s">
        <v>29</v>
      </c>
      <c r="E2193" s="46">
        <v>6395737881</v>
      </c>
      <c r="F2193" s="2">
        <f>IF(C2193="GBP",E2193*$C$3,IF(C2193="TRY",E2193/$C$1,IF(C2193="EUR",E2193*$E$1,IF(C2193="RUB",E2193/#REF!,IF(C2193="EGP",E2193/$E$2,E2193)))))</f>
        <v>175384742.90383881</v>
      </c>
      <c r="G2193" s="15" t="str">
        <f>VLOOKUP(B2193,SPECIFICATIONF!$C$2:$D$65,2,0)</f>
        <v>GLOBAL HFT</v>
      </c>
      <c r="H2193" s="12">
        <f t="shared" si="130"/>
        <v>11</v>
      </c>
      <c r="I2193" s="12">
        <f t="shared" si="131"/>
        <v>2025</v>
      </c>
    </row>
    <row r="2194" spans="1:9" ht="19.5" customHeight="1" x14ac:dyDescent="0.35">
      <c r="A2194" s="41">
        <v>45975</v>
      </c>
      <c r="B2194" s="8" t="s">
        <v>32</v>
      </c>
      <c r="C2194" s="42" t="s">
        <v>33</v>
      </c>
      <c r="D2194" s="43" t="s">
        <v>29</v>
      </c>
      <c r="E2194" s="46">
        <v>39120815</v>
      </c>
      <c r="F2194" s="2">
        <f>IF(C2194="GBP",E2194*$C$3,IF(C2194="TRY",E2194/$C$1,IF(C2194="EUR",E2194*$E$1,IF(C2194="RUB",E2194/#REF!,IF(C2194="EGP",E2194/$E$2,E2194)))))</f>
        <v>39120815</v>
      </c>
      <c r="G2194" s="15" t="str">
        <f>VLOOKUP(B2194,SPECIFICATIONF!$C$2:$D$65,2,0)</f>
        <v>GLOBAL HFT</v>
      </c>
      <c r="H2194" s="12">
        <f t="shared" si="130"/>
        <v>11</v>
      </c>
      <c r="I2194" s="12">
        <f t="shared" si="131"/>
        <v>2025</v>
      </c>
    </row>
    <row r="2195" spans="1:9" ht="19.5" customHeight="1" x14ac:dyDescent="0.35">
      <c r="A2195" s="41">
        <v>45975</v>
      </c>
      <c r="B2195" s="8" t="s">
        <v>24</v>
      </c>
      <c r="C2195" s="42" t="s">
        <v>11</v>
      </c>
      <c r="D2195" s="43" t="s">
        <v>30</v>
      </c>
      <c r="E2195" s="46">
        <v>0</v>
      </c>
      <c r="F2195" s="2">
        <f>IF(C2195="GBP",E2195*$C$3,IF(C2195="TRY",E2195/$C$1,IF(C2195="EUR",E2195*$E$1,IF(C2195="RUB",E2195/#REF!,IF(C2195="EGP",E2195/$E$2,E2195)))))</f>
        <v>0</v>
      </c>
      <c r="G2195" s="15" t="str">
        <f>VLOOKUP(B2195,SPECIFICATIONF!$C$2:$D$65,2,0)</f>
        <v>GLOBAL RETAIL</v>
      </c>
      <c r="H2195" s="12">
        <f t="shared" si="130"/>
        <v>11</v>
      </c>
      <c r="I2195" s="12">
        <f t="shared" si="131"/>
        <v>2025</v>
      </c>
    </row>
    <row r="2196" spans="1:9" ht="19.5" customHeight="1" x14ac:dyDescent="0.35">
      <c r="A2196" s="41">
        <v>45975</v>
      </c>
      <c r="B2196" s="8" t="s">
        <v>24</v>
      </c>
      <c r="C2196" s="42" t="s">
        <v>33</v>
      </c>
      <c r="D2196" s="43" t="s">
        <v>30</v>
      </c>
      <c r="E2196" s="46">
        <v>0</v>
      </c>
      <c r="F2196" s="2">
        <f>IF(C2196="GBP",E2196*$C$3,IF(C2196="TRY",E2196/$C$1,IF(C2196="EUR",E2196*$E$1,IF(C2196="RUB",E2196/#REF!,IF(C2196="EGP",E2196/$E$2,E2196)))))</f>
        <v>0</v>
      </c>
      <c r="G2196" s="15" t="str">
        <f>VLOOKUP(B2196,SPECIFICATIONF!$C$2:$D$65,2,0)</f>
        <v>GLOBAL RETAIL</v>
      </c>
      <c r="H2196" s="12">
        <f t="shared" si="130"/>
        <v>11</v>
      </c>
      <c r="I2196" s="12">
        <f t="shared" si="131"/>
        <v>2025</v>
      </c>
    </row>
    <row r="2197" spans="1:9" ht="19.5" customHeight="1" x14ac:dyDescent="0.35">
      <c r="A2197" s="41">
        <v>45975</v>
      </c>
      <c r="B2197" s="8" t="s">
        <v>24</v>
      </c>
      <c r="C2197" s="42" t="s">
        <v>11</v>
      </c>
      <c r="D2197" s="43" t="s">
        <v>29</v>
      </c>
      <c r="E2197" s="46">
        <v>45511782</v>
      </c>
      <c r="F2197" s="2">
        <f>IF(C2197="GBP",E2197*$C$3,IF(C2197="TRY",E2197/$C$1,IF(C2197="EUR",E2197*$E$1,IF(C2197="RUB",E2197/#REF!,IF(C2197="EGP",E2197/$E$2,E2197)))))</f>
        <v>1248029.9120572354</v>
      </c>
      <c r="G2197" s="15" t="str">
        <f>VLOOKUP(B2197,SPECIFICATIONF!$C$2:$D$65,2,0)</f>
        <v>GLOBAL RETAIL</v>
      </c>
      <c r="H2197" s="12">
        <f t="shared" si="130"/>
        <v>11</v>
      </c>
      <c r="I2197" s="12">
        <f t="shared" si="131"/>
        <v>2025</v>
      </c>
    </row>
    <row r="2198" spans="1:9" ht="19.5" customHeight="1" x14ac:dyDescent="0.35">
      <c r="A2198" s="41">
        <v>45975</v>
      </c>
      <c r="B2198" s="8" t="s">
        <v>24</v>
      </c>
      <c r="C2198" s="42" t="s">
        <v>33</v>
      </c>
      <c r="D2198" s="43" t="s">
        <v>29</v>
      </c>
      <c r="E2198" s="46">
        <v>0</v>
      </c>
      <c r="F2198" s="2">
        <f>IF(C2198="GBP",E2198*$C$3,IF(C2198="TRY",E2198/$C$1,IF(C2198="EUR",E2198*$E$1,IF(C2198="RUB",E2198/#REF!,IF(C2198="EGP",E2198/$E$2,E2198)))))</f>
        <v>0</v>
      </c>
      <c r="G2198" s="15" t="str">
        <f>VLOOKUP(B2198,SPECIFICATIONF!$C$2:$D$65,2,0)</f>
        <v>GLOBAL RETAIL</v>
      </c>
      <c r="H2198" s="12">
        <f t="shared" si="130"/>
        <v>11</v>
      </c>
      <c r="I2198" s="12">
        <f t="shared" si="131"/>
        <v>2025</v>
      </c>
    </row>
    <row r="2199" spans="1:9" ht="19.5" customHeight="1" x14ac:dyDescent="0.35">
      <c r="A2199" s="41">
        <v>45976</v>
      </c>
      <c r="B2199" s="8" t="s">
        <v>32</v>
      </c>
      <c r="C2199" s="42" t="s">
        <v>11</v>
      </c>
      <c r="D2199" s="43" t="s">
        <v>30</v>
      </c>
      <c r="E2199" s="46">
        <v>1556737.41</v>
      </c>
      <c r="F2199" s="2">
        <f>IF(C2199="GBP",E2199*$C$3,IF(C2199="TRY",E2199/$C$1,IF(C2199="EUR",E2199*$E$1,IF(C2199="RUB",E2199/#REF!,IF(C2199="EGP",E2199/$E$2,E2199)))))</f>
        <v>42689.052538055053</v>
      </c>
      <c r="G2199" s="15" t="str">
        <f>VLOOKUP(B2199,SPECIFICATIONF!$C$2:$D$65,2,0)</f>
        <v>GLOBAL HFT</v>
      </c>
      <c r="H2199" s="12">
        <f t="shared" ref="H2199:H2222" si="132">MONTH(A2199)</f>
        <v>11</v>
      </c>
      <c r="I2199" s="12">
        <f t="shared" ref="I2199:I2222" si="133">YEAR(A2199)</f>
        <v>2025</v>
      </c>
    </row>
    <row r="2200" spans="1:9" ht="19.5" customHeight="1" x14ac:dyDescent="0.35">
      <c r="A2200" s="41">
        <v>45976</v>
      </c>
      <c r="B2200" s="8" t="s">
        <v>32</v>
      </c>
      <c r="C2200" s="42" t="s">
        <v>33</v>
      </c>
      <c r="D2200" s="43" t="s">
        <v>30</v>
      </c>
      <c r="E2200" s="46">
        <v>8961.2900000000009</v>
      </c>
      <c r="F2200" s="2">
        <f>IF(C2200="GBP",E2200*$C$3,IF(C2200="TRY",E2200/$C$1,IF(C2200="EUR",E2200*$E$1,IF(C2200="RUB",E2200/#REF!,IF(C2200="EGP",E2200/$E$2,E2200)))))</f>
        <v>8961.2900000000009</v>
      </c>
      <c r="G2200" s="15" t="str">
        <f>VLOOKUP(B2200,SPECIFICATIONF!$C$2:$D$65,2,0)</f>
        <v>GLOBAL HFT</v>
      </c>
      <c r="H2200" s="12">
        <f t="shared" si="132"/>
        <v>11</v>
      </c>
      <c r="I2200" s="12">
        <f t="shared" si="133"/>
        <v>2025</v>
      </c>
    </row>
    <row r="2201" spans="1:9" ht="19.5" customHeight="1" x14ac:dyDescent="0.35">
      <c r="A2201" s="41">
        <v>45976</v>
      </c>
      <c r="B2201" s="8" t="s">
        <v>32</v>
      </c>
      <c r="C2201" s="42" t="s">
        <v>11</v>
      </c>
      <c r="D2201" s="43" t="s">
        <v>29</v>
      </c>
      <c r="E2201" s="46">
        <v>5766785161</v>
      </c>
      <c r="F2201" s="2">
        <f>IF(C2201="GBP",E2201*$C$3,IF(C2201="TRY",E2201/$C$1,IF(C2201="EUR",E2201*$E$1,IF(C2201="RUB",E2201/#REF!,IF(C2201="EGP",E2201/$E$2,E2201)))))</f>
        <v>158137520.90251708</v>
      </c>
      <c r="G2201" s="15" t="str">
        <f>VLOOKUP(B2201,SPECIFICATIONF!$C$2:$D$65,2,0)</f>
        <v>GLOBAL HFT</v>
      </c>
      <c r="H2201" s="12">
        <f t="shared" si="132"/>
        <v>11</v>
      </c>
      <c r="I2201" s="12">
        <f t="shared" si="133"/>
        <v>2025</v>
      </c>
    </row>
    <row r="2202" spans="1:9" ht="19.5" customHeight="1" x14ac:dyDescent="0.35">
      <c r="A2202" s="41">
        <v>45976</v>
      </c>
      <c r="B2202" s="8" t="s">
        <v>32</v>
      </c>
      <c r="C2202" s="42" t="s">
        <v>33</v>
      </c>
      <c r="D2202" s="43" t="s">
        <v>29</v>
      </c>
      <c r="E2202" s="46">
        <v>30415823</v>
      </c>
      <c r="F2202" s="2">
        <f>IF(C2202="GBP",E2202*$C$3,IF(C2202="TRY",E2202/$C$1,IF(C2202="EUR",E2202*$E$1,IF(C2202="RUB",E2202/#REF!,IF(C2202="EGP",E2202/$E$2,E2202)))))</f>
        <v>30415823</v>
      </c>
      <c r="G2202" s="15" t="str">
        <f>VLOOKUP(B2202,SPECIFICATIONF!$C$2:$D$65,2,0)</f>
        <v>GLOBAL HFT</v>
      </c>
      <c r="H2202" s="12">
        <f t="shared" si="132"/>
        <v>11</v>
      </c>
      <c r="I2202" s="12">
        <f t="shared" si="133"/>
        <v>2025</v>
      </c>
    </row>
    <row r="2203" spans="1:9" ht="19.5" customHeight="1" x14ac:dyDescent="0.35">
      <c r="A2203" s="41">
        <v>45976</v>
      </c>
      <c r="B2203" s="8" t="s">
        <v>24</v>
      </c>
      <c r="C2203" s="42" t="s">
        <v>11</v>
      </c>
      <c r="D2203" s="43" t="s">
        <v>30</v>
      </c>
      <c r="E2203" s="46">
        <v>0</v>
      </c>
      <c r="F2203" s="2">
        <f>IF(C2203="GBP",E2203*$C$3,IF(C2203="TRY",E2203/$C$1,IF(C2203="EUR",E2203*$E$1,IF(C2203="RUB",E2203/#REF!,IF(C2203="EGP",E2203/$E$2,E2203)))))</f>
        <v>0</v>
      </c>
      <c r="G2203" s="15" t="str">
        <f>VLOOKUP(B2203,SPECIFICATIONF!$C$2:$D$65,2,0)</f>
        <v>GLOBAL RETAIL</v>
      </c>
      <c r="H2203" s="12">
        <f t="shared" si="132"/>
        <v>11</v>
      </c>
      <c r="I2203" s="12">
        <f t="shared" si="133"/>
        <v>2025</v>
      </c>
    </row>
    <row r="2204" spans="1:9" ht="19.5" customHeight="1" x14ac:dyDescent="0.35">
      <c r="A2204" s="41">
        <v>45976</v>
      </c>
      <c r="B2204" s="8" t="s">
        <v>24</v>
      </c>
      <c r="C2204" s="42" t="s">
        <v>33</v>
      </c>
      <c r="D2204" s="43" t="s">
        <v>30</v>
      </c>
      <c r="E2204" s="46">
        <v>0</v>
      </c>
      <c r="F2204" s="2">
        <f>IF(C2204="GBP",E2204*$C$3,IF(C2204="TRY",E2204/$C$1,IF(C2204="EUR",E2204*$E$1,IF(C2204="RUB",E2204/#REF!,IF(C2204="EGP",E2204/$E$2,E2204)))))</f>
        <v>0</v>
      </c>
      <c r="G2204" s="15" t="str">
        <f>VLOOKUP(B2204,SPECIFICATIONF!$C$2:$D$65,2,0)</f>
        <v>GLOBAL RETAIL</v>
      </c>
      <c r="H2204" s="12">
        <f t="shared" si="132"/>
        <v>11</v>
      </c>
      <c r="I2204" s="12">
        <f t="shared" si="133"/>
        <v>2025</v>
      </c>
    </row>
    <row r="2205" spans="1:9" ht="19.5" customHeight="1" x14ac:dyDescent="0.35">
      <c r="A2205" s="41">
        <v>45976</v>
      </c>
      <c r="B2205" s="8" t="s">
        <v>24</v>
      </c>
      <c r="C2205" s="42" t="s">
        <v>11</v>
      </c>
      <c r="D2205" s="43" t="s">
        <v>29</v>
      </c>
      <c r="E2205" s="46">
        <v>33001685</v>
      </c>
      <c r="F2205" s="2">
        <f>IF(C2205="GBP",E2205*$C$3,IF(C2205="TRY",E2205/$C$1,IF(C2205="EUR",E2205*$E$1,IF(C2205="RUB",E2205/#REF!,IF(C2205="EGP",E2205/$E$2,E2205)))))</f>
        <v>904976.43068097369</v>
      </c>
      <c r="G2205" s="15" t="str">
        <f>VLOOKUP(B2205,SPECIFICATIONF!$C$2:$D$65,2,0)</f>
        <v>GLOBAL RETAIL</v>
      </c>
      <c r="H2205" s="12">
        <f t="shared" si="132"/>
        <v>11</v>
      </c>
      <c r="I2205" s="12">
        <f t="shared" si="133"/>
        <v>2025</v>
      </c>
    </row>
    <row r="2206" spans="1:9" ht="19.5" customHeight="1" x14ac:dyDescent="0.35">
      <c r="A2206" s="41">
        <v>45976</v>
      </c>
      <c r="B2206" s="8" t="s">
        <v>24</v>
      </c>
      <c r="C2206" s="42" t="s">
        <v>33</v>
      </c>
      <c r="D2206" s="43" t="s">
        <v>29</v>
      </c>
      <c r="E2206" s="46">
        <v>0</v>
      </c>
      <c r="F2206" s="2">
        <f>IF(C2206="GBP",E2206*$C$3,IF(C2206="TRY",E2206/$C$1,IF(C2206="EUR",E2206*$E$1,IF(C2206="RUB",E2206/#REF!,IF(C2206="EGP",E2206/$E$2,E2206)))))</f>
        <v>0</v>
      </c>
      <c r="G2206" s="15" t="str">
        <f>VLOOKUP(B2206,SPECIFICATIONF!$C$2:$D$65,2,0)</f>
        <v>GLOBAL RETAIL</v>
      </c>
      <c r="H2206" s="12">
        <f t="shared" si="132"/>
        <v>11</v>
      </c>
      <c r="I2206" s="12">
        <f t="shared" si="133"/>
        <v>2025</v>
      </c>
    </row>
    <row r="2207" spans="1:9" ht="19.5" customHeight="1" x14ac:dyDescent="0.35">
      <c r="A2207" s="41">
        <v>45977</v>
      </c>
      <c r="B2207" s="8" t="s">
        <v>32</v>
      </c>
      <c r="C2207" s="42" t="s">
        <v>11</v>
      </c>
      <c r="D2207" s="43" t="s">
        <v>30</v>
      </c>
      <c r="E2207" s="46">
        <v>1858758.18</v>
      </c>
      <c r="F2207" s="2">
        <f>IF(C2207="GBP",E2207*$C$3,IF(C2207="TRY",E2207/$C$1,IF(C2207="EUR",E2207*$E$1,IF(C2207="RUB",E2207/#REF!,IF(C2207="EGP",E2207/$E$2,E2207)))))</f>
        <v>50971.104755271212</v>
      </c>
      <c r="G2207" s="15" t="str">
        <f>VLOOKUP(B2207,SPECIFICATIONF!$C$2:$D$65,2,0)</f>
        <v>GLOBAL HFT</v>
      </c>
      <c r="H2207" s="12">
        <f t="shared" si="132"/>
        <v>11</v>
      </c>
      <c r="I2207" s="12">
        <f t="shared" si="133"/>
        <v>2025</v>
      </c>
    </row>
    <row r="2208" spans="1:9" ht="19.5" customHeight="1" x14ac:dyDescent="0.35">
      <c r="A2208" s="41">
        <v>45977</v>
      </c>
      <c r="B2208" s="8" t="s">
        <v>32</v>
      </c>
      <c r="C2208" s="42" t="s">
        <v>33</v>
      </c>
      <c r="D2208" s="43" t="s">
        <v>30</v>
      </c>
      <c r="E2208" s="46">
        <v>10041.950000000001</v>
      </c>
      <c r="F2208" s="2">
        <f>IF(C2208="GBP",E2208*$C$3,IF(C2208="TRY",E2208/$C$1,IF(C2208="EUR",E2208*$E$1,IF(C2208="RUB",E2208/#REF!,IF(C2208="EGP",E2208/$E$2,E2208)))))</f>
        <v>10041.950000000001</v>
      </c>
      <c r="G2208" s="15" t="str">
        <f>VLOOKUP(B2208,SPECIFICATIONF!$C$2:$D$65,2,0)</f>
        <v>GLOBAL HFT</v>
      </c>
      <c r="H2208" s="12">
        <f t="shared" si="132"/>
        <v>11</v>
      </c>
      <c r="I2208" s="12">
        <f t="shared" si="133"/>
        <v>2025</v>
      </c>
    </row>
    <row r="2209" spans="1:9" ht="19.5" customHeight="1" x14ac:dyDescent="0.35">
      <c r="A2209" s="41">
        <v>45977</v>
      </c>
      <c r="B2209" s="8" t="s">
        <v>32</v>
      </c>
      <c r="C2209" s="42" t="s">
        <v>11</v>
      </c>
      <c r="D2209" s="43" t="s">
        <v>29</v>
      </c>
      <c r="E2209" s="46">
        <v>6713752974</v>
      </c>
      <c r="F2209" s="2">
        <f>IF(C2209="GBP",E2209*$C$3,IF(C2209="TRY",E2209/$C$1,IF(C2209="EUR",E2209*$E$1,IF(C2209="RUB",E2209/#REF!,IF(C2209="EGP",E2209/$E$2,E2209)))))</f>
        <v>184105393.49382588</v>
      </c>
      <c r="G2209" s="15" t="str">
        <f>VLOOKUP(B2209,SPECIFICATIONF!$C$2:$D$65,2,0)</f>
        <v>GLOBAL HFT</v>
      </c>
      <c r="H2209" s="12">
        <f t="shared" si="132"/>
        <v>11</v>
      </c>
      <c r="I2209" s="12">
        <f t="shared" si="133"/>
        <v>2025</v>
      </c>
    </row>
    <row r="2210" spans="1:9" ht="19.5" customHeight="1" x14ac:dyDescent="0.35">
      <c r="A2210" s="41">
        <v>45977</v>
      </c>
      <c r="B2210" s="8" t="s">
        <v>32</v>
      </c>
      <c r="C2210" s="42" t="s">
        <v>33</v>
      </c>
      <c r="D2210" s="43" t="s">
        <v>29</v>
      </c>
      <c r="E2210" s="46">
        <v>33600270</v>
      </c>
      <c r="F2210" s="2">
        <f>IF(C2210="GBP",E2210*$C$3,IF(C2210="TRY",E2210/$C$1,IF(C2210="EUR",E2210*$E$1,IF(C2210="RUB",E2210/#REF!,IF(C2210="EGP",E2210/$E$2,E2210)))))</f>
        <v>33600270</v>
      </c>
      <c r="G2210" s="15" t="str">
        <f>VLOOKUP(B2210,SPECIFICATIONF!$C$2:$D$65,2,0)</f>
        <v>GLOBAL HFT</v>
      </c>
      <c r="H2210" s="12">
        <f t="shared" si="132"/>
        <v>11</v>
      </c>
      <c r="I2210" s="12">
        <f t="shared" si="133"/>
        <v>2025</v>
      </c>
    </row>
    <row r="2211" spans="1:9" ht="19.5" customHeight="1" x14ac:dyDescent="0.35">
      <c r="A2211" s="41">
        <v>45977</v>
      </c>
      <c r="B2211" s="8" t="s">
        <v>24</v>
      </c>
      <c r="C2211" s="42" t="s">
        <v>11</v>
      </c>
      <c r="D2211" s="43" t="s">
        <v>30</v>
      </c>
      <c r="E2211" s="46">
        <v>0</v>
      </c>
      <c r="F2211" s="2">
        <f>IF(C2211="GBP",E2211*$C$3,IF(C2211="TRY",E2211/$C$1,IF(C2211="EUR",E2211*$E$1,IF(C2211="RUB",E2211/#REF!,IF(C2211="EGP",E2211/$E$2,E2211)))))</f>
        <v>0</v>
      </c>
      <c r="G2211" s="15" t="str">
        <f>VLOOKUP(B2211,SPECIFICATIONF!$C$2:$D$65,2,0)</f>
        <v>GLOBAL RETAIL</v>
      </c>
      <c r="H2211" s="12">
        <f t="shared" si="132"/>
        <v>11</v>
      </c>
      <c r="I2211" s="12">
        <f t="shared" si="133"/>
        <v>2025</v>
      </c>
    </row>
    <row r="2212" spans="1:9" ht="19.5" customHeight="1" x14ac:dyDescent="0.35">
      <c r="A2212" s="41">
        <v>45977</v>
      </c>
      <c r="B2212" s="8" t="s">
        <v>24</v>
      </c>
      <c r="C2212" s="42" t="s">
        <v>33</v>
      </c>
      <c r="D2212" s="43" t="s">
        <v>30</v>
      </c>
      <c r="E2212" s="46">
        <v>0</v>
      </c>
      <c r="F2212" s="2">
        <f>IF(C2212="GBP",E2212*$C$3,IF(C2212="TRY",E2212/$C$1,IF(C2212="EUR",E2212*$E$1,IF(C2212="RUB",E2212/#REF!,IF(C2212="EGP",E2212/$E$2,E2212)))))</f>
        <v>0</v>
      </c>
      <c r="G2212" s="15" t="str">
        <f>VLOOKUP(B2212,SPECIFICATIONF!$C$2:$D$65,2,0)</f>
        <v>GLOBAL RETAIL</v>
      </c>
      <c r="H2212" s="12">
        <f t="shared" si="132"/>
        <v>11</v>
      </c>
      <c r="I2212" s="12">
        <f t="shared" si="133"/>
        <v>2025</v>
      </c>
    </row>
    <row r="2213" spans="1:9" ht="19.5" customHeight="1" x14ac:dyDescent="0.35">
      <c r="A2213" s="41">
        <v>45977</v>
      </c>
      <c r="B2213" s="8" t="s">
        <v>24</v>
      </c>
      <c r="C2213" s="42" t="s">
        <v>11</v>
      </c>
      <c r="D2213" s="43" t="s">
        <v>29</v>
      </c>
      <c r="E2213" s="46">
        <v>27633409</v>
      </c>
      <c r="F2213" s="2">
        <f>IF(C2213="GBP",E2213*$C$3,IF(C2213="TRY",E2213/$C$1,IF(C2213="EUR",E2213*$E$1,IF(C2213="RUB",E2213/#REF!,IF(C2213="EGP",E2213/$E$2,E2213)))))</f>
        <v>757766.87900534447</v>
      </c>
      <c r="G2213" s="15" t="str">
        <f>VLOOKUP(B2213,SPECIFICATIONF!$C$2:$D$65,2,0)</f>
        <v>GLOBAL RETAIL</v>
      </c>
      <c r="H2213" s="12">
        <f t="shared" si="132"/>
        <v>11</v>
      </c>
      <c r="I2213" s="12">
        <f t="shared" si="133"/>
        <v>2025</v>
      </c>
    </row>
    <row r="2214" spans="1:9" ht="19.5" customHeight="1" x14ac:dyDescent="0.35">
      <c r="A2214" s="41">
        <v>45977</v>
      </c>
      <c r="B2214" s="8" t="s">
        <v>24</v>
      </c>
      <c r="C2214" s="42" t="s">
        <v>33</v>
      </c>
      <c r="D2214" s="43" t="s">
        <v>29</v>
      </c>
      <c r="E2214" s="46">
        <v>710</v>
      </c>
      <c r="F2214" s="2">
        <f>IF(C2214="GBP",E2214*$C$3,IF(C2214="TRY",E2214/$C$1,IF(C2214="EUR",E2214*$E$1,IF(C2214="RUB",E2214/#REF!,IF(C2214="EGP",E2214/$E$2,E2214)))))</f>
        <v>710</v>
      </c>
      <c r="G2214" s="15" t="str">
        <f>VLOOKUP(B2214,SPECIFICATIONF!$C$2:$D$65,2,0)</f>
        <v>GLOBAL RETAIL</v>
      </c>
      <c r="H2214" s="12">
        <f t="shared" si="132"/>
        <v>11</v>
      </c>
      <c r="I2214" s="12">
        <f t="shared" si="133"/>
        <v>2025</v>
      </c>
    </row>
    <row r="2215" spans="1:9" ht="19.5" customHeight="1" x14ac:dyDescent="0.35">
      <c r="A2215" s="41">
        <v>45978</v>
      </c>
      <c r="B2215" s="8" t="s">
        <v>32</v>
      </c>
      <c r="C2215" s="42" t="s">
        <v>11</v>
      </c>
      <c r="D2215" s="43" t="s">
        <v>30</v>
      </c>
      <c r="E2215" s="46">
        <v>2011354.83</v>
      </c>
      <c r="F2215" s="2">
        <f>IF(C2215="GBP",E2215*$C$3,IF(C2215="TRY",E2215/$C$1,IF(C2215="EUR",E2215*$E$1,IF(C2215="RUB",E2215/#REF!,IF(C2215="EGP",E2215/$E$2,E2215)))))</f>
        <v>55155.62962577022</v>
      </c>
      <c r="G2215" s="15" t="str">
        <f>VLOOKUP(B2215,SPECIFICATIONF!$C$2:$D$65,2,0)</f>
        <v>GLOBAL HFT</v>
      </c>
      <c r="H2215" s="12">
        <f t="shared" si="132"/>
        <v>11</v>
      </c>
      <c r="I2215" s="12">
        <f t="shared" si="133"/>
        <v>2025</v>
      </c>
    </row>
    <row r="2216" spans="1:9" ht="19.5" customHeight="1" x14ac:dyDescent="0.35">
      <c r="A2216" s="41">
        <v>45978</v>
      </c>
      <c r="B2216" s="8" t="s">
        <v>32</v>
      </c>
      <c r="C2216" s="42" t="s">
        <v>33</v>
      </c>
      <c r="D2216" s="43" t="s">
        <v>30</v>
      </c>
      <c r="E2216" s="46">
        <v>11889.83</v>
      </c>
      <c r="F2216" s="2">
        <f>IF(C2216="GBP",E2216*$C$3,IF(C2216="TRY",E2216/$C$1,IF(C2216="EUR",E2216*$E$1,IF(C2216="RUB",E2216/#REF!,IF(C2216="EGP",E2216/$E$2,E2216)))))</f>
        <v>11889.83</v>
      </c>
      <c r="G2216" s="15" t="str">
        <f>VLOOKUP(B2216,SPECIFICATIONF!$C$2:$D$65,2,0)</f>
        <v>GLOBAL HFT</v>
      </c>
      <c r="H2216" s="12">
        <f t="shared" si="132"/>
        <v>11</v>
      </c>
      <c r="I2216" s="12">
        <f t="shared" si="133"/>
        <v>2025</v>
      </c>
    </row>
    <row r="2217" spans="1:9" ht="19.5" customHeight="1" x14ac:dyDescent="0.35">
      <c r="A2217" s="41">
        <v>45978</v>
      </c>
      <c r="B2217" s="8" t="s">
        <v>32</v>
      </c>
      <c r="C2217" s="42" t="s">
        <v>11</v>
      </c>
      <c r="D2217" s="43" t="s">
        <v>29</v>
      </c>
      <c r="E2217" s="46">
        <v>7452540973</v>
      </c>
      <c r="F2217" s="2">
        <f>IF(C2217="GBP",E2217*$C$3,IF(C2217="TRY",E2217/$C$1,IF(C2217="EUR",E2217*$E$1,IF(C2217="RUB",E2217/#REF!,IF(C2217="EGP",E2217/$E$2,E2217)))))</f>
        <v>204364532.57611695</v>
      </c>
      <c r="G2217" s="15" t="str">
        <f>VLOOKUP(B2217,SPECIFICATIONF!$C$2:$D$65,2,0)</f>
        <v>GLOBAL HFT</v>
      </c>
      <c r="H2217" s="12">
        <f t="shared" si="132"/>
        <v>11</v>
      </c>
      <c r="I2217" s="12">
        <f t="shared" si="133"/>
        <v>2025</v>
      </c>
    </row>
    <row r="2218" spans="1:9" ht="19.5" customHeight="1" x14ac:dyDescent="0.35">
      <c r="A2218" s="41">
        <v>45978</v>
      </c>
      <c r="B2218" s="8" t="s">
        <v>32</v>
      </c>
      <c r="C2218" s="42" t="s">
        <v>33</v>
      </c>
      <c r="D2218" s="43" t="s">
        <v>29</v>
      </c>
      <c r="E2218" s="46">
        <v>39467611</v>
      </c>
      <c r="F2218" s="2">
        <f>IF(C2218="GBP",E2218*$C$3,IF(C2218="TRY",E2218/$C$1,IF(C2218="EUR",E2218*$E$1,IF(C2218="RUB",E2218/#REF!,IF(C2218="EGP",E2218/$E$2,E2218)))))</f>
        <v>39467611</v>
      </c>
      <c r="G2218" s="15" t="str">
        <f>VLOOKUP(B2218,SPECIFICATIONF!$C$2:$D$65,2,0)</f>
        <v>GLOBAL HFT</v>
      </c>
      <c r="H2218" s="12">
        <f t="shared" si="132"/>
        <v>11</v>
      </c>
      <c r="I2218" s="12">
        <f t="shared" si="133"/>
        <v>2025</v>
      </c>
    </row>
    <row r="2219" spans="1:9" ht="19.5" customHeight="1" x14ac:dyDescent="0.35">
      <c r="A2219" s="41">
        <v>45978</v>
      </c>
      <c r="B2219" s="8" t="s">
        <v>24</v>
      </c>
      <c r="C2219" s="42" t="s">
        <v>11</v>
      </c>
      <c r="D2219" s="43" t="s">
        <v>30</v>
      </c>
      <c r="E2219" s="46">
        <v>0</v>
      </c>
      <c r="F2219" s="2">
        <f>IF(C2219="GBP",E2219*$C$3,IF(C2219="TRY",E2219/$C$1,IF(C2219="EUR",E2219*$E$1,IF(C2219="RUB",E2219/#REF!,IF(C2219="EGP",E2219/$E$2,E2219)))))</f>
        <v>0</v>
      </c>
      <c r="G2219" s="15" t="str">
        <f>VLOOKUP(B2219,SPECIFICATIONF!$C$2:$D$65,2,0)</f>
        <v>GLOBAL RETAIL</v>
      </c>
      <c r="H2219" s="12">
        <f t="shared" si="132"/>
        <v>11</v>
      </c>
      <c r="I2219" s="12">
        <f t="shared" si="133"/>
        <v>2025</v>
      </c>
    </row>
    <row r="2220" spans="1:9" ht="19.5" customHeight="1" x14ac:dyDescent="0.35">
      <c r="A2220" s="41">
        <v>45978</v>
      </c>
      <c r="B2220" s="8" t="s">
        <v>24</v>
      </c>
      <c r="C2220" s="42" t="s">
        <v>33</v>
      </c>
      <c r="D2220" s="43" t="s">
        <v>30</v>
      </c>
      <c r="E2220" s="46">
        <v>0</v>
      </c>
      <c r="F2220" s="2">
        <f>IF(C2220="GBP",E2220*$C$3,IF(C2220="TRY",E2220/$C$1,IF(C2220="EUR",E2220*$E$1,IF(C2220="RUB",E2220/#REF!,IF(C2220="EGP",E2220/$E$2,E2220)))))</f>
        <v>0</v>
      </c>
      <c r="G2220" s="15" t="str">
        <f>VLOOKUP(B2220,SPECIFICATIONF!$C$2:$D$65,2,0)</f>
        <v>GLOBAL RETAIL</v>
      </c>
      <c r="H2220" s="12">
        <f t="shared" si="132"/>
        <v>11</v>
      </c>
      <c r="I2220" s="12">
        <f t="shared" si="133"/>
        <v>2025</v>
      </c>
    </row>
    <row r="2221" spans="1:9" ht="19.5" customHeight="1" x14ac:dyDescent="0.35">
      <c r="A2221" s="41">
        <v>45978</v>
      </c>
      <c r="B2221" s="8" t="s">
        <v>24</v>
      </c>
      <c r="C2221" s="42" t="s">
        <v>11</v>
      </c>
      <c r="D2221" s="43" t="s">
        <v>29</v>
      </c>
      <c r="E2221" s="46">
        <v>30117646</v>
      </c>
      <c r="F2221" s="2">
        <f>IF(C2221="GBP",E2221*$C$3,IF(C2221="TRY",E2221/$C$1,IF(C2221="EUR",E2221*$E$1,IF(C2221="RUB",E2221/#REF!,IF(C2221="EGP",E2221/$E$2,E2221)))))</f>
        <v>825889.94403143669</v>
      </c>
      <c r="G2221" s="15" t="str">
        <f>VLOOKUP(B2221,SPECIFICATIONF!$C$2:$D$65,2,0)</f>
        <v>GLOBAL RETAIL</v>
      </c>
      <c r="H2221" s="12">
        <f t="shared" si="132"/>
        <v>11</v>
      </c>
      <c r="I2221" s="12">
        <f t="shared" si="133"/>
        <v>2025</v>
      </c>
    </row>
    <row r="2222" spans="1:9" ht="19.5" customHeight="1" x14ac:dyDescent="0.35">
      <c r="A2222" s="41">
        <v>45978</v>
      </c>
      <c r="B2222" s="8" t="s">
        <v>24</v>
      </c>
      <c r="C2222" s="42" t="s">
        <v>33</v>
      </c>
      <c r="D2222" s="43" t="s">
        <v>29</v>
      </c>
      <c r="E2222" s="46">
        <v>0</v>
      </c>
      <c r="F2222" s="2">
        <f>IF(C2222="GBP",E2222*$C$3,IF(C2222="TRY",E2222/$C$1,IF(C2222="EUR",E2222*$E$1,IF(C2222="RUB",E2222/#REF!,IF(C2222="EGP",E2222/$E$2,E2222)))))</f>
        <v>0</v>
      </c>
      <c r="G2222" s="15" t="str">
        <f>VLOOKUP(B2222,SPECIFICATIONF!$C$2:$D$65,2,0)</f>
        <v>GLOBAL RETAIL</v>
      </c>
      <c r="H2222" s="12">
        <f t="shared" si="132"/>
        <v>11</v>
      </c>
      <c r="I2222" s="12">
        <f t="shared" si="133"/>
        <v>2025</v>
      </c>
    </row>
    <row r="2223" spans="1:9" ht="19.5" customHeight="1" x14ac:dyDescent="0.35">
      <c r="A2223" s="41">
        <v>45979</v>
      </c>
      <c r="B2223" s="8" t="s">
        <v>32</v>
      </c>
      <c r="C2223" s="42" t="s">
        <v>11</v>
      </c>
      <c r="D2223" s="43" t="s">
        <v>30</v>
      </c>
      <c r="E2223" s="51">
        <v>1543150.01</v>
      </c>
      <c r="F2223" s="2">
        <f>IF(C2223="GBP",E2223*$C$3,IF(C2223="TRY",E2223/$C$1,IF(C2223="EUR",E2223*$E$1,IF(C2223="RUB",E2223/#REF!,IF(C2223="EGP",E2223/$E$2,E2223)))))</f>
        <v>42316.457115905105</v>
      </c>
      <c r="G2223" s="15" t="str">
        <f>VLOOKUP(B2223,SPECIFICATIONF!$C$2:$D$65,2,0)</f>
        <v>GLOBAL HFT</v>
      </c>
      <c r="H2223" s="12">
        <f t="shared" ref="H2223:H2230" si="134">MONTH(A2223)</f>
        <v>11</v>
      </c>
      <c r="I2223" s="12">
        <f t="shared" ref="I2223:I2230" si="135">YEAR(A2223)</f>
        <v>2025</v>
      </c>
    </row>
    <row r="2224" spans="1:9" ht="19.5" customHeight="1" x14ac:dyDescent="0.35">
      <c r="A2224" s="41">
        <v>45979</v>
      </c>
      <c r="B2224" s="8" t="s">
        <v>32</v>
      </c>
      <c r="C2224" s="42" t="s">
        <v>33</v>
      </c>
      <c r="D2224" s="43" t="s">
        <v>30</v>
      </c>
      <c r="E2224" s="51">
        <v>10043.5</v>
      </c>
      <c r="F2224" s="2">
        <f>IF(C2224="GBP",E2224*$C$3,IF(C2224="TRY",E2224/$C$1,IF(C2224="EUR",E2224*$E$1,IF(C2224="RUB",E2224/#REF!,IF(C2224="EGP",E2224/$E$2,E2224)))))</f>
        <v>10043.5</v>
      </c>
      <c r="G2224" s="15" t="str">
        <f>VLOOKUP(B2224,SPECIFICATIONF!$C$2:$D$65,2,0)</f>
        <v>GLOBAL HFT</v>
      </c>
      <c r="H2224" s="12">
        <f t="shared" si="134"/>
        <v>11</v>
      </c>
      <c r="I2224" s="12">
        <f t="shared" si="135"/>
        <v>2025</v>
      </c>
    </row>
    <row r="2225" spans="1:9" ht="19.5" customHeight="1" x14ac:dyDescent="0.35">
      <c r="A2225" s="41">
        <v>45979</v>
      </c>
      <c r="B2225" s="8" t="s">
        <v>32</v>
      </c>
      <c r="C2225" s="42" t="s">
        <v>11</v>
      </c>
      <c r="D2225" s="43" t="s">
        <v>29</v>
      </c>
      <c r="E2225" s="46">
        <v>5727660476</v>
      </c>
      <c r="F2225" s="2">
        <f>IF(C2225="GBP",E2225*$C$3,IF(C2225="TRY",E2225/$C$1,IF(C2225="EUR",E2225*$E$1,IF(C2225="RUB",E2225/#REF!,IF(C2225="EGP",E2225/$E$2,E2225)))))</f>
        <v>157064638.78201875</v>
      </c>
      <c r="G2225" s="15" t="str">
        <f>VLOOKUP(B2225,SPECIFICATIONF!$C$2:$D$65,2,0)</f>
        <v>GLOBAL HFT</v>
      </c>
      <c r="H2225" s="12">
        <f t="shared" si="134"/>
        <v>11</v>
      </c>
      <c r="I2225" s="12">
        <f t="shared" si="135"/>
        <v>2025</v>
      </c>
    </row>
    <row r="2226" spans="1:9" ht="19.5" customHeight="1" x14ac:dyDescent="0.35">
      <c r="A2226" s="41">
        <v>45979</v>
      </c>
      <c r="B2226" s="8" t="s">
        <v>32</v>
      </c>
      <c r="C2226" s="42" t="s">
        <v>33</v>
      </c>
      <c r="D2226" s="43" t="s">
        <v>29</v>
      </c>
      <c r="E2226" s="46">
        <v>33324932</v>
      </c>
      <c r="F2226" s="2">
        <f>IF(C2226="GBP",E2226*$C$3,IF(C2226="TRY",E2226/$C$1,IF(C2226="EUR",E2226*$E$1,IF(C2226="RUB",E2226/#REF!,IF(C2226="EGP",E2226/$E$2,E2226)))))</f>
        <v>33324932</v>
      </c>
      <c r="G2226" s="15" t="str">
        <f>VLOOKUP(B2226,SPECIFICATIONF!$C$2:$D$65,2,0)</f>
        <v>GLOBAL HFT</v>
      </c>
      <c r="H2226" s="12">
        <f t="shared" si="134"/>
        <v>11</v>
      </c>
      <c r="I2226" s="12">
        <f t="shared" si="135"/>
        <v>2025</v>
      </c>
    </row>
    <row r="2227" spans="1:9" ht="19.5" customHeight="1" x14ac:dyDescent="0.35">
      <c r="A2227" s="41">
        <v>45979</v>
      </c>
      <c r="B2227" s="8" t="s">
        <v>24</v>
      </c>
      <c r="C2227" s="42" t="s">
        <v>11</v>
      </c>
      <c r="D2227" s="43" t="s">
        <v>30</v>
      </c>
      <c r="E2227" s="46">
        <v>0</v>
      </c>
      <c r="F2227" s="2">
        <f>IF(C2227="GBP",E2227*$C$3,IF(C2227="TRY",E2227/$C$1,IF(C2227="EUR",E2227*$E$1,IF(C2227="RUB",E2227/#REF!,IF(C2227="EGP",E2227/$E$2,E2227)))))</f>
        <v>0</v>
      </c>
      <c r="G2227" s="15" t="str">
        <f>VLOOKUP(B2227,SPECIFICATIONF!$C$2:$D$65,2,0)</f>
        <v>GLOBAL RETAIL</v>
      </c>
      <c r="H2227" s="12">
        <f t="shared" si="134"/>
        <v>11</v>
      </c>
      <c r="I2227" s="12">
        <f t="shared" si="135"/>
        <v>2025</v>
      </c>
    </row>
    <row r="2228" spans="1:9" ht="19.5" customHeight="1" x14ac:dyDescent="0.35">
      <c r="A2228" s="41">
        <v>45979</v>
      </c>
      <c r="B2228" s="8" t="s">
        <v>24</v>
      </c>
      <c r="C2228" s="42" t="s">
        <v>33</v>
      </c>
      <c r="D2228" s="43" t="s">
        <v>30</v>
      </c>
      <c r="E2228" s="46">
        <v>0</v>
      </c>
      <c r="F2228" s="2">
        <f>IF(C2228="GBP",E2228*$C$3,IF(C2228="TRY",E2228/$C$1,IF(C2228="EUR",E2228*$E$1,IF(C2228="RUB",E2228/#REF!,IF(C2228="EGP",E2228/$E$2,E2228)))))</f>
        <v>0</v>
      </c>
      <c r="G2228" s="15" t="str">
        <f>VLOOKUP(B2228,SPECIFICATIONF!$C$2:$D$65,2,0)</f>
        <v>GLOBAL RETAIL</v>
      </c>
      <c r="H2228" s="12">
        <f t="shared" si="134"/>
        <v>11</v>
      </c>
      <c r="I2228" s="12">
        <f t="shared" si="135"/>
        <v>2025</v>
      </c>
    </row>
    <row r="2229" spans="1:9" ht="19.5" customHeight="1" x14ac:dyDescent="0.35">
      <c r="A2229" s="41">
        <v>45979</v>
      </c>
      <c r="B2229" s="8" t="s">
        <v>24</v>
      </c>
      <c r="C2229" s="42" t="s">
        <v>11</v>
      </c>
      <c r="D2229" s="43" t="s">
        <v>29</v>
      </c>
      <c r="E2229" s="46">
        <v>1125026</v>
      </c>
      <c r="F2229" s="2">
        <f>IF(C2229="GBP",E2229*$C$3,IF(C2229="TRY",E2229/$C$1,IF(C2229="EUR",E2229*$E$1,IF(C2229="RUB",E2229/#REF!,IF(C2229="EGP",E2229/$E$2,E2229)))))</f>
        <v>30850.606988803542</v>
      </c>
      <c r="G2229" s="15" t="str">
        <f>VLOOKUP(B2229,SPECIFICATIONF!$C$2:$D$65,2,0)</f>
        <v>GLOBAL RETAIL</v>
      </c>
      <c r="H2229" s="12">
        <f t="shared" si="134"/>
        <v>11</v>
      </c>
      <c r="I2229" s="12">
        <f t="shared" si="135"/>
        <v>2025</v>
      </c>
    </row>
    <row r="2230" spans="1:9" ht="19.5" customHeight="1" x14ac:dyDescent="0.35">
      <c r="A2230" s="41">
        <v>45979</v>
      </c>
      <c r="B2230" s="8" t="s">
        <v>24</v>
      </c>
      <c r="C2230" s="42" t="s">
        <v>33</v>
      </c>
      <c r="D2230" s="43" t="s">
        <v>29</v>
      </c>
      <c r="E2230" s="46">
        <v>112</v>
      </c>
      <c r="F2230" s="2">
        <f>IF(C2230="GBP",E2230*$C$3,IF(C2230="TRY",E2230/$C$1,IF(C2230="EUR",E2230*$E$1,IF(C2230="RUB",E2230/#REF!,IF(C2230="EGP",E2230/$E$2,E2230)))))</f>
        <v>112</v>
      </c>
      <c r="G2230" s="15" t="str">
        <f>VLOOKUP(B2230,SPECIFICATIONF!$C$2:$D$65,2,0)</f>
        <v>GLOBAL RETAIL</v>
      </c>
      <c r="H2230" s="12">
        <f t="shared" si="134"/>
        <v>11</v>
      </c>
      <c r="I2230" s="12">
        <f t="shared" si="135"/>
        <v>2025</v>
      </c>
    </row>
    <row r="2231" spans="1:9" ht="19.5" customHeight="1" x14ac:dyDescent="0.35">
      <c r="A2231" s="41">
        <v>45980</v>
      </c>
      <c r="B2231" s="8" t="s">
        <v>32</v>
      </c>
      <c r="C2231" s="42" t="s">
        <v>11</v>
      </c>
      <c r="D2231" s="43" t="s">
        <v>30</v>
      </c>
      <c r="E2231" s="51">
        <v>1744308.53</v>
      </c>
      <c r="F2231" s="2">
        <f>IF(C2231="GBP",E2231*$C$3,IF(C2231="TRY",E2231/$C$1,IF(C2231="EUR",E2231*$E$1,IF(C2231="RUB",E2231/#REF!,IF(C2231="EGP",E2231/$E$2,E2231)))))</f>
        <v>47832.65180204514</v>
      </c>
      <c r="G2231" s="15" t="str">
        <f>VLOOKUP(B2231,SPECIFICATIONF!$C$2:$D$65,2,0)</f>
        <v>GLOBAL HFT</v>
      </c>
      <c r="H2231" s="12">
        <f t="shared" ref="H2231:H2238" si="136">MONTH(A2231)</f>
        <v>11</v>
      </c>
      <c r="I2231" s="12">
        <f t="shared" ref="I2231:I2238" si="137">YEAR(A2231)</f>
        <v>2025</v>
      </c>
    </row>
    <row r="2232" spans="1:9" ht="19.5" customHeight="1" x14ac:dyDescent="0.35">
      <c r="A2232" s="41">
        <v>45980</v>
      </c>
      <c r="B2232" s="8" t="s">
        <v>32</v>
      </c>
      <c r="C2232" s="42" t="s">
        <v>33</v>
      </c>
      <c r="D2232" s="43" t="s">
        <v>30</v>
      </c>
      <c r="E2232" s="51">
        <v>9290.7900000000009</v>
      </c>
      <c r="F2232" s="2">
        <f>IF(C2232="GBP",E2232*$C$3,IF(C2232="TRY",E2232/$C$1,IF(C2232="EUR",E2232*$E$1,IF(C2232="RUB",E2232/#REF!,IF(C2232="EGP",E2232/$E$2,E2232)))))</f>
        <v>9290.7900000000009</v>
      </c>
      <c r="G2232" s="15" t="str">
        <f>VLOOKUP(B2232,SPECIFICATIONF!$C$2:$D$65,2,0)</f>
        <v>GLOBAL HFT</v>
      </c>
      <c r="H2232" s="12">
        <f t="shared" si="136"/>
        <v>11</v>
      </c>
      <c r="I2232" s="12">
        <f t="shared" si="137"/>
        <v>2025</v>
      </c>
    </row>
    <row r="2233" spans="1:9" ht="19.5" customHeight="1" x14ac:dyDescent="0.35">
      <c r="A2233" s="41">
        <v>45980</v>
      </c>
      <c r="B2233" s="8" t="s">
        <v>32</v>
      </c>
      <c r="C2233" s="42" t="s">
        <v>11</v>
      </c>
      <c r="D2233" s="43" t="s">
        <v>29</v>
      </c>
      <c r="E2233" s="46">
        <v>6370570617</v>
      </c>
      <c r="F2233" s="2">
        <f>IF(C2233="GBP",E2233*$C$3,IF(C2233="TRY",E2233/$C$1,IF(C2233="EUR",E2233*$E$1,IF(C2233="RUB",E2233/#REF!,IF(C2233="EGP",E2233/$E$2,E2233)))))</f>
        <v>174694602.96871957</v>
      </c>
      <c r="G2233" s="15" t="str">
        <f>VLOOKUP(B2233,SPECIFICATIONF!$C$2:$D$65,2,0)</f>
        <v>GLOBAL HFT</v>
      </c>
      <c r="H2233" s="12">
        <f t="shared" si="136"/>
        <v>11</v>
      </c>
      <c r="I2233" s="12">
        <f t="shared" si="137"/>
        <v>2025</v>
      </c>
    </row>
    <row r="2234" spans="1:9" ht="19.5" customHeight="1" x14ac:dyDescent="0.35">
      <c r="A2234" s="41">
        <v>45980</v>
      </c>
      <c r="B2234" s="8" t="s">
        <v>32</v>
      </c>
      <c r="C2234" s="42" t="s">
        <v>33</v>
      </c>
      <c r="D2234" s="43" t="s">
        <v>29</v>
      </c>
      <c r="E2234" s="46">
        <v>31340377</v>
      </c>
      <c r="F2234" s="2">
        <f>IF(C2234="GBP",E2234*$C$3,IF(C2234="TRY",E2234/$C$1,IF(C2234="EUR",E2234*$E$1,IF(C2234="RUB",E2234/#REF!,IF(C2234="EGP",E2234/$E$2,E2234)))))</f>
        <v>31340377</v>
      </c>
      <c r="G2234" s="15" t="str">
        <f>VLOOKUP(B2234,SPECIFICATIONF!$C$2:$D$65,2,0)</f>
        <v>GLOBAL HFT</v>
      </c>
      <c r="H2234" s="12">
        <f t="shared" si="136"/>
        <v>11</v>
      </c>
      <c r="I2234" s="12">
        <f t="shared" si="137"/>
        <v>2025</v>
      </c>
    </row>
    <row r="2235" spans="1:9" ht="19.5" customHeight="1" x14ac:dyDescent="0.35">
      <c r="A2235" s="41">
        <v>45980</v>
      </c>
      <c r="B2235" s="8" t="s">
        <v>24</v>
      </c>
      <c r="C2235" s="42" t="s">
        <v>11</v>
      </c>
      <c r="D2235" s="43" t="s">
        <v>30</v>
      </c>
      <c r="E2235" s="46">
        <v>0</v>
      </c>
      <c r="F2235" s="2">
        <f>IF(C2235="GBP",E2235*$C$3,IF(C2235="TRY",E2235/$C$1,IF(C2235="EUR",E2235*$E$1,IF(C2235="RUB",E2235/#REF!,IF(C2235="EGP",E2235/$E$2,E2235)))))</f>
        <v>0</v>
      </c>
      <c r="G2235" s="15" t="str">
        <f>VLOOKUP(B2235,SPECIFICATIONF!$C$2:$D$65,2,0)</f>
        <v>GLOBAL RETAIL</v>
      </c>
      <c r="H2235" s="12">
        <f t="shared" si="136"/>
        <v>11</v>
      </c>
      <c r="I2235" s="12">
        <f t="shared" si="137"/>
        <v>2025</v>
      </c>
    </row>
    <row r="2236" spans="1:9" ht="19.5" customHeight="1" x14ac:dyDescent="0.35">
      <c r="A2236" s="41">
        <v>45980</v>
      </c>
      <c r="B2236" s="8" t="s">
        <v>24</v>
      </c>
      <c r="C2236" s="42" t="s">
        <v>33</v>
      </c>
      <c r="D2236" s="43" t="s">
        <v>30</v>
      </c>
      <c r="E2236" s="46">
        <v>0</v>
      </c>
      <c r="F2236" s="2">
        <f>IF(C2236="GBP",E2236*$C$3,IF(C2236="TRY",E2236/$C$1,IF(C2236="EUR",E2236*$E$1,IF(C2236="RUB",E2236/#REF!,IF(C2236="EGP",E2236/$E$2,E2236)))))</f>
        <v>0</v>
      </c>
      <c r="G2236" s="15" t="str">
        <f>VLOOKUP(B2236,SPECIFICATIONF!$C$2:$D$65,2,0)</f>
        <v>GLOBAL RETAIL</v>
      </c>
      <c r="H2236" s="12">
        <f t="shared" si="136"/>
        <v>11</v>
      </c>
      <c r="I2236" s="12">
        <f t="shared" si="137"/>
        <v>2025</v>
      </c>
    </row>
    <row r="2237" spans="1:9" ht="19.5" customHeight="1" x14ac:dyDescent="0.35">
      <c r="A2237" s="41">
        <v>45980</v>
      </c>
      <c r="B2237" s="8" t="s">
        <v>24</v>
      </c>
      <c r="C2237" s="42" t="s">
        <v>11</v>
      </c>
      <c r="D2237" s="43" t="s">
        <v>29</v>
      </c>
      <c r="E2237" s="46">
        <v>0</v>
      </c>
      <c r="F2237" s="2">
        <f>IF(C2237="GBP",E2237*$C$3,IF(C2237="TRY",E2237/$C$1,IF(C2237="EUR",E2237*$E$1,IF(C2237="RUB",E2237/#REF!,IF(C2237="EGP",E2237/$E$2,E2237)))))</f>
        <v>0</v>
      </c>
      <c r="G2237" s="15" t="str">
        <f>VLOOKUP(B2237,SPECIFICATIONF!$C$2:$D$65,2,0)</f>
        <v>GLOBAL RETAIL</v>
      </c>
      <c r="H2237" s="12">
        <f t="shared" si="136"/>
        <v>11</v>
      </c>
      <c r="I2237" s="12">
        <f t="shared" si="137"/>
        <v>2025</v>
      </c>
    </row>
    <row r="2238" spans="1:9" ht="19.5" customHeight="1" x14ac:dyDescent="0.35">
      <c r="A2238" s="41">
        <v>45980</v>
      </c>
      <c r="B2238" s="8" t="s">
        <v>24</v>
      </c>
      <c r="C2238" s="42" t="s">
        <v>33</v>
      </c>
      <c r="D2238" s="43" t="s">
        <v>29</v>
      </c>
      <c r="E2238" s="46">
        <v>0</v>
      </c>
      <c r="F2238" s="2">
        <f>IF(C2238="GBP",E2238*$C$3,IF(C2238="TRY",E2238/$C$1,IF(C2238="EUR",E2238*$E$1,IF(C2238="RUB",E2238/#REF!,IF(C2238="EGP",E2238/$E$2,E2238)))))</f>
        <v>0</v>
      </c>
      <c r="G2238" s="15" t="str">
        <f>VLOOKUP(B2238,SPECIFICATIONF!$C$2:$D$65,2,0)</f>
        <v>GLOBAL RETAIL</v>
      </c>
      <c r="H2238" s="12">
        <f t="shared" si="136"/>
        <v>11</v>
      </c>
      <c r="I2238" s="12">
        <f t="shared" si="137"/>
        <v>2025</v>
      </c>
    </row>
    <row r="2239" spans="1:9" ht="19.5" customHeight="1" x14ac:dyDescent="0.35">
      <c r="A2239" s="41">
        <v>45981</v>
      </c>
      <c r="B2239" s="8" t="s">
        <v>32</v>
      </c>
      <c r="C2239" s="42" t="s">
        <v>11</v>
      </c>
      <c r="D2239" s="43" t="s">
        <v>30</v>
      </c>
      <c r="E2239" s="51">
        <v>2550957.6</v>
      </c>
      <c r="F2239" s="2">
        <f>IF(C2239="GBP",E2239*$C$3,IF(C2239="TRY",E2239/$C$1,IF(C2239="EUR",E2239*$E$1,IF(C2239="RUB",E2239/#REF!,IF(C2239="EGP",E2239/$E$2,E2239)))))</f>
        <v>69952.685860328129</v>
      </c>
      <c r="G2239" s="15" t="str">
        <f>VLOOKUP(B2239,SPECIFICATIONF!$C$2:$D$65,2,0)</f>
        <v>GLOBAL HFT</v>
      </c>
      <c r="H2239" s="12">
        <f t="shared" ref="H2239:H2246" si="138">MONTH(A2239)</f>
        <v>11</v>
      </c>
      <c r="I2239" s="12">
        <f t="shared" ref="I2239:I2246" si="139">YEAR(A2239)</f>
        <v>2025</v>
      </c>
    </row>
    <row r="2240" spans="1:9" ht="19.5" customHeight="1" x14ac:dyDescent="0.35">
      <c r="A2240" s="41">
        <v>45981</v>
      </c>
      <c r="B2240" s="8" t="s">
        <v>32</v>
      </c>
      <c r="C2240" s="42" t="s">
        <v>33</v>
      </c>
      <c r="D2240" s="43" t="s">
        <v>30</v>
      </c>
      <c r="E2240" s="51">
        <v>14273.06</v>
      </c>
      <c r="F2240" s="2">
        <f>IF(C2240="GBP",E2240*$C$3,IF(C2240="TRY",E2240/$C$1,IF(C2240="EUR",E2240*$E$1,IF(C2240="RUB",E2240/#REF!,IF(C2240="EGP",E2240/$E$2,E2240)))))</f>
        <v>14273.06</v>
      </c>
      <c r="G2240" s="15" t="str">
        <f>VLOOKUP(B2240,SPECIFICATIONF!$C$2:$D$65,2,0)</f>
        <v>GLOBAL HFT</v>
      </c>
      <c r="H2240" s="12">
        <f t="shared" si="138"/>
        <v>11</v>
      </c>
      <c r="I2240" s="12">
        <f t="shared" si="139"/>
        <v>2025</v>
      </c>
    </row>
    <row r="2241" spans="1:9" ht="19.5" customHeight="1" x14ac:dyDescent="0.35">
      <c r="A2241" s="41">
        <v>45981</v>
      </c>
      <c r="B2241" s="8" t="s">
        <v>32</v>
      </c>
      <c r="C2241" s="42" t="s">
        <v>11</v>
      </c>
      <c r="D2241" s="43" t="s">
        <v>29</v>
      </c>
      <c r="E2241" s="46">
        <v>9073678434</v>
      </c>
      <c r="F2241" s="2">
        <f>IF(C2241="GBP",E2241*$C$3,IF(C2241="TRY",E2241/$C$1,IF(C2241="EUR",E2241*$E$1,IF(C2241="RUB",E2241/#REF!,IF(C2241="EGP",E2241/$E$2,E2241)))))</f>
        <v>248819571.55667192</v>
      </c>
      <c r="G2241" s="15" t="str">
        <f>VLOOKUP(B2241,SPECIFICATIONF!$C$2:$D$65,2,0)</f>
        <v>GLOBAL HFT</v>
      </c>
      <c r="H2241" s="12">
        <f t="shared" si="138"/>
        <v>11</v>
      </c>
      <c r="I2241" s="12">
        <f t="shared" si="139"/>
        <v>2025</v>
      </c>
    </row>
    <row r="2242" spans="1:9" ht="19.5" customHeight="1" x14ac:dyDescent="0.35">
      <c r="A2242" s="41">
        <v>45981</v>
      </c>
      <c r="B2242" s="8" t="s">
        <v>32</v>
      </c>
      <c r="C2242" s="42" t="s">
        <v>33</v>
      </c>
      <c r="D2242" s="43" t="s">
        <v>29</v>
      </c>
      <c r="E2242" s="46">
        <v>48033255</v>
      </c>
      <c r="F2242" s="2">
        <f>IF(C2242="GBP",E2242*$C$3,IF(C2242="TRY",E2242/$C$1,IF(C2242="EUR",E2242*$E$1,IF(C2242="RUB",E2242/#REF!,IF(C2242="EGP",E2242/$E$2,E2242)))))</f>
        <v>48033255</v>
      </c>
      <c r="G2242" s="15" t="str">
        <f>VLOOKUP(B2242,SPECIFICATIONF!$C$2:$D$65,2,0)</f>
        <v>GLOBAL HFT</v>
      </c>
      <c r="H2242" s="12">
        <f t="shared" si="138"/>
        <v>11</v>
      </c>
      <c r="I2242" s="12">
        <f t="shared" si="139"/>
        <v>2025</v>
      </c>
    </row>
    <row r="2243" spans="1:9" ht="19.5" customHeight="1" x14ac:dyDescent="0.35">
      <c r="A2243" s="41">
        <v>45981</v>
      </c>
      <c r="B2243" s="8" t="s">
        <v>24</v>
      </c>
      <c r="C2243" s="42" t="s">
        <v>11</v>
      </c>
      <c r="D2243" s="43" t="s">
        <v>30</v>
      </c>
      <c r="E2243" s="46">
        <v>0</v>
      </c>
      <c r="F2243" s="2">
        <f>IF(C2243="GBP",E2243*$C$3,IF(C2243="TRY",E2243/$C$1,IF(C2243="EUR",E2243*$E$1,IF(C2243="RUB",E2243/#REF!,IF(C2243="EGP",E2243/$E$2,E2243)))))</f>
        <v>0</v>
      </c>
      <c r="G2243" s="15" t="str">
        <f>VLOOKUP(B2243,SPECIFICATIONF!$C$2:$D$65,2,0)</f>
        <v>GLOBAL RETAIL</v>
      </c>
      <c r="H2243" s="12">
        <f t="shared" si="138"/>
        <v>11</v>
      </c>
      <c r="I2243" s="12">
        <f t="shared" si="139"/>
        <v>2025</v>
      </c>
    </row>
    <row r="2244" spans="1:9" ht="19.5" customHeight="1" x14ac:dyDescent="0.35">
      <c r="A2244" s="41">
        <v>45981</v>
      </c>
      <c r="B2244" s="8" t="s">
        <v>24</v>
      </c>
      <c r="C2244" s="42" t="s">
        <v>33</v>
      </c>
      <c r="D2244" s="43" t="s">
        <v>30</v>
      </c>
      <c r="E2244" s="46">
        <v>0</v>
      </c>
      <c r="F2244" s="2">
        <f>IF(C2244="GBP",E2244*$C$3,IF(C2244="TRY",E2244/$C$1,IF(C2244="EUR",E2244*$E$1,IF(C2244="RUB",E2244/#REF!,IF(C2244="EGP",E2244/$E$2,E2244)))))</f>
        <v>0</v>
      </c>
      <c r="G2244" s="15" t="str">
        <f>VLOOKUP(B2244,SPECIFICATIONF!$C$2:$D$65,2,0)</f>
        <v>GLOBAL RETAIL</v>
      </c>
      <c r="H2244" s="12">
        <f t="shared" si="138"/>
        <v>11</v>
      </c>
      <c r="I2244" s="12">
        <f t="shared" si="139"/>
        <v>2025</v>
      </c>
    </row>
    <row r="2245" spans="1:9" ht="19.5" customHeight="1" x14ac:dyDescent="0.35">
      <c r="A2245" s="41">
        <v>45981</v>
      </c>
      <c r="B2245" s="8" t="s">
        <v>24</v>
      </c>
      <c r="C2245" s="42" t="s">
        <v>11</v>
      </c>
      <c r="D2245" s="43" t="s">
        <v>29</v>
      </c>
      <c r="E2245" s="46">
        <v>255258</v>
      </c>
      <c r="F2245" s="2">
        <f>IF(C2245="GBP",E2245*$C$3,IF(C2245="TRY",E2245/$C$1,IF(C2245="EUR",E2245*$E$1,IF(C2245="RUB",E2245/#REF!,IF(C2245="EGP",E2245/$E$2,E2245)))))</f>
        <v>6999.7175520814762</v>
      </c>
      <c r="G2245" s="15" t="str">
        <f>VLOOKUP(B2245,SPECIFICATIONF!$C$2:$D$65,2,0)</f>
        <v>GLOBAL RETAIL</v>
      </c>
      <c r="H2245" s="12">
        <f t="shared" si="138"/>
        <v>11</v>
      </c>
      <c r="I2245" s="12">
        <f t="shared" si="139"/>
        <v>2025</v>
      </c>
    </row>
    <row r="2246" spans="1:9" ht="19.5" customHeight="1" x14ac:dyDescent="0.35">
      <c r="A2246" s="41">
        <v>45981</v>
      </c>
      <c r="B2246" s="8" t="s">
        <v>24</v>
      </c>
      <c r="C2246" s="42" t="s">
        <v>33</v>
      </c>
      <c r="D2246" s="43" t="s">
        <v>29</v>
      </c>
      <c r="E2246" s="46">
        <v>0</v>
      </c>
      <c r="F2246" s="2">
        <f>IF(C2246="GBP",E2246*$C$3,IF(C2246="TRY",E2246/$C$1,IF(C2246="EUR",E2246*$E$1,IF(C2246="RUB",E2246/#REF!,IF(C2246="EGP",E2246/$E$2,E2246)))))</f>
        <v>0</v>
      </c>
      <c r="G2246" s="15" t="str">
        <f>VLOOKUP(B2246,SPECIFICATIONF!$C$2:$D$65,2,0)</f>
        <v>GLOBAL RETAIL</v>
      </c>
      <c r="H2246" s="12">
        <f t="shared" si="138"/>
        <v>11</v>
      </c>
      <c r="I2246" s="12">
        <f t="shared" si="139"/>
        <v>2025</v>
      </c>
    </row>
    <row r="2247" spans="1:9" ht="19.5" customHeight="1" x14ac:dyDescent="0.35">
      <c r="A2247" s="41">
        <v>45982</v>
      </c>
      <c r="B2247" s="8" t="s">
        <v>32</v>
      </c>
      <c r="C2247" s="42" t="s">
        <v>11</v>
      </c>
      <c r="D2247" s="43" t="s">
        <v>30</v>
      </c>
      <c r="E2247" s="46">
        <v>2718921.06</v>
      </c>
      <c r="F2247" s="2">
        <f>IF(C2247="GBP",E2247*$C$3,IF(C2247="TRY",E2247/$C$1,IF(C2247="EUR",E2247*$E$1,IF(C2247="RUB",E2247/#REF!,IF(C2247="EGP",E2247/$E$2,E2247)))))</f>
        <v>74558.601361782872</v>
      </c>
      <c r="G2247" s="15" t="str">
        <f>VLOOKUP(B2247,SPECIFICATIONF!$C$2:$D$65,2,0)</f>
        <v>GLOBAL HFT</v>
      </c>
      <c r="H2247" s="12">
        <f t="shared" ref="H2247:H2254" si="140">MONTH(A2247)</f>
        <v>11</v>
      </c>
      <c r="I2247" s="12">
        <f t="shared" ref="I2247:I2254" si="141">YEAR(A2247)</f>
        <v>2025</v>
      </c>
    </row>
    <row r="2248" spans="1:9" ht="19.5" customHeight="1" x14ac:dyDescent="0.35">
      <c r="A2248" s="41">
        <v>45982</v>
      </c>
      <c r="B2248" s="8" t="s">
        <v>32</v>
      </c>
      <c r="C2248" s="42" t="s">
        <v>33</v>
      </c>
      <c r="D2248" s="43" t="s">
        <v>30</v>
      </c>
      <c r="E2248" s="46">
        <v>14693.5</v>
      </c>
      <c r="F2248" s="2">
        <f>IF(C2248="GBP",E2248*$C$3,IF(C2248="TRY",E2248/$C$1,IF(C2248="EUR",E2248*$E$1,IF(C2248="RUB",E2248/#REF!,IF(C2248="EGP",E2248/$E$2,E2248)))))</f>
        <v>14693.5</v>
      </c>
      <c r="G2248" s="15" t="str">
        <f>VLOOKUP(B2248,SPECIFICATIONF!$C$2:$D$65,2,0)</f>
        <v>GLOBAL HFT</v>
      </c>
      <c r="H2248" s="12">
        <f t="shared" si="140"/>
        <v>11</v>
      </c>
      <c r="I2248" s="12">
        <f t="shared" si="141"/>
        <v>2025</v>
      </c>
    </row>
    <row r="2249" spans="1:9" ht="19.5" customHeight="1" x14ac:dyDescent="0.35">
      <c r="A2249" s="41">
        <v>45982</v>
      </c>
      <c r="B2249" s="8" t="s">
        <v>32</v>
      </c>
      <c r="C2249" s="42" t="s">
        <v>11</v>
      </c>
      <c r="D2249" s="43" t="s">
        <v>29</v>
      </c>
      <c r="E2249" s="46">
        <v>9972415319</v>
      </c>
      <c r="F2249" s="2">
        <f>IF(C2249="GBP",E2249*$C$3,IF(C2249="TRY",E2249/$C$1,IF(C2249="EUR",E2249*$E$1,IF(C2249="RUB",E2249/#REF!,IF(C2249="EGP",E2249/$E$2,E2249)))))</f>
        <v>273464849.46622825</v>
      </c>
      <c r="G2249" s="15" t="str">
        <f>VLOOKUP(B2249,SPECIFICATIONF!$C$2:$D$65,2,0)</f>
        <v>GLOBAL HFT</v>
      </c>
      <c r="H2249" s="12">
        <f t="shared" si="140"/>
        <v>11</v>
      </c>
      <c r="I2249" s="12">
        <f t="shared" si="141"/>
        <v>2025</v>
      </c>
    </row>
    <row r="2250" spans="1:9" ht="19.5" customHeight="1" x14ac:dyDescent="0.35">
      <c r="A2250" s="41">
        <v>45982</v>
      </c>
      <c r="B2250" s="8" t="s">
        <v>32</v>
      </c>
      <c r="C2250" s="42" t="s">
        <v>33</v>
      </c>
      <c r="D2250" s="43" t="s">
        <v>29</v>
      </c>
      <c r="E2250" s="46">
        <v>50874973</v>
      </c>
      <c r="F2250" s="2">
        <f>IF(C2250="GBP",E2250*$C$3,IF(C2250="TRY",E2250/$C$1,IF(C2250="EUR",E2250*$E$1,IF(C2250="RUB",E2250/#REF!,IF(C2250="EGP",E2250/$E$2,E2250)))))</f>
        <v>50874973</v>
      </c>
      <c r="G2250" s="15" t="str">
        <f>VLOOKUP(B2250,SPECIFICATIONF!$C$2:$D$65,2,0)</f>
        <v>GLOBAL HFT</v>
      </c>
      <c r="H2250" s="12">
        <f t="shared" si="140"/>
        <v>11</v>
      </c>
      <c r="I2250" s="12">
        <f t="shared" si="141"/>
        <v>2025</v>
      </c>
    </row>
    <row r="2251" spans="1:9" ht="19.5" customHeight="1" x14ac:dyDescent="0.35">
      <c r="A2251" s="41">
        <v>45982</v>
      </c>
      <c r="B2251" s="8" t="s">
        <v>24</v>
      </c>
      <c r="C2251" s="42" t="s">
        <v>11</v>
      </c>
      <c r="D2251" s="43" t="s">
        <v>30</v>
      </c>
      <c r="E2251" s="46">
        <v>0</v>
      </c>
      <c r="F2251" s="2">
        <f>IF(C2251="GBP",E2251*$C$3,IF(C2251="TRY",E2251/$C$1,IF(C2251="EUR",E2251*$E$1,IF(C2251="RUB",E2251/#REF!,IF(C2251="EGP",E2251/$E$2,E2251)))))</f>
        <v>0</v>
      </c>
      <c r="G2251" s="15" t="str">
        <f>VLOOKUP(B2251,SPECIFICATIONF!$C$2:$D$65,2,0)</f>
        <v>GLOBAL RETAIL</v>
      </c>
      <c r="H2251" s="12">
        <f t="shared" si="140"/>
        <v>11</v>
      </c>
      <c r="I2251" s="12">
        <f t="shared" si="141"/>
        <v>2025</v>
      </c>
    </row>
    <row r="2252" spans="1:9" ht="19.5" customHeight="1" x14ac:dyDescent="0.35">
      <c r="A2252" s="41">
        <v>45982</v>
      </c>
      <c r="B2252" s="8" t="s">
        <v>24</v>
      </c>
      <c r="C2252" s="42" t="s">
        <v>33</v>
      </c>
      <c r="D2252" s="43" t="s">
        <v>30</v>
      </c>
      <c r="E2252" s="46">
        <v>0</v>
      </c>
      <c r="F2252" s="2">
        <f>IF(C2252="GBP",E2252*$C$3,IF(C2252="TRY",E2252/$C$1,IF(C2252="EUR",E2252*$E$1,IF(C2252="RUB",E2252/#REF!,IF(C2252="EGP",E2252/$E$2,E2252)))))</f>
        <v>0</v>
      </c>
      <c r="G2252" s="15" t="str">
        <f>VLOOKUP(B2252,SPECIFICATIONF!$C$2:$D$65,2,0)</f>
        <v>GLOBAL RETAIL</v>
      </c>
      <c r="H2252" s="12">
        <f t="shared" si="140"/>
        <v>11</v>
      </c>
      <c r="I2252" s="12">
        <f t="shared" si="141"/>
        <v>2025</v>
      </c>
    </row>
    <row r="2253" spans="1:9" ht="19.5" customHeight="1" x14ac:dyDescent="0.35">
      <c r="A2253" s="41">
        <v>45982</v>
      </c>
      <c r="B2253" s="8" t="s">
        <v>24</v>
      </c>
      <c r="C2253" s="42" t="s">
        <v>11</v>
      </c>
      <c r="D2253" s="43" t="s">
        <v>29</v>
      </c>
      <c r="E2253" s="46">
        <v>22511161</v>
      </c>
      <c r="F2253" s="2">
        <f>IF(C2253="GBP",E2253*$C$3,IF(C2253="TRY",E2253/$C$1,IF(C2253="EUR",E2253*$E$1,IF(C2253="RUB",E2253/#REF!,IF(C2253="EGP",E2253/$E$2,E2253)))))</f>
        <v>617303.93864024628</v>
      </c>
      <c r="G2253" s="15" t="str">
        <f>VLOOKUP(B2253,SPECIFICATIONF!$C$2:$D$65,2,0)</f>
        <v>GLOBAL RETAIL</v>
      </c>
      <c r="H2253" s="12">
        <f t="shared" si="140"/>
        <v>11</v>
      </c>
      <c r="I2253" s="12">
        <f t="shared" si="141"/>
        <v>2025</v>
      </c>
    </row>
    <row r="2254" spans="1:9" ht="19.5" customHeight="1" x14ac:dyDescent="0.35">
      <c r="A2254" s="41">
        <v>45982</v>
      </c>
      <c r="B2254" s="8" t="s">
        <v>24</v>
      </c>
      <c r="C2254" s="42" t="s">
        <v>33</v>
      </c>
      <c r="D2254" s="43" t="s">
        <v>29</v>
      </c>
      <c r="E2254" s="46">
        <v>29</v>
      </c>
      <c r="F2254" s="2">
        <f>IF(C2254="GBP",E2254*$C$3,IF(C2254="TRY",E2254/$C$1,IF(C2254="EUR",E2254*$E$1,IF(C2254="RUB",E2254/#REF!,IF(C2254="EGP",E2254/$E$2,E2254)))))</f>
        <v>29</v>
      </c>
      <c r="G2254" s="15" t="str">
        <f>VLOOKUP(B2254,SPECIFICATIONF!$C$2:$D$65,2,0)</f>
        <v>GLOBAL RETAIL</v>
      </c>
      <c r="H2254" s="12">
        <f t="shared" si="140"/>
        <v>11</v>
      </c>
      <c r="I2254" s="12">
        <f t="shared" si="141"/>
        <v>2025</v>
      </c>
    </row>
    <row r="2255" spans="1:9" ht="19.5" customHeight="1" x14ac:dyDescent="0.35">
      <c r="A2255" s="52">
        <v>45983</v>
      </c>
      <c r="B2255" s="8" t="s">
        <v>32</v>
      </c>
      <c r="C2255" s="42" t="s">
        <v>11</v>
      </c>
      <c r="D2255" s="43" t="s">
        <v>30</v>
      </c>
      <c r="E2255" s="46">
        <v>2015960.22</v>
      </c>
      <c r="F2255" s="2">
        <f>IF(C2255="GBP",E2255*$C$3,IF(C2255="TRY",E2255/$C$1,IF(C2255="EUR",E2255*$E$1,IF(C2255="RUB",E2255/#REF!,IF(C2255="EGP",E2255/$E$2,E2255)))))</f>
        <v>55281.919219895295</v>
      </c>
      <c r="G2255" s="15" t="str">
        <f>VLOOKUP(B2255,SPECIFICATIONF!$C$2:$D$65,2,0)</f>
        <v>GLOBAL HFT</v>
      </c>
      <c r="H2255" s="12">
        <f t="shared" ref="H2255:H2270" si="142">MONTH(A2255)</f>
        <v>11</v>
      </c>
      <c r="I2255" s="12">
        <f t="shared" ref="I2255:I2270" si="143">YEAR(A2255)</f>
        <v>2025</v>
      </c>
    </row>
    <row r="2256" spans="1:9" ht="19.5" customHeight="1" x14ac:dyDescent="0.35">
      <c r="A2256" s="41">
        <v>45983</v>
      </c>
      <c r="B2256" s="8" t="s">
        <v>32</v>
      </c>
      <c r="C2256" s="42" t="s">
        <v>33</v>
      </c>
      <c r="D2256" s="43" t="s">
        <v>30</v>
      </c>
      <c r="E2256" s="46">
        <v>7559.13</v>
      </c>
      <c r="F2256" s="2">
        <f>IF(C2256="GBP",E2256*$C$3,IF(C2256="TRY",E2256/$C$1,IF(C2256="EUR",E2256*$E$1,IF(C2256="RUB",E2256/#REF!,IF(C2256="EGP",E2256/$E$2,E2256)))))</f>
        <v>7559.13</v>
      </c>
      <c r="G2256" s="15" t="str">
        <f>VLOOKUP(B2256,SPECIFICATIONF!$C$2:$D$65,2,0)</f>
        <v>GLOBAL HFT</v>
      </c>
      <c r="H2256" s="12">
        <f t="shared" si="142"/>
        <v>11</v>
      </c>
      <c r="I2256" s="12">
        <f t="shared" si="143"/>
        <v>2025</v>
      </c>
    </row>
    <row r="2257" spans="1:9" ht="19.5" customHeight="1" x14ac:dyDescent="0.35">
      <c r="A2257" s="41">
        <v>45983</v>
      </c>
      <c r="B2257" s="8" t="s">
        <v>32</v>
      </c>
      <c r="C2257" s="42" t="s">
        <v>11</v>
      </c>
      <c r="D2257" s="43" t="s">
        <v>29</v>
      </c>
      <c r="E2257" s="46">
        <v>7518573945</v>
      </c>
      <c r="F2257" s="2">
        <f>IF(C2257="GBP",E2257*$C$3,IF(C2257="TRY",E2257/$C$1,IF(C2257="EUR",E2257*$E$1,IF(C2257="RUB",E2257/#REF!,IF(C2257="EGP",E2257/$E$2,E2257)))))</f>
        <v>206175297.1873123</v>
      </c>
      <c r="G2257" s="15" t="str">
        <f>VLOOKUP(B2257,SPECIFICATIONF!$C$2:$D$65,2,0)</f>
        <v>GLOBAL HFT</v>
      </c>
      <c r="H2257" s="12">
        <f t="shared" si="142"/>
        <v>11</v>
      </c>
      <c r="I2257" s="12">
        <f t="shared" si="143"/>
        <v>2025</v>
      </c>
    </row>
    <row r="2258" spans="1:9" ht="19.5" customHeight="1" x14ac:dyDescent="0.35">
      <c r="A2258" s="41">
        <v>45983</v>
      </c>
      <c r="B2258" s="8" t="s">
        <v>32</v>
      </c>
      <c r="C2258" s="42" t="s">
        <v>33</v>
      </c>
      <c r="D2258" s="43" t="s">
        <v>29</v>
      </c>
      <c r="E2258" s="46">
        <v>25874897</v>
      </c>
      <c r="F2258" s="2">
        <f>IF(C2258="GBP",E2258*$C$3,IF(C2258="TRY",E2258/$C$1,IF(C2258="EUR",E2258*$E$1,IF(C2258="RUB",E2258/#REF!,IF(C2258="EGP",E2258/$E$2,E2258)))))</f>
        <v>25874897</v>
      </c>
      <c r="G2258" s="15" t="str">
        <f>VLOOKUP(B2258,SPECIFICATIONF!$C$2:$D$65,2,0)</f>
        <v>GLOBAL HFT</v>
      </c>
      <c r="H2258" s="12">
        <f t="shared" si="142"/>
        <v>11</v>
      </c>
      <c r="I2258" s="12">
        <f t="shared" si="143"/>
        <v>2025</v>
      </c>
    </row>
    <row r="2259" spans="1:9" ht="19.5" customHeight="1" x14ac:dyDescent="0.35">
      <c r="A2259" s="41">
        <v>45983</v>
      </c>
      <c r="B2259" s="8" t="s">
        <v>24</v>
      </c>
      <c r="C2259" s="42" t="s">
        <v>11</v>
      </c>
      <c r="D2259" s="43" t="s">
        <v>30</v>
      </c>
      <c r="E2259" s="46">
        <v>0</v>
      </c>
      <c r="F2259" s="2">
        <f>IF(C2259="GBP",E2259*$C$3,IF(C2259="TRY",E2259/$C$1,IF(C2259="EUR",E2259*$E$1,IF(C2259="RUB",E2259/#REF!,IF(C2259="EGP",E2259/$E$2,E2259)))))</f>
        <v>0</v>
      </c>
      <c r="G2259" s="15" t="str">
        <f>VLOOKUP(B2259,SPECIFICATIONF!$C$2:$D$65,2,0)</f>
        <v>GLOBAL RETAIL</v>
      </c>
      <c r="H2259" s="12">
        <f t="shared" si="142"/>
        <v>11</v>
      </c>
      <c r="I2259" s="12">
        <f t="shared" si="143"/>
        <v>2025</v>
      </c>
    </row>
    <row r="2260" spans="1:9" ht="19.5" customHeight="1" x14ac:dyDescent="0.35">
      <c r="A2260" s="41">
        <v>45983</v>
      </c>
      <c r="B2260" s="8" t="s">
        <v>24</v>
      </c>
      <c r="C2260" s="42" t="s">
        <v>33</v>
      </c>
      <c r="D2260" s="43" t="s">
        <v>30</v>
      </c>
      <c r="E2260" s="46">
        <v>0</v>
      </c>
      <c r="F2260" s="2">
        <f>IF(C2260="GBP",E2260*$C$3,IF(C2260="TRY",E2260/$C$1,IF(C2260="EUR",E2260*$E$1,IF(C2260="RUB",E2260/#REF!,IF(C2260="EGP",E2260/$E$2,E2260)))))</f>
        <v>0</v>
      </c>
      <c r="G2260" s="15" t="str">
        <f>VLOOKUP(B2260,SPECIFICATIONF!$C$2:$D$65,2,0)</f>
        <v>GLOBAL RETAIL</v>
      </c>
      <c r="H2260" s="12">
        <f t="shared" si="142"/>
        <v>11</v>
      </c>
      <c r="I2260" s="12">
        <f t="shared" si="143"/>
        <v>2025</v>
      </c>
    </row>
    <row r="2261" spans="1:9" ht="19.5" customHeight="1" x14ac:dyDescent="0.35">
      <c r="A2261" s="41">
        <v>45983</v>
      </c>
      <c r="B2261" s="8" t="s">
        <v>24</v>
      </c>
      <c r="C2261" s="42" t="s">
        <v>11</v>
      </c>
      <c r="D2261" s="43" t="s">
        <v>29</v>
      </c>
      <c r="E2261" s="46">
        <v>3317347</v>
      </c>
      <c r="F2261" s="2">
        <f>IF(C2261="GBP",E2261*$C$3,IF(C2261="TRY",E2261/$C$1,IF(C2261="EUR",E2261*$E$1,IF(C2261="RUB",E2261/#REF!,IF(C2261="EGP",E2261/$E$2,E2261)))))</f>
        <v>90968.714094151132</v>
      </c>
      <c r="G2261" s="15" t="str">
        <f>VLOOKUP(B2261,SPECIFICATIONF!$C$2:$D$65,2,0)</f>
        <v>GLOBAL RETAIL</v>
      </c>
      <c r="H2261" s="12">
        <f t="shared" si="142"/>
        <v>11</v>
      </c>
      <c r="I2261" s="12">
        <f t="shared" si="143"/>
        <v>2025</v>
      </c>
    </row>
    <row r="2262" spans="1:9" ht="19.5" customHeight="1" x14ac:dyDescent="0.35">
      <c r="A2262" s="41">
        <v>45983</v>
      </c>
      <c r="B2262" s="8" t="s">
        <v>24</v>
      </c>
      <c r="C2262" s="42" t="s">
        <v>33</v>
      </c>
      <c r="D2262" s="43" t="s">
        <v>29</v>
      </c>
      <c r="E2262" s="46">
        <v>0</v>
      </c>
      <c r="F2262" s="2">
        <f>IF(C2262="GBP",E2262*$C$3,IF(C2262="TRY",E2262/$C$1,IF(C2262="EUR",E2262*$E$1,IF(C2262="RUB",E2262/#REF!,IF(C2262="EGP",E2262/$E$2,E2262)))))</f>
        <v>0</v>
      </c>
      <c r="G2262" s="15" t="str">
        <f>VLOOKUP(B2262,SPECIFICATIONF!$C$2:$D$65,2,0)</f>
        <v>GLOBAL RETAIL</v>
      </c>
      <c r="H2262" s="12">
        <f t="shared" si="142"/>
        <v>11</v>
      </c>
      <c r="I2262" s="12">
        <f t="shared" si="143"/>
        <v>2025</v>
      </c>
    </row>
    <row r="2263" spans="1:9" ht="19.5" customHeight="1" x14ac:dyDescent="0.35">
      <c r="A2263" s="41">
        <v>45984</v>
      </c>
      <c r="B2263" s="8" t="s">
        <v>32</v>
      </c>
      <c r="C2263" s="42" t="s">
        <v>11</v>
      </c>
      <c r="D2263" s="43" t="s">
        <v>30</v>
      </c>
      <c r="E2263" s="46">
        <v>1399720.33</v>
      </c>
      <c r="F2263" s="2">
        <f>IF(C2263="GBP",E2263*$C$3,IF(C2263="TRY",E2263/$C$1,IF(C2263="EUR",E2263*$E$1,IF(C2263="RUB",E2263/#REF!,IF(C2263="EGP",E2263/$E$2,E2263)))))</f>
        <v>38383.310070228072</v>
      </c>
      <c r="G2263" s="15" t="str">
        <f>VLOOKUP(B2263,SPECIFICATIONF!$C$2:$D$65,2,0)</f>
        <v>GLOBAL HFT</v>
      </c>
      <c r="H2263" s="12">
        <f t="shared" si="142"/>
        <v>11</v>
      </c>
      <c r="I2263" s="12">
        <f t="shared" si="143"/>
        <v>2025</v>
      </c>
    </row>
    <row r="2264" spans="1:9" ht="19.5" customHeight="1" x14ac:dyDescent="0.35">
      <c r="A2264" s="41">
        <v>45984</v>
      </c>
      <c r="B2264" s="8" t="s">
        <v>32</v>
      </c>
      <c r="C2264" s="42" t="s">
        <v>33</v>
      </c>
      <c r="D2264" s="43" t="s">
        <v>30</v>
      </c>
      <c r="E2264" s="46">
        <v>7166.8</v>
      </c>
      <c r="F2264" s="2">
        <f>IF(C2264="GBP",E2264*$C$3,IF(C2264="TRY",E2264/$C$1,IF(C2264="EUR",E2264*$E$1,IF(C2264="RUB",E2264/#REF!,IF(C2264="EGP",E2264/$E$2,E2264)))))</f>
        <v>7166.8</v>
      </c>
      <c r="G2264" s="15" t="str">
        <f>VLOOKUP(B2264,SPECIFICATIONF!$C$2:$D$65,2,0)</f>
        <v>GLOBAL HFT</v>
      </c>
      <c r="H2264" s="12">
        <f t="shared" si="142"/>
        <v>11</v>
      </c>
      <c r="I2264" s="12">
        <f t="shared" si="143"/>
        <v>2025</v>
      </c>
    </row>
    <row r="2265" spans="1:9" ht="19.5" customHeight="1" x14ac:dyDescent="0.35">
      <c r="A2265" s="41">
        <v>45984</v>
      </c>
      <c r="B2265" s="8" t="s">
        <v>32</v>
      </c>
      <c r="C2265" s="42" t="s">
        <v>11</v>
      </c>
      <c r="D2265" s="43" t="s">
        <v>29</v>
      </c>
      <c r="E2265" s="46">
        <v>5325917800</v>
      </c>
      <c r="F2265" s="2">
        <f>IF(C2265="GBP",E2265*$C$3,IF(C2265="TRY",E2265/$C$1,IF(C2265="EUR",E2265*$E$1,IF(C2265="RUB",E2265/#REF!,IF(C2265="EGP",E2265/$E$2,E2265)))))</f>
        <v>146047999.69287217</v>
      </c>
      <c r="G2265" s="15" t="str">
        <f>VLOOKUP(B2265,SPECIFICATIONF!$C$2:$D$65,2,0)</f>
        <v>GLOBAL HFT</v>
      </c>
      <c r="H2265" s="12">
        <f t="shared" si="142"/>
        <v>11</v>
      </c>
      <c r="I2265" s="12">
        <f t="shared" si="143"/>
        <v>2025</v>
      </c>
    </row>
    <row r="2266" spans="1:9" ht="19.5" customHeight="1" x14ac:dyDescent="0.35">
      <c r="A2266" s="41">
        <v>45984</v>
      </c>
      <c r="B2266" s="8" t="s">
        <v>32</v>
      </c>
      <c r="C2266" s="42" t="s">
        <v>33</v>
      </c>
      <c r="D2266" s="43" t="s">
        <v>29</v>
      </c>
      <c r="E2266" s="46">
        <v>24850908</v>
      </c>
      <c r="F2266" s="2">
        <f>IF(C2266="GBP",E2266*$C$3,IF(C2266="TRY",E2266/$C$1,IF(C2266="EUR",E2266*$E$1,IF(C2266="RUB",E2266/#REF!,IF(C2266="EGP",E2266/$E$2,E2266)))))</f>
        <v>24850908</v>
      </c>
      <c r="G2266" s="15" t="str">
        <f>VLOOKUP(B2266,SPECIFICATIONF!$C$2:$D$65,2,0)</f>
        <v>GLOBAL HFT</v>
      </c>
      <c r="H2266" s="12">
        <f t="shared" si="142"/>
        <v>11</v>
      </c>
      <c r="I2266" s="12">
        <f t="shared" si="143"/>
        <v>2025</v>
      </c>
    </row>
    <row r="2267" spans="1:9" ht="19.5" customHeight="1" x14ac:dyDescent="0.35">
      <c r="A2267" s="41">
        <v>45984</v>
      </c>
      <c r="B2267" s="8" t="s">
        <v>24</v>
      </c>
      <c r="C2267" s="42" t="s">
        <v>11</v>
      </c>
      <c r="D2267" s="43" t="s">
        <v>30</v>
      </c>
      <c r="E2267" s="46">
        <v>0</v>
      </c>
      <c r="F2267" s="2">
        <f>IF(C2267="GBP",E2267*$C$3,IF(C2267="TRY",E2267/$C$1,IF(C2267="EUR",E2267*$E$1,IF(C2267="RUB",E2267/#REF!,IF(C2267="EGP",E2267/$E$2,E2267)))))</f>
        <v>0</v>
      </c>
      <c r="G2267" s="15" t="str">
        <f>VLOOKUP(B2267,SPECIFICATIONF!$C$2:$D$65,2,0)</f>
        <v>GLOBAL RETAIL</v>
      </c>
      <c r="H2267" s="12">
        <f t="shared" si="142"/>
        <v>11</v>
      </c>
      <c r="I2267" s="12">
        <f t="shared" si="143"/>
        <v>2025</v>
      </c>
    </row>
    <row r="2268" spans="1:9" ht="19.5" customHeight="1" x14ac:dyDescent="0.35">
      <c r="A2268" s="41">
        <v>45984</v>
      </c>
      <c r="B2268" s="8" t="s">
        <v>24</v>
      </c>
      <c r="C2268" s="42" t="s">
        <v>33</v>
      </c>
      <c r="D2268" s="43" t="s">
        <v>30</v>
      </c>
      <c r="E2268" s="46">
        <v>0</v>
      </c>
      <c r="F2268" s="2">
        <f>IF(C2268="GBP",E2268*$C$3,IF(C2268="TRY",E2268/$C$1,IF(C2268="EUR",E2268*$E$1,IF(C2268="RUB",E2268/#REF!,IF(C2268="EGP",E2268/$E$2,E2268)))))</f>
        <v>0</v>
      </c>
      <c r="G2268" s="15" t="str">
        <f>VLOOKUP(B2268,SPECIFICATIONF!$C$2:$D$65,2,0)</f>
        <v>GLOBAL RETAIL</v>
      </c>
      <c r="H2268" s="12">
        <f t="shared" si="142"/>
        <v>11</v>
      </c>
      <c r="I2268" s="12">
        <f t="shared" si="143"/>
        <v>2025</v>
      </c>
    </row>
    <row r="2269" spans="1:9" ht="19.5" customHeight="1" x14ac:dyDescent="0.35">
      <c r="A2269" s="41">
        <v>45984</v>
      </c>
      <c r="B2269" s="8" t="s">
        <v>24</v>
      </c>
      <c r="C2269" s="42" t="s">
        <v>11</v>
      </c>
      <c r="D2269" s="43" t="s">
        <v>29</v>
      </c>
      <c r="E2269" s="46">
        <v>2722486</v>
      </c>
      <c r="F2269" s="2">
        <f>IF(C2269="GBP",E2269*$C$3,IF(C2269="TRY",E2269/$C$1,IF(C2269="EUR",E2269*$E$1,IF(C2269="RUB",E2269/#REF!,IF(C2269="EGP",E2269/$E$2,E2269)))))</f>
        <v>74656.359602817887</v>
      </c>
      <c r="G2269" s="15" t="str">
        <f>VLOOKUP(B2269,SPECIFICATIONF!$C$2:$D$65,2,0)</f>
        <v>GLOBAL RETAIL</v>
      </c>
      <c r="H2269" s="12">
        <f t="shared" si="142"/>
        <v>11</v>
      </c>
      <c r="I2269" s="12">
        <f t="shared" si="143"/>
        <v>2025</v>
      </c>
    </row>
    <row r="2270" spans="1:9" ht="19.5" customHeight="1" x14ac:dyDescent="0.35">
      <c r="A2270" s="41">
        <v>45984</v>
      </c>
      <c r="B2270" s="8" t="s">
        <v>24</v>
      </c>
      <c r="C2270" s="42" t="s">
        <v>33</v>
      </c>
      <c r="D2270" s="43" t="s">
        <v>29</v>
      </c>
      <c r="E2270" s="46">
        <v>0</v>
      </c>
      <c r="F2270" s="2">
        <f>IF(C2270="GBP",E2270*$C$3,IF(C2270="TRY",E2270/$C$1,IF(C2270="EUR",E2270*$E$1,IF(C2270="RUB",E2270/#REF!,IF(C2270="EGP",E2270/$E$2,E2270)))))</f>
        <v>0</v>
      </c>
      <c r="G2270" s="15" t="str">
        <f>VLOOKUP(B2270,SPECIFICATIONF!$C$2:$D$65,2,0)</f>
        <v>GLOBAL RETAIL</v>
      </c>
      <c r="H2270" s="12">
        <f t="shared" si="142"/>
        <v>11</v>
      </c>
      <c r="I2270" s="12">
        <f t="shared" si="143"/>
        <v>2025</v>
      </c>
    </row>
    <row r="2271" spans="1:9" ht="19.5" customHeight="1" x14ac:dyDescent="0.35">
      <c r="A2271" s="41">
        <v>45985</v>
      </c>
      <c r="B2271" s="8" t="s">
        <v>32</v>
      </c>
      <c r="C2271" s="42" t="s">
        <v>11</v>
      </c>
      <c r="D2271" s="43" t="s">
        <v>30</v>
      </c>
      <c r="E2271" s="46">
        <v>1539206.74</v>
      </c>
      <c r="F2271" s="2">
        <f>IF(C2271="GBP",E2271*$C$3,IF(C2271="TRY",E2271/$C$1,IF(C2271="EUR",E2271*$E$1,IF(C2271="RUB",E2271/#REF!,IF(C2271="EGP",E2271/$E$2,E2271)))))</f>
        <v>42208.32426117931</v>
      </c>
      <c r="G2271" s="15" t="str">
        <f>VLOOKUP(B2271,SPECIFICATIONF!$C$2:$D$65,2,0)</f>
        <v>GLOBAL HFT</v>
      </c>
      <c r="H2271" s="12">
        <f t="shared" ref="H2271:H2278" si="144">MONTH(A2271)</f>
        <v>11</v>
      </c>
      <c r="I2271" s="12">
        <f t="shared" ref="I2271:I2278" si="145">YEAR(A2271)</f>
        <v>2025</v>
      </c>
    </row>
    <row r="2272" spans="1:9" ht="19.5" customHeight="1" x14ac:dyDescent="0.35">
      <c r="A2272" s="41">
        <v>45985</v>
      </c>
      <c r="B2272" s="8" t="s">
        <v>32</v>
      </c>
      <c r="C2272" s="42" t="s">
        <v>33</v>
      </c>
      <c r="D2272" s="43" t="s">
        <v>30</v>
      </c>
      <c r="E2272" s="46">
        <v>10113.209999999999</v>
      </c>
      <c r="F2272" s="2">
        <f>IF(C2272="GBP",E2272*$C$3,IF(C2272="TRY",E2272/$C$1,IF(C2272="EUR",E2272*$E$1,IF(C2272="RUB",E2272/#REF!,IF(C2272="EGP",E2272/$E$2,E2272)))))</f>
        <v>10113.209999999999</v>
      </c>
      <c r="G2272" s="15" t="str">
        <f>VLOOKUP(B2272,SPECIFICATIONF!$C$2:$D$65,2,0)</f>
        <v>GLOBAL HFT</v>
      </c>
      <c r="H2272" s="12">
        <f t="shared" si="144"/>
        <v>11</v>
      </c>
      <c r="I2272" s="12">
        <f t="shared" si="145"/>
        <v>2025</v>
      </c>
    </row>
    <row r="2273" spans="1:9" ht="19.5" customHeight="1" x14ac:dyDescent="0.35">
      <c r="A2273" s="41">
        <v>45985</v>
      </c>
      <c r="B2273" s="8" t="s">
        <v>32</v>
      </c>
      <c r="C2273" s="42" t="s">
        <v>11</v>
      </c>
      <c r="D2273" s="43" t="s">
        <v>29</v>
      </c>
      <c r="E2273" s="46">
        <v>5705162326</v>
      </c>
      <c r="F2273" s="2">
        <f>IF(C2273="GBP",E2273*$C$3,IF(C2273="TRY",E2273/$C$1,IF(C2273="EUR",E2273*$E$1,IF(C2273="RUB",E2273/#REF!,IF(C2273="EGP",E2273/$E$2,E2273)))))</f>
        <v>156447691.63268608</v>
      </c>
      <c r="G2273" s="15" t="str">
        <f>VLOOKUP(B2273,SPECIFICATIONF!$C$2:$D$65,2,0)</f>
        <v>GLOBAL HFT</v>
      </c>
      <c r="H2273" s="12">
        <f t="shared" si="144"/>
        <v>11</v>
      </c>
      <c r="I2273" s="12">
        <f t="shared" si="145"/>
        <v>2025</v>
      </c>
    </row>
    <row r="2274" spans="1:9" ht="19.5" customHeight="1" x14ac:dyDescent="0.35">
      <c r="A2274" s="41">
        <v>45985</v>
      </c>
      <c r="B2274" s="8" t="s">
        <v>32</v>
      </c>
      <c r="C2274" s="42" t="s">
        <v>33</v>
      </c>
      <c r="D2274" s="43" t="s">
        <v>29</v>
      </c>
      <c r="E2274" s="46">
        <v>35485985</v>
      </c>
      <c r="F2274" s="2">
        <f>IF(C2274="GBP",E2274*$C$3,IF(C2274="TRY",E2274/$C$1,IF(C2274="EUR",E2274*$E$1,IF(C2274="RUB",E2274/#REF!,IF(C2274="EGP",E2274/$E$2,E2274)))))</f>
        <v>35485985</v>
      </c>
      <c r="G2274" s="15" t="str">
        <f>VLOOKUP(B2274,SPECIFICATIONF!$C$2:$D$65,2,0)</f>
        <v>GLOBAL HFT</v>
      </c>
      <c r="H2274" s="12">
        <f t="shared" si="144"/>
        <v>11</v>
      </c>
      <c r="I2274" s="12">
        <f t="shared" si="145"/>
        <v>2025</v>
      </c>
    </row>
    <row r="2275" spans="1:9" ht="19.5" customHeight="1" x14ac:dyDescent="0.35">
      <c r="A2275" s="41">
        <v>45985</v>
      </c>
      <c r="B2275" s="8" t="s">
        <v>24</v>
      </c>
      <c r="C2275" s="42" t="s">
        <v>11</v>
      </c>
      <c r="D2275" s="43" t="s">
        <v>30</v>
      </c>
      <c r="E2275" s="46">
        <v>0</v>
      </c>
      <c r="F2275" s="2">
        <f>IF(C2275="GBP",E2275*$C$3,IF(C2275="TRY",E2275/$C$1,IF(C2275="EUR",E2275*$E$1,IF(C2275="RUB",E2275/#REF!,IF(C2275="EGP",E2275/$E$2,E2275)))))</f>
        <v>0</v>
      </c>
      <c r="G2275" s="15" t="str">
        <f>VLOOKUP(B2275,SPECIFICATIONF!$C$2:$D$65,2,0)</f>
        <v>GLOBAL RETAIL</v>
      </c>
      <c r="H2275" s="12">
        <f t="shared" si="144"/>
        <v>11</v>
      </c>
      <c r="I2275" s="12">
        <f t="shared" si="145"/>
        <v>2025</v>
      </c>
    </row>
    <row r="2276" spans="1:9" ht="19.5" customHeight="1" x14ac:dyDescent="0.35">
      <c r="A2276" s="41">
        <v>45985</v>
      </c>
      <c r="B2276" s="8" t="s">
        <v>24</v>
      </c>
      <c r="C2276" s="42" t="s">
        <v>33</v>
      </c>
      <c r="D2276" s="43" t="s">
        <v>30</v>
      </c>
      <c r="E2276" s="46">
        <v>0</v>
      </c>
      <c r="F2276" s="2">
        <f>IF(C2276="GBP",E2276*$C$3,IF(C2276="TRY",E2276/$C$1,IF(C2276="EUR",E2276*$E$1,IF(C2276="RUB",E2276/#REF!,IF(C2276="EGP",E2276/$E$2,E2276)))))</f>
        <v>0</v>
      </c>
      <c r="G2276" s="15" t="str">
        <f>VLOOKUP(B2276,SPECIFICATIONF!$C$2:$D$65,2,0)</f>
        <v>GLOBAL RETAIL</v>
      </c>
      <c r="H2276" s="12">
        <f t="shared" si="144"/>
        <v>11</v>
      </c>
      <c r="I2276" s="12">
        <f t="shared" si="145"/>
        <v>2025</v>
      </c>
    </row>
    <row r="2277" spans="1:9" ht="19.5" customHeight="1" x14ac:dyDescent="0.35">
      <c r="A2277" s="41">
        <v>45985</v>
      </c>
      <c r="B2277" s="8" t="s">
        <v>24</v>
      </c>
      <c r="C2277" s="42" t="s">
        <v>11</v>
      </c>
      <c r="D2277" s="43" t="s">
        <v>29</v>
      </c>
      <c r="E2277" s="46">
        <v>91221</v>
      </c>
      <c r="F2277" s="2">
        <f>IF(C2277="GBP",E2277*$C$3,IF(C2277="TRY",E2277/$C$1,IF(C2277="EUR",E2277*$E$1,IF(C2277="RUB",E2277/#REF!,IF(C2277="EGP",E2277/$E$2,E2277)))))</f>
        <v>2501.4739393806435</v>
      </c>
      <c r="G2277" s="15" t="str">
        <f>VLOOKUP(B2277,SPECIFICATIONF!$C$2:$D$65,2,0)</f>
        <v>GLOBAL RETAIL</v>
      </c>
      <c r="H2277" s="12">
        <f t="shared" si="144"/>
        <v>11</v>
      </c>
      <c r="I2277" s="12">
        <f t="shared" si="145"/>
        <v>2025</v>
      </c>
    </row>
    <row r="2278" spans="1:9" ht="19.5" customHeight="1" x14ac:dyDescent="0.35">
      <c r="A2278" s="41">
        <v>45985</v>
      </c>
      <c r="B2278" s="8" t="s">
        <v>24</v>
      </c>
      <c r="C2278" s="42" t="s">
        <v>33</v>
      </c>
      <c r="D2278" s="43" t="s">
        <v>29</v>
      </c>
      <c r="E2278" s="46">
        <v>0</v>
      </c>
      <c r="F2278" s="2">
        <f>IF(C2278="GBP",E2278*$C$3,IF(C2278="TRY",E2278/$C$1,IF(C2278="EUR",E2278*$E$1,IF(C2278="RUB",E2278/#REF!,IF(C2278="EGP",E2278/$E$2,E2278)))))</f>
        <v>0</v>
      </c>
      <c r="G2278" s="15" t="str">
        <f>VLOOKUP(B2278,SPECIFICATIONF!$C$2:$D$65,2,0)</f>
        <v>GLOBAL RETAIL</v>
      </c>
      <c r="H2278" s="12">
        <f t="shared" si="144"/>
        <v>11</v>
      </c>
      <c r="I2278" s="12">
        <f t="shared" si="145"/>
        <v>2025</v>
      </c>
    </row>
    <row r="2279" spans="1:9" ht="19.5" customHeight="1" x14ac:dyDescent="0.35">
      <c r="A2279" s="41">
        <v>45986</v>
      </c>
      <c r="B2279" s="8" t="s">
        <v>32</v>
      </c>
      <c r="C2279" s="42" t="s">
        <v>11</v>
      </c>
      <c r="D2279" s="43" t="s">
        <v>30</v>
      </c>
      <c r="E2279" s="46">
        <v>1235271.06</v>
      </c>
      <c r="F2279" s="2">
        <f>IF(C2279="GBP",E2279*$C$3,IF(C2279="TRY",E2279/$C$1,IF(C2279="EUR",E2279*$E$1,IF(C2279="RUB",E2279/#REF!,IF(C2279="EGP",E2279/$E$2,E2279)))))</f>
        <v>33873.761136811736</v>
      </c>
      <c r="G2279" s="15" t="str">
        <f>VLOOKUP(B2279,SPECIFICATIONF!$C$2:$D$65,2,0)</f>
        <v>GLOBAL HFT</v>
      </c>
      <c r="H2279" s="12">
        <f t="shared" ref="H2279:H2286" si="146">MONTH(A2279)</f>
        <v>11</v>
      </c>
      <c r="I2279" s="12">
        <f t="shared" ref="I2279:I2286" si="147">YEAR(A2279)</f>
        <v>2025</v>
      </c>
    </row>
    <row r="2280" spans="1:9" ht="19.5" customHeight="1" x14ac:dyDescent="0.35">
      <c r="A2280" s="41">
        <v>45986</v>
      </c>
      <c r="B2280" s="8" t="s">
        <v>32</v>
      </c>
      <c r="C2280" s="42" t="s">
        <v>33</v>
      </c>
      <c r="D2280" s="43" t="s">
        <v>30</v>
      </c>
      <c r="E2280" s="46">
        <v>6710.09</v>
      </c>
      <c r="F2280" s="2">
        <f>IF(C2280="GBP",E2280*$C$3,IF(C2280="TRY",E2280/$C$1,IF(C2280="EUR",E2280*$E$1,IF(C2280="RUB",E2280/#REF!,IF(C2280="EGP",E2280/$E$2,E2280)))))</f>
        <v>6710.09</v>
      </c>
      <c r="G2280" s="15" t="str">
        <f>VLOOKUP(B2280,SPECIFICATIONF!$C$2:$D$65,2,0)</f>
        <v>GLOBAL HFT</v>
      </c>
      <c r="H2280" s="12">
        <f t="shared" si="146"/>
        <v>11</v>
      </c>
      <c r="I2280" s="12">
        <f t="shared" si="147"/>
        <v>2025</v>
      </c>
    </row>
    <row r="2281" spans="1:9" ht="19.5" customHeight="1" x14ac:dyDescent="0.35">
      <c r="A2281" s="41">
        <v>45986</v>
      </c>
      <c r="B2281" s="8" t="s">
        <v>32</v>
      </c>
      <c r="C2281" s="42" t="s">
        <v>11</v>
      </c>
      <c r="D2281" s="43" t="s">
        <v>29</v>
      </c>
      <c r="E2281" s="46">
        <v>4614323647</v>
      </c>
      <c r="F2281" s="2">
        <f>IF(C2281="GBP",E2281*$C$3,IF(C2281="TRY",E2281/$C$1,IF(C2281="EUR",E2281*$E$1,IF(C2281="RUB",E2281/#REF!,IF(C2281="EGP",E2281/$E$2,E2281)))))</f>
        <v>126534573.73673111</v>
      </c>
      <c r="G2281" s="15" t="str">
        <f>VLOOKUP(B2281,SPECIFICATIONF!$C$2:$D$65,2,0)</f>
        <v>GLOBAL HFT</v>
      </c>
      <c r="H2281" s="12">
        <f t="shared" si="146"/>
        <v>11</v>
      </c>
      <c r="I2281" s="12">
        <f t="shared" si="147"/>
        <v>2025</v>
      </c>
    </row>
    <row r="2282" spans="1:9" ht="19.5" customHeight="1" x14ac:dyDescent="0.35">
      <c r="A2282" s="41">
        <v>45986</v>
      </c>
      <c r="B2282" s="8" t="s">
        <v>32</v>
      </c>
      <c r="C2282" s="42" t="s">
        <v>33</v>
      </c>
      <c r="D2282" s="43" t="s">
        <v>29</v>
      </c>
      <c r="E2282" s="46">
        <v>24100030</v>
      </c>
      <c r="F2282" s="2">
        <f>IF(C2282="GBP",E2282*$C$3,IF(C2282="TRY",E2282/$C$1,IF(C2282="EUR",E2282*$E$1,IF(C2282="RUB",E2282/#REF!,IF(C2282="EGP",E2282/$E$2,E2282)))))</f>
        <v>24100030</v>
      </c>
      <c r="G2282" s="15" t="str">
        <f>VLOOKUP(B2282,SPECIFICATIONF!$C$2:$D$65,2,0)</f>
        <v>GLOBAL HFT</v>
      </c>
      <c r="H2282" s="12">
        <f t="shared" si="146"/>
        <v>11</v>
      </c>
      <c r="I2282" s="12">
        <f t="shared" si="147"/>
        <v>2025</v>
      </c>
    </row>
    <row r="2283" spans="1:9" ht="19.5" customHeight="1" x14ac:dyDescent="0.35">
      <c r="A2283" s="41">
        <v>45986</v>
      </c>
      <c r="B2283" s="8" t="s">
        <v>24</v>
      </c>
      <c r="C2283" s="42" t="s">
        <v>11</v>
      </c>
      <c r="D2283" s="43" t="s">
        <v>30</v>
      </c>
      <c r="E2283" s="46">
        <v>0</v>
      </c>
      <c r="F2283" s="2">
        <f>IF(C2283="GBP",E2283*$C$3,IF(C2283="TRY",E2283/$C$1,IF(C2283="EUR",E2283*$E$1,IF(C2283="RUB",E2283/#REF!,IF(C2283="EGP",E2283/$E$2,E2283)))))</f>
        <v>0</v>
      </c>
      <c r="G2283" s="15" t="str">
        <f>VLOOKUP(B2283,SPECIFICATIONF!$C$2:$D$65,2,0)</f>
        <v>GLOBAL RETAIL</v>
      </c>
      <c r="H2283" s="12">
        <f t="shared" si="146"/>
        <v>11</v>
      </c>
      <c r="I2283" s="12">
        <f t="shared" si="147"/>
        <v>2025</v>
      </c>
    </row>
    <row r="2284" spans="1:9" ht="19.5" customHeight="1" x14ac:dyDescent="0.35">
      <c r="A2284" s="41">
        <v>45986</v>
      </c>
      <c r="B2284" s="8" t="s">
        <v>24</v>
      </c>
      <c r="C2284" s="42" t="s">
        <v>33</v>
      </c>
      <c r="D2284" s="43" t="s">
        <v>30</v>
      </c>
      <c r="E2284" s="46">
        <v>0</v>
      </c>
      <c r="F2284" s="2">
        <f>IF(C2284="GBP",E2284*$C$3,IF(C2284="TRY",E2284/$C$1,IF(C2284="EUR",E2284*$E$1,IF(C2284="RUB",E2284/#REF!,IF(C2284="EGP",E2284/$E$2,E2284)))))</f>
        <v>0</v>
      </c>
      <c r="G2284" s="15" t="str">
        <f>VLOOKUP(B2284,SPECIFICATIONF!$C$2:$D$65,2,0)</f>
        <v>GLOBAL RETAIL</v>
      </c>
      <c r="H2284" s="12">
        <f t="shared" si="146"/>
        <v>11</v>
      </c>
      <c r="I2284" s="12">
        <f t="shared" si="147"/>
        <v>2025</v>
      </c>
    </row>
    <row r="2285" spans="1:9" ht="19.5" customHeight="1" x14ac:dyDescent="0.35">
      <c r="A2285" s="41">
        <v>45986</v>
      </c>
      <c r="B2285" s="8" t="s">
        <v>24</v>
      </c>
      <c r="C2285" s="42" t="s">
        <v>11</v>
      </c>
      <c r="D2285" s="43" t="s">
        <v>29</v>
      </c>
      <c r="E2285" s="46">
        <v>83818</v>
      </c>
      <c r="F2285" s="2">
        <f>IF(C2285="GBP",E2285*$C$3,IF(C2285="TRY",E2285/$C$1,IF(C2285="EUR",E2285*$E$1,IF(C2285="RUB",E2285/#REF!,IF(C2285="EGP",E2285/$E$2,E2285)))))</f>
        <v>2298.4679257079706</v>
      </c>
      <c r="G2285" s="15" t="str">
        <f>VLOOKUP(B2285,SPECIFICATIONF!$C$2:$D$65,2,0)</f>
        <v>GLOBAL RETAIL</v>
      </c>
      <c r="H2285" s="12">
        <f t="shared" si="146"/>
        <v>11</v>
      </c>
      <c r="I2285" s="12">
        <f t="shared" si="147"/>
        <v>2025</v>
      </c>
    </row>
    <row r="2286" spans="1:9" ht="19.5" customHeight="1" x14ac:dyDescent="0.35">
      <c r="A2286" s="41">
        <v>45986</v>
      </c>
      <c r="B2286" s="8" t="s">
        <v>24</v>
      </c>
      <c r="C2286" s="42" t="s">
        <v>33</v>
      </c>
      <c r="D2286" s="43" t="s">
        <v>29</v>
      </c>
      <c r="E2286" s="46">
        <v>42</v>
      </c>
      <c r="F2286" s="2">
        <f>IF(C2286="GBP",E2286*$C$3,IF(C2286="TRY",E2286/$C$1,IF(C2286="EUR",E2286*$E$1,IF(C2286="RUB",E2286/#REF!,IF(C2286="EGP",E2286/$E$2,E2286)))))</f>
        <v>42</v>
      </c>
      <c r="G2286" s="15" t="str">
        <f>VLOOKUP(B2286,SPECIFICATIONF!$C$2:$D$65,2,0)</f>
        <v>GLOBAL RETAIL</v>
      </c>
      <c r="H2286" s="12">
        <f t="shared" si="146"/>
        <v>11</v>
      </c>
      <c r="I2286" s="12">
        <f t="shared" si="147"/>
        <v>2025</v>
      </c>
    </row>
    <row r="2287" spans="1:9" ht="19.5" customHeight="1" x14ac:dyDescent="0.35">
      <c r="A2287" s="41">
        <v>45987</v>
      </c>
      <c r="B2287" s="8" t="s">
        <v>32</v>
      </c>
      <c r="C2287" s="42" t="s">
        <v>11</v>
      </c>
      <c r="D2287" s="43" t="s">
        <v>30</v>
      </c>
      <c r="E2287" s="46">
        <v>1635533.82</v>
      </c>
      <c r="F2287" s="2">
        <f>IF(C2287="GBP",E2287*$C$3,IF(C2287="TRY",E2287/$C$1,IF(C2287="EUR",E2287*$E$1,IF(C2287="RUB",E2287/#REF!,IF(C2287="EGP",E2287/$E$2,E2287)))))</f>
        <v>44849.817779959361</v>
      </c>
      <c r="G2287" s="15" t="str">
        <f>VLOOKUP(B2287,SPECIFICATIONF!$C$2:$D$65,2,0)</f>
        <v>GLOBAL HFT</v>
      </c>
      <c r="H2287" s="12">
        <f t="shared" ref="H2287:H2294" si="148">MONTH(A2287)</f>
        <v>11</v>
      </c>
      <c r="I2287" s="12">
        <f t="shared" ref="I2287:I2294" si="149">YEAR(A2287)</f>
        <v>2025</v>
      </c>
    </row>
    <row r="2288" spans="1:9" ht="19.5" customHeight="1" x14ac:dyDescent="0.35">
      <c r="A2288" s="41">
        <v>45987</v>
      </c>
      <c r="B2288" s="8" t="s">
        <v>32</v>
      </c>
      <c r="C2288" s="42" t="s">
        <v>33</v>
      </c>
      <c r="D2288" s="43" t="s">
        <v>30</v>
      </c>
      <c r="E2288" s="46">
        <v>8536.23</v>
      </c>
      <c r="F2288" s="2">
        <f>IF(C2288="GBP",E2288*$C$3,IF(C2288="TRY",E2288/$C$1,IF(C2288="EUR",E2288*$E$1,IF(C2288="RUB",E2288/#REF!,IF(C2288="EGP",E2288/$E$2,E2288)))))</f>
        <v>8536.23</v>
      </c>
      <c r="G2288" s="15" t="str">
        <f>VLOOKUP(B2288,SPECIFICATIONF!$C$2:$D$65,2,0)</f>
        <v>GLOBAL HFT</v>
      </c>
      <c r="H2288" s="12">
        <f t="shared" si="148"/>
        <v>11</v>
      </c>
      <c r="I2288" s="12">
        <f t="shared" si="149"/>
        <v>2025</v>
      </c>
    </row>
    <row r="2289" spans="1:9" ht="19.5" customHeight="1" x14ac:dyDescent="0.35">
      <c r="A2289" s="41">
        <v>45987</v>
      </c>
      <c r="B2289" s="8" t="s">
        <v>32</v>
      </c>
      <c r="C2289" s="42" t="s">
        <v>11</v>
      </c>
      <c r="D2289" s="43" t="s">
        <v>29</v>
      </c>
      <c r="E2289" s="46">
        <v>5904177255</v>
      </c>
      <c r="F2289" s="2">
        <f>IF(C2289="GBP",E2289*$C$3,IF(C2289="TRY",E2289/$C$1,IF(C2289="EUR",E2289*$E$1,IF(C2289="RUB",E2289/#REF!,IF(C2289="EGP",E2289/$E$2,E2289)))))</f>
        <v>161905104.49201879</v>
      </c>
      <c r="G2289" s="15" t="str">
        <f>VLOOKUP(B2289,SPECIFICATIONF!$C$2:$D$65,2,0)</f>
        <v>GLOBAL HFT</v>
      </c>
      <c r="H2289" s="12">
        <f t="shared" si="148"/>
        <v>11</v>
      </c>
      <c r="I2289" s="12">
        <f t="shared" si="149"/>
        <v>2025</v>
      </c>
    </row>
    <row r="2290" spans="1:9" ht="19.5" customHeight="1" x14ac:dyDescent="0.35">
      <c r="A2290" s="41">
        <v>45987</v>
      </c>
      <c r="B2290" s="8" t="s">
        <v>32</v>
      </c>
      <c r="C2290" s="42" t="s">
        <v>33</v>
      </c>
      <c r="D2290" s="43" t="s">
        <v>29</v>
      </c>
      <c r="E2290" s="46">
        <v>29996600</v>
      </c>
      <c r="F2290" s="2">
        <f>IF(C2290="GBP",E2290*$C$3,IF(C2290="TRY",E2290/$C$1,IF(C2290="EUR",E2290*$E$1,IF(C2290="RUB",E2290/#REF!,IF(C2290="EGP",E2290/$E$2,E2290)))))</f>
        <v>29996600</v>
      </c>
      <c r="G2290" s="15" t="str">
        <f>VLOOKUP(B2290,SPECIFICATIONF!$C$2:$D$65,2,0)</f>
        <v>GLOBAL HFT</v>
      </c>
      <c r="H2290" s="12">
        <f t="shared" si="148"/>
        <v>11</v>
      </c>
      <c r="I2290" s="12">
        <f t="shared" si="149"/>
        <v>2025</v>
      </c>
    </row>
    <row r="2291" spans="1:9" ht="19.5" customHeight="1" x14ac:dyDescent="0.35">
      <c r="A2291" s="41">
        <v>45987</v>
      </c>
      <c r="B2291" s="8" t="s">
        <v>24</v>
      </c>
      <c r="C2291" s="42" t="s">
        <v>11</v>
      </c>
      <c r="D2291" s="43" t="s">
        <v>30</v>
      </c>
      <c r="E2291" s="46">
        <v>0</v>
      </c>
      <c r="F2291" s="2">
        <f>IF(C2291="GBP",E2291*$C$3,IF(C2291="TRY",E2291/$C$1,IF(C2291="EUR",E2291*$E$1,IF(C2291="RUB",E2291/#REF!,IF(C2291="EGP",E2291/$E$2,E2291)))))</f>
        <v>0</v>
      </c>
      <c r="G2291" s="15" t="str">
        <f>VLOOKUP(B2291,SPECIFICATIONF!$C$2:$D$65,2,0)</f>
        <v>GLOBAL RETAIL</v>
      </c>
      <c r="H2291" s="12">
        <f t="shared" si="148"/>
        <v>11</v>
      </c>
      <c r="I2291" s="12">
        <f t="shared" si="149"/>
        <v>2025</v>
      </c>
    </row>
    <row r="2292" spans="1:9" ht="19.5" customHeight="1" x14ac:dyDescent="0.35">
      <c r="A2292" s="41">
        <v>45987</v>
      </c>
      <c r="B2292" s="8" t="s">
        <v>24</v>
      </c>
      <c r="C2292" s="42" t="s">
        <v>33</v>
      </c>
      <c r="D2292" s="43" t="s">
        <v>30</v>
      </c>
      <c r="E2292" s="46">
        <v>0</v>
      </c>
      <c r="F2292" s="2">
        <f>IF(C2292="GBP",E2292*$C$3,IF(C2292="TRY",E2292/$C$1,IF(C2292="EUR",E2292*$E$1,IF(C2292="RUB",E2292/#REF!,IF(C2292="EGP",E2292/$E$2,E2292)))))</f>
        <v>0</v>
      </c>
      <c r="G2292" s="15" t="str">
        <f>VLOOKUP(B2292,SPECIFICATIONF!$C$2:$D$65,2,0)</f>
        <v>GLOBAL RETAIL</v>
      </c>
      <c r="H2292" s="12">
        <f t="shared" si="148"/>
        <v>11</v>
      </c>
      <c r="I2292" s="12">
        <f t="shared" si="149"/>
        <v>2025</v>
      </c>
    </row>
    <row r="2293" spans="1:9" ht="19.5" customHeight="1" x14ac:dyDescent="0.35">
      <c r="A2293" s="41">
        <v>45987</v>
      </c>
      <c r="B2293" s="8" t="s">
        <v>24</v>
      </c>
      <c r="C2293" s="42" t="s">
        <v>11</v>
      </c>
      <c r="D2293" s="43" t="s">
        <v>29</v>
      </c>
      <c r="E2293" s="46">
        <v>875094</v>
      </c>
      <c r="F2293" s="2">
        <f>IF(C2293="GBP",E2293*$C$3,IF(C2293="TRY",E2293/$C$1,IF(C2293="EUR",E2293*$E$1,IF(C2293="RUB",E2293/#REF!,IF(C2293="EGP",E2293/$E$2,E2293)))))</f>
        <v>23996.93969051386</v>
      </c>
      <c r="G2293" s="15" t="str">
        <f>VLOOKUP(B2293,SPECIFICATIONF!$C$2:$D$65,2,0)</f>
        <v>GLOBAL RETAIL</v>
      </c>
      <c r="H2293" s="12">
        <f t="shared" si="148"/>
        <v>11</v>
      </c>
      <c r="I2293" s="12">
        <f t="shared" si="149"/>
        <v>2025</v>
      </c>
    </row>
    <row r="2294" spans="1:9" ht="19.5" customHeight="1" x14ac:dyDescent="0.35">
      <c r="A2294" s="41">
        <v>45987</v>
      </c>
      <c r="B2294" s="8" t="s">
        <v>24</v>
      </c>
      <c r="C2294" s="42" t="s">
        <v>33</v>
      </c>
      <c r="D2294" s="43" t="s">
        <v>29</v>
      </c>
      <c r="E2294" s="46">
        <v>0</v>
      </c>
      <c r="F2294" s="2">
        <f>IF(C2294="GBP",E2294*$C$3,IF(C2294="TRY",E2294/$C$1,IF(C2294="EUR",E2294*$E$1,IF(C2294="RUB",E2294/#REF!,IF(C2294="EGP",E2294/$E$2,E2294)))))</f>
        <v>0</v>
      </c>
      <c r="G2294" s="15" t="str">
        <f>VLOOKUP(B2294,SPECIFICATIONF!$C$2:$D$65,2,0)</f>
        <v>GLOBAL RETAIL</v>
      </c>
      <c r="H2294" s="12">
        <f t="shared" si="148"/>
        <v>11</v>
      </c>
      <c r="I2294" s="12">
        <f t="shared" si="149"/>
        <v>2025</v>
      </c>
    </row>
    <row r="2295" spans="1:9" ht="19.5" customHeight="1" x14ac:dyDescent="0.35">
      <c r="A2295" s="41">
        <v>45988</v>
      </c>
      <c r="B2295" s="8" t="s">
        <v>32</v>
      </c>
      <c r="C2295" s="42" t="s">
        <v>11</v>
      </c>
      <c r="D2295" s="43" t="s">
        <v>30</v>
      </c>
      <c r="E2295" s="46">
        <v>1539432.49</v>
      </c>
      <c r="F2295" s="2">
        <f>IF(C2295="GBP",E2295*$C$3,IF(C2295="TRY",E2295/$C$1,IF(C2295="EUR",E2295*$E$1,IF(C2295="RUB",E2295/#REF!,IF(C2295="EGP",E2295/$E$2,E2295)))))</f>
        <v>42214.514806578016</v>
      </c>
      <c r="G2295" s="15" t="str">
        <f>VLOOKUP(B2295,SPECIFICATIONF!$C$2:$D$65,2,0)</f>
        <v>GLOBAL HFT</v>
      </c>
      <c r="H2295" s="12">
        <f t="shared" ref="H2295:H2302" si="150">MONTH(A2295)</f>
        <v>11</v>
      </c>
      <c r="I2295" s="12">
        <f t="shared" ref="I2295:I2302" si="151">YEAR(A2295)</f>
        <v>2025</v>
      </c>
    </row>
    <row r="2296" spans="1:9" ht="19.5" customHeight="1" x14ac:dyDescent="0.35">
      <c r="A2296" s="41">
        <v>45988</v>
      </c>
      <c r="B2296" s="8" t="s">
        <v>32</v>
      </c>
      <c r="C2296" s="42" t="s">
        <v>33</v>
      </c>
      <c r="D2296" s="43" t="s">
        <v>30</v>
      </c>
      <c r="E2296" s="46">
        <v>6928.99</v>
      </c>
      <c r="F2296" s="2">
        <f>IF(C2296="GBP",E2296*$C$3,IF(C2296="TRY",E2296/$C$1,IF(C2296="EUR",E2296*$E$1,IF(C2296="RUB",E2296/#REF!,IF(C2296="EGP",E2296/$E$2,E2296)))))</f>
        <v>6928.99</v>
      </c>
      <c r="G2296" s="15" t="str">
        <f>VLOOKUP(B2296,SPECIFICATIONF!$C$2:$D$65,2,0)</f>
        <v>GLOBAL HFT</v>
      </c>
      <c r="H2296" s="12">
        <f t="shared" si="150"/>
        <v>11</v>
      </c>
      <c r="I2296" s="12">
        <f t="shared" si="151"/>
        <v>2025</v>
      </c>
    </row>
    <row r="2297" spans="1:9" ht="19.5" customHeight="1" x14ac:dyDescent="0.35">
      <c r="A2297" s="41">
        <v>45988</v>
      </c>
      <c r="B2297" s="8" t="s">
        <v>32</v>
      </c>
      <c r="C2297" s="42" t="s">
        <v>11</v>
      </c>
      <c r="D2297" s="43" t="s">
        <v>29</v>
      </c>
      <c r="E2297" s="46">
        <v>5566932537</v>
      </c>
      <c r="F2297" s="2">
        <f>IF(C2297="GBP",E2297*$C$3,IF(C2297="TRY",E2297/$C$1,IF(C2297="EUR",E2297*$E$1,IF(C2297="RUB",E2297/#REF!,IF(C2297="EGP",E2297/$E$2,E2297)))))</f>
        <v>152657136.66365936</v>
      </c>
      <c r="G2297" s="15" t="str">
        <f>VLOOKUP(B2297,SPECIFICATIONF!$C$2:$D$65,2,0)</f>
        <v>GLOBAL HFT</v>
      </c>
      <c r="H2297" s="12">
        <f t="shared" si="150"/>
        <v>11</v>
      </c>
      <c r="I2297" s="12">
        <f t="shared" si="151"/>
        <v>2025</v>
      </c>
    </row>
    <row r="2298" spans="1:9" ht="19.5" customHeight="1" x14ac:dyDescent="0.35">
      <c r="A2298" s="41">
        <v>45988</v>
      </c>
      <c r="B2298" s="8" t="s">
        <v>32</v>
      </c>
      <c r="C2298" s="42" t="s">
        <v>33</v>
      </c>
      <c r="D2298" s="43" t="s">
        <v>29</v>
      </c>
      <c r="E2298" s="46">
        <v>23575507</v>
      </c>
      <c r="F2298" s="2">
        <f>IF(C2298="GBP",E2298*$C$3,IF(C2298="TRY",E2298/$C$1,IF(C2298="EUR",E2298*$E$1,IF(C2298="RUB",E2298/#REF!,IF(C2298="EGP",E2298/$E$2,E2298)))))</f>
        <v>23575507</v>
      </c>
      <c r="G2298" s="15" t="str">
        <f>VLOOKUP(B2298,SPECIFICATIONF!$C$2:$D$65,2,0)</f>
        <v>GLOBAL HFT</v>
      </c>
      <c r="H2298" s="12">
        <f t="shared" si="150"/>
        <v>11</v>
      </c>
      <c r="I2298" s="12">
        <f t="shared" si="151"/>
        <v>2025</v>
      </c>
    </row>
    <row r="2299" spans="1:9" ht="19.5" customHeight="1" x14ac:dyDescent="0.35">
      <c r="A2299" s="41">
        <v>45988</v>
      </c>
      <c r="B2299" s="8" t="s">
        <v>24</v>
      </c>
      <c r="C2299" s="42" t="s">
        <v>11</v>
      </c>
      <c r="D2299" s="43" t="s">
        <v>30</v>
      </c>
      <c r="E2299" s="46">
        <v>0</v>
      </c>
      <c r="F2299" s="2">
        <f>IF(C2299="GBP",E2299*$C$3,IF(C2299="TRY",E2299/$C$1,IF(C2299="EUR",E2299*$E$1,IF(C2299="RUB",E2299/#REF!,IF(C2299="EGP",E2299/$E$2,E2299)))))</f>
        <v>0</v>
      </c>
      <c r="G2299" s="15" t="str">
        <f>VLOOKUP(B2299,SPECIFICATIONF!$C$2:$D$65,2,0)</f>
        <v>GLOBAL RETAIL</v>
      </c>
      <c r="H2299" s="12">
        <f t="shared" si="150"/>
        <v>11</v>
      </c>
      <c r="I2299" s="12">
        <f t="shared" si="151"/>
        <v>2025</v>
      </c>
    </row>
    <row r="2300" spans="1:9" ht="19.5" customHeight="1" x14ac:dyDescent="0.35">
      <c r="A2300" s="41">
        <v>45988</v>
      </c>
      <c r="B2300" s="8" t="s">
        <v>24</v>
      </c>
      <c r="C2300" s="42" t="s">
        <v>33</v>
      </c>
      <c r="D2300" s="43" t="s">
        <v>30</v>
      </c>
      <c r="E2300" s="46">
        <v>0</v>
      </c>
      <c r="F2300" s="2">
        <f>IF(C2300="GBP",E2300*$C$3,IF(C2300="TRY",E2300/$C$1,IF(C2300="EUR",E2300*$E$1,IF(C2300="RUB",E2300/#REF!,IF(C2300="EGP",E2300/$E$2,E2300)))))</f>
        <v>0</v>
      </c>
      <c r="G2300" s="15" t="str">
        <f>VLOOKUP(B2300,SPECIFICATIONF!$C$2:$D$65,2,0)</f>
        <v>GLOBAL RETAIL</v>
      </c>
      <c r="H2300" s="12">
        <f t="shared" si="150"/>
        <v>11</v>
      </c>
      <c r="I2300" s="12">
        <f t="shared" si="151"/>
        <v>2025</v>
      </c>
    </row>
    <row r="2301" spans="1:9" ht="19.5" customHeight="1" x14ac:dyDescent="0.35">
      <c r="A2301" s="41">
        <v>45988</v>
      </c>
      <c r="B2301" s="8" t="s">
        <v>24</v>
      </c>
      <c r="C2301" s="42" t="s">
        <v>11</v>
      </c>
      <c r="D2301" s="43" t="s">
        <v>29</v>
      </c>
      <c r="E2301" s="46">
        <v>13727</v>
      </c>
      <c r="F2301" s="2">
        <f>IF(C2301="GBP",E2301*$C$3,IF(C2301="TRY",E2301/$C$1,IF(C2301="EUR",E2301*$E$1,IF(C2301="RUB",E2301/#REF!,IF(C2301="EGP",E2301/$E$2,E2301)))))</f>
        <v>376.42355122042176</v>
      </c>
      <c r="G2301" s="15" t="str">
        <f>VLOOKUP(B2301,SPECIFICATIONF!$C$2:$D$65,2,0)</f>
        <v>GLOBAL RETAIL</v>
      </c>
      <c r="H2301" s="12">
        <f t="shared" si="150"/>
        <v>11</v>
      </c>
      <c r="I2301" s="12">
        <f t="shared" si="151"/>
        <v>2025</v>
      </c>
    </row>
    <row r="2302" spans="1:9" ht="19.5" customHeight="1" x14ac:dyDescent="0.35">
      <c r="A2302" s="41">
        <v>45988</v>
      </c>
      <c r="B2302" s="8" t="s">
        <v>24</v>
      </c>
      <c r="C2302" s="42" t="s">
        <v>33</v>
      </c>
      <c r="D2302" s="43" t="s">
        <v>29</v>
      </c>
      <c r="E2302" s="46">
        <v>0</v>
      </c>
      <c r="F2302" s="2">
        <f>IF(C2302="GBP",E2302*$C$3,IF(C2302="TRY",E2302/$C$1,IF(C2302="EUR",E2302*$E$1,IF(C2302="RUB",E2302/#REF!,IF(C2302="EGP",E2302/$E$2,E2302)))))</f>
        <v>0</v>
      </c>
      <c r="G2302" s="15" t="str">
        <f>VLOOKUP(B2302,SPECIFICATIONF!$C$2:$D$65,2,0)</f>
        <v>GLOBAL RETAIL</v>
      </c>
      <c r="H2302" s="12">
        <f t="shared" si="150"/>
        <v>11</v>
      </c>
      <c r="I2302" s="12">
        <f t="shared" si="151"/>
        <v>2025</v>
      </c>
    </row>
    <row r="2303" spans="1:9" ht="19.5" customHeight="1" x14ac:dyDescent="0.35">
      <c r="A2303" s="41">
        <v>45989</v>
      </c>
      <c r="B2303" s="8" t="s">
        <v>32</v>
      </c>
      <c r="C2303" s="42" t="s">
        <v>11</v>
      </c>
      <c r="D2303" s="43" t="s">
        <v>30</v>
      </c>
      <c r="E2303" s="46">
        <v>1620756.02</v>
      </c>
      <c r="F2303" s="2">
        <f>IF(C2303="GBP",E2303*$C$3,IF(C2303="TRY",E2303/$C$1,IF(C2303="EUR",E2303*$E$1,IF(C2303="RUB",E2303/#REF!,IF(C2303="EGP",E2303/$E$2,E2303)))))</f>
        <v>44444.579056623952</v>
      </c>
      <c r="G2303" s="15" t="str">
        <f>VLOOKUP(B2303,SPECIFICATIONF!$C$2:$D$65,2,0)</f>
        <v>GLOBAL HFT</v>
      </c>
      <c r="H2303" s="12">
        <f t="shared" ref="H2303:H2310" si="152">MONTH(A2303)</f>
        <v>11</v>
      </c>
      <c r="I2303" s="12">
        <f t="shared" ref="I2303:I2310" si="153">YEAR(A2303)</f>
        <v>2025</v>
      </c>
    </row>
    <row r="2304" spans="1:9" ht="19.5" customHeight="1" x14ac:dyDescent="0.35">
      <c r="A2304" s="41">
        <v>45989</v>
      </c>
      <c r="B2304" s="8" t="s">
        <v>32</v>
      </c>
      <c r="C2304" s="42" t="s">
        <v>33</v>
      </c>
      <c r="D2304" s="43" t="s">
        <v>30</v>
      </c>
      <c r="E2304" s="46">
        <v>8045.29</v>
      </c>
      <c r="F2304" s="2">
        <f>IF(C2304="GBP",E2304*$C$3,IF(C2304="TRY",E2304/$C$1,IF(C2304="EUR",E2304*$E$1,IF(C2304="RUB",E2304/#REF!,IF(C2304="EGP",E2304/$E$2,E2304)))))</f>
        <v>8045.29</v>
      </c>
      <c r="G2304" s="15" t="str">
        <f>VLOOKUP(B2304,SPECIFICATIONF!$C$2:$D$65,2,0)</f>
        <v>GLOBAL HFT</v>
      </c>
      <c r="H2304" s="12">
        <f t="shared" si="152"/>
        <v>11</v>
      </c>
      <c r="I2304" s="12">
        <f t="shared" si="153"/>
        <v>2025</v>
      </c>
    </row>
    <row r="2305" spans="1:9" ht="19.5" customHeight="1" x14ac:dyDescent="0.35">
      <c r="A2305" s="41">
        <v>45989</v>
      </c>
      <c r="B2305" s="8" t="s">
        <v>32</v>
      </c>
      <c r="C2305" s="42" t="s">
        <v>11</v>
      </c>
      <c r="D2305" s="43" t="s">
        <v>29</v>
      </c>
      <c r="E2305" s="46">
        <v>5882085781</v>
      </c>
      <c r="F2305" s="2">
        <f>IF(C2305="GBP",E2305*$C$3,IF(C2305="TRY",E2305/$C$1,IF(C2305="EUR",E2305*$E$1,IF(C2305="RUB",E2305/#REF!,IF(C2305="EGP",E2305/$E$2,E2305)))))</f>
        <v>161299309.26401749</v>
      </c>
      <c r="G2305" s="15" t="str">
        <f>VLOOKUP(B2305,SPECIFICATIONF!$C$2:$D$65,2,0)</f>
        <v>GLOBAL HFT</v>
      </c>
      <c r="H2305" s="12">
        <f t="shared" si="152"/>
        <v>11</v>
      </c>
      <c r="I2305" s="12">
        <f t="shared" si="153"/>
        <v>2025</v>
      </c>
    </row>
    <row r="2306" spans="1:9" ht="19.5" customHeight="1" x14ac:dyDescent="0.35">
      <c r="A2306" s="41">
        <v>45989</v>
      </c>
      <c r="B2306" s="8" t="s">
        <v>32</v>
      </c>
      <c r="C2306" s="42" t="s">
        <v>33</v>
      </c>
      <c r="D2306" s="43" t="s">
        <v>29</v>
      </c>
      <c r="E2306" s="46">
        <v>26724558</v>
      </c>
      <c r="F2306" s="2">
        <f>IF(C2306="GBP",E2306*$C$3,IF(C2306="TRY",E2306/$C$1,IF(C2306="EUR",E2306*$E$1,IF(C2306="RUB",E2306/#REF!,IF(C2306="EGP",E2306/$E$2,E2306)))))</f>
        <v>26724558</v>
      </c>
      <c r="G2306" s="15" t="str">
        <f>VLOOKUP(B2306,SPECIFICATIONF!$C$2:$D$65,2,0)</f>
        <v>GLOBAL HFT</v>
      </c>
      <c r="H2306" s="12">
        <f t="shared" si="152"/>
        <v>11</v>
      </c>
      <c r="I2306" s="12">
        <f t="shared" si="153"/>
        <v>2025</v>
      </c>
    </row>
    <row r="2307" spans="1:9" ht="19.5" customHeight="1" x14ac:dyDescent="0.35">
      <c r="A2307" s="41">
        <v>45989</v>
      </c>
      <c r="B2307" s="8" t="s">
        <v>24</v>
      </c>
      <c r="C2307" s="42" t="s">
        <v>11</v>
      </c>
      <c r="D2307" s="43" t="s">
        <v>30</v>
      </c>
      <c r="E2307" s="46">
        <v>0</v>
      </c>
      <c r="F2307" s="2">
        <f>IF(C2307="GBP",E2307*$C$3,IF(C2307="TRY",E2307/$C$1,IF(C2307="EUR",E2307*$E$1,IF(C2307="RUB",E2307/#REF!,IF(C2307="EGP",E2307/$E$2,E2307)))))</f>
        <v>0</v>
      </c>
      <c r="G2307" s="15" t="str">
        <f>VLOOKUP(B2307,SPECIFICATIONF!$C$2:$D$65,2,0)</f>
        <v>GLOBAL RETAIL</v>
      </c>
      <c r="H2307" s="12">
        <f t="shared" si="152"/>
        <v>11</v>
      </c>
      <c r="I2307" s="12">
        <f t="shared" si="153"/>
        <v>2025</v>
      </c>
    </row>
    <row r="2308" spans="1:9" ht="19.5" customHeight="1" x14ac:dyDescent="0.35">
      <c r="A2308" s="41">
        <v>45989</v>
      </c>
      <c r="B2308" s="8" t="s">
        <v>24</v>
      </c>
      <c r="C2308" s="42" t="s">
        <v>33</v>
      </c>
      <c r="D2308" s="43" t="s">
        <v>30</v>
      </c>
      <c r="E2308" s="46">
        <v>0</v>
      </c>
      <c r="F2308" s="2">
        <f>IF(C2308="GBP",E2308*$C$3,IF(C2308="TRY",E2308/$C$1,IF(C2308="EUR",E2308*$E$1,IF(C2308="RUB",E2308/#REF!,IF(C2308="EGP",E2308/$E$2,E2308)))))</f>
        <v>0</v>
      </c>
      <c r="G2308" s="15" t="str">
        <f>VLOOKUP(B2308,SPECIFICATIONF!$C$2:$D$65,2,0)</f>
        <v>GLOBAL RETAIL</v>
      </c>
      <c r="H2308" s="12">
        <f t="shared" si="152"/>
        <v>11</v>
      </c>
      <c r="I2308" s="12">
        <f t="shared" si="153"/>
        <v>2025</v>
      </c>
    </row>
    <row r="2309" spans="1:9" ht="19.5" customHeight="1" x14ac:dyDescent="0.35">
      <c r="A2309" s="41">
        <v>45989</v>
      </c>
      <c r="B2309" s="8" t="s">
        <v>24</v>
      </c>
      <c r="C2309" s="42" t="s">
        <v>11</v>
      </c>
      <c r="D2309" s="43" t="s">
        <v>29</v>
      </c>
      <c r="E2309" s="46">
        <v>18984385</v>
      </c>
      <c r="F2309" s="2">
        <f>IF(C2309="GBP",E2309*$C$3,IF(C2309="TRY",E2309/$C$1,IF(C2309="EUR",E2309*$E$1,IF(C2309="RUB",E2309/#REF!,IF(C2309="EGP",E2309/$E$2,E2309)))))</f>
        <v>520592.23569867463</v>
      </c>
      <c r="G2309" s="15" t="str">
        <f>VLOOKUP(B2309,SPECIFICATIONF!$C$2:$D$65,2,0)</f>
        <v>GLOBAL RETAIL</v>
      </c>
      <c r="H2309" s="12">
        <f t="shared" si="152"/>
        <v>11</v>
      </c>
      <c r="I2309" s="12">
        <f t="shared" si="153"/>
        <v>2025</v>
      </c>
    </row>
    <row r="2310" spans="1:9" ht="19.5" customHeight="1" x14ac:dyDescent="0.35">
      <c r="A2310" s="41">
        <v>45989</v>
      </c>
      <c r="B2310" s="8" t="s">
        <v>24</v>
      </c>
      <c r="C2310" s="42" t="s">
        <v>33</v>
      </c>
      <c r="D2310" s="43" t="s">
        <v>29</v>
      </c>
      <c r="E2310" s="46">
        <v>5261</v>
      </c>
      <c r="F2310" s="2">
        <f>IF(C2310="GBP",E2310*$C$3,IF(C2310="TRY",E2310/$C$1,IF(C2310="EUR",E2310*$E$1,IF(C2310="RUB",E2310/#REF!,IF(C2310="EGP",E2310/$E$2,E2310)))))</f>
        <v>5261</v>
      </c>
      <c r="G2310" s="15" t="str">
        <f>VLOOKUP(B2310,SPECIFICATIONF!$C$2:$D$65,2,0)</f>
        <v>GLOBAL RETAIL</v>
      </c>
      <c r="H2310" s="12">
        <f t="shared" si="152"/>
        <v>11</v>
      </c>
      <c r="I2310" s="12">
        <f t="shared" si="153"/>
        <v>2025</v>
      </c>
    </row>
    <row r="2311" spans="1:9" ht="19.5" customHeight="1" x14ac:dyDescent="0.35">
      <c r="A2311" s="41">
        <v>45990</v>
      </c>
      <c r="B2311" s="8" t="s">
        <v>32</v>
      </c>
      <c r="C2311" s="42" t="s">
        <v>11</v>
      </c>
      <c r="D2311" s="43" t="s">
        <v>30</v>
      </c>
      <c r="E2311" s="46">
        <v>1196841.04</v>
      </c>
      <c r="F2311" s="2">
        <f>IF(C2311="GBP",E2311*$C$3,IF(C2311="TRY",E2311/$C$1,IF(C2311="EUR",E2311*$E$1,IF(C2311="RUB",E2311/#REF!,IF(C2311="EGP",E2311/$E$2,E2311)))))</f>
        <v>32819.928208868863</v>
      </c>
      <c r="G2311" s="15" t="str">
        <f>VLOOKUP(B2311,SPECIFICATIONF!$C$2:$D$65,2,0)</f>
        <v>GLOBAL HFT</v>
      </c>
      <c r="H2311" s="12">
        <f t="shared" ref="H2311:H2334" si="154">MONTH(A2311)</f>
        <v>11</v>
      </c>
      <c r="I2311" s="12">
        <f t="shared" ref="I2311:I2334" si="155">YEAR(A2311)</f>
        <v>2025</v>
      </c>
    </row>
    <row r="2312" spans="1:9" ht="19.5" customHeight="1" x14ac:dyDescent="0.35">
      <c r="A2312" s="41">
        <v>45990</v>
      </c>
      <c r="B2312" s="8" t="s">
        <v>32</v>
      </c>
      <c r="C2312" s="42" t="s">
        <v>33</v>
      </c>
      <c r="D2312" s="43" t="s">
        <v>30</v>
      </c>
      <c r="E2312" s="46">
        <v>4950.76</v>
      </c>
      <c r="F2312" s="2">
        <f>IF(C2312="GBP",E2312*$C$3,IF(C2312="TRY",E2312/$C$1,IF(C2312="EUR",E2312*$E$1,IF(C2312="RUB",E2312/#REF!,IF(C2312="EGP",E2312/$E$2,E2312)))))</f>
        <v>4950.76</v>
      </c>
      <c r="G2312" s="15" t="str">
        <f>VLOOKUP(B2312,SPECIFICATIONF!$C$2:$D$65,2,0)</f>
        <v>GLOBAL HFT</v>
      </c>
      <c r="H2312" s="12">
        <f t="shared" si="154"/>
        <v>11</v>
      </c>
      <c r="I2312" s="12">
        <f t="shared" si="155"/>
        <v>2025</v>
      </c>
    </row>
    <row r="2313" spans="1:9" ht="19.5" customHeight="1" x14ac:dyDescent="0.35">
      <c r="A2313" s="41">
        <v>45990</v>
      </c>
      <c r="B2313" s="8" t="s">
        <v>32</v>
      </c>
      <c r="C2313" s="42" t="s">
        <v>11</v>
      </c>
      <c r="D2313" s="43" t="s">
        <v>29</v>
      </c>
      <c r="E2313" s="46">
        <v>4472330428</v>
      </c>
      <c r="F2313" s="2">
        <f>IF(C2313="GBP",E2313*$C$3,IF(C2313="TRY",E2313/$C$1,IF(C2313="EUR",E2313*$E$1,IF(C2313="RUB",E2313/#REF!,IF(C2313="EGP",E2313/$E$2,E2313)))))</f>
        <v>122640817.50848028</v>
      </c>
      <c r="G2313" s="15" t="str">
        <f>VLOOKUP(B2313,SPECIFICATIONF!$C$2:$D$65,2,0)</f>
        <v>GLOBAL HFT</v>
      </c>
      <c r="H2313" s="12">
        <f t="shared" si="154"/>
        <v>11</v>
      </c>
      <c r="I2313" s="12">
        <f t="shared" si="155"/>
        <v>2025</v>
      </c>
    </row>
    <row r="2314" spans="1:9" ht="19.5" customHeight="1" x14ac:dyDescent="0.35">
      <c r="A2314" s="41">
        <v>45990</v>
      </c>
      <c r="B2314" s="8" t="s">
        <v>32</v>
      </c>
      <c r="C2314" s="42" t="s">
        <v>33</v>
      </c>
      <c r="D2314" s="43" t="s">
        <v>29</v>
      </c>
      <c r="E2314" s="46">
        <v>17270540</v>
      </c>
      <c r="F2314" s="2">
        <f>IF(C2314="GBP",E2314*$C$3,IF(C2314="TRY",E2314/$C$1,IF(C2314="EUR",E2314*$E$1,IF(C2314="RUB",E2314/#REF!,IF(C2314="EGP",E2314/$E$2,E2314)))))</f>
        <v>17270540</v>
      </c>
      <c r="G2314" s="15" t="str">
        <f>VLOOKUP(B2314,SPECIFICATIONF!$C$2:$D$65,2,0)</f>
        <v>GLOBAL HFT</v>
      </c>
      <c r="H2314" s="12">
        <f t="shared" si="154"/>
        <v>11</v>
      </c>
      <c r="I2314" s="12">
        <f t="shared" si="155"/>
        <v>2025</v>
      </c>
    </row>
    <row r="2315" spans="1:9" ht="19.5" customHeight="1" x14ac:dyDescent="0.35">
      <c r="A2315" s="41">
        <v>45990</v>
      </c>
      <c r="B2315" s="8" t="s">
        <v>24</v>
      </c>
      <c r="C2315" s="42" t="s">
        <v>11</v>
      </c>
      <c r="D2315" s="43" t="s">
        <v>30</v>
      </c>
      <c r="E2315" s="46">
        <v>0</v>
      </c>
      <c r="F2315" s="2">
        <f>IF(C2315="GBP",E2315*$C$3,IF(C2315="TRY",E2315/$C$1,IF(C2315="EUR",E2315*$E$1,IF(C2315="RUB",E2315/#REF!,IF(C2315="EGP",E2315/$E$2,E2315)))))</f>
        <v>0</v>
      </c>
      <c r="G2315" s="15" t="str">
        <f>VLOOKUP(B2315,SPECIFICATIONF!$C$2:$D$65,2,0)</f>
        <v>GLOBAL RETAIL</v>
      </c>
      <c r="H2315" s="12">
        <f t="shared" si="154"/>
        <v>11</v>
      </c>
      <c r="I2315" s="12">
        <f t="shared" si="155"/>
        <v>2025</v>
      </c>
    </row>
    <row r="2316" spans="1:9" ht="19.5" customHeight="1" x14ac:dyDescent="0.35">
      <c r="A2316" s="41">
        <v>45990</v>
      </c>
      <c r="B2316" s="8" t="s">
        <v>24</v>
      </c>
      <c r="C2316" s="42" t="s">
        <v>33</v>
      </c>
      <c r="D2316" s="43" t="s">
        <v>30</v>
      </c>
      <c r="E2316" s="46">
        <v>0</v>
      </c>
      <c r="F2316" s="2">
        <f>IF(C2316="GBP",E2316*$C$3,IF(C2316="TRY",E2316/$C$1,IF(C2316="EUR",E2316*$E$1,IF(C2316="RUB",E2316/#REF!,IF(C2316="EGP",E2316/$E$2,E2316)))))</f>
        <v>0</v>
      </c>
      <c r="G2316" s="15" t="str">
        <f>VLOOKUP(B2316,SPECIFICATIONF!$C$2:$D$65,2,0)</f>
        <v>GLOBAL RETAIL</v>
      </c>
      <c r="H2316" s="12">
        <f t="shared" si="154"/>
        <v>11</v>
      </c>
      <c r="I2316" s="12">
        <f t="shared" si="155"/>
        <v>2025</v>
      </c>
    </row>
    <row r="2317" spans="1:9" ht="19.5" customHeight="1" x14ac:dyDescent="0.35">
      <c r="A2317" s="41">
        <v>45990</v>
      </c>
      <c r="B2317" s="8" t="s">
        <v>24</v>
      </c>
      <c r="C2317" s="42" t="s">
        <v>11</v>
      </c>
      <c r="D2317" s="43" t="s">
        <v>29</v>
      </c>
      <c r="E2317" s="46">
        <v>443901</v>
      </c>
      <c r="F2317" s="2">
        <f>IF(C2317="GBP",E2317*$C$3,IF(C2317="TRY",E2317/$C$1,IF(C2317="EUR",E2317*$E$1,IF(C2317="RUB",E2317/#REF!,IF(C2317="EGP",E2317/$E$2,E2317)))))</f>
        <v>12172.710046645039</v>
      </c>
      <c r="G2317" s="15" t="str">
        <f>VLOOKUP(B2317,SPECIFICATIONF!$C$2:$D$65,2,0)</f>
        <v>GLOBAL RETAIL</v>
      </c>
      <c r="H2317" s="12">
        <f t="shared" si="154"/>
        <v>11</v>
      </c>
      <c r="I2317" s="12">
        <f t="shared" si="155"/>
        <v>2025</v>
      </c>
    </row>
    <row r="2318" spans="1:9" ht="19.5" customHeight="1" x14ac:dyDescent="0.35">
      <c r="A2318" s="41">
        <v>45990</v>
      </c>
      <c r="B2318" s="8" t="s">
        <v>24</v>
      </c>
      <c r="C2318" s="42" t="s">
        <v>33</v>
      </c>
      <c r="D2318" s="43" t="s">
        <v>29</v>
      </c>
      <c r="E2318" s="46">
        <v>0</v>
      </c>
      <c r="F2318" s="2">
        <f>IF(C2318="GBP",E2318*$C$3,IF(C2318="TRY",E2318/$C$1,IF(C2318="EUR",E2318*$E$1,IF(C2318="RUB",E2318/#REF!,IF(C2318="EGP",E2318/$E$2,E2318)))))</f>
        <v>0</v>
      </c>
      <c r="G2318" s="15" t="str">
        <f>VLOOKUP(B2318,SPECIFICATIONF!$C$2:$D$65,2,0)</f>
        <v>GLOBAL RETAIL</v>
      </c>
      <c r="H2318" s="12">
        <f t="shared" si="154"/>
        <v>11</v>
      </c>
      <c r="I2318" s="12">
        <f t="shared" si="155"/>
        <v>2025</v>
      </c>
    </row>
    <row r="2319" spans="1:9" ht="19.5" customHeight="1" x14ac:dyDescent="0.35">
      <c r="A2319" s="41">
        <v>45991</v>
      </c>
      <c r="B2319" s="8" t="s">
        <v>32</v>
      </c>
      <c r="C2319" s="42" t="s">
        <v>11</v>
      </c>
      <c r="D2319" s="43" t="s">
        <v>30</v>
      </c>
      <c r="E2319" s="46">
        <v>945418.6</v>
      </c>
      <c r="F2319" s="2">
        <f>IF(C2319="GBP",E2319*$C$3,IF(C2319="TRY",E2319/$C$1,IF(C2319="EUR",E2319*$E$1,IF(C2319="RUB",E2319/#REF!,IF(C2319="EGP",E2319/$E$2,E2319)))))</f>
        <v>25925.389874105007</v>
      </c>
      <c r="G2319" s="15" t="str">
        <f>VLOOKUP(B2319,SPECIFICATIONF!$C$2:$D$65,2,0)</f>
        <v>GLOBAL HFT</v>
      </c>
      <c r="H2319" s="12">
        <f t="shared" si="154"/>
        <v>11</v>
      </c>
      <c r="I2319" s="12">
        <f t="shared" si="155"/>
        <v>2025</v>
      </c>
    </row>
    <row r="2320" spans="1:9" ht="19.5" customHeight="1" x14ac:dyDescent="0.35">
      <c r="A2320" s="41">
        <v>45991</v>
      </c>
      <c r="B2320" s="8" t="s">
        <v>32</v>
      </c>
      <c r="C2320" s="42" t="s">
        <v>33</v>
      </c>
      <c r="D2320" s="43" t="s">
        <v>30</v>
      </c>
      <c r="E2320" s="46">
        <v>4781.45</v>
      </c>
      <c r="F2320" s="2">
        <f>IF(C2320="GBP",E2320*$C$3,IF(C2320="TRY",E2320/$C$1,IF(C2320="EUR",E2320*$E$1,IF(C2320="RUB",E2320/#REF!,IF(C2320="EGP",E2320/$E$2,E2320)))))</f>
        <v>4781.45</v>
      </c>
      <c r="G2320" s="15" t="str">
        <f>VLOOKUP(B2320,SPECIFICATIONF!$C$2:$D$65,2,0)</f>
        <v>GLOBAL HFT</v>
      </c>
      <c r="H2320" s="12">
        <f t="shared" si="154"/>
        <v>11</v>
      </c>
      <c r="I2320" s="12">
        <f t="shared" si="155"/>
        <v>2025</v>
      </c>
    </row>
    <row r="2321" spans="1:9" ht="19.5" customHeight="1" x14ac:dyDescent="0.35">
      <c r="A2321" s="41">
        <v>45991</v>
      </c>
      <c r="B2321" s="8" t="s">
        <v>32</v>
      </c>
      <c r="C2321" s="42" t="s">
        <v>11</v>
      </c>
      <c r="D2321" s="43" t="s">
        <v>29</v>
      </c>
      <c r="E2321" s="46">
        <v>3640026140</v>
      </c>
      <c r="F2321" s="2">
        <f>IF(C2321="GBP",E2321*$C$3,IF(C2321="TRY",E2321/$C$1,IF(C2321="EUR",E2321*$E$1,IF(C2321="RUB",E2321/#REF!,IF(C2321="EGP",E2321/$E$2,E2321)))))</f>
        <v>99817262.778026089</v>
      </c>
      <c r="G2321" s="15" t="str">
        <f>VLOOKUP(B2321,SPECIFICATIONF!$C$2:$D$65,2,0)</f>
        <v>GLOBAL HFT</v>
      </c>
      <c r="H2321" s="12">
        <f t="shared" si="154"/>
        <v>11</v>
      </c>
      <c r="I2321" s="12">
        <f t="shared" si="155"/>
        <v>2025</v>
      </c>
    </row>
    <row r="2322" spans="1:9" ht="19.5" customHeight="1" x14ac:dyDescent="0.35">
      <c r="A2322" s="41">
        <v>45991</v>
      </c>
      <c r="B2322" s="8" t="s">
        <v>32</v>
      </c>
      <c r="C2322" s="42" t="s">
        <v>33</v>
      </c>
      <c r="D2322" s="43" t="s">
        <v>29</v>
      </c>
      <c r="E2322" s="46">
        <v>16030398</v>
      </c>
      <c r="F2322" s="2">
        <f>IF(C2322="GBP",E2322*$C$3,IF(C2322="TRY",E2322/$C$1,IF(C2322="EUR",E2322*$E$1,IF(C2322="RUB",E2322/#REF!,IF(C2322="EGP",E2322/$E$2,E2322)))))</f>
        <v>16030398</v>
      </c>
      <c r="G2322" s="15" t="str">
        <f>VLOOKUP(B2322,SPECIFICATIONF!$C$2:$D$65,2,0)</f>
        <v>GLOBAL HFT</v>
      </c>
      <c r="H2322" s="12">
        <f t="shared" si="154"/>
        <v>11</v>
      </c>
      <c r="I2322" s="12">
        <f t="shared" si="155"/>
        <v>2025</v>
      </c>
    </row>
    <row r="2323" spans="1:9" ht="19.5" customHeight="1" x14ac:dyDescent="0.35">
      <c r="A2323" s="41">
        <v>45991</v>
      </c>
      <c r="B2323" s="8" t="s">
        <v>24</v>
      </c>
      <c r="C2323" s="42" t="s">
        <v>11</v>
      </c>
      <c r="D2323" s="43" t="s">
        <v>30</v>
      </c>
      <c r="E2323" s="46">
        <v>0</v>
      </c>
      <c r="F2323" s="2">
        <f>IF(C2323="GBP",E2323*$C$3,IF(C2323="TRY",E2323/$C$1,IF(C2323="EUR",E2323*$E$1,IF(C2323="RUB",E2323/#REF!,IF(C2323="EGP",E2323/$E$2,E2323)))))</f>
        <v>0</v>
      </c>
      <c r="G2323" s="15" t="str">
        <f>VLOOKUP(B2323,SPECIFICATIONF!$C$2:$D$65,2,0)</f>
        <v>GLOBAL RETAIL</v>
      </c>
      <c r="H2323" s="12">
        <f t="shared" si="154"/>
        <v>11</v>
      </c>
      <c r="I2323" s="12">
        <f t="shared" si="155"/>
        <v>2025</v>
      </c>
    </row>
    <row r="2324" spans="1:9" ht="19.5" customHeight="1" x14ac:dyDescent="0.35">
      <c r="A2324" s="41">
        <v>45991</v>
      </c>
      <c r="B2324" s="8" t="s">
        <v>24</v>
      </c>
      <c r="C2324" s="42" t="s">
        <v>33</v>
      </c>
      <c r="D2324" s="43" t="s">
        <v>30</v>
      </c>
      <c r="E2324" s="46">
        <v>0</v>
      </c>
      <c r="F2324" s="2">
        <f>IF(C2324="GBP",E2324*$C$3,IF(C2324="TRY",E2324/$C$1,IF(C2324="EUR",E2324*$E$1,IF(C2324="RUB",E2324/#REF!,IF(C2324="EGP",E2324/$E$2,E2324)))))</f>
        <v>0</v>
      </c>
      <c r="G2324" s="15" t="str">
        <f>VLOOKUP(B2324,SPECIFICATIONF!$C$2:$D$65,2,0)</f>
        <v>GLOBAL RETAIL</v>
      </c>
      <c r="H2324" s="12">
        <f t="shared" si="154"/>
        <v>11</v>
      </c>
      <c r="I2324" s="12">
        <f t="shared" si="155"/>
        <v>2025</v>
      </c>
    </row>
    <row r="2325" spans="1:9" ht="19.5" customHeight="1" x14ac:dyDescent="0.35">
      <c r="A2325" s="41">
        <v>45991</v>
      </c>
      <c r="B2325" s="8" t="s">
        <v>24</v>
      </c>
      <c r="C2325" s="42" t="s">
        <v>11</v>
      </c>
      <c r="D2325" s="43" t="s">
        <v>29</v>
      </c>
      <c r="E2325" s="46">
        <v>75720340</v>
      </c>
      <c r="F2325" s="2">
        <f>IF(C2325="GBP",E2325*$C$3,IF(C2325="TRY",E2325/$C$1,IF(C2325="EUR",E2325*$E$1,IF(C2325="RUB",E2325/#REF!,IF(C2325="EGP",E2325/$E$2,E2325)))))</f>
        <v>2076412.8565904971</v>
      </c>
      <c r="G2325" s="15" t="str">
        <f>VLOOKUP(B2325,SPECIFICATIONF!$C$2:$D$65,2,0)</f>
        <v>GLOBAL RETAIL</v>
      </c>
      <c r="H2325" s="12">
        <f t="shared" si="154"/>
        <v>11</v>
      </c>
      <c r="I2325" s="12">
        <f t="shared" si="155"/>
        <v>2025</v>
      </c>
    </row>
    <row r="2326" spans="1:9" ht="19.399999999999999" customHeight="1" x14ac:dyDescent="0.35">
      <c r="A2326" s="41">
        <v>45991</v>
      </c>
      <c r="B2326" s="8" t="s">
        <v>24</v>
      </c>
      <c r="C2326" s="42" t="s">
        <v>33</v>
      </c>
      <c r="D2326" s="43" t="s">
        <v>29</v>
      </c>
      <c r="E2326" s="46">
        <v>29613</v>
      </c>
      <c r="F2326" s="2">
        <f>IF(C2326="GBP",E2326*$C$3,IF(C2326="TRY",E2326/$C$1,IF(C2326="EUR",E2326*$E$1,IF(C2326="RUB",E2326/#REF!,IF(C2326="EGP",E2326/$E$2,E2326)))))</f>
        <v>29613</v>
      </c>
      <c r="G2326" s="15" t="str">
        <f>VLOOKUP(B2326,SPECIFICATIONF!$C$2:$D$65,2,0)</f>
        <v>GLOBAL RETAIL</v>
      </c>
      <c r="H2326" s="12">
        <f t="shared" si="154"/>
        <v>11</v>
      </c>
      <c r="I2326" s="12">
        <f t="shared" si="155"/>
        <v>2025</v>
      </c>
    </row>
    <row r="2327" spans="1:9" ht="19.5" customHeight="1" x14ac:dyDescent="0.35">
      <c r="A2327" s="41">
        <v>45992</v>
      </c>
      <c r="B2327" s="8" t="s">
        <v>32</v>
      </c>
      <c r="C2327" s="42" t="s">
        <v>11</v>
      </c>
      <c r="D2327" s="43" t="s">
        <v>30</v>
      </c>
      <c r="E2327" s="46">
        <v>1160906.4099999999</v>
      </c>
      <c r="F2327" s="2">
        <f>IF(C2327="GBP",E2327*$C$3,IF(C2327="TRY",E2327/$C$1,IF(C2327="EUR",E2327*$E$1,IF(C2327="RUB",E2327/#REF!,IF(C2327="EGP",E2327/$E$2,E2327)))))</f>
        <v>31834.524184945796</v>
      </c>
      <c r="G2327" s="15" t="str">
        <f>VLOOKUP(B2327,SPECIFICATIONF!$C$2:$D$65,2,0)</f>
        <v>GLOBAL HFT</v>
      </c>
      <c r="H2327" s="12">
        <f t="shared" si="154"/>
        <v>12</v>
      </c>
      <c r="I2327" s="12">
        <f t="shared" si="155"/>
        <v>2025</v>
      </c>
    </row>
    <row r="2328" spans="1:9" ht="19.5" customHeight="1" x14ac:dyDescent="0.35">
      <c r="A2328" s="41">
        <v>45992</v>
      </c>
      <c r="B2328" s="8" t="s">
        <v>32</v>
      </c>
      <c r="C2328" s="42" t="s">
        <v>33</v>
      </c>
      <c r="D2328" s="43" t="s">
        <v>30</v>
      </c>
      <c r="E2328" s="46">
        <v>8027.36</v>
      </c>
      <c r="F2328" s="2">
        <f>IF(C2328="GBP",E2328*$C$3,IF(C2328="TRY",E2328/$C$1,IF(C2328="EUR",E2328*$E$1,IF(C2328="RUB",E2328/#REF!,IF(C2328="EGP",E2328/$E$2,E2328)))))</f>
        <v>8027.36</v>
      </c>
      <c r="G2328" s="15" t="str">
        <f>VLOOKUP(B2328,SPECIFICATIONF!$C$2:$D$65,2,0)</f>
        <v>GLOBAL HFT</v>
      </c>
      <c r="H2328" s="12">
        <f t="shared" si="154"/>
        <v>12</v>
      </c>
      <c r="I2328" s="12">
        <f t="shared" si="155"/>
        <v>2025</v>
      </c>
    </row>
    <row r="2329" spans="1:9" ht="19.5" customHeight="1" x14ac:dyDescent="0.35">
      <c r="A2329" s="41">
        <v>45992</v>
      </c>
      <c r="B2329" s="8" t="s">
        <v>32</v>
      </c>
      <c r="C2329" s="42" t="s">
        <v>11</v>
      </c>
      <c r="D2329" s="43" t="s">
        <v>29</v>
      </c>
      <c r="E2329" s="46">
        <v>4394533962</v>
      </c>
      <c r="F2329" s="2">
        <f>IF(C2329="GBP",E2329*$C$3,IF(C2329="TRY",E2329/$C$1,IF(C2329="EUR",E2329*$E$1,IF(C2329="RUB",E2329/#REF!,IF(C2329="EGP",E2329/$E$2,E2329)))))</f>
        <v>120507472.8589488</v>
      </c>
      <c r="G2329" s="15" t="str">
        <f>VLOOKUP(B2329,SPECIFICATIONF!$C$2:$D$65,2,0)</f>
        <v>GLOBAL HFT</v>
      </c>
      <c r="H2329" s="12">
        <f t="shared" si="154"/>
        <v>12</v>
      </c>
      <c r="I2329" s="12">
        <f t="shared" si="155"/>
        <v>2025</v>
      </c>
    </row>
    <row r="2330" spans="1:9" ht="19.5" customHeight="1" x14ac:dyDescent="0.35">
      <c r="A2330" s="41">
        <v>45992</v>
      </c>
      <c r="B2330" s="8" t="s">
        <v>32</v>
      </c>
      <c r="C2330" s="42" t="s">
        <v>33</v>
      </c>
      <c r="D2330" s="43" t="s">
        <v>29</v>
      </c>
      <c r="E2330" s="46">
        <v>27919472</v>
      </c>
      <c r="F2330" s="2">
        <f>IF(C2330="GBP",E2330*$C$3,IF(C2330="TRY",E2330/$C$1,IF(C2330="EUR",E2330*$E$1,IF(C2330="RUB",E2330/#REF!,IF(C2330="EGP",E2330/$E$2,E2330)))))</f>
        <v>27919472</v>
      </c>
      <c r="G2330" s="15" t="str">
        <f>VLOOKUP(B2330,SPECIFICATIONF!$C$2:$D$65,2,0)</f>
        <v>GLOBAL HFT</v>
      </c>
      <c r="H2330" s="12">
        <f t="shared" si="154"/>
        <v>12</v>
      </c>
      <c r="I2330" s="12">
        <f t="shared" si="155"/>
        <v>2025</v>
      </c>
    </row>
    <row r="2331" spans="1:9" ht="19.5" customHeight="1" x14ac:dyDescent="0.35">
      <c r="A2331" s="41">
        <v>45992</v>
      </c>
      <c r="B2331" s="8" t="s">
        <v>24</v>
      </c>
      <c r="C2331" s="42" t="s">
        <v>11</v>
      </c>
      <c r="D2331" s="43" t="s">
        <v>30</v>
      </c>
      <c r="E2331" s="46">
        <v>0</v>
      </c>
      <c r="F2331" s="2">
        <f>IF(C2331="GBP",E2331*$C$3,IF(C2331="TRY",E2331/$C$1,IF(C2331="EUR",E2331*$E$1,IF(C2331="RUB",E2331/#REF!,IF(C2331="EGP",E2331/$E$2,E2331)))))</f>
        <v>0</v>
      </c>
      <c r="G2331" s="15" t="str">
        <f>VLOOKUP(B2331,SPECIFICATIONF!$C$2:$D$65,2,0)</f>
        <v>GLOBAL RETAIL</v>
      </c>
      <c r="H2331" s="12">
        <f t="shared" si="154"/>
        <v>12</v>
      </c>
      <c r="I2331" s="12">
        <f t="shared" si="155"/>
        <v>2025</v>
      </c>
    </row>
    <row r="2332" spans="1:9" ht="19.5" customHeight="1" x14ac:dyDescent="0.35">
      <c r="A2332" s="41">
        <v>45992</v>
      </c>
      <c r="B2332" s="8" t="s">
        <v>24</v>
      </c>
      <c r="C2332" s="42" t="s">
        <v>33</v>
      </c>
      <c r="D2332" s="43" t="s">
        <v>30</v>
      </c>
      <c r="E2332" s="46">
        <v>0</v>
      </c>
      <c r="F2332" s="2">
        <f>IF(C2332="GBP",E2332*$C$3,IF(C2332="TRY",E2332/$C$1,IF(C2332="EUR",E2332*$E$1,IF(C2332="RUB",E2332/#REF!,IF(C2332="EGP",E2332/$E$2,E2332)))))</f>
        <v>0</v>
      </c>
      <c r="G2332" s="15" t="str">
        <f>VLOOKUP(B2332,SPECIFICATIONF!$C$2:$D$65,2,0)</f>
        <v>GLOBAL RETAIL</v>
      </c>
      <c r="H2332" s="12">
        <f t="shared" si="154"/>
        <v>12</v>
      </c>
      <c r="I2332" s="12">
        <f t="shared" si="155"/>
        <v>2025</v>
      </c>
    </row>
    <row r="2333" spans="1:9" ht="19.5" customHeight="1" x14ac:dyDescent="0.35">
      <c r="A2333" s="41">
        <v>45992</v>
      </c>
      <c r="B2333" s="8" t="s">
        <v>24</v>
      </c>
      <c r="C2333" s="42" t="s">
        <v>11</v>
      </c>
      <c r="D2333" s="43" t="s">
        <v>29</v>
      </c>
      <c r="E2333" s="46">
        <v>1309893</v>
      </c>
      <c r="F2333" s="2">
        <f>IF(C2333="GBP",E2333*$C$3,IF(C2333="TRY",E2333/$C$1,IF(C2333="EUR",E2333*$E$1,IF(C2333="RUB",E2333/#REF!,IF(C2333="EGP",E2333/$E$2,E2333)))))</f>
        <v>35920.053527993878</v>
      </c>
      <c r="G2333" s="15" t="str">
        <f>VLOOKUP(B2333,SPECIFICATIONF!$C$2:$D$65,2,0)</f>
        <v>GLOBAL RETAIL</v>
      </c>
      <c r="H2333" s="12">
        <f t="shared" si="154"/>
        <v>12</v>
      </c>
      <c r="I2333" s="12">
        <f t="shared" si="155"/>
        <v>2025</v>
      </c>
    </row>
    <row r="2334" spans="1:9" ht="19.5" customHeight="1" x14ac:dyDescent="0.35">
      <c r="A2334" s="41">
        <v>45992</v>
      </c>
      <c r="B2334" s="8" t="s">
        <v>24</v>
      </c>
      <c r="C2334" s="42" t="s">
        <v>33</v>
      </c>
      <c r="D2334" s="43" t="s">
        <v>29</v>
      </c>
      <c r="E2334" s="46">
        <v>0</v>
      </c>
      <c r="F2334" s="2">
        <f>IF(C2334="GBP",E2334*$C$3,IF(C2334="TRY",E2334/$C$1,IF(C2334="EUR",E2334*$E$1,IF(C2334="RUB",E2334/#REF!,IF(C2334="EGP",E2334/$E$2,E2334)))))</f>
        <v>0</v>
      </c>
      <c r="G2334" s="15" t="str">
        <f>VLOOKUP(B2334,SPECIFICATIONF!$C$2:$D$65,2,0)</f>
        <v>GLOBAL RETAIL</v>
      </c>
      <c r="H2334" s="12">
        <f t="shared" si="154"/>
        <v>12</v>
      </c>
      <c r="I2334" s="12">
        <f t="shared" si="155"/>
        <v>2025</v>
      </c>
    </row>
    <row r="2335" spans="1:9" ht="19.5" customHeight="1" x14ac:dyDescent="0.35">
      <c r="A2335" s="41">
        <v>45993</v>
      </c>
      <c r="B2335" s="8" t="s">
        <v>32</v>
      </c>
      <c r="C2335" s="42" t="s">
        <v>11</v>
      </c>
      <c r="D2335" s="43" t="s">
        <v>30</v>
      </c>
      <c r="E2335" s="46">
        <v>1584462.26</v>
      </c>
      <c r="F2335" s="2">
        <f>IF(C2335="GBP",E2335*$C$3,IF(C2335="TRY",E2335/$C$1,IF(C2335="EUR",E2335*$E$1,IF(C2335="RUB",E2335/#REF!,IF(C2335="EGP",E2335/$E$2,E2335)))))</f>
        <v>43449.326923867942</v>
      </c>
      <c r="G2335" s="15" t="str">
        <f>VLOOKUP(B2335,SPECIFICATIONF!$C$2:$D$65,2,0)</f>
        <v>GLOBAL HFT</v>
      </c>
      <c r="H2335" s="12">
        <f t="shared" ref="H2335:H2342" si="156">MONTH(A2335)</f>
        <v>12</v>
      </c>
      <c r="I2335" s="12">
        <f t="shared" ref="I2335:I2342" si="157">YEAR(A2335)</f>
        <v>2025</v>
      </c>
    </row>
    <row r="2336" spans="1:9" ht="19.5" customHeight="1" x14ac:dyDescent="0.35">
      <c r="A2336" s="41">
        <v>45993</v>
      </c>
      <c r="B2336" s="8" t="s">
        <v>32</v>
      </c>
      <c r="C2336" s="42" t="s">
        <v>33</v>
      </c>
      <c r="D2336" s="43" t="s">
        <v>30</v>
      </c>
      <c r="E2336" s="46">
        <v>8523.39</v>
      </c>
      <c r="F2336" s="2">
        <f>IF(C2336="GBP",E2336*$C$3,IF(C2336="TRY",E2336/$C$1,IF(C2336="EUR",E2336*$E$1,IF(C2336="RUB",E2336/#REF!,IF(C2336="EGP",E2336/$E$2,E2336)))))</f>
        <v>8523.39</v>
      </c>
      <c r="G2336" s="15" t="str">
        <f>VLOOKUP(B2336,SPECIFICATIONF!$C$2:$D$65,2,0)</f>
        <v>GLOBAL HFT</v>
      </c>
      <c r="H2336" s="12">
        <f t="shared" si="156"/>
        <v>12</v>
      </c>
      <c r="I2336" s="12">
        <f t="shared" si="157"/>
        <v>2025</v>
      </c>
    </row>
    <row r="2337" spans="1:9" ht="19.5" customHeight="1" x14ac:dyDescent="0.35">
      <c r="A2337" s="41">
        <v>45993</v>
      </c>
      <c r="B2337" s="8" t="s">
        <v>32</v>
      </c>
      <c r="C2337" s="42" t="s">
        <v>11</v>
      </c>
      <c r="D2337" s="43" t="s">
        <v>29</v>
      </c>
      <c r="E2337" s="46">
        <v>5742084274</v>
      </c>
      <c r="F2337" s="2">
        <f>IF(C2337="GBP",E2337*$C$3,IF(C2337="TRY",E2337/$C$1,IF(C2337="EUR",E2337*$E$1,IF(C2337="RUB",E2337/#REF!,IF(C2337="EGP",E2337/$E$2,E2337)))))</f>
        <v>157460170.01719368</v>
      </c>
      <c r="G2337" s="15" t="str">
        <f>VLOOKUP(B2337,SPECIFICATIONF!$C$2:$D$65,2,0)</f>
        <v>GLOBAL HFT</v>
      </c>
      <c r="H2337" s="12">
        <f t="shared" si="156"/>
        <v>12</v>
      </c>
      <c r="I2337" s="12">
        <f t="shared" si="157"/>
        <v>2025</v>
      </c>
    </row>
    <row r="2338" spans="1:9" ht="19.5" customHeight="1" x14ac:dyDescent="0.35">
      <c r="A2338" s="41">
        <v>45993</v>
      </c>
      <c r="B2338" s="8" t="s">
        <v>32</v>
      </c>
      <c r="C2338" s="42" t="s">
        <v>33</v>
      </c>
      <c r="D2338" s="43" t="s">
        <v>29</v>
      </c>
      <c r="E2338" s="46">
        <v>28861429</v>
      </c>
      <c r="F2338" s="2">
        <f>IF(C2338="GBP",E2338*$C$3,IF(C2338="TRY",E2338/$C$1,IF(C2338="EUR",E2338*$E$1,IF(C2338="RUB",E2338/#REF!,IF(C2338="EGP",E2338/$E$2,E2338)))))</f>
        <v>28861429</v>
      </c>
      <c r="G2338" s="15" t="str">
        <f>VLOOKUP(B2338,SPECIFICATIONF!$C$2:$D$65,2,0)</f>
        <v>GLOBAL HFT</v>
      </c>
      <c r="H2338" s="12">
        <f t="shared" si="156"/>
        <v>12</v>
      </c>
      <c r="I2338" s="12">
        <f t="shared" si="157"/>
        <v>2025</v>
      </c>
    </row>
    <row r="2339" spans="1:9" ht="19.5" customHeight="1" x14ac:dyDescent="0.35">
      <c r="A2339" s="41">
        <v>45993</v>
      </c>
      <c r="B2339" s="8" t="s">
        <v>24</v>
      </c>
      <c r="C2339" s="42" t="s">
        <v>11</v>
      </c>
      <c r="D2339" s="43" t="s">
        <v>30</v>
      </c>
      <c r="E2339" s="46">
        <v>0</v>
      </c>
      <c r="F2339" s="2">
        <f>IF(C2339="GBP",E2339*$C$3,IF(C2339="TRY",E2339/$C$1,IF(C2339="EUR",E2339*$E$1,IF(C2339="RUB",E2339/#REF!,IF(C2339="EGP",E2339/$E$2,E2339)))))</f>
        <v>0</v>
      </c>
      <c r="G2339" s="15" t="str">
        <f>VLOOKUP(B2339,SPECIFICATIONF!$C$2:$D$65,2,0)</f>
        <v>GLOBAL RETAIL</v>
      </c>
      <c r="H2339" s="12">
        <f t="shared" si="156"/>
        <v>12</v>
      </c>
      <c r="I2339" s="12">
        <f t="shared" si="157"/>
        <v>2025</v>
      </c>
    </row>
    <row r="2340" spans="1:9" ht="19.5" customHeight="1" x14ac:dyDescent="0.35">
      <c r="A2340" s="41">
        <v>45993</v>
      </c>
      <c r="B2340" s="8" t="s">
        <v>24</v>
      </c>
      <c r="C2340" s="42" t="s">
        <v>33</v>
      </c>
      <c r="D2340" s="43" t="s">
        <v>30</v>
      </c>
      <c r="E2340" s="46">
        <v>0</v>
      </c>
      <c r="F2340" s="2">
        <f>IF(C2340="GBP",E2340*$C$3,IF(C2340="TRY",E2340/$C$1,IF(C2340="EUR",E2340*$E$1,IF(C2340="RUB",E2340/#REF!,IF(C2340="EGP",E2340/$E$2,E2340)))))</f>
        <v>0</v>
      </c>
      <c r="G2340" s="15" t="str">
        <f>VLOOKUP(B2340,SPECIFICATIONF!$C$2:$D$65,2,0)</f>
        <v>GLOBAL RETAIL</v>
      </c>
      <c r="H2340" s="12">
        <f t="shared" si="156"/>
        <v>12</v>
      </c>
      <c r="I2340" s="12">
        <f t="shared" si="157"/>
        <v>2025</v>
      </c>
    </row>
    <row r="2341" spans="1:9" ht="19.5" customHeight="1" x14ac:dyDescent="0.35">
      <c r="A2341" s="41">
        <v>45993</v>
      </c>
      <c r="B2341" s="8" t="s">
        <v>24</v>
      </c>
      <c r="C2341" s="42" t="s">
        <v>11</v>
      </c>
      <c r="D2341" s="43" t="s">
        <v>29</v>
      </c>
      <c r="E2341" s="46">
        <v>628882</v>
      </c>
      <c r="F2341" s="2">
        <f>IF(C2341="GBP",E2341*$C$3,IF(C2341="TRY",E2341/$C$1,IF(C2341="EUR",E2341*$E$1,IF(C2341="RUB",E2341/#REF!,IF(C2341="EGP",E2341/$E$2,E2341)))))</f>
        <v>17245.282708428738</v>
      </c>
      <c r="G2341" s="15" t="str">
        <f>VLOOKUP(B2341,SPECIFICATIONF!$C$2:$D$65,2,0)</f>
        <v>GLOBAL RETAIL</v>
      </c>
      <c r="H2341" s="12">
        <f t="shared" si="156"/>
        <v>12</v>
      </c>
      <c r="I2341" s="12">
        <f t="shared" si="157"/>
        <v>2025</v>
      </c>
    </row>
    <row r="2342" spans="1:9" ht="19.5" customHeight="1" x14ac:dyDescent="0.35">
      <c r="A2342" s="41">
        <v>45993</v>
      </c>
      <c r="B2342" s="8" t="s">
        <v>24</v>
      </c>
      <c r="C2342" s="42" t="s">
        <v>33</v>
      </c>
      <c r="D2342" s="43" t="s">
        <v>29</v>
      </c>
      <c r="E2342" s="46">
        <v>0</v>
      </c>
      <c r="F2342" s="2">
        <f>IF(C2342="GBP",E2342*$C$3,IF(C2342="TRY",E2342/$C$1,IF(C2342="EUR",E2342*$E$1,IF(C2342="RUB",E2342/#REF!,IF(C2342="EGP",E2342/$E$2,E2342)))))</f>
        <v>0</v>
      </c>
      <c r="G2342" s="15" t="str">
        <f>VLOOKUP(B2342,SPECIFICATIONF!$C$2:$D$65,2,0)</f>
        <v>GLOBAL RETAIL</v>
      </c>
      <c r="H2342" s="12">
        <f t="shared" si="156"/>
        <v>12</v>
      </c>
      <c r="I2342" s="12">
        <f t="shared" si="157"/>
        <v>2025</v>
      </c>
    </row>
    <row r="2343" spans="1:9" ht="19.5" customHeight="1" x14ac:dyDescent="0.35">
      <c r="A2343" s="41">
        <v>45994</v>
      </c>
      <c r="B2343" s="8" t="s">
        <v>32</v>
      </c>
      <c r="C2343" s="42" t="s">
        <v>11</v>
      </c>
      <c r="D2343" s="43" t="s">
        <v>30</v>
      </c>
      <c r="E2343" s="46">
        <v>1520961.64</v>
      </c>
      <c r="F2343" s="2">
        <f>IF(C2343="GBP",E2343*$C$3,IF(C2343="TRY",E2343/$C$1,IF(C2343="EUR",E2343*$E$1,IF(C2343="RUB",E2343/#REF!,IF(C2343="EGP",E2343/$E$2,E2343)))))</f>
        <v>41708.004793387969</v>
      </c>
      <c r="G2343" s="15" t="str">
        <f>VLOOKUP(B2343,SPECIFICATIONF!$C$2:$D$65,2,0)</f>
        <v>GLOBAL HFT</v>
      </c>
      <c r="H2343" s="12">
        <f t="shared" ref="H2343:H2350" si="158">MONTH(A2343)</f>
        <v>12</v>
      </c>
      <c r="I2343" s="12">
        <f t="shared" ref="I2343:I2350" si="159">YEAR(A2343)</f>
        <v>2025</v>
      </c>
    </row>
    <row r="2344" spans="1:9" ht="19.5" customHeight="1" x14ac:dyDescent="0.35">
      <c r="A2344" s="41">
        <v>45994</v>
      </c>
      <c r="B2344" s="8" t="s">
        <v>32</v>
      </c>
      <c r="C2344" s="42" t="s">
        <v>33</v>
      </c>
      <c r="D2344" s="43" t="s">
        <v>30</v>
      </c>
      <c r="E2344" s="46">
        <v>7662.06</v>
      </c>
      <c r="F2344" s="2">
        <f>IF(C2344="GBP",E2344*$C$3,IF(C2344="TRY",E2344/$C$1,IF(C2344="EUR",E2344*$E$1,IF(C2344="RUB",E2344/#REF!,IF(C2344="EGP",E2344/$E$2,E2344)))))</f>
        <v>7662.06</v>
      </c>
      <c r="G2344" s="15" t="str">
        <f>VLOOKUP(B2344,SPECIFICATIONF!$C$2:$D$65,2,0)</f>
        <v>GLOBAL HFT</v>
      </c>
      <c r="H2344" s="12">
        <f t="shared" si="158"/>
        <v>12</v>
      </c>
      <c r="I2344" s="12">
        <f t="shared" si="159"/>
        <v>2025</v>
      </c>
    </row>
    <row r="2345" spans="1:9" ht="19.5" customHeight="1" x14ac:dyDescent="0.35">
      <c r="A2345" s="41">
        <v>45994</v>
      </c>
      <c r="B2345" s="8" t="s">
        <v>32</v>
      </c>
      <c r="C2345" s="42" t="s">
        <v>11</v>
      </c>
      <c r="D2345" s="43" t="s">
        <v>29</v>
      </c>
      <c r="E2345" s="46">
        <v>5360990149</v>
      </c>
      <c r="F2345" s="2">
        <f>IF(C2345="GBP",E2345*$C$3,IF(C2345="TRY",E2345/$C$1,IF(C2345="EUR",E2345*$E$1,IF(C2345="RUB",E2345/#REF!,IF(C2345="EGP",E2345/$E$2,E2345)))))</f>
        <v>147009758.13683093</v>
      </c>
      <c r="G2345" s="15" t="str">
        <f>VLOOKUP(B2345,SPECIFICATIONF!$C$2:$D$65,2,0)</f>
        <v>GLOBAL HFT</v>
      </c>
      <c r="H2345" s="12">
        <f t="shared" si="158"/>
        <v>12</v>
      </c>
      <c r="I2345" s="12">
        <f t="shared" si="159"/>
        <v>2025</v>
      </c>
    </row>
    <row r="2346" spans="1:9" ht="19.5" customHeight="1" x14ac:dyDescent="0.35">
      <c r="A2346" s="41">
        <v>45994</v>
      </c>
      <c r="B2346" s="8" t="s">
        <v>32</v>
      </c>
      <c r="C2346" s="42" t="s">
        <v>33</v>
      </c>
      <c r="D2346" s="43" t="s">
        <v>29</v>
      </c>
      <c r="E2346" s="46">
        <v>25956052</v>
      </c>
      <c r="F2346" s="2">
        <f>IF(C2346="GBP",E2346*$C$3,IF(C2346="TRY",E2346/$C$1,IF(C2346="EUR",E2346*$E$1,IF(C2346="RUB",E2346/#REF!,IF(C2346="EGP",E2346/$E$2,E2346)))))</f>
        <v>25956052</v>
      </c>
      <c r="G2346" s="15" t="str">
        <f>VLOOKUP(B2346,SPECIFICATIONF!$C$2:$D$65,2,0)</f>
        <v>GLOBAL HFT</v>
      </c>
      <c r="H2346" s="12">
        <f t="shared" si="158"/>
        <v>12</v>
      </c>
      <c r="I2346" s="12">
        <f t="shared" si="159"/>
        <v>2025</v>
      </c>
    </row>
    <row r="2347" spans="1:9" ht="19.5" customHeight="1" x14ac:dyDescent="0.35">
      <c r="A2347" s="41">
        <v>45994</v>
      </c>
      <c r="B2347" s="8" t="s">
        <v>24</v>
      </c>
      <c r="C2347" s="42" t="s">
        <v>11</v>
      </c>
      <c r="D2347" s="43" t="s">
        <v>30</v>
      </c>
      <c r="E2347" s="46">
        <v>0</v>
      </c>
      <c r="F2347" s="2">
        <f>IF(C2347="GBP",E2347*$C$3,IF(C2347="TRY",E2347/$C$1,IF(C2347="EUR",E2347*$E$1,IF(C2347="RUB",E2347/#REF!,IF(C2347="EGP",E2347/$E$2,E2347)))))</f>
        <v>0</v>
      </c>
      <c r="G2347" s="15" t="str">
        <f>VLOOKUP(B2347,SPECIFICATIONF!$C$2:$D$65,2,0)</f>
        <v>GLOBAL RETAIL</v>
      </c>
      <c r="H2347" s="12">
        <f t="shared" si="158"/>
        <v>12</v>
      </c>
      <c r="I2347" s="12">
        <f t="shared" si="159"/>
        <v>2025</v>
      </c>
    </row>
    <row r="2348" spans="1:9" ht="19.5" customHeight="1" x14ac:dyDescent="0.35">
      <c r="A2348" s="41">
        <v>45994</v>
      </c>
      <c r="B2348" s="8" t="s">
        <v>24</v>
      </c>
      <c r="C2348" s="42" t="s">
        <v>33</v>
      </c>
      <c r="D2348" s="43" t="s">
        <v>30</v>
      </c>
      <c r="E2348" s="46">
        <v>0</v>
      </c>
      <c r="F2348" s="2">
        <f>IF(C2348="GBP",E2348*$C$3,IF(C2348="TRY",E2348/$C$1,IF(C2348="EUR",E2348*$E$1,IF(C2348="RUB",E2348/#REF!,IF(C2348="EGP",E2348/$E$2,E2348)))))</f>
        <v>0</v>
      </c>
      <c r="G2348" s="15" t="str">
        <f>VLOOKUP(B2348,SPECIFICATIONF!$C$2:$D$65,2,0)</f>
        <v>GLOBAL RETAIL</v>
      </c>
      <c r="H2348" s="12">
        <f t="shared" si="158"/>
        <v>12</v>
      </c>
      <c r="I2348" s="12">
        <f t="shared" si="159"/>
        <v>2025</v>
      </c>
    </row>
    <row r="2349" spans="1:9" ht="19.5" customHeight="1" x14ac:dyDescent="0.35">
      <c r="A2349" s="41">
        <v>45994</v>
      </c>
      <c r="B2349" s="8" t="s">
        <v>24</v>
      </c>
      <c r="C2349" s="42" t="s">
        <v>11</v>
      </c>
      <c r="D2349" s="43" t="s">
        <v>29</v>
      </c>
      <c r="E2349" s="46">
        <v>6383714</v>
      </c>
      <c r="F2349" s="2">
        <f>IF(C2349="GBP",E2349*$C$3,IF(C2349="TRY",E2349/$C$1,IF(C2349="EUR",E2349*$E$1,IF(C2349="RUB",E2349/#REF!,IF(C2349="EGP",E2349/$E$2,E2349)))))</f>
        <v>175055.02249985602</v>
      </c>
      <c r="G2349" s="15" t="str">
        <f>VLOOKUP(B2349,SPECIFICATIONF!$C$2:$D$65,2,0)</f>
        <v>GLOBAL RETAIL</v>
      </c>
      <c r="H2349" s="12">
        <f t="shared" si="158"/>
        <v>12</v>
      </c>
      <c r="I2349" s="12">
        <f t="shared" si="159"/>
        <v>2025</v>
      </c>
    </row>
    <row r="2350" spans="1:9" ht="19.5" customHeight="1" x14ac:dyDescent="0.35">
      <c r="A2350" s="41">
        <v>45994</v>
      </c>
      <c r="B2350" s="8" t="s">
        <v>24</v>
      </c>
      <c r="C2350" s="42" t="s">
        <v>33</v>
      </c>
      <c r="D2350" s="43" t="s">
        <v>29</v>
      </c>
      <c r="E2350" s="46">
        <v>0</v>
      </c>
      <c r="F2350" s="2">
        <f>IF(C2350="GBP",E2350*$C$3,IF(C2350="TRY",E2350/$C$1,IF(C2350="EUR",E2350*$E$1,IF(C2350="RUB",E2350/#REF!,IF(C2350="EGP",E2350/$E$2,E2350)))))</f>
        <v>0</v>
      </c>
      <c r="G2350" s="15" t="str">
        <f>VLOOKUP(B2350,SPECIFICATIONF!$C$2:$D$65,2,0)</f>
        <v>GLOBAL RETAIL</v>
      </c>
      <c r="H2350" s="12">
        <f t="shared" si="158"/>
        <v>12</v>
      </c>
      <c r="I2350" s="12">
        <f t="shared" si="159"/>
        <v>2025</v>
      </c>
    </row>
    <row r="2351" spans="1:9" ht="19.5" customHeight="1" x14ac:dyDescent="0.35">
      <c r="A2351" s="41">
        <v>45995</v>
      </c>
      <c r="B2351" s="8" t="s">
        <v>32</v>
      </c>
      <c r="C2351" s="42" t="s">
        <v>11</v>
      </c>
      <c r="D2351" s="43" t="s">
        <v>30</v>
      </c>
      <c r="E2351" s="46">
        <v>1191104.78</v>
      </c>
      <c r="F2351" s="2">
        <f>IF(C2351="GBP",E2351*$C$3,IF(C2351="TRY",E2351/$C$1,IF(C2351="EUR",E2351*$E$1,IF(C2351="RUB",E2351/#REF!,IF(C2351="EGP",E2351/$E$2,E2351)))))</f>
        <v>32662.627752838875</v>
      </c>
      <c r="G2351" s="15" t="str">
        <f>VLOOKUP(B2351,SPECIFICATIONF!$C$2:$D$65,2,0)</f>
        <v>GLOBAL HFT</v>
      </c>
      <c r="H2351" s="12">
        <f t="shared" ref="H2351:H2358" si="160">MONTH(A2351)</f>
        <v>12</v>
      </c>
      <c r="I2351" s="12">
        <f t="shared" ref="I2351:I2358" si="161">YEAR(A2351)</f>
        <v>2025</v>
      </c>
    </row>
    <row r="2352" spans="1:9" ht="19.5" customHeight="1" x14ac:dyDescent="0.35">
      <c r="A2352" s="41">
        <v>45995</v>
      </c>
      <c r="B2352" s="8" t="s">
        <v>32</v>
      </c>
      <c r="C2352" s="42" t="s">
        <v>33</v>
      </c>
      <c r="D2352" s="43" t="s">
        <v>30</v>
      </c>
      <c r="E2352" s="46">
        <v>7092.59</v>
      </c>
      <c r="F2352" s="2">
        <f>IF(C2352="GBP",E2352*$C$3,IF(C2352="TRY",E2352/$C$1,IF(C2352="EUR",E2352*$E$1,IF(C2352="RUB",E2352/#REF!,IF(C2352="EGP",E2352/$E$2,E2352)))))</f>
        <v>7092.59</v>
      </c>
      <c r="G2352" s="15" t="str">
        <f>VLOOKUP(B2352,SPECIFICATIONF!$C$2:$D$65,2,0)</f>
        <v>GLOBAL HFT</v>
      </c>
      <c r="H2352" s="12">
        <f t="shared" si="160"/>
        <v>12</v>
      </c>
      <c r="I2352" s="12">
        <f t="shared" si="161"/>
        <v>2025</v>
      </c>
    </row>
    <row r="2353" spans="1:9" ht="19.5" customHeight="1" x14ac:dyDescent="0.35">
      <c r="A2353" s="41">
        <v>45995</v>
      </c>
      <c r="B2353" s="8" t="s">
        <v>32</v>
      </c>
      <c r="C2353" s="42" t="s">
        <v>11</v>
      </c>
      <c r="D2353" s="43" t="s">
        <v>29</v>
      </c>
      <c r="E2353" s="46">
        <v>4393204241</v>
      </c>
      <c r="F2353" s="2">
        <f>IF(C2353="GBP",E2353*$C$3,IF(C2353="TRY",E2353/$C$1,IF(C2353="EUR",E2353*$E$1,IF(C2353="RUB",E2353/#REF!,IF(C2353="EGP",E2353/$E$2,E2353)))))</f>
        <v>120471009.07946658</v>
      </c>
      <c r="G2353" s="15" t="str">
        <f>VLOOKUP(B2353,SPECIFICATIONF!$C$2:$D$65,2,0)</f>
        <v>GLOBAL HFT</v>
      </c>
      <c r="H2353" s="12">
        <f t="shared" si="160"/>
        <v>12</v>
      </c>
      <c r="I2353" s="12">
        <f t="shared" si="161"/>
        <v>2025</v>
      </c>
    </row>
    <row r="2354" spans="1:9" ht="19.5" customHeight="1" x14ac:dyDescent="0.35">
      <c r="A2354" s="41">
        <v>45995</v>
      </c>
      <c r="B2354" s="8" t="s">
        <v>32</v>
      </c>
      <c r="C2354" s="42" t="s">
        <v>33</v>
      </c>
      <c r="D2354" s="43" t="s">
        <v>29</v>
      </c>
      <c r="E2354" s="46">
        <v>24001773</v>
      </c>
      <c r="F2354" s="2">
        <f>IF(C2354="GBP",E2354*$C$3,IF(C2354="TRY",E2354/$C$1,IF(C2354="EUR",E2354*$E$1,IF(C2354="RUB",E2354/#REF!,IF(C2354="EGP",E2354/$E$2,E2354)))))</f>
        <v>24001773</v>
      </c>
      <c r="G2354" s="15" t="str">
        <f>VLOOKUP(B2354,SPECIFICATIONF!$C$2:$D$65,2,0)</f>
        <v>GLOBAL HFT</v>
      </c>
      <c r="H2354" s="12">
        <f t="shared" si="160"/>
        <v>12</v>
      </c>
      <c r="I2354" s="12">
        <f t="shared" si="161"/>
        <v>2025</v>
      </c>
    </row>
    <row r="2355" spans="1:9" ht="19.5" customHeight="1" x14ac:dyDescent="0.35">
      <c r="A2355" s="41">
        <v>45995</v>
      </c>
      <c r="B2355" s="8" t="s">
        <v>24</v>
      </c>
      <c r="C2355" s="42" t="s">
        <v>11</v>
      </c>
      <c r="D2355" s="43" t="s">
        <v>30</v>
      </c>
      <c r="E2355" s="46">
        <v>0</v>
      </c>
      <c r="F2355" s="2">
        <f>IF(C2355="GBP",E2355*$C$3,IF(C2355="TRY",E2355/$C$1,IF(C2355="EUR",E2355*$E$1,IF(C2355="RUB",E2355/#REF!,IF(C2355="EGP",E2355/$E$2,E2355)))))</f>
        <v>0</v>
      </c>
      <c r="G2355" s="15" t="str">
        <f>VLOOKUP(B2355,SPECIFICATIONF!$C$2:$D$65,2,0)</f>
        <v>GLOBAL RETAIL</v>
      </c>
      <c r="H2355" s="12">
        <f t="shared" si="160"/>
        <v>12</v>
      </c>
      <c r="I2355" s="12">
        <f t="shared" si="161"/>
        <v>2025</v>
      </c>
    </row>
    <row r="2356" spans="1:9" ht="19.5" customHeight="1" x14ac:dyDescent="0.35">
      <c r="A2356" s="41">
        <v>45995</v>
      </c>
      <c r="B2356" s="8" t="s">
        <v>24</v>
      </c>
      <c r="C2356" s="42" t="s">
        <v>33</v>
      </c>
      <c r="D2356" s="43" t="s">
        <v>30</v>
      </c>
      <c r="E2356" s="46">
        <v>0</v>
      </c>
      <c r="F2356" s="2">
        <f>IF(C2356="GBP",E2356*$C$3,IF(C2356="TRY",E2356/$C$1,IF(C2356="EUR",E2356*$E$1,IF(C2356="RUB",E2356/#REF!,IF(C2356="EGP",E2356/$E$2,E2356)))))</f>
        <v>0</v>
      </c>
      <c r="G2356" s="15" t="str">
        <f>VLOOKUP(B2356,SPECIFICATIONF!$C$2:$D$65,2,0)</f>
        <v>GLOBAL RETAIL</v>
      </c>
      <c r="H2356" s="12">
        <f t="shared" si="160"/>
        <v>12</v>
      </c>
      <c r="I2356" s="12">
        <f t="shared" si="161"/>
        <v>2025</v>
      </c>
    </row>
    <row r="2357" spans="1:9" ht="19.5" customHeight="1" x14ac:dyDescent="0.35">
      <c r="A2357" s="41">
        <v>45995</v>
      </c>
      <c r="B2357" s="8" t="s">
        <v>24</v>
      </c>
      <c r="C2357" s="42" t="s">
        <v>11</v>
      </c>
      <c r="D2357" s="43" t="s">
        <v>29</v>
      </c>
      <c r="E2357" s="46">
        <v>11286184</v>
      </c>
      <c r="F2357" s="2">
        <f>IF(C2357="GBP",E2357*$C$3,IF(C2357="TRY",E2357/$C$1,IF(C2357="EUR",E2357*$E$1,IF(C2357="RUB",E2357/#REF!,IF(C2357="EGP",E2357/$E$2,E2357)))))</f>
        <v>309491.1824147377</v>
      </c>
      <c r="G2357" s="15" t="str">
        <f>VLOOKUP(B2357,SPECIFICATIONF!$C$2:$D$65,2,0)</f>
        <v>GLOBAL RETAIL</v>
      </c>
      <c r="H2357" s="12">
        <f t="shared" si="160"/>
        <v>12</v>
      </c>
      <c r="I2357" s="12">
        <f t="shared" si="161"/>
        <v>2025</v>
      </c>
    </row>
    <row r="2358" spans="1:9" ht="19.5" customHeight="1" x14ac:dyDescent="0.35">
      <c r="A2358" s="41">
        <v>45995</v>
      </c>
      <c r="B2358" s="8" t="s">
        <v>24</v>
      </c>
      <c r="C2358" s="42" t="s">
        <v>33</v>
      </c>
      <c r="D2358" s="43" t="s">
        <v>29</v>
      </c>
      <c r="E2358" s="46">
        <v>154851</v>
      </c>
      <c r="F2358" s="2">
        <f>IF(C2358="GBP",E2358*$C$3,IF(C2358="TRY",E2358/$C$1,IF(C2358="EUR",E2358*$E$1,IF(C2358="RUB",E2358/#REF!,IF(C2358="EGP",E2358/$E$2,E2358)))))</f>
        <v>154851</v>
      </c>
      <c r="G2358" s="15" t="str">
        <f>VLOOKUP(B2358,SPECIFICATIONF!$C$2:$D$65,2,0)</f>
        <v>GLOBAL RETAIL</v>
      </c>
      <c r="H2358" s="12">
        <f t="shared" si="160"/>
        <v>12</v>
      </c>
      <c r="I2358" s="12">
        <f t="shared" si="161"/>
        <v>2025</v>
      </c>
    </row>
    <row r="2359" spans="1:9" ht="19.5" customHeight="1" x14ac:dyDescent="0.35">
      <c r="A2359" s="41">
        <v>45996</v>
      </c>
      <c r="B2359" s="8" t="s">
        <v>32</v>
      </c>
      <c r="C2359" s="42" t="s">
        <v>11</v>
      </c>
      <c r="D2359" s="43" t="s">
        <v>30</v>
      </c>
      <c r="E2359" s="46">
        <v>1514165.65</v>
      </c>
      <c r="F2359" s="2">
        <f>IF(C2359="GBP",E2359*$C$3,IF(C2359="TRY",E2359/$C$1,IF(C2359="EUR",E2359*$E$1,IF(C2359="RUB",E2359/#REF!,IF(C2359="EGP",E2359/$E$2,E2359)))))</f>
        <v>41521.64428563985</v>
      </c>
      <c r="G2359" s="15" t="str">
        <f>VLOOKUP(B2359,SPECIFICATIONF!$C$2:$D$65,2,0)</f>
        <v>GLOBAL HFT</v>
      </c>
      <c r="H2359" s="12">
        <f t="shared" ref="H2359:H2366" si="162">MONTH(A2359)</f>
        <v>12</v>
      </c>
      <c r="I2359" s="12">
        <f t="shared" ref="I2359:I2366" si="163">YEAR(A2359)</f>
        <v>2025</v>
      </c>
    </row>
    <row r="2360" spans="1:9" ht="19.5" customHeight="1" x14ac:dyDescent="0.35">
      <c r="A2360" s="41">
        <v>45996</v>
      </c>
      <c r="B2360" s="8" t="s">
        <v>32</v>
      </c>
      <c r="C2360" s="42" t="s">
        <v>33</v>
      </c>
      <c r="D2360" s="43" t="s">
        <v>30</v>
      </c>
      <c r="E2360" s="46">
        <v>7946.24</v>
      </c>
      <c r="F2360" s="2">
        <f>IF(C2360="GBP",E2360*$C$3,IF(C2360="TRY",E2360/$C$1,IF(C2360="EUR",E2360*$E$1,IF(C2360="RUB",E2360/#REF!,IF(C2360="EGP",E2360/$E$2,E2360)))))</f>
        <v>7946.24</v>
      </c>
      <c r="G2360" s="15" t="str">
        <f>VLOOKUP(B2360,SPECIFICATIONF!$C$2:$D$65,2,0)</f>
        <v>GLOBAL HFT</v>
      </c>
      <c r="H2360" s="12">
        <f t="shared" si="162"/>
        <v>12</v>
      </c>
      <c r="I2360" s="12">
        <f t="shared" si="163"/>
        <v>2025</v>
      </c>
    </row>
    <row r="2361" spans="1:9" ht="19.5" customHeight="1" x14ac:dyDescent="0.35">
      <c r="A2361" s="41">
        <v>45996</v>
      </c>
      <c r="B2361" s="8" t="s">
        <v>32</v>
      </c>
      <c r="C2361" s="42" t="s">
        <v>11</v>
      </c>
      <c r="D2361" s="43" t="s">
        <v>29</v>
      </c>
      <c r="E2361" s="46">
        <v>5511362583</v>
      </c>
      <c r="F2361" s="2">
        <f>IF(C2361="GBP",E2361*$C$3,IF(C2361="TRY",E2361/$C$1,IF(C2361="EUR",E2361*$E$1,IF(C2361="RUB",E2361/#REF!,IF(C2361="EGP",E2361/$E$2,E2361)))))</f>
        <v>151133290.27145162</v>
      </c>
      <c r="G2361" s="15" t="str">
        <f>VLOOKUP(B2361,SPECIFICATIONF!$C$2:$D$65,2,0)</f>
        <v>GLOBAL HFT</v>
      </c>
      <c r="H2361" s="12">
        <f t="shared" si="162"/>
        <v>12</v>
      </c>
      <c r="I2361" s="12">
        <f t="shared" si="163"/>
        <v>2025</v>
      </c>
    </row>
    <row r="2362" spans="1:9" ht="19.5" customHeight="1" x14ac:dyDescent="0.35">
      <c r="A2362" s="41">
        <v>45996</v>
      </c>
      <c r="B2362" s="8" t="s">
        <v>32</v>
      </c>
      <c r="C2362" s="42" t="s">
        <v>33</v>
      </c>
      <c r="D2362" s="43" t="s">
        <v>29</v>
      </c>
      <c r="E2362" s="46">
        <v>25919424</v>
      </c>
      <c r="F2362" s="2">
        <f>IF(C2362="GBP",E2362*$C$3,IF(C2362="TRY",E2362/$C$1,IF(C2362="EUR",E2362*$E$1,IF(C2362="RUB",E2362/#REF!,IF(C2362="EGP",E2362/$E$2,E2362)))))</f>
        <v>25919424</v>
      </c>
      <c r="G2362" s="15" t="str">
        <f>VLOOKUP(B2362,SPECIFICATIONF!$C$2:$D$65,2,0)</f>
        <v>GLOBAL HFT</v>
      </c>
      <c r="H2362" s="12">
        <f t="shared" si="162"/>
        <v>12</v>
      </c>
      <c r="I2362" s="12">
        <f t="shared" si="163"/>
        <v>2025</v>
      </c>
    </row>
    <row r="2363" spans="1:9" ht="19.5" customHeight="1" x14ac:dyDescent="0.35">
      <c r="A2363" s="41">
        <v>45996</v>
      </c>
      <c r="B2363" s="8" t="s">
        <v>24</v>
      </c>
      <c r="C2363" s="42" t="s">
        <v>11</v>
      </c>
      <c r="D2363" s="43" t="s">
        <v>30</v>
      </c>
      <c r="E2363" s="46">
        <v>0</v>
      </c>
      <c r="F2363" s="2">
        <f>IF(C2363="GBP",E2363*$C$3,IF(C2363="TRY",E2363/$C$1,IF(C2363="EUR",E2363*$E$1,IF(C2363="RUB",E2363/#REF!,IF(C2363="EGP",E2363/$E$2,E2363)))))</f>
        <v>0</v>
      </c>
      <c r="G2363" s="15" t="str">
        <f>VLOOKUP(B2363,SPECIFICATIONF!$C$2:$D$65,2,0)</f>
        <v>GLOBAL RETAIL</v>
      </c>
      <c r="H2363" s="12">
        <f t="shared" si="162"/>
        <v>12</v>
      </c>
      <c r="I2363" s="12">
        <f t="shared" si="163"/>
        <v>2025</v>
      </c>
    </row>
    <row r="2364" spans="1:9" ht="19.5" customHeight="1" x14ac:dyDescent="0.35">
      <c r="A2364" s="41">
        <v>45996</v>
      </c>
      <c r="B2364" s="8" t="s">
        <v>24</v>
      </c>
      <c r="C2364" s="42" t="s">
        <v>33</v>
      </c>
      <c r="D2364" s="43" t="s">
        <v>30</v>
      </c>
      <c r="E2364" s="46">
        <v>0</v>
      </c>
      <c r="F2364" s="2">
        <f>IF(C2364="GBP",E2364*$C$3,IF(C2364="TRY",E2364/$C$1,IF(C2364="EUR",E2364*$E$1,IF(C2364="RUB",E2364/#REF!,IF(C2364="EGP",E2364/$E$2,E2364)))))</f>
        <v>0</v>
      </c>
      <c r="G2364" s="15" t="str">
        <f>VLOOKUP(B2364,SPECIFICATIONF!$C$2:$D$65,2,0)</f>
        <v>GLOBAL RETAIL</v>
      </c>
      <c r="H2364" s="12">
        <f t="shared" si="162"/>
        <v>12</v>
      </c>
      <c r="I2364" s="12">
        <f t="shared" si="163"/>
        <v>2025</v>
      </c>
    </row>
    <row r="2365" spans="1:9" ht="19.5" customHeight="1" x14ac:dyDescent="0.35">
      <c r="A2365" s="41">
        <v>45996</v>
      </c>
      <c r="B2365" s="8" t="s">
        <v>24</v>
      </c>
      <c r="C2365" s="42" t="s">
        <v>11</v>
      </c>
      <c r="D2365" s="43" t="s">
        <v>29</v>
      </c>
      <c r="E2365" s="46">
        <v>273026</v>
      </c>
      <c r="F2365" s="2">
        <f>IF(C2365="GBP",E2365*$C$3,IF(C2365="TRY",E2365/$C$1,IF(C2365="EUR",E2365*$E$1,IF(C2365="RUB",E2365/#REF!,IF(C2365="EGP",E2365/$E$2,E2365)))))</f>
        <v>7486.9539225983008</v>
      </c>
      <c r="G2365" s="15" t="str">
        <f>VLOOKUP(B2365,SPECIFICATIONF!$C$2:$D$65,2,0)</f>
        <v>GLOBAL RETAIL</v>
      </c>
      <c r="H2365" s="12">
        <f t="shared" si="162"/>
        <v>12</v>
      </c>
      <c r="I2365" s="12">
        <f t="shared" si="163"/>
        <v>2025</v>
      </c>
    </row>
    <row r="2366" spans="1:9" ht="19.5" customHeight="1" x14ac:dyDescent="0.35">
      <c r="A2366" s="41">
        <v>45996</v>
      </c>
      <c r="B2366" s="8" t="s">
        <v>24</v>
      </c>
      <c r="C2366" s="42" t="s">
        <v>33</v>
      </c>
      <c r="D2366" s="43" t="s">
        <v>29</v>
      </c>
      <c r="E2366" s="46">
        <v>0</v>
      </c>
      <c r="F2366" s="2">
        <f>IF(C2366="GBP",E2366*$C$3,IF(C2366="TRY",E2366/$C$1,IF(C2366="EUR",E2366*$E$1,IF(C2366="RUB",E2366/#REF!,IF(C2366="EGP",E2366/$E$2,E2366)))))</f>
        <v>0</v>
      </c>
      <c r="G2366" s="15" t="str">
        <f>VLOOKUP(B2366,SPECIFICATIONF!$C$2:$D$65,2,0)</f>
        <v>GLOBAL RETAIL</v>
      </c>
      <c r="H2366" s="12">
        <f t="shared" si="162"/>
        <v>12</v>
      </c>
      <c r="I2366" s="12">
        <f t="shared" si="163"/>
        <v>2025</v>
      </c>
    </row>
    <row r="2367" spans="1:9" ht="19.5" customHeight="1" x14ac:dyDescent="0.35">
      <c r="A2367" s="41">
        <v>45997</v>
      </c>
      <c r="B2367" s="8" t="s">
        <v>32</v>
      </c>
      <c r="C2367" s="42" t="s">
        <v>11</v>
      </c>
      <c r="D2367" s="43" t="s">
        <v>30</v>
      </c>
      <c r="E2367" s="46">
        <v>1408798.49</v>
      </c>
      <c r="F2367" s="2">
        <f>IF(C2367="GBP",E2367*$C$3,IF(C2367="TRY",E2367/$C$1,IF(C2367="EUR",E2367*$E$1,IF(C2367="RUB",E2367/#REF!,IF(C2367="EGP",E2367/$E$2,E2367)))))</f>
        <v>38632.252535861284</v>
      </c>
      <c r="G2367" s="15" t="str">
        <f>VLOOKUP(B2367,SPECIFICATIONF!$C$2:$D$65,2,0)</f>
        <v>GLOBAL HFT</v>
      </c>
      <c r="H2367" s="12">
        <f t="shared" ref="H2367:H2390" si="164">MONTH(A2367)</f>
        <v>12</v>
      </c>
      <c r="I2367" s="12">
        <f t="shared" ref="I2367:I2390" si="165">YEAR(A2367)</f>
        <v>2025</v>
      </c>
    </row>
    <row r="2368" spans="1:9" ht="19.5" customHeight="1" x14ac:dyDescent="0.35">
      <c r="A2368" s="41">
        <v>45997</v>
      </c>
      <c r="B2368" s="8" t="s">
        <v>32</v>
      </c>
      <c r="C2368" s="42" t="s">
        <v>33</v>
      </c>
      <c r="D2368" s="43" t="s">
        <v>30</v>
      </c>
      <c r="E2368" s="46">
        <v>5969.73</v>
      </c>
      <c r="F2368" s="2">
        <f>IF(C2368="GBP",E2368*$C$3,IF(C2368="TRY",E2368/$C$1,IF(C2368="EUR",E2368*$E$1,IF(C2368="RUB",E2368/#REF!,IF(C2368="EGP",E2368/$E$2,E2368)))))</f>
        <v>5969.73</v>
      </c>
      <c r="G2368" s="15" t="str">
        <f>VLOOKUP(B2368,SPECIFICATIONF!$C$2:$D$65,2,0)</f>
        <v>GLOBAL HFT</v>
      </c>
      <c r="H2368" s="12">
        <f t="shared" si="164"/>
        <v>12</v>
      </c>
      <c r="I2368" s="12">
        <f t="shared" si="165"/>
        <v>2025</v>
      </c>
    </row>
    <row r="2369" spans="1:9" ht="19.5" customHeight="1" x14ac:dyDescent="0.35">
      <c r="A2369" s="41">
        <v>45997</v>
      </c>
      <c r="B2369" s="8" t="s">
        <v>32</v>
      </c>
      <c r="C2369" s="42" t="s">
        <v>11</v>
      </c>
      <c r="D2369" s="43" t="s">
        <v>29</v>
      </c>
      <c r="E2369" s="46">
        <v>5216152292</v>
      </c>
      <c r="F2369" s="2">
        <f>IF(C2369="GBP",E2369*$C$3,IF(C2369="TRY",E2369/$C$1,IF(C2369="EUR",E2369*$E$1,IF(C2369="RUB",E2369/#REF!,IF(C2369="EGP",E2369/$E$2,E2369)))))</f>
        <v>143037995.88119635</v>
      </c>
      <c r="G2369" s="15" t="str">
        <f>VLOOKUP(B2369,SPECIFICATIONF!$C$2:$D$65,2,0)</f>
        <v>GLOBAL HFT</v>
      </c>
      <c r="H2369" s="12">
        <f t="shared" si="164"/>
        <v>12</v>
      </c>
      <c r="I2369" s="12">
        <f t="shared" si="165"/>
        <v>2025</v>
      </c>
    </row>
    <row r="2370" spans="1:9" ht="19.5" customHeight="1" x14ac:dyDescent="0.35">
      <c r="A2370" s="41">
        <v>45997</v>
      </c>
      <c r="B2370" s="8" t="s">
        <v>32</v>
      </c>
      <c r="C2370" s="42" t="s">
        <v>33</v>
      </c>
      <c r="D2370" s="43" t="s">
        <v>29</v>
      </c>
      <c r="E2370" s="46">
        <v>19013387</v>
      </c>
      <c r="F2370" s="2">
        <f>IF(C2370="GBP",E2370*$C$3,IF(C2370="TRY",E2370/$C$1,IF(C2370="EUR",E2370*$E$1,IF(C2370="RUB",E2370/#REF!,IF(C2370="EGP",E2370/$E$2,E2370)))))</f>
        <v>19013387</v>
      </c>
      <c r="G2370" s="15" t="str">
        <f>VLOOKUP(B2370,SPECIFICATIONF!$C$2:$D$65,2,0)</f>
        <v>GLOBAL HFT</v>
      </c>
      <c r="H2370" s="12">
        <f t="shared" si="164"/>
        <v>12</v>
      </c>
      <c r="I2370" s="12">
        <f t="shared" si="165"/>
        <v>2025</v>
      </c>
    </row>
    <row r="2371" spans="1:9" ht="19.5" customHeight="1" x14ac:dyDescent="0.35">
      <c r="A2371" s="41">
        <v>45997</v>
      </c>
      <c r="B2371" s="8" t="s">
        <v>24</v>
      </c>
      <c r="C2371" s="42" t="s">
        <v>11</v>
      </c>
      <c r="D2371" s="43" t="s">
        <v>30</v>
      </c>
      <c r="E2371" s="46">
        <v>0</v>
      </c>
      <c r="F2371" s="2">
        <f>IF(C2371="GBP",E2371*$C$3,IF(C2371="TRY",E2371/$C$1,IF(C2371="EUR",E2371*$E$1,IF(C2371="RUB",E2371/#REF!,IF(C2371="EGP",E2371/$E$2,E2371)))))</f>
        <v>0</v>
      </c>
      <c r="G2371" s="15" t="str">
        <f>VLOOKUP(B2371,SPECIFICATIONF!$C$2:$D$65,2,0)</f>
        <v>GLOBAL RETAIL</v>
      </c>
      <c r="H2371" s="12">
        <f t="shared" si="164"/>
        <v>12</v>
      </c>
      <c r="I2371" s="12">
        <f t="shared" si="165"/>
        <v>2025</v>
      </c>
    </row>
    <row r="2372" spans="1:9" ht="19.5" customHeight="1" x14ac:dyDescent="0.35">
      <c r="A2372" s="41">
        <v>45997</v>
      </c>
      <c r="B2372" s="8" t="s">
        <v>24</v>
      </c>
      <c r="C2372" s="42" t="s">
        <v>33</v>
      </c>
      <c r="D2372" s="43" t="s">
        <v>30</v>
      </c>
      <c r="E2372" s="46">
        <v>0</v>
      </c>
      <c r="F2372" s="2">
        <f>IF(C2372="GBP",E2372*$C$3,IF(C2372="TRY",E2372/$C$1,IF(C2372="EUR",E2372*$E$1,IF(C2372="RUB",E2372/#REF!,IF(C2372="EGP",E2372/$E$2,E2372)))))</f>
        <v>0</v>
      </c>
      <c r="G2372" s="15" t="str">
        <f>VLOOKUP(B2372,SPECIFICATIONF!$C$2:$D$65,2,0)</f>
        <v>GLOBAL RETAIL</v>
      </c>
      <c r="H2372" s="12">
        <f t="shared" si="164"/>
        <v>12</v>
      </c>
      <c r="I2372" s="12">
        <f t="shared" si="165"/>
        <v>2025</v>
      </c>
    </row>
    <row r="2373" spans="1:9" ht="19.5" customHeight="1" x14ac:dyDescent="0.35">
      <c r="A2373" s="41">
        <v>45997</v>
      </c>
      <c r="B2373" s="8" t="s">
        <v>24</v>
      </c>
      <c r="C2373" s="42" t="s">
        <v>11</v>
      </c>
      <c r="D2373" s="43" t="s">
        <v>29</v>
      </c>
      <c r="E2373" s="46">
        <v>17384030</v>
      </c>
      <c r="F2373" s="2">
        <f>IF(C2373="GBP",E2373*$C$3,IF(C2373="TRY",E2373/$C$1,IF(C2373="EUR",E2373*$E$1,IF(C2373="RUB",E2373/#REF!,IF(C2373="EGP",E2373/$E$2,E2373)))))</f>
        <v>476707.09602406563</v>
      </c>
      <c r="G2373" s="15" t="str">
        <f>VLOOKUP(B2373,SPECIFICATIONF!$C$2:$D$65,2,0)</f>
        <v>GLOBAL RETAIL</v>
      </c>
      <c r="H2373" s="12">
        <f t="shared" si="164"/>
        <v>12</v>
      </c>
      <c r="I2373" s="12">
        <f t="shared" si="165"/>
        <v>2025</v>
      </c>
    </row>
    <row r="2374" spans="1:9" ht="19.5" customHeight="1" x14ac:dyDescent="0.35">
      <c r="A2374" s="41">
        <v>45997</v>
      </c>
      <c r="B2374" s="8" t="s">
        <v>24</v>
      </c>
      <c r="C2374" s="42" t="s">
        <v>33</v>
      </c>
      <c r="D2374" s="43" t="s">
        <v>29</v>
      </c>
      <c r="E2374" s="46">
        <v>0</v>
      </c>
      <c r="F2374" s="2">
        <f>IF(C2374="GBP",E2374*$C$3,IF(C2374="TRY",E2374/$C$1,IF(C2374="EUR",E2374*$E$1,IF(C2374="RUB",E2374/#REF!,IF(C2374="EGP",E2374/$E$2,E2374)))))</f>
        <v>0</v>
      </c>
      <c r="G2374" s="15" t="str">
        <f>VLOOKUP(B2374,SPECIFICATIONF!$C$2:$D$65,2,0)</f>
        <v>GLOBAL RETAIL</v>
      </c>
      <c r="H2374" s="12">
        <f t="shared" si="164"/>
        <v>12</v>
      </c>
      <c r="I2374" s="12">
        <f t="shared" si="165"/>
        <v>2025</v>
      </c>
    </row>
    <row r="2375" spans="1:9" ht="19.5" customHeight="1" x14ac:dyDescent="0.35">
      <c r="A2375" s="41">
        <v>45998</v>
      </c>
      <c r="B2375" s="8" t="s">
        <v>32</v>
      </c>
      <c r="C2375" s="42" t="s">
        <v>11</v>
      </c>
      <c r="D2375" s="43" t="s">
        <v>30</v>
      </c>
      <c r="E2375" s="46">
        <v>1400282.3</v>
      </c>
      <c r="F2375" s="2">
        <f>IF(C2375="GBP",E2375*$C$3,IF(C2375="TRY",E2375/$C$1,IF(C2375="EUR",E2375*$E$1,IF(C2375="RUB",E2375/#REF!,IF(C2375="EGP",E2375/$E$2,E2375)))))</f>
        <v>38398.720483506957</v>
      </c>
      <c r="G2375" s="15" t="str">
        <f>VLOOKUP(B2375,SPECIFICATIONF!$C$2:$D$65,2,0)</f>
        <v>GLOBAL HFT</v>
      </c>
      <c r="H2375" s="12">
        <f t="shared" si="164"/>
        <v>12</v>
      </c>
      <c r="I2375" s="12">
        <f t="shared" si="165"/>
        <v>2025</v>
      </c>
    </row>
    <row r="2376" spans="1:9" ht="19.5" customHeight="1" x14ac:dyDescent="0.35">
      <c r="A2376" s="41">
        <v>45998</v>
      </c>
      <c r="B2376" s="8" t="s">
        <v>32</v>
      </c>
      <c r="C2376" s="42" t="s">
        <v>33</v>
      </c>
      <c r="D2376" s="43" t="s">
        <v>30</v>
      </c>
      <c r="E2376" s="46">
        <v>6986.87</v>
      </c>
      <c r="F2376" s="2">
        <f>IF(C2376="GBP",E2376*$C$3,IF(C2376="TRY",E2376/$C$1,IF(C2376="EUR",E2376*$E$1,IF(C2376="RUB",E2376/#REF!,IF(C2376="EGP",E2376/$E$2,E2376)))))</f>
        <v>6986.87</v>
      </c>
      <c r="G2376" s="15" t="str">
        <f>VLOOKUP(B2376,SPECIFICATIONF!$C$2:$D$65,2,0)</f>
        <v>GLOBAL HFT</v>
      </c>
      <c r="H2376" s="12">
        <f t="shared" si="164"/>
        <v>12</v>
      </c>
      <c r="I2376" s="12">
        <f t="shared" si="165"/>
        <v>2025</v>
      </c>
    </row>
    <row r="2377" spans="1:9" ht="19.5" customHeight="1" x14ac:dyDescent="0.35">
      <c r="A2377" s="41">
        <v>45998</v>
      </c>
      <c r="B2377" s="8" t="s">
        <v>32</v>
      </c>
      <c r="C2377" s="42" t="s">
        <v>11</v>
      </c>
      <c r="D2377" s="43" t="s">
        <v>29</v>
      </c>
      <c r="E2377" s="46">
        <v>5110770625</v>
      </c>
      <c r="F2377" s="2">
        <f>IF(C2377="GBP",E2377*$C$3,IF(C2377="TRY",E2377/$C$1,IF(C2377="EUR",E2377*$E$1,IF(C2377="RUB",E2377/#REF!,IF(C2377="EGP",E2377/$E$2,E2377)))))</f>
        <v>140148206.31860673</v>
      </c>
      <c r="G2377" s="15" t="str">
        <f>VLOOKUP(B2377,SPECIFICATIONF!$C$2:$D$65,2,0)</f>
        <v>GLOBAL HFT</v>
      </c>
      <c r="H2377" s="12">
        <f t="shared" si="164"/>
        <v>12</v>
      </c>
      <c r="I2377" s="12">
        <f t="shared" si="165"/>
        <v>2025</v>
      </c>
    </row>
    <row r="2378" spans="1:9" ht="19.5" customHeight="1" x14ac:dyDescent="0.35">
      <c r="A2378" s="41">
        <v>45998</v>
      </c>
      <c r="B2378" s="8" t="s">
        <v>32</v>
      </c>
      <c r="C2378" s="42" t="s">
        <v>33</v>
      </c>
      <c r="D2378" s="43" t="s">
        <v>29</v>
      </c>
      <c r="E2378" s="46">
        <v>22243591</v>
      </c>
      <c r="F2378" s="2">
        <f>IF(C2378="GBP",E2378*$C$3,IF(C2378="TRY",E2378/$C$1,IF(C2378="EUR",E2378*$E$1,IF(C2378="RUB",E2378/#REF!,IF(C2378="EGP",E2378/$E$2,E2378)))))</f>
        <v>22243591</v>
      </c>
      <c r="G2378" s="15" t="str">
        <f>VLOOKUP(B2378,SPECIFICATIONF!$C$2:$D$65,2,0)</f>
        <v>GLOBAL HFT</v>
      </c>
      <c r="H2378" s="12">
        <f t="shared" si="164"/>
        <v>12</v>
      </c>
      <c r="I2378" s="12">
        <f t="shared" si="165"/>
        <v>2025</v>
      </c>
    </row>
    <row r="2379" spans="1:9" ht="19.5" customHeight="1" x14ac:dyDescent="0.35">
      <c r="A2379" s="41">
        <v>45998</v>
      </c>
      <c r="B2379" s="8" t="s">
        <v>24</v>
      </c>
      <c r="C2379" s="42" t="s">
        <v>11</v>
      </c>
      <c r="D2379" s="43" t="s">
        <v>30</v>
      </c>
      <c r="E2379" s="46">
        <v>0</v>
      </c>
      <c r="F2379" s="2">
        <f>IF(C2379="GBP",E2379*$C$3,IF(C2379="TRY",E2379/$C$1,IF(C2379="EUR",E2379*$E$1,IF(C2379="RUB",E2379/#REF!,IF(C2379="EGP",E2379/$E$2,E2379)))))</f>
        <v>0</v>
      </c>
      <c r="G2379" s="15" t="str">
        <f>VLOOKUP(B2379,SPECIFICATIONF!$C$2:$D$65,2,0)</f>
        <v>GLOBAL RETAIL</v>
      </c>
      <c r="H2379" s="12">
        <f t="shared" si="164"/>
        <v>12</v>
      </c>
      <c r="I2379" s="12">
        <f t="shared" si="165"/>
        <v>2025</v>
      </c>
    </row>
    <row r="2380" spans="1:9" ht="19.5" customHeight="1" x14ac:dyDescent="0.35">
      <c r="A2380" s="41">
        <v>45998</v>
      </c>
      <c r="B2380" s="8" t="s">
        <v>24</v>
      </c>
      <c r="C2380" s="42" t="s">
        <v>33</v>
      </c>
      <c r="D2380" s="43" t="s">
        <v>30</v>
      </c>
      <c r="E2380" s="46">
        <v>0</v>
      </c>
      <c r="F2380" s="2">
        <f>IF(C2380="GBP",E2380*$C$3,IF(C2380="TRY",E2380/$C$1,IF(C2380="EUR",E2380*$E$1,IF(C2380="RUB",E2380/#REF!,IF(C2380="EGP",E2380/$E$2,E2380)))))</f>
        <v>0</v>
      </c>
      <c r="G2380" s="15" t="str">
        <f>VLOOKUP(B2380,SPECIFICATIONF!$C$2:$D$65,2,0)</f>
        <v>GLOBAL RETAIL</v>
      </c>
      <c r="H2380" s="12">
        <f t="shared" si="164"/>
        <v>12</v>
      </c>
      <c r="I2380" s="12">
        <f t="shared" si="165"/>
        <v>2025</v>
      </c>
    </row>
    <row r="2381" spans="1:9" ht="19.5" customHeight="1" x14ac:dyDescent="0.35">
      <c r="A2381" s="41">
        <v>45998</v>
      </c>
      <c r="B2381" s="8" t="s">
        <v>24</v>
      </c>
      <c r="C2381" s="42" t="s">
        <v>11</v>
      </c>
      <c r="D2381" s="43" t="s">
        <v>29</v>
      </c>
      <c r="E2381" s="46">
        <v>2355044</v>
      </c>
      <c r="F2381" s="2">
        <f>IF(C2381="GBP",E2381*$C$3,IF(C2381="TRY",E2381/$C$1,IF(C2381="EUR",E2381*$E$1,IF(C2381="RUB",E2381/#REF!,IF(C2381="EGP",E2381/$E$2,E2381)))))</f>
        <v>64580.318041840677</v>
      </c>
      <c r="G2381" s="15" t="str">
        <f>VLOOKUP(B2381,SPECIFICATIONF!$C$2:$D$65,2,0)</f>
        <v>GLOBAL RETAIL</v>
      </c>
      <c r="H2381" s="12">
        <f t="shared" si="164"/>
        <v>12</v>
      </c>
      <c r="I2381" s="12">
        <f t="shared" si="165"/>
        <v>2025</v>
      </c>
    </row>
    <row r="2382" spans="1:9" ht="19.5" customHeight="1" x14ac:dyDescent="0.35">
      <c r="A2382" s="41">
        <v>45998</v>
      </c>
      <c r="B2382" s="8" t="s">
        <v>24</v>
      </c>
      <c r="C2382" s="42" t="s">
        <v>33</v>
      </c>
      <c r="D2382" s="43" t="s">
        <v>29</v>
      </c>
      <c r="E2382" s="46">
        <v>86</v>
      </c>
      <c r="F2382" s="2">
        <f>IF(C2382="GBP",E2382*$C$3,IF(C2382="TRY",E2382/$C$1,IF(C2382="EUR",E2382*$E$1,IF(C2382="RUB",E2382/#REF!,IF(C2382="EGP",E2382/$E$2,E2382)))))</f>
        <v>86</v>
      </c>
      <c r="G2382" s="15" t="str">
        <f>VLOOKUP(B2382,SPECIFICATIONF!$C$2:$D$65,2,0)</f>
        <v>GLOBAL RETAIL</v>
      </c>
      <c r="H2382" s="12">
        <f t="shared" si="164"/>
        <v>12</v>
      </c>
      <c r="I2382" s="12">
        <f t="shared" si="165"/>
        <v>2025</v>
      </c>
    </row>
    <row r="2383" spans="1:9" ht="19.5" customHeight="1" x14ac:dyDescent="0.35">
      <c r="A2383" s="41">
        <v>45999</v>
      </c>
      <c r="B2383" s="8" t="s">
        <v>32</v>
      </c>
      <c r="C2383" s="42" t="s">
        <v>11</v>
      </c>
      <c r="D2383" s="43" t="s">
        <v>30</v>
      </c>
      <c r="E2383" s="46">
        <v>1400382.98</v>
      </c>
      <c r="F2383" s="2">
        <f>IF(C2383="GBP",E2383*$C$3,IF(C2383="TRY",E2383/$C$1,IF(C2383="EUR",E2383*$E$1,IF(C2383="RUB",E2383/#REF!,IF(C2383="EGP",E2383/$E$2,E2383)))))</f>
        <v>38401.481343355204</v>
      </c>
      <c r="G2383" s="15" t="str">
        <f>VLOOKUP(B2383,SPECIFICATIONF!$C$2:$D$65,2,0)</f>
        <v>GLOBAL HFT</v>
      </c>
      <c r="H2383" s="12">
        <f t="shared" si="164"/>
        <v>12</v>
      </c>
      <c r="I2383" s="12">
        <f t="shared" si="165"/>
        <v>2025</v>
      </c>
    </row>
    <row r="2384" spans="1:9" ht="19.5" customHeight="1" x14ac:dyDescent="0.35">
      <c r="A2384" s="41">
        <v>45999</v>
      </c>
      <c r="B2384" s="8" t="s">
        <v>32</v>
      </c>
      <c r="C2384" s="42" t="s">
        <v>33</v>
      </c>
      <c r="D2384" s="43" t="s">
        <v>30</v>
      </c>
      <c r="E2384" s="46">
        <v>7761.01</v>
      </c>
      <c r="F2384" s="2">
        <f>IF(C2384="GBP",E2384*$C$3,IF(C2384="TRY",E2384/$C$1,IF(C2384="EUR",E2384*$E$1,IF(C2384="RUB",E2384/#REF!,IF(C2384="EGP",E2384/$E$2,E2384)))))</f>
        <v>7761.01</v>
      </c>
      <c r="G2384" s="15" t="str">
        <f>VLOOKUP(B2384,SPECIFICATIONF!$C$2:$D$65,2,0)</f>
        <v>GLOBAL HFT</v>
      </c>
      <c r="H2384" s="12">
        <f t="shared" si="164"/>
        <v>12</v>
      </c>
      <c r="I2384" s="12">
        <f t="shared" si="165"/>
        <v>2025</v>
      </c>
    </row>
    <row r="2385" spans="1:9" ht="19.5" customHeight="1" x14ac:dyDescent="0.35">
      <c r="A2385" s="41">
        <v>45999</v>
      </c>
      <c r="B2385" s="8" t="s">
        <v>32</v>
      </c>
      <c r="C2385" s="42" t="s">
        <v>11</v>
      </c>
      <c r="D2385" s="43" t="s">
        <v>29</v>
      </c>
      <c r="E2385" s="46">
        <v>4953180977</v>
      </c>
      <c r="F2385" s="2">
        <f>IF(C2385="GBP",E2385*$C$3,IF(C2385="TRY",E2385/$C$1,IF(C2385="EUR",E2385*$E$1,IF(C2385="RUB",E2385/#REF!,IF(C2385="EGP",E2385/$E$2,E2385)))))</f>
        <v>135826762.81778818</v>
      </c>
      <c r="G2385" s="15" t="str">
        <f>VLOOKUP(B2385,SPECIFICATIONF!$C$2:$D$65,2,0)</f>
        <v>GLOBAL HFT</v>
      </c>
      <c r="H2385" s="12">
        <f t="shared" si="164"/>
        <v>12</v>
      </c>
      <c r="I2385" s="12">
        <f t="shared" si="165"/>
        <v>2025</v>
      </c>
    </row>
    <row r="2386" spans="1:9" ht="19.5" customHeight="1" x14ac:dyDescent="0.35">
      <c r="A2386" s="41">
        <v>45999</v>
      </c>
      <c r="B2386" s="8" t="s">
        <v>32</v>
      </c>
      <c r="C2386" s="42" t="s">
        <v>33</v>
      </c>
      <c r="D2386" s="43" t="s">
        <v>29</v>
      </c>
      <c r="E2386" s="46">
        <v>26043793</v>
      </c>
      <c r="F2386" s="2">
        <f>IF(C2386="GBP",E2386*$C$3,IF(C2386="TRY",E2386/$C$1,IF(C2386="EUR",E2386*$E$1,IF(C2386="RUB",E2386/#REF!,IF(C2386="EGP",E2386/$E$2,E2386)))))</f>
        <v>26043793</v>
      </c>
      <c r="G2386" s="15" t="str">
        <f>VLOOKUP(B2386,SPECIFICATIONF!$C$2:$D$65,2,0)</f>
        <v>GLOBAL HFT</v>
      </c>
      <c r="H2386" s="12">
        <f t="shared" si="164"/>
        <v>12</v>
      </c>
      <c r="I2386" s="12">
        <f t="shared" si="165"/>
        <v>2025</v>
      </c>
    </row>
    <row r="2387" spans="1:9" ht="19.5" customHeight="1" x14ac:dyDescent="0.35">
      <c r="A2387" s="41">
        <v>45999</v>
      </c>
      <c r="B2387" s="8" t="s">
        <v>24</v>
      </c>
      <c r="C2387" s="42" t="s">
        <v>11</v>
      </c>
      <c r="D2387" s="43" t="s">
        <v>30</v>
      </c>
      <c r="E2387" s="46">
        <v>0</v>
      </c>
      <c r="F2387" s="2">
        <f>IF(C2387="GBP",E2387*$C$3,IF(C2387="TRY",E2387/$C$1,IF(C2387="EUR",E2387*$E$1,IF(C2387="RUB",E2387/#REF!,IF(C2387="EGP",E2387/$E$2,E2387)))))</f>
        <v>0</v>
      </c>
      <c r="G2387" s="15" t="str">
        <f>VLOOKUP(B2387,SPECIFICATIONF!$C$2:$D$65,2,0)</f>
        <v>GLOBAL RETAIL</v>
      </c>
      <c r="H2387" s="12">
        <f t="shared" si="164"/>
        <v>12</v>
      </c>
      <c r="I2387" s="12">
        <f t="shared" si="165"/>
        <v>2025</v>
      </c>
    </row>
    <row r="2388" spans="1:9" ht="19.5" customHeight="1" x14ac:dyDescent="0.35">
      <c r="A2388" s="41">
        <v>45999</v>
      </c>
      <c r="B2388" s="8" t="s">
        <v>24</v>
      </c>
      <c r="C2388" s="42" t="s">
        <v>33</v>
      </c>
      <c r="D2388" s="43" t="s">
        <v>30</v>
      </c>
      <c r="E2388" s="46">
        <v>0</v>
      </c>
      <c r="F2388" s="2">
        <f>IF(C2388="GBP",E2388*$C$3,IF(C2388="TRY",E2388/$C$1,IF(C2388="EUR",E2388*$E$1,IF(C2388="RUB",E2388/#REF!,IF(C2388="EGP",E2388/$E$2,E2388)))))</f>
        <v>0</v>
      </c>
      <c r="G2388" s="15" t="str">
        <f>VLOOKUP(B2388,SPECIFICATIONF!$C$2:$D$65,2,0)</f>
        <v>GLOBAL RETAIL</v>
      </c>
      <c r="H2388" s="12">
        <f t="shared" si="164"/>
        <v>12</v>
      </c>
      <c r="I2388" s="12">
        <f t="shared" si="165"/>
        <v>2025</v>
      </c>
    </row>
    <row r="2389" spans="1:9" ht="19.5" customHeight="1" x14ac:dyDescent="0.35">
      <c r="A2389" s="41">
        <v>45999</v>
      </c>
      <c r="B2389" s="8" t="s">
        <v>24</v>
      </c>
      <c r="C2389" s="42" t="s">
        <v>11</v>
      </c>
      <c r="D2389" s="43" t="s">
        <v>29</v>
      </c>
      <c r="E2389" s="46">
        <v>171561</v>
      </c>
      <c r="F2389" s="2">
        <f>IF(C2389="GBP",E2389*$C$3,IF(C2389="TRY",E2389/$C$1,IF(C2389="EUR",E2389*$E$1,IF(C2389="RUB",E2389/#REF!,IF(C2389="EGP",E2389/$E$2,E2389)))))</f>
        <v>4704.5677038629547</v>
      </c>
      <c r="G2389" s="15" t="str">
        <f>VLOOKUP(B2389,SPECIFICATIONF!$C$2:$D$65,2,0)</f>
        <v>GLOBAL RETAIL</v>
      </c>
      <c r="H2389" s="12">
        <f t="shared" si="164"/>
        <v>12</v>
      </c>
      <c r="I2389" s="12">
        <f t="shared" si="165"/>
        <v>2025</v>
      </c>
    </row>
    <row r="2390" spans="1:9" ht="19.5" customHeight="1" x14ac:dyDescent="0.35">
      <c r="A2390" s="41">
        <v>45999</v>
      </c>
      <c r="B2390" s="8" t="s">
        <v>24</v>
      </c>
      <c r="C2390" s="42" t="s">
        <v>33</v>
      </c>
      <c r="D2390" s="43" t="s">
        <v>29</v>
      </c>
      <c r="E2390" s="46">
        <v>0</v>
      </c>
      <c r="F2390" s="2">
        <f>IF(C2390="GBP",E2390*$C$3,IF(C2390="TRY",E2390/$C$1,IF(C2390="EUR",E2390*$E$1,IF(C2390="RUB",E2390/#REF!,IF(C2390="EGP",E2390/$E$2,E2390)))))</f>
        <v>0</v>
      </c>
      <c r="G2390" s="15" t="str">
        <f>VLOOKUP(B2390,SPECIFICATIONF!$C$2:$D$65,2,0)</f>
        <v>GLOBAL RETAIL</v>
      </c>
      <c r="H2390" s="12">
        <f t="shared" si="164"/>
        <v>12</v>
      </c>
      <c r="I2390" s="12">
        <f t="shared" si="165"/>
        <v>2025</v>
      </c>
    </row>
    <row r="2391" spans="1:9" ht="19.5" customHeight="1" x14ac:dyDescent="0.35">
      <c r="A2391" s="41">
        <v>46000</v>
      </c>
      <c r="B2391" s="8" t="s">
        <v>32</v>
      </c>
      <c r="C2391" s="42" t="s">
        <v>11</v>
      </c>
      <c r="D2391" s="43" t="s">
        <v>30</v>
      </c>
      <c r="E2391" s="46">
        <v>2293701.4700000002</v>
      </c>
      <c r="F2391" s="2">
        <f>IF(C2391="GBP",E2391*$C$3,IF(C2391="TRY",E2391/$C$1,IF(C2391="EUR",E2391*$E$1,IF(C2391="RUB",E2391/#REF!,IF(C2391="EGP",E2391/$E$2,E2391)))))</f>
        <v>62898.175331602084</v>
      </c>
      <c r="G2391" s="15" t="str">
        <f>VLOOKUP(B2391,SPECIFICATIONF!$C$2:$D$65,2,0)</f>
        <v>GLOBAL HFT</v>
      </c>
      <c r="H2391" s="12">
        <f t="shared" ref="H2391:H2398" si="166">MONTH(A2391)</f>
        <v>12</v>
      </c>
      <c r="I2391" s="12">
        <f t="shared" ref="I2391:I2398" si="167">YEAR(A2391)</f>
        <v>2025</v>
      </c>
    </row>
    <row r="2392" spans="1:9" ht="19.5" customHeight="1" x14ac:dyDescent="0.35">
      <c r="A2392" s="41">
        <v>46000</v>
      </c>
      <c r="B2392" s="8" t="s">
        <v>32</v>
      </c>
      <c r="C2392" s="42" t="s">
        <v>33</v>
      </c>
      <c r="D2392" s="43" t="s">
        <v>30</v>
      </c>
      <c r="E2392" s="46">
        <v>11647.74</v>
      </c>
      <c r="F2392" s="2">
        <f>IF(C2392="GBP",E2392*$C$3,IF(C2392="TRY",E2392/$C$1,IF(C2392="EUR",E2392*$E$1,IF(C2392="RUB",E2392/#REF!,IF(C2392="EGP",E2392/$E$2,E2392)))))</f>
        <v>11647.74</v>
      </c>
      <c r="G2392" s="15" t="str">
        <f>VLOOKUP(B2392,SPECIFICATIONF!$C$2:$D$65,2,0)</f>
        <v>GLOBAL HFT</v>
      </c>
      <c r="H2392" s="12">
        <f t="shared" si="166"/>
        <v>12</v>
      </c>
      <c r="I2392" s="12">
        <f t="shared" si="167"/>
        <v>2025</v>
      </c>
    </row>
    <row r="2393" spans="1:9" ht="19.5" customHeight="1" x14ac:dyDescent="0.35">
      <c r="A2393" s="41">
        <v>46000</v>
      </c>
      <c r="B2393" s="8" t="s">
        <v>32</v>
      </c>
      <c r="C2393" s="42" t="s">
        <v>11</v>
      </c>
      <c r="D2393" s="43" t="s">
        <v>29</v>
      </c>
      <c r="E2393" s="46">
        <v>7528947754</v>
      </c>
      <c r="F2393" s="2">
        <f>IF(C2393="GBP",E2393*$C$3,IF(C2393="TRY",E2393/$C$1,IF(C2393="EUR",E2393*$E$1,IF(C2393="RUB",E2393/#REF!,IF(C2393="EGP",E2393/$E$2,E2393)))))</f>
        <v>206459769.10568213</v>
      </c>
      <c r="G2393" s="15" t="str">
        <f>VLOOKUP(B2393,SPECIFICATIONF!$C$2:$D$65,2,0)</f>
        <v>GLOBAL HFT</v>
      </c>
      <c r="H2393" s="12">
        <f t="shared" si="166"/>
        <v>12</v>
      </c>
      <c r="I2393" s="12">
        <f t="shared" si="167"/>
        <v>2025</v>
      </c>
    </row>
    <row r="2394" spans="1:9" ht="19.5" customHeight="1" x14ac:dyDescent="0.35">
      <c r="A2394" s="41">
        <v>46000</v>
      </c>
      <c r="B2394" s="8" t="s">
        <v>32</v>
      </c>
      <c r="C2394" s="42" t="s">
        <v>33</v>
      </c>
      <c r="D2394" s="43" t="s">
        <v>29</v>
      </c>
      <c r="E2394" s="46">
        <v>35722856</v>
      </c>
      <c r="F2394" s="2">
        <f>IF(C2394="GBP",E2394*$C$3,IF(C2394="TRY",E2394/$C$1,IF(C2394="EUR",E2394*$E$1,IF(C2394="RUB",E2394/#REF!,IF(C2394="EGP",E2394/$E$2,E2394)))))</f>
        <v>35722856</v>
      </c>
      <c r="G2394" s="15" t="str">
        <f>VLOOKUP(B2394,SPECIFICATIONF!$C$2:$D$65,2,0)</f>
        <v>GLOBAL HFT</v>
      </c>
      <c r="H2394" s="12">
        <f t="shared" si="166"/>
        <v>12</v>
      </c>
      <c r="I2394" s="12">
        <f t="shared" si="167"/>
        <v>2025</v>
      </c>
    </row>
    <row r="2395" spans="1:9" ht="19.5" customHeight="1" x14ac:dyDescent="0.35">
      <c r="A2395" s="41">
        <v>46000</v>
      </c>
      <c r="B2395" s="8" t="s">
        <v>24</v>
      </c>
      <c r="C2395" s="42" t="s">
        <v>11</v>
      </c>
      <c r="D2395" s="43" t="s">
        <v>30</v>
      </c>
      <c r="E2395" s="46">
        <v>0</v>
      </c>
      <c r="F2395" s="2">
        <f>IF(C2395="GBP",E2395*$C$3,IF(C2395="TRY",E2395/$C$1,IF(C2395="EUR",E2395*$E$1,IF(C2395="RUB",E2395/#REF!,IF(C2395="EGP",E2395/$E$2,E2395)))))</f>
        <v>0</v>
      </c>
      <c r="G2395" s="15" t="str">
        <f>VLOOKUP(B2395,SPECIFICATIONF!$C$2:$D$65,2,0)</f>
        <v>GLOBAL RETAIL</v>
      </c>
      <c r="H2395" s="12">
        <f t="shared" si="166"/>
        <v>12</v>
      </c>
      <c r="I2395" s="12">
        <f t="shared" si="167"/>
        <v>2025</v>
      </c>
    </row>
    <row r="2396" spans="1:9" ht="19.5" customHeight="1" x14ac:dyDescent="0.35">
      <c r="A2396" s="41">
        <v>46000</v>
      </c>
      <c r="B2396" s="8" t="s">
        <v>24</v>
      </c>
      <c r="C2396" s="42" t="s">
        <v>33</v>
      </c>
      <c r="D2396" s="43" t="s">
        <v>30</v>
      </c>
      <c r="E2396" s="46">
        <v>0</v>
      </c>
      <c r="F2396" s="2">
        <f>IF(C2396="GBP",E2396*$C$3,IF(C2396="TRY",E2396/$C$1,IF(C2396="EUR",E2396*$E$1,IF(C2396="RUB",E2396/#REF!,IF(C2396="EGP",E2396/$E$2,E2396)))))</f>
        <v>0</v>
      </c>
      <c r="G2396" s="15" t="str">
        <f>VLOOKUP(B2396,SPECIFICATIONF!$C$2:$D$65,2,0)</f>
        <v>GLOBAL RETAIL</v>
      </c>
      <c r="H2396" s="12">
        <f t="shared" si="166"/>
        <v>12</v>
      </c>
      <c r="I2396" s="12">
        <f t="shared" si="167"/>
        <v>2025</v>
      </c>
    </row>
    <row r="2397" spans="1:9" ht="19.5" customHeight="1" x14ac:dyDescent="0.35">
      <c r="A2397" s="41">
        <v>46000</v>
      </c>
      <c r="B2397" s="8" t="s">
        <v>24</v>
      </c>
      <c r="C2397" s="42" t="s">
        <v>11</v>
      </c>
      <c r="D2397" s="43" t="s">
        <v>29</v>
      </c>
      <c r="E2397" s="46">
        <v>24896737</v>
      </c>
      <c r="F2397" s="2">
        <f>IF(C2397="GBP",E2397*$C$3,IF(C2397="TRY",E2397/$C$1,IF(C2397="EUR",E2397*$E$1,IF(C2397="RUB",E2397/#REF!,IF(C2397="EGP",E2397/$E$2,E2397)))))</f>
        <v>682721.50909454876</v>
      </c>
      <c r="G2397" s="15" t="str">
        <f>VLOOKUP(B2397,SPECIFICATIONF!$C$2:$D$65,2,0)</f>
        <v>GLOBAL RETAIL</v>
      </c>
      <c r="H2397" s="12">
        <f t="shared" si="166"/>
        <v>12</v>
      </c>
      <c r="I2397" s="12">
        <f t="shared" si="167"/>
        <v>2025</v>
      </c>
    </row>
    <row r="2398" spans="1:9" ht="19.5" customHeight="1" x14ac:dyDescent="0.35">
      <c r="A2398" s="41">
        <v>46000</v>
      </c>
      <c r="B2398" s="8" t="s">
        <v>24</v>
      </c>
      <c r="C2398" s="42" t="s">
        <v>33</v>
      </c>
      <c r="D2398" s="43" t="s">
        <v>29</v>
      </c>
      <c r="E2398" s="46">
        <v>19474</v>
      </c>
      <c r="F2398" s="2">
        <f>IF(C2398="GBP",E2398*$C$3,IF(C2398="TRY",E2398/$C$1,IF(C2398="EUR",E2398*$E$1,IF(C2398="RUB",E2398/#REF!,IF(C2398="EGP",E2398/$E$2,E2398)))))</f>
        <v>19474</v>
      </c>
      <c r="G2398" s="15" t="str">
        <f>VLOOKUP(B2398,SPECIFICATIONF!$C$2:$D$65,2,0)</f>
        <v>GLOBAL RETAIL</v>
      </c>
      <c r="H2398" s="12">
        <f t="shared" si="166"/>
        <v>12</v>
      </c>
      <c r="I2398" s="12">
        <f t="shared" si="167"/>
        <v>2025</v>
      </c>
    </row>
    <row r="2399" spans="1:9" ht="19.5" customHeight="1" x14ac:dyDescent="0.35">
      <c r="A2399" s="41">
        <v>46001</v>
      </c>
      <c r="B2399" s="8" t="s">
        <v>32</v>
      </c>
      <c r="C2399" s="42" t="s">
        <v>11</v>
      </c>
      <c r="D2399" s="43" t="s">
        <v>30</v>
      </c>
      <c r="E2399" s="46">
        <v>2292476.98</v>
      </c>
      <c r="F2399" s="2">
        <f>IF(C2399="GBP",E2399*$C$3,IF(C2399="TRY",E2399/$C$1,IF(C2399="EUR",E2399*$E$1,IF(C2399="RUB",E2399/#REF!,IF(C2399="EGP",E2399/$E$2,E2399)))))</f>
        <v>62864.597210072694</v>
      </c>
      <c r="G2399" s="15" t="str">
        <f>VLOOKUP(B2399,SPECIFICATIONF!$C$2:$D$65,2,0)</f>
        <v>GLOBAL HFT</v>
      </c>
      <c r="H2399" s="12">
        <f t="shared" ref="H2399:H2406" si="168">MONTH(A2399)</f>
        <v>12</v>
      </c>
      <c r="I2399" s="12">
        <f t="shared" ref="I2399:I2406" si="169">YEAR(A2399)</f>
        <v>2025</v>
      </c>
    </row>
    <row r="2400" spans="1:9" ht="19.5" customHeight="1" x14ac:dyDescent="0.35">
      <c r="A2400" s="41">
        <v>46001</v>
      </c>
      <c r="B2400" s="8" t="s">
        <v>32</v>
      </c>
      <c r="C2400" s="42" t="s">
        <v>33</v>
      </c>
      <c r="D2400" s="43" t="s">
        <v>30</v>
      </c>
      <c r="E2400" s="46">
        <v>10428.39</v>
      </c>
      <c r="F2400" s="2">
        <f>IF(C2400="GBP",E2400*$C$3,IF(C2400="TRY",E2400/$C$1,IF(C2400="EUR",E2400*$E$1,IF(C2400="RUB",E2400/#REF!,IF(C2400="EGP",E2400/$E$2,E2400)))))</f>
        <v>10428.39</v>
      </c>
      <c r="G2400" s="15" t="str">
        <f>VLOOKUP(B2400,SPECIFICATIONF!$C$2:$D$65,2,0)</f>
        <v>GLOBAL HFT</v>
      </c>
      <c r="H2400" s="12">
        <f t="shared" si="168"/>
        <v>12</v>
      </c>
      <c r="I2400" s="12">
        <f t="shared" si="169"/>
        <v>2025</v>
      </c>
    </row>
    <row r="2401" spans="1:9" ht="19.5" customHeight="1" x14ac:dyDescent="0.35">
      <c r="A2401" s="41">
        <v>46001</v>
      </c>
      <c r="B2401" s="8" t="s">
        <v>32</v>
      </c>
      <c r="C2401" s="42" t="s">
        <v>11</v>
      </c>
      <c r="D2401" s="43" t="s">
        <v>29</v>
      </c>
      <c r="E2401" s="46">
        <v>7759251704</v>
      </c>
      <c r="F2401" s="2">
        <f>IF(C2401="GBP",E2401*$C$3,IF(C2401="TRY",E2401/$C$1,IF(C2401="EUR",E2401*$E$1,IF(C2401="RUB",E2401/#REF!,IF(C2401="EGP",E2401/$E$2,E2401)))))</f>
        <v>212775193.50424629</v>
      </c>
      <c r="G2401" s="15" t="str">
        <f>VLOOKUP(B2401,SPECIFICATIONF!$C$2:$D$65,2,0)</f>
        <v>GLOBAL HFT</v>
      </c>
      <c r="H2401" s="12">
        <f t="shared" si="168"/>
        <v>12</v>
      </c>
      <c r="I2401" s="12">
        <f t="shared" si="169"/>
        <v>2025</v>
      </c>
    </row>
    <row r="2402" spans="1:9" ht="19.5" customHeight="1" x14ac:dyDescent="0.35">
      <c r="A2402" s="41">
        <v>46001</v>
      </c>
      <c r="B2402" s="8" t="s">
        <v>32</v>
      </c>
      <c r="C2402" s="42" t="s">
        <v>33</v>
      </c>
      <c r="D2402" s="43" t="s">
        <v>29</v>
      </c>
      <c r="E2402" s="46">
        <v>32355357</v>
      </c>
      <c r="F2402" s="2">
        <f>IF(C2402="GBP",E2402*$C$3,IF(C2402="TRY",E2402/$C$1,IF(C2402="EUR",E2402*$E$1,IF(C2402="RUB",E2402/#REF!,IF(C2402="EGP",E2402/$E$2,E2402)))))</f>
        <v>32355357</v>
      </c>
      <c r="G2402" s="15" t="str">
        <f>VLOOKUP(B2402,SPECIFICATIONF!$C$2:$D$65,2,0)</f>
        <v>GLOBAL HFT</v>
      </c>
      <c r="H2402" s="12">
        <f t="shared" si="168"/>
        <v>12</v>
      </c>
      <c r="I2402" s="12">
        <f t="shared" si="169"/>
        <v>2025</v>
      </c>
    </row>
    <row r="2403" spans="1:9" ht="19.5" customHeight="1" x14ac:dyDescent="0.35">
      <c r="A2403" s="41">
        <v>46001</v>
      </c>
      <c r="B2403" s="8" t="s">
        <v>24</v>
      </c>
      <c r="C2403" s="42" t="s">
        <v>11</v>
      </c>
      <c r="D2403" s="43" t="s">
        <v>30</v>
      </c>
      <c r="E2403" s="46">
        <v>0</v>
      </c>
      <c r="F2403" s="2">
        <f>IF(C2403="GBP",E2403*$C$3,IF(C2403="TRY",E2403/$C$1,IF(C2403="EUR",E2403*$E$1,IF(C2403="RUB",E2403/#REF!,IF(C2403="EGP",E2403/$E$2,E2403)))))</f>
        <v>0</v>
      </c>
      <c r="G2403" s="15" t="str">
        <f>VLOOKUP(B2403,SPECIFICATIONF!$C$2:$D$65,2,0)</f>
        <v>GLOBAL RETAIL</v>
      </c>
      <c r="H2403" s="12">
        <f t="shared" si="168"/>
        <v>12</v>
      </c>
      <c r="I2403" s="12">
        <f t="shared" si="169"/>
        <v>2025</v>
      </c>
    </row>
    <row r="2404" spans="1:9" ht="19.5" customHeight="1" x14ac:dyDescent="0.35">
      <c r="A2404" s="41">
        <v>46001</v>
      </c>
      <c r="B2404" s="8" t="s">
        <v>24</v>
      </c>
      <c r="C2404" s="42" t="s">
        <v>33</v>
      </c>
      <c r="D2404" s="43" t="s">
        <v>30</v>
      </c>
      <c r="E2404" s="46">
        <v>0</v>
      </c>
      <c r="F2404" s="2">
        <f>IF(C2404="GBP",E2404*$C$3,IF(C2404="TRY",E2404/$C$1,IF(C2404="EUR",E2404*$E$1,IF(C2404="RUB",E2404/#REF!,IF(C2404="EGP",E2404/$E$2,E2404)))))</f>
        <v>0</v>
      </c>
      <c r="G2404" s="15" t="str">
        <f>VLOOKUP(B2404,SPECIFICATIONF!$C$2:$D$65,2,0)</f>
        <v>GLOBAL RETAIL</v>
      </c>
      <c r="H2404" s="12">
        <f t="shared" si="168"/>
        <v>12</v>
      </c>
      <c r="I2404" s="12">
        <f t="shared" si="169"/>
        <v>2025</v>
      </c>
    </row>
    <row r="2405" spans="1:9" ht="19.5" customHeight="1" x14ac:dyDescent="0.35">
      <c r="A2405" s="41">
        <v>46001</v>
      </c>
      <c r="B2405" s="8" t="s">
        <v>24</v>
      </c>
      <c r="C2405" s="42" t="s">
        <v>11</v>
      </c>
      <c r="D2405" s="43" t="s">
        <v>29</v>
      </c>
      <c r="E2405" s="46">
        <v>58969627</v>
      </c>
      <c r="F2405" s="2">
        <f>IF(C2405="GBP",E2405*$C$3,IF(C2405="TRY",E2405/$C$1,IF(C2405="EUR",E2405*$E$1,IF(C2405="RUB",E2405/#REF!,IF(C2405="EGP",E2405/$E$2,E2405)))))</f>
        <v>1617072.6604125933</v>
      </c>
      <c r="G2405" s="15" t="str">
        <f>VLOOKUP(B2405,SPECIFICATIONF!$C$2:$D$65,2,0)</f>
        <v>GLOBAL RETAIL</v>
      </c>
      <c r="H2405" s="12">
        <f t="shared" si="168"/>
        <v>12</v>
      </c>
      <c r="I2405" s="12">
        <f t="shared" si="169"/>
        <v>2025</v>
      </c>
    </row>
    <row r="2406" spans="1:9" ht="19.5" customHeight="1" x14ac:dyDescent="0.35">
      <c r="A2406" s="41">
        <v>46001</v>
      </c>
      <c r="B2406" s="8" t="s">
        <v>24</v>
      </c>
      <c r="C2406" s="42" t="s">
        <v>33</v>
      </c>
      <c r="D2406" s="43" t="s">
        <v>29</v>
      </c>
      <c r="E2406" s="46">
        <v>26446</v>
      </c>
      <c r="F2406" s="2">
        <f>IF(C2406="GBP",E2406*$C$3,IF(C2406="TRY",E2406/$C$1,IF(C2406="EUR",E2406*$E$1,IF(C2406="RUB",E2406/#REF!,IF(C2406="EGP",E2406/$E$2,E2406)))))</f>
        <v>26446</v>
      </c>
      <c r="G2406" s="15" t="str">
        <f>VLOOKUP(B2406,SPECIFICATIONF!$C$2:$D$65,2,0)</f>
        <v>GLOBAL RETAIL</v>
      </c>
      <c r="H2406" s="12">
        <f t="shared" si="168"/>
        <v>12</v>
      </c>
      <c r="I2406" s="12">
        <f t="shared" si="169"/>
        <v>2025</v>
      </c>
    </row>
    <row r="2407" spans="1:9" ht="19.5" customHeight="1" x14ac:dyDescent="0.35">
      <c r="A2407" s="41">
        <v>46002</v>
      </c>
      <c r="B2407" s="8" t="s">
        <v>32</v>
      </c>
      <c r="C2407" s="42" t="s">
        <v>11</v>
      </c>
      <c r="D2407" s="43" t="s">
        <v>30</v>
      </c>
      <c r="E2407" s="46">
        <v>1682220.93</v>
      </c>
      <c r="F2407" s="2">
        <f>IF(C2407="GBP",E2407*$C$3,IF(C2407="TRY",E2407/$C$1,IF(C2407="EUR",E2407*$E$1,IF(C2407="RUB",E2407/#REF!,IF(C2407="EGP",E2407/$E$2,E2407)))))</f>
        <v>46130.077686888653</v>
      </c>
      <c r="G2407" s="15" t="str">
        <f>VLOOKUP(B2407,SPECIFICATIONF!$C$2:$D$65,2,0)</f>
        <v>GLOBAL HFT</v>
      </c>
      <c r="H2407" s="12">
        <f t="shared" ref="H2407:H2414" si="170">MONTH(A2407)</f>
        <v>12</v>
      </c>
      <c r="I2407" s="12">
        <f t="shared" ref="I2407:I2414" si="171">YEAR(A2407)</f>
        <v>2025</v>
      </c>
    </row>
    <row r="2408" spans="1:9" ht="19.5" customHeight="1" x14ac:dyDescent="0.35">
      <c r="A2408" s="41">
        <v>46002</v>
      </c>
      <c r="B2408" s="8" t="s">
        <v>32</v>
      </c>
      <c r="C2408" s="42" t="s">
        <v>33</v>
      </c>
      <c r="D2408" s="43" t="s">
        <v>30</v>
      </c>
      <c r="E2408" s="46">
        <v>7825.76</v>
      </c>
      <c r="F2408" s="2">
        <f>IF(C2408="GBP",E2408*$C$3,IF(C2408="TRY",E2408/$C$1,IF(C2408="EUR",E2408*$E$1,IF(C2408="RUB",E2408/#REF!,IF(C2408="EGP",E2408/$E$2,E2408)))))</f>
        <v>7825.76</v>
      </c>
      <c r="G2408" s="15" t="str">
        <f>VLOOKUP(B2408,SPECIFICATIONF!$C$2:$D$65,2,0)</f>
        <v>GLOBAL HFT</v>
      </c>
      <c r="H2408" s="12">
        <f t="shared" si="170"/>
        <v>12</v>
      </c>
      <c r="I2408" s="12">
        <f t="shared" si="171"/>
        <v>2025</v>
      </c>
    </row>
    <row r="2409" spans="1:9" ht="19.5" customHeight="1" x14ac:dyDescent="0.35">
      <c r="A2409" s="41">
        <v>46002</v>
      </c>
      <c r="B2409" s="8" t="s">
        <v>32</v>
      </c>
      <c r="C2409" s="42" t="s">
        <v>11</v>
      </c>
      <c r="D2409" s="43" t="s">
        <v>29</v>
      </c>
      <c r="E2409" s="46">
        <v>6228334858</v>
      </c>
      <c r="F2409" s="2">
        <f>IF(C2409="GBP",E2409*$C$3,IF(C2409="TRY",E2409/$C$1,IF(C2409="EUR",E2409*$E$1,IF(C2409="RUB",E2409/#REF!,IF(C2409="EGP",E2409/$E$2,E2409)))))</f>
        <v>170794195.77754071</v>
      </c>
      <c r="G2409" s="15" t="str">
        <f>VLOOKUP(B2409,SPECIFICATIONF!$C$2:$D$65,2,0)</f>
        <v>GLOBAL HFT</v>
      </c>
      <c r="H2409" s="12">
        <f t="shared" si="170"/>
        <v>12</v>
      </c>
      <c r="I2409" s="12">
        <f t="shared" si="171"/>
        <v>2025</v>
      </c>
    </row>
    <row r="2410" spans="1:9" ht="19.5" customHeight="1" x14ac:dyDescent="0.35">
      <c r="A2410" s="41">
        <v>46002</v>
      </c>
      <c r="B2410" s="8" t="s">
        <v>32</v>
      </c>
      <c r="C2410" s="42" t="s">
        <v>33</v>
      </c>
      <c r="D2410" s="43" t="s">
        <v>29</v>
      </c>
      <c r="E2410" s="46">
        <v>25168193</v>
      </c>
      <c r="F2410" s="2">
        <f>IF(C2410="GBP",E2410*$C$3,IF(C2410="TRY",E2410/$C$1,IF(C2410="EUR",E2410*$E$1,IF(C2410="RUB",E2410/#REF!,IF(C2410="EGP",E2410/$E$2,E2410)))))</f>
        <v>25168193</v>
      </c>
      <c r="G2410" s="15" t="str">
        <f>VLOOKUP(B2410,SPECIFICATIONF!$C$2:$D$65,2,0)</f>
        <v>GLOBAL HFT</v>
      </c>
      <c r="H2410" s="12">
        <f t="shared" si="170"/>
        <v>12</v>
      </c>
      <c r="I2410" s="12">
        <f t="shared" si="171"/>
        <v>2025</v>
      </c>
    </row>
    <row r="2411" spans="1:9" ht="19.5" customHeight="1" x14ac:dyDescent="0.35">
      <c r="A2411" s="41">
        <v>46002</v>
      </c>
      <c r="B2411" s="8" t="s">
        <v>24</v>
      </c>
      <c r="C2411" s="42" t="s">
        <v>11</v>
      </c>
      <c r="D2411" s="43" t="s">
        <v>30</v>
      </c>
      <c r="E2411" s="46">
        <v>0</v>
      </c>
      <c r="F2411" s="2">
        <f>IF(C2411="GBP",E2411*$C$3,IF(C2411="TRY",E2411/$C$1,IF(C2411="EUR",E2411*$E$1,IF(C2411="RUB",E2411/#REF!,IF(C2411="EGP",E2411/$E$2,E2411)))))</f>
        <v>0</v>
      </c>
      <c r="G2411" s="15" t="str">
        <f>VLOOKUP(B2411,SPECIFICATIONF!$C$2:$D$65,2,0)</f>
        <v>GLOBAL RETAIL</v>
      </c>
      <c r="H2411" s="12">
        <f t="shared" si="170"/>
        <v>12</v>
      </c>
      <c r="I2411" s="12">
        <f t="shared" si="171"/>
        <v>2025</v>
      </c>
    </row>
    <row r="2412" spans="1:9" ht="19.5" customHeight="1" x14ac:dyDescent="0.35">
      <c r="A2412" s="41">
        <v>46002</v>
      </c>
      <c r="B2412" s="8" t="s">
        <v>24</v>
      </c>
      <c r="C2412" s="42" t="s">
        <v>33</v>
      </c>
      <c r="D2412" s="43" t="s">
        <v>30</v>
      </c>
      <c r="E2412" s="46">
        <v>0</v>
      </c>
      <c r="F2412" s="2">
        <f>IF(C2412="GBP",E2412*$C$3,IF(C2412="TRY",E2412/$C$1,IF(C2412="EUR",E2412*$E$1,IF(C2412="RUB",E2412/#REF!,IF(C2412="EGP",E2412/$E$2,E2412)))))</f>
        <v>0</v>
      </c>
      <c r="G2412" s="15" t="str">
        <f>VLOOKUP(B2412,SPECIFICATIONF!$C$2:$D$65,2,0)</f>
        <v>GLOBAL RETAIL</v>
      </c>
      <c r="H2412" s="12">
        <f t="shared" si="170"/>
        <v>12</v>
      </c>
      <c r="I2412" s="12">
        <f t="shared" si="171"/>
        <v>2025</v>
      </c>
    </row>
    <row r="2413" spans="1:9" ht="19.5" customHeight="1" x14ac:dyDescent="0.35">
      <c r="A2413" s="41">
        <v>46002</v>
      </c>
      <c r="B2413" s="8" t="s">
        <v>24</v>
      </c>
      <c r="C2413" s="42" t="s">
        <v>11</v>
      </c>
      <c r="D2413" s="43" t="s">
        <v>29</v>
      </c>
      <c r="E2413" s="46">
        <v>60026925</v>
      </c>
      <c r="F2413" s="2">
        <f>IF(C2413="GBP",E2413*$C$3,IF(C2413="TRY",E2413/$C$1,IF(C2413="EUR",E2413*$E$1,IF(C2413="RUB",E2413/#REF!,IF(C2413="EGP",E2413/$E$2,E2413)))))</f>
        <v>1646066.0215154015</v>
      </c>
      <c r="G2413" s="15" t="str">
        <f>VLOOKUP(B2413,SPECIFICATIONF!$C$2:$D$65,2,0)</f>
        <v>GLOBAL RETAIL</v>
      </c>
      <c r="H2413" s="12">
        <f t="shared" si="170"/>
        <v>12</v>
      </c>
      <c r="I2413" s="12">
        <f t="shared" si="171"/>
        <v>2025</v>
      </c>
    </row>
    <row r="2414" spans="1:9" ht="19.5" customHeight="1" x14ac:dyDescent="0.35">
      <c r="A2414" s="41">
        <v>46002</v>
      </c>
      <c r="B2414" s="8" t="s">
        <v>24</v>
      </c>
      <c r="C2414" s="42" t="s">
        <v>33</v>
      </c>
      <c r="D2414" s="43" t="s">
        <v>29</v>
      </c>
      <c r="E2414" s="46">
        <v>84</v>
      </c>
      <c r="F2414" s="2">
        <f>IF(C2414="GBP",E2414*$C$3,IF(C2414="TRY",E2414/$C$1,IF(C2414="EUR",E2414*$E$1,IF(C2414="RUB",E2414/#REF!,IF(C2414="EGP",E2414/$E$2,E2414)))))</f>
        <v>84</v>
      </c>
      <c r="G2414" s="15" t="str">
        <f>VLOOKUP(B2414,SPECIFICATIONF!$C$2:$D$65,2,0)</f>
        <v>GLOBAL RETAIL</v>
      </c>
      <c r="H2414" s="12">
        <f t="shared" si="170"/>
        <v>12</v>
      </c>
      <c r="I2414" s="12">
        <f t="shared" si="171"/>
        <v>2025</v>
      </c>
    </row>
    <row r="2415" spans="1:9" ht="19.5" customHeight="1" x14ac:dyDescent="0.35">
      <c r="A2415" s="41">
        <v>46003</v>
      </c>
      <c r="B2415" s="8" t="s">
        <v>32</v>
      </c>
      <c r="C2415" s="42" t="s">
        <v>11</v>
      </c>
      <c r="D2415" s="43" t="s">
        <v>30</v>
      </c>
      <c r="E2415" s="46">
        <v>1387992.09</v>
      </c>
      <c r="F2415" s="2">
        <f>IF(C2415="GBP",E2415*$C$3,IF(C2415="TRY",E2415/$C$1,IF(C2415="EUR",E2415*$E$1,IF(C2415="RUB",E2415/#REF!,IF(C2415="EGP",E2415/$E$2,E2415)))))</f>
        <v>38061.696771592869</v>
      </c>
      <c r="G2415" s="15" t="str">
        <f>VLOOKUP(B2415,SPECIFICATIONF!$C$2:$D$65,2,0)</f>
        <v>GLOBAL HFT</v>
      </c>
      <c r="H2415" s="12">
        <f t="shared" ref="H2415:H2422" si="172">MONTH(A2415)</f>
        <v>12</v>
      </c>
      <c r="I2415" s="12">
        <f t="shared" ref="I2415:I2422" si="173">YEAR(A2415)</f>
        <v>2025</v>
      </c>
    </row>
    <row r="2416" spans="1:9" ht="19.5" customHeight="1" x14ac:dyDescent="0.35">
      <c r="A2416" s="41">
        <v>46003</v>
      </c>
      <c r="B2416" s="8" t="s">
        <v>32</v>
      </c>
      <c r="C2416" s="42" t="s">
        <v>33</v>
      </c>
      <c r="D2416" s="43" t="s">
        <v>30</v>
      </c>
      <c r="E2416" s="46">
        <v>6991.05</v>
      </c>
      <c r="F2416" s="2">
        <f>IF(C2416="GBP",E2416*$C$3,IF(C2416="TRY",E2416/$C$1,IF(C2416="EUR",E2416*$E$1,IF(C2416="RUB",E2416/#REF!,IF(C2416="EGP",E2416/$E$2,E2416)))))</f>
        <v>6991.05</v>
      </c>
      <c r="G2416" s="15" t="str">
        <f>VLOOKUP(B2416,SPECIFICATIONF!$C$2:$D$65,2,0)</f>
        <v>GLOBAL HFT</v>
      </c>
      <c r="H2416" s="12">
        <f t="shared" si="172"/>
        <v>12</v>
      </c>
      <c r="I2416" s="12">
        <f t="shared" si="173"/>
        <v>2025</v>
      </c>
    </row>
    <row r="2417" spans="1:9" ht="19.5" customHeight="1" x14ac:dyDescent="0.35">
      <c r="A2417" s="41">
        <v>46003</v>
      </c>
      <c r="B2417" s="8" t="s">
        <v>32</v>
      </c>
      <c r="C2417" s="42" t="s">
        <v>11</v>
      </c>
      <c r="D2417" s="43" t="s">
        <v>29</v>
      </c>
      <c r="E2417" s="46">
        <v>5110634659</v>
      </c>
      <c r="F2417" s="2">
        <f>IF(C2417="GBP",E2417*$C$3,IF(C2417="TRY",E2417/$C$1,IF(C2417="EUR",E2417*$E$1,IF(C2417="RUB",E2417/#REF!,IF(C2417="EGP",E2417/$E$2,E2417)))))</f>
        <v>140144477.84154946</v>
      </c>
      <c r="G2417" s="15" t="str">
        <f>VLOOKUP(B2417,SPECIFICATIONF!$C$2:$D$65,2,0)</f>
        <v>GLOBAL HFT</v>
      </c>
      <c r="H2417" s="12">
        <f t="shared" si="172"/>
        <v>12</v>
      </c>
      <c r="I2417" s="12">
        <f t="shared" si="173"/>
        <v>2025</v>
      </c>
    </row>
    <row r="2418" spans="1:9" ht="19.5" customHeight="1" x14ac:dyDescent="0.35">
      <c r="A2418" s="41">
        <v>46003</v>
      </c>
      <c r="B2418" s="8" t="s">
        <v>32</v>
      </c>
      <c r="C2418" s="42" t="s">
        <v>33</v>
      </c>
      <c r="D2418" s="43" t="s">
        <v>29</v>
      </c>
      <c r="E2418" s="46">
        <v>23408372</v>
      </c>
      <c r="F2418" s="2">
        <f>IF(C2418="GBP",E2418*$C$3,IF(C2418="TRY",E2418/$C$1,IF(C2418="EUR",E2418*$E$1,IF(C2418="RUB",E2418/#REF!,IF(C2418="EGP",E2418/$E$2,E2418)))))</f>
        <v>23408372</v>
      </c>
      <c r="G2418" s="15" t="str">
        <f>VLOOKUP(B2418,SPECIFICATIONF!$C$2:$D$65,2,0)</f>
        <v>GLOBAL HFT</v>
      </c>
      <c r="H2418" s="12">
        <f t="shared" si="172"/>
        <v>12</v>
      </c>
      <c r="I2418" s="12">
        <f t="shared" si="173"/>
        <v>2025</v>
      </c>
    </row>
    <row r="2419" spans="1:9" ht="19.5" customHeight="1" x14ac:dyDescent="0.35">
      <c r="A2419" s="41">
        <v>46003</v>
      </c>
      <c r="B2419" s="8" t="s">
        <v>24</v>
      </c>
      <c r="C2419" s="42" t="s">
        <v>11</v>
      </c>
      <c r="D2419" s="43" t="s">
        <v>30</v>
      </c>
      <c r="E2419" s="46">
        <v>0</v>
      </c>
      <c r="F2419" s="2">
        <f>IF(C2419="GBP",E2419*$C$3,IF(C2419="TRY",E2419/$C$1,IF(C2419="EUR",E2419*$E$1,IF(C2419="RUB",E2419/#REF!,IF(C2419="EGP",E2419/$E$2,E2419)))))</f>
        <v>0</v>
      </c>
      <c r="G2419" s="15" t="str">
        <f>VLOOKUP(B2419,SPECIFICATIONF!$C$2:$D$65,2,0)</f>
        <v>GLOBAL RETAIL</v>
      </c>
      <c r="H2419" s="12">
        <f t="shared" si="172"/>
        <v>12</v>
      </c>
      <c r="I2419" s="12">
        <f t="shared" si="173"/>
        <v>2025</v>
      </c>
    </row>
    <row r="2420" spans="1:9" ht="19.5" customHeight="1" x14ac:dyDescent="0.35">
      <c r="A2420" s="41">
        <v>46003</v>
      </c>
      <c r="B2420" s="8" t="s">
        <v>24</v>
      </c>
      <c r="C2420" s="42" t="s">
        <v>33</v>
      </c>
      <c r="D2420" s="43" t="s">
        <v>30</v>
      </c>
      <c r="E2420" s="46">
        <v>0</v>
      </c>
      <c r="F2420" s="2">
        <f>IF(C2420="GBP",E2420*$C$3,IF(C2420="TRY",E2420/$C$1,IF(C2420="EUR",E2420*$E$1,IF(C2420="RUB",E2420/#REF!,IF(C2420="EGP",E2420/$E$2,E2420)))))</f>
        <v>0</v>
      </c>
      <c r="G2420" s="15" t="str">
        <f>VLOOKUP(B2420,SPECIFICATIONF!$C$2:$D$65,2,0)</f>
        <v>GLOBAL RETAIL</v>
      </c>
      <c r="H2420" s="12">
        <f t="shared" si="172"/>
        <v>12</v>
      </c>
      <c r="I2420" s="12">
        <f t="shared" si="173"/>
        <v>2025</v>
      </c>
    </row>
    <row r="2421" spans="1:9" ht="19.5" customHeight="1" x14ac:dyDescent="0.35">
      <c r="A2421" s="41">
        <v>46003</v>
      </c>
      <c r="B2421" s="8" t="s">
        <v>24</v>
      </c>
      <c r="C2421" s="42" t="s">
        <v>11</v>
      </c>
      <c r="D2421" s="43" t="s">
        <v>29</v>
      </c>
      <c r="E2421" s="46">
        <v>27212258</v>
      </c>
      <c r="F2421" s="2">
        <f>IF(C2421="GBP",E2421*$C$3,IF(C2421="TRY",E2421/$C$1,IF(C2421="EUR",E2421*$E$1,IF(C2421="RUB",E2421/#REF!,IF(C2421="EGP",E2421/$E$2,E2421)))))</f>
        <v>746218.02237097197</v>
      </c>
      <c r="G2421" s="15" t="str">
        <f>VLOOKUP(B2421,SPECIFICATIONF!$C$2:$D$65,2,0)</f>
        <v>GLOBAL RETAIL</v>
      </c>
      <c r="H2421" s="12">
        <f t="shared" si="172"/>
        <v>12</v>
      </c>
      <c r="I2421" s="12">
        <f t="shared" si="173"/>
        <v>2025</v>
      </c>
    </row>
    <row r="2422" spans="1:9" ht="19.5" customHeight="1" x14ac:dyDescent="0.35">
      <c r="A2422" s="41">
        <v>46003</v>
      </c>
      <c r="B2422" s="8" t="s">
        <v>24</v>
      </c>
      <c r="C2422" s="42" t="s">
        <v>33</v>
      </c>
      <c r="D2422" s="43" t="s">
        <v>29</v>
      </c>
      <c r="E2422" s="46">
        <v>52</v>
      </c>
      <c r="F2422" s="2">
        <f>IF(C2422="GBP",E2422*$C$3,IF(C2422="TRY",E2422/$C$1,IF(C2422="EUR",E2422*$E$1,IF(C2422="RUB",E2422/#REF!,IF(C2422="EGP",E2422/$E$2,E2422)))))</f>
        <v>52</v>
      </c>
      <c r="G2422" s="15" t="str">
        <f>VLOOKUP(B2422,SPECIFICATIONF!$C$2:$D$65,2,0)</f>
        <v>GLOBAL RETAIL</v>
      </c>
      <c r="H2422" s="12">
        <f t="shared" si="172"/>
        <v>12</v>
      </c>
      <c r="I2422" s="12">
        <f t="shared" si="173"/>
        <v>2025</v>
      </c>
    </row>
    <row r="2423" spans="1:9" ht="19.5" customHeight="1" x14ac:dyDescent="0.35">
      <c r="A2423" s="41">
        <v>46004</v>
      </c>
      <c r="B2423" s="8" t="s">
        <v>32</v>
      </c>
      <c r="C2423" s="42" t="s">
        <v>11</v>
      </c>
      <c r="D2423" s="43" t="s">
        <v>30</v>
      </c>
      <c r="E2423" s="46">
        <v>1055685.9099999999</v>
      </c>
      <c r="F2423" s="2">
        <f>IF(C2423="GBP",E2423*$C$3,IF(C2423="TRY",E2423/$C$1,IF(C2423="EUR",E2423*$E$1,IF(C2423="RUB",E2423/#REF!,IF(C2423="EGP",E2423/$E$2,E2423)))))</f>
        <v>28949.154164461466</v>
      </c>
      <c r="G2423" s="15" t="str">
        <f>VLOOKUP(B2423,SPECIFICATIONF!$C$2:$D$65,2,0)</f>
        <v>GLOBAL HFT</v>
      </c>
      <c r="H2423" s="12">
        <f t="shared" ref="H2423:H2446" si="174">MONTH(A2423)</f>
        <v>12</v>
      </c>
      <c r="I2423" s="12">
        <f t="shared" ref="I2423:I2446" si="175">YEAR(A2423)</f>
        <v>2025</v>
      </c>
    </row>
    <row r="2424" spans="1:9" ht="19.5" customHeight="1" x14ac:dyDescent="0.35">
      <c r="A2424" s="41">
        <v>46004</v>
      </c>
      <c r="B2424" s="8" t="s">
        <v>32</v>
      </c>
      <c r="C2424" s="42" t="s">
        <v>33</v>
      </c>
      <c r="D2424" s="43" t="s">
        <v>30</v>
      </c>
      <c r="E2424" s="46">
        <v>4212.7299999999996</v>
      </c>
      <c r="F2424" s="2">
        <f>IF(C2424="GBP",E2424*$C$3,IF(C2424="TRY",E2424/$C$1,IF(C2424="EUR",E2424*$E$1,IF(C2424="RUB",E2424/#REF!,IF(C2424="EGP",E2424/$E$2,E2424)))))</f>
        <v>4212.7299999999996</v>
      </c>
      <c r="G2424" s="15" t="str">
        <f>VLOOKUP(B2424,SPECIFICATIONF!$C$2:$D$65,2,0)</f>
        <v>GLOBAL HFT</v>
      </c>
      <c r="H2424" s="12">
        <f t="shared" si="174"/>
        <v>12</v>
      </c>
      <c r="I2424" s="12">
        <f t="shared" si="175"/>
        <v>2025</v>
      </c>
    </row>
    <row r="2425" spans="1:9" ht="19.5" customHeight="1" x14ac:dyDescent="0.35">
      <c r="A2425" s="41">
        <v>46004</v>
      </c>
      <c r="B2425" s="8" t="s">
        <v>32</v>
      </c>
      <c r="C2425" s="42" t="s">
        <v>11</v>
      </c>
      <c r="D2425" s="43" t="s">
        <v>29</v>
      </c>
      <c r="E2425" s="46">
        <v>4134577714</v>
      </c>
      <c r="F2425" s="2">
        <f>IF(C2425="GBP",E2425*$C$3,IF(C2425="TRY",E2425/$C$1,IF(C2425="EUR",E2425*$E$1,IF(C2425="RUB",E2425/#REF!,IF(C2425="EGP",E2425/$E$2,E2425)))))</f>
        <v>113378919.34877929</v>
      </c>
      <c r="G2425" s="15" t="str">
        <f>VLOOKUP(B2425,SPECIFICATIONF!$C$2:$D$65,2,0)</f>
        <v>GLOBAL HFT</v>
      </c>
      <c r="H2425" s="12">
        <f t="shared" si="174"/>
        <v>12</v>
      </c>
      <c r="I2425" s="12">
        <f t="shared" si="175"/>
        <v>2025</v>
      </c>
    </row>
    <row r="2426" spans="1:9" ht="19.5" customHeight="1" x14ac:dyDescent="0.35">
      <c r="A2426" s="41">
        <v>46004</v>
      </c>
      <c r="B2426" s="8" t="s">
        <v>32</v>
      </c>
      <c r="C2426" s="42" t="s">
        <v>33</v>
      </c>
      <c r="D2426" s="43" t="s">
        <v>29</v>
      </c>
      <c r="E2426" s="46">
        <v>13996895</v>
      </c>
      <c r="F2426" s="2">
        <f>IF(C2426="GBP",E2426*$C$3,IF(C2426="TRY",E2426/$C$1,IF(C2426="EUR",E2426*$E$1,IF(C2426="RUB",E2426/#REF!,IF(C2426="EGP",E2426/$E$2,E2426)))))</f>
        <v>13996895</v>
      </c>
      <c r="G2426" s="15" t="str">
        <f>VLOOKUP(B2426,SPECIFICATIONF!$C$2:$D$65,2,0)</f>
        <v>GLOBAL HFT</v>
      </c>
      <c r="H2426" s="12">
        <f t="shared" si="174"/>
        <v>12</v>
      </c>
      <c r="I2426" s="12">
        <f t="shared" si="175"/>
        <v>2025</v>
      </c>
    </row>
    <row r="2427" spans="1:9" ht="19.5" customHeight="1" x14ac:dyDescent="0.35">
      <c r="A2427" s="41">
        <v>46004</v>
      </c>
      <c r="B2427" s="8" t="s">
        <v>24</v>
      </c>
      <c r="C2427" s="42" t="s">
        <v>11</v>
      </c>
      <c r="D2427" s="43" t="s">
        <v>30</v>
      </c>
      <c r="E2427" s="46">
        <v>0</v>
      </c>
      <c r="F2427" s="2">
        <f>IF(C2427="GBP",E2427*$C$3,IF(C2427="TRY",E2427/$C$1,IF(C2427="EUR",E2427*$E$1,IF(C2427="RUB",E2427/#REF!,IF(C2427="EGP",E2427/$E$2,E2427)))))</f>
        <v>0</v>
      </c>
      <c r="G2427" s="15" t="str">
        <f>VLOOKUP(B2427,SPECIFICATIONF!$C$2:$D$65,2,0)</f>
        <v>GLOBAL RETAIL</v>
      </c>
      <c r="H2427" s="12">
        <f t="shared" si="174"/>
        <v>12</v>
      </c>
      <c r="I2427" s="12">
        <f t="shared" si="175"/>
        <v>2025</v>
      </c>
    </row>
    <row r="2428" spans="1:9" ht="19.5" customHeight="1" x14ac:dyDescent="0.35">
      <c r="A2428" s="41">
        <v>46004</v>
      </c>
      <c r="B2428" s="8" t="s">
        <v>24</v>
      </c>
      <c r="C2428" s="42" t="s">
        <v>33</v>
      </c>
      <c r="D2428" s="43" t="s">
        <v>30</v>
      </c>
      <c r="E2428" s="46">
        <v>0</v>
      </c>
      <c r="F2428" s="2">
        <f>IF(C2428="GBP",E2428*$C$3,IF(C2428="TRY",E2428/$C$1,IF(C2428="EUR",E2428*$E$1,IF(C2428="RUB",E2428/#REF!,IF(C2428="EGP",E2428/$E$2,E2428)))))</f>
        <v>0</v>
      </c>
      <c r="G2428" s="15" t="str">
        <f>VLOOKUP(B2428,SPECIFICATIONF!$C$2:$D$65,2,0)</f>
        <v>GLOBAL RETAIL</v>
      </c>
      <c r="H2428" s="12">
        <f t="shared" si="174"/>
        <v>12</v>
      </c>
      <c r="I2428" s="12">
        <f t="shared" si="175"/>
        <v>2025</v>
      </c>
    </row>
    <row r="2429" spans="1:9" ht="19.5" customHeight="1" x14ac:dyDescent="0.35">
      <c r="A2429" s="41">
        <v>46004</v>
      </c>
      <c r="B2429" s="8" t="s">
        <v>24</v>
      </c>
      <c r="C2429" s="42" t="s">
        <v>11</v>
      </c>
      <c r="D2429" s="43" t="s">
        <v>29</v>
      </c>
      <c r="E2429" s="46">
        <v>41816973</v>
      </c>
      <c r="F2429" s="2">
        <f>IF(C2429="GBP",E2429*$C$3,IF(C2429="TRY",E2429/$C$1,IF(C2429="EUR",E2429*$E$1,IF(C2429="RUB",E2429/#REF!,IF(C2429="EGP",E2429/$E$2,E2429)))))</f>
        <v>1146710.386679427</v>
      </c>
      <c r="G2429" s="15" t="str">
        <f>VLOOKUP(B2429,SPECIFICATIONF!$C$2:$D$65,2,0)</f>
        <v>GLOBAL RETAIL</v>
      </c>
      <c r="H2429" s="12">
        <f t="shared" si="174"/>
        <v>12</v>
      </c>
      <c r="I2429" s="12">
        <f t="shared" si="175"/>
        <v>2025</v>
      </c>
    </row>
    <row r="2430" spans="1:9" ht="19.5" customHeight="1" x14ac:dyDescent="0.35">
      <c r="A2430" s="41">
        <v>46004</v>
      </c>
      <c r="B2430" s="8" t="s">
        <v>24</v>
      </c>
      <c r="C2430" s="42" t="s">
        <v>33</v>
      </c>
      <c r="D2430" s="43" t="s">
        <v>29</v>
      </c>
      <c r="E2430" s="46">
        <v>0</v>
      </c>
      <c r="F2430" s="2">
        <f>IF(C2430="GBP",E2430*$C$3,IF(C2430="TRY",E2430/$C$1,IF(C2430="EUR",E2430*$E$1,IF(C2430="RUB",E2430/#REF!,IF(C2430="EGP",E2430/$E$2,E2430)))))</f>
        <v>0</v>
      </c>
      <c r="G2430" s="15" t="str">
        <f>VLOOKUP(B2430,SPECIFICATIONF!$C$2:$D$65,2,0)</f>
        <v>GLOBAL RETAIL</v>
      </c>
      <c r="H2430" s="12">
        <f t="shared" si="174"/>
        <v>12</v>
      </c>
      <c r="I2430" s="12">
        <f t="shared" si="175"/>
        <v>2025</v>
      </c>
    </row>
    <row r="2431" spans="1:9" ht="19.5" customHeight="1" x14ac:dyDescent="0.35">
      <c r="A2431" s="41">
        <v>46005</v>
      </c>
      <c r="B2431" s="8" t="s">
        <v>32</v>
      </c>
      <c r="C2431" s="42" t="s">
        <v>11</v>
      </c>
      <c r="D2431" s="43" t="s">
        <v>30</v>
      </c>
      <c r="E2431" s="46">
        <v>838137</v>
      </c>
      <c r="F2431" s="2">
        <f>IF(C2431="GBP",E2431*$C$3,IF(C2431="TRY",E2431/$C$1,IF(C2431="EUR",E2431*$E$1,IF(C2431="RUB",E2431/#REF!,IF(C2431="EGP",E2431/$E$2,E2431)))))</f>
        <v>22983.500105575193</v>
      </c>
      <c r="G2431" s="15" t="str">
        <f>VLOOKUP(B2431,SPECIFICATIONF!$C$2:$D$65,2,0)</f>
        <v>GLOBAL HFT</v>
      </c>
      <c r="H2431" s="12">
        <f t="shared" si="174"/>
        <v>12</v>
      </c>
      <c r="I2431" s="12">
        <f t="shared" si="175"/>
        <v>2025</v>
      </c>
    </row>
    <row r="2432" spans="1:9" ht="19.5" customHeight="1" x14ac:dyDescent="0.35">
      <c r="A2432" s="41">
        <v>46005</v>
      </c>
      <c r="B2432" s="8" t="s">
        <v>32</v>
      </c>
      <c r="C2432" s="42" t="s">
        <v>33</v>
      </c>
      <c r="D2432" s="43" t="s">
        <v>30</v>
      </c>
      <c r="E2432" s="46">
        <v>3929.21</v>
      </c>
      <c r="F2432" s="2">
        <f>IF(C2432="GBP",E2432*$C$3,IF(C2432="TRY",E2432/$C$1,IF(C2432="EUR",E2432*$E$1,IF(C2432="RUB",E2432/#REF!,IF(C2432="EGP",E2432/$E$2,E2432)))))</f>
        <v>3929.21</v>
      </c>
      <c r="G2432" s="15" t="str">
        <f>VLOOKUP(B2432,SPECIFICATIONF!$C$2:$D$65,2,0)</f>
        <v>GLOBAL HFT</v>
      </c>
      <c r="H2432" s="12">
        <f t="shared" si="174"/>
        <v>12</v>
      </c>
      <c r="I2432" s="12">
        <f t="shared" si="175"/>
        <v>2025</v>
      </c>
    </row>
    <row r="2433" spans="1:9" ht="19.5" customHeight="1" x14ac:dyDescent="0.35">
      <c r="A2433" s="41">
        <v>46005</v>
      </c>
      <c r="B2433" s="8" t="s">
        <v>32</v>
      </c>
      <c r="C2433" s="42" t="s">
        <v>11</v>
      </c>
      <c r="D2433" s="43" t="s">
        <v>29</v>
      </c>
      <c r="E2433" s="46">
        <v>3281590939</v>
      </c>
      <c r="F2433" s="2">
        <f>IF(C2433="GBP",E2433*$C$3,IF(C2433="TRY",E2433/$C$1,IF(C2433="EUR",E2433*$E$1,IF(C2433="RUB",E2433/#REF!,IF(C2433="EGP",E2433/$E$2,E2433)))))</f>
        <v>89988206.812205032</v>
      </c>
      <c r="G2433" s="15" t="str">
        <f>VLOOKUP(B2433,SPECIFICATIONF!$C$2:$D$65,2,0)</f>
        <v>GLOBAL HFT</v>
      </c>
      <c r="H2433" s="12">
        <f t="shared" si="174"/>
        <v>12</v>
      </c>
      <c r="I2433" s="12">
        <f t="shared" si="175"/>
        <v>2025</v>
      </c>
    </row>
    <row r="2434" spans="1:9" ht="19.5" customHeight="1" x14ac:dyDescent="0.35">
      <c r="A2434" s="41">
        <v>46005</v>
      </c>
      <c r="B2434" s="8" t="s">
        <v>32</v>
      </c>
      <c r="C2434" s="42" t="s">
        <v>33</v>
      </c>
      <c r="D2434" s="43" t="s">
        <v>29</v>
      </c>
      <c r="E2434" s="46">
        <v>13076955</v>
      </c>
      <c r="F2434" s="2">
        <f>IF(C2434="GBP",E2434*$C$3,IF(C2434="TRY",E2434/$C$1,IF(C2434="EUR",E2434*$E$1,IF(C2434="RUB",E2434/#REF!,IF(C2434="EGP",E2434/$E$2,E2434)))))</f>
        <v>13076955</v>
      </c>
      <c r="G2434" s="15" t="str">
        <f>VLOOKUP(B2434,SPECIFICATIONF!$C$2:$D$65,2,0)</f>
        <v>GLOBAL HFT</v>
      </c>
      <c r="H2434" s="12">
        <f t="shared" si="174"/>
        <v>12</v>
      </c>
      <c r="I2434" s="12">
        <f t="shared" si="175"/>
        <v>2025</v>
      </c>
    </row>
    <row r="2435" spans="1:9" ht="19.5" customHeight="1" x14ac:dyDescent="0.35">
      <c r="A2435" s="41">
        <v>46005</v>
      </c>
      <c r="B2435" s="8" t="s">
        <v>24</v>
      </c>
      <c r="C2435" s="42" t="s">
        <v>11</v>
      </c>
      <c r="D2435" s="43" t="s">
        <v>30</v>
      </c>
      <c r="E2435" s="46">
        <v>0</v>
      </c>
      <c r="F2435" s="2">
        <f>IF(C2435="GBP",E2435*$C$3,IF(C2435="TRY",E2435/$C$1,IF(C2435="EUR",E2435*$E$1,IF(C2435="RUB",E2435/#REF!,IF(C2435="EGP",E2435/$E$2,E2435)))))</f>
        <v>0</v>
      </c>
      <c r="G2435" s="15" t="str">
        <f>VLOOKUP(B2435,SPECIFICATIONF!$C$2:$D$65,2,0)</f>
        <v>GLOBAL RETAIL</v>
      </c>
      <c r="H2435" s="12">
        <f t="shared" si="174"/>
        <v>12</v>
      </c>
      <c r="I2435" s="12">
        <f t="shared" si="175"/>
        <v>2025</v>
      </c>
    </row>
    <row r="2436" spans="1:9" ht="19.5" customHeight="1" x14ac:dyDescent="0.35">
      <c r="A2436" s="41">
        <v>46005</v>
      </c>
      <c r="B2436" s="8" t="s">
        <v>24</v>
      </c>
      <c r="C2436" s="42" t="s">
        <v>33</v>
      </c>
      <c r="D2436" s="43" t="s">
        <v>30</v>
      </c>
      <c r="E2436" s="46">
        <v>0</v>
      </c>
      <c r="F2436" s="2">
        <f>IF(C2436="GBP",E2436*$C$3,IF(C2436="TRY",E2436/$C$1,IF(C2436="EUR",E2436*$E$1,IF(C2436="RUB",E2436/#REF!,IF(C2436="EGP",E2436/$E$2,E2436)))))</f>
        <v>0</v>
      </c>
      <c r="G2436" s="15" t="str">
        <f>VLOOKUP(B2436,SPECIFICATIONF!$C$2:$D$65,2,0)</f>
        <v>GLOBAL RETAIL</v>
      </c>
      <c r="H2436" s="12">
        <f t="shared" si="174"/>
        <v>12</v>
      </c>
      <c r="I2436" s="12">
        <f t="shared" si="175"/>
        <v>2025</v>
      </c>
    </row>
    <row r="2437" spans="1:9" ht="19.5" customHeight="1" x14ac:dyDescent="0.35">
      <c r="A2437" s="41">
        <v>46005</v>
      </c>
      <c r="B2437" s="8" t="s">
        <v>24</v>
      </c>
      <c r="C2437" s="42" t="s">
        <v>11</v>
      </c>
      <c r="D2437" s="43" t="s">
        <v>29</v>
      </c>
      <c r="E2437" s="46">
        <v>5127022</v>
      </c>
      <c r="F2437" s="2">
        <f>IF(C2437="GBP",E2437*$C$3,IF(C2437="TRY",E2437/$C$1,IF(C2437="EUR",E2437*$E$1,IF(C2437="RUB",E2437/#REF!,IF(C2437="EGP",E2437/$E$2,E2437)))))</f>
        <v>140593.85360422739</v>
      </c>
      <c r="G2437" s="15" t="str">
        <f>VLOOKUP(B2437,SPECIFICATIONF!$C$2:$D$65,2,0)</f>
        <v>GLOBAL RETAIL</v>
      </c>
      <c r="H2437" s="12">
        <f t="shared" si="174"/>
        <v>12</v>
      </c>
      <c r="I2437" s="12">
        <f t="shared" si="175"/>
        <v>2025</v>
      </c>
    </row>
    <row r="2438" spans="1:9" ht="19.5" customHeight="1" x14ac:dyDescent="0.35">
      <c r="A2438" s="41">
        <v>46005</v>
      </c>
      <c r="B2438" s="8" t="s">
        <v>24</v>
      </c>
      <c r="C2438" s="42" t="s">
        <v>33</v>
      </c>
      <c r="D2438" s="43" t="s">
        <v>29</v>
      </c>
      <c r="E2438" s="46">
        <v>0</v>
      </c>
      <c r="F2438" s="2">
        <f>IF(C2438="GBP",E2438*$C$3,IF(C2438="TRY",E2438/$C$1,IF(C2438="EUR",E2438*$E$1,IF(C2438="RUB",E2438/#REF!,IF(C2438="EGP",E2438/$E$2,E2438)))))</f>
        <v>0</v>
      </c>
      <c r="G2438" s="15" t="str">
        <f>VLOOKUP(B2438,SPECIFICATIONF!$C$2:$D$65,2,0)</f>
        <v>GLOBAL RETAIL</v>
      </c>
      <c r="H2438" s="12">
        <f t="shared" si="174"/>
        <v>12</v>
      </c>
      <c r="I2438" s="12">
        <f t="shared" si="175"/>
        <v>2025</v>
      </c>
    </row>
    <row r="2439" spans="1:9" ht="19.5" customHeight="1" x14ac:dyDescent="0.35">
      <c r="A2439" s="41">
        <v>46006</v>
      </c>
      <c r="B2439" s="8" t="s">
        <v>32</v>
      </c>
      <c r="C2439" s="42" t="s">
        <v>11</v>
      </c>
      <c r="D2439" s="43" t="s">
        <v>30</v>
      </c>
      <c r="E2439" s="46">
        <v>1048257.87</v>
      </c>
      <c r="F2439" s="2">
        <f>IF(C2439="GBP",E2439*$C$3,IF(C2439="TRY",E2439/$C$1,IF(C2439="EUR",E2439*$E$1,IF(C2439="RUB",E2439/#REF!,IF(C2439="EGP",E2439/$E$2,E2439)))))</f>
        <v>28745.461500703375</v>
      </c>
      <c r="G2439" s="15" t="str">
        <f>VLOOKUP(B2439,SPECIFICATIONF!$C$2:$D$65,2,0)</f>
        <v>GLOBAL HFT</v>
      </c>
      <c r="H2439" s="12">
        <f t="shared" si="174"/>
        <v>12</v>
      </c>
      <c r="I2439" s="12">
        <f t="shared" si="175"/>
        <v>2025</v>
      </c>
    </row>
    <row r="2440" spans="1:9" ht="19.5" customHeight="1" x14ac:dyDescent="0.35">
      <c r="A2440" s="41">
        <v>46006</v>
      </c>
      <c r="B2440" s="8" t="s">
        <v>32</v>
      </c>
      <c r="C2440" s="42" t="s">
        <v>33</v>
      </c>
      <c r="D2440" s="43" t="s">
        <v>30</v>
      </c>
      <c r="E2440" s="46">
        <v>5614.67</v>
      </c>
      <c r="F2440" s="2">
        <f>IF(C2440="GBP",E2440*$C$3,IF(C2440="TRY",E2440/$C$1,IF(C2440="EUR",E2440*$E$1,IF(C2440="RUB",E2440/#REF!,IF(C2440="EGP",E2440/$E$2,E2440)))))</f>
        <v>5614.67</v>
      </c>
      <c r="G2440" s="15" t="str">
        <f>VLOOKUP(B2440,SPECIFICATIONF!$C$2:$D$65,2,0)</f>
        <v>GLOBAL HFT</v>
      </c>
      <c r="H2440" s="12">
        <f t="shared" si="174"/>
        <v>12</v>
      </c>
      <c r="I2440" s="12">
        <f t="shared" si="175"/>
        <v>2025</v>
      </c>
    </row>
    <row r="2441" spans="1:9" ht="19.5" customHeight="1" x14ac:dyDescent="0.35">
      <c r="A2441" s="41">
        <v>46006</v>
      </c>
      <c r="B2441" s="8" t="s">
        <v>32</v>
      </c>
      <c r="C2441" s="42" t="s">
        <v>11</v>
      </c>
      <c r="D2441" s="43" t="s">
        <v>29</v>
      </c>
      <c r="E2441" s="46">
        <v>3997075772</v>
      </c>
      <c r="F2441" s="2">
        <f>IF(C2441="GBP",E2441*$C$3,IF(C2441="TRY",E2441/$C$1,IF(C2441="EUR",E2441*$E$1,IF(C2441="RUB",E2441/#REF!,IF(C2441="EGP",E2441/$E$2,E2441)))))</f>
        <v>109608323.49335973</v>
      </c>
      <c r="G2441" s="15" t="str">
        <f>VLOOKUP(B2441,SPECIFICATIONF!$C$2:$D$65,2,0)</f>
        <v>GLOBAL HFT</v>
      </c>
      <c r="H2441" s="12">
        <f t="shared" si="174"/>
        <v>12</v>
      </c>
      <c r="I2441" s="12">
        <f t="shared" si="175"/>
        <v>2025</v>
      </c>
    </row>
    <row r="2442" spans="1:9" ht="19.5" customHeight="1" x14ac:dyDescent="0.35">
      <c r="A2442" s="41">
        <v>46006</v>
      </c>
      <c r="B2442" s="8" t="s">
        <v>32</v>
      </c>
      <c r="C2442" s="42" t="s">
        <v>33</v>
      </c>
      <c r="D2442" s="43" t="s">
        <v>29</v>
      </c>
      <c r="E2442" s="46">
        <v>19659384</v>
      </c>
      <c r="F2442" s="2">
        <f>IF(C2442="GBP",E2442*$C$3,IF(C2442="TRY",E2442/$C$1,IF(C2442="EUR",E2442*$E$1,IF(C2442="RUB",E2442/#REF!,IF(C2442="EGP",E2442/$E$2,E2442)))))</f>
        <v>19659384</v>
      </c>
      <c r="G2442" s="15" t="str">
        <f>VLOOKUP(B2442,SPECIFICATIONF!$C$2:$D$65,2,0)</f>
        <v>GLOBAL HFT</v>
      </c>
      <c r="H2442" s="12">
        <f t="shared" si="174"/>
        <v>12</v>
      </c>
      <c r="I2442" s="12">
        <f t="shared" si="175"/>
        <v>2025</v>
      </c>
    </row>
    <row r="2443" spans="1:9" ht="19.5" customHeight="1" x14ac:dyDescent="0.35">
      <c r="A2443" s="41">
        <v>46006</v>
      </c>
      <c r="B2443" s="8" t="s">
        <v>24</v>
      </c>
      <c r="C2443" s="42" t="s">
        <v>11</v>
      </c>
      <c r="D2443" s="43" t="s">
        <v>30</v>
      </c>
      <c r="E2443" s="46">
        <v>0</v>
      </c>
      <c r="F2443" s="2">
        <f>IF(C2443="GBP",E2443*$C$3,IF(C2443="TRY",E2443/$C$1,IF(C2443="EUR",E2443*$E$1,IF(C2443="RUB",E2443/#REF!,IF(C2443="EGP",E2443/$E$2,E2443)))))</f>
        <v>0</v>
      </c>
      <c r="G2443" s="15" t="str">
        <f>VLOOKUP(B2443,SPECIFICATIONF!$C$2:$D$65,2,0)</f>
        <v>GLOBAL RETAIL</v>
      </c>
      <c r="H2443" s="12">
        <f t="shared" si="174"/>
        <v>12</v>
      </c>
      <c r="I2443" s="12">
        <f t="shared" si="175"/>
        <v>2025</v>
      </c>
    </row>
    <row r="2444" spans="1:9" ht="19.5" customHeight="1" x14ac:dyDescent="0.35">
      <c r="A2444" s="41">
        <v>46006</v>
      </c>
      <c r="B2444" s="8" t="s">
        <v>24</v>
      </c>
      <c r="C2444" s="42" t="s">
        <v>33</v>
      </c>
      <c r="D2444" s="43" t="s">
        <v>30</v>
      </c>
      <c r="E2444" s="46">
        <v>0</v>
      </c>
      <c r="F2444" s="2">
        <f>IF(C2444="GBP",E2444*$C$3,IF(C2444="TRY",E2444/$C$1,IF(C2444="EUR",E2444*$E$1,IF(C2444="RUB",E2444/#REF!,IF(C2444="EGP",E2444/$E$2,E2444)))))</f>
        <v>0</v>
      </c>
      <c r="G2444" s="15" t="str">
        <f>VLOOKUP(B2444,SPECIFICATIONF!$C$2:$D$65,2,0)</f>
        <v>GLOBAL RETAIL</v>
      </c>
      <c r="H2444" s="12">
        <f t="shared" si="174"/>
        <v>12</v>
      </c>
      <c r="I2444" s="12">
        <f t="shared" si="175"/>
        <v>2025</v>
      </c>
    </row>
    <row r="2445" spans="1:9" ht="19.5" customHeight="1" x14ac:dyDescent="0.35">
      <c r="A2445" s="41">
        <v>46006</v>
      </c>
      <c r="B2445" s="8" t="s">
        <v>24</v>
      </c>
      <c r="C2445" s="42" t="s">
        <v>11</v>
      </c>
      <c r="D2445" s="43" t="s">
        <v>29</v>
      </c>
      <c r="E2445" s="46">
        <v>0</v>
      </c>
      <c r="F2445" s="2">
        <f>IF(C2445="GBP",E2445*$C$3,IF(C2445="TRY",E2445/$C$1,IF(C2445="EUR",E2445*$E$1,IF(C2445="RUB",E2445/#REF!,IF(C2445="EGP",E2445/$E$2,E2445)))))</f>
        <v>0</v>
      </c>
      <c r="G2445" s="15" t="str">
        <f>VLOOKUP(B2445,SPECIFICATIONF!$C$2:$D$65,2,0)</f>
        <v>GLOBAL RETAIL</v>
      </c>
      <c r="H2445" s="12">
        <f t="shared" si="174"/>
        <v>12</v>
      </c>
      <c r="I2445" s="12">
        <f t="shared" si="175"/>
        <v>2025</v>
      </c>
    </row>
    <row r="2446" spans="1:9" ht="19.5" customHeight="1" x14ac:dyDescent="0.35">
      <c r="A2446" s="41">
        <v>46006</v>
      </c>
      <c r="B2446" s="8" t="s">
        <v>24</v>
      </c>
      <c r="C2446" s="42" t="s">
        <v>33</v>
      </c>
      <c r="D2446" s="43" t="s">
        <v>29</v>
      </c>
      <c r="E2446" s="46">
        <v>0</v>
      </c>
      <c r="F2446" s="2">
        <f>IF(C2446="GBP",E2446*$C$3,IF(C2446="TRY",E2446/$C$1,IF(C2446="EUR",E2446*$E$1,IF(C2446="RUB",E2446/#REF!,IF(C2446="EGP",E2446/$E$2,E2446)))))</f>
        <v>0</v>
      </c>
      <c r="G2446" s="15" t="str">
        <f>VLOOKUP(B2446,SPECIFICATIONF!$C$2:$D$65,2,0)</f>
        <v>GLOBAL RETAIL</v>
      </c>
      <c r="H2446" s="12">
        <f t="shared" si="174"/>
        <v>12</v>
      </c>
      <c r="I2446" s="12">
        <f t="shared" si="175"/>
        <v>2025</v>
      </c>
    </row>
    <row r="2447" spans="1:9" ht="19.5" customHeight="1" x14ac:dyDescent="0.35">
      <c r="A2447" s="41">
        <v>46007</v>
      </c>
      <c r="B2447" s="8" t="s">
        <v>32</v>
      </c>
      <c r="C2447" s="42" t="s">
        <v>11</v>
      </c>
      <c r="D2447" s="43" t="s">
        <v>30</v>
      </c>
      <c r="E2447" s="46">
        <v>1039900.39</v>
      </c>
      <c r="F2447" s="2">
        <f>IF(C2447="GBP",E2447*$C$3,IF(C2447="TRY",E2447/$C$1,IF(C2447="EUR",E2447*$E$1,IF(C2447="RUB",E2447/#REF!,IF(C2447="EGP",E2447/$E$2,E2447)))))</f>
        <v>28516.281614285832</v>
      </c>
      <c r="G2447" s="15" t="str">
        <f>VLOOKUP(B2447,SPECIFICATIONF!$C$2:$D$65,2,0)</f>
        <v>GLOBAL HFT</v>
      </c>
      <c r="H2447" s="12">
        <f t="shared" ref="H2447:H2454" si="176">MONTH(A2447)</f>
        <v>12</v>
      </c>
      <c r="I2447" s="12">
        <f t="shared" ref="I2447:I2454" si="177">YEAR(A2447)</f>
        <v>2025</v>
      </c>
    </row>
    <row r="2448" spans="1:9" ht="19.5" customHeight="1" x14ac:dyDescent="0.35">
      <c r="A2448" s="41">
        <v>46007</v>
      </c>
      <c r="B2448" s="8" t="s">
        <v>32</v>
      </c>
      <c r="C2448" s="42" t="s">
        <v>33</v>
      </c>
      <c r="D2448" s="43" t="s">
        <v>30</v>
      </c>
      <c r="E2448" s="46">
        <v>4786.38</v>
      </c>
      <c r="F2448" s="2">
        <f>IF(C2448="GBP",E2448*$C$3,IF(C2448="TRY",E2448/$C$1,IF(C2448="EUR",E2448*$E$1,IF(C2448="RUB",E2448/#REF!,IF(C2448="EGP",E2448/$E$2,E2448)))))</f>
        <v>4786.38</v>
      </c>
      <c r="G2448" s="15" t="str">
        <f>VLOOKUP(B2448,SPECIFICATIONF!$C$2:$D$65,2,0)</f>
        <v>GLOBAL HFT</v>
      </c>
      <c r="H2448" s="12">
        <f t="shared" si="176"/>
        <v>12</v>
      </c>
      <c r="I2448" s="12">
        <f t="shared" si="177"/>
        <v>2025</v>
      </c>
    </row>
    <row r="2449" spans="1:9" ht="19.5" customHeight="1" x14ac:dyDescent="0.35">
      <c r="A2449" s="41">
        <v>46007</v>
      </c>
      <c r="B2449" s="8" t="s">
        <v>32</v>
      </c>
      <c r="C2449" s="42" t="s">
        <v>11</v>
      </c>
      <c r="D2449" s="43" t="s">
        <v>29</v>
      </c>
      <c r="E2449" s="46">
        <v>3963592466</v>
      </c>
      <c r="F2449" s="2">
        <f>IF(C2449="GBP",E2449*$C$3,IF(C2449="TRY",E2449/$C$1,IF(C2449="EUR",E2449*$E$1,IF(C2449="RUB",E2449/#REF!,IF(C2449="EGP",E2449/$E$2,E2449)))))</f>
        <v>108690139.98996349</v>
      </c>
      <c r="G2449" s="15" t="str">
        <f>VLOOKUP(B2449,SPECIFICATIONF!$C$2:$D$65,2,0)</f>
        <v>GLOBAL HFT</v>
      </c>
      <c r="H2449" s="12">
        <f t="shared" si="176"/>
        <v>12</v>
      </c>
      <c r="I2449" s="12">
        <f t="shared" si="177"/>
        <v>2025</v>
      </c>
    </row>
    <row r="2450" spans="1:9" ht="19.5" customHeight="1" x14ac:dyDescent="0.35">
      <c r="A2450" s="41">
        <v>46007</v>
      </c>
      <c r="B2450" s="8" t="s">
        <v>32</v>
      </c>
      <c r="C2450" s="42" t="s">
        <v>33</v>
      </c>
      <c r="D2450" s="43" t="s">
        <v>29</v>
      </c>
      <c r="E2450" s="46">
        <v>16177941</v>
      </c>
      <c r="F2450" s="2">
        <f>IF(C2450="GBP",E2450*$C$3,IF(C2450="TRY",E2450/$C$1,IF(C2450="EUR",E2450*$E$1,IF(C2450="RUB",E2450/#REF!,IF(C2450="EGP",E2450/$E$2,E2450)))))</f>
        <v>16177941</v>
      </c>
      <c r="G2450" s="15" t="str">
        <f>VLOOKUP(B2450,SPECIFICATIONF!$C$2:$D$65,2,0)</f>
        <v>GLOBAL HFT</v>
      </c>
      <c r="H2450" s="12">
        <f t="shared" si="176"/>
        <v>12</v>
      </c>
      <c r="I2450" s="12">
        <f t="shared" si="177"/>
        <v>2025</v>
      </c>
    </row>
    <row r="2451" spans="1:9" ht="19.5" customHeight="1" x14ac:dyDescent="0.35">
      <c r="A2451" s="41">
        <v>46007</v>
      </c>
      <c r="B2451" s="8" t="s">
        <v>24</v>
      </c>
      <c r="C2451" s="42" t="s">
        <v>11</v>
      </c>
      <c r="D2451" s="43" t="s">
        <v>30</v>
      </c>
      <c r="E2451" s="46">
        <v>0</v>
      </c>
      <c r="F2451" s="2">
        <f>IF(C2451="GBP",E2451*$C$3,IF(C2451="TRY",E2451/$C$1,IF(C2451="EUR",E2451*$E$1,IF(C2451="RUB",E2451/#REF!,IF(C2451="EGP",E2451/$E$2,E2451)))))</f>
        <v>0</v>
      </c>
      <c r="G2451" s="15" t="str">
        <f>VLOOKUP(B2451,SPECIFICATIONF!$C$2:$D$65,2,0)</f>
        <v>GLOBAL RETAIL</v>
      </c>
      <c r="H2451" s="12">
        <f t="shared" si="176"/>
        <v>12</v>
      </c>
      <c r="I2451" s="12">
        <f t="shared" si="177"/>
        <v>2025</v>
      </c>
    </row>
    <row r="2452" spans="1:9" ht="19.5" customHeight="1" x14ac:dyDescent="0.35">
      <c r="A2452" s="41">
        <v>46007</v>
      </c>
      <c r="B2452" s="8" t="s">
        <v>24</v>
      </c>
      <c r="C2452" s="42" t="s">
        <v>33</v>
      </c>
      <c r="D2452" s="43" t="s">
        <v>30</v>
      </c>
      <c r="E2452" s="46">
        <v>0</v>
      </c>
      <c r="F2452" s="2">
        <f>IF(C2452="GBP",E2452*$C$3,IF(C2452="TRY",E2452/$C$1,IF(C2452="EUR",E2452*$E$1,IF(C2452="RUB",E2452/#REF!,IF(C2452="EGP",E2452/$E$2,E2452)))))</f>
        <v>0</v>
      </c>
      <c r="G2452" s="15" t="str">
        <f>VLOOKUP(B2452,SPECIFICATIONF!$C$2:$D$65,2,0)</f>
        <v>GLOBAL RETAIL</v>
      </c>
      <c r="H2452" s="12">
        <f t="shared" si="176"/>
        <v>12</v>
      </c>
      <c r="I2452" s="12">
        <f t="shared" si="177"/>
        <v>2025</v>
      </c>
    </row>
    <row r="2453" spans="1:9" ht="19.5" customHeight="1" x14ac:dyDescent="0.35">
      <c r="A2453" s="41">
        <v>46007</v>
      </c>
      <c r="B2453" s="8" t="s">
        <v>24</v>
      </c>
      <c r="C2453" s="42" t="s">
        <v>11</v>
      </c>
      <c r="D2453" s="43" t="s">
        <v>29</v>
      </c>
      <c r="E2453" s="46">
        <v>18645465</v>
      </c>
      <c r="F2453" s="2">
        <f>IF(C2453="GBP",E2453*$C$3,IF(C2453="TRY",E2453/$C$1,IF(C2453="EUR",E2453*$E$1,IF(C2453="RUB",E2453/#REF!,IF(C2453="EGP",E2453/$E$2,E2453)))))</f>
        <v>511298.32807285507</v>
      </c>
      <c r="G2453" s="15" t="str">
        <f>VLOOKUP(B2453,SPECIFICATIONF!$C$2:$D$65,2,0)</f>
        <v>GLOBAL RETAIL</v>
      </c>
      <c r="H2453" s="12">
        <f t="shared" si="176"/>
        <v>12</v>
      </c>
      <c r="I2453" s="12">
        <f t="shared" si="177"/>
        <v>2025</v>
      </c>
    </row>
    <row r="2454" spans="1:9" ht="19.5" customHeight="1" x14ac:dyDescent="0.35">
      <c r="A2454" s="41">
        <v>46007</v>
      </c>
      <c r="B2454" s="8" t="s">
        <v>24</v>
      </c>
      <c r="C2454" s="42" t="s">
        <v>33</v>
      </c>
      <c r="D2454" s="43" t="s">
        <v>29</v>
      </c>
      <c r="E2454" s="46">
        <v>0</v>
      </c>
      <c r="F2454" s="2">
        <f>IF(C2454="GBP",E2454*$C$3,IF(C2454="TRY",E2454/$C$1,IF(C2454="EUR",E2454*$E$1,IF(C2454="RUB",E2454/#REF!,IF(C2454="EGP",E2454/$E$2,E2454)))))</f>
        <v>0</v>
      </c>
      <c r="G2454" s="15" t="str">
        <f>VLOOKUP(B2454,SPECIFICATIONF!$C$2:$D$65,2,0)</f>
        <v>GLOBAL RETAIL</v>
      </c>
      <c r="H2454" s="12">
        <f t="shared" si="176"/>
        <v>12</v>
      </c>
      <c r="I2454" s="12">
        <f t="shared" si="177"/>
        <v>2025</v>
      </c>
    </row>
    <row r="2455" spans="1:9" ht="19.5" customHeight="1" x14ac:dyDescent="0.35">
      <c r="A2455" s="41">
        <v>46008</v>
      </c>
      <c r="B2455" s="8" t="s">
        <v>32</v>
      </c>
      <c r="C2455" s="42" t="s">
        <v>11</v>
      </c>
      <c r="D2455" s="43" t="s">
        <v>30</v>
      </c>
      <c r="E2455" s="46">
        <v>932381.84</v>
      </c>
      <c r="F2455" s="2">
        <f>IF(C2455="GBP",E2455*$C$3,IF(C2455="TRY",E2455/$C$1,IF(C2455="EUR",E2455*$E$1,IF(C2455="RUB",E2455/#REF!,IF(C2455="EGP",E2455/$E$2,E2455)))))</f>
        <v>25567.894172523575</v>
      </c>
      <c r="G2455" s="15" t="str">
        <f>VLOOKUP(B2455,SPECIFICATIONF!$C$2:$D$65,2,0)</f>
        <v>GLOBAL HFT</v>
      </c>
      <c r="H2455" s="12">
        <f t="shared" ref="H2455:H2462" si="178">MONTH(A2455)</f>
        <v>12</v>
      </c>
      <c r="I2455" s="12">
        <f t="shared" ref="I2455:I2462" si="179">YEAR(A2455)</f>
        <v>2025</v>
      </c>
    </row>
    <row r="2456" spans="1:9" ht="19.5" customHeight="1" x14ac:dyDescent="0.35">
      <c r="A2456" s="41">
        <v>46008</v>
      </c>
      <c r="B2456" s="8" t="s">
        <v>32</v>
      </c>
      <c r="C2456" s="42" t="s">
        <v>33</v>
      </c>
      <c r="D2456" s="43" t="s">
        <v>30</v>
      </c>
      <c r="E2456" s="46">
        <v>5216.83</v>
      </c>
      <c r="F2456" s="2">
        <f>IF(C2456="GBP",E2456*$C$3,IF(C2456="TRY",E2456/$C$1,IF(C2456="EUR",E2456*$E$1,IF(C2456="RUB",E2456/#REF!,IF(C2456="EGP",E2456/$E$2,E2456)))))</f>
        <v>5216.83</v>
      </c>
      <c r="G2456" s="15" t="str">
        <f>VLOOKUP(B2456,SPECIFICATIONF!$C$2:$D$65,2,0)</f>
        <v>GLOBAL HFT</v>
      </c>
      <c r="H2456" s="12">
        <f t="shared" si="178"/>
        <v>12</v>
      </c>
      <c r="I2456" s="12">
        <f t="shared" si="179"/>
        <v>2025</v>
      </c>
    </row>
    <row r="2457" spans="1:9" ht="19.5" customHeight="1" x14ac:dyDescent="0.35">
      <c r="A2457" s="41">
        <v>46008</v>
      </c>
      <c r="B2457" s="8" t="s">
        <v>32</v>
      </c>
      <c r="C2457" s="42" t="s">
        <v>11</v>
      </c>
      <c r="D2457" s="43" t="s">
        <v>29</v>
      </c>
      <c r="E2457" s="46">
        <v>3427679666</v>
      </c>
      <c r="F2457" s="2">
        <f>IF(C2457="GBP",E2457*$C$3,IF(C2457="TRY",E2457/$C$1,IF(C2457="EUR",E2457*$E$1,IF(C2457="RUB",E2457/#REF!,IF(C2457="EGP",E2457/$E$2,E2457)))))</f>
        <v>93994270.585105941</v>
      </c>
      <c r="G2457" s="15" t="str">
        <f>VLOOKUP(B2457,SPECIFICATIONF!$C$2:$D$65,2,0)</f>
        <v>GLOBAL HFT</v>
      </c>
      <c r="H2457" s="12">
        <f t="shared" si="178"/>
        <v>12</v>
      </c>
      <c r="I2457" s="12">
        <f t="shared" si="179"/>
        <v>2025</v>
      </c>
    </row>
    <row r="2458" spans="1:9" ht="19.5" customHeight="1" x14ac:dyDescent="0.35">
      <c r="A2458" s="41">
        <v>46008</v>
      </c>
      <c r="B2458" s="8" t="s">
        <v>32</v>
      </c>
      <c r="C2458" s="42" t="s">
        <v>33</v>
      </c>
      <c r="D2458" s="43" t="s">
        <v>29</v>
      </c>
      <c r="E2458" s="46">
        <v>18967383</v>
      </c>
      <c r="F2458" s="2">
        <f>IF(C2458="GBP",E2458*$C$3,IF(C2458="TRY",E2458/$C$1,IF(C2458="EUR",E2458*$E$1,IF(C2458="RUB",E2458/#REF!,IF(C2458="EGP",E2458/$E$2,E2458)))))</f>
        <v>18967383</v>
      </c>
      <c r="G2458" s="15" t="str">
        <f>VLOOKUP(B2458,SPECIFICATIONF!$C$2:$D$65,2,0)</f>
        <v>GLOBAL HFT</v>
      </c>
      <c r="H2458" s="12">
        <f t="shared" si="178"/>
        <v>12</v>
      </c>
      <c r="I2458" s="12">
        <f t="shared" si="179"/>
        <v>2025</v>
      </c>
    </row>
    <row r="2459" spans="1:9" ht="19.5" customHeight="1" x14ac:dyDescent="0.35">
      <c r="A2459" s="41">
        <v>46008</v>
      </c>
      <c r="B2459" s="8" t="s">
        <v>24</v>
      </c>
      <c r="C2459" s="42" t="s">
        <v>11</v>
      </c>
      <c r="D2459" s="43" t="s">
        <v>30</v>
      </c>
      <c r="E2459" s="46">
        <v>0</v>
      </c>
      <c r="F2459" s="2">
        <f>IF(C2459="GBP",E2459*$C$3,IF(C2459="TRY",E2459/$C$1,IF(C2459="EUR",E2459*$E$1,IF(C2459="RUB",E2459/#REF!,IF(C2459="EGP",E2459/$E$2,E2459)))))</f>
        <v>0</v>
      </c>
      <c r="G2459" s="15" t="str">
        <f>VLOOKUP(B2459,SPECIFICATIONF!$C$2:$D$65,2,0)</f>
        <v>GLOBAL RETAIL</v>
      </c>
      <c r="H2459" s="12">
        <f t="shared" si="178"/>
        <v>12</v>
      </c>
      <c r="I2459" s="12">
        <f t="shared" si="179"/>
        <v>2025</v>
      </c>
    </row>
    <row r="2460" spans="1:9" ht="19.5" customHeight="1" x14ac:dyDescent="0.35">
      <c r="A2460" s="41">
        <v>46008</v>
      </c>
      <c r="B2460" s="8" t="s">
        <v>24</v>
      </c>
      <c r="C2460" s="42" t="s">
        <v>33</v>
      </c>
      <c r="D2460" s="43" t="s">
        <v>30</v>
      </c>
      <c r="E2460" s="46">
        <v>0</v>
      </c>
      <c r="F2460" s="2">
        <f>IF(C2460="GBP",E2460*$C$3,IF(C2460="TRY",E2460/$C$1,IF(C2460="EUR",E2460*$E$1,IF(C2460="RUB",E2460/#REF!,IF(C2460="EGP",E2460/$E$2,E2460)))))</f>
        <v>0</v>
      </c>
      <c r="G2460" s="15" t="str">
        <f>VLOOKUP(B2460,SPECIFICATIONF!$C$2:$D$65,2,0)</f>
        <v>GLOBAL RETAIL</v>
      </c>
      <c r="H2460" s="12">
        <f t="shared" si="178"/>
        <v>12</v>
      </c>
      <c r="I2460" s="12">
        <f t="shared" si="179"/>
        <v>2025</v>
      </c>
    </row>
    <row r="2461" spans="1:9" ht="19.5" customHeight="1" x14ac:dyDescent="0.35">
      <c r="A2461" s="41">
        <v>46008</v>
      </c>
      <c r="B2461" s="8" t="s">
        <v>24</v>
      </c>
      <c r="C2461" s="42" t="s">
        <v>11</v>
      </c>
      <c r="D2461" s="43" t="s">
        <v>29</v>
      </c>
      <c r="E2461" s="46">
        <v>950681</v>
      </c>
      <c r="F2461" s="2">
        <f>IF(C2461="GBP",E2461*$C$3,IF(C2461="TRY",E2461/$C$1,IF(C2461="EUR",E2461*$E$1,IF(C2461="RUB",E2461/#REF!,IF(C2461="EGP",E2461/$E$2,E2461)))))</f>
        <v>26069.696080555241</v>
      </c>
      <c r="G2461" s="15" t="str">
        <f>VLOOKUP(B2461,SPECIFICATIONF!$C$2:$D$65,2,0)</f>
        <v>GLOBAL RETAIL</v>
      </c>
      <c r="H2461" s="12">
        <f t="shared" si="178"/>
        <v>12</v>
      </c>
      <c r="I2461" s="12">
        <f t="shared" si="179"/>
        <v>2025</v>
      </c>
    </row>
    <row r="2462" spans="1:9" ht="19.5" customHeight="1" x14ac:dyDescent="0.35">
      <c r="A2462" s="41">
        <v>46008</v>
      </c>
      <c r="B2462" s="8" t="s">
        <v>24</v>
      </c>
      <c r="C2462" s="42" t="s">
        <v>33</v>
      </c>
      <c r="D2462" s="43" t="s">
        <v>29</v>
      </c>
      <c r="E2462" s="46">
        <v>0</v>
      </c>
      <c r="F2462" s="2">
        <f>IF(C2462="GBP",E2462*$C$3,IF(C2462="TRY",E2462/$C$1,IF(C2462="EUR",E2462*$E$1,IF(C2462="RUB",E2462/#REF!,IF(C2462="EGP",E2462/$E$2,E2462)))))</f>
        <v>0</v>
      </c>
      <c r="G2462" s="15" t="str">
        <f>VLOOKUP(B2462,SPECIFICATIONF!$C$2:$D$65,2,0)</f>
        <v>GLOBAL RETAIL</v>
      </c>
      <c r="H2462" s="12">
        <f t="shared" si="178"/>
        <v>12</v>
      </c>
      <c r="I2462" s="12">
        <f t="shared" si="179"/>
        <v>2025</v>
      </c>
    </row>
    <row r="2463" spans="1:9" ht="19.5" customHeight="1" x14ac:dyDescent="0.35">
      <c r="A2463" s="41">
        <v>46009</v>
      </c>
      <c r="B2463" s="8" t="s">
        <v>32</v>
      </c>
      <c r="C2463" s="42" t="s">
        <v>11</v>
      </c>
      <c r="D2463" s="43" t="s">
        <v>30</v>
      </c>
      <c r="E2463" s="46">
        <v>1084137.2</v>
      </c>
      <c r="F2463" s="2">
        <f>IF(C2463="GBP",E2463*$C$3,IF(C2463="TRY",E2463/$C$1,IF(C2463="EUR",E2463*$E$1,IF(C2463="RUB",E2463/#REF!,IF(C2463="EGP",E2463/$E$2,E2463)))))</f>
        <v>29729.349080947377</v>
      </c>
      <c r="G2463" s="15" t="str">
        <f>VLOOKUP(B2463,SPECIFICATIONF!$C$2:$D$65,2,0)</f>
        <v>GLOBAL HFT</v>
      </c>
      <c r="H2463" s="12">
        <f t="shared" ref="H2463:H2470" si="180">MONTH(A2463)</f>
        <v>12</v>
      </c>
      <c r="I2463" s="12">
        <f t="shared" ref="I2463:I2470" si="181">YEAR(A2463)</f>
        <v>2025</v>
      </c>
    </row>
    <row r="2464" spans="1:9" ht="19.5" customHeight="1" x14ac:dyDescent="0.35">
      <c r="A2464" s="41">
        <v>46009</v>
      </c>
      <c r="B2464" s="8" t="s">
        <v>32</v>
      </c>
      <c r="C2464" s="42" t="s">
        <v>33</v>
      </c>
      <c r="D2464" s="43" t="s">
        <v>30</v>
      </c>
      <c r="E2464" s="46">
        <v>5445.56</v>
      </c>
      <c r="F2464" s="2">
        <f>IF(C2464="GBP",E2464*$C$3,IF(C2464="TRY",E2464/$C$1,IF(C2464="EUR",E2464*$E$1,IF(C2464="RUB",E2464/#REF!,IF(C2464="EGP",E2464/$E$2,E2464)))))</f>
        <v>5445.56</v>
      </c>
      <c r="G2464" s="15" t="str">
        <f>VLOOKUP(B2464,SPECIFICATIONF!$C$2:$D$65,2,0)</f>
        <v>GLOBAL HFT</v>
      </c>
      <c r="H2464" s="12">
        <f t="shared" si="180"/>
        <v>12</v>
      </c>
      <c r="I2464" s="12">
        <f t="shared" si="181"/>
        <v>2025</v>
      </c>
    </row>
    <row r="2465" spans="1:9" ht="19.5" customHeight="1" x14ac:dyDescent="0.35">
      <c r="A2465" s="41">
        <v>46009</v>
      </c>
      <c r="B2465" s="8" t="s">
        <v>32</v>
      </c>
      <c r="C2465" s="42" t="s">
        <v>11</v>
      </c>
      <c r="D2465" s="43" t="s">
        <v>29</v>
      </c>
      <c r="E2465" s="46">
        <v>3983503933</v>
      </c>
      <c r="F2465" s="2">
        <f>IF(C2465="GBP",E2465*$C$3,IF(C2465="TRY",E2465/$C$1,IF(C2465="EUR",E2465*$E$1,IF(C2465="RUB",E2465/#REF!,IF(C2465="EGP",E2465/$E$2,E2465)))))</f>
        <v>109236154.78694376</v>
      </c>
      <c r="G2465" s="15" t="str">
        <f>VLOOKUP(B2465,SPECIFICATIONF!$C$2:$D$65,2,0)</f>
        <v>GLOBAL HFT</v>
      </c>
      <c r="H2465" s="12">
        <f t="shared" si="180"/>
        <v>12</v>
      </c>
      <c r="I2465" s="12">
        <f t="shared" si="181"/>
        <v>2025</v>
      </c>
    </row>
    <row r="2466" spans="1:9" ht="19.5" customHeight="1" x14ac:dyDescent="0.35">
      <c r="A2466" s="41">
        <v>46009</v>
      </c>
      <c r="B2466" s="8" t="s">
        <v>32</v>
      </c>
      <c r="C2466" s="42" t="s">
        <v>33</v>
      </c>
      <c r="D2466" s="43" t="s">
        <v>29</v>
      </c>
      <c r="E2466" s="46">
        <v>19335163</v>
      </c>
      <c r="F2466" s="2">
        <f>IF(C2466="GBP",E2466*$C$3,IF(C2466="TRY",E2466/$C$1,IF(C2466="EUR",E2466*$E$1,IF(C2466="RUB",E2466/#REF!,IF(C2466="EGP",E2466/$E$2,E2466)))))</f>
        <v>19335163</v>
      </c>
      <c r="G2466" s="15" t="str">
        <f>VLOOKUP(B2466,SPECIFICATIONF!$C$2:$D$65,2,0)</f>
        <v>GLOBAL HFT</v>
      </c>
      <c r="H2466" s="12">
        <f t="shared" si="180"/>
        <v>12</v>
      </c>
      <c r="I2466" s="12">
        <f t="shared" si="181"/>
        <v>2025</v>
      </c>
    </row>
    <row r="2467" spans="1:9" ht="19.5" customHeight="1" x14ac:dyDescent="0.35">
      <c r="A2467" s="41">
        <v>46009</v>
      </c>
      <c r="B2467" s="8" t="s">
        <v>24</v>
      </c>
      <c r="C2467" s="42" t="s">
        <v>11</v>
      </c>
      <c r="D2467" s="43" t="s">
        <v>30</v>
      </c>
      <c r="E2467" s="46">
        <v>0</v>
      </c>
      <c r="F2467" s="2">
        <f>IF(C2467="GBP",E2467*$C$3,IF(C2467="TRY",E2467/$C$1,IF(C2467="EUR",E2467*$E$1,IF(C2467="RUB",E2467/#REF!,IF(C2467="EGP",E2467/$E$2,E2467)))))</f>
        <v>0</v>
      </c>
      <c r="G2467" s="15" t="str">
        <f>VLOOKUP(B2467,SPECIFICATIONF!$C$2:$D$65,2,0)</f>
        <v>GLOBAL RETAIL</v>
      </c>
      <c r="H2467" s="12">
        <f t="shared" si="180"/>
        <v>12</v>
      </c>
      <c r="I2467" s="12">
        <f t="shared" si="181"/>
        <v>2025</v>
      </c>
    </row>
    <row r="2468" spans="1:9" ht="19.5" customHeight="1" x14ac:dyDescent="0.35">
      <c r="A2468" s="41">
        <v>46009</v>
      </c>
      <c r="B2468" s="8" t="s">
        <v>24</v>
      </c>
      <c r="C2468" s="42" t="s">
        <v>33</v>
      </c>
      <c r="D2468" s="43" t="s">
        <v>30</v>
      </c>
      <c r="E2468" s="46">
        <v>0</v>
      </c>
      <c r="F2468" s="2">
        <f>IF(C2468="GBP",E2468*$C$3,IF(C2468="TRY",E2468/$C$1,IF(C2468="EUR",E2468*$E$1,IF(C2468="RUB",E2468/#REF!,IF(C2468="EGP",E2468/$E$2,E2468)))))</f>
        <v>0</v>
      </c>
      <c r="G2468" s="15" t="str">
        <f>VLOOKUP(B2468,SPECIFICATIONF!$C$2:$D$65,2,0)</f>
        <v>GLOBAL RETAIL</v>
      </c>
      <c r="H2468" s="12">
        <f t="shared" si="180"/>
        <v>12</v>
      </c>
      <c r="I2468" s="12">
        <f t="shared" si="181"/>
        <v>2025</v>
      </c>
    </row>
    <row r="2469" spans="1:9" ht="19.5" customHeight="1" x14ac:dyDescent="0.35">
      <c r="A2469" s="41">
        <v>46009</v>
      </c>
      <c r="B2469" s="8" t="s">
        <v>24</v>
      </c>
      <c r="C2469" s="42" t="s">
        <v>11</v>
      </c>
      <c r="D2469" s="43" t="s">
        <v>29</v>
      </c>
      <c r="E2469" s="46">
        <v>1353134</v>
      </c>
      <c r="F2469" s="2">
        <f>IF(C2469="GBP",E2469*$C$3,IF(C2469="TRY",E2469/$C$1,IF(C2469="EUR",E2469*$E$1,IF(C2469="RUB",E2469/#REF!,IF(C2469="EGP",E2469/$E$2,E2469)))))</f>
        <v>37105.813765359817</v>
      </c>
      <c r="G2469" s="15" t="str">
        <f>VLOOKUP(B2469,SPECIFICATIONF!$C$2:$D$65,2,0)</f>
        <v>GLOBAL RETAIL</v>
      </c>
      <c r="H2469" s="12">
        <f t="shared" si="180"/>
        <v>12</v>
      </c>
      <c r="I2469" s="12">
        <f t="shared" si="181"/>
        <v>2025</v>
      </c>
    </row>
    <row r="2470" spans="1:9" ht="19.5" customHeight="1" x14ac:dyDescent="0.35">
      <c r="A2470" s="41">
        <v>46009</v>
      </c>
      <c r="B2470" s="8" t="s">
        <v>24</v>
      </c>
      <c r="C2470" s="42" t="s">
        <v>33</v>
      </c>
      <c r="D2470" s="43" t="s">
        <v>29</v>
      </c>
      <c r="E2470" s="46">
        <v>0</v>
      </c>
      <c r="F2470" s="2">
        <f>IF(C2470="GBP",E2470*$C$3,IF(C2470="TRY",E2470/$C$1,IF(C2470="EUR",E2470*$E$1,IF(C2470="RUB",E2470/#REF!,IF(C2470="EGP",E2470/$E$2,E2470)))))</f>
        <v>0</v>
      </c>
      <c r="G2470" s="15" t="str">
        <f>VLOOKUP(B2470,SPECIFICATIONF!$C$2:$D$65,2,0)</f>
        <v>GLOBAL RETAIL</v>
      </c>
      <c r="H2470" s="12">
        <f t="shared" si="180"/>
        <v>12</v>
      </c>
      <c r="I2470" s="12">
        <f t="shared" si="181"/>
        <v>2025</v>
      </c>
    </row>
    <row r="2471" spans="1:9" ht="19.5" customHeight="1" x14ac:dyDescent="0.35">
      <c r="A2471" s="41">
        <v>46010</v>
      </c>
      <c r="B2471" s="8" t="s">
        <v>32</v>
      </c>
      <c r="C2471" s="42" t="s">
        <v>11</v>
      </c>
      <c r="D2471" s="43" t="s">
        <v>30</v>
      </c>
      <c r="E2471" s="46">
        <v>1033498.6</v>
      </c>
      <c r="F2471" s="2">
        <f>IF(C2471="GBP",E2471*$C$3,IF(C2471="TRY",E2471/$C$1,IF(C2471="EUR",E2471*$E$1,IF(C2471="RUB",E2471/#REF!,IF(C2471="EGP",E2471/$E$2,E2471)))))</f>
        <v>28340.73090940003</v>
      </c>
      <c r="G2471" s="15" t="str">
        <f>VLOOKUP(B2471,SPECIFICATIONF!$C$2:$D$65,2,0)</f>
        <v>GLOBAL HFT</v>
      </c>
      <c r="H2471" s="12">
        <f t="shared" ref="H2471:H2478" si="182">MONTH(A2471)</f>
        <v>12</v>
      </c>
      <c r="I2471" s="12">
        <f t="shared" ref="I2471:I2478" si="183">YEAR(A2471)</f>
        <v>2025</v>
      </c>
    </row>
    <row r="2472" spans="1:9" ht="19.5" customHeight="1" x14ac:dyDescent="0.35">
      <c r="A2472" s="41">
        <v>46010</v>
      </c>
      <c r="B2472" s="8" t="s">
        <v>32</v>
      </c>
      <c r="C2472" s="42" t="s">
        <v>33</v>
      </c>
      <c r="D2472" s="43" t="s">
        <v>30</v>
      </c>
      <c r="E2472" s="46">
        <v>6029.81</v>
      </c>
      <c r="F2472" s="2">
        <f>IF(C2472="GBP",E2472*$C$3,IF(C2472="TRY",E2472/$C$1,IF(C2472="EUR",E2472*$E$1,IF(C2472="RUB",E2472/#REF!,IF(C2472="EGP",E2472/$E$2,E2472)))))</f>
        <v>6029.81</v>
      </c>
      <c r="G2472" s="15" t="str">
        <f>VLOOKUP(B2472,SPECIFICATIONF!$C$2:$D$65,2,0)</f>
        <v>GLOBAL HFT</v>
      </c>
      <c r="H2472" s="12">
        <f t="shared" si="182"/>
        <v>12</v>
      </c>
      <c r="I2472" s="12">
        <f t="shared" si="183"/>
        <v>2025</v>
      </c>
    </row>
    <row r="2473" spans="1:9" ht="19.5" customHeight="1" x14ac:dyDescent="0.35">
      <c r="A2473" s="41">
        <v>46010</v>
      </c>
      <c r="B2473" s="8" t="s">
        <v>32</v>
      </c>
      <c r="C2473" s="42" t="s">
        <v>11</v>
      </c>
      <c r="D2473" s="43" t="s">
        <v>29</v>
      </c>
      <c r="E2473" s="46">
        <v>3795320567</v>
      </c>
      <c r="F2473" s="2">
        <f>IF(C2473="GBP",E2473*$C$3,IF(C2473="TRY",E2473/$C$1,IF(C2473="EUR",E2473*$E$1,IF(C2473="RUB",E2473/#REF!,IF(C2473="EGP",E2473/$E$2,E2473)))))</f>
        <v>104075766.43476686</v>
      </c>
      <c r="G2473" s="15" t="str">
        <f>VLOOKUP(B2473,SPECIFICATIONF!$C$2:$D$65,2,0)</f>
        <v>GLOBAL HFT</v>
      </c>
      <c r="H2473" s="12">
        <f t="shared" si="182"/>
        <v>12</v>
      </c>
      <c r="I2473" s="12">
        <f t="shared" si="183"/>
        <v>2025</v>
      </c>
    </row>
    <row r="2474" spans="1:9" ht="19.5" customHeight="1" x14ac:dyDescent="0.35">
      <c r="A2474" s="41">
        <v>46010</v>
      </c>
      <c r="B2474" s="8" t="s">
        <v>32</v>
      </c>
      <c r="C2474" s="42" t="s">
        <v>33</v>
      </c>
      <c r="D2474" s="43" t="s">
        <v>29</v>
      </c>
      <c r="E2474" s="46">
        <v>20130305</v>
      </c>
      <c r="F2474" s="2">
        <f>IF(C2474="GBP",E2474*$C$3,IF(C2474="TRY",E2474/$C$1,IF(C2474="EUR",E2474*$E$1,IF(C2474="RUB",E2474/#REF!,IF(C2474="EGP",E2474/$E$2,E2474)))))</f>
        <v>20130305</v>
      </c>
      <c r="G2474" s="15" t="str">
        <f>VLOOKUP(B2474,SPECIFICATIONF!$C$2:$D$65,2,0)</f>
        <v>GLOBAL HFT</v>
      </c>
      <c r="H2474" s="12">
        <f t="shared" si="182"/>
        <v>12</v>
      </c>
      <c r="I2474" s="12">
        <f t="shared" si="183"/>
        <v>2025</v>
      </c>
    </row>
    <row r="2475" spans="1:9" ht="19.5" customHeight="1" x14ac:dyDescent="0.35">
      <c r="A2475" s="41">
        <v>46010</v>
      </c>
      <c r="B2475" s="8" t="s">
        <v>24</v>
      </c>
      <c r="C2475" s="42" t="s">
        <v>11</v>
      </c>
      <c r="D2475" s="43" t="s">
        <v>30</v>
      </c>
      <c r="E2475" s="46">
        <v>0</v>
      </c>
      <c r="F2475" s="2">
        <f>IF(C2475="GBP",E2475*$C$3,IF(C2475="TRY",E2475/$C$1,IF(C2475="EUR",E2475*$E$1,IF(C2475="RUB",E2475/#REF!,IF(C2475="EGP",E2475/$E$2,E2475)))))</f>
        <v>0</v>
      </c>
      <c r="G2475" s="15" t="str">
        <f>VLOOKUP(B2475,SPECIFICATIONF!$C$2:$D$65,2,0)</f>
        <v>GLOBAL RETAIL</v>
      </c>
      <c r="H2475" s="12">
        <f t="shared" si="182"/>
        <v>12</v>
      </c>
      <c r="I2475" s="12">
        <f t="shared" si="183"/>
        <v>2025</v>
      </c>
    </row>
    <row r="2476" spans="1:9" ht="19.5" customHeight="1" x14ac:dyDescent="0.35">
      <c r="A2476" s="41">
        <v>46010</v>
      </c>
      <c r="B2476" s="8" t="s">
        <v>24</v>
      </c>
      <c r="C2476" s="42" t="s">
        <v>33</v>
      </c>
      <c r="D2476" s="43" t="s">
        <v>30</v>
      </c>
      <c r="E2476" s="46">
        <v>0</v>
      </c>
      <c r="F2476" s="2">
        <f>IF(C2476="GBP",E2476*$C$3,IF(C2476="TRY",E2476/$C$1,IF(C2476="EUR",E2476*$E$1,IF(C2476="RUB",E2476/#REF!,IF(C2476="EGP",E2476/$E$2,E2476)))))</f>
        <v>0</v>
      </c>
      <c r="G2476" s="15" t="str">
        <f>VLOOKUP(B2476,SPECIFICATIONF!$C$2:$D$65,2,0)</f>
        <v>GLOBAL RETAIL</v>
      </c>
      <c r="H2476" s="12">
        <f t="shared" si="182"/>
        <v>12</v>
      </c>
      <c r="I2476" s="12">
        <f t="shared" si="183"/>
        <v>2025</v>
      </c>
    </row>
    <row r="2477" spans="1:9" ht="19.5" customHeight="1" x14ac:dyDescent="0.35">
      <c r="A2477" s="41">
        <v>46010</v>
      </c>
      <c r="B2477" s="8" t="s">
        <v>24</v>
      </c>
      <c r="C2477" s="42" t="s">
        <v>11</v>
      </c>
      <c r="D2477" s="43" t="s">
        <v>29</v>
      </c>
      <c r="E2477" s="46">
        <v>0</v>
      </c>
      <c r="F2477" s="2">
        <f>IF(C2477="GBP",E2477*$C$3,IF(C2477="TRY",E2477/$C$1,IF(C2477="EUR",E2477*$E$1,IF(C2477="RUB",E2477/#REF!,IF(C2477="EGP",E2477/$E$2,E2477)))))</f>
        <v>0</v>
      </c>
      <c r="G2477" s="15" t="str">
        <f>VLOOKUP(B2477,SPECIFICATIONF!$C$2:$D$65,2,0)</f>
        <v>GLOBAL RETAIL</v>
      </c>
      <c r="H2477" s="12">
        <f t="shared" si="182"/>
        <v>12</v>
      </c>
      <c r="I2477" s="12">
        <f t="shared" si="183"/>
        <v>2025</v>
      </c>
    </row>
    <row r="2478" spans="1:9" ht="19.5" customHeight="1" x14ac:dyDescent="0.35">
      <c r="A2478" s="41">
        <v>46010</v>
      </c>
      <c r="B2478" s="8" t="s">
        <v>24</v>
      </c>
      <c r="C2478" s="42" t="s">
        <v>33</v>
      </c>
      <c r="D2478" s="43" t="s">
        <v>29</v>
      </c>
      <c r="E2478" s="46">
        <v>0</v>
      </c>
      <c r="F2478" s="2">
        <f>IF(C2478="GBP",E2478*$C$3,IF(C2478="TRY",E2478/$C$1,IF(C2478="EUR",E2478*$E$1,IF(C2478="RUB",E2478/#REF!,IF(C2478="EGP",E2478/$E$2,E2478)))))</f>
        <v>0</v>
      </c>
      <c r="G2478" s="15" t="str">
        <f>VLOOKUP(B2478,SPECIFICATIONF!$C$2:$D$65,2,0)</f>
        <v>GLOBAL RETAIL</v>
      </c>
      <c r="H2478" s="12">
        <f t="shared" si="182"/>
        <v>12</v>
      </c>
      <c r="I2478" s="12">
        <f t="shared" si="183"/>
        <v>2025</v>
      </c>
    </row>
    <row r="2479" spans="1:9" ht="19.5" customHeight="1" x14ac:dyDescent="0.35">
      <c r="A2479" s="41">
        <v>46011</v>
      </c>
      <c r="B2479" s="8" t="s">
        <v>32</v>
      </c>
      <c r="C2479" s="42" t="s">
        <v>11</v>
      </c>
      <c r="D2479" s="43" t="s">
        <v>30</v>
      </c>
      <c r="E2479" s="46">
        <v>936765.8</v>
      </c>
      <c r="F2479" s="2">
        <f>IF(C2479="GBP",E2479*$C$3,IF(C2479="TRY",E2479/$C$1,IF(C2479="EUR",E2479*$E$1,IF(C2479="RUB",E2479/#REF!,IF(C2479="EGP",E2479/$E$2,E2479)))))</f>
        <v>25688.111684842966</v>
      </c>
      <c r="G2479" s="15" t="str">
        <f>VLOOKUP(B2479,SPECIFICATIONF!$C$2:$D$65,2,0)</f>
        <v>GLOBAL HFT</v>
      </c>
      <c r="H2479" s="12">
        <f t="shared" ref="H2479:H2502" si="184">MONTH(A2479)</f>
        <v>12</v>
      </c>
      <c r="I2479" s="12">
        <f t="shared" ref="I2479:I2502" si="185">YEAR(A2479)</f>
        <v>2025</v>
      </c>
    </row>
    <row r="2480" spans="1:9" ht="19.5" customHeight="1" x14ac:dyDescent="0.35">
      <c r="A2480" s="41">
        <v>46011</v>
      </c>
      <c r="B2480" s="8" t="s">
        <v>32</v>
      </c>
      <c r="C2480" s="42" t="s">
        <v>33</v>
      </c>
      <c r="D2480" s="43" t="s">
        <v>30</v>
      </c>
      <c r="E2480" s="46">
        <v>3801.76</v>
      </c>
      <c r="F2480" s="2">
        <f>IF(C2480="GBP",E2480*$C$3,IF(C2480="TRY",E2480/$C$1,IF(C2480="EUR",E2480*$E$1,IF(C2480="RUB",E2480/#REF!,IF(C2480="EGP",E2480/$E$2,E2480)))))</f>
        <v>3801.76</v>
      </c>
      <c r="G2480" s="15" t="str">
        <f>VLOOKUP(B2480,SPECIFICATIONF!$C$2:$D$65,2,0)</f>
        <v>GLOBAL HFT</v>
      </c>
      <c r="H2480" s="12">
        <f t="shared" si="184"/>
        <v>12</v>
      </c>
      <c r="I2480" s="12">
        <f t="shared" si="185"/>
        <v>2025</v>
      </c>
    </row>
    <row r="2481" spans="1:9" ht="19.5" customHeight="1" x14ac:dyDescent="0.35">
      <c r="A2481" s="41">
        <v>46011</v>
      </c>
      <c r="B2481" s="8" t="s">
        <v>32</v>
      </c>
      <c r="C2481" s="42" t="s">
        <v>11</v>
      </c>
      <c r="D2481" s="43" t="s">
        <v>29</v>
      </c>
      <c r="E2481" s="46">
        <v>3575092018</v>
      </c>
      <c r="F2481" s="2">
        <f>IF(C2481="GBP",E2481*$C$3,IF(C2481="TRY",E2481/$C$1,IF(C2481="EUR",E2481*$E$1,IF(C2481="RUB",E2481/#REF!,IF(C2481="EGP",E2481/$E$2,E2481)))))</f>
        <v>98036630.972196698</v>
      </c>
      <c r="G2481" s="15" t="str">
        <f>VLOOKUP(B2481,SPECIFICATIONF!$C$2:$D$65,2,0)</f>
        <v>GLOBAL HFT</v>
      </c>
      <c r="H2481" s="12">
        <f t="shared" si="184"/>
        <v>12</v>
      </c>
      <c r="I2481" s="12">
        <f t="shared" si="185"/>
        <v>2025</v>
      </c>
    </row>
    <row r="2482" spans="1:9" ht="19.5" customHeight="1" x14ac:dyDescent="0.35">
      <c r="A2482" s="41">
        <v>46011</v>
      </c>
      <c r="B2482" s="8" t="s">
        <v>32</v>
      </c>
      <c r="C2482" s="42" t="s">
        <v>33</v>
      </c>
      <c r="D2482" s="43" t="s">
        <v>29</v>
      </c>
      <c r="E2482" s="46">
        <v>12339729</v>
      </c>
      <c r="F2482" s="2">
        <f>IF(C2482="GBP",E2482*$C$3,IF(C2482="TRY",E2482/$C$1,IF(C2482="EUR",E2482*$E$1,IF(C2482="RUB",E2482/#REF!,IF(C2482="EGP",E2482/$E$2,E2482)))))</f>
        <v>12339729</v>
      </c>
      <c r="G2482" s="15" t="str">
        <f>VLOOKUP(B2482,SPECIFICATIONF!$C$2:$D$65,2,0)</f>
        <v>GLOBAL HFT</v>
      </c>
      <c r="H2482" s="12">
        <f t="shared" si="184"/>
        <v>12</v>
      </c>
      <c r="I2482" s="12">
        <f t="shared" si="185"/>
        <v>2025</v>
      </c>
    </row>
    <row r="2483" spans="1:9" ht="19.5" customHeight="1" x14ac:dyDescent="0.35">
      <c r="A2483" s="41">
        <v>46011</v>
      </c>
      <c r="B2483" s="8" t="s">
        <v>24</v>
      </c>
      <c r="C2483" s="42" t="s">
        <v>11</v>
      </c>
      <c r="D2483" s="43" t="s">
        <v>30</v>
      </c>
      <c r="E2483" s="46">
        <v>0</v>
      </c>
      <c r="F2483" s="2">
        <f>IF(C2483="GBP",E2483*$C$3,IF(C2483="TRY",E2483/$C$1,IF(C2483="EUR",E2483*$E$1,IF(C2483="RUB",E2483/#REF!,IF(C2483="EGP",E2483/$E$2,E2483)))))</f>
        <v>0</v>
      </c>
      <c r="G2483" s="15" t="str">
        <f>VLOOKUP(B2483,SPECIFICATIONF!$C$2:$D$65,2,0)</f>
        <v>GLOBAL RETAIL</v>
      </c>
      <c r="H2483" s="12">
        <f t="shared" si="184"/>
        <v>12</v>
      </c>
      <c r="I2483" s="12">
        <f t="shared" si="185"/>
        <v>2025</v>
      </c>
    </row>
    <row r="2484" spans="1:9" ht="19.5" customHeight="1" x14ac:dyDescent="0.35">
      <c r="A2484" s="41">
        <v>46011</v>
      </c>
      <c r="B2484" s="8" t="s">
        <v>24</v>
      </c>
      <c r="C2484" s="42" t="s">
        <v>33</v>
      </c>
      <c r="D2484" s="43" t="s">
        <v>30</v>
      </c>
      <c r="E2484" s="46">
        <v>0</v>
      </c>
      <c r="F2484" s="2">
        <f>IF(C2484="GBP",E2484*$C$3,IF(C2484="TRY",E2484/$C$1,IF(C2484="EUR",E2484*$E$1,IF(C2484="RUB",E2484/#REF!,IF(C2484="EGP",E2484/$E$2,E2484)))))</f>
        <v>0</v>
      </c>
      <c r="G2484" s="15" t="str">
        <f>VLOOKUP(B2484,SPECIFICATIONF!$C$2:$D$65,2,0)</f>
        <v>GLOBAL RETAIL</v>
      </c>
      <c r="H2484" s="12">
        <f t="shared" si="184"/>
        <v>12</v>
      </c>
      <c r="I2484" s="12">
        <f t="shared" si="185"/>
        <v>2025</v>
      </c>
    </row>
    <row r="2485" spans="1:9" ht="19.5" customHeight="1" x14ac:dyDescent="0.35">
      <c r="A2485" s="41">
        <v>46011</v>
      </c>
      <c r="B2485" s="8" t="s">
        <v>24</v>
      </c>
      <c r="C2485" s="42" t="s">
        <v>11</v>
      </c>
      <c r="D2485" s="43" t="s">
        <v>29</v>
      </c>
      <c r="E2485" s="46">
        <v>25725316</v>
      </c>
      <c r="F2485" s="2">
        <f>IF(C2485="GBP",E2485*$C$3,IF(C2485="TRY",E2485/$C$1,IF(C2485="EUR",E2485*$E$1,IF(C2485="RUB",E2485/#REF!,IF(C2485="EGP",E2485/$E$2,E2485)))))</f>
        <v>705442.90850058536</v>
      </c>
      <c r="G2485" s="15" t="str">
        <f>VLOOKUP(B2485,SPECIFICATIONF!$C$2:$D$65,2,0)</f>
        <v>GLOBAL RETAIL</v>
      </c>
      <c r="H2485" s="12">
        <f t="shared" si="184"/>
        <v>12</v>
      </c>
      <c r="I2485" s="12">
        <f t="shared" si="185"/>
        <v>2025</v>
      </c>
    </row>
    <row r="2486" spans="1:9" ht="19.5" customHeight="1" x14ac:dyDescent="0.35">
      <c r="A2486" s="41">
        <v>46011</v>
      </c>
      <c r="B2486" s="8" t="s">
        <v>24</v>
      </c>
      <c r="C2486" s="42" t="s">
        <v>33</v>
      </c>
      <c r="D2486" s="43" t="s">
        <v>29</v>
      </c>
      <c r="E2486" s="46">
        <v>0</v>
      </c>
      <c r="F2486" s="2">
        <f>IF(C2486="GBP",E2486*$C$3,IF(C2486="TRY",E2486/$C$1,IF(C2486="EUR",E2486*$E$1,IF(C2486="RUB",E2486/#REF!,IF(C2486="EGP",E2486/$E$2,E2486)))))</f>
        <v>0</v>
      </c>
      <c r="G2486" s="15" t="str">
        <f>VLOOKUP(B2486,SPECIFICATIONF!$C$2:$D$65,2,0)</f>
        <v>GLOBAL RETAIL</v>
      </c>
      <c r="H2486" s="12">
        <f t="shared" si="184"/>
        <v>12</v>
      </c>
      <c r="I2486" s="12">
        <f t="shared" si="185"/>
        <v>2025</v>
      </c>
    </row>
    <row r="2487" spans="1:9" ht="19.5" customHeight="1" x14ac:dyDescent="0.35">
      <c r="A2487" s="41">
        <v>46012</v>
      </c>
      <c r="B2487" s="8" t="s">
        <v>32</v>
      </c>
      <c r="C2487" s="42" t="s">
        <v>11</v>
      </c>
      <c r="D2487" s="43" t="s">
        <v>30</v>
      </c>
      <c r="E2487" s="46">
        <v>1182365.9099999999</v>
      </c>
      <c r="F2487" s="2">
        <f>IF(C2487="GBP",E2487*$C$3,IF(C2487="TRY",E2487/$C$1,IF(C2487="EUR",E2487*$E$1,IF(C2487="RUB",E2487/#REF!,IF(C2487="EGP",E2487/$E$2,E2487)))))</f>
        <v>32422.989341018838</v>
      </c>
      <c r="G2487" s="15" t="str">
        <f>VLOOKUP(B2487,SPECIFICATIONF!$C$2:$D$65,2,0)</f>
        <v>GLOBAL HFT</v>
      </c>
      <c r="H2487" s="12">
        <f t="shared" si="184"/>
        <v>12</v>
      </c>
      <c r="I2487" s="12">
        <f t="shared" si="185"/>
        <v>2025</v>
      </c>
    </row>
    <row r="2488" spans="1:9" ht="19.5" customHeight="1" x14ac:dyDescent="0.35">
      <c r="A2488" s="41">
        <v>46012</v>
      </c>
      <c r="B2488" s="8" t="s">
        <v>32</v>
      </c>
      <c r="C2488" s="42" t="s">
        <v>33</v>
      </c>
      <c r="D2488" s="43" t="s">
        <v>30</v>
      </c>
      <c r="E2488" s="46">
        <v>4179.9799999999996</v>
      </c>
      <c r="F2488" s="2">
        <f>IF(C2488="GBP",E2488*$C$3,IF(C2488="TRY",E2488/$C$1,IF(C2488="EUR",E2488*$E$1,IF(C2488="RUB",E2488/#REF!,IF(C2488="EGP",E2488/$E$2,E2488)))))</f>
        <v>4179.9799999999996</v>
      </c>
      <c r="G2488" s="15" t="str">
        <f>VLOOKUP(B2488,SPECIFICATIONF!$C$2:$D$65,2,0)</f>
        <v>GLOBAL HFT</v>
      </c>
      <c r="H2488" s="12">
        <f t="shared" si="184"/>
        <v>12</v>
      </c>
      <c r="I2488" s="12">
        <f t="shared" si="185"/>
        <v>2025</v>
      </c>
    </row>
    <row r="2489" spans="1:9" ht="19.5" customHeight="1" x14ac:dyDescent="0.35">
      <c r="A2489" s="41">
        <v>46012</v>
      </c>
      <c r="B2489" s="8" t="s">
        <v>32</v>
      </c>
      <c r="C2489" s="42" t="s">
        <v>11</v>
      </c>
      <c r="D2489" s="43" t="s">
        <v>29</v>
      </c>
      <c r="E2489" s="46">
        <v>4352428551</v>
      </c>
      <c r="F2489" s="2">
        <f>IF(C2489="GBP",E2489*$C$3,IF(C2489="TRY",E2489/$C$1,IF(C2489="EUR",E2489*$E$1,IF(C2489="RUB",E2489/#REF!,IF(C2489="EGP",E2489/$E$2,E2489)))))</f>
        <v>119352852.88850984</v>
      </c>
      <c r="G2489" s="15" t="str">
        <f>VLOOKUP(B2489,SPECIFICATIONF!$C$2:$D$65,2,0)</f>
        <v>GLOBAL HFT</v>
      </c>
      <c r="H2489" s="12">
        <f t="shared" si="184"/>
        <v>12</v>
      </c>
      <c r="I2489" s="12">
        <f t="shared" si="185"/>
        <v>2025</v>
      </c>
    </row>
    <row r="2490" spans="1:9" ht="19.5" customHeight="1" x14ac:dyDescent="0.35">
      <c r="A2490" s="41">
        <v>46012</v>
      </c>
      <c r="B2490" s="8" t="s">
        <v>32</v>
      </c>
      <c r="C2490" s="42" t="s">
        <v>33</v>
      </c>
      <c r="D2490" s="43" t="s">
        <v>29</v>
      </c>
      <c r="E2490" s="46">
        <v>13385210</v>
      </c>
      <c r="F2490" s="2">
        <f>IF(C2490="GBP",E2490*$C$3,IF(C2490="TRY",E2490/$C$1,IF(C2490="EUR",E2490*$E$1,IF(C2490="RUB",E2490/#REF!,IF(C2490="EGP",E2490/$E$2,E2490)))))</f>
        <v>13385210</v>
      </c>
      <c r="G2490" s="15" t="str">
        <f>VLOOKUP(B2490,SPECIFICATIONF!$C$2:$D$65,2,0)</f>
        <v>GLOBAL HFT</v>
      </c>
      <c r="H2490" s="12">
        <f t="shared" si="184"/>
        <v>12</v>
      </c>
      <c r="I2490" s="12">
        <f t="shared" si="185"/>
        <v>2025</v>
      </c>
    </row>
    <row r="2491" spans="1:9" ht="19.5" customHeight="1" x14ac:dyDescent="0.35">
      <c r="A2491" s="41">
        <v>46012</v>
      </c>
      <c r="B2491" s="8" t="s">
        <v>24</v>
      </c>
      <c r="C2491" s="42" t="s">
        <v>11</v>
      </c>
      <c r="D2491" s="43" t="s">
        <v>30</v>
      </c>
      <c r="E2491" s="46">
        <v>0</v>
      </c>
      <c r="F2491" s="2">
        <f>IF(C2491="GBP",E2491*$C$3,IF(C2491="TRY",E2491/$C$1,IF(C2491="EUR",E2491*$E$1,IF(C2491="RUB",E2491/#REF!,IF(C2491="EGP",E2491/$E$2,E2491)))))</f>
        <v>0</v>
      </c>
      <c r="G2491" s="15" t="str">
        <f>VLOOKUP(B2491,SPECIFICATIONF!$C$2:$D$65,2,0)</f>
        <v>GLOBAL RETAIL</v>
      </c>
      <c r="H2491" s="12">
        <f t="shared" si="184"/>
        <v>12</v>
      </c>
      <c r="I2491" s="12">
        <f t="shared" si="185"/>
        <v>2025</v>
      </c>
    </row>
    <row r="2492" spans="1:9" ht="19.5" customHeight="1" x14ac:dyDescent="0.35">
      <c r="A2492" s="41">
        <v>46012</v>
      </c>
      <c r="B2492" s="8" t="s">
        <v>24</v>
      </c>
      <c r="C2492" s="42" t="s">
        <v>33</v>
      </c>
      <c r="D2492" s="43" t="s">
        <v>30</v>
      </c>
      <c r="E2492" s="46">
        <v>0</v>
      </c>
      <c r="F2492" s="2">
        <f>IF(C2492="GBP",E2492*$C$3,IF(C2492="TRY",E2492/$C$1,IF(C2492="EUR",E2492*$E$1,IF(C2492="RUB",E2492/#REF!,IF(C2492="EGP",E2492/$E$2,E2492)))))</f>
        <v>0</v>
      </c>
      <c r="G2492" s="15" t="str">
        <f>VLOOKUP(B2492,SPECIFICATIONF!$C$2:$D$65,2,0)</f>
        <v>GLOBAL RETAIL</v>
      </c>
      <c r="H2492" s="12">
        <f t="shared" si="184"/>
        <v>12</v>
      </c>
      <c r="I2492" s="12">
        <f t="shared" si="185"/>
        <v>2025</v>
      </c>
    </row>
    <row r="2493" spans="1:9" ht="19.5" customHeight="1" x14ac:dyDescent="0.35">
      <c r="A2493" s="41">
        <v>46012</v>
      </c>
      <c r="B2493" s="8" t="s">
        <v>24</v>
      </c>
      <c r="C2493" s="42" t="s">
        <v>11</v>
      </c>
      <c r="D2493" s="43" t="s">
        <v>29</v>
      </c>
      <c r="E2493" s="46">
        <v>22006837</v>
      </c>
      <c r="F2493" s="2">
        <f>IF(C2493="GBP",E2493*$C$3,IF(C2493="TRY",E2493/$C$1,IF(C2493="EUR",E2493*$E$1,IF(C2493="RUB",E2493/#REF!,IF(C2493="EGP",E2493/$E$2,E2493)))))</f>
        <v>603474.30135273351</v>
      </c>
      <c r="G2493" s="15" t="str">
        <f>VLOOKUP(B2493,SPECIFICATIONF!$C$2:$D$65,2,0)</f>
        <v>GLOBAL RETAIL</v>
      </c>
      <c r="H2493" s="12">
        <f t="shared" si="184"/>
        <v>12</v>
      </c>
      <c r="I2493" s="12">
        <f t="shared" si="185"/>
        <v>2025</v>
      </c>
    </row>
    <row r="2494" spans="1:9" ht="19.5" customHeight="1" x14ac:dyDescent="0.35">
      <c r="A2494" s="41">
        <v>46012</v>
      </c>
      <c r="B2494" s="8" t="s">
        <v>24</v>
      </c>
      <c r="C2494" s="42" t="s">
        <v>33</v>
      </c>
      <c r="D2494" s="43" t="s">
        <v>29</v>
      </c>
      <c r="E2494" s="46">
        <v>10446</v>
      </c>
      <c r="F2494" s="2">
        <f>IF(C2494="GBP",E2494*$C$3,IF(C2494="TRY",E2494/$C$1,IF(C2494="EUR",E2494*$E$1,IF(C2494="RUB",E2494/#REF!,IF(C2494="EGP",E2494/$E$2,E2494)))))</f>
        <v>10446</v>
      </c>
      <c r="G2494" s="15" t="str">
        <f>VLOOKUP(B2494,SPECIFICATIONF!$C$2:$D$65,2,0)</f>
        <v>GLOBAL RETAIL</v>
      </c>
      <c r="H2494" s="12">
        <f t="shared" si="184"/>
        <v>12</v>
      </c>
      <c r="I2494" s="12">
        <f t="shared" si="185"/>
        <v>2025</v>
      </c>
    </row>
    <row r="2495" spans="1:9" ht="19.5" customHeight="1" x14ac:dyDescent="0.35">
      <c r="A2495" s="41">
        <v>46013</v>
      </c>
      <c r="B2495" s="8" t="s">
        <v>32</v>
      </c>
      <c r="C2495" s="42" t="s">
        <v>11</v>
      </c>
      <c r="D2495" s="43" t="s">
        <v>30</v>
      </c>
      <c r="E2495" s="46">
        <v>1147546.96</v>
      </c>
      <c r="F2495" s="2">
        <f>IF(C2495="GBP",E2495*$C$3,IF(C2495="TRY",E2495/$C$1,IF(C2495="EUR",E2495*$E$1,IF(C2495="RUB",E2495/#REF!,IF(C2495="EGP",E2495/$E$2,E2495)))))</f>
        <v>31468.179636876179</v>
      </c>
      <c r="G2495" s="15" t="str">
        <f>VLOOKUP(B2495,SPECIFICATIONF!$C$2:$D$65,2,0)</f>
        <v>GLOBAL HFT</v>
      </c>
      <c r="H2495" s="12">
        <f t="shared" si="184"/>
        <v>12</v>
      </c>
      <c r="I2495" s="12">
        <f t="shared" si="185"/>
        <v>2025</v>
      </c>
    </row>
    <row r="2496" spans="1:9" ht="19.5" customHeight="1" x14ac:dyDescent="0.35">
      <c r="A2496" s="41">
        <v>46013</v>
      </c>
      <c r="B2496" s="8" t="s">
        <v>32</v>
      </c>
      <c r="C2496" s="42" t="s">
        <v>33</v>
      </c>
      <c r="D2496" s="43" t="s">
        <v>30</v>
      </c>
      <c r="E2496" s="46">
        <v>5152.4399999999996</v>
      </c>
      <c r="F2496" s="2">
        <f>IF(C2496="GBP",E2496*$C$3,IF(C2496="TRY",E2496/$C$1,IF(C2496="EUR",E2496*$E$1,IF(C2496="RUB",E2496/#REF!,IF(C2496="EGP",E2496/$E$2,E2496)))))</f>
        <v>5152.4399999999996</v>
      </c>
      <c r="G2496" s="15" t="str">
        <f>VLOOKUP(B2496,SPECIFICATIONF!$C$2:$D$65,2,0)</f>
        <v>GLOBAL HFT</v>
      </c>
      <c r="H2496" s="12">
        <f t="shared" si="184"/>
        <v>12</v>
      </c>
      <c r="I2496" s="12">
        <f t="shared" si="185"/>
        <v>2025</v>
      </c>
    </row>
    <row r="2497" spans="1:9" ht="19.5" customHeight="1" x14ac:dyDescent="0.35">
      <c r="A2497" s="41">
        <v>46013</v>
      </c>
      <c r="B2497" s="8" t="s">
        <v>32</v>
      </c>
      <c r="C2497" s="42" t="s">
        <v>11</v>
      </c>
      <c r="D2497" s="43" t="s">
        <v>29</v>
      </c>
      <c r="E2497" s="46">
        <v>4134472231</v>
      </c>
      <c r="F2497" s="2">
        <f>IF(C2497="GBP",E2497*$C$3,IF(C2497="TRY",E2497/$C$1,IF(C2497="EUR",E2497*$E$1,IF(C2497="RUB",E2497/#REF!,IF(C2497="EGP",E2497/$E$2,E2497)))))</f>
        <v>113376026.78045021</v>
      </c>
      <c r="G2497" s="15" t="str">
        <f>VLOOKUP(B2497,SPECIFICATIONF!$C$2:$D$65,2,0)</f>
        <v>GLOBAL HFT</v>
      </c>
      <c r="H2497" s="12">
        <f t="shared" si="184"/>
        <v>12</v>
      </c>
      <c r="I2497" s="12">
        <f t="shared" si="185"/>
        <v>2025</v>
      </c>
    </row>
    <row r="2498" spans="1:9" ht="19.5" customHeight="1" x14ac:dyDescent="0.35">
      <c r="A2498" s="41">
        <v>46013</v>
      </c>
      <c r="B2498" s="8" t="s">
        <v>32</v>
      </c>
      <c r="C2498" s="42" t="s">
        <v>33</v>
      </c>
      <c r="D2498" s="43" t="s">
        <v>29</v>
      </c>
      <c r="E2498" s="46">
        <v>17254410</v>
      </c>
      <c r="F2498" s="2">
        <f>IF(C2498="GBP",E2498*$C$3,IF(C2498="TRY",E2498/$C$1,IF(C2498="EUR",E2498*$E$1,IF(C2498="RUB",E2498/#REF!,IF(C2498="EGP",E2498/$E$2,E2498)))))</f>
        <v>17254410</v>
      </c>
      <c r="G2498" s="15" t="str">
        <f>VLOOKUP(B2498,SPECIFICATIONF!$C$2:$D$65,2,0)</f>
        <v>GLOBAL HFT</v>
      </c>
      <c r="H2498" s="12">
        <f t="shared" si="184"/>
        <v>12</v>
      </c>
      <c r="I2498" s="12">
        <f t="shared" si="185"/>
        <v>2025</v>
      </c>
    </row>
    <row r="2499" spans="1:9" ht="19.5" customHeight="1" x14ac:dyDescent="0.35">
      <c r="A2499" s="41">
        <v>46013</v>
      </c>
      <c r="B2499" s="8" t="s">
        <v>24</v>
      </c>
      <c r="C2499" s="42" t="s">
        <v>11</v>
      </c>
      <c r="D2499" s="43" t="s">
        <v>30</v>
      </c>
      <c r="E2499" s="46">
        <v>0</v>
      </c>
      <c r="F2499" s="2">
        <f>IF(C2499="GBP",E2499*$C$3,IF(C2499="TRY",E2499/$C$1,IF(C2499="EUR",E2499*$E$1,IF(C2499="RUB",E2499/#REF!,IF(C2499="EGP",E2499/$E$2,E2499)))))</f>
        <v>0</v>
      </c>
      <c r="G2499" s="15" t="str">
        <f>VLOOKUP(B2499,SPECIFICATIONF!$C$2:$D$65,2,0)</f>
        <v>GLOBAL RETAIL</v>
      </c>
      <c r="H2499" s="12">
        <f t="shared" si="184"/>
        <v>12</v>
      </c>
      <c r="I2499" s="12">
        <f t="shared" si="185"/>
        <v>2025</v>
      </c>
    </row>
    <row r="2500" spans="1:9" ht="19.5" customHeight="1" x14ac:dyDescent="0.35">
      <c r="A2500" s="41">
        <v>46013</v>
      </c>
      <c r="B2500" s="8" t="s">
        <v>24</v>
      </c>
      <c r="C2500" s="42" t="s">
        <v>33</v>
      </c>
      <c r="D2500" s="43" t="s">
        <v>30</v>
      </c>
      <c r="E2500" s="46">
        <v>0</v>
      </c>
      <c r="F2500" s="2">
        <f>IF(C2500="GBP",E2500*$C$3,IF(C2500="TRY",E2500/$C$1,IF(C2500="EUR",E2500*$E$1,IF(C2500="RUB",E2500/#REF!,IF(C2500="EGP",E2500/$E$2,E2500)))))</f>
        <v>0</v>
      </c>
      <c r="G2500" s="15" t="str">
        <f>VLOOKUP(B2500,SPECIFICATIONF!$C$2:$D$65,2,0)</f>
        <v>GLOBAL RETAIL</v>
      </c>
      <c r="H2500" s="12">
        <f t="shared" si="184"/>
        <v>12</v>
      </c>
      <c r="I2500" s="12">
        <f t="shared" si="185"/>
        <v>2025</v>
      </c>
    </row>
    <row r="2501" spans="1:9" ht="19.5" customHeight="1" x14ac:dyDescent="0.35">
      <c r="A2501" s="41">
        <v>46013</v>
      </c>
      <c r="B2501" s="8" t="s">
        <v>24</v>
      </c>
      <c r="C2501" s="42" t="s">
        <v>11</v>
      </c>
      <c r="D2501" s="43" t="s">
        <v>29</v>
      </c>
      <c r="E2501" s="46">
        <v>6830684</v>
      </c>
      <c r="F2501" s="2">
        <f>IF(C2501="GBP",E2501*$C$3,IF(C2501="TRY",E2501/$C$1,IF(C2501="EUR",E2501*$E$1,IF(C2501="RUB",E2501/#REF!,IF(C2501="EGP",E2501/$E$2,E2501)))))</f>
        <v>187311.89105736982</v>
      </c>
      <c r="G2501" s="15" t="str">
        <f>VLOOKUP(B2501,SPECIFICATIONF!$C$2:$D$65,2,0)</f>
        <v>GLOBAL RETAIL</v>
      </c>
      <c r="H2501" s="12">
        <f t="shared" si="184"/>
        <v>12</v>
      </c>
      <c r="I2501" s="12">
        <f t="shared" si="185"/>
        <v>2025</v>
      </c>
    </row>
    <row r="2502" spans="1:9" ht="19.5" customHeight="1" x14ac:dyDescent="0.35">
      <c r="A2502" s="41">
        <v>46013</v>
      </c>
      <c r="B2502" s="8" t="s">
        <v>24</v>
      </c>
      <c r="C2502" s="42" t="s">
        <v>33</v>
      </c>
      <c r="D2502" s="43" t="s">
        <v>29</v>
      </c>
      <c r="E2502" s="46">
        <v>0</v>
      </c>
      <c r="F2502" s="2">
        <f>IF(C2502="GBP",E2502*$C$3,IF(C2502="TRY",E2502/$C$1,IF(C2502="EUR",E2502*$E$1,IF(C2502="RUB",E2502/#REF!,IF(C2502="EGP",E2502/$E$2,E2502)))))</f>
        <v>0</v>
      </c>
      <c r="G2502" s="15" t="str">
        <f>VLOOKUP(B2502,SPECIFICATIONF!$C$2:$D$65,2,0)</f>
        <v>GLOBAL RETAIL</v>
      </c>
      <c r="H2502" s="12">
        <f t="shared" si="184"/>
        <v>12</v>
      </c>
      <c r="I2502" s="12">
        <f t="shared" si="185"/>
        <v>2025</v>
      </c>
    </row>
    <row r="2503" spans="1:9" ht="19.5" customHeight="1" x14ac:dyDescent="0.35">
      <c r="A2503" s="41">
        <v>46014</v>
      </c>
      <c r="B2503" s="8" t="s">
        <v>32</v>
      </c>
      <c r="C2503" s="42" t="s">
        <v>11</v>
      </c>
      <c r="D2503" s="43" t="s">
        <v>30</v>
      </c>
      <c r="E2503" s="46">
        <v>1054608</v>
      </c>
      <c r="F2503" s="2">
        <f>IF(C2503="GBP",E2503*$C$3,IF(C2503="TRY",E2503/$C$1,IF(C2503="EUR",E2503*$E$1,IF(C2503="RUB",E2503/#REF!,IF(C2503="EGP",E2503/$E$2,E2503)))))</f>
        <v>28919.595578456076</v>
      </c>
      <c r="G2503" s="15" t="str">
        <f>VLOOKUP(B2503,SPECIFICATIONF!$C$2:$D$65,2,0)</f>
        <v>GLOBAL HFT</v>
      </c>
      <c r="H2503" s="12">
        <f t="shared" ref="H2503:H2510" si="186">MONTH(A2503)</f>
        <v>12</v>
      </c>
      <c r="I2503" s="12">
        <f t="shared" ref="I2503:I2510" si="187">YEAR(A2503)</f>
        <v>2025</v>
      </c>
    </row>
    <row r="2504" spans="1:9" ht="19.5" customHeight="1" x14ac:dyDescent="0.35">
      <c r="A2504" s="41">
        <v>46014</v>
      </c>
      <c r="B2504" s="8" t="s">
        <v>32</v>
      </c>
      <c r="C2504" s="42" t="s">
        <v>33</v>
      </c>
      <c r="D2504" s="43" t="s">
        <v>30</v>
      </c>
      <c r="E2504" s="46">
        <v>3880.78</v>
      </c>
      <c r="F2504" s="2">
        <f>IF(C2504="GBP",E2504*$C$3,IF(C2504="TRY",E2504/$C$1,IF(C2504="EUR",E2504*$E$1,IF(C2504="RUB",E2504/#REF!,IF(C2504="EGP",E2504/$E$2,E2504)))))</f>
        <v>3880.78</v>
      </c>
      <c r="G2504" s="15" t="str">
        <f>VLOOKUP(B2504,SPECIFICATIONF!$C$2:$D$65,2,0)</f>
        <v>GLOBAL HFT</v>
      </c>
      <c r="H2504" s="12">
        <f t="shared" si="186"/>
        <v>12</v>
      </c>
      <c r="I2504" s="12">
        <f t="shared" si="187"/>
        <v>2025</v>
      </c>
    </row>
    <row r="2505" spans="1:9" ht="19.5" customHeight="1" x14ac:dyDescent="0.35">
      <c r="A2505" s="41">
        <v>46014</v>
      </c>
      <c r="B2505" s="8" t="s">
        <v>32</v>
      </c>
      <c r="C2505" s="42" t="s">
        <v>11</v>
      </c>
      <c r="D2505" s="43" t="s">
        <v>29</v>
      </c>
      <c r="E2505" s="46">
        <v>3919128658</v>
      </c>
      <c r="F2505" s="2">
        <f>IF(C2505="GBP",E2505*$C$3,IF(C2505="TRY",E2505/$C$1,IF(C2505="EUR",E2505*$E$1,IF(C2505="RUB",E2505/#REF!,IF(C2505="EGP",E2505/$E$2,E2505)))))</f>
        <v>107470847.75508748</v>
      </c>
      <c r="G2505" s="15" t="str">
        <f>VLOOKUP(B2505,SPECIFICATIONF!$C$2:$D$65,2,0)</f>
        <v>GLOBAL HFT</v>
      </c>
      <c r="H2505" s="12">
        <f t="shared" si="186"/>
        <v>12</v>
      </c>
      <c r="I2505" s="12">
        <f t="shared" si="187"/>
        <v>2025</v>
      </c>
    </row>
    <row r="2506" spans="1:9" ht="19.5" customHeight="1" x14ac:dyDescent="0.35">
      <c r="A2506" s="41">
        <v>46014</v>
      </c>
      <c r="B2506" s="8" t="s">
        <v>32</v>
      </c>
      <c r="C2506" s="42" t="s">
        <v>33</v>
      </c>
      <c r="D2506" s="43" t="s">
        <v>29</v>
      </c>
      <c r="E2506" s="46">
        <v>12618813</v>
      </c>
      <c r="F2506" s="2">
        <f>IF(C2506="GBP",E2506*$C$3,IF(C2506="TRY",E2506/$C$1,IF(C2506="EUR",E2506*$E$1,IF(C2506="RUB",E2506/#REF!,IF(C2506="EGP",E2506/$E$2,E2506)))))</f>
        <v>12618813</v>
      </c>
      <c r="G2506" s="15" t="str">
        <f>VLOOKUP(B2506,SPECIFICATIONF!$C$2:$D$65,2,0)</f>
        <v>GLOBAL HFT</v>
      </c>
      <c r="H2506" s="12">
        <f t="shared" si="186"/>
        <v>12</v>
      </c>
      <c r="I2506" s="12">
        <f t="shared" si="187"/>
        <v>2025</v>
      </c>
    </row>
    <row r="2507" spans="1:9" ht="19.5" customHeight="1" x14ac:dyDescent="0.35">
      <c r="A2507" s="41">
        <v>46014</v>
      </c>
      <c r="B2507" s="8" t="s">
        <v>24</v>
      </c>
      <c r="C2507" s="42" t="s">
        <v>11</v>
      </c>
      <c r="D2507" s="43" t="s">
        <v>30</v>
      </c>
      <c r="E2507" s="46">
        <v>0</v>
      </c>
      <c r="F2507" s="2">
        <f>IF(C2507="GBP",E2507*$C$3,IF(C2507="TRY",E2507/$C$1,IF(C2507="EUR",E2507*$E$1,IF(C2507="RUB",E2507/#REF!,IF(C2507="EGP",E2507/$E$2,E2507)))))</f>
        <v>0</v>
      </c>
      <c r="G2507" s="15" t="str">
        <f>VLOOKUP(B2507,SPECIFICATIONF!$C$2:$D$65,2,0)</f>
        <v>GLOBAL RETAIL</v>
      </c>
      <c r="H2507" s="12">
        <f t="shared" si="186"/>
        <v>12</v>
      </c>
      <c r="I2507" s="12">
        <f t="shared" si="187"/>
        <v>2025</v>
      </c>
    </row>
    <row r="2508" spans="1:9" ht="19.5" customHeight="1" x14ac:dyDescent="0.35">
      <c r="A2508" s="41">
        <v>46014</v>
      </c>
      <c r="B2508" s="8" t="s">
        <v>24</v>
      </c>
      <c r="C2508" s="42" t="s">
        <v>33</v>
      </c>
      <c r="D2508" s="43" t="s">
        <v>30</v>
      </c>
      <c r="E2508" s="46">
        <v>0</v>
      </c>
      <c r="F2508" s="2">
        <f>IF(C2508="GBP",E2508*$C$3,IF(C2508="TRY",E2508/$C$1,IF(C2508="EUR",E2508*$E$1,IF(C2508="RUB",E2508/#REF!,IF(C2508="EGP",E2508/$E$2,E2508)))))</f>
        <v>0</v>
      </c>
      <c r="G2508" s="15" t="str">
        <f>VLOOKUP(B2508,SPECIFICATIONF!$C$2:$D$65,2,0)</f>
        <v>GLOBAL RETAIL</v>
      </c>
      <c r="H2508" s="12">
        <f t="shared" si="186"/>
        <v>12</v>
      </c>
      <c r="I2508" s="12">
        <f t="shared" si="187"/>
        <v>2025</v>
      </c>
    </row>
    <row r="2509" spans="1:9" ht="19.5" customHeight="1" x14ac:dyDescent="0.35">
      <c r="A2509" s="41">
        <v>46014</v>
      </c>
      <c r="B2509" s="8" t="s">
        <v>24</v>
      </c>
      <c r="C2509" s="42" t="s">
        <v>11</v>
      </c>
      <c r="D2509" s="43" t="s">
        <v>29</v>
      </c>
      <c r="E2509" s="46">
        <v>19559072</v>
      </c>
      <c r="F2509" s="2">
        <f>IF(C2509="GBP",E2509*$C$3,IF(C2509="TRY",E2509/$C$1,IF(C2509="EUR",E2509*$E$1,IF(C2509="RUB",E2509/#REF!,IF(C2509="EGP",E2509/$E$2,E2509)))))</f>
        <v>536351.3761794942</v>
      </c>
      <c r="G2509" s="15" t="str">
        <f>VLOOKUP(B2509,SPECIFICATIONF!$C$2:$D$65,2,0)</f>
        <v>GLOBAL RETAIL</v>
      </c>
      <c r="H2509" s="12">
        <f t="shared" si="186"/>
        <v>12</v>
      </c>
      <c r="I2509" s="12">
        <f t="shared" si="187"/>
        <v>2025</v>
      </c>
    </row>
    <row r="2510" spans="1:9" ht="19.5" customHeight="1" x14ac:dyDescent="0.35">
      <c r="A2510" s="41">
        <v>46014</v>
      </c>
      <c r="B2510" s="8" t="s">
        <v>24</v>
      </c>
      <c r="C2510" s="42" t="s">
        <v>33</v>
      </c>
      <c r="D2510" s="43" t="s">
        <v>29</v>
      </c>
      <c r="E2510" s="46">
        <v>0</v>
      </c>
      <c r="F2510" s="2">
        <f>IF(C2510="GBP",E2510*$C$3,IF(C2510="TRY",E2510/$C$1,IF(C2510="EUR",E2510*$E$1,IF(C2510="RUB",E2510/#REF!,IF(C2510="EGP",E2510/$E$2,E2510)))))</f>
        <v>0</v>
      </c>
      <c r="G2510" s="15" t="str">
        <f>VLOOKUP(B2510,SPECIFICATIONF!$C$2:$D$65,2,0)</f>
        <v>GLOBAL RETAIL</v>
      </c>
      <c r="H2510" s="12">
        <f t="shared" si="186"/>
        <v>12</v>
      </c>
      <c r="I2510" s="12">
        <f t="shared" si="187"/>
        <v>2025</v>
      </c>
    </row>
    <row r="2511" spans="1:9" ht="19.5" customHeight="1" x14ac:dyDescent="0.35">
      <c r="A2511" s="41">
        <v>46015</v>
      </c>
      <c r="B2511" s="8" t="s">
        <v>32</v>
      </c>
      <c r="C2511" s="42" t="s">
        <v>11</v>
      </c>
      <c r="D2511" s="43" t="s">
        <v>30</v>
      </c>
      <c r="E2511" s="46">
        <v>908105.87</v>
      </c>
      <c r="F2511" s="2">
        <f>IF(C2511="GBP",E2511*$C$3,IF(C2511="TRY",E2511/$C$1,IF(C2511="EUR",E2511*$E$1,IF(C2511="RUB",E2511/#REF!,IF(C2511="EGP",E2511/$E$2,E2511)))))</f>
        <v>24902.195415568636</v>
      </c>
      <c r="G2511" s="15" t="str">
        <f>VLOOKUP(B2511,SPECIFICATIONF!$C$2:$D$65,2,0)</f>
        <v>GLOBAL HFT</v>
      </c>
      <c r="H2511" s="12">
        <f t="shared" ref="H2511:H2518" si="188">MONTH(A2511)</f>
        <v>12</v>
      </c>
      <c r="I2511" s="12">
        <f t="shared" ref="I2511:I2518" si="189">YEAR(A2511)</f>
        <v>2025</v>
      </c>
    </row>
    <row r="2512" spans="1:9" ht="19.5" customHeight="1" x14ac:dyDescent="0.35">
      <c r="A2512" s="41">
        <v>46015</v>
      </c>
      <c r="B2512" s="8" t="s">
        <v>32</v>
      </c>
      <c r="C2512" s="42" t="s">
        <v>33</v>
      </c>
      <c r="D2512" s="43" t="s">
        <v>30</v>
      </c>
      <c r="E2512" s="46">
        <v>2790.84</v>
      </c>
      <c r="F2512" s="2">
        <f>IF(C2512="GBP",E2512*$C$3,IF(C2512="TRY",E2512/$C$1,IF(C2512="EUR",E2512*$E$1,IF(C2512="RUB",E2512/#REF!,IF(C2512="EGP",E2512/$E$2,E2512)))))</f>
        <v>2790.84</v>
      </c>
      <c r="G2512" s="15" t="str">
        <f>VLOOKUP(B2512,SPECIFICATIONF!$C$2:$D$65,2,0)</f>
        <v>GLOBAL HFT</v>
      </c>
      <c r="H2512" s="12">
        <f t="shared" si="188"/>
        <v>12</v>
      </c>
      <c r="I2512" s="12">
        <f t="shared" si="189"/>
        <v>2025</v>
      </c>
    </row>
    <row r="2513" spans="1:9" ht="19.5" customHeight="1" x14ac:dyDescent="0.35">
      <c r="A2513" s="41">
        <v>46015</v>
      </c>
      <c r="B2513" s="8" t="s">
        <v>32</v>
      </c>
      <c r="C2513" s="42" t="s">
        <v>11</v>
      </c>
      <c r="D2513" s="43" t="s">
        <v>29</v>
      </c>
      <c r="E2513" s="46">
        <v>3337896412</v>
      </c>
      <c r="F2513" s="2">
        <f>IF(C2513="GBP",E2513*$C$3,IF(C2513="TRY",E2513/$C$1,IF(C2513="EUR",E2513*$E$1,IF(C2513="RUB",E2513/#REF!,IF(C2513="EGP",E2513/$E$2,E2513)))))</f>
        <v>91532222.700586006</v>
      </c>
      <c r="G2513" s="15" t="str">
        <f>VLOOKUP(B2513,SPECIFICATIONF!$C$2:$D$65,2,0)</f>
        <v>GLOBAL HFT</v>
      </c>
      <c r="H2513" s="12">
        <f t="shared" si="188"/>
        <v>12</v>
      </c>
      <c r="I2513" s="12">
        <f t="shared" si="189"/>
        <v>2025</v>
      </c>
    </row>
    <row r="2514" spans="1:9" ht="19.5" customHeight="1" x14ac:dyDescent="0.35">
      <c r="A2514" s="41">
        <v>46015</v>
      </c>
      <c r="B2514" s="8" t="s">
        <v>32</v>
      </c>
      <c r="C2514" s="42" t="s">
        <v>33</v>
      </c>
      <c r="D2514" s="43" t="s">
        <v>29</v>
      </c>
      <c r="E2514" s="46">
        <v>9261475</v>
      </c>
      <c r="F2514" s="2">
        <f>IF(C2514="GBP",E2514*$C$3,IF(C2514="TRY",E2514/$C$1,IF(C2514="EUR",E2514*$E$1,IF(C2514="RUB",E2514/#REF!,IF(C2514="EGP",E2514/$E$2,E2514)))))</f>
        <v>9261475</v>
      </c>
      <c r="G2514" s="15" t="str">
        <f>VLOOKUP(B2514,SPECIFICATIONF!$C$2:$D$65,2,0)</f>
        <v>GLOBAL HFT</v>
      </c>
      <c r="H2514" s="12">
        <f t="shared" si="188"/>
        <v>12</v>
      </c>
      <c r="I2514" s="12">
        <f t="shared" si="189"/>
        <v>2025</v>
      </c>
    </row>
    <row r="2515" spans="1:9" ht="19.5" customHeight="1" x14ac:dyDescent="0.35">
      <c r="A2515" s="41">
        <v>46015</v>
      </c>
      <c r="B2515" s="8" t="s">
        <v>24</v>
      </c>
      <c r="C2515" s="42" t="s">
        <v>11</v>
      </c>
      <c r="D2515" s="43" t="s">
        <v>30</v>
      </c>
      <c r="E2515" s="46">
        <v>0</v>
      </c>
      <c r="F2515" s="2">
        <f>IF(C2515="GBP",E2515*$C$3,IF(C2515="TRY",E2515/$C$1,IF(C2515="EUR",E2515*$E$1,IF(C2515="RUB",E2515/#REF!,IF(C2515="EGP",E2515/$E$2,E2515)))))</f>
        <v>0</v>
      </c>
      <c r="G2515" s="15" t="str">
        <f>VLOOKUP(B2515,SPECIFICATIONF!$C$2:$D$65,2,0)</f>
        <v>GLOBAL RETAIL</v>
      </c>
      <c r="H2515" s="12">
        <f t="shared" si="188"/>
        <v>12</v>
      </c>
      <c r="I2515" s="12">
        <f t="shared" si="189"/>
        <v>2025</v>
      </c>
    </row>
    <row r="2516" spans="1:9" ht="19.5" customHeight="1" x14ac:dyDescent="0.35">
      <c r="A2516" s="41">
        <v>46015</v>
      </c>
      <c r="B2516" s="8" t="s">
        <v>24</v>
      </c>
      <c r="C2516" s="42" t="s">
        <v>33</v>
      </c>
      <c r="D2516" s="43" t="s">
        <v>30</v>
      </c>
      <c r="E2516" s="46">
        <v>0</v>
      </c>
      <c r="F2516" s="2">
        <f>IF(C2516="GBP",E2516*$C$3,IF(C2516="TRY",E2516/$C$1,IF(C2516="EUR",E2516*$E$1,IF(C2516="RUB",E2516/#REF!,IF(C2516="EGP",E2516/$E$2,E2516)))))</f>
        <v>0</v>
      </c>
      <c r="G2516" s="15" t="str">
        <f>VLOOKUP(B2516,SPECIFICATIONF!$C$2:$D$65,2,0)</f>
        <v>GLOBAL RETAIL</v>
      </c>
      <c r="H2516" s="12">
        <f t="shared" si="188"/>
        <v>12</v>
      </c>
      <c r="I2516" s="12">
        <f t="shared" si="189"/>
        <v>2025</v>
      </c>
    </row>
    <row r="2517" spans="1:9" ht="19.5" customHeight="1" x14ac:dyDescent="0.35">
      <c r="A2517" s="41">
        <v>46015</v>
      </c>
      <c r="B2517" s="8" t="s">
        <v>24</v>
      </c>
      <c r="C2517" s="42" t="s">
        <v>11</v>
      </c>
      <c r="D2517" s="43" t="s">
        <v>29</v>
      </c>
      <c r="E2517" s="46">
        <v>11486982</v>
      </c>
      <c r="F2517" s="2">
        <f>IF(C2517="GBP",E2517*$C$3,IF(C2517="TRY",E2517/$C$1,IF(C2517="EUR",E2517*$E$1,IF(C2517="RUB",E2517/#REF!,IF(C2517="EGP",E2517/$E$2,E2517)))))</f>
        <v>314997.49087528687</v>
      </c>
      <c r="G2517" s="15" t="str">
        <f>VLOOKUP(B2517,SPECIFICATIONF!$C$2:$D$65,2,0)</f>
        <v>GLOBAL RETAIL</v>
      </c>
      <c r="H2517" s="12">
        <f t="shared" si="188"/>
        <v>12</v>
      </c>
      <c r="I2517" s="12">
        <f t="shared" si="189"/>
        <v>2025</v>
      </c>
    </row>
    <row r="2518" spans="1:9" ht="19.5" customHeight="1" x14ac:dyDescent="0.35">
      <c r="A2518" s="41">
        <v>46015</v>
      </c>
      <c r="B2518" s="8" t="s">
        <v>24</v>
      </c>
      <c r="C2518" s="42" t="s">
        <v>33</v>
      </c>
      <c r="D2518" s="43" t="s">
        <v>29</v>
      </c>
      <c r="E2518" s="46">
        <v>0</v>
      </c>
      <c r="F2518" s="2">
        <f>IF(C2518="GBP",E2518*$C$3,IF(C2518="TRY",E2518/$C$1,IF(C2518="EUR",E2518*$E$1,IF(C2518="RUB",E2518/#REF!,IF(C2518="EGP",E2518/$E$2,E2518)))))</f>
        <v>0</v>
      </c>
      <c r="G2518" s="15" t="str">
        <f>VLOOKUP(B2518,SPECIFICATIONF!$C$2:$D$65,2,0)</f>
        <v>GLOBAL RETAIL</v>
      </c>
      <c r="H2518" s="12">
        <f t="shared" si="188"/>
        <v>12</v>
      </c>
      <c r="I2518" s="12">
        <f t="shared" si="189"/>
        <v>2025</v>
      </c>
    </row>
    <row r="2519" spans="1:9" ht="19.5" customHeight="1" x14ac:dyDescent="0.35">
      <c r="A2519" s="41">
        <v>46016</v>
      </c>
      <c r="B2519" s="8" t="s">
        <v>32</v>
      </c>
      <c r="C2519" s="42" t="s">
        <v>11</v>
      </c>
      <c r="D2519" s="43" t="s">
        <v>30</v>
      </c>
      <c r="E2519" s="46">
        <v>928139.51</v>
      </c>
      <c r="F2519" s="2">
        <f>IF(C2519="GBP",E2519*$C$3,IF(C2519="TRY",E2519/$C$1,IF(C2519="EUR",E2519*$E$1,IF(C2519="RUB",E2519/#REF!,IF(C2519="EGP",E2519/$E$2,E2519)))))</f>
        <v>25451.560456194518</v>
      </c>
      <c r="G2519" s="15" t="str">
        <f>VLOOKUP(B2519,SPECIFICATIONF!$C$2:$D$65,2,0)</f>
        <v>GLOBAL HFT</v>
      </c>
      <c r="H2519" s="12">
        <f t="shared" ref="H2519:H2526" si="190">MONTH(A2519)</f>
        <v>12</v>
      </c>
      <c r="I2519" s="12">
        <f t="shared" ref="I2519:I2526" si="191">YEAR(A2519)</f>
        <v>2025</v>
      </c>
    </row>
    <row r="2520" spans="1:9" ht="19.5" customHeight="1" x14ac:dyDescent="0.35">
      <c r="A2520" s="41">
        <v>46016</v>
      </c>
      <c r="B2520" s="8" t="s">
        <v>32</v>
      </c>
      <c r="C2520" s="42" t="s">
        <v>33</v>
      </c>
      <c r="D2520" s="43" t="s">
        <v>30</v>
      </c>
      <c r="E2520" s="46">
        <v>3150.29</v>
      </c>
      <c r="F2520" s="2">
        <f>IF(C2520="GBP",E2520*$C$3,IF(C2520="TRY",E2520/$C$1,IF(C2520="EUR",E2520*$E$1,IF(C2520="RUB",E2520/#REF!,IF(C2520="EGP",E2520/$E$2,E2520)))))</f>
        <v>3150.29</v>
      </c>
      <c r="G2520" s="15" t="str">
        <f>VLOOKUP(B2520,SPECIFICATIONF!$C$2:$D$65,2,0)</f>
        <v>GLOBAL HFT</v>
      </c>
      <c r="H2520" s="12">
        <f t="shared" si="190"/>
        <v>12</v>
      </c>
      <c r="I2520" s="12">
        <f t="shared" si="191"/>
        <v>2025</v>
      </c>
    </row>
    <row r="2521" spans="1:9" ht="19.5" customHeight="1" x14ac:dyDescent="0.35">
      <c r="A2521" s="41">
        <v>46016</v>
      </c>
      <c r="B2521" s="8" t="s">
        <v>32</v>
      </c>
      <c r="C2521" s="42" t="s">
        <v>11</v>
      </c>
      <c r="D2521" s="43" t="s">
        <v>29</v>
      </c>
      <c r="E2521" s="46">
        <v>3359524484</v>
      </c>
      <c r="F2521" s="2">
        <f>IF(C2521="GBP",E2521*$C$3,IF(C2521="TRY",E2521/$C$1,IF(C2521="EUR",E2521*$E$1,IF(C2521="RUB",E2521/#REF!,IF(C2521="EGP",E2521/$E$2,E2521)))))</f>
        <v>92125310.459622279</v>
      </c>
      <c r="G2521" s="15" t="str">
        <f>VLOOKUP(B2521,SPECIFICATIONF!$C$2:$D$65,2,0)</f>
        <v>GLOBAL HFT</v>
      </c>
      <c r="H2521" s="12">
        <f t="shared" si="190"/>
        <v>12</v>
      </c>
      <c r="I2521" s="12">
        <f t="shared" si="191"/>
        <v>2025</v>
      </c>
    </row>
    <row r="2522" spans="1:9" ht="19.5" customHeight="1" x14ac:dyDescent="0.35">
      <c r="A2522" s="41">
        <v>46016</v>
      </c>
      <c r="B2522" s="8" t="s">
        <v>32</v>
      </c>
      <c r="C2522" s="42" t="s">
        <v>33</v>
      </c>
      <c r="D2522" s="43" t="s">
        <v>29</v>
      </c>
      <c r="E2522" s="46">
        <v>10173867</v>
      </c>
      <c r="F2522" s="2">
        <f>IF(C2522="GBP",E2522*$C$3,IF(C2522="TRY",E2522/$C$1,IF(C2522="EUR",E2522*$E$1,IF(C2522="RUB",E2522/#REF!,IF(C2522="EGP",E2522/$E$2,E2522)))))</f>
        <v>10173867</v>
      </c>
      <c r="G2522" s="15" t="str">
        <f>VLOOKUP(B2522,SPECIFICATIONF!$C$2:$D$65,2,0)</f>
        <v>GLOBAL HFT</v>
      </c>
      <c r="H2522" s="12">
        <f t="shared" si="190"/>
        <v>12</v>
      </c>
      <c r="I2522" s="12">
        <f t="shared" si="191"/>
        <v>2025</v>
      </c>
    </row>
    <row r="2523" spans="1:9" ht="19.5" customHeight="1" x14ac:dyDescent="0.35">
      <c r="A2523" s="41">
        <v>46016</v>
      </c>
      <c r="B2523" s="8" t="s">
        <v>24</v>
      </c>
      <c r="C2523" s="42" t="s">
        <v>11</v>
      </c>
      <c r="D2523" s="43" t="s">
        <v>30</v>
      </c>
      <c r="E2523" s="46">
        <v>0</v>
      </c>
      <c r="F2523" s="2">
        <f>IF(C2523="GBP",E2523*$C$3,IF(C2523="TRY",E2523/$C$1,IF(C2523="EUR",E2523*$E$1,IF(C2523="RUB",E2523/#REF!,IF(C2523="EGP",E2523/$E$2,E2523)))))</f>
        <v>0</v>
      </c>
      <c r="G2523" s="15" t="str">
        <f>VLOOKUP(B2523,SPECIFICATIONF!$C$2:$D$65,2,0)</f>
        <v>GLOBAL RETAIL</v>
      </c>
      <c r="H2523" s="12">
        <f t="shared" si="190"/>
        <v>12</v>
      </c>
      <c r="I2523" s="12">
        <f t="shared" si="191"/>
        <v>2025</v>
      </c>
    </row>
    <row r="2524" spans="1:9" ht="19.5" customHeight="1" x14ac:dyDescent="0.35">
      <c r="A2524" s="41">
        <v>46016</v>
      </c>
      <c r="B2524" s="8" t="s">
        <v>24</v>
      </c>
      <c r="C2524" s="42" t="s">
        <v>33</v>
      </c>
      <c r="D2524" s="43" t="s">
        <v>30</v>
      </c>
      <c r="E2524" s="46">
        <v>0</v>
      </c>
      <c r="F2524" s="2">
        <f>IF(C2524="GBP",E2524*$C$3,IF(C2524="TRY",E2524/$C$1,IF(C2524="EUR",E2524*$E$1,IF(C2524="RUB",E2524/#REF!,IF(C2524="EGP",E2524/$E$2,E2524)))))</f>
        <v>0</v>
      </c>
      <c r="G2524" s="15" t="str">
        <f>VLOOKUP(B2524,SPECIFICATIONF!$C$2:$D$65,2,0)</f>
        <v>GLOBAL RETAIL</v>
      </c>
      <c r="H2524" s="12">
        <f t="shared" si="190"/>
        <v>12</v>
      </c>
      <c r="I2524" s="12">
        <f t="shared" si="191"/>
        <v>2025</v>
      </c>
    </row>
    <row r="2525" spans="1:9" ht="19.5" customHeight="1" x14ac:dyDescent="0.35">
      <c r="A2525" s="41">
        <v>46016</v>
      </c>
      <c r="B2525" s="8" t="s">
        <v>24</v>
      </c>
      <c r="C2525" s="42" t="s">
        <v>11</v>
      </c>
      <c r="D2525" s="43" t="s">
        <v>29</v>
      </c>
      <c r="E2525" s="46">
        <v>16001747</v>
      </c>
      <c r="F2525" s="2">
        <f>IF(C2525="GBP",E2525*$C$3,IF(C2525="TRY",E2525/$C$1,IF(C2525="EUR",E2525*$E$1,IF(C2525="RUB",E2525/#REF!,IF(C2525="EGP",E2525/$E$2,E2525)))))</f>
        <v>438801.95464928466</v>
      </c>
      <c r="G2525" s="15" t="str">
        <f>VLOOKUP(B2525,SPECIFICATIONF!$C$2:$D$65,2,0)</f>
        <v>GLOBAL RETAIL</v>
      </c>
      <c r="H2525" s="12">
        <f t="shared" si="190"/>
        <v>12</v>
      </c>
      <c r="I2525" s="12">
        <f t="shared" si="191"/>
        <v>2025</v>
      </c>
    </row>
    <row r="2526" spans="1:9" ht="19.5" customHeight="1" x14ac:dyDescent="0.35">
      <c r="A2526" s="41">
        <v>46016</v>
      </c>
      <c r="B2526" s="8" t="s">
        <v>24</v>
      </c>
      <c r="C2526" s="42" t="s">
        <v>33</v>
      </c>
      <c r="D2526" s="43" t="s">
        <v>29</v>
      </c>
      <c r="E2526" s="46">
        <v>0</v>
      </c>
      <c r="F2526" s="2">
        <f>IF(C2526="GBP",E2526*$C$3,IF(C2526="TRY",E2526/$C$1,IF(C2526="EUR",E2526*$E$1,IF(C2526="RUB",E2526/#REF!,IF(C2526="EGP",E2526/$E$2,E2526)))))</f>
        <v>0</v>
      </c>
      <c r="G2526" s="15" t="str">
        <f>VLOOKUP(B2526,SPECIFICATIONF!$C$2:$D$65,2,0)</f>
        <v>GLOBAL RETAIL</v>
      </c>
      <c r="H2526" s="12">
        <f t="shared" si="190"/>
        <v>12</v>
      </c>
      <c r="I2526" s="12">
        <f t="shared" si="191"/>
        <v>2025</v>
      </c>
    </row>
    <row r="2527" spans="1:9" ht="19.5" customHeight="1" x14ac:dyDescent="0.35">
      <c r="A2527" s="41">
        <v>46017</v>
      </c>
      <c r="B2527" s="8" t="s">
        <v>32</v>
      </c>
      <c r="C2527" s="42" t="s">
        <v>11</v>
      </c>
      <c r="D2527" s="43" t="s">
        <v>30</v>
      </c>
      <c r="E2527" s="46">
        <v>947601.56</v>
      </c>
      <c r="F2527" s="2">
        <f>IF(C2527="GBP",E2527*$C$3,IF(C2527="TRY",E2527/$C$1,IF(C2527="EUR",E2527*$E$1,IF(C2527="RUB",E2527/#REF!,IF(C2527="EGP",E2527/$E$2,E2527)))))</f>
        <v>25985.251282670037</v>
      </c>
      <c r="G2527" s="15" t="str">
        <f>VLOOKUP(B2527,SPECIFICATIONF!$C$2:$D$65,2,0)</f>
        <v>GLOBAL HFT</v>
      </c>
      <c r="H2527" s="12">
        <f t="shared" ref="H2527:H2534" si="192">MONTH(A2527)</f>
        <v>12</v>
      </c>
      <c r="I2527" s="12">
        <f t="shared" ref="I2527:I2534" si="193">YEAR(A2527)</f>
        <v>2025</v>
      </c>
    </row>
    <row r="2528" spans="1:9" ht="19.5" customHeight="1" x14ac:dyDescent="0.35">
      <c r="A2528" s="41">
        <v>46017</v>
      </c>
      <c r="B2528" s="8" t="s">
        <v>32</v>
      </c>
      <c r="C2528" s="42" t="s">
        <v>33</v>
      </c>
      <c r="D2528" s="43" t="s">
        <v>30</v>
      </c>
      <c r="E2528" s="46">
        <v>4175.3</v>
      </c>
      <c r="F2528" s="2">
        <f>IF(C2528="GBP",E2528*$C$3,IF(C2528="TRY",E2528/$C$1,IF(C2528="EUR",E2528*$E$1,IF(C2528="RUB",E2528/#REF!,IF(C2528="EGP",E2528/$E$2,E2528)))))</f>
        <v>4175.3</v>
      </c>
      <c r="G2528" s="15" t="str">
        <f>VLOOKUP(B2528,SPECIFICATIONF!$C$2:$D$65,2,0)</f>
        <v>GLOBAL HFT</v>
      </c>
      <c r="H2528" s="12">
        <f t="shared" si="192"/>
        <v>12</v>
      </c>
      <c r="I2528" s="12">
        <f t="shared" si="193"/>
        <v>2025</v>
      </c>
    </row>
    <row r="2529" spans="1:9" ht="19.5" customHeight="1" x14ac:dyDescent="0.35">
      <c r="A2529" s="41">
        <v>46017</v>
      </c>
      <c r="B2529" s="8" t="s">
        <v>32</v>
      </c>
      <c r="C2529" s="42" t="s">
        <v>11</v>
      </c>
      <c r="D2529" s="43" t="s">
        <v>29</v>
      </c>
      <c r="E2529" s="46">
        <v>3391565125</v>
      </c>
      <c r="F2529" s="2">
        <f>IF(C2529="GBP",E2529*$C$3,IF(C2529="TRY",E2529/$C$1,IF(C2529="EUR",E2529*$E$1,IF(C2529="RUB",E2529/#REF!,IF(C2529="EGP",E2529/$E$2,E2529)))))</f>
        <v>93003933.018710107</v>
      </c>
      <c r="G2529" s="15" t="str">
        <f>VLOOKUP(B2529,SPECIFICATIONF!$C$2:$D$65,2,0)</f>
        <v>GLOBAL HFT</v>
      </c>
      <c r="H2529" s="12">
        <f t="shared" si="192"/>
        <v>12</v>
      </c>
      <c r="I2529" s="12">
        <f t="shared" si="193"/>
        <v>2025</v>
      </c>
    </row>
    <row r="2530" spans="1:9" ht="19.5" customHeight="1" x14ac:dyDescent="0.35">
      <c r="A2530" s="41">
        <v>46017</v>
      </c>
      <c r="B2530" s="8" t="s">
        <v>32</v>
      </c>
      <c r="C2530" s="42" t="s">
        <v>33</v>
      </c>
      <c r="D2530" s="43" t="s">
        <v>29</v>
      </c>
      <c r="E2530" s="46">
        <v>13478397</v>
      </c>
      <c r="F2530" s="2">
        <f>IF(C2530="GBP",E2530*$C$3,IF(C2530="TRY",E2530/$C$1,IF(C2530="EUR",E2530*$E$1,IF(C2530="RUB",E2530/#REF!,IF(C2530="EGP",E2530/$E$2,E2530)))))</f>
        <v>13478397</v>
      </c>
      <c r="G2530" s="15" t="str">
        <f>VLOOKUP(B2530,SPECIFICATIONF!$C$2:$D$65,2,0)</f>
        <v>GLOBAL HFT</v>
      </c>
      <c r="H2530" s="12">
        <f t="shared" si="192"/>
        <v>12</v>
      </c>
      <c r="I2530" s="12">
        <f t="shared" si="193"/>
        <v>2025</v>
      </c>
    </row>
    <row r="2531" spans="1:9" ht="19.5" customHeight="1" x14ac:dyDescent="0.35">
      <c r="A2531" s="41">
        <v>46017</v>
      </c>
      <c r="B2531" s="8" t="s">
        <v>24</v>
      </c>
      <c r="C2531" s="42" t="s">
        <v>11</v>
      </c>
      <c r="D2531" s="43" t="s">
        <v>30</v>
      </c>
      <c r="E2531" s="46">
        <v>0</v>
      </c>
      <c r="F2531" s="2">
        <f>IF(C2531="GBP",E2531*$C$3,IF(C2531="TRY",E2531/$C$1,IF(C2531="EUR",E2531*$E$1,IF(C2531="RUB",E2531/#REF!,IF(C2531="EGP",E2531/$E$2,E2531)))))</f>
        <v>0</v>
      </c>
      <c r="G2531" s="15" t="str">
        <f>VLOOKUP(B2531,SPECIFICATIONF!$C$2:$D$65,2,0)</f>
        <v>GLOBAL RETAIL</v>
      </c>
      <c r="H2531" s="12">
        <f t="shared" si="192"/>
        <v>12</v>
      </c>
      <c r="I2531" s="12">
        <f t="shared" si="193"/>
        <v>2025</v>
      </c>
    </row>
    <row r="2532" spans="1:9" ht="19.5" customHeight="1" x14ac:dyDescent="0.35">
      <c r="A2532" s="41">
        <v>46017</v>
      </c>
      <c r="B2532" s="8" t="s">
        <v>24</v>
      </c>
      <c r="C2532" s="42" t="s">
        <v>33</v>
      </c>
      <c r="D2532" s="43" t="s">
        <v>30</v>
      </c>
      <c r="E2532" s="46">
        <v>0</v>
      </c>
      <c r="F2532" s="2">
        <f>IF(C2532="GBP",E2532*$C$3,IF(C2532="TRY",E2532/$C$1,IF(C2532="EUR",E2532*$E$1,IF(C2532="RUB",E2532/#REF!,IF(C2532="EGP",E2532/$E$2,E2532)))))</f>
        <v>0</v>
      </c>
      <c r="G2532" s="15" t="str">
        <f>VLOOKUP(B2532,SPECIFICATIONF!$C$2:$D$65,2,0)</f>
        <v>GLOBAL RETAIL</v>
      </c>
      <c r="H2532" s="12">
        <f t="shared" si="192"/>
        <v>12</v>
      </c>
      <c r="I2532" s="12">
        <f t="shared" si="193"/>
        <v>2025</v>
      </c>
    </row>
    <row r="2533" spans="1:9" ht="19.5" customHeight="1" x14ac:dyDescent="0.35">
      <c r="A2533" s="41">
        <v>46017</v>
      </c>
      <c r="B2533" s="8" t="s">
        <v>24</v>
      </c>
      <c r="C2533" s="42" t="s">
        <v>11</v>
      </c>
      <c r="D2533" s="43" t="s">
        <v>29</v>
      </c>
      <c r="E2533" s="46">
        <v>17694331</v>
      </c>
      <c r="F2533" s="2">
        <f>IF(C2533="GBP",E2533*$C$3,IF(C2533="TRY",E2533/$C$1,IF(C2533="EUR",E2533*$E$1,IF(C2533="RUB",E2533/#REF!,IF(C2533="EGP",E2533/$E$2,E2533)))))</f>
        <v>485216.20976831042</v>
      </c>
      <c r="G2533" s="15" t="str">
        <f>VLOOKUP(B2533,SPECIFICATIONF!$C$2:$D$65,2,0)</f>
        <v>GLOBAL RETAIL</v>
      </c>
      <c r="H2533" s="12">
        <f t="shared" si="192"/>
        <v>12</v>
      </c>
      <c r="I2533" s="12">
        <f t="shared" si="193"/>
        <v>2025</v>
      </c>
    </row>
    <row r="2534" spans="1:9" ht="19.5" customHeight="1" x14ac:dyDescent="0.35">
      <c r="A2534" s="41">
        <v>46017</v>
      </c>
      <c r="B2534" s="8" t="s">
        <v>24</v>
      </c>
      <c r="C2534" s="42" t="s">
        <v>33</v>
      </c>
      <c r="D2534" s="43" t="s">
        <v>29</v>
      </c>
      <c r="E2534" s="46">
        <v>0</v>
      </c>
      <c r="F2534" s="2">
        <f>IF(C2534="GBP",E2534*$C$3,IF(C2534="TRY",E2534/$C$1,IF(C2534="EUR",E2534*$E$1,IF(C2534="RUB",E2534/#REF!,IF(C2534="EGP",E2534/$E$2,E2534)))))</f>
        <v>0</v>
      </c>
      <c r="G2534" s="15" t="str">
        <f>VLOOKUP(B2534,SPECIFICATIONF!$C$2:$D$65,2,0)</f>
        <v>GLOBAL RETAIL</v>
      </c>
      <c r="H2534" s="12">
        <f t="shared" si="192"/>
        <v>12</v>
      </c>
      <c r="I2534" s="12">
        <f t="shared" si="193"/>
        <v>2025</v>
      </c>
    </row>
    <row r="2535" spans="1:9" ht="19.5" customHeight="1" x14ac:dyDescent="0.35">
      <c r="A2535" s="41">
        <v>46018</v>
      </c>
      <c r="B2535" s="8" t="s">
        <v>32</v>
      </c>
      <c r="C2535" s="42" t="s">
        <v>11</v>
      </c>
      <c r="D2535" s="43" t="s">
        <v>30</v>
      </c>
      <c r="E2535" s="46">
        <v>881486.76</v>
      </c>
      <c r="F2535" s="2">
        <f>IF(C2535="GBP",E2535*$C$3,IF(C2535="TRY",E2535/$C$1,IF(C2535="EUR",E2535*$E$1,IF(C2535="RUB",E2535/#REF!,IF(C2535="EGP",E2535/$E$2,E2535)))))</f>
        <v>24172.242773583715</v>
      </c>
      <c r="G2535" s="15" t="str">
        <f>VLOOKUP(B2535,SPECIFICATIONF!$C$2:$D$65,2,0)</f>
        <v>GLOBAL HFT</v>
      </c>
      <c r="H2535" s="12">
        <f t="shared" ref="H2535:H2558" si="194">MONTH(A2535)</f>
        <v>12</v>
      </c>
      <c r="I2535" s="12">
        <f t="shared" ref="I2535:I2558" si="195">YEAR(A2535)</f>
        <v>2025</v>
      </c>
    </row>
    <row r="2536" spans="1:9" ht="19.5" customHeight="1" x14ac:dyDescent="0.35">
      <c r="A2536" s="41">
        <v>46018</v>
      </c>
      <c r="B2536" s="8" t="s">
        <v>32</v>
      </c>
      <c r="C2536" s="42" t="s">
        <v>33</v>
      </c>
      <c r="D2536" s="43" t="s">
        <v>30</v>
      </c>
      <c r="E2536" s="46">
        <v>3596.97</v>
      </c>
      <c r="F2536" s="2">
        <f>IF(C2536="GBP",E2536*$C$3,IF(C2536="TRY",E2536/$C$1,IF(C2536="EUR",E2536*$E$1,IF(C2536="RUB",E2536/#REF!,IF(C2536="EGP",E2536/$E$2,E2536)))))</f>
        <v>3596.97</v>
      </c>
      <c r="G2536" s="15" t="str">
        <f>VLOOKUP(B2536,SPECIFICATIONF!$C$2:$D$65,2,0)</f>
        <v>GLOBAL HFT</v>
      </c>
      <c r="H2536" s="12">
        <f t="shared" si="194"/>
        <v>12</v>
      </c>
      <c r="I2536" s="12">
        <f t="shared" si="195"/>
        <v>2025</v>
      </c>
    </row>
    <row r="2537" spans="1:9" ht="19.5" customHeight="1" x14ac:dyDescent="0.35">
      <c r="A2537" s="41">
        <v>46018</v>
      </c>
      <c r="B2537" s="8" t="s">
        <v>32</v>
      </c>
      <c r="C2537" s="42" t="s">
        <v>11</v>
      </c>
      <c r="D2537" s="43" t="s">
        <v>29</v>
      </c>
      <c r="E2537" s="46">
        <v>3206704901</v>
      </c>
      <c r="F2537" s="2">
        <f>IF(C2537="GBP",E2537*$C$3,IF(C2537="TRY",E2537/$C$1,IF(C2537="EUR",E2537*$E$1,IF(C2537="RUB",E2537/#REF!,IF(C2537="EGP",E2537/$E$2,E2537)))))</f>
        <v>87934672.29185918</v>
      </c>
      <c r="G2537" s="15" t="str">
        <f>VLOOKUP(B2537,SPECIFICATIONF!$C$2:$D$65,2,0)</f>
        <v>GLOBAL HFT</v>
      </c>
      <c r="H2537" s="12">
        <f t="shared" si="194"/>
        <v>12</v>
      </c>
      <c r="I2537" s="12">
        <f t="shared" si="195"/>
        <v>2025</v>
      </c>
    </row>
    <row r="2538" spans="1:9" ht="19.5" customHeight="1" x14ac:dyDescent="0.35">
      <c r="A2538" s="41">
        <v>46018</v>
      </c>
      <c r="B2538" s="8" t="s">
        <v>32</v>
      </c>
      <c r="C2538" s="42" t="s">
        <v>33</v>
      </c>
      <c r="D2538" s="43" t="s">
        <v>29</v>
      </c>
      <c r="E2538" s="46">
        <v>11130338</v>
      </c>
      <c r="F2538" s="2">
        <f>IF(C2538="GBP",E2538*$C$3,IF(C2538="TRY",E2538/$C$1,IF(C2538="EUR",E2538*$E$1,IF(C2538="RUB",E2538/#REF!,IF(C2538="EGP",E2538/$E$2,E2538)))))</f>
        <v>11130338</v>
      </c>
      <c r="G2538" s="15" t="str">
        <f>VLOOKUP(B2538,SPECIFICATIONF!$C$2:$D$65,2,0)</f>
        <v>GLOBAL HFT</v>
      </c>
      <c r="H2538" s="12">
        <f t="shared" si="194"/>
        <v>12</v>
      </c>
      <c r="I2538" s="12">
        <f t="shared" si="195"/>
        <v>2025</v>
      </c>
    </row>
    <row r="2539" spans="1:9" ht="19.5" customHeight="1" x14ac:dyDescent="0.35">
      <c r="A2539" s="41">
        <v>46018</v>
      </c>
      <c r="B2539" s="8" t="s">
        <v>24</v>
      </c>
      <c r="C2539" s="42" t="s">
        <v>11</v>
      </c>
      <c r="D2539" s="43" t="s">
        <v>30</v>
      </c>
      <c r="E2539" s="46">
        <v>0</v>
      </c>
      <c r="F2539" s="2">
        <f>IF(C2539="GBP",E2539*$C$3,IF(C2539="TRY",E2539/$C$1,IF(C2539="EUR",E2539*$E$1,IF(C2539="RUB",E2539/#REF!,IF(C2539="EGP",E2539/$E$2,E2539)))))</f>
        <v>0</v>
      </c>
      <c r="G2539" s="15" t="str">
        <f>VLOOKUP(B2539,SPECIFICATIONF!$C$2:$D$65,2,0)</f>
        <v>GLOBAL RETAIL</v>
      </c>
      <c r="H2539" s="12">
        <f t="shared" si="194"/>
        <v>12</v>
      </c>
      <c r="I2539" s="12">
        <f t="shared" si="195"/>
        <v>2025</v>
      </c>
    </row>
    <row r="2540" spans="1:9" ht="19.5" customHeight="1" x14ac:dyDescent="0.35">
      <c r="A2540" s="41">
        <v>46018</v>
      </c>
      <c r="B2540" s="8" t="s">
        <v>24</v>
      </c>
      <c r="C2540" s="42" t="s">
        <v>33</v>
      </c>
      <c r="D2540" s="43" t="s">
        <v>30</v>
      </c>
      <c r="E2540" s="46">
        <v>0</v>
      </c>
      <c r="F2540" s="2">
        <f>IF(C2540="GBP",E2540*$C$3,IF(C2540="TRY",E2540/$C$1,IF(C2540="EUR",E2540*$E$1,IF(C2540="RUB",E2540/#REF!,IF(C2540="EGP",E2540/$E$2,E2540)))))</f>
        <v>0</v>
      </c>
      <c r="G2540" s="15" t="str">
        <f>VLOOKUP(B2540,SPECIFICATIONF!$C$2:$D$65,2,0)</f>
        <v>GLOBAL RETAIL</v>
      </c>
      <c r="H2540" s="12">
        <f t="shared" si="194"/>
        <v>12</v>
      </c>
      <c r="I2540" s="12">
        <f t="shared" si="195"/>
        <v>2025</v>
      </c>
    </row>
    <row r="2541" spans="1:9" ht="19.5" customHeight="1" x14ac:dyDescent="0.35">
      <c r="A2541" s="41">
        <v>46018</v>
      </c>
      <c r="B2541" s="8" t="s">
        <v>24</v>
      </c>
      <c r="C2541" s="42" t="s">
        <v>11</v>
      </c>
      <c r="D2541" s="43" t="s">
        <v>29</v>
      </c>
      <c r="E2541" s="46">
        <v>15846656</v>
      </c>
      <c r="F2541" s="2">
        <f>IF(C2541="GBP",E2541*$C$3,IF(C2541="TRY",E2541/$C$1,IF(C2541="EUR",E2541*$E$1,IF(C2541="RUB",E2541/#REF!,IF(C2541="EGP",E2541/$E$2,E2541)))))</f>
        <v>434549.029393779</v>
      </c>
      <c r="G2541" s="15" t="str">
        <f>VLOOKUP(B2541,SPECIFICATIONF!$C$2:$D$65,2,0)</f>
        <v>GLOBAL RETAIL</v>
      </c>
      <c r="H2541" s="12">
        <f t="shared" si="194"/>
        <v>12</v>
      </c>
      <c r="I2541" s="12">
        <f t="shared" si="195"/>
        <v>2025</v>
      </c>
    </row>
    <row r="2542" spans="1:9" ht="19.5" customHeight="1" x14ac:dyDescent="0.35">
      <c r="A2542" s="41">
        <v>46018</v>
      </c>
      <c r="B2542" s="8" t="s">
        <v>24</v>
      </c>
      <c r="C2542" s="42" t="s">
        <v>33</v>
      </c>
      <c r="D2542" s="43" t="s">
        <v>29</v>
      </c>
      <c r="E2542" s="46">
        <v>0</v>
      </c>
      <c r="F2542" s="2">
        <f>IF(C2542="GBP",E2542*$C$3,IF(C2542="TRY",E2542/$C$1,IF(C2542="EUR",E2542*$E$1,IF(C2542="RUB",E2542/#REF!,IF(C2542="EGP",E2542/$E$2,E2542)))))</f>
        <v>0</v>
      </c>
      <c r="G2542" s="15" t="str">
        <f>VLOOKUP(B2542,SPECIFICATIONF!$C$2:$D$65,2,0)</f>
        <v>GLOBAL RETAIL</v>
      </c>
      <c r="H2542" s="12">
        <f t="shared" si="194"/>
        <v>12</v>
      </c>
      <c r="I2542" s="12">
        <f t="shared" si="195"/>
        <v>2025</v>
      </c>
    </row>
    <row r="2543" spans="1:9" ht="19.5" customHeight="1" x14ac:dyDescent="0.35">
      <c r="A2543" s="41">
        <v>46019</v>
      </c>
      <c r="B2543" s="8" t="s">
        <v>32</v>
      </c>
      <c r="C2543" s="42" t="s">
        <v>11</v>
      </c>
      <c r="D2543" s="43" t="s">
        <v>30</v>
      </c>
      <c r="E2543" s="46">
        <v>893744.92</v>
      </c>
      <c r="F2543" s="2">
        <f>IF(C2543="GBP",E2543*$C$3,IF(C2543="TRY",E2543/$C$1,IF(C2543="EUR",E2543*$E$1,IF(C2543="RUB",E2543/#REF!,IF(C2543="EGP",E2543/$E$2,E2543)))))</f>
        <v>24508.387606295022</v>
      </c>
      <c r="G2543" s="15" t="str">
        <f>VLOOKUP(B2543,SPECIFICATIONF!$C$2:$D$65,2,0)</f>
        <v>GLOBAL HFT</v>
      </c>
      <c r="H2543" s="12">
        <f t="shared" si="194"/>
        <v>12</v>
      </c>
      <c r="I2543" s="12">
        <f t="shared" si="195"/>
        <v>2025</v>
      </c>
    </row>
    <row r="2544" spans="1:9" ht="19.5" customHeight="1" x14ac:dyDescent="0.35">
      <c r="A2544" s="41">
        <v>46019</v>
      </c>
      <c r="B2544" s="8" t="s">
        <v>32</v>
      </c>
      <c r="C2544" s="42" t="s">
        <v>33</v>
      </c>
      <c r="D2544" s="43" t="s">
        <v>30</v>
      </c>
      <c r="E2544" s="46">
        <v>3496.75</v>
      </c>
      <c r="F2544" s="2">
        <f>IF(C2544="GBP",E2544*$C$3,IF(C2544="TRY",E2544/$C$1,IF(C2544="EUR",E2544*$E$1,IF(C2544="RUB",E2544/#REF!,IF(C2544="EGP",E2544/$E$2,E2544)))))</f>
        <v>3496.75</v>
      </c>
      <c r="G2544" s="15" t="str">
        <f>VLOOKUP(B2544,SPECIFICATIONF!$C$2:$D$65,2,0)</f>
        <v>GLOBAL HFT</v>
      </c>
      <c r="H2544" s="12">
        <f t="shared" si="194"/>
        <v>12</v>
      </c>
      <c r="I2544" s="12">
        <f t="shared" si="195"/>
        <v>2025</v>
      </c>
    </row>
    <row r="2545" spans="1:9" ht="19.5" customHeight="1" x14ac:dyDescent="0.35">
      <c r="A2545" s="41">
        <v>46019</v>
      </c>
      <c r="B2545" s="8" t="s">
        <v>32</v>
      </c>
      <c r="C2545" s="42" t="s">
        <v>11</v>
      </c>
      <c r="D2545" s="43" t="s">
        <v>29</v>
      </c>
      <c r="E2545" s="46">
        <v>3212522943</v>
      </c>
      <c r="F2545" s="2">
        <f>IF(C2545="GBP",E2545*$C$3,IF(C2545="TRY",E2545/$C$1,IF(C2545="EUR",E2545*$E$1,IF(C2545="RUB",E2545/#REF!,IF(C2545="EGP",E2545/$E$2,E2545)))))</f>
        <v>88094215.384362251</v>
      </c>
      <c r="G2545" s="15" t="str">
        <f>VLOOKUP(B2545,SPECIFICATIONF!$C$2:$D$65,2,0)</f>
        <v>GLOBAL HFT</v>
      </c>
      <c r="H2545" s="12">
        <f t="shared" si="194"/>
        <v>12</v>
      </c>
      <c r="I2545" s="12">
        <f t="shared" si="195"/>
        <v>2025</v>
      </c>
    </row>
    <row r="2546" spans="1:9" ht="19.5" customHeight="1" x14ac:dyDescent="0.35">
      <c r="A2546" s="41">
        <v>46019</v>
      </c>
      <c r="B2546" s="8" t="s">
        <v>32</v>
      </c>
      <c r="C2546" s="42" t="s">
        <v>33</v>
      </c>
      <c r="D2546" s="43" t="s">
        <v>29</v>
      </c>
      <c r="E2546" s="46">
        <v>10897070</v>
      </c>
      <c r="F2546" s="2">
        <f>IF(C2546="GBP",E2546*$C$3,IF(C2546="TRY",E2546/$C$1,IF(C2546="EUR",E2546*$E$1,IF(C2546="RUB",E2546/#REF!,IF(C2546="EGP",E2546/$E$2,E2546)))))</f>
        <v>10897070</v>
      </c>
      <c r="G2546" s="15" t="str">
        <f>VLOOKUP(B2546,SPECIFICATIONF!$C$2:$D$65,2,0)</f>
        <v>GLOBAL HFT</v>
      </c>
      <c r="H2546" s="12">
        <f t="shared" si="194"/>
        <v>12</v>
      </c>
      <c r="I2546" s="12">
        <f t="shared" si="195"/>
        <v>2025</v>
      </c>
    </row>
    <row r="2547" spans="1:9" ht="19.5" customHeight="1" x14ac:dyDescent="0.35">
      <c r="A2547" s="41">
        <v>46019</v>
      </c>
      <c r="B2547" s="8" t="s">
        <v>24</v>
      </c>
      <c r="C2547" s="42" t="s">
        <v>11</v>
      </c>
      <c r="D2547" s="43" t="s">
        <v>30</v>
      </c>
      <c r="E2547" s="46">
        <v>0</v>
      </c>
      <c r="F2547" s="2">
        <f>IF(C2547="GBP",E2547*$C$3,IF(C2547="TRY",E2547/$C$1,IF(C2547="EUR",E2547*$E$1,IF(C2547="RUB",E2547/#REF!,IF(C2547="EGP",E2547/$E$2,E2547)))))</f>
        <v>0</v>
      </c>
      <c r="G2547" s="15" t="str">
        <f>VLOOKUP(B2547,SPECIFICATIONF!$C$2:$D$65,2,0)</f>
        <v>GLOBAL RETAIL</v>
      </c>
      <c r="H2547" s="12">
        <f t="shared" si="194"/>
        <v>12</v>
      </c>
      <c r="I2547" s="12">
        <f t="shared" si="195"/>
        <v>2025</v>
      </c>
    </row>
    <row r="2548" spans="1:9" ht="19.5" customHeight="1" x14ac:dyDescent="0.35">
      <c r="A2548" s="41">
        <v>46019</v>
      </c>
      <c r="B2548" s="8" t="s">
        <v>24</v>
      </c>
      <c r="C2548" s="42" t="s">
        <v>33</v>
      </c>
      <c r="D2548" s="43" t="s">
        <v>30</v>
      </c>
      <c r="E2548" s="46">
        <v>0</v>
      </c>
      <c r="F2548" s="2">
        <f>IF(C2548="GBP",E2548*$C$3,IF(C2548="TRY",E2548/$C$1,IF(C2548="EUR",E2548*$E$1,IF(C2548="RUB",E2548/#REF!,IF(C2548="EGP",E2548/$E$2,E2548)))))</f>
        <v>0</v>
      </c>
      <c r="G2548" s="15" t="str">
        <f>VLOOKUP(B2548,SPECIFICATIONF!$C$2:$D$65,2,0)</f>
        <v>GLOBAL RETAIL</v>
      </c>
      <c r="H2548" s="12">
        <f t="shared" si="194"/>
        <v>12</v>
      </c>
      <c r="I2548" s="12">
        <f t="shared" si="195"/>
        <v>2025</v>
      </c>
    </row>
    <row r="2549" spans="1:9" ht="19.5" customHeight="1" x14ac:dyDescent="0.35">
      <c r="A2549" s="41">
        <v>46019</v>
      </c>
      <c r="B2549" s="8" t="s">
        <v>24</v>
      </c>
      <c r="C2549" s="42" t="s">
        <v>11</v>
      </c>
      <c r="D2549" s="43" t="s">
        <v>29</v>
      </c>
      <c r="E2549" s="46">
        <v>5883140</v>
      </c>
      <c r="F2549" s="2">
        <f>IF(C2549="GBP",E2549*$C$3,IF(C2549="TRY",E2549/$C$1,IF(C2549="EUR",E2549*$E$1,IF(C2549="RUB",E2549/#REF!,IF(C2549="EGP",E2549/$E$2,E2549)))))</f>
        <v>161328.21819238816</v>
      </c>
      <c r="G2549" s="15" t="str">
        <f>VLOOKUP(B2549,SPECIFICATIONF!$C$2:$D$65,2,0)</f>
        <v>GLOBAL RETAIL</v>
      </c>
      <c r="H2549" s="12">
        <f t="shared" si="194"/>
        <v>12</v>
      </c>
      <c r="I2549" s="12">
        <f t="shared" si="195"/>
        <v>2025</v>
      </c>
    </row>
    <row r="2550" spans="1:9" ht="19.5" customHeight="1" x14ac:dyDescent="0.35">
      <c r="A2550" s="41">
        <v>46019</v>
      </c>
      <c r="B2550" s="8" t="s">
        <v>24</v>
      </c>
      <c r="C2550" s="42" t="s">
        <v>33</v>
      </c>
      <c r="D2550" s="43" t="s">
        <v>29</v>
      </c>
      <c r="E2550" s="46">
        <v>7727</v>
      </c>
      <c r="F2550" s="2">
        <f>IF(C2550="GBP",E2550*$C$3,IF(C2550="TRY",E2550/$C$1,IF(C2550="EUR",E2550*$E$1,IF(C2550="RUB",E2550/#REF!,IF(C2550="EGP",E2550/$E$2,E2550)))))</f>
        <v>7727</v>
      </c>
      <c r="G2550" s="15" t="str">
        <f>VLOOKUP(B2550,SPECIFICATIONF!$C$2:$D$65,2,0)</f>
        <v>GLOBAL RETAIL</v>
      </c>
      <c r="H2550" s="12">
        <f t="shared" si="194"/>
        <v>12</v>
      </c>
      <c r="I2550" s="12">
        <f t="shared" si="195"/>
        <v>2025</v>
      </c>
    </row>
    <row r="2551" spans="1:9" ht="19.5" customHeight="1" x14ac:dyDescent="0.35">
      <c r="A2551" s="41">
        <v>46020</v>
      </c>
      <c r="B2551" s="8" t="s">
        <v>32</v>
      </c>
      <c r="C2551" s="42" t="s">
        <v>11</v>
      </c>
      <c r="D2551" s="43" t="s">
        <v>30</v>
      </c>
      <c r="E2551" s="46">
        <v>1075683.5</v>
      </c>
      <c r="F2551" s="2">
        <f>IF(C2551="GBP",E2551*$C$3,IF(C2551="TRY",E2551/$C$1,IF(C2551="EUR",E2551*$E$1,IF(C2551="RUB",E2551/#REF!,IF(C2551="EGP",E2551/$E$2,E2551)))))</f>
        <v>29497.530637372518</v>
      </c>
      <c r="G2551" s="15" t="str">
        <f>VLOOKUP(B2551,SPECIFICATIONF!$C$2:$D$65,2,0)</f>
        <v>GLOBAL HFT</v>
      </c>
      <c r="H2551" s="12">
        <f t="shared" si="194"/>
        <v>12</v>
      </c>
      <c r="I2551" s="12">
        <f t="shared" si="195"/>
        <v>2025</v>
      </c>
    </row>
    <row r="2552" spans="1:9" ht="19.5" customHeight="1" x14ac:dyDescent="0.35">
      <c r="A2552" s="41">
        <v>46020</v>
      </c>
      <c r="B2552" s="8" t="s">
        <v>32</v>
      </c>
      <c r="C2552" s="42" t="s">
        <v>33</v>
      </c>
      <c r="D2552" s="43" t="s">
        <v>30</v>
      </c>
      <c r="E2552" s="46">
        <v>4693.53</v>
      </c>
      <c r="F2552" s="2">
        <f>IF(C2552="GBP",E2552*$C$3,IF(C2552="TRY",E2552/$C$1,IF(C2552="EUR",E2552*$E$1,IF(C2552="RUB",E2552/#REF!,IF(C2552="EGP",E2552/$E$2,E2552)))))</f>
        <v>4693.53</v>
      </c>
      <c r="G2552" s="15" t="str">
        <f>VLOOKUP(B2552,SPECIFICATIONF!$C$2:$D$65,2,0)</f>
        <v>GLOBAL HFT</v>
      </c>
      <c r="H2552" s="12">
        <f t="shared" si="194"/>
        <v>12</v>
      </c>
      <c r="I2552" s="12">
        <f t="shared" si="195"/>
        <v>2025</v>
      </c>
    </row>
    <row r="2553" spans="1:9" ht="19.5" customHeight="1" x14ac:dyDescent="0.35">
      <c r="A2553" s="41">
        <v>46020</v>
      </c>
      <c r="B2553" s="8" t="s">
        <v>32</v>
      </c>
      <c r="C2553" s="42" t="s">
        <v>11</v>
      </c>
      <c r="D2553" s="43" t="s">
        <v>29</v>
      </c>
      <c r="E2553" s="46">
        <v>3655042701</v>
      </c>
      <c r="F2553" s="2">
        <f>IF(C2553="GBP",E2553*$C$3,IF(C2553="TRY",E2553/$C$1,IF(C2553="EUR",E2553*$E$1,IF(C2553="RUB",E2553/#REF!,IF(C2553="EGP",E2553/$E$2,E2553)))))</f>
        <v>100229048.83606777</v>
      </c>
      <c r="G2553" s="15" t="str">
        <f>VLOOKUP(B2553,SPECIFICATIONF!$C$2:$D$65,2,0)</f>
        <v>GLOBAL HFT</v>
      </c>
      <c r="H2553" s="12">
        <f t="shared" si="194"/>
        <v>12</v>
      </c>
      <c r="I2553" s="12">
        <f t="shared" si="195"/>
        <v>2025</v>
      </c>
    </row>
    <row r="2554" spans="1:9" ht="19.5" customHeight="1" x14ac:dyDescent="0.35">
      <c r="A2554" s="41">
        <v>46020</v>
      </c>
      <c r="B2554" s="8" t="s">
        <v>32</v>
      </c>
      <c r="C2554" s="42" t="s">
        <v>33</v>
      </c>
      <c r="D2554" s="43" t="s">
        <v>29</v>
      </c>
      <c r="E2554" s="46">
        <v>14809070</v>
      </c>
      <c r="F2554" s="2">
        <f>IF(C2554="GBP",E2554*$C$3,IF(C2554="TRY",E2554/$C$1,IF(C2554="EUR",E2554*$E$1,IF(C2554="RUB",E2554/#REF!,IF(C2554="EGP",E2554/$E$2,E2554)))))</f>
        <v>14809070</v>
      </c>
      <c r="G2554" s="15" t="str">
        <f>VLOOKUP(B2554,SPECIFICATIONF!$C$2:$D$65,2,0)</f>
        <v>GLOBAL HFT</v>
      </c>
      <c r="H2554" s="12">
        <f t="shared" si="194"/>
        <v>12</v>
      </c>
      <c r="I2554" s="12">
        <f t="shared" si="195"/>
        <v>2025</v>
      </c>
    </row>
    <row r="2555" spans="1:9" ht="19.5" customHeight="1" x14ac:dyDescent="0.35">
      <c r="A2555" s="41">
        <v>46020</v>
      </c>
      <c r="B2555" s="8" t="s">
        <v>24</v>
      </c>
      <c r="C2555" s="42" t="s">
        <v>11</v>
      </c>
      <c r="D2555" s="43" t="s">
        <v>30</v>
      </c>
      <c r="E2555" s="46">
        <v>0</v>
      </c>
      <c r="F2555" s="2">
        <f>IF(C2555="GBP",E2555*$C$3,IF(C2555="TRY",E2555/$C$1,IF(C2555="EUR",E2555*$E$1,IF(C2555="RUB",E2555/#REF!,IF(C2555="EGP",E2555/$E$2,E2555)))))</f>
        <v>0</v>
      </c>
      <c r="G2555" s="15" t="str">
        <f>VLOOKUP(B2555,SPECIFICATIONF!$C$2:$D$65,2,0)</f>
        <v>GLOBAL RETAIL</v>
      </c>
      <c r="H2555" s="12">
        <f t="shared" si="194"/>
        <v>12</v>
      </c>
      <c r="I2555" s="12">
        <f t="shared" si="195"/>
        <v>2025</v>
      </c>
    </row>
    <row r="2556" spans="1:9" ht="19.5" customHeight="1" x14ac:dyDescent="0.35">
      <c r="A2556" s="41">
        <v>46020</v>
      </c>
      <c r="B2556" s="8" t="s">
        <v>24</v>
      </c>
      <c r="C2556" s="42" t="s">
        <v>33</v>
      </c>
      <c r="D2556" s="43" t="s">
        <v>30</v>
      </c>
      <c r="E2556" s="46">
        <v>0</v>
      </c>
      <c r="F2556" s="2">
        <f>IF(C2556="GBP",E2556*$C$3,IF(C2556="TRY",E2556/$C$1,IF(C2556="EUR",E2556*$E$1,IF(C2556="RUB",E2556/#REF!,IF(C2556="EGP",E2556/$E$2,E2556)))))</f>
        <v>0</v>
      </c>
      <c r="G2556" s="15" t="str">
        <f>VLOOKUP(B2556,SPECIFICATIONF!$C$2:$D$65,2,0)</f>
        <v>GLOBAL RETAIL</v>
      </c>
      <c r="H2556" s="12">
        <f t="shared" si="194"/>
        <v>12</v>
      </c>
      <c r="I2556" s="12">
        <f t="shared" si="195"/>
        <v>2025</v>
      </c>
    </row>
    <row r="2557" spans="1:9" ht="19.5" customHeight="1" x14ac:dyDescent="0.35">
      <c r="A2557" s="41">
        <v>46020</v>
      </c>
      <c r="B2557" s="8" t="s">
        <v>24</v>
      </c>
      <c r="C2557" s="42" t="s">
        <v>11</v>
      </c>
      <c r="D2557" s="43" t="s">
        <v>29</v>
      </c>
      <c r="E2557" s="46">
        <v>6182872</v>
      </c>
      <c r="F2557" s="2">
        <f>IF(C2557="GBP",E2557*$C$3,IF(C2557="TRY",E2557/$C$1,IF(C2557="EUR",E2557*$E$1,IF(C2557="RUB",E2557/#REF!,IF(C2557="EGP",E2557/$E$2,E2557)))))</f>
        <v>169547.50746567434</v>
      </c>
      <c r="G2557" s="15" t="str">
        <f>VLOOKUP(B2557,SPECIFICATIONF!$C$2:$D$65,2,0)</f>
        <v>GLOBAL RETAIL</v>
      </c>
      <c r="H2557" s="12">
        <f t="shared" si="194"/>
        <v>12</v>
      </c>
      <c r="I2557" s="12">
        <f t="shared" si="195"/>
        <v>2025</v>
      </c>
    </row>
    <row r="2558" spans="1:9" ht="19.5" customHeight="1" x14ac:dyDescent="0.35">
      <c r="A2558" s="41">
        <v>46020</v>
      </c>
      <c r="B2558" s="8" t="s">
        <v>24</v>
      </c>
      <c r="C2558" s="42" t="s">
        <v>33</v>
      </c>
      <c r="D2558" s="43" t="s">
        <v>29</v>
      </c>
      <c r="E2558" s="46">
        <v>869</v>
      </c>
      <c r="F2558" s="2">
        <f>IF(C2558="GBP",E2558*$C$3,IF(C2558="TRY",E2558/$C$1,IF(C2558="EUR",E2558*$E$1,IF(C2558="RUB",E2558/#REF!,IF(C2558="EGP",E2558/$E$2,E2558)))))</f>
        <v>869</v>
      </c>
      <c r="G2558" s="15" t="str">
        <f>VLOOKUP(B2558,SPECIFICATIONF!$C$2:$D$65,2,0)</f>
        <v>GLOBAL RETAIL</v>
      </c>
      <c r="H2558" s="12">
        <f t="shared" si="194"/>
        <v>12</v>
      </c>
      <c r="I2558" s="12">
        <f t="shared" si="195"/>
        <v>2025</v>
      </c>
    </row>
    <row r="2559" spans="1:9" ht="19.5" customHeight="1" x14ac:dyDescent="0.35">
      <c r="A2559" s="41">
        <v>46021</v>
      </c>
      <c r="B2559" s="8" t="s">
        <v>32</v>
      </c>
      <c r="C2559" s="42" t="s">
        <v>11</v>
      </c>
      <c r="D2559" s="43" t="s">
        <v>30</v>
      </c>
      <c r="E2559" s="46">
        <v>751137.13</v>
      </c>
      <c r="F2559" s="2">
        <f>IF(C2559="GBP",E2559*$C$3,IF(C2559="TRY",E2559/$C$1,IF(C2559="EUR",E2559*$E$1,IF(C2559="RUB",E2559/#REF!,IF(C2559="EGP",E2559/$E$2,E2559)))))</f>
        <v>20597.77853340975</v>
      </c>
      <c r="G2559" s="15" t="str">
        <f>VLOOKUP(B2559,SPECIFICATIONF!$C$2:$D$65,2,0)</f>
        <v>GLOBAL HFT</v>
      </c>
      <c r="H2559" s="12">
        <f t="shared" ref="H2559:H2566" si="196">MONTH(A2559)</f>
        <v>12</v>
      </c>
      <c r="I2559" s="12">
        <f t="shared" ref="I2559:I2566" si="197">YEAR(A2559)</f>
        <v>2025</v>
      </c>
    </row>
    <row r="2560" spans="1:9" ht="19.5" customHeight="1" x14ac:dyDescent="0.35">
      <c r="A2560" s="41">
        <v>46021</v>
      </c>
      <c r="B2560" s="8" t="s">
        <v>32</v>
      </c>
      <c r="C2560" s="42" t="s">
        <v>33</v>
      </c>
      <c r="D2560" s="43" t="s">
        <v>30</v>
      </c>
      <c r="E2560" s="46">
        <v>2770.59</v>
      </c>
      <c r="F2560" s="2">
        <f>IF(C2560="GBP",E2560*$C$3,IF(C2560="TRY",E2560/$C$1,IF(C2560="EUR",E2560*$E$1,IF(C2560="RUB",E2560/#REF!,IF(C2560="EGP",E2560/$E$2,E2560)))))</f>
        <v>2770.59</v>
      </c>
      <c r="G2560" s="15" t="str">
        <f>VLOOKUP(B2560,SPECIFICATIONF!$C$2:$D$65,2,0)</f>
        <v>GLOBAL HFT</v>
      </c>
      <c r="H2560" s="12">
        <f t="shared" si="196"/>
        <v>12</v>
      </c>
      <c r="I2560" s="12">
        <f t="shared" si="197"/>
        <v>2025</v>
      </c>
    </row>
    <row r="2561" spans="1:9" ht="19.5" customHeight="1" x14ac:dyDescent="0.35">
      <c r="A2561" s="41">
        <v>46021</v>
      </c>
      <c r="B2561" s="8" t="s">
        <v>32</v>
      </c>
      <c r="C2561" s="42" t="s">
        <v>11</v>
      </c>
      <c r="D2561" s="43" t="s">
        <v>29</v>
      </c>
      <c r="E2561" s="46">
        <v>2756954322</v>
      </c>
      <c r="F2561" s="2">
        <f>IF(C2561="GBP",E2561*$C$3,IF(C2561="TRY",E2561/$C$1,IF(C2561="EUR",E2561*$E$1,IF(C2561="RUB",E2561/#REF!,IF(C2561="EGP",E2561/$E$2,E2561)))))</f>
        <v>75601554.341059968</v>
      </c>
      <c r="G2561" s="15" t="str">
        <f>VLOOKUP(B2561,SPECIFICATIONF!$C$2:$D$65,2,0)</f>
        <v>GLOBAL HFT</v>
      </c>
      <c r="H2561" s="12">
        <f t="shared" si="196"/>
        <v>12</v>
      </c>
      <c r="I2561" s="12">
        <f t="shared" si="197"/>
        <v>2025</v>
      </c>
    </row>
    <row r="2562" spans="1:9" ht="19.5" customHeight="1" x14ac:dyDescent="0.35">
      <c r="A2562" s="41">
        <v>46021</v>
      </c>
      <c r="B2562" s="8" t="s">
        <v>32</v>
      </c>
      <c r="C2562" s="42" t="s">
        <v>33</v>
      </c>
      <c r="D2562" s="43" t="s">
        <v>29</v>
      </c>
      <c r="E2562" s="46">
        <v>9280671</v>
      </c>
      <c r="F2562" s="2">
        <f>IF(C2562="GBP",E2562*$C$3,IF(C2562="TRY",E2562/$C$1,IF(C2562="EUR",E2562*$E$1,IF(C2562="RUB",E2562/#REF!,IF(C2562="EGP",E2562/$E$2,E2562)))))</f>
        <v>9280671</v>
      </c>
      <c r="G2562" s="15" t="str">
        <f>VLOOKUP(B2562,SPECIFICATIONF!$C$2:$D$65,2,0)</f>
        <v>GLOBAL HFT</v>
      </c>
      <c r="H2562" s="12">
        <f t="shared" si="196"/>
        <v>12</v>
      </c>
      <c r="I2562" s="12">
        <f t="shared" si="197"/>
        <v>2025</v>
      </c>
    </row>
    <row r="2563" spans="1:9" ht="19.5" customHeight="1" x14ac:dyDescent="0.35">
      <c r="A2563" s="41">
        <v>46021</v>
      </c>
      <c r="B2563" s="8" t="s">
        <v>24</v>
      </c>
      <c r="C2563" s="42" t="s">
        <v>11</v>
      </c>
      <c r="D2563" s="43" t="s">
        <v>30</v>
      </c>
      <c r="E2563" s="46">
        <v>0</v>
      </c>
      <c r="F2563" s="2">
        <f>IF(C2563="GBP",E2563*$C$3,IF(C2563="TRY",E2563/$C$1,IF(C2563="EUR",E2563*$E$1,IF(C2563="RUB",E2563/#REF!,IF(C2563="EGP",E2563/$E$2,E2563)))))</f>
        <v>0</v>
      </c>
      <c r="G2563" s="15" t="str">
        <f>VLOOKUP(B2563,SPECIFICATIONF!$C$2:$D$65,2,0)</f>
        <v>GLOBAL RETAIL</v>
      </c>
      <c r="H2563" s="12">
        <f t="shared" si="196"/>
        <v>12</v>
      </c>
      <c r="I2563" s="12">
        <f t="shared" si="197"/>
        <v>2025</v>
      </c>
    </row>
    <row r="2564" spans="1:9" ht="19.5" customHeight="1" x14ac:dyDescent="0.35">
      <c r="A2564" s="41">
        <v>46021</v>
      </c>
      <c r="B2564" s="8" t="s">
        <v>24</v>
      </c>
      <c r="C2564" s="42" t="s">
        <v>33</v>
      </c>
      <c r="D2564" s="43" t="s">
        <v>30</v>
      </c>
      <c r="E2564" s="46">
        <v>0</v>
      </c>
      <c r="F2564" s="2">
        <f>IF(C2564="GBP",E2564*$C$3,IF(C2564="TRY",E2564/$C$1,IF(C2564="EUR",E2564*$E$1,IF(C2564="RUB",E2564/#REF!,IF(C2564="EGP",E2564/$E$2,E2564)))))</f>
        <v>0</v>
      </c>
      <c r="G2564" s="15" t="str">
        <f>VLOOKUP(B2564,SPECIFICATIONF!$C$2:$D$65,2,0)</f>
        <v>GLOBAL RETAIL</v>
      </c>
      <c r="H2564" s="12">
        <f t="shared" si="196"/>
        <v>12</v>
      </c>
      <c r="I2564" s="12">
        <f t="shared" si="197"/>
        <v>2025</v>
      </c>
    </row>
    <row r="2565" spans="1:9" ht="19.5" customHeight="1" x14ac:dyDescent="0.35">
      <c r="A2565" s="41">
        <v>46021</v>
      </c>
      <c r="B2565" s="8" t="s">
        <v>24</v>
      </c>
      <c r="C2565" s="42" t="s">
        <v>11</v>
      </c>
      <c r="D2565" s="43" t="s">
        <v>29</v>
      </c>
      <c r="E2565" s="46">
        <v>13368543</v>
      </c>
      <c r="F2565" s="2">
        <f>IF(C2565="GBP",E2565*$C$3,IF(C2565="TRY",E2565/$C$1,IF(C2565="EUR",E2565*$E$1,IF(C2565="RUB",E2565/#REF!,IF(C2565="EGP",E2565/$E$2,E2565)))))</f>
        <v>366593.89747963217</v>
      </c>
      <c r="G2565" s="15" t="str">
        <f>VLOOKUP(B2565,SPECIFICATIONF!$C$2:$D$65,2,0)</f>
        <v>GLOBAL RETAIL</v>
      </c>
      <c r="H2565" s="12">
        <f t="shared" si="196"/>
        <v>12</v>
      </c>
      <c r="I2565" s="12">
        <f t="shared" si="197"/>
        <v>2025</v>
      </c>
    </row>
    <row r="2566" spans="1:9" ht="19.5" customHeight="1" x14ac:dyDescent="0.35">
      <c r="A2566" s="41">
        <v>46021</v>
      </c>
      <c r="B2566" s="8" t="s">
        <v>24</v>
      </c>
      <c r="C2566" s="42" t="s">
        <v>33</v>
      </c>
      <c r="D2566" s="43" t="s">
        <v>29</v>
      </c>
      <c r="E2566" s="46">
        <v>30</v>
      </c>
      <c r="F2566" s="2">
        <f>IF(C2566="GBP",E2566*$C$3,IF(C2566="TRY",E2566/$C$1,IF(C2566="EUR",E2566*$E$1,IF(C2566="RUB",E2566/#REF!,IF(C2566="EGP",E2566/$E$2,E2566)))))</f>
        <v>30</v>
      </c>
      <c r="G2566" s="15" t="str">
        <f>VLOOKUP(B2566,SPECIFICATIONF!$C$2:$D$65,2,0)</f>
        <v>GLOBAL RETAIL</v>
      </c>
      <c r="H2566" s="12">
        <f t="shared" si="196"/>
        <v>12</v>
      </c>
      <c r="I2566" s="12">
        <f t="shared" si="197"/>
        <v>2025</v>
      </c>
    </row>
    <row r="2567" spans="1:9" ht="19.5" customHeight="1" x14ac:dyDescent="0.35">
      <c r="A2567" s="41">
        <v>46022</v>
      </c>
      <c r="B2567" s="8" t="s">
        <v>32</v>
      </c>
      <c r="C2567" s="42" t="s">
        <v>11</v>
      </c>
      <c r="D2567" s="43" t="s">
        <v>30</v>
      </c>
      <c r="E2567" s="46">
        <v>984623.27</v>
      </c>
      <c r="F2567" s="2">
        <f>IF(C2567="GBP",E2567*$C$3,IF(C2567="TRY",E2567/$C$1,IF(C2567="EUR",E2567*$E$1,IF(C2567="RUB",E2567/#REF!,IF(C2567="EGP",E2567/$E$2,E2567)))))</f>
        <v>27000.465353512362</v>
      </c>
      <c r="G2567" s="15" t="str">
        <f>VLOOKUP(B2567,SPECIFICATIONF!$C$2:$D$65,2,0)</f>
        <v>GLOBAL HFT</v>
      </c>
      <c r="H2567" s="12">
        <f t="shared" ref="H2567:H2574" si="198">MONTH(A2567)</f>
        <v>12</v>
      </c>
      <c r="I2567" s="12">
        <f t="shared" ref="I2567:I2574" si="199">YEAR(A2567)</f>
        <v>2025</v>
      </c>
    </row>
    <row r="2568" spans="1:9" ht="19.5" customHeight="1" x14ac:dyDescent="0.35">
      <c r="A2568" s="41">
        <v>46022</v>
      </c>
      <c r="B2568" s="8" t="s">
        <v>32</v>
      </c>
      <c r="C2568" s="42" t="s">
        <v>33</v>
      </c>
      <c r="D2568" s="43" t="s">
        <v>30</v>
      </c>
      <c r="E2568" s="46">
        <v>4236.09</v>
      </c>
      <c r="F2568" s="2">
        <f>IF(C2568="GBP",E2568*$C$3,IF(C2568="TRY",E2568/$C$1,IF(C2568="EUR",E2568*$E$1,IF(C2568="RUB",E2568/#REF!,IF(C2568="EGP",E2568/$E$2,E2568)))))</f>
        <v>4236.09</v>
      </c>
      <c r="G2568" s="15" t="str">
        <f>VLOOKUP(B2568,SPECIFICATIONF!$C$2:$D$65,2,0)</f>
        <v>GLOBAL HFT</v>
      </c>
      <c r="H2568" s="12">
        <f t="shared" si="198"/>
        <v>12</v>
      </c>
      <c r="I2568" s="12">
        <f t="shared" si="199"/>
        <v>2025</v>
      </c>
    </row>
    <row r="2569" spans="1:9" ht="19.5" customHeight="1" x14ac:dyDescent="0.35">
      <c r="A2569" s="41">
        <v>46022</v>
      </c>
      <c r="B2569" s="8" t="s">
        <v>32</v>
      </c>
      <c r="C2569" s="42" t="s">
        <v>11</v>
      </c>
      <c r="D2569" s="43" t="s">
        <v>29</v>
      </c>
      <c r="E2569" s="46">
        <v>3521363660</v>
      </c>
      <c r="F2569" s="2">
        <f>IF(C2569="GBP",E2569*$C$3,IF(C2569="TRY",E2569/$C$1,IF(C2569="EUR",E2569*$E$1,IF(C2569="RUB",E2569/#REF!,IF(C2569="EGP",E2569/$E$2,E2569)))))</f>
        <v>96563285.061247319</v>
      </c>
      <c r="G2569" s="15" t="str">
        <f>VLOOKUP(B2569,SPECIFICATIONF!$C$2:$D$65,2,0)</f>
        <v>GLOBAL HFT</v>
      </c>
      <c r="H2569" s="12">
        <f t="shared" si="198"/>
        <v>12</v>
      </c>
      <c r="I2569" s="12">
        <f t="shared" si="199"/>
        <v>2025</v>
      </c>
    </row>
    <row r="2570" spans="1:9" ht="19.5" customHeight="1" x14ac:dyDescent="0.35">
      <c r="A2570" s="41">
        <v>46022</v>
      </c>
      <c r="B2570" s="8" t="s">
        <v>32</v>
      </c>
      <c r="C2570" s="42" t="s">
        <v>33</v>
      </c>
      <c r="D2570" s="43" t="s">
        <v>29</v>
      </c>
      <c r="E2570" s="46">
        <v>13056404</v>
      </c>
      <c r="F2570" s="2">
        <f>IF(C2570="GBP",E2570*$C$3,IF(C2570="TRY",E2570/$C$1,IF(C2570="EUR",E2570*$E$1,IF(C2570="RUB",E2570/#REF!,IF(C2570="EGP",E2570/$E$2,E2570)))))</f>
        <v>13056404</v>
      </c>
      <c r="G2570" s="15" t="str">
        <f>VLOOKUP(B2570,SPECIFICATIONF!$C$2:$D$65,2,0)</f>
        <v>GLOBAL HFT</v>
      </c>
      <c r="H2570" s="12">
        <f t="shared" si="198"/>
        <v>12</v>
      </c>
      <c r="I2570" s="12">
        <f t="shared" si="199"/>
        <v>2025</v>
      </c>
    </row>
    <row r="2571" spans="1:9" ht="19.5" customHeight="1" x14ac:dyDescent="0.35">
      <c r="A2571" s="41">
        <v>46022</v>
      </c>
      <c r="B2571" s="8" t="s">
        <v>24</v>
      </c>
      <c r="C2571" s="42" t="s">
        <v>11</v>
      </c>
      <c r="D2571" s="43" t="s">
        <v>30</v>
      </c>
      <c r="E2571" s="46">
        <v>0</v>
      </c>
      <c r="F2571" s="2">
        <f>IF(C2571="GBP",E2571*$C$3,IF(C2571="TRY",E2571/$C$1,IF(C2571="EUR",E2571*$E$1,IF(C2571="RUB",E2571/#REF!,IF(C2571="EGP",E2571/$E$2,E2571)))))</f>
        <v>0</v>
      </c>
      <c r="G2571" s="15" t="str">
        <f>VLOOKUP(B2571,SPECIFICATIONF!$C$2:$D$65,2,0)</f>
        <v>GLOBAL RETAIL</v>
      </c>
      <c r="H2571" s="12">
        <f t="shared" si="198"/>
        <v>12</v>
      </c>
      <c r="I2571" s="12">
        <f t="shared" si="199"/>
        <v>2025</v>
      </c>
    </row>
    <row r="2572" spans="1:9" ht="19.5" customHeight="1" x14ac:dyDescent="0.35">
      <c r="A2572" s="41">
        <v>46022</v>
      </c>
      <c r="B2572" s="8" t="s">
        <v>24</v>
      </c>
      <c r="C2572" s="42" t="s">
        <v>33</v>
      </c>
      <c r="D2572" s="43" t="s">
        <v>30</v>
      </c>
      <c r="E2572" s="46">
        <v>0</v>
      </c>
      <c r="F2572" s="2">
        <f>IF(C2572="GBP",E2572*$C$3,IF(C2572="TRY",E2572/$C$1,IF(C2572="EUR",E2572*$E$1,IF(C2572="RUB",E2572/#REF!,IF(C2572="EGP",E2572/$E$2,E2572)))))</f>
        <v>0</v>
      </c>
      <c r="G2572" s="15" t="str">
        <f>VLOOKUP(B2572,SPECIFICATIONF!$C$2:$D$65,2,0)</f>
        <v>GLOBAL RETAIL</v>
      </c>
      <c r="H2572" s="12">
        <f t="shared" si="198"/>
        <v>12</v>
      </c>
      <c r="I2572" s="12">
        <f t="shared" si="199"/>
        <v>2025</v>
      </c>
    </row>
    <row r="2573" spans="1:9" ht="19.5" customHeight="1" x14ac:dyDescent="0.35">
      <c r="A2573" s="41">
        <v>46022</v>
      </c>
      <c r="B2573" s="8" t="s">
        <v>24</v>
      </c>
      <c r="C2573" s="42" t="s">
        <v>11</v>
      </c>
      <c r="D2573" s="43" t="s">
        <v>29</v>
      </c>
      <c r="E2573" s="46">
        <v>1743270</v>
      </c>
      <c r="F2573" s="2">
        <f>IF(C2573="GBP",E2573*$C$3,IF(C2573="TRY",E2573/$C$1,IF(C2573="EUR",E2573*$E$1,IF(C2573="RUB",E2573/#REF!,IF(C2573="EGP",E2573/$E$2,E2573)))))</f>
        <v>47804.173099440857</v>
      </c>
      <c r="G2573" s="15" t="str">
        <f>VLOOKUP(B2573,SPECIFICATIONF!$C$2:$D$65,2,0)</f>
        <v>GLOBAL RETAIL</v>
      </c>
      <c r="H2573" s="12">
        <f t="shared" si="198"/>
        <v>12</v>
      </c>
      <c r="I2573" s="12">
        <f t="shared" si="199"/>
        <v>2025</v>
      </c>
    </row>
    <row r="2574" spans="1:9" ht="19.5" customHeight="1" x14ac:dyDescent="0.35">
      <c r="A2574" s="41">
        <v>46022</v>
      </c>
      <c r="B2574" s="8" t="s">
        <v>24</v>
      </c>
      <c r="C2574" s="42" t="s">
        <v>33</v>
      </c>
      <c r="D2574" s="43" t="s">
        <v>29</v>
      </c>
      <c r="E2574" s="46">
        <v>0</v>
      </c>
      <c r="F2574" s="2">
        <f>IF(C2574="GBP",E2574*$C$3,IF(C2574="TRY",E2574/$C$1,IF(C2574="EUR",E2574*$E$1,IF(C2574="RUB",E2574/#REF!,IF(C2574="EGP",E2574/$E$2,E2574)))))</f>
        <v>0</v>
      </c>
      <c r="G2574" s="15" t="str">
        <f>VLOOKUP(B2574,SPECIFICATIONF!$C$2:$D$65,2,0)</f>
        <v>GLOBAL RETAIL</v>
      </c>
      <c r="H2574" s="12">
        <f t="shared" si="198"/>
        <v>12</v>
      </c>
      <c r="I2574" s="12">
        <f t="shared" si="199"/>
        <v>2025</v>
      </c>
    </row>
    <row r="2575" spans="1:9" ht="19.5" customHeight="1" x14ac:dyDescent="0.35">
      <c r="A2575" s="41">
        <v>46023</v>
      </c>
      <c r="B2575" s="8" t="s">
        <v>32</v>
      </c>
      <c r="C2575" s="42" t="s">
        <v>11</v>
      </c>
      <c r="D2575" s="43" t="s">
        <v>30</v>
      </c>
      <c r="E2575" s="46">
        <v>1196603.1200000001</v>
      </c>
      <c r="F2575" s="2">
        <f>IF(C2575="GBP",E2575*$C$3,IF(C2575="TRY",E2575/$C$1,IF(C2575="EUR",E2575*$E$1,IF(C2575="RUB",E2575/#REF!,IF(C2575="EGP",E2575/$E$2,E2575)))))</f>
        <v>32813.403936172253</v>
      </c>
      <c r="G2575" s="15" t="str">
        <f>VLOOKUP(B2575,SPECIFICATIONF!$C$2:$D$65,2,0)</f>
        <v>GLOBAL HFT</v>
      </c>
      <c r="H2575" s="12">
        <f t="shared" ref="H2575:H2590" si="200">MONTH(A2575)</f>
        <v>1</v>
      </c>
      <c r="I2575" s="12">
        <f t="shared" ref="I2575:I2590" si="201">YEAR(A2575)</f>
        <v>2026</v>
      </c>
    </row>
    <row r="2576" spans="1:9" ht="19.5" customHeight="1" x14ac:dyDescent="0.35">
      <c r="A2576" s="41">
        <v>46023</v>
      </c>
      <c r="B2576" s="8" t="s">
        <v>32</v>
      </c>
      <c r="C2576" s="42" t="s">
        <v>33</v>
      </c>
      <c r="D2576" s="43" t="s">
        <v>30</v>
      </c>
      <c r="E2576" s="46">
        <v>4414.6400000000003</v>
      </c>
      <c r="F2576" s="2">
        <f>IF(C2576="GBP",E2576*$C$3,IF(C2576="TRY",E2576/$C$1,IF(C2576="EUR",E2576*$E$1,IF(C2576="RUB",E2576/#REF!,IF(C2576="EGP",E2576/$E$2,E2576)))))</f>
        <v>4414.6400000000003</v>
      </c>
      <c r="G2576" s="15" t="str">
        <f>VLOOKUP(B2576,SPECIFICATIONF!$C$2:$D$65,2,0)</f>
        <v>GLOBAL HFT</v>
      </c>
      <c r="H2576" s="12">
        <f t="shared" si="200"/>
        <v>1</v>
      </c>
      <c r="I2576" s="12">
        <f t="shared" si="201"/>
        <v>2026</v>
      </c>
    </row>
    <row r="2577" spans="1:9" ht="19.5" customHeight="1" x14ac:dyDescent="0.35">
      <c r="A2577" s="41">
        <v>46023</v>
      </c>
      <c r="B2577" s="8" t="s">
        <v>32</v>
      </c>
      <c r="C2577" s="42" t="s">
        <v>11</v>
      </c>
      <c r="D2577" s="43" t="s">
        <v>29</v>
      </c>
      <c r="E2577" s="46">
        <v>4235326125</v>
      </c>
      <c r="F2577" s="2">
        <f>IF(C2577="GBP",E2577*$C$3,IF(C2577="TRY",E2577/$C$1,IF(C2577="EUR",E2577*$E$1,IF(C2577="RUB",E2577/#REF!,IF(C2577="EGP",E2577/$E$2,E2577)))))</f>
        <v>116141655.17222467</v>
      </c>
      <c r="G2577" s="15" t="str">
        <f>VLOOKUP(B2577,SPECIFICATIONF!$C$2:$D$65,2,0)</f>
        <v>GLOBAL HFT</v>
      </c>
      <c r="H2577" s="12">
        <f t="shared" si="200"/>
        <v>1</v>
      </c>
      <c r="I2577" s="12">
        <f t="shared" si="201"/>
        <v>2026</v>
      </c>
    </row>
    <row r="2578" spans="1:9" ht="19.5" customHeight="1" x14ac:dyDescent="0.35">
      <c r="A2578" s="41">
        <v>46023</v>
      </c>
      <c r="B2578" s="8" t="s">
        <v>32</v>
      </c>
      <c r="C2578" s="42" t="s">
        <v>33</v>
      </c>
      <c r="D2578" s="43" t="s">
        <v>29</v>
      </c>
      <c r="E2578" s="46">
        <v>13672112</v>
      </c>
      <c r="F2578" s="2">
        <f>IF(C2578="GBP",E2578*$C$3,IF(C2578="TRY",E2578/$C$1,IF(C2578="EUR",E2578*$E$1,IF(C2578="RUB",E2578/#REF!,IF(C2578="EGP",E2578/$E$2,E2578)))))</f>
        <v>13672112</v>
      </c>
      <c r="G2578" s="15" t="str">
        <f>VLOOKUP(B2578,SPECIFICATIONF!$C$2:$D$65,2,0)</f>
        <v>GLOBAL HFT</v>
      </c>
      <c r="H2578" s="12">
        <f t="shared" si="200"/>
        <v>1</v>
      </c>
      <c r="I2578" s="12">
        <f t="shared" si="201"/>
        <v>2026</v>
      </c>
    </row>
    <row r="2579" spans="1:9" ht="19.5" customHeight="1" x14ac:dyDescent="0.35">
      <c r="A2579" s="41">
        <v>46023</v>
      </c>
      <c r="B2579" s="8" t="s">
        <v>24</v>
      </c>
      <c r="C2579" s="42" t="s">
        <v>11</v>
      </c>
      <c r="D2579" s="43" t="s">
        <v>30</v>
      </c>
      <c r="E2579" s="46">
        <v>0</v>
      </c>
      <c r="F2579" s="2">
        <f>IF(C2579="GBP",E2579*$C$3,IF(C2579="TRY",E2579/$C$1,IF(C2579="EUR",E2579*$E$1,IF(C2579="RUB",E2579/#REF!,IF(C2579="EGP",E2579/$E$2,E2579)))))</f>
        <v>0</v>
      </c>
      <c r="G2579" s="15" t="str">
        <f>VLOOKUP(B2579,SPECIFICATIONF!$C$2:$D$65,2,0)</f>
        <v>GLOBAL RETAIL</v>
      </c>
      <c r="H2579" s="12">
        <f t="shared" si="200"/>
        <v>1</v>
      </c>
      <c r="I2579" s="12">
        <f t="shared" si="201"/>
        <v>2026</v>
      </c>
    </row>
    <row r="2580" spans="1:9" ht="19.5" customHeight="1" x14ac:dyDescent="0.35">
      <c r="A2580" s="41">
        <v>46023</v>
      </c>
      <c r="B2580" s="8" t="s">
        <v>24</v>
      </c>
      <c r="C2580" s="42" t="s">
        <v>33</v>
      </c>
      <c r="D2580" s="43" t="s">
        <v>30</v>
      </c>
      <c r="E2580" s="46">
        <v>0</v>
      </c>
      <c r="F2580" s="2">
        <f>IF(C2580="GBP",E2580*$C$3,IF(C2580="TRY",E2580/$C$1,IF(C2580="EUR",E2580*$E$1,IF(C2580="RUB",E2580/#REF!,IF(C2580="EGP",E2580/$E$2,E2580)))))</f>
        <v>0</v>
      </c>
      <c r="G2580" s="15" t="str">
        <f>VLOOKUP(B2580,SPECIFICATIONF!$C$2:$D$65,2,0)</f>
        <v>GLOBAL RETAIL</v>
      </c>
      <c r="H2580" s="12">
        <f t="shared" si="200"/>
        <v>1</v>
      </c>
      <c r="I2580" s="12">
        <f t="shared" si="201"/>
        <v>2026</v>
      </c>
    </row>
    <row r="2581" spans="1:9" ht="19.5" customHeight="1" x14ac:dyDescent="0.35">
      <c r="A2581" s="41">
        <v>46023</v>
      </c>
      <c r="B2581" s="8" t="s">
        <v>24</v>
      </c>
      <c r="C2581" s="42" t="s">
        <v>11</v>
      </c>
      <c r="D2581" s="43" t="s">
        <v>29</v>
      </c>
      <c r="E2581" s="46">
        <v>11346801</v>
      </c>
      <c r="F2581" s="2">
        <f>IF(C2581="GBP",E2581*$C$3,IF(C2581="TRY",E2581/$C$1,IF(C2581="EUR",E2581*$E$1,IF(C2581="RUB",E2581/#REF!,IF(C2581="EGP",E2581/$E$2,E2581)))))</f>
        <v>311153.4295484398</v>
      </c>
      <c r="G2581" s="15" t="str">
        <f>VLOOKUP(B2581,SPECIFICATIONF!$C$2:$D$65,2,0)</f>
        <v>GLOBAL RETAIL</v>
      </c>
      <c r="H2581" s="12">
        <f t="shared" si="200"/>
        <v>1</v>
      </c>
      <c r="I2581" s="12">
        <f t="shared" si="201"/>
        <v>2026</v>
      </c>
    </row>
    <row r="2582" spans="1:9" ht="19.5" customHeight="1" x14ac:dyDescent="0.35">
      <c r="A2582" s="41">
        <v>46023</v>
      </c>
      <c r="B2582" s="8" t="s">
        <v>24</v>
      </c>
      <c r="C2582" s="42" t="s">
        <v>33</v>
      </c>
      <c r="D2582" s="43" t="s">
        <v>29</v>
      </c>
      <c r="E2582" s="46">
        <v>0</v>
      </c>
      <c r="F2582" s="2">
        <f>IF(C2582="GBP",E2582*$C$3,IF(C2582="TRY",E2582/$C$1,IF(C2582="EUR",E2582*$E$1,IF(C2582="RUB",E2582/#REF!,IF(C2582="EGP",E2582/$E$2,E2582)))))</f>
        <v>0</v>
      </c>
      <c r="G2582" s="15" t="str">
        <f>VLOOKUP(B2582,SPECIFICATIONF!$C$2:$D$65,2,0)</f>
        <v>GLOBAL RETAIL</v>
      </c>
      <c r="H2582" s="12">
        <f t="shared" si="200"/>
        <v>1</v>
      </c>
      <c r="I2582" s="12">
        <f t="shared" si="201"/>
        <v>2026</v>
      </c>
    </row>
    <row r="2583" spans="1:9" ht="19.5" customHeight="1" x14ac:dyDescent="0.35">
      <c r="A2583" s="41">
        <v>46024</v>
      </c>
      <c r="B2583" s="8" t="s">
        <v>32</v>
      </c>
      <c r="C2583" s="42" t="s">
        <v>11</v>
      </c>
      <c r="D2583" s="43" t="s">
        <v>30</v>
      </c>
      <c r="E2583" s="46">
        <v>1534325.15</v>
      </c>
      <c r="F2583" s="2">
        <f>IF(C2583="GBP",E2583*$C$3,IF(C2583="TRY",E2583/$C$1,IF(C2583="EUR",E2583*$E$1,IF(C2583="RUB",E2583/#REF!,IF(C2583="EGP",E2583/$E$2,E2583)))))</f>
        <v>42074.46067529732</v>
      </c>
      <c r="G2583" s="15" t="str">
        <f>VLOOKUP(B2583,SPECIFICATIONF!$C$2:$D$65,2,0)</f>
        <v>GLOBAL HFT</v>
      </c>
      <c r="H2583" s="12">
        <f t="shared" si="200"/>
        <v>1</v>
      </c>
      <c r="I2583" s="12">
        <f t="shared" si="201"/>
        <v>2026</v>
      </c>
    </row>
    <row r="2584" spans="1:9" ht="19.5" customHeight="1" x14ac:dyDescent="0.35">
      <c r="A2584" s="41">
        <v>46024</v>
      </c>
      <c r="B2584" s="8" t="s">
        <v>32</v>
      </c>
      <c r="C2584" s="42" t="s">
        <v>33</v>
      </c>
      <c r="D2584" s="43" t="s">
        <v>30</v>
      </c>
      <c r="E2584" s="46">
        <v>8982.25</v>
      </c>
      <c r="F2584" s="2">
        <f>IF(C2584="GBP",E2584*$C$3,IF(C2584="TRY",E2584/$C$1,IF(C2584="EUR",E2584*$E$1,IF(C2584="RUB",E2584/#REF!,IF(C2584="EGP",E2584/$E$2,E2584)))))</f>
        <v>8982.25</v>
      </c>
      <c r="G2584" s="15" t="str">
        <f>VLOOKUP(B2584,SPECIFICATIONF!$C$2:$D$65,2,0)</f>
        <v>GLOBAL HFT</v>
      </c>
      <c r="H2584" s="12">
        <f t="shared" si="200"/>
        <v>1</v>
      </c>
      <c r="I2584" s="12">
        <f t="shared" si="201"/>
        <v>2026</v>
      </c>
    </row>
    <row r="2585" spans="1:9" ht="19.5" customHeight="1" x14ac:dyDescent="0.35">
      <c r="A2585" s="41">
        <v>46024</v>
      </c>
      <c r="B2585" s="8" t="s">
        <v>32</v>
      </c>
      <c r="C2585" s="42" t="s">
        <v>11</v>
      </c>
      <c r="D2585" s="43" t="s">
        <v>29</v>
      </c>
      <c r="E2585" s="46">
        <v>5147772122</v>
      </c>
      <c r="F2585" s="2">
        <f>IF(C2585="GBP",E2585*$C$3,IF(C2585="TRY",E2585/$C$1,IF(C2585="EUR",E2585*$E$1,IF(C2585="RUB",E2585/#REF!,IF(C2585="EGP",E2585/$E$2,E2585)))))</f>
        <v>141162866.10597554</v>
      </c>
      <c r="G2585" s="15" t="str">
        <f>VLOOKUP(B2585,SPECIFICATIONF!$C$2:$D$65,2,0)</f>
        <v>GLOBAL HFT</v>
      </c>
      <c r="H2585" s="12">
        <f t="shared" si="200"/>
        <v>1</v>
      </c>
      <c r="I2585" s="12">
        <f t="shared" si="201"/>
        <v>2026</v>
      </c>
    </row>
    <row r="2586" spans="1:9" ht="19.5" customHeight="1" x14ac:dyDescent="0.35">
      <c r="A2586" s="41">
        <v>46024</v>
      </c>
      <c r="B2586" s="8" t="s">
        <v>32</v>
      </c>
      <c r="C2586" s="42" t="s">
        <v>33</v>
      </c>
      <c r="D2586" s="43" t="s">
        <v>29</v>
      </c>
      <c r="E2586" s="46">
        <v>27581557</v>
      </c>
      <c r="F2586" s="2">
        <f>IF(C2586="GBP",E2586*$C$3,IF(C2586="TRY",E2586/$C$1,IF(C2586="EUR",E2586*$E$1,IF(C2586="RUB",E2586/#REF!,IF(C2586="EGP",E2586/$E$2,E2586)))))</f>
        <v>27581557</v>
      </c>
      <c r="G2586" s="15" t="str">
        <f>VLOOKUP(B2586,SPECIFICATIONF!$C$2:$D$65,2,0)</f>
        <v>GLOBAL HFT</v>
      </c>
      <c r="H2586" s="12">
        <f t="shared" si="200"/>
        <v>1</v>
      </c>
      <c r="I2586" s="12">
        <f t="shared" si="201"/>
        <v>2026</v>
      </c>
    </row>
    <row r="2587" spans="1:9" ht="19.5" customHeight="1" x14ac:dyDescent="0.35">
      <c r="A2587" s="41">
        <v>46024</v>
      </c>
      <c r="B2587" s="8" t="s">
        <v>24</v>
      </c>
      <c r="C2587" s="42" t="s">
        <v>11</v>
      </c>
      <c r="D2587" s="43" t="s">
        <v>30</v>
      </c>
      <c r="E2587" s="46">
        <v>0</v>
      </c>
      <c r="F2587" s="2">
        <f>IF(C2587="GBP",E2587*$C$3,IF(C2587="TRY",E2587/$C$1,IF(C2587="EUR",E2587*$E$1,IF(C2587="RUB",E2587/#REF!,IF(C2587="EGP",E2587/$E$2,E2587)))))</f>
        <v>0</v>
      </c>
      <c r="G2587" s="15" t="str">
        <f>VLOOKUP(B2587,SPECIFICATIONF!$C$2:$D$65,2,0)</f>
        <v>GLOBAL RETAIL</v>
      </c>
      <c r="H2587" s="12">
        <f t="shared" si="200"/>
        <v>1</v>
      </c>
      <c r="I2587" s="12">
        <f t="shared" si="201"/>
        <v>2026</v>
      </c>
    </row>
    <row r="2588" spans="1:9" ht="19.5" customHeight="1" x14ac:dyDescent="0.35">
      <c r="A2588" s="41">
        <v>46024</v>
      </c>
      <c r="B2588" s="8" t="s">
        <v>24</v>
      </c>
      <c r="C2588" s="42" t="s">
        <v>33</v>
      </c>
      <c r="D2588" s="43" t="s">
        <v>30</v>
      </c>
      <c r="E2588" s="46">
        <v>0</v>
      </c>
      <c r="F2588" s="2">
        <f>IF(C2588="GBP",E2588*$C$3,IF(C2588="TRY",E2588/$C$1,IF(C2588="EUR",E2588*$E$1,IF(C2588="RUB",E2588/#REF!,IF(C2588="EGP",E2588/$E$2,E2588)))))</f>
        <v>0</v>
      </c>
      <c r="G2588" s="15" t="str">
        <f>VLOOKUP(B2588,SPECIFICATIONF!$C$2:$D$65,2,0)</f>
        <v>GLOBAL RETAIL</v>
      </c>
      <c r="H2588" s="12">
        <f t="shared" si="200"/>
        <v>1</v>
      </c>
      <c r="I2588" s="12">
        <f t="shared" si="201"/>
        <v>2026</v>
      </c>
    </row>
    <row r="2589" spans="1:9" ht="19.5" customHeight="1" x14ac:dyDescent="0.35">
      <c r="A2589" s="41">
        <v>46024</v>
      </c>
      <c r="B2589" s="8" t="s">
        <v>24</v>
      </c>
      <c r="C2589" s="42" t="s">
        <v>11</v>
      </c>
      <c r="D2589" s="43" t="s">
        <v>29</v>
      </c>
      <c r="E2589" s="46">
        <v>3287290</v>
      </c>
      <c r="F2589" s="2">
        <f>IF(C2589="GBP",E2589*$C$3,IF(C2589="TRY",E2589/$C$1,IF(C2589="EUR",E2589*$E$1,IF(C2589="RUB",E2589/#REF!,IF(C2589="EGP",E2589/$E$2,E2589)))))</f>
        <v>90144.4871924951</v>
      </c>
      <c r="G2589" s="15" t="str">
        <f>VLOOKUP(B2589,SPECIFICATIONF!$C$2:$D$65,2,0)</f>
        <v>GLOBAL RETAIL</v>
      </c>
      <c r="H2589" s="12">
        <f t="shared" si="200"/>
        <v>1</v>
      </c>
      <c r="I2589" s="12">
        <f t="shared" si="201"/>
        <v>2026</v>
      </c>
    </row>
    <row r="2590" spans="1:9" ht="19.5" customHeight="1" x14ac:dyDescent="0.35">
      <c r="A2590" s="41">
        <v>46024</v>
      </c>
      <c r="B2590" s="8" t="s">
        <v>24</v>
      </c>
      <c r="C2590" s="42" t="s">
        <v>33</v>
      </c>
      <c r="D2590" s="43" t="s">
        <v>29</v>
      </c>
      <c r="E2590" s="46">
        <v>0</v>
      </c>
      <c r="F2590" s="2">
        <f>IF(C2590="GBP",E2590*$C$3,IF(C2590="TRY",E2590/$C$1,IF(C2590="EUR",E2590*$E$1,IF(C2590="RUB",E2590/#REF!,IF(C2590="EGP",E2590/$E$2,E2590)))))</f>
        <v>0</v>
      </c>
      <c r="G2590" s="15" t="str">
        <f>VLOOKUP(B2590,SPECIFICATIONF!$C$2:$D$65,2,0)</f>
        <v>GLOBAL RETAIL</v>
      </c>
      <c r="H2590" s="12">
        <f t="shared" si="200"/>
        <v>1</v>
      </c>
      <c r="I2590" s="12">
        <f t="shared" si="201"/>
        <v>2026</v>
      </c>
    </row>
    <row r="2591" spans="1:9" ht="19.5" customHeight="1" x14ac:dyDescent="0.35">
      <c r="A2591" s="41">
        <v>46025</v>
      </c>
      <c r="B2591" s="8" t="s">
        <v>32</v>
      </c>
      <c r="C2591" s="42" t="s">
        <v>11</v>
      </c>
      <c r="D2591" s="43" t="s">
        <v>30</v>
      </c>
      <c r="E2591" s="46">
        <v>1323510.92</v>
      </c>
      <c r="F2591" s="2">
        <f>IF(C2591="GBP",E2591*$C$3,IF(C2591="TRY",E2591/$C$1,IF(C2591="EUR",E2591*$E$1,IF(C2591="RUB",E2591/#REF!,IF(C2591="EGP",E2591/$E$2,E2591)))))</f>
        <v>36293.485873490747</v>
      </c>
      <c r="G2591" s="15" t="str">
        <f>VLOOKUP(B2591,SPECIFICATIONF!$C$2:$D$65,2,0)</f>
        <v>GLOBAL HFT</v>
      </c>
      <c r="H2591" s="12">
        <f t="shared" ref="H2591:H2614" si="202">MONTH(A2591)</f>
        <v>1</v>
      </c>
      <c r="I2591" s="12">
        <f t="shared" ref="I2591:I2614" si="203">YEAR(A2591)</f>
        <v>2026</v>
      </c>
    </row>
    <row r="2592" spans="1:9" ht="19.5" customHeight="1" x14ac:dyDescent="0.35">
      <c r="A2592" s="41">
        <v>46025</v>
      </c>
      <c r="B2592" s="8" t="s">
        <v>32</v>
      </c>
      <c r="C2592" s="42" t="s">
        <v>33</v>
      </c>
      <c r="D2592" s="43" t="s">
        <v>30</v>
      </c>
      <c r="E2592" s="46">
        <v>7877.48</v>
      </c>
      <c r="F2592" s="2">
        <f>IF(C2592="GBP",E2592*$C$3,IF(C2592="TRY",E2592/$C$1,IF(C2592="EUR",E2592*$E$1,IF(C2592="RUB",E2592/#REF!,IF(C2592="EGP",E2592/$E$2,E2592)))))</f>
        <v>7877.48</v>
      </c>
      <c r="G2592" s="15" t="str">
        <f>VLOOKUP(B2592,SPECIFICATIONF!$C$2:$D$65,2,0)</f>
        <v>GLOBAL HFT</v>
      </c>
      <c r="H2592" s="12">
        <f t="shared" si="202"/>
        <v>1</v>
      </c>
      <c r="I2592" s="12">
        <f t="shared" si="203"/>
        <v>2026</v>
      </c>
    </row>
    <row r="2593" spans="1:9" ht="19.5" customHeight="1" x14ac:dyDescent="0.35">
      <c r="A2593" s="41">
        <v>46025</v>
      </c>
      <c r="B2593" s="8" t="s">
        <v>32</v>
      </c>
      <c r="C2593" s="42" t="s">
        <v>11</v>
      </c>
      <c r="D2593" s="43" t="s">
        <v>29</v>
      </c>
      <c r="E2593" s="46">
        <v>4509445883</v>
      </c>
      <c r="F2593" s="2">
        <f>IF(C2593="GBP",E2593*$C$3,IF(C2593="TRY",E2593/$C$1,IF(C2593="EUR",E2593*$E$1,IF(C2593="RUB",E2593/#REF!,IF(C2593="EGP",E2593/$E$2,E2593)))))</f>
        <v>123658602.2667131</v>
      </c>
      <c r="G2593" s="15" t="str">
        <f>VLOOKUP(B2593,SPECIFICATIONF!$C$2:$D$65,2,0)</f>
        <v>GLOBAL HFT</v>
      </c>
      <c r="H2593" s="12">
        <f t="shared" si="202"/>
        <v>1</v>
      </c>
      <c r="I2593" s="12">
        <f t="shared" si="203"/>
        <v>2026</v>
      </c>
    </row>
    <row r="2594" spans="1:9" ht="19.5" customHeight="1" x14ac:dyDescent="0.35">
      <c r="A2594" s="41">
        <v>46025</v>
      </c>
      <c r="B2594" s="8" t="s">
        <v>32</v>
      </c>
      <c r="C2594" s="42" t="s">
        <v>33</v>
      </c>
      <c r="D2594" s="43" t="s">
        <v>29</v>
      </c>
      <c r="E2594" s="46">
        <v>24219516</v>
      </c>
      <c r="F2594" s="2">
        <f>IF(C2594="GBP",E2594*$C$3,IF(C2594="TRY",E2594/$C$1,IF(C2594="EUR",E2594*$E$1,IF(C2594="RUB",E2594/#REF!,IF(C2594="EGP",E2594/$E$2,E2594)))))</f>
        <v>24219516</v>
      </c>
      <c r="G2594" s="15" t="str">
        <f>VLOOKUP(B2594,SPECIFICATIONF!$C$2:$D$65,2,0)</f>
        <v>GLOBAL HFT</v>
      </c>
      <c r="H2594" s="12">
        <f t="shared" si="202"/>
        <v>1</v>
      </c>
      <c r="I2594" s="12">
        <f t="shared" si="203"/>
        <v>2026</v>
      </c>
    </row>
    <row r="2595" spans="1:9" ht="19.5" customHeight="1" x14ac:dyDescent="0.35">
      <c r="A2595" s="41">
        <v>46025</v>
      </c>
      <c r="B2595" s="8" t="s">
        <v>24</v>
      </c>
      <c r="C2595" s="42" t="s">
        <v>11</v>
      </c>
      <c r="D2595" s="43" t="s">
        <v>30</v>
      </c>
      <c r="E2595" s="46">
        <v>0</v>
      </c>
      <c r="F2595" s="2">
        <f>IF(C2595="GBP",E2595*$C$3,IF(C2595="TRY",E2595/$C$1,IF(C2595="EUR",E2595*$E$1,IF(C2595="RUB",E2595/#REF!,IF(C2595="EGP",E2595/$E$2,E2595)))))</f>
        <v>0</v>
      </c>
      <c r="G2595" s="15" t="str">
        <f>VLOOKUP(B2595,SPECIFICATIONF!$C$2:$D$65,2,0)</f>
        <v>GLOBAL RETAIL</v>
      </c>
      <c r="H2595" s="12">
        <f t="shared" si="202"/>
        <v>1</v>
      </c>
      <c r="I2595" s="12">
        <f t="shared" si="203"/>
        <v>2026</v>
      </c>
    </row>
    <row r="2596" spans="1:9" ht="19.5" customHeight="1" x14ac:dyDescent="0.35">
      <c r="A2596" s="41">
        <v>46025</v>
      </c>
      <c r="B2596" s="8" t="s">
        <v>24</v>
      </c>
      <c r="C2596" s="42" t="s">
        <v>33</v>
      </c>
      <c r="D2596" s="43" t="s">
        <v>30</v>
      </c>
      <c r="E2596" s="46">
        <v>0</v>
      </c>
      <c r="F2596" s="2">
        <f>IF(C2596="GBP",E2596*$C$3,IF(C2596="TRY",E2596/$C$1,IF(C2596="EUR",E2596*$E$1,IF(C2596="RUB",E2596/#REF!,IF(C2596="EGP",E2596/$E$2,E2596)))))</f>
        <v>0</v>
      </c>
      <c r="G2596" s="15" t="str">
        <f>VLOOKUP(B2596,SPECIFICATIONF!$C$2:$D$65,2,0)</f>
        <v>GLOBAL RETAIL</v>
      </c>
      <c r="H2596" s="12">
        <f t="shared" si="202"/>
        <v>1</v>
      </c>
      <c r="I2596" s="12">
        <f t="shared" si="203"/>
        <v>2026</v>
      </c>
    </row>
    <row r="2597" spans="1:9" ht="19.5" customHeight="1" x14ac:dyDescent="0.35">
      <c r="A2597" s="41">
        <v>46025</v>
      </c>
      <c r="B2597" s="8" t="s">
        <v>24</v>
      </c>
      <c r="C2597" s="42" t="s">
        <v>11</v>
      </c>
      <c r="D2597" s="43" t="s">
        <v>29</v>
      </c>
      <c r="E2597" s="46">
        <v>3872942</v>
      </c>
      <c r="F2597" s="2">
        <f>IF(C2597="GBP",E2597*$C$3,IF(C2597="TRY",E2597/$C$1,IF(C2597="EUR",E2597*$E$1,IF(C2597="RUB",E2597/#REF!,IF(C2597="EGP",E2597/$E$2,E2597)))))</f>
        <v>106204.31130696603</v>
      </c>
      <c r="G2597" s="15" t="str">
        <f>VLOOKUP(B2597,SPECIFICATIONF!$C$2:$D$65,2,0)</f>
        <v>GLOBAL RETAIL</v>
      </c>
      <c r="H2597" s="12">
        <f t="shared" si="202"/>
        <v>1</v>
      </c>
      <c r="I2597" s="12">
        <f t="shared" si="203"/>
        <v>2026</v>
      </c>
    </row>
    <row r="2598" spans="1:9" ht="19.5" customHeight="1" x14ac:dyDescent="0.35">
      <c r="A2598" s="41">
        <v>46025</v>
      </c>
      <c r="B2598" s="8" t="s">
        <v>24</v>
      </c>
      <c r="C2598" s="42" t="s">
        <v>33</v>
      </c>
      <c r="D2598" s="43" t="s">
        <v>29</v>
      </c>
      <c r="E2598" s="46">
        <v>0</v>
      </c>
      <c r="F2598" s="2">
        <f>IF(C2598="GBP",E2598*$C$3,IF(C2598="TRY",E2598/$C$1,IF(C2598="EUR",E2598*$E$1,IF(C2598="RUB",E2598/#REF!,IF(C2598="EGP",E2598/$E$2,E2598)))))</f>
        <v>0</v>
      </c>
      <c r="G2598" s="15" t="str">
        <f>VLOOKUP(B2598,SPECIFICATIONF!$C$2:$D$65,2,0)</f>
        <v>GLOBAL RETAIL</v>
      </c>
      <c r="H2598" s="12">
        <f t="shared" si="202"/>
        <v>1</v>
      </c>
      <c r="I2598" s="12">
        <f t="shared" si="203"/>
        <v>2026</v>
      </c>
    </row>
    <row r="2599" spans="1:9" ht="19.5" customHeight="1" x14ac:dyDescent="0.35">
      <c r="A2599" s="41">
        <v>46026</v>
      </c>
      <c r="B2599" s="8" t="s">
        <v>32</v>
      </c>
      <c r="C2599" s="42" t="s">
        <v>11</v>
      </c>
      <c r="D2599" s="43" t="s">
        <v>30</v>
      </c>
      <c r="E2599" s="46">
        <v>1768013.54</v>
      </c>
      <c r="F2599" s="2">
        <f>IF(C2599="GBP",E2599*$C$3,IF(C2599="TRY",E2599/$C$1,IF(C2599="EUR",E2599*$E$1,IF(C2599="RUB",E2599/#REF!,IF(C2599="EGP",E2599/$E$2,E2599)))))</f>
        <v>48482.693620790356</v>
      </c>
      <c r="G2599" s="15" t="str">
        <f>VLOOKUP(B2599,SPECIFICATIONF!$C$2:$D$65,2,0)</f>
        <v>GLOBAL HFT</v>
      </c>
      <c r="H2599" s="12">
        <f t="shared" si="202"/>
        <v>1</v>
      </c>
      <c r="I2599" s="12">
        <f t="shared" si="203"/>
        <v>2026</v>
      </c>
    </row>
    <row r="2600" spans="1:9" ht="19.5" customHeight="1" x14ac:dyDescent="0.35">
      <c r="A2600" s="41">
        <v>46026</v>
      </c>
      <c r="B2600" s="8" t="s">
        <v>32</v>
      </c>
      <c r="C2600" s="42" t="s">
        <v>33</v>
      </c>
      <c r="D2600" s="43" t="s">
        <v>30</v>
      </c>
      <c r="E2600" s="46">
        <v>9793.76</v>
      </c>
      <c r="F2600" s="2">
        <f>IF(C2600="GBP",E2600*$C$3,IF(C2600="TRY",E2600/$C$1,IF(C2600="EUR",E2600*$E$1,IF(C2600="RUB",E2600/#REF!,IF(C2600="EGP",E2600/$E$2,E2600)))))</f>
        <v>9793.76</v>
      </c>
      <c r="G2600" s="15" t="str">
        <f>VLOOKUP(B2600,SPECIFICATIONF!$C$2:$D$65,2,0)</f>
        <v>GLOBAL HFT</v>
      </c>
      <c r="H2600" s="12">
        <f t="shared" si="202"/>
        <v>1</v>
      </c>
      <c r="I2600" s="12">
        <f t="shared" si="203"/>
        <v>2026</v>
      </c>
    </row>
    <row r="2601" spans="1:9" ht="19.5" customHeight="1" x14ac:dyDescent="0.35">
      <c r="A2601" s="41">
        <v>46026</v>
      </c>
      <c r="B2601" s="8" t="s">
        <v>32</v>
      </c>
      <c r="C2601" s="42" t="s">
        <v>11</v>
      </c>
      <c r="D2601" s="43" t="s">
        <v>29</v>
      </c>
      <c r="E2601" s="46">
        <v>5922059545</v>
      </c>
      <c r="F2601" s="2">
        <f>IF(C2601="GBP",E2601*$C$3,IF(C2601="TRY",E2601/$C$1,IF(C2601="EUR",E2601*$E$1,IF(C2601="RUB",E2601/#REF!,IF(C2601="EGP",E2601/$E$2,E2601)))))</f>
        <v>162395474.9375461</v>
      </c>
      <c r="G2601" s="15" t="str">
        <f>VLOOKUP(B2601,SPECIFICATIONF!$C$2:$D$65,2,0)</f>
        <v>GLOBAL HFT</v>
      </c>
      <c r="H2601" s="12">
        <f t="shared" si="202"/>
        <v>1</v>
      </c>
      <c r="I2601" s="12">
        <f t="shared" si="203"/>
        <v>2026</v>
      </c>
    </row>
    <row r="2602" spans="1:9" ht="19.5" customHeight="1" x14ac:dyDescent="0.35">
      <c r="A2602" s="41">
        <v>46026</v>
      </c>
      <c r="B2602" s="8" t="s">
        <v>32</v>
      </c>
      <c r="C2602" s="42" t="s">
        <v>33</v>
      </c>
      <c r="D2602" s="43" t="s">
        <v>29</v>
      </c>
      <c r="E2602" s="46">
        <v>29922558</v>
      </c>
      <c r="F2602" s="2">
        <f>IF(C2602="GBP",E2602*$C$3,IF(C2602="TRY",E2602/$C$1,IF(C2602="EUR",E2602*$E$1,IF(C2602="RUB",E2602/#REF!,IF(C2602="EGP",E2602/$E$2,E2602)))))</f>
        <v>29922558</v>
      </c>
      <c r="G2602" s="15" t="str">
        <f>VLOOKUP(B2602,SPECIFICATIONF!$C$2:$D$65,2,0)</f>
        <v>GLOBAL HFT</v>
      </c>
      <c r="H2602" s="12">
        <f t="shared" si="202"/>
        <v>1</v>
      </c>
      <c r="I2602" s="12">
        <f t="shared" si="203"/>
        <v>2026</v>
      </c>
    </row>
    <row r="2603" spans="1:9" ht="19.5" customHeight="1" x14ac:dyDescent="0.35">
      <c r="A2603" s="41">
        <v>46026</v>
      </c>
      <c r="B2603" s="8" t="s">
        <v>24</v>
      </c>
      <c r="C2603" s="42" t="s">
        <v>11</v>
      </c>
      <c r="D2603" s="43" t="s">
        <v>30</v>
      </c>
      <c r="E2603" s="46">
        <v>0</v>
      </c>
      <c r="F2603" s="2">
        <f>IF(C2603="GBP",E2603*$C$3,IF(C2603="TRY",E2603/$C$1,IF(C2603="EUR",E2603*$E$1,IF(C2603="RUB",E2603/#REF!,IF(C2603="EGP",E2603/$E$2,E2603)))))</f>
        <v>0</v>
      </c>
      <c r="G2603" s="15" t="str">
        <f>VLOOKUP(B2603,SPECIFICATIONF!$C$2:$D$65,2,0)</f>
        <v>GLOBAL RETAIL</v>
      </c>
      <c r="H2603" s="12">
        <f t="shared" si="202"/>
        <v>1</v>
      </c>
      <c r="I2603" s="12">
        <f t="shared" si="203"/>
        <v>2026</v>
      </c>
    </row>
    <row r="2604" spans="1:9" ht="19.5" customHeight="1" x14ac:dyDescent="0.35">
      <c r="A2604" s="41">
        <v>46026</v>
      </c>
      <c r="B2604" s="8" t="s">
        <v>24</v>
      </c>
      <c r="C2604" s="42" t="s">
        <v>33</v>
      </c>
      <c r="D2604" s="43" t="s">
        <v>30</v>
      </c>
      <c r="E2604" s="46">
        <v>0</v>
      </c>
      <c r="F2604" s="2">
        <f>IF(C2604="GBP",E2604*$C$3,IF(C2604="TRY",E2604/$C$1,IF(C2604="EUR",E2604*$E$1,IF(C2604="RUB",E2604/#REF!,IF(C2604="EGP",E2604/$E$2,E2604)))))</f>
        <v>0</v>
      </c>
      <c r="G2604" s="15" t="str">
        <f>VLOOKUP(B2604,SPECIFICATIONF!$C$2:$D$65,2,0)</f>
        <v>GLOBAL RETAIL</v>
      </c>
      <c r="H2604" s="12">
        <f t="shared" si="202"/>
        <v>1</v>
      </c>
      <c r="I2604" s="12">
        <f t="shared" si="203"/>
        <v>2026</v>
      </c>
    </row>
    <row r="2605" spans="1:9" ht="19.5" customHeight="1" x14ac:dyDescent="0.35">
      <c r="A2605" s="41">
        <v>46026</v>
      </c>
      <c r="B2605" s="8" t="s">
        <v>24</v>
      </c>
      <c r="C2605" s="42" t="s">
        <v>11</v>
      </c>
      <c r="D2605" s="43" t="s">
        <v>29</v>
      </c>
      <c r="E2605" s="46">
        <v>0</v>
      </c>
      <c r="F2605" s="2">
        <f>IF(C2605="GBP",E2605*$C$3,IF(C2605="TRY",E2605/$C$1,IF(C2605="EUR",E2605*$E$1,IF(C2605="RUB",E2605/#REF!,IF(C2605="EGP",E2605/$E$2,E2605)))))</f>
        <v>0</v>
      </c>
      <c r="G2605" s="15" t="str">
        <f>VLOOKUP(B2605,SPECIFICATIONF!$C$2:$D$65,2,0)</f>
        <v>GLOBAL RETAIL</v>
      </c>
      <c r="H2605" s="12">
        <f t="shared" si="202"/>
        <v>1</v>
      </c>
      <c r="I2605" s="12">
        <f t="shared" si="203"/>
        <v>2026</v>
      </c>
    </row>
    <row r="2606" spans="1:9" ht="19.5" customHeight="1" x14ac:dyDescent="0.35">
      <c r="A2606" s="41">
        <v>46026</v>
      </c>
      <c r="B2606" s="8" t="s">
        <v>24</v>
      </c>
      <c r="C2606" s="42" t="s">
        <v>33</v>
      </c>
      <c r="D2606" s="43" t="s">
        <v>29</v>
      </c>
      <c r="E2606" s="46">
        <v>0</v>
      </c>
      <c r="F2606" s="2">
        <f>IF(C2606="GBP",E2606*$C$3,IF(C2606="TRY",E2606/$C$1,IF(C2606="EUR",E2606*$E$1,IF(C2606="RUB",E2606/#REF!,IF(C2606="EGP",E2606/$E$2,E2606)))))</f>
        <v>0</v>
      </c>
      <c r="G2606" s="15" t="str">
        <f>VLOOKUP(B2606,SPECIFICATIONF!$C$2:$D$65,2,0)</f>
        <v>GLOBAL RETAIL</v>
      </c>
      <c r="H2606" s="12">
        <f t="shared" si="202"/>
        <v>1</v>
      </c>
      <c r="I2606" s="12">
        <f t="shared" si="203"/>
        <v>2026</v>
      </c>
    </row>
    <row r="2607" spans="1:9" ht="19.5" customHeight="1" x14ac:dyDescent="0.35">
      <c r="A2607" s="41">
        <v>46027</v>
      </c>
      <c r="B2607" s="8" t="s">
        <v>32</v>
      </c>
      <c r="C2607" s="42" t="s">
        <v>11</v>
      </c>
      <c r="D2607" s="43" t="s">
        <v>30</v>
      </c>
      <c r="E2607" s="46">
        <v>2018174.31</v>
      </c>
      <c r="F2607" s="2">
        <f>IF(C2607="GBP",E2607*$C$3,IF(C2607="TRY",E2607/$C$1,IF(C2607="EUR",E2607*$E$1,IF(C2607="RUB",E2607/#REF!,IF(C2607="EGP",E2607/$E$2,E2607)))))</f>
        <v>55342.634279305341</v>
      </c>
      <c r="G2607" s="15" t="str">
        <f>VLOOKUP(B2607,SPECIFICATIONF!$C$2:$D$65,2,0)</f>
        <v>GLOBAL HFT</v>
      </c>
      <c r="H2607" s="12">
        <f t="shared" si="202"/>
        <v>1</v>
      </c>
      <c r="I2607" s="12">
        <f t="shared" si="203"/>
        <v>2026</v>
      </c>
    </row>
    <row r="2608" spans="1:9" ht="19.5" customHeight="1" x14ac:dyDescent="0.35">
      <c r="A2608" s="41">
        <v>46027</v>
      </c>
      <c r="B2608" s="8" t="s">
        <v>32</v>
      </c>
      <c r="C2608" s="42" t="s">
        <v>33</v>
      </c>
      <c r="D2608" s="43" t="s">
        <v>30</v>
      </c>
      <c r="E2608" s="46">
        <v>11056.66</v>
      </c>
      <c r="F2608" s="2">
        <f>IF(C2608="GBP",E2608*$C$3,IF(C2608="TRY",E2608/$C$1,IF(C2608="EUR",E2608*$E$1,IF(C2608="RUB",E2608/#REF!,IF(C2608="EGP",E2608/$E$2,E2608)))))</f>
        <v>11056.66</v>
      </c>
      <c r="G2608" s="15" t="str">
        <f>VLOOKUP(B2608,SPECIFICATIONF!$C$2:$D$65,2,0)</f>
        <v>GLOBAL HFT</v>
      </c>
      <c r="H2608" s="12">
        <f t="shared" si="202"/>
        <v>1</v>
      </c>
      <c r="I2608" s="12">
        <f t="shared" si="203"/>
        <v>2026</v>
      </c>
    </row>
    <row r="2609" spans="1:9" ht="19.5" customHeight="1" x14ac:dyDescent="0.35">
      <c r="A2609" s="41">
        <v>46027</v>
      </c>
      <c r="B2609" s="8" t="s">
        <v>32</v>
      </c>
      <c r="C2609" s="42" t="s">
        <v>11</v>
      </c>
      <c r="D2609" s="43" t="s">
        <v>29</v>
      </c>
      <c r="E2609" s="46">
        <v>6626728977</v>
      </c>
      <c r="F2609" s="2">
        <f>IF(C2609="GBP",E2609*$C$3,IF(C2609="TRY",E2609/$C$1,IF(C2609="EUR",E2609*$E$1,IF(C2609="RUB",E2609/#REF!,IF(C2609="EGP",E2609/$E$2,E2609)))))</f>
        <v>181719010.30797791</v>
      </c>
      <c r="G2609" s="15" t="str">
        <f>VLOOKUP(B2609,SPECIFICATIONF!$C$2:$D$65,2,0)</f>
        <v>GLOBAL HFT</v>
      </c>
      <c r="H2609" s="12">
        <f t="shared" si="202"/>
        <v>1</v>
      </c>
      <c r="I2609" s="12">
        <f t="shared" si="203"/>
        <v>2026</v>
      </c>
    </row>
    <row r="2610" spans="1:9" ht="19.5" customHeight="1" x14ac:dyDescent="0.35">
      <c r="A2610" s="41">
        <v>46027</v>
      </c>
      <c r="B2610" s="8" t="s">
        <v>32</v>
      </c>
      <c r="C2610" s="42" t="s">
        <v>33</v>
      </c>
      <c r="D2610" s="43" t="s">
        <v>29</v>
      </c>
      <c r="E2610" s="46">
        <v>33167207</v>
      </c>
      <c r="F2610" s="2">
        <f>IF(C2610="GBP",E2610*$C$3,IF(C2610="TRY",E2610/$C$1,IF(C2610="EUR",E2610*$E$1,IF(C2610="RUB",E2610/#REF!,IF(C2610="EGP",E2610/$E$2,E2610)))))</f>
        <v>33167207</v>
      </c>
      <c r="G2610" s="15" t="str">
        <f>VLOOKUP(B2610,SPECIFICATIONF!$C$2:$D$65,2,0)</f>
        <v>GLOBAL HFT</v>
      </c>
      <c r="H2610" s="12">
        <f t="shared" si="202"/>
        <v>1</v>
      </c>
      <c r="I2610" s="12">
        <f t="shared" si="203"/>
        <v>2026</v>
      </c>
    </row>
    <row r="2611" spans="1:9" ht="19.5" customHeight="1" x14ac:dyDescent="0.35">
      <c r="A2611" s="41">
        <v>46027</v>
      </c>
      <c r="B2611" s="8" t="s">
        <v>24</v>
      </c>
      <c r="C2611" s="42" t="s">
        <v>11</v>
      </c>
      <c r="D2611" s="43" t="s">
        <v>30</v>
      </c>
      <c r="E2611" s="46">
        <v>0</v>
      </c>
      <c r="F2611" s="2">
        <f>IF(C2611="GBP",E2611*$C$3,IF(C2611="TRY",E2611/$C$1,IF(C2611="EUR",E2611*$E$1,IF(C2611="RUB",E2611/#REF!,IF(C2611="EGP",E2611/$E$2,E2611)))))</f>
        <v>0</v>
      </c>
      <c r="G2611" s="15" t="str">
        <f>VLOOKUP(B2611,SPECIFICATIONF!$C$2:$D$65,2,0)</f>
        <v>GLOBAL RETAIL</v>
      </c>
      <c r="H2611" s="12">
        <f t="shared" si="202"/>
        <v>1</v>
      </c>
      <c r="I2611" s="12">
        <f t="shared" si="203"/>
        <v>2026</v>
      </c>
    </row>
    <row r="2612" spans="1:9" ht="19.5" customHeight="1" x14ac:dyDescent="0.35">
      <c r="A2612" s="41">
        <v>46027</v>
      </c>
      <c r="B2612" s="8" t="s">
        <v>24</v>
      </c>
      <c r="C2612" s="42" t="s">
        <v>33</v>
      </c>
      <c r="D2612" s="43" t="s">
        <v>30</v>
      </c>
      <c r="E2612" s="46">
        <v>0</v>
      </c>
      <c r="F2612" s="2">
        <f>IF(C2612="GBP",E2612*$C$3,IF(C2612="TRY",E2612/$C$1,IF(C2612="EUR",E2612*$E$1,IF(C2612="RUB",E2612/#REF!,IF(C2612="EGP",E2612/$E$2,E2612)))))</f>
        <v>0</v>
      </c>
      <c r="G2612" s="15" t="str">
        <f>VLOOKUP(B2612,SPECIFICATIONF!$C$2:$D$65,2,0)</f>
        <v>GLOBAL RETAIL</v>
      </c>
      <c r="H2612" s="12">
        <f t="shared" si="202"/>
        <v>1</v>
      </c>
      <c r="I2612" s="12">
        <f t="shared" si="203"/>
        <v>2026</v>
      </c>
    </row>
    <row r="2613" spans="1:9" ht="19.5" customHeight="1" x14ac:dyDescent="0.35">
      <c r="A2613" s="41">
        <v>46027</v>
      </c>
      <c r="B2613" s="8" t="s">
        <v>24</v>
      </c>
      <c r="C2613" s="42" t="s">
        <v>11</v>
      </c>
      <c r="D2613" s="43" t="s">
        <v>29</v>
      </c>
      <c r="E2613" s="46">
        <v>16134167</v>
      </c>
      <c r="F2613" s="2">
        <f>IF(C2613="GBP",E2613*$C$3,IF(C2613="TRY",E2613/$C$1,IF(C2613="EUR",E2613*$E$1,IF(C2613="RUB",E2613/#REF!,IF(C2613="EGP",E2613/$E$2,E2613)))))</f>
        <v>442433.19284063077</v>
      </c>
      <c r="G2613" s="15" t="str">
        <f>VLOOKUP(B2613,SPECIFICATIONF!$C$2:$D$65,2,0)</f>
        <v>GLOBAL RETAIL</v>
      </c>
      <c r="H2613" s="12">
        <f t="shared" si="202"/>
        <v>1</v>
      </c>
      <c r="I2613" s="12">
        <f t="shared" si="203"/>
        <v>2026</v>
      </c>
    </row>
    <row r="2614" spans="1:9" ht="19.5" customHeight="1" x14ac:dyDescent="0.35">
      <c r="A2614" s="41">
        <v>46027</v>
      </c>
      <c r="B2614" s="8" t="s">
        <v>24</v>
      </c>
      <c r="C2614" s="42" t="s">
        <v>33</v>
      </c>
      <c r="D2614" s="43" t="s">
        <v>29</v>
      </c>
      <c r="E2614" s="46">
        <v>8881</v>
      </c>
      <c r="F2614" s="2">
        <f>IF(C2614="GBP",E2614*$C$3,IF(C2614="TRY",E2614/$C$1,IF(C2614="EUR",E2614*$E$1,IF(C2614="RUB",E2614/#REF!,IF(C2614="EGP",E2614/$E$2,E2614)))))</f>
        <v>8881</v>
      </c>
      <c r="G2614" s="15" t="str">
        <f>VLOOKUP(B2614,SPECIFICATIONF!$C$2:$D$65,2,0)</f>
        <v>GLOBAL RETAIL</v>
      </c>
      <c r="H2614" s="12">
        <f t="shared" si="202"/>
        <v>1</v>
      </c>
      <c r="I2614" s="12">
        <f t="shared" si="203"/>
        <v>2026</v>
      </c>
    </row>
    <row r="2615" spans="1:9" ht="19.5" customHeight="1" x14ac:dyDescent="0.35">
      <c r="A2615" s="41">
        <v>46028</v>
      </c>
      <c r="B2615" s="8" t="s">
        <v>32</v>
      </c>
      <c r="C2615" s="42" t="s">
        <v>11</v>
      </c>
      <c r="D2615" s="43" t="s">
        <v>30</v>
      </c>
      <c r="E2615" s="46">
        <v>2591800.75</v>
      </c>
      <c r="F2615" s="2">
        <f>IF(C2615="GBP",E2615*$C$3,IF(C2615="TRY",E2615/$C$1,IF(C2615="EUR",E2615*$E$1,IF(C2615="RUB",E2615/#REF!,IF(C2615="EGP",E2615/$E$2,E2615)))))</f>
        <v>71072.691948040549</v>
      </c>
      <c r="G2615" s="15" t="str">
        <f>VLOOKUP(B2615,SPECIFICATIONF!$C$2:$D$65,2,0)</f>
        <v>GLOBAL HFT</v>
      </c>
      <c r="H2615" s="12">
        <f t="shared" ref="H2615:H2622" si="204">MONTH(A2615)</f>
        <v>1</v>
      </c>
      <c r="I2615" s="12">
        <f t="shared" ref="I2615:I2622" si="205">YEAR(A2615)</f>
        <v>2026</v>
      </c>
    </row>
    <row r="2616" spans="1:9" ht="19.5" customHeight="1" x14ac:dyDescent="0.35">
      <c r="A2616" s="41">
        <v>46028</v>
      </c>
      <c r="B2616" s="8" t="s">
        <v>32</v>
      </c>
      <c r="C2616" s="42" t="s">
        <v>33</v>
      </c>
      <c r="D2616" s="43" t="s">
        <v>30</v>
      </c>
      <c r="E2616" s="46">
        <v>12547.18</v>
      </c>
      <c r="F2616" s="2">
        <f>IF(C2616="GBP",E2616*$C$3,IF(C2616="TRY",E2616/$C$1,IF(C2616="EUR",E2616*$E$1,IF(C2616="RUB",E2616/#REF!,IF(C2616="EGP",E2616/$E$2,E2616)))))</f>
        <v>12547.18</v>
      </c>
      <c r="G2616" s="15" t="str">
        <f>VLOOKUP(B2616,SPECIFICATIONF!$C$2:$D$65,2,0)</f>
        <v>GLOBAL HFT</v>
      </c>
      <c r="H2616" s="12">
        <f t="shared" si="204"/>
        <v>1</v>
      </c>
      <c r="I2616" s="12">
        <f t="shared" si="205"/>
        <v>2026</v>
      </c>
    </row>
    <row r="2617" spans="1:9" ht="19.5" customHeight="1" x14ac:dyDescent="0.35">
      <c r="A2617" s="41">
        <v>46028</v>
      </c>
      <c r="B2617" s="8" t="s">
        <v>32</v>
      </c>
      <c r="C2617" s="42" t="s">
        <v>11</v>
      </c>
      <c r="D2617" s="43" t="s">
        <v>29</v>
      </c>
      <c r="E2617" s="46">
        <v>8435143118</v>
      </c>
      <c r="F2617" s="2">
        <f>IF(C2617="GBP",E2617*$C$3,IF(C2617="TRY",E2617/$C$1,IF(C2617="EUR",E2617*$E$1,IF(C2617="RUB",E2617/#REF!,IF(C2617="EGP",E2617/$E$2,E2617)))))</f>
        <v>231309574.38115111</v>
      </c>
      <c r="G2617" s="15" t="str">
        <f>VLOOKUP(B2617,SPECIFICATIONF!$C$2:$D$65,2,0)</f>
        <v>GLOBAL HFT</v>
      </c>
      <c r="H2617" s="12">
        <f t="shared" si="204"/>
        <v>1</v>
      </c>
      <c r="I2617" s="12">
        <f t="shared" si="205"/>
        <v>2026</v>
      </c>
    </row>
    <row r="2618" spans="1:9" ht="19.5" customHeight="1" x14ac:dyDescent="0.35">
      <c r="A2618" s="41">
        <v>46028</v>
      </c>
      <c r="B2618" s="8" t="s">
        <v>32</v>
      </c>
      <c r="C2618" s="42" t="s">
        <v>33</v>
      </c>
      <c r="D2618" s="43" t="s">
        <v>29</v>
      </c>
      <c r="E2618" s="46">
        <v>38157465</v>
      </c>
      <c r="F2618" s="2">
        <f>IF(C2618="GBP",E2618*$C$3,IF(C2618="TRY",E2618/$C$1,IF(C2618="EUR",E2618*$E$1,IF(C2618="RUB",E2618/#REF!,IF(C2618="EGP",E2618/$E$2,E2618)))))</f>
        <v>38157465</v>
      </c>
      <c r="G2618" s="15" t="str">
        <f>VLOOKUP(B2618,SPECIFICATIONF!$C$2:$D$65,2,0)</f>
        <v>GLOBAL HFT</v>
      </c>
      <c r="H2618" s="12">
        <f t="shared" si="204"/>
        <v>1</v>
      </c>
      <c r="I2618" s="12">
        <f t="shared" si="205"/>
        <v>2026</v>
      </c>
    </row>
    <row r="2619" spans="1:9" ht="19.5" customHeight="1" x14ac:dyDescent="0.35">
      <c r="A2619" s="41">
        <v>46028</v>
      </c>
      <c r="B2619" s="8" t="s">
        <v>24</v>
      </c>
      <c r="C2619" s="42" t="s">
        <v>11</v>
      </c>
      <c r="D2619" s="43" t="s">
        <v>30</v>
      </c>
      <c r="E2619" s="46">
        <v>0</v>
      </c>
      <c r="F2619" s="2">
        <f>IF(C2619="GBP",E2619*$C$3,IF(C2619="TRY",E2619/$C$1,IF(C2619="EUR",E2619*$E$1,IF(C2619="RUB",E2619/#REF!,IF(C2619="EGP",E2619/$E$2,E2619)))))</f>
        <v>0</v>
      </c>
      <c r="G2619" s="15" t="str">
        <f>VLOOKUP(B2619,SPECIFICATIONF!$C$2:$D$65,2,0)</f>
        <v>GLOBAL RETAIL</v>
      </c>
      <c r="H2619" s="12">
        <f t="shared" si="204"/>
        <v>1</v>
      </c>
      <c r="I2619" s="12">
        <f t="shared" si="205"/>
        <v>2026</v>
      </c>
    </row>
    <row r="2620" spans="1:9" ht="19.5" customHeight="1" x14ac:dyDescent="0.35">
      <c r="A2620" s="41">
        <v>46028</v>
      </c>
      <c r="B2620" s="8" t="s">
        <v>24</v>
      </c>
      <c r="C2620" s="42" t="s">
        <v>33</v>
      </c>
      <c r="D2620" s="43" t="s">
        <v>30</v>
      </c>
      <c r="E2620" s="46">
        <v>0</v>
      </c>
      <c r="F2620" s="2">
        <f>IF(C2620="GBP",E2620*$C$3,IF(C2620="TRY",E2620/$C$1,IF(C2620="EUR",E2620*$E$1,IF(C2620="RUB",E2620/#REF!,IF(C2620="EGP",E2620/$E$2,E2620)))))</f>
        <v>0</v>
      </c>
      <c r="G2620" s="15" t="str">
        <f>VLOOKUP(B2620,SPECIFICATIONF!$C$2:$D$65,2,0)</f>
        <v>GLOBAL RETAIL</v>
      </c>
      <c r="H2620" s="12">
        <f t="shared" si="204"/>
        <v>1</v>
      </c>
      <c r="I2620" s="12">
        <f t="shared" si="205"/>
        <v>2026</v>
      </c>
    </row>
    <row r="2621" spans="1:9" ht="19.5" customHeight="1" x14ac:dyDescent="0.35">
      <c r="A2621" s="41">
        <v>46028</v>
      </c>
      <c r="B2621" s="8" t="s">
        <v>24</v>
      </c>
      <c r="C2621" s="42" t="s">
        <v>11</v>
      </c>
      <c r="D2621" s="43" t="s">
        <v>29</v>
      </c>
      <c r="E2621" s="46">
        <v>41567549</v>
      </c>
      <c r="F2621" s="2">
        <f>IF(C2621="GBP",E2621*$C$3,IF(C2621="TRY",E2621/$C$1,IF(C2621="EUR",E2621*$E$1,IF(C2621="RUB",E2621/#REF!,IF(C2621="EGP",E2621/$E$2,E2621)))))</f>
        <v>1139870.6498221674</v>
      </c>
      <c r="G2621" s="15" t="str">
        <f>VLOOKUP(B2621,SPECIFICATIONF!$C$2:$D$65,2,0)</f>
        <v>GLOBAL RETAIL</v>
      </c>
      <c r="H2621" s="12">
        <f t="shared" si="204"/>
        <v>1</v>
      </c>
      <c r="I2621" s="12">
        <f t="shared" si="205"/>
        <v>2026</v>
      </c>
    </row>
    <row r="2622" spans="1:9" ht="19.5" customHeight="1" x14ac:dyDescent="0.35">
      <c r="A2622" s="41">
        <v>46028</v>
      </c>
      <c r="B2622" s="8" t="s">
        <v>24</v>
      </c>
      <c r="C2622" s="42" t="s">
        <v>33</v>
      </c>
      <c r="D2622" s="43" t="s">
        <v>29</v>
      </c>
      <c r="E2622" s="46">
        <v>1347</v>
      </c>
      <c r="F2622" s="2">
        <f>IF(C2622="GBP",E2622*$C$3,IF(C2622="TRY",E2622/$C$1,IF(C2622="EUR",E2622*$E$1,IF(C2622="RUB",E2622/#REF!,IF(C2622="EGP",E2622/$E$2,E2622)))))</f>
        <v>1347</v>
      </c>
      <c r="G2622" s="15" t="str">
        <f>VLOOKUP(B2622,SPECIFICATIONF!$C$2:$D$65,2,0)</f>
        <v>GLOBAL RETAIL</v>
      </c>
      <c r="H2622" s="12">
        <f t="shared" si="204"/>
        <v>1</v>
      </c>
      <c r="I2622" s="12">
        <f t="shared" si="205"/>
        <v>2026</v>
      </c>
    </row>
    <row r="2623" spans="1:9" ht="19.5" customHeight="1" x14ac:dyDescent="0.35">
      <c r="A2623" s="41">
        <v>46029</v>
      </c>
      <c r="B2623" s="8" t="s">
        <v>32</v>
      </c>
      <c r="C2623" s="42" t="s">
        <v>11</v>
      </c>
      <c r="D2623" s="43" t="s">
        <v>30</v>
      </c>
      <c r="E2623" s="46">
        <v>1511982.04</v>
      </c>
      <c r="F2623" s="2">
        <f>IF(C2623="GBP",E2623*$C$3,IF(C2623="TRY",E2623/$C$1,IF(C2623="EUR",E2623*$E$1,IF(C2623="RUB",E2623/#REF!,IF(C2623="EGP",E2623/$E$2,E2623)))))</f>
        <v>41461.765052691619</v>
      </c>
      <c r="G2623" s="15" t="str">
        <f>VLOOKUP(B2623,SPECIFICATIONF!$C$2:$D$65,2,0)</f>
        <v>GLOBAL HFT</v>
      </c>
      <c r="H2623" s="12">
        <f t="shared" ref="H2623:H2630" si="206">MONTH(A2623)</f>
        <v>1</v>
      </c>
      <c r="I2623" s="12">
        <f t="shared" ref="I2623:I2630" si="207">YEAR(A2623)</f>
        <v>2026</v>
      </c>
    </row>
    <row r="2624" spans="1:9" ht="19.5" customHeight="1" x14ac:dyDescent="0.35">
      <c r="A2624" s="41">
        <v>46029</v>
      </c>
      <c r="B2624" s="8" t="s">
        <v>32</v>
      </c>
      <c r="C2624" s="42" t="s">
        <v>33</v>
      </c>
      <c r="D2624" s="43" t="s">
        <v>30</v>
      </c>
      <c r="E2624" s="46">
        <v>7119.96</v>
      </c>
      <c r="F2624" s="2">
        <f>IF(C2624="GBP",E2624*$C$3,IF(C2624="TRY",E2624/$C$1,IF(C2624="EUR",E2624*$E$1,IF(C2624="RUB",E2624/#REF!,IF(C2624="EGP",E2624/$E$2,E2624)))))</f>
        <v>7119.96</v>
      </c>
      <c r="G2624" s="15" t="str">
        <f>VLOOKUP(B2624,SPECIFICATIONF!$C$2:$D$65,2,0)</f>
        <v>GLOBAL HFT</v>
      </c>
      <c r="H2624" s="12">
        <f t="shared" si="206"/>
        <v>1</v>
      </c>
      <c r="I2624" s="12">
        <f t="shared" si="207"/>
        <v>2026</v>
      </c>
    </row>
    <row r="2625" spans="1:9" ht="19.5" customHeight="1" x14ac:dyDescent="0.35">
      <c r="A2625" s="41">
        <v>46029</v>
      </c>
      <c r="B2625" s="8" t="s">
        <v>32</v>
      </c>
      <c r="C2625" s="42" t="s">
        <v>11</v>
      </c>
      <c r="D2625" s="43" t="s">
        <v>29</v>
      </c>
      <c r="E2625" s="46">
        <v>5413276343</v>
      </c>
      <c r="F2625" s="2">
        <f>IF(C2625="GBP",E2625*$C$3,IF(C2625="TRY",E2625/$C$1,IF(C2625="EUR",E2625*$E$1,IF(C2625="RUB",E2625/#REF!,IF(C2625="EGP",E2625/$E$2,E2625)))))</f>
        <v>148443556.84195805</v>
      </c>
      <c r="G2625" s="15" t="str">
        <f>VLOOKUP(B2625,SPECIFICATIONF!$C$2:$D$65,2,0)</f>
        <v>GLOBAL HFT</v>
      </c>
      <c r="H2625" s="12">
        <f t="shared" si="206"/>
        <v>1</v>
      </c>
      <c r="I2625" s="12">
        <f t="shared" si="207"/>
        <v>2026</v>
      </c>
    </row>
    <row r="2626" spans="1:9" ht="19.5" customHeight="1" x14ac:dyDescent="0.35">
      <c r="A2626" s="41">
        <v>46029</v>
      </c>
      <c r="B2626" s="8" t="s">
        <v>32</v>
      </c>
      <c r="C2626" s="42" t="s">
        <v>33</v>
      </c>
      <c r="D2626" s="43" t="s">
        <v>29</v>
      </c>
      <c r="E2626" s="46">
        <v>23622574</v>
      </c>
      <c r="F2626" s="2">
        <f>IF(C2626="GBP",E2626*$C$3,IF(C2626="TRY",E2626/$C$1,IF(C2626="EUR",E2626*$E$1,IF(C2626="RUB",E2626/#REF!,IF(C2626="EGP",E2626/$E$2,E2626)))))</f>
        <v>23622574</v>
      </c>
      <c r="G2626" s="15" t="str">
        <f>VLOOKUP(B2626,SPECIFICATIONF!$C$2:$D$65,2,0)</f>
        <v>GLOBAL HFT</v>
      </c>
      <c r="H2626" s="12">
        <f t="shared" si="206"/>
        <v>1</v>
      </c>
      <c r="I2626" s="12">
        <f t="shared" si="207"/>
        <v>2026</v>
      </c>
    </row>
    <row r="2627" spans="1:9" ht="19.5" customHeight="1" x14ac:dyDescent="0.35">
      <c r="A2627" s="41">
        <v>46029</v>
      </c>
      <c r="B2627" s="8" t="s">
        <v>24</v>
      </c>
      <c r="C2627" s="42" t="s">
        <v>11</v>
      </c>
      <c r="D2627" s="43" t="s">
        <v>30</v>
      </c>
      <c r="E2627" s="46">
        <v>0</v>
      </c>
      <c r="F2627" s="2">
        <f>IF(C2627="GBP",E2627*$C$3,IF(C2627="TRY",E2627/$C$1,IF(C2627="EUR",E2627*$E$1,IF(C2627="RUB",E2627/#REF!,IF(C2627="EGP",E2627/$E$2,E2627)))))</f>
        <v>0</v>
      </c>
      <c r="G2627" s="15" t="str">
        <f>VLOOKUP(B2627,SPECIFICATIONF!$C$2:$D$65,2,0)</f>
        <v>GLOBAL RETAIL</v>
      </c>
      <c r="H2627" s="12">
        <f t="shared" si="206"/>
        <v>1</v>
      </c>
      <c r="I2627" s="12">
        <f t="shared" si="207"/>
        <v>2026</v>
      </c>
    </row>
    <row r="2628" spans="1:9" ht="19.5" customHeight="1" x14ac:dyDescent="0.35">
      <c r="A2628" s="41">
        <v>46029</v>
      </c>
      <c r="B2628" s="8" t="s">
        <v>24</v>
      </c>
      <c r="C2628" s="42" t="s">
        <v>33</v>
      </c>
      <c r="D2628" s="43" t="s">
        <v>30</v>
      </c>
      <c r="E2628" s="46">
        <v>0</v>
      </c>
      <c r="F2628" s="2">
        <f>IF(C2628="GBP",E2628*$C$3,IF(C2628="TRY",E2628/$C$1,IF(C2628="EUR",E2628*$E$1,IF(C2628="RUB",E2628/#REF!,IF(C2628="EGP",E2628/$E$2,E2628)))))</f>
        <v>0</v>
      </c>
      <c r="G2628" s="15" t="str">
        <f>VLOOKUP(B2628,SPECIFICATIONF!$C$2:$D$65,2,0)</f>
        <v>GLOBAL RETAIL</v>
      </c>
      <c r="H2628" s="12">
        <f t="shared" si="206"/>
        <v>1</v>
      </c>
      <c r="I2628" s="12">
        <f t="shared" si="207"/>
        <v>2026</v>
      </c>
    </row>
    <row r="2629" spans="1:9" ht="19.5" customHeight="1" x14ac:dyDescent="0.35">
      <c r="A2629" s="41">
        <v>46029</v>
      </c>
      <c r="B2629" s="8" t="s">
        <v>24</v>
      </c>
      <c r="C2629" s="42" t="s">
        <v>11</v>
      </c>
      <c r="D2629" s="43" t="s">
        <v>29</v>
      </c>
      <c r="E2629" s="46">
        <v>11554596</v>
      </c>
      <c r="F2629" s="2">
        <f>IF(C2629="GBP",E2629*$C$3,IF(C2629="TRY",E2629/$C$1,IF(C2629="EUR",E2629*$E$1,IF(C2629="RUB",E2629/#REF!,IF(C2629="EGP",E2629/$E$2,E2629)))))</f>
        <v>316851.61063868878</v>
      </c>
      <c r="G2629" s="15" t="str">
        <f>VLOOKUP(B2629,SPECIFICATIONF!$C$2:$D$65,2,0)</f>
        <v>GLOBAL RETAIL</v>
      </c>
      <c r="H2629" s="12">
        <f t="shared" si="206"/>
        <v>1</v>
      </c>
      <c r="I2629" s="12">
        <f t="shared" si="207"/>
        <v>2026</v>
      </c>
    </row>
    <row r="2630" spans="1:9" ht="19.5" customHeight="1" x14ac:dyDescent="0.35">
      <c r="A2630" s="41">
        <v>46029</v>
      </c>
      <c r="B2630" s="8" t="s">
        <v>24</v>
      </c>
      <c r="C2630" s="42" t="s">
        <v>33</v>
      </c>
      <c r="D2630" s="43" t="s">
        <v>29</v>
      </c>
      <c r="E2630" s="46">
        <v>11897</v>
      </c>
      <c r="F2630" s="2">
        <f>IF(C2630="GBP",E2630*$C$3,IF(C2630="TRY",E2630/$C$1,IF(C2630="EUR",E2630*$E$1,IF(C2630="RUB",E2630/#REF!,IF(C2630="EGP",E2630/$E$2,E2630)))))</f>
        <v>11897</v>
      </c>
      <c r="G2630" s="15" t="str">
        <f>VLOOKUP(B2630,SPECIFICATIONF!$C$2:$D$65,2,0)</f>
        <v>GLOBAL RETAIL</v>
      </c>
      <c r="H2630" s="12">
        <f t="shared" si="206"/>
        <v>1</v>
      </c>
      <c r="I2630" s="12">
        <f t="shared" si="207"/>
        <v>2026</v>
      </c>
    </row>
    <row r="2631" spans="1:9" ht="19.5" customHeight="1" x14ac:dyDescent="0.35">
      <c r="A2631" s="41">
        <v>46030</v>
      </c>
      <c r="B2631" s="8" t="s">
        <v>32</v>
      </c>
      <c r="C2631" s="42" t="s">
        <v>11</v>
      </c>
      <c r="D2631" s="43" t="s">
        <v>30</v>
      </c>
      <c r="E2631" s="46">
        <v>1441910.27</v>
      </c>
      <c r="F2631" s="2">
        <f>IF(C2631="GBP",E2631*$C$3,IF(C2631="TRY",E2631/$C$1,IF(C2631="EUR",E2631*$E$1,IF(C2631="RUB",E2631/#REF!,IF(C2631="EGP",E2631/$E$2,E2631)))))</f>
        <v>39540.248005725742</v>
      </c>
      <c r="G2631" s="15" t="str">
        <f>VLOOKUP(B2631,SPECIFICATIONF!$C$2:$D$65,2,0)</f>
        <v>GLOBAL HFT</v>
      </c>
      <c r="H2631" s="12">
        <f t="shared" ref="H2631:H2638" si="208">MONTH(A2631)</f>
        <v>1</v>
      </c>
      <c r="I2631" s="12">
        <f t="shared" ref="I2631:I2638" si="209">YEAR(A2631)</f>
        <v>2026</v>
      </c>
    </row>
    <row r="2632" spans="1:9" ht="19.5" customHeight="1" x14ac:dyDescent="0.35">
      <c r="A2632" s="41">
        <v>46030</v>
      </c>
      <c r="B2632" s="8" t="s">
        <v>32</v>
      </c>
      <c r="C2632" s="42" t="s">
        <v>33</v>
      </c>
      <c r="D2632" s="43" t="s">
        <v>30</v>
      </c>
      <c r="E2632" s="46">
        <v>6148.29</v>
      </c>
      <c r="F2632" s="2">
        <f>IF(C2632="GBP",E2632*$C$3,IF(C2632="TRY",E2632/$C$1,IF(C2632="EUR",E2632*$E$1,IF(C2632="RUB",E2632/#REF!,IF(C2632="EGP",E2632/$E$2,E2632)))))</f>
        <v>6148.29</v>
      </c>
      <c r="G2632" s="15" t="str">
        <f>VLOOKUP(B2632,SPECIFICATIONF!$C$2:$D$65,2,0)</f>
        <v>GLOBAL HFT</v>
      </c>
      <c r="H2632" s="12">
        <f t="shared" si="208"/>
        <v>1</v>
      </c>
      <c r="I2632" s="12">
        <f t="shared" si="209"/>
        <v>2026</v>
      </c>
    </row>
    <row r="2633" spans="1:9" ht="19.5" customHeight="1" x14ac:dyDescent="0.35">
      <c r="A2633" s="41">
        <v>46030</v>
      </c>
      <c r="B2633" s="8" t="s">
        <v>32</v>
      </c>
      <c r="C2633" s="42" t="s">
        <v>11</v>
      </c>
      <c r="D2633" s="43" t="s">
        <v>29</v>
      </c>
      <c r="E2633" s="46">
        <v>5022202695</v>
      </c>
      <c r="F2633" s="2">
        <f>IF(C2633="GBP",E2633*$C$3,IF(C2633="TRY",E2633/$C$1,IF(C2633="EUR",E2633*$E$1,IF(C2633="RUB",E2633/#REF!,IF(C2633="EGP",E2633/$E$2,E2633)))))</f>
        <v>137719485.20439082</v>
      </c>
      <c r="G2633" s="15" t="str">
        <f>VLOOKUP(B2633,SPECIFICATIONF!$C$2:$D$65,2,0)</f>
        <v>GLOBAL HFT</v>
      </c>
      <c r="H2633" s="12">
        <f t="shared" si="208"/>
        <v>1</v>
      </c>
      <c r="I2633" s="12">
        <f t="shared" si="209"/>
        <v>2026</v>
      </c>
    </row>
    <row r="2634" spans="1:9" ht="19.5" customHeight="1" x14ac:dyDescent="0.35">
      <c r="A2634" s="41">
        <v>46030</v>
      </c>
      <c r="B2634" s="8" t="s">
        <v>32</v>
      </c>
      <c r="C2634" s="42" t="s">
        <v>33</v>
      </c>
      <c r="D2634" s="43" t="s">
        <v>29</v>
      </c>
      <c r="E2634" s="46">
        <v>19944724</v>
      </c>
      <c r="F2634" s="2">
        <f>IF(C2634="GBP",E2634*$C$3,IF(C2634="TRY",E2634/$C$1,IF(C2634="EUR",E2634*$E$1,IF(C2634="RUB",E2634/#REF!,IF(C2634="EGP",E2634/$E$2,E2634)))))</f>
        <v>19944724</v>
      </c>
      <c r="G2634" s="15" t="str">
        <f>VLOOKUP(B2634,SPECIFICATIONF!$C$2:$D$65,2,0)</f>
        <v>GLOBAL HFT</v>
      </c>
      <c r="H2634" s="12">
        <f t="shared" si="208"/>
        <v>1</v>
      </c>
      <c r="I2634" s="12">
        <f t="shared" si="209"/>
        <v>2026</v>
      </c>
    </row>
    <row r="2635" spans="1:9" ht="19.5" customHeight="1" x14ac:dyDescent="0.35">
      <c r="A2635" s="41">
        <v>46030</v>
      </c>
      <c r="B2635" s="8" t="s">
        <v>24</v>
      </c>
      <c r="C2635" s="42" t="s">
        <v>11</v>
      </c>
      <c r="D2635" s="43" t="s">
        <v>30</v>
      </c>
      <c r="E2635" s="46">
        <v>0</v>
      </c>
      <c r="F2635" s="2">
        <f>IF(C2635="GBP",E2635*$C$3,IF(C2635="TRY",E2635/$C$1,IF(C2635="EUR",E2635*$E$1,IF(C2635="RUB",E2635/#REF!,IF(C2635="EGP",E2635/$E$2,E2635)))))</f>
        <v>0</v>
      </c>
      <c r="G2635" s="15" t="str">
        <f>VLOOKUP(B2635,SPECIFICATIONF!$C$2:$D$65,2,0)</f>
        <v>GLOBAL RETAIL</v>
      </c>
      <c r="H2635" s="12">
        <f t="shared" si="208"/>
        <v>1</v>
      </c>
      <c r="I2635" s="12">
        <f t="shared" si="209"/>
        <v>2026</v>
      </c>
    </row>
    <row r="2636" spans="1:9" ht="19.5" customHeight="1" x14ac:dyDescent="0.35">
      <c r="A2636" s="41">
        <v>46030</v>
      </c>
      <c r="B2636" s="8" t="s">
        <v>24</v>
      </c>
      <c r="C2636" s="42" t="s">
        <v>33</v>
      </c>
      <c r="D2636" s="43" t="s">
        <v>30</v>
      </c>
      <c r="E2636" s="46">
        <v>0</v>
      </c>
      <c r="F2636" s="2">
        <f>IF(C2636="GBP",E2636*$C$3,IF(C2636="TRY",E2636/$C$1,IF(C2636="EUR",E2636*$E$1,IF(C2636="RUB",E2636/#REF!,IF(C2636="EGP",E2636/$E$2,E2636)))))</f>
        <v>0</v>
      </c>
      <c r="G2636" s="15" t="str">
        <f>VLOOKUP(B2636,SPECIFICATIONF!$C$2:$D$65,2,0)</f>
        <v>GLOBAL RETAIL</v>
      </c>
      <c r="H2636" s="12">
        <f t="shared" si="208"/>
        <v>1</v>
      </c>
      <c r="I2636" s="12">
        <f t="shared" si="209"/>
        <v>2026</v>
      </c>
    </row>
    <row r="2637" spans="1:9" ht="19.5" customHeight="1" x14ac:dyDescent="0.35">
      <c r="A2637" s="41">
        <v>46030</v>
      </c>
      <c r="B2637" s="8" t="s">
        <v>24</v>
      </c>
      <c r="C2637" s="42" t="s">
        <v>11</v>
      </c>
      <c r="D2637" s="43" t="s">
        <v>29</v>
      </c>
      <c r="E2637" s="46">
        <v>56525907</v>
      </c>
      <c r="F2637" s="2">
        <f>IF(C2637="GBP",E2637*$C$3,IF(C2637="TRY",E2637/$C$1,IF(C2637="EUR",E2637*$E$1,IF(C2637="RUB",E2637/#REF!,IF(C2637="EGP",E2637/$E$2,E2637)))))</f>
        <v>1550060.6577471623</v>
      </c>
      <c r="G2637" s="15" t="str">
        <f>VLOOKUP(B2637,SPECIFICATIONF!$C$2:$D$65,2,0)</f>
        <v>GLOBAL RETAIL</v>
      </c>
      <c r="H2637" s="12">
        <f t="shared" si="208"/>
        <v>1</v>
      </c>
      <c r="I2637" s="12">
        <f t="shared" si="209"/>
        <v>2026</v>
      </c>
    </row>
    <row r="2638" spans="1:9" ht="19.5" customHeight="1" x14ac:dyDescent="0.35">
      <c r="A2638" s="41">
        <v>46030</v>
      </c>
      <c r="B2638" s="8" t="s">
        <v>24</v>
      </c>
      <c r="C2638" s="42" t="s">
        <v>33</v>
      </c>
      <c r="D2638" s="43" t="s">
        <v>29</v>
      </c>
      <c r="E2638" s="46">
        <v>0</v>
      </c>
      <c r="F2638" s="2">
        <f>IF(C2638="GBP",E2638*$C$3,IF(C2638="TRY",E2638/$C$1,IF(C2638="EUR",E2638*$E$1,IF(C2638="RUB",E2638/#REF!,IF(C2638="EGP",E2638/$E$2,E2638)))))</f>
        <v>0</v>
      </c>
      <c r="G2638" s="15" t="str">
        <f>VLOOKUP(B2638,SPECIFICATIONF!$C$2:$D$65,2,0)</f>
        <v>GLOBAL RETAIL</v>
      </c>
      <c r="H2638" s="12">
        <f t="shared" si="208"/>
        <v>1</v>
      </c>
      <c r="I2638" s="12">
        <f t="shared" si="209"/>
        <v>2026</v>
      </c>
    </row>
    <row r="2639" spans="1:9" ht="19.5" customHeight="1" x14ac:dyDescent="0.35">
      <c r="A2639" s="41">
        <v>46031</v>
      </c>
      <c r="B2639" s="8" t="s">
        <v>32</v>
      </c>
      <c r="C2639" s="42" t="s">
        <v>11</v>
      </c>
      <c r="D2639" s="43" t="s">
        <v>30</v>
      </c>
      <c r="E2639" s="46">
        <v>1190193.6599999999</v>
      </c>
      <c r="F2639" s="2">
        <f>IF(C2639="GBP",E2639*$C$3,IF(C2639="TRY",E2639/$C$1,IF(C2639="EUR",E2639*$E$1,IF(C2639="RUB",E2639/#REF!,IF(C2639="EGP",E2639/$E$2,E2639)))))</f>
        <v>32637.642903564596</v>
      </c>
      <c r="G2639" s="15" t="str">
        <f>VLOOKUP(B2639,SPECIFICATIONF!$C$2:$D$65,2,0)</f>
        <v>GLOBAL HFT</v>
      </c>
      <c r="H2639" s="12">
        <f t="shared" ref="H2639:H2646" si="210">MONTH(A2639)</f>
        <v>1</v>
      </c>
      <c r="I2639" s="12">
        <f t="shared" ref="I2639:I2646" si="211">YEAR(A2639)</f>
        <v>2026</v>
      </c>
    </row>
    <row r="2640" spans="1:9" ht="19.5" customHeight="1" x14ac:dyDescent="0.35">
      <c r="A2640" s="41">
        <v>46031</v>
      </c>
      <c r="B2640" s="8" t="s">
        <v>32</v>
      </c>
      <c r="C2640" s="42" t="s">
        <v>33</v>
      </c>
      <c r="D2640" s="43" t="s">
        <v>30</v>
      </c>
      <c r="E2640" s="46">
        <v>5826.87</v>
      </c>
      <c r="F2640" s="2">
        <f>IF(C2640="GBP",E2640*$C$3,IF(C2640="TRY",E2640/$C$1,IF(C2640="EUR",E2640*$E$1,IF(C2640="RUB",E2640/#REF!,IF(C2640="EGP",E2640/$E$2,E2640)))))</f>
        <v>5826.87</v>
      </c>
      <c r="G2640" s="15" t="str">
        <f>VLOOKUP(B2640,SPECIFICATIONF!$C$2:$D$65,2,0)</f>
        <v>GLOBAL HFT</v>
      </c>
      <c r="H2640" s="12">
        <f t="shared" si="210"/>
        <v>1</v>
      </c>
      <c r="I2640" s="12">
        <f t="shared" si="211"/>
        <v>2026</v>
      </c>
    </row>
    <row r="2641" spans="1:9" ht="19.5" customHeight="1" x14ac:dyDescent="0.35">
      <c r="A2641" s="41">
        <v>46031</v>
      </c>
      <c r="B2641" s="8" t="s">
        <v>32</v>
      </c>
      <c r="C2641" s="42" t="s">
        <v>11</v>
      </c>
      <c r="D2641" s="43" t="s">
        <v>29</v>
      </c>
      <c r="E2641" s="46">
        <v>4167504555</v>
      </c>
      <c r="F2641" s="2">
        <f>IF(C2641="GBP",E2641*$C$3,IF(C2641="TRY",E2641/$C$1,IF(C2641="EUR",E2641*$E$1,IF(C2641="RUB",E2641/#REF!,IF(C2641="EGP",E2641/$E$2,E2641)))))</f>
        <v>114281843.39771134</v>
      </c>
      <c r="G2641" s="15" t="str">
        <f>VLOOKUP(B2641,SPECIFICATIONF!$C$2:$D$65,2,0)</f>
        <v>GLOBAL HFT</v>
      </c>
      <c r="H2641" s="12">
        <f t="shared" si="210"/>
        <v>1</v>
      </c>
      <c r="I2641" s="12">
        <f t="shared" si="211"/>
        <v>2026</v>
      </c>
    </row>
    <row r="2642" spans="1:9" ht="19.5" customHeight="1" x14ac:dyDescent="0.35">
      <c r="A2642" s="41">
        <v>46031</v>
      </c>
      <c r="B2642" s="8" t="s">
        <v>32</v>
      </c>
      <c r="C2642" s="42" t="s">
        <v>33</v>
      </c>
      <c r="D2642" s="43" t="s">
        <v>29</v>
      </c>
      <c r="E2642" s="46">
        <v>17970936</v>
      </c>
      <c r="F2642" s="2">
        <f>IF(C2642="GBP",E2642*$C$3,IF(C2642="TRY",E2642/$C$1,IF(C2642="EUR",E2642*$E$1,IF(C2642="RUB",E2642/#REF!,IF(C2642="EGP",E2642/$E$2,E2642)))))</f>
        <v>17970936</v>
      </c>
      <c r="G2642" s="15" t="str">
        <f>VLOOKUP(B2642,SPECIFICATIONF!$C$2:$D$65,2,0)</f>
        <v>GLOBAL HFT</v>
      </c>
      <c r="H2642" s="12">
        <f t="shared" si="210"/>
        <v>1</v>
      </c>
      <c r="I2642" s="12">
        <f t="shared" si="211"/>
        <v>2026</v>
      </c>
    </row>
    <row r="2643" spans="1:9" ht="19.5" customHeight="1" x14ac:dyDescent="0.35">
      <c r="A2643" s="41">
        <v>46031</v>
      </c>
      <c r="B2643" s="8" t="s">
        <v>24</v>
      </c>
      <c r="C2643" s="42" t="s">
        <v>11</v>
      </c>
      <c r="D2643" s="43" t="s">
        <v>30</v>
      </c>
      <c r="E2643" s="46">
        <v>0</v>
      </c>
      <c r="F2643" s="2">
        <f>IF(C2643="GBP",E2643*$C$3,IF(C2643="TRY",E2643/$C$1,IF(C2643="EUR",E2643*$E$1,IF(C2643="RUB",E2643/#REF!,IF(C2643="EGP",E2643/$E$2,E2643)))))</f>
        <v>0</v>
      </c>
      <c r="G2643" s="15" t="str">
        <f>VLOOKUP(B2643,SPECIFICATIONF!$C$2:$D$65,2,0)</f>
        <v>GLOBAL RETAIL</v>
      </c>
      <c r="H2643" s="12">
        <f t="shared" si="210"/>
        <v>1</v>
      </c>
      <c r="I2643" s="12">
        <f t="shared" si="211"/>
        <v>2026</v>
      </c>
    </row>
    <row r="2644" spans="1:9" ht="19.5" customHeight="1" x14ac:dyDescent="0.35">
      <c r="A2644" s="41">
        <v>46031</v>
      </c>
      <c r="B2644" s="8" t="s">
        <v>24</v>
      </c>
      <c r="C2644" s="42" t="s">
        <v>33</v>
      </c>
      <c r="D2644" s="43" t="s">
        <v>30</v>
      </c>
      <c r="E2644" s="46">
        <v>0</v>
      </c>
      <c r="F2644" s="2">
        <f>IF(C2644="GBP",E2644*$C$3,IF(C2644="TRY",E2644/$C$1,IF(C2644="EUR",E2644*$E$1,IF(C2644="RUB",E2644/#REF!,IF(C2644="EGP",E2644/$E$2,E2644)))))</f>
        <v>0</v>
      </c>
      <c r="G2644" s="15" t="str">
        <f>VLOOKUP(B2644,SPECIFICATIONF!$C$2:$D$65,2,0)</f>
        <v>GLOBAL RETAIL</v>
      </c>
      <c r="H2644" s="12">
        <f t="shared" si="210"/>
        <v>1</v>
      </c>
      <c r="I2644" s="12">
        <f t="shared" si="211"/>
        <v>2026</v>
      </c>
    </row>
    <row r="2645" spans="1:9" ht="19.5" customHeight="1" x14ac:dyDescent="0.35">
      <c r="A2645" s="41">
        <v>46031</v>
      </c>
      <c r="B2645" s="8" t="s">
        <v>24</v>
      </c>
      <c r="C2645" s="42" t="s">
        <v>11</v>
      </c>
      <c r="D2645" s="43" t="s">
        <v>29</v>
      </c>
      <c r="E2645" s="46">
        <v>1675976</v>
      </c>
      <c r="F2645" s="2">
        <f>IF(C2645="GBP",E2645*$C$3,IF(C2645="TRY",E2645/$C$1,IF(C2645="EUR",E2645*$E$1,IF(C2645="RUB",E2645/#REF!,IF(C2645="EGP",E2645/$E$2,E2645)))))</f>
        <v>45958.828417002813</v>
      </c>
      <c r="G2645" s="15" t="str">
        <f>VLOOKUP(B2645,SPECIFICATIONF!$C$2:$D$65,2,0)</f>
        <v>GLOBAL RETAIL</v>
      </c>
      <c r="H2645" s="12">
        <f t="shared" si="210"/>
        <v>1</v>
      </c>
      <c r="I2645" s="12">
        <f t="shared" si="211"/>
        <v>2026</v>
      </c>
    </row>
    <row r="2646" spans="1:9" ht="19.5" customHeight="1" x14ac:dyDescent="0.35">
      <c r="A2646" s="41">
        <v>46031</v>
      </c>
      <c r="B2646" s="8" t="s">
        <v>24</v>
      </c>
      <c r="C2646" s="42" t="s">
        <v>33</v>
      </c>
      <c r="D2646" s="43" t="s">
        <v>29</v>
      </c>
      <c r="E2646" s="46">
        <v>11</v>
      </c>
      <c r="F2646" s="2">
        <f>IF(C2646="GBP",E2646*$C$3,IF(C2646="TRY",E2646/$C$1,IF(C2646="EUR",E2646*$E$1,IF(C2646="RUB",E2646/#REF!,IF(C2646="EGP",E2646/$E$2,E2646)))))</f>
        <v>11</v>
      </c>
      <c r="G2646" s="15" t="str">
        <f>VLOOKUP(B2646,SPECIFICATIONF!$C$2:$D$65,2,0)</f>
        <v>GLOBAL RETAIL</v>
      </c>
      <c r="H2646" s="12">
        <f t="shared" si="210"/>
        <v>1</v>
      </c>
      <c r="I2646" s="12">
        <f t="shared" si="211"/>
        <v>2026</v>
      </c>
    </row>
    <row r="2647" spans="1:9" ht="19.5" customHeight="1" x14ac:dyDescent="0.35">
      <c r="A2647" s="41">
        <v>46032</v>
      </c>
      <c r="B2647" s="8" t="s">
        <v>32</v>
      </c>
      <c r="C2647" s="42" t="s">
        <v>11</v>
      </c>
      <c r="D2647" s="43" t="s">
        <v>30</v>
      </c>
      <c r="E2647" s="46">
        <v>747941.52</v>
      </c>
      <c r="F2647" s="2">
        <f>IF(C2647="GBP",E2647*$C$3,IF(C2647="TRY",E2647/$C$1,IF(C2647="EUR",E2647*$E$1,IF(C2647="RUB",E2647/#REF!,IF(C2647="EGP",E2647/$E$2,E2647)))))</f>
        <v>20510.148106913392</v>
      </c>
      <c r="G2647" s="15" t="str">
        <f>VLOOKUP(B2647,SPECIFICATIONF!$C$2:$D$65,2,0)</f>
        <v>GLOBAL HFT</v>
      </c>
      <c r="H2647" s="12">
        <f t="shared" ref="H2647:H2670" si="212">MONTH(A2647)</f>
        <v>1</v>
      </c>
      <c r="I2647" s="12">
        <f t="shared" ref="I2647:I2670" si="213">YEAR(A2647)</f>
        <v>2026</v>
      </c>
    </row>
    <row r="2648" spans="1:9" ht="19.5" customHeight="1" x14ac:dyDescent="0.35">
      <c r="A2648" s="41">
        <v>46032</v>
      </c>
      <c r="B2648" s="8" t="s">
        <v>32</v>
      </c>
      <c r="C2648" s="42" t="s">
        <v>33</v>
      </c>
      <c r="D2648" s="43" t="s">
        <v>30</v>
      </c>
      <c r="E2648" s="46">
        <v>3334.16</v>
      </c>
      <c r="F2648" s="2">
        <f>IF(C2648="GBP",E2648*$C$3,IF(C2648="TRY",E2648/$C$1,IF(C2648="EUR",E2648*$E$1,IF(C2648="RUB",E2648/#REF!,IF(C2648="EGP",E2648/$E$2,E2648)))))</f>
        <v>3334.16</v>
      </c>
      <c r="G2648" s="15" t="str">
        <f>VLOOKUP(B2648,SPECIFICATIONF!$C$2:$D$65,2,0)</f>
        <v>GLOBAL HFT</v>
      </c>
      <c r="H2648" s="12">
        <f t="shared" si="212"/>
        <v>1</v>
      </c>
      <c r="I2648" s="12">
        <f t="shared" si="213"/>
        <v>2026</v>
      </c>
    </row>
    <row r="2649" spans="1:9" ht="19.5" customHeight="1" x14ac:dyDescent="0.35">
      <c r="A2649" s="41">
        <v>46032</v>
      </c>
      <c r="B2649" s="8" t="s">
        <v>32</v>
      </c>
      <c r="C2649" s="42" t="s">
        <v>11</v>
      </c>
      <c r="D2649" s="43" t="s">
        <v>29</v>
      </c>
      <c r="E2649" s="46">
        <v>2786959965</v>
      </c>
      <c r="F2649" s="2">
        <f>IF(C2649="GBP",E2649*$C$3,IF(C2649="TRY",E2649/$C$1,IF(C2649="EUR",E2649*$E$1,IF(C2649="RUB",E2649/#REF!,IF(C2649="EGP",E2649/$E$2,E2649)))))</f>
        <v>76424372.92448768</v>
      </c>
      <c r="G2649" s="15" t="str">
        <f>VLOOKUP(B2649,SPECIFICATIONF!$C$2:$D$65,2,0)</f>
        <v>GLOBAL HFT</v>
      </c>
      <c r="H2649" s="12">
        <f t="shared" si="212"/>
        <v>1</v>
      </c>
      <c r="I2649" s="12">
        <f t="shared" si="213"/>
        <v>2026</v>
      </c>
    </row>
    <row r="2650" spans="1:9" ht="19.5" customHeight="1" x14ac:dyDescent="0.35">
      <c r="A2650" s="41">
        <v>46032</v>
      </c>
      <c r="B2650" s="8" t="s">
        <v>32</v>
      </c>
      <c r="C2650" s="42" t="s">
        <v>33</v>
      </c>
      <c r="D2650" s="43" t="s">
        <v>29</v>
      </c>
      <c r="E2650" s="46">
        <v>10643354</v>
      </c>
      <c r="F2650" s="2">
        <f>IF(C2650="GBP",E2650*$C$3,IF(C2650="TRY",E2650/$C$1,IF(C2650="EUR",E2650*$E$1,IF(C2650="RUB",E2650/#REF!,IF(C2650="EGP",E2650/$E$2,E2650)))))</f>
        <v>10643354</v>
      </c>
      <c r="G2650" s="15" t="str">
        <f>VLOOKUP(B2650,SPECIFICATIONF!$C$2:$D$65,2,0)</f>
        <v>GLOBAL HFT</v>
      </c>
      <c r="H2650" s="12">
        <f t="shared" si="212"/>
        <v>1</v>
      </c>
      <c r="I2650" s="12">
        <f t="shared" si="213"/>
        <v>2026</v>
      </c>
    </row>
    <row r="2651" spans="1:9" ht="19.5" customHeight="1" x14ac:dyDescent="0.35">
      <c r="A2651" s="41">
        <v>46032</v>
      </c>
      <c r="B2651" s="8" t="s">
        <v>24</v>
      </c>
      <c r="C2651" s="42" t="s">
        <v>11</v>
      </c>
      <c r="D2651" s="43" t="s">
        <v>30</v>
      </c>
      <c r="E2651" s="46">
        <v>0</v>
      </c>
      <c r="F2651" s="2">
        <f>IF(C2651="GBP",E2651*$C$3,IF(C2651="TRY",E2651/$C$1,IF(C2651="EUR",E2651*$E$1,IF(C2651="RUB",E2651/#REF!,IF(C2651="EGP",E2651/$E$2,E2651)))))</f>
        <v>0</v>
      </c>
      <c r="G2651" s="15" t="str">
        <f>VLOOKUP(B2651,SPECIFICATIONF!$C$2:$D$65,2,0)</f>
        <v>GLOBAL RETAIL</v>
      </c>
      <c r="H2651" s="12">
        <f t="shared" si="212"/>
        <v>1</v>
      </c>
      <c r="I2651" s="12">
        <f t="shared" si="213"/>
        <v>2026</v>
      </c>
    </row>
    <row r="2652" spans="1:9" ht="19.5" customHeight="1" x14ac:dyDescent="0.35">
      <c r="A2652" s="41">
        <v>46032</v>
      </c>
      <c r="B2652" s="8" t="s">
        <v>24</v>
      </c>
      <c r="C2652" s="42" t="s">
        <v>33</v>
      </c>
      <c r="D2652" s="43" t="s">
        <v>30</v>
      </c>
      <c r="E2652" s="46">
        <v>0</v>
      </c>
      <c r="F2652" s="2">
        <f>IF(C2652="GBP",E2652*$C$3,IF(C2652="TRY",E2652/$C$1,IF(C2652="EUR",E2652*$E$1,IF(C2652="RUB",E2652/#REF!,IF(C2652="EGP",E2652/$E$2,E2652)))))</f>
        <v>0</v>
      </c>
      <c r="G2652" s="15" t="str">
        <f>VLOOKUP(B2652,SPECIFICATIONF!$C$2:$D$65,2,0)</f>
        <v>GLOBAL RETAIL</v>
      </c>
      <c r="H2652" s="12">
        <f t="shared" si="212"/>
        <v>1</v>
      </c>
      <c r="I2652" s="12">
        <f t="shared" si="213"/>
        <v>2026</v>
      </c>
    </row>
    <row r="2653" spans="1:9" ht="19.5" customHeight="1" x14ac:dyDescent="0.35">
      <c r="A2653" s="41">
        <v>46032</v>
      </c>
      <c r="B2653" s="8" t="s">
        <v>24</v>
      </c>
      <c r="C2653" s="42" t="s">
        <v>11</v>
      </c>
      <c r="D2653" s="43" t="s">
        <v>29</v>
      </c>
      <c r="E2653" s="46">
        <v>1933783</v>
      </c>
      <c r="F2653" s="2">
        <f>IF(C2653="GBP",E2653*$C$3,IF(C2653="TRY",E2653/$C$1,IF(C2653="EUR",E2653*$E$1,IF(C2653="RUB",E2653/#REF!,IF(C2653="EGP",E2653/$E$2,E2653)))))</f>
        <v>53028.444973386824</v>
      </c>
      <c r="G2653" s="15" t="str">
        <f>VLOOKUP(B2653,SPECIFICATIONF!$C$2:$D$65,2,0)</f>
        <v>GLOBAL RETAIL</v>
      </c>
      <c r="H2653" s="12">
        <f t="shared" si="212"/>
        <v>1</v>
      </c>
      <c r="I2653" s="12">
        <f t="shared" si="213"/>
        <v>2026</v>
      </c>
    </row>
    <row r="2654" spans="1:9" ht="19.5" customHeight="1" x14ac:dyDescent="0.35">
      <c r="A2654" s="41">
        <v>46032</v>
      </c>
      <c r="B2654" s="8" t="s">
        <v>24</v>
      </c>
      <c r="C2654" s="42" t="s">
        <v>33</v>
      </c>
      <c r="D2654" s="43" t="s">
        <v>29</v>
      </c>
      <c r="E2654" s="46">
        <v>0</v>
      </c>
      <c r="F2654" s="2">
        <f>IF(C2654="GBP",E2654*$C$3,IF(C2654="TRY",E2654/$C$1,IF(C2654="EUR",E2654*$E$1,IF(C2654="RUB",E2654/#REF!,IF(C2654="EGP",E2654/$E$2,E2654)))))</f>
        <v>0</v>
      </c>
      <c r="G2654" s="15" t="str">
        <f>VLOOKUP(B2654,SPECIFICATIONF!$C$2:$D$65,2,0)</f>
        <v>GLOBAL RETAIL</v>
      </c>
      <c r="H2654" s="12">
        <f t="shared" si="212"/>
        <v>1</v>
      </c>
      <c r="I2654" s="12">
        <f t="shared" si="213"/>
        <v>2026</v>
      </c>
    </row>
    <row r="2655" spans="1:9" ht="19.5" customHeight="1" x14ac:dyDescent="0.35">
      <c r="A2655" s="41">
        <v>46033</v>
      </c>
      <c r="B2655" s="8" t="s">
        <v>32</v>
      </c>
      <c r="C2655" s="42" t="s">
        <v>11</v>
      </c>
      <c r="D2655" s="43" t="s">
        <v>30</v>
      </c>
      <c r="E2655" s="46">
        <v>1182991.72</v>
      </c>
      <c r="F2655" s="2">
        <f>IF(C2655="GBP",E2655*$C$3,IF(C2655="TRY",E2655/$C$1,IF(C2655="EUR",E2655*$E$1,IF(C2655="RUB",E2655/#REF!,IF(C2655="EGP",E2655/$E$2,E2655)))))</f>
        <v>32440.150382950014</v>
      </c>
      <c r="G2655" s="15" t="str">
        <f>VLOOKUP(B2655,SPECIFICATIONF!$C$2:$D$65,2,0)</f>
        <v>GLOBAL HFT</v>
      </c>
      <c r="H2655" s="12">
        <f t="shared" si="212"/>
        <v>1</v>
      </c>
      <c r="I2655" s="12">
        <f t="shared" si="213"/>
        <v>2026</v>
      </c>
    </row>
    <row r="2656" spans="1:9" ht="19.5" customHeight="1" x14ac:dyDescent="0.35">
      <c r="A2656" s="41">
        <v>46033</v>
      </c>
      <c r="B2656" s="8" t="s">
        <v>32</v>
      </c>
      <c r="C2656" s="42" t="s">
        <v>33</v>
      </c>
      <c r="D2656" s="43" t="s">
        <v>30</v>
      </c>
      <c r="E2656" s="46">
        <v>5340.05</v>
      </c>
      <c r="F2656" s="2">
        <f>IF(C2656="GBP",E2656*$C$3,IF(C2656="TRY",E2656/$C$1,IF(C2656="EUR",E2656*$E$1,IF(C2656="RUB",E2656/#REF!,IF(C2656="EGP",E2656/$E$2,E2656)))))</f>
        <v>5340.05</v>
      </c>
      <c r="G2656" s="15" t="str">
        <f>VLOOKUP(B2656,SPECIFICATIONF!$C$2:$D$65,2,0)</f>
        <v>GLOBAL HFT</v>
      </c>
      <c r="H2656" s="12">
        <f t="shared" si="212"/>
        <v>1</v>
      </c>
      <c r="I2656" s="12">
        <f t="shared" si="213"/>
        <v>2026</v>
      </c>
    </row>
    <row r="2657" spans="1:9" ht="19.5" customHeight="1" x14ac:dyDescent="0.35">
      <c r="A2657" s="41">
        <v>46033</v>
      </c>
      <c r="B2657" s="8" t="s">
        <v>32</v>
      </c>
      <c r="C2657" s="42" t="s">
        <v>11</v>
      </c>
      <c r="D2657" s="43" t="s">
        <v>29</v>
      </c>
      <c r="E2657" s="46">
        <v>4159741966</v>
      </c>
      <c r="F2657" s="2">
        <f>IF(C2657="GBP",E2657*$C$3,IF(C2657="TRY",E2657/$C$1,IF(C2657="EUR",E2657*$E$1,IF(C2657="RUB",E2657/#REF!,IF(C2657="EGP",E2657/$E$2,E2657)))))</f>
        <v>114068976.68844897</v>
      </c>
      <c r="G2657" s="15" t="str">
        <f>VLOOKUP(B2657,SPECIFICATIONF!$C$2:$D$65,2,0)</f>
        <v>GLOBAL HFT</v>
      </c>
      <c r="H2657" s="12">
        <f t="shared" si="212"/>
        <v>1</v>
      </c>
      <c r="I2657" s="12">
        <f t="shared" si="213"/>
        <v>2026</v>
      </c>
    </row>
    <row r="2658" spans="1:9" ht="19.5" customHeight="1" x14ac:dyDescent="0.35">
      <c r="A2658" s="41">
        <v>46033</v>
      </c>
      <c r="B2658" s="8" t="s">
        <v>32</v>
      </c>
      <c r="C2658" s="42" t="s">
        <v>33</v>
      </c>
      <c r="D2658" s="43" t="s">
        <v>29</v>
      </c>
      <c r="E2658" s="46">
        <v>16421321</v>
      </c>
      <c r="F2658" s="2">
        <f>IF(C2658="GBP",E2658*$C$3,IF(C2658="TRY",E2658/$C$1,IF(C2658="EUR",E2658*$E$1,IF(C2658="RUB",E2658/#REF!,IF(C2658="EGP",E2658/$E$2,E2658)))))</f>
        <v>16421321</v>
      </c>
      <c r="G2658" s="15" t="str">
        <f>VLOOKUP(B2658,SPECIFICATIONF!$C$2:$D$65,2,0)</f>
        <v>GLOBAL HFT</v>
      </c>
      <c r="H2658" s="12">
        <f t="shared" si="212"/>
        <v>1</v>
      </c>
      <c r="I2658" s="12">
        <f t="shared" si="213"/>
        <v>2026</v>
      </c>
    </row>
    <row r="2659" spans="1:9" ht="19.5" customHeight="1" x14ac:dyDescent="0.35">
      <c r="A2659" s="41">
        <v>46033</v>
      </c>
      <c r="B2659" s="8" t="s">
        <v>24</v>
      </c>
      <c r="C2659" s="42" t="s">
        <v>11</v>
      </c>
      <c r="D2659" s="43" t="s">
        <v>30</v>
      </c>
      <c r="E2659" s="46">
        <v>0</v>
      </c>
      <c r="F2659" s="2">
        <f>IF(C2659="GBP",E2659*$C$3,IF(C2659="TRY",E2659/$C$1,IF(C2659="EUR",E2659*$E$1,IF(C2659="RUB",E2659/#REF!,IF(C2659="EGP",E2659/$E$2,E2659)))))</f>
        <v>0</v>
      </c>
      <c r="G2659" s="15" t="str">
        <f>VLOOKUP(B2659,SPECIFICATIONF!$C$2:$D$65,2,0)</f>
        <v>GLOBAL RETAIL</v>
      </c>
      <c r="H2659" s="12">
        <f t="shared" si="212"/>
        <v>1</v>
      </c>
      <c r="I2659" s="12">
        <f t="shared" si="213"/>
        <v>2026</v>
      </c>
    </row>
    <row r="2660" spans="1:9" ht="19.5" customHeight="1" x14ac:dyDescent="0.35">
      <c r="A2660" s="41">
        <v>46033</v>
      </c>
      <c r="B2660" s="8" t="s">
        <v>24</v>
      </c>
      <c r="C2660" s="42" t="s">
        <v>33</v>
      </c>
      <c r="D2660" s="43" t="s">
        <v>30</v>
      </c>
      <c r="E2660" s="46">
        <v>0</v>
      </c>
      <c r="F2660" s="2">
        <f>IF(C2660="GBP",E2660*$C$3,IF(C2660="TRY",E2660/$C$1,IF(C2660="EUR",E2660*$E$1,IF(C2660="RUB",E2660/#REF!,IF(C2660="EGP",E2660/$E$2,E2660)))))</f>
        <v>0</v>
      </c>
      <c r="G2660" s="15" t="str">
        <f>VLOOKUP(B2660,SPECIFICATIONF!$C$2:$D$65,2,0)</f>
        <v>GLOBAL RETAIL</v>
      </c>
      <c r="H2660" s="12">
        <f t="shared" si="212"/>
        <v>1</v>
      </c>
      <c r="I2660" s="12">
        <f t="shared" si="213"/>
        <v>2026</v>
      </c>
    </row>
    <row r="2661" spans="1:9" ht="19.5" customHeight="1" x14ac:dyDescent="0.35">
      <c r="A2661" s="41">
        <v>46033</v>
      </c>
      <c r="B2661" s="8" t="s">
        <v>24</v>
      </c>
      <c r="C2661" s="42" t="s">
        <v>11</v>
      </c>
      <c r="D2661" s="43" t="s">
        <v>29</v>
      </c>
      <c r="E2661" s="46">
        <v>9820977</v>
      </c>
      <c r="F2661" s="2">
        <f>IF(C2661="GBP",E2661*$C$3,IF(C2661="TRY",E2661/$C$1,IF(C2661="EUR",E2661*$E$1,IF(C2661="RUB",E2661/#REF!,IF(C2661="EGP",E2661/$E$2,E2661)))))</f>
        <v>269312.08849669149</v>
      </c>
      <c r="G2661" s="15" t="str">
        <f>VLOOKUP(B2661,SPECIFICATIONF!$C$2:$D$65,2,0)</f>
        <v>GLOBAL RETAIL</v>
      </c>
      <c r="H2661" s="12">
        <f t="shared" si="212"/>
        <v>1</v>
      </c>
      <c r="I2661" s="12">
        <f t="shared" si="213"/>
        <v>2026</v>
      </c>
    </row>
    <row r="2662" spans="1:9" ht="19.5" customHeight="1" x14ac:dyDescent="0.35">
      <c r="A2662" s="41">
        <v>46033</v>
      </c>
      <c r="B2662" s="8" t="s">
        <v>24</v>
      </c>
      <c r="C2662" s="42" t="s">
        <v>33</v>
      </c>
      <c r="D2662" s="43" t="s">
        <v>29</v>
      </c>
      <c r="E2662" s="46">
        <v>0</v>
      </c>
      <c r="F2662" s="2">
        <f>IF(C2662="GBP",E2662*$C$3,IF(C2662="TRY",E2662/$C$1,IF(C2662="EUR",E2662*$E$1,IF(C2662="RUB",E2662/#REF!,IF(C2662="EGP",E2662/$E$2,E2662)))))</f>
        <v>0</v>
      </c>
      <c r="G2662" s="15" t="str">
        <f>VLOOKUP(B2662,SPECIFICATIONF!$C$2:$D$65,2,0)</f>
        <v>GLOBAL RETAIL</v>
      </c>
      <c r="H2662" s="12">
        <f t="shared" si="212"/>
        <v>1</v>
      </c>
      <c r="I2662" s="12">
        <f t="shared" si="213"/>
        <v>2026</v>
      </c>
    </row>
    <row r="2663" spans="1:9" ht="19.5" customHeight="1" x14ac:dyDescent="0.35">
      <c r="A2663" s="41">
        <v>46034</v>
      </c>
      <c r="B2663" s="8" t="s">
        <v>32</v>
      </c>
      <c r="C2663" s="42" t="s">
        <v>11</v>
      </c>
      <c r="D2663" s="43" t="s">
        <v>30</v>
      </c>
      <c r="E2663" s="46">
        <v>1170287.26</v>
      </c>
      <c r="F2663" s="2">
        <f>IF(C2663="GBP",E2663*$C$3,IF(C2663="TRY",E2663/$C$1,IF(C2663="EUR",E2663*$E$1,IF(C2663="RUB",E2663/#REF!,IF(C2663="EGP",E2663/$E$2,E2663)))))</f>
        <v>32091.767054506963</v>
      </c>
      <c r="G2663" s="15" t="str">
        <f>VLOOKUP(B2663,SPECIFICATIONF!$C$2:$D$65,2,0)</f>
        <v>GLOBAL HFT</v>
      </c>
      <c r="H2663" s="12">
        <f t="shared" si="212"/>
        <v>1</v>
      </c>
      <c r="I2663" s="12">
        <f t="shared" si="213"/>
        <v>2026</v>
      </c>
    </row>
    <row r="2664" spans="1:9" ht="19.5" customHeight="1" x14ac:dyDescent="0.35">
      <c r="A2664" s="41">
        <v>46034</v>
      </c>
      <c r="B2664" s="8" t="s">
        <v>32</v>
      </c>
      <c r="C2664" s="42" t="s">
        <v>33</v>
      </c>
      <c r="D2664" s="43" t="s">
        <v>30</v>
      </c>
      <c r="E2664" s="46">
        <v>9700.19</v>
      </c>
      <c r="F2664" s="2">
        <f>IF(C2664="GBP",E2664*$C$3,IF(C2664="TRY",E2664/$C$1,IF(C2664="EUR",E2664*$E$1,IF(C2664="RUB",E2664/#REF!,IF(C2664="EGP",E2664/$E$2,E2664)))))</f>
        <v>9700.19</v>
      </c>
      <c r="G2664" s="15" t="str">
        <f>VLOOKUP(B2664,SPECIFICATIONF!$C$2:$D$65,2,0)</f>
        <v>GLOBAL HFT</v>
      </c>
      <c r="H2664" s="12">
        <f t="shared" si="212"/>
        <v>1</v>
      </c>
      <c r="I2664" s="12">
        <f t="shared" si="213"/>
        <v>2026</v>
      </c>
    </row>
    <row r="2665" spans="1:9" ht="19.5" customHeight="1" x14ac:dyDescent="0.35">
      <c r="A2665" s="41">
        <v>46034</v>
      </c>
      <c r="B2665" s="8" t="s">
        <v>32</v>
      </c>
      <c r="C2665" s="42" t="s">
        <v>11</v>
      </c>
      <c r="D2665" s="43" t="s">
        <v>29</v>
      </c>
      <c r="E2665" s="46">
        <v>3955656452</v>
      </c>
      <c r="F2665" s="2">
        <f>IF(C2665="GBP",E2665*$C$3,IF(C2665="TRY",E2665/$C$1,IF(C2665="EUR",E2665*$E$1,IF(C2665="RUB",E2665/#REF!,IF(C2665="EGP",E2665/$E$2,E2665)))))</f>
        <v>108472517.59815064</v>
      </c>
      <c r="G2665" s="15" t="str">
        <f>VLOOKUP(B2665,SPECIFICATIONF!$C$2:$D$65,2,0)</f>
        <v>GLOBAL HFT</v>
      </c>
      <c r="H2665" s="12">
        <f t="shared" si="212"/>
        <v>1</v>
      </c>
      <c r="I2665" s="12">
        <f t="shared" si="213"/>
        <v>2026</v>
      </c>
    </row>
    <row r="2666" spans="1:9" ht="19.5" customHeight="1" x14ac:dyDescent="0.35">
      <c r="A2666" s="41">
        <v>46034</v>
      </c>
      <c r="B2666" s="8" t="s">
        <v>32</v>
      </c>
      <c r="C2666" s="42" t="s">
        <v>33</v>
      </c>
      <c r="D2666" s="43" t="s">
        <v>29</v>
      </c>
      <c r="E2666" s="46">
        <v>32522956</v>
      </c>
      <c r="F2666" s="2">
        <f>IF(C2666="GBP",E2666*$C$3,IF(C2666="TRY",E2666/$C$1,IF(C2666="EUR",E2666*$E$1,IF(C2666="RUB",E2666/#REF!,IF(C2666="EGP",E2666/$E$2,E2666)))))</f>
        <v>32522956</v>
      </c>
      <c r="G2666" s="15" t="str">
        <f>VLOOKUP(B2666,SPECIFICATIONF!$C$2:$D$65,2,0)</f>
        <v>GLOBAL HFT</v>
      </c>
      <c r="H2666" s="12">
        <f t="shared" si="212"/>
        <v>1</v>
      </c>
      <c r="I2666" s="12">
        <f t="shared" si="213"/>
        <v>2026</v>
      </c>
    </row>
    <row r="2667" spans="1:9" ht="19.5" customHeight="1" x14ac:dyDescent="0.35">
      <c r="A2667" s="41">
        <v>46034</v>
      </c>
      <c r="B2667" s="8" t="s">
        <v>24</v>
      </c>
      <c r="C2667" s="42" t="s">
        <v>11</v>
      </c>
      <c r="D2667" s="43" t="s">
        <v>30</v>
      </c>
      <c r="E2667" s="46">
        <v>0</v>
      </c>
      <c r="F2667" s="2">
        <f>IF(C2667="GBP",E2667*$C$3,IF(C2667="TRY",E2667/$C$1,IF(C2667="EUR",E2667*$E$1,IF(C2667="RUB",E2667/#REF!,IF(C2667="EGP",E2667/$E$2,E2667)))))</f>
        <v>0</v>
      </c>
      <c r="G2667" s="15" t="str">
        <f>VLOOKUP(B2667,SPECIFICATIONF!$C$2:$D$65,2,0)</f>
        <v>GLOBAL RETAIL</v>
      </c>
      <c r="H2667" s="12">
        <f t="shared" si="212"/>
        <v>1</v>
      </c>
      <c r="I2667" s="12">
        <f t="shared" si="213"/>
        <v>2026</v>
      </c>
    </row>
    <row r="2668" spans="1:9" ht="19.5" customHeight="1" x14ac:dyDescent="0.35">
      <c r="A2668" s="41">
        <v>46034</v>
      </c>
      <c r="B2668" s="8" t="s">
        <v>24</v>
      </c>
      <c r="C2668" s="42" t="s">
        <v>33</v>
      </c>
      <c r="D2668" s="43" t="s">
        <v>30</v>
      </c>
      <c r="E2668" s="46">
        <v>0</v>
      </c>
      <c r="F2668" s="2">
        <f>IF(C2668="GBP",E2668*$C$3,IF(C2668="TRY",E2668/$C$1,IF(C2668="EUR",E2668*$E$1,IF(C2668="RUB",E2668/#REF!,IF(C2668="EGP",E2668/$E$2,E2668)))))</f>
        <v>0</v>
      </c>
      <c r="G2668" s="15" t="str">
        <f>VLOOKUP(B2668,SPECIFICATIONF!$C$2:$D$65,2,0)</f>
        <v>GLOBAL RETAIL</v>
      </c>
      <c r="H2668" s="12">
        <f t="shared" si="212"/>
        <v>1</v>
      </c>
      <c r="I2668" s="12">
        <f t="shared" si="213"/>
        <v>2026</v>
      </c>
    </row>
    <row r="2669" spans="1:9" ht="19.5" customHeight="1" x14ac:dyDescent="0.35">
      <c r="A2669" s="41">
        <v>46034</v>
      </c>
      <c r="B2669" s="8" t="s">
        <v>24</v>
      </c>
      <c r="C2669" s="42" t="s">
        <v>11</v>
      </c>
      <c r="D2669" s="43" t="s">
        <v>29</v>
      </c>
      <c r="E2669" s="46">
        <v>8975276</v>
      </c>
      <c r="F2669" s="2">
        <f>IF(C2669="GBP",E2669*$C$3,IF(C2669="TRY",E2669/$C$1,IF(C2669="EUR",E2669*$E$1,IF(C2669="RUB",E2669/#REF!,IF(C2669="EGP",E2669/$E$2,E2669)))))</f>
        <v>246121.1674148337</v>
      </c>
      <c r="G2669" s="15" t="str">
        <f>VLOOKUP(B2669,SPECIFICATIONF!$C$2:$D$65,2,0)</f>
        <v>GLOBAL RETAIL</v>
      </c>
      <c r="H2669" s="12">
        <f t="shared" si="212"/>
        <v>1</v>
      </c>
      <c r="I2669" s="12">
        <f t="shared" si="213"/>
        <v>2026</v>
      </c>
    </row>
    <row r="2670" spans="1:9" ht="19.5" customHeight="1" x14ac:dyDescent="0.35">
      <c r="A2670" s="41">
        <v>46034</v>
      </c>
      <c r="B2670" s="8" t="s">
        <v>24</v>
      </c>
      <c r="C2670" s="42" t="s">
        <v>33</v>
      </c>
      <c r="D2670" s="43" t="s">
        <v>29</v>
      </c>
      <c r="E2670" s="46">
        <v>0</v>
      </c>
      <c r="F2670" s="2">
        <f>IF(C2670="GBP",E2670*$C$3,IF(C2670="TRY",E2670/$C$1,IF(C2670="EUR",E2670*$E$1,IF(C2670="RUB",E2670/#REF!,IF(C2670="EGP",E2670/$E$2,E2670)))))</f>
        <v>0</v>
      </c>
      <c r="G2670" s="15" t="str">
        <f>VLOOKUP(B2670,SPECIFICATIONF!$C$2:$D$65,2,0)</f>
        <v>GLOBAL RETAIL</v>
      </c>
      <c r="H2670" s="12">
        <f t="shared" si="212"/>
        <v>1</v>
      </c>
      <c r="I2670" s="12">
        <f t="shared" si="213"/>
        <v>2026</v>
      </c>
    </row>
    <row r="2671" spans="1:9" ht="19.5" customHeight="1" x14ac:dyDescent="0.35">
      <c r="A2671" s="41">
        <v>46035</v>
      </c>
      <c r="B2671" s="8" t="s">
        <v>32</v>
      </c>
      <c r="C2671" s="42" t="s">
        <v>11</v>
      </c>
      <c r="D2671" s="43" t="s">
        <v>30</v>
      </c>
      <c r="E2671" s="46">
        <v>1887955.22</v>
      </c>
      <c r="F2671" s="2">
        <f>IF(C2671="GBP",E2671*$C$3,IF(C2671="TRY",E2671/$C$1,IF(C2671="EUR",E2671*$E$1,IF(C2671="RUB",E2671/#REF!,IF(C2671="EGP",E2671/$E$2,E2671)))))</f>
        <v>51771.749723722052</v>
      </c>
      <c r="G2671" s="15" t="str">
        <f>VLOOKUP(B2671,SPECIFICATIONF!$C$2:$D$65,2,0)</f>
        <v>GLOBAL HFT</v>
      </c>
      <c r="H2671" s="12">
        <f t="shared" ref="H2671:H2678" si="214">MONTH(A2671)</f>
        <v>1</v>
      </c>
      <c r="I2671" s="12">
        <f t="shared" ref="I2671:I2678" si="215">YEAR(A2671)</f>
        <v>2026</v>
      </c>
    </row>
    <row r="2672" spans="1:9" ht="19.5" customHeight="1" x14ac:dyDescent="0.35">
      <c r="A2672" s="41">
        <v>46035</v>
      </c>
      <c r="B2672" s="8" t="s">
        <v>32</v>
      </c>
      <c r="C2672" s="42" t="s">
        <v>33</v>
      </c>
      <c r="D2672" s="43" t="s">
        <v>30</v>
      </c>
      <c r="E2672" s="46">
        <v>10414.540000000001</v>
      </c>
      <c r="F2672" s="2">
        <f>IF(C2672="GBP",E2672*$C$3,IF(C2672="TRY",E2672/$C$1,IF(C2672="EUR",E2672*$E$1,IF(C2672="RUB",E2672/#REF!,IF(C2672="EGP",E2672/$E$2,E2672)))))</f>
        <v>10414.540000000001</v>
      </c>
      <c r="G2672" s="15" t="str">
        <f>VLOOKUP(B2672,SPECIFICATIONF!$C$2:$D$65,2,0)</f>
        <v>GLOBAL HFT</v>
      </c>
      <c r="H2672" s="12">
        <f t="shared" si="214"/>
        <v>1</v>
      </c>
      <c r="I2672" s="12">
        <f t="shared" si="215"/>
        <v>2026</v>
      </c>
    </row>
    <row r="2673" spans="1:9" ht="19.5" customHeight="1" x14ac:dyDescent="0.35">
      <c r="A2673" s="41">
        <v>46035</v>
      </c>
      <c r="B2673" s="8" t="s">
        <v>32</v>
      </c>
      <c r="C2673" s="42" t="s">
        <v>11</v>
      </c>
      <c r="D2673" s="43" t="s">
        <v>29</v>
      </c>
      <c r="E2673" s="46">
        <v>6209158027</v>
      </c>
      <c r="F2673" s="2">
        <f>IF(C2673="GBP",E2673*$C$3,IF(C2673="TRY",E2673/$C$1,IF(C2673="EUR",E2673*$E$1,IF(C2673="RUB",E2673/#REF!,IF(C2673="EGP",E2673/$E$2,E2673)))))</f>
        <v>170268326.26299465</v>
      </c>
      <c r="G2673" s="15" t="str">
        <f>VLOOKUP(B2673,SPECIFICATIONF!$C$2:$D$65,2,0)</f>
        <v>GLOBAL HFT</v>
      </c>
      <c r="H2673" s="12">
        <f t="shared" si="214"/>
        <v>1</v>
      </c>
      <c r="I2673" s="12">
        <f t="shared" si="215"/>
        <v>2026</v>
      </c>
    </row>
    <row r="2674" spans="1:9" ht="19.5" customHeight="1" x14ac:dyDescent="0.35">
      <c r="A2674" s="41">
        <v>46035</v>
      </c>
      <c r="B2674" s="8" t="s">
        <v>32</v>
      </c>
      <c r="C2674" s="42" t="s">
        <v>33</v>
      </c>
      <c r="D2674" s="43" t="s">
        <v>29</v>
      </c>
      <c r="E2674" s="46">
        <v>30247575</v>
      </c>
      <c r="F2674" s="2">
        <f>IF(C2674="GBP",E2674*$C$3,IF(C2674="TRY",E2674/$C$1,IF(C2674="EUR",E2674*$E$1,IF(C2674="RUB",E2674/#REF!,IF(C2674="EGP",E2674/$E$2,E2674)))))</f>
        <v>30247575</v>
      </c>
      <c r="G2674" s="15" t="str">
        <f>VLOOKUP(B2674,SPECIFICATIONF!$C$2:$D$65,2,0)</f>
        <v>GLOBAL HFT</v>
      </c>
      <c r="H2674" s="12">
        <f t="shared" si="214"/>
        <v>1</v>
      </c>
      <c r="I2674" s="12">
        <f t="shared" si="215"/>
        <v>2026</v>
      </c>
    </row>
    <row r="2675" spans="1:9" ht="19.5" customHeight="1" x14ac:dyDescent="0.35">
      <c r="A2675" s="41">
        <v>46035</v>
      </c>
      <c r="B2675" s="8" t="s">
        <v>24</v>
      </c>
      <c r="C2675" s="42" t="s">
        <v>11</v>
      </c>
      <c r="D2675" s="43" t="s">
        <v>30</v>
      </c>
      <c r="E2675" s="46">
        <v>0</v>
      </c>
      <c r="F2675" s="2">
        <f>IF(C2675="GBP",E2675*$C$3,IF(C2675="TRY",E2675/$C$1,IF(C2675="EUR",E2675*$E$1,IF(C2675="RUB",E2675/#REF!,IF(C2675="EGP",E2675/$E$2,E2675)))))</f>
        <v>0</v>
      </c>
      <c r="G2675" s="15" t="str">
        <f>VLOOKUP(B2675,SPECIFICATIONF!$C$2:$D$65,2,0)</f>
        <v>GLOBAL RETAIL</v>
      </c>
      <c r="H2675" s="12">
        <f t="shared" si="214"/>
        <v>1</v>
      </c>
      <c r="I2675" s="12">
        <f t="shared" si="215"/>
        <v>2026</v>
      </c>
    </row>
    <row r="2676" spans="1:9" ht="19.5" customHeight="1" x14ac:dyDescent="0.35">
      <c r="A2676" s="41">
        <v>46035</v>
      </c>
      <c r="B2676" s="8" t="s">
        <v>24</v>
      </c>
      <c r="C2676" s="42" t="s">
        <v>33</v>
      </c>
      <c r="D2676" s="43" t="s">
        <v>30</v>
      </c>
      <c r="E2676" s="46">
        <v>0</v>
      </c>
      <c r="F2676" s="2">
        <f>IF(C2676="GBP",E2676*$C$3,IF(C2676="TRY",E2676/$C$1,IF(C2676="EUR",E2676*$E$1,IF(C2676="RUB",E2676/#REF!,IF(C2676="EGP",E2676/$E$2,E2676)))))</f>
        <v>0</v>
      </c>
      <c r="G2676" s="15" t="str">
        <f>VLOOKUP(B2676,SPECIFICATIONF!$C$2:$D$65,2,0)</f>
        <v>GLOBAL RETAIL</v>
      </c>
      <c r="H2676" s="12">
        <f t="shared" si="214"/>
        <v>1</v>
      </c>
      <c r="I2676" s="12">
        <f t="shared" si="215"/>
        <v>2026</v>
      </c>
    </row>
    <row r="2677" spans="1:9" ht="19.5" customHeight="1" x14ac:dyDescent="0.35">
      <c r="A2677" s="41">
        <v>46035</v>
      </c>
      <c r="B2677" s="8" t="s">
        <v>24</v>
      </c>
      <c r="C2677" s="42" t="s">
        <v>11</v>
      </c>
      <c r="D2677" s="43" t="s">
        <v>29</v>
      </c>
      <c r="E2677" s="46">
        <v>10358412</v>
      </c>
      <c r="F2677" s="2">
        <f>IF(C2677="GBP",E2677*$C$3,IF(C2677="TRY",E2677/$C$1,IF(C2677="EUR",E2677*$E$1,IF(C2677="RUB",E2677/#REF!,IF(C2677="EGP",E2677/$E$2,E2677)))))</f>
        <v>284049.69986480888</v>
      </c>
      <c r="G2677" s="15" t="str">
        <f>VLOOKUP(B2677,SPECIFICATIONF!$C$2:$D$65,2,0)</f>
        <v>GLOBAL RETAIL</v>
      </c>
      <c r="H2677" s="12">
        <f t="shared" si="214"/>
        <v>1</v>
      </c>
      <c r="I2677" s="12">
        <f t="shared" si="215"/>
        <v>2026</v>
      </c>
    </row>
    <row r="2678" spans="1:9" ht="19.5" customHeight="1" x14ac:dyDescent="0.35">
      <c r="A2678" s="41">
        <v>46035</v>
      </c>
      <c r="B2678" s="8" t="s">
        <v>24</v>
      </c>
      <c r="C2678" s="42" t="s">
        <v>33</v>
      </c>
      <c r="D2678" s="43" t="s">
        <v>29</v>
      </c>
      <c r="E2678" s="46">
        <v>0</v>
      </c>
      <c r="F2678" s="2">
        <f>IF(C2678="GBP",E2678*$C$3,IF(C2678="TRY",E2678/$C$1,IF(C2678="EUR",E2678*$E$1,IF(C2678="RUB",E2678/#REF!,IF(C2678="EGP",E2678/$E$2,E2678)))))</f>
        <v>0</v>
      </c>
      <c r="G2678" s="15" t="str">
        <f>VLOOKUP(B2678,SPECIFICATIONF!$C$2:$D$65,2,0)</f>
        <v>GLOBAL RETAIL</v>
      </c>
      <c r="H2678" s="12">
        <f t="shared" si="214"/>
        <v>1</v>
      </c>
      <c r="I2678" s="12">
        <f t="shared" si="215"/>
        <v>2026</v>
      </c>
    </row>
    <row r="2679" spans="1:9" ht="19.5" customHeight="1" x14ac:dyDescent="0.35">
      <c r="A2679" s="41">
        <v>46036</v>
      </c>
      <c r="B2679" s="8" t="s">
        <v>32</v>
      </c>
      <c r="C2679" s="42" t="s">
        <v>11</v>
      </c>
      <c r="D2679" s="43" t="s">
        <v>30</v>
      </c>
      <c r="E2679" s="46">
        <v>2714181.19</v>
      </c>
      <c r="F2679" s="2">
        <f>IF(C2679="GBP",E2679*$C$3,IF(C2679="TRY",E2679/$C$1,IF(C2679="EUR",E2679*$E$1,IF(C2679="RUB",E2679/#REF!,IF(C2679="EGP",E2679/$E$2,E2679)))))</f>
        <v>74428.624039882736</v>
      </c>
      <c r="G2679" s="15" t="str">
        <f>VLOOKUP(B2679,SPECIFICATIONF!$C$2:$D$65,2,0)</f>
        <v>GLOBAL HFT</v>
      </c>
      <c r="H2679" s="12">
        <f t="shared" ref="H2679:H2686" si="216">MONTH(A2679)</f>
        <v>1</v>
      </c>
      <c r="I2679" s="12">
        <f t="shared" ref="I2679:I2686" si="217">YEAR(A2679)</f>
        <v>2026</v>
      </c>
    </row>
    <row r="2680" spans="1:9" ht="19.5" customHeight="1" x14ac:dyDescent="0.35">
      <c r="A2680" s="41">
        <v>46036</v>
      </c>
      <c r="B2680" s="8" t="s">
        <v>32</v>
      </c>
      <c r="C2680" s="42" t="s">
        <v>33</v>
      </c>
      <c r="D2680" s="43" t="s">
        <v>30</v>
      </c>
      <c r="E2680" s="46">
        <v>15281.89</v>
      </c>
      <c r="F2680" s="2">
        <f>IF(C2680="GBP",E2680*$C$3,IF(C2680="TRY",E2680/$C$1,IF(C2680="EUR",E2680*$E$1,IF(C2680="RUB",E2680/#REF!,IF(C2680="EGP",E2680/$E$2,E2680)))))</f>
        <v>15281.89</v>
      </c>
      <c r="G2680" s="15" t="str">
        <f>VLOOKUP(B2680,SPECIFICATIONF!$C$2:$D$65,2,0)</f>
        <v>GLOBAL HFT</v>
      </c>
      <c r="H2680" s="12">
        <f t="shared" si="216"/>
        <v>1</v>
      </c>
      <c r="I2680" s="12">
        <f t="shared" si="217"/>
        <v>2026</v>
      </c>
    </row>
    <row r="2681" spans="1:9" ht="19.5" customHeight="1" x14ac:dyDescent="0.35">
      <c r="A2681" s="41">
        <v>46036</v>
      </c>
      <c r="B2681" s="8" t="s">
        <v>32</v>
      </c>
      <c r="C2681" s="42" t="s">
        <v>11</v>
      </c>
      <c r="D2681" s="43" t="s">
        <v>29</v>
      </c>
      <c r="E2681" s="46">
        <v>8750527501</v>
      </c>
      <c r="F2681" s="2">
        <f>IF(C2681="GBP",E2681*$C$3,IF(C2681="TRY",E2681/$C$1,IF(C2681="EUR",E2681*$E$1,IF(C2681="RUB",E2681/#REF!,IF(C2681="EGP",E2681/$E$2,E2681)))))</f>
        <v>239958085.30475581</v>
      </c>
      <c r="G2681" s="15" t="str">
        <f>VLOOKUP(B2681,SPECIFICATIONF!$C$2:$D$65,2,0)</f>
        <v>GLOBAL HFT</v>
      </c>
      <c r="H2681" s="12">
        <f t="shared" si="216"/>
        <v>1</v>
      </c>
      <c r="I2681" s="12">
        <f t="shared" si="217"/>
        <v>2026</v>
      </c>
    </row>
    <row r="2682" spans="1:9" ht="19.5" customHeight="1" x14ac:dyDescent="0.35">
      <c r="A2682" s="41">
        <v>46036</v>
      </c>
      <c r="B2682" s="8" t="s">
        <v>32</v>
      </c>
      <c r="C2682" s="42" t="s">
        <v>33</v>
      </c>
      <c r="D2682" s="43" t="s">
        <v>29</v>
      </c>
      <c r="E2682" s="46">
        <v>45713365</v>
      </c>
      <c r="F2682" s="2">
        <f>IF(C2682="GBP",E2682*$C$3,IF(C2682="TRY",E2682/$C$1,IF(C2682="EUR",E2682*$E$1,IF(C2682="RUB",E2682/#REF!,IF(C2682="EGP",E2682/$E$2,E2682)))))</f>
        <v>45713365</v>
      </c>
      <c r="G2682" s="15" t="str">
        <f>VLOOKUP(B2682,SPECIFICATIONF!$C$2:$D$65,2,0)</f>
        <v>GLOBAL HFT</v>
      </c>
      <c r="H2682" s="12">
        <f t="shared" si="216"/>
        <v>1</v>
      </c>
      <c r="I2682" s="12">
        <f t="shared" si="217"/>
        <v>2026</v>
      </c>
    </row>
    <row r="2683" spans="1:9" ht="19.5" customHeight="1" x14ac:dyDescent="0.35">
      <c r="A2683" s="41">
        <v>46036</v>
      </c>
      <c r="B2683" s="8" t="s">
        <v>24</v>
      </c>
      <c r="C2683" s="42" t="s">
        <v>11</v>
      </c>
      <c r="D2683" s="43" t="s">
        <v>30</v>
      </c>
      <c r="E2683" s="46">
        <v>0</v>
      </c>
      <c r="F2683" s="2">
        <f>IF(C2683="GBP",E2683*$C$3,IF(C2683="TRY",E2683/$C$1,IF(C2683="EUR",E2683*$E$1,IF(C2683="RUB",E2683/#REF!,IF(C2683="EGP",E2683/$E$2,E2683)))))</f>
        <v>0</v>
      </c>
      <c r="G2683" s="15" t="str">
        <f>VLOOKUP(B2683,SPECIFICATIONF!$C$2:$D$65,2,0)</f>
        <v>GLOBAL RETAIL</v>
      </c>
      <c r="H2683" s="12">
        <f t="shared" si="216"/>
        <v>1</v>
      </c>
      <c r="I2683" s="12">
        <f t="shared" si="217"/>
        <v>2026</v>
      </c>
    </row>
    <row r="2684" spans="1:9" ht="19.5" customHeight="1" x14ac:dyDescent="0.35">
      <c r="A2684" s="41">
        <v>46036</v>
      </c>
      <c r="B2684" s="8" t="s">
        <v>24</v>
      </c>
      <c r="C2684" s="42" t="s">
        <v>33</v>
      </c>
      <c r="D2684" s="43" t="s">
        <v>30</v>
      </c>
      <c r="E2684" s="46">
        <v>0</v>
      </c>
      <c r="F2684" s="2">
        <f>IF(C2684="GBP",E2684*$C$3,IF(C2684="TRY",E2684/$C$1,IF(C2684="EUR",E2684*$E$1,IF(C2684="RUB",E2684/#REF!,IF(C2684="EGP",E2684/$E$2,E2684)))))</f>
        <v>0</v>
      </c>
      <c r="G2684" s="15" t="str">
        <f>VLOOKUP(B2684,SPECIFICATIONF!$C$2:$D$65,2,0)</f>
        <v>GLOBAL RETAIL</v>
      </c>
      <c r="H2684" s="12">
        <f t="shared" si="216"/>
        <v>1</v>
      </c>
      <c r="I2684" s="12">
        <f t="shared" si="217"/>
        <v>2026</v>
      </c>
    </row>
    <row r="2685" spans="1:9" ht="19.5" customHeight="1" x14ac:dyDescent="0.35">
      <c r="A2685" s="41">
        <v>46036</v>
      </c>
      <c r="B2685" s="8" t="s">
        <v>24</v>
      </c>
      <c r="C2685" s="42" t="s">
        <v>11</v>
      </c>
      <c r="D2685" s="43" t="s">
        <v>29</v>
      </c>
      <c r="E2685" s="46">
        <v>13116091</v>
      </c>
      <c r="F2685" s="2">
        <f>IF(C2685="GBP",E2685*$C$3,IF(C2685="TRY",E2685/$C$1,IF(C2685="EUR",E2685*$E$1,IF(C2685="RUB",E2685/#REF!,IF(C2685="EGP",E2685/$E$2,E2685)))))</f>
        <v>359671.1264187523</v>
      </c>
      <c r="G2685" s="15" t="str">
        <f>VLOOKUP(B2685,SPECIFICATIONF!$C$2:$D$65,2,0)</f>
        <v>GLOBAL RETAIL</v>
      </c>
      <c r="H2685" s="12">
        <f t="shared" si="216"/>
        <v>1</v>
      </c>
      <c r="I2685" s="12">
        <f t="shared" si="217"/>
        <v>2026</v>
      </c>
    </row>
    <row r="2686" spans="1:9" ht="19.5" customHeight="1" x14ac:dyDescent="0.35">
      <c r="A2686" s="41">
        <v>46036</v>
      </c>
      <c r="B2686" s="8" t="s">
        <v>24</v>
      </c>
      <c r="C2686" s="42" t="s">
        <v>33</v>
      </c>
      <c r="D2686" s="43" t="s">
        <v>29</v>
      </c>
      <c r="E2686" s="46">
        <v>1131</v>
      </c>
      <c r="F2686" s="2">
        <f>IF(C2686="GBP",E2686*$C$3,IF(C2686="TRY",E2686/$C$1,IF(C2686="EUR",E2686*$E$1,IF(C2686="RUB",E2686/#REF!,IF(C2686="EGP",E2686/$E$2,E2686)))))</f>
        <v>1131</v>
      </c>
      <c r="G2686" s="15" t="str">
        <f>VLOOKUP(B2686,SPECIFICATIONF!$C$2:$D$65,2,0)</f>
        <v>GLOBAL RETAIL</v>
      </c>
      <c r="H2686" s="12">
        <f t="shared" si="216"/>
        <v>1</v>
      </c>
      <c r="I2686" s="12">
        <f t="shared" si="217"/>
        <v>2026</v>
      </c>
    </row>
    <row r="2687" spans="1:9" ht="19.5" customHeight="1" x14ac:dyDescent="0.35">
      <c r="A2687" s="41">
        <v>46037</v>
      </c>
      <c r="B2687" s="8" t="s">
        <v>32</v>
      </c>
      <c r="C2687" s="42" t="s">
        <v>11</v>
      </c>
      <c r="D2687" s="43" t="s">
        <v>30</v>
      </c>
      <c r="E2687" s="46">
        <v>1774665.12</v>
      </c>
      <c r="F2687" s="2">
        <f>IF(C2687="GBP",E2687*$C$3,IF(C2687="TRY",E2687/$C$1,IF(C2687="EUR",E2687*$E$1,IF(C2687="RUB",E2687/#REF!,IF(C2687="EGP",E2687/$E$2,E2687)))))</f>
        <v>48665.094099032271</v>
      </c>
      <c r="G2687" s="15" t="str">
        <f>VLOOKUP(B2687,SPECIFICATIONF!$C$2:$D$65,2,0)</f>
        <v>GLOBAL HFT</v>
      </c>
      <c r="H2687" s="12">
        <f t="shared" ref="H2687:H2694" si="218">MONTH(A2687)</f>
        <v>1</v>
      </c>
      <c r="I2687" s="12">
        <f t="shared" ref="I2687:I2694" si="219">YEAR(A2687)</f>
        <v>2026</v>
      </c>
    </row>
    <row r="2688" spans="1:9" ht="19.5" customHeight="1" x14ac:dyDescent="0.35">
      <c r="A2688" s="41">
        <v>46037</v>
      </c>
      <c r="B2688" s="8" t="s">
        <v>32</v>
      </c>
      <c r="C2688" s="42" t="s">
        <v>33</v>
      </c>
      <c r="D2688" s="43" t="s">
        <v>30</v>
      </c>
      <c r="E2688" s="46">
        <v>8975.7099999999991</v>
      </c>
      <c r="F2688" s="2">
        <f>IF(C2688="GBP",E2688*$C$3,IF(C2688="TRY",E2688/$C$1,IF(C2688="EUR",E2688*$E$1,IF(C2688="RUB",E2688/#REF!,IF(C2688="EGP",E2688/$E$2,E2688)))))</f>
        <v>8975.7099999999991</v>
      </c>
      <c r="G2688" s="15" t="str">
        <f>VLOOKUP(B2688,SPECIFICATIONF!$C$2:$D$65,2,0)</f>
        <v>GLOBAL HFT</v>
      </c>
      <c r="H2688" s="12">
        <f t="shared" si="218"/>
        <v>1</v>
      </c>
      <c r="I2688" s="12">
        <f t="shared" si="219"/>
        <v>2026</v>
      </c>
    </row>
    <row r="2689" spans="1:9" ht="19.5" customHeight="1" x14ac:dyDescent="0.35">
      <c r="A2689" s="41">
        <v>46037</v>
      </c>
      <c r="B2689" s="8" t="s">
        <v>32</v>
      </c>
      <c r="C2689" s="42" t="s">
        <v>11</v>
      </c>
      <c r="D2689" s="43" t="s">
        <v>29</v>
      </c>
      <c r="E2689" s="46">
        <v>6212344586</v>
      </c>
      <c r="F2689" s="2">
        <f>IF(C2689="GBP",E2689*$C$3,IF(C2689="TRY",E2689/$C$1,IF(C2689="EUR",E2689*$E$1,IF(C2689="RUB",E2689/#REF!,IF(C2689="EGP",E2689/$E$2,E2689)))))</f>
        <v>170355708.49181038</v>
      </c>
      <c r="G2689" s="15" t="str">
        <f>VLOOKUP(B2689,SPECIFICATIONF!$C$2:$D$65,2,0)</f>
        <v>GLOBAL HFT</v>
      </c>
      <c r="H2689" s="12">
        <f t="shared" si="218"/>
        <v>1</v>
      </c>
      <c r="I2689" s="12">
        <f t="shared" si="219"/>
        <v>2026</v>
      </c>
    </row>
    <row r="2690" spans="1:9" ht="19.5" customHeight="1" x14ac:dyDescent="0.35">
      <c r="A2690" s="41">
        <v>46037</v>
      </c>
      <c r="B2690" s="8" t="s">
        <v>32</v>
      </c>
      <c r="C2690" s="42" t="s">
        <v>33</v>
      </c>
      <c r="D2690" s="43" t="s">
        <v>29</v>
      </c>
      <c r="E2690" s="46">
        <v>27837102</v>
      </c>
      <c r="F2690" s="2">
        <f>IF(C2690="GBP",E2690*$C$3,IF(C2690="TRY",E2690/$C$1,IF(C2690="EUR",E2690*$E$1,IF(C2690="RUB",E2690/#REF!,IF(C2690="EGP",E2690/$E$2,E2690)))))</f>
        <v>27837102</v>
      </c>
      <c r="G2690" s="15" t="str">
        <f>VLOOKUP(B2690,SPECIFICATIONF!$C$2:$D$65,2,0)</f>
        <v>GLOBAL HFT</v>
      </c>
      <c r="H2690" s="12">
        <f t="shared" si="218"/>
        <v>1</v>
      </c>
      <c r="I2690" s="12">
        <f t="shared" si="219"/>
        <v>2026</v>
      </c>
    </row>
    <row r="2691" spans="1:9" ht="19.5" customHeight="1" x14ac:dyDescent="0.35">
      <c r="A2691" s="41">
        <v>46037</v>
      </c>
      <c r="B2691" s="8" t="s">
        <v>24</v>
      </c>
      <c r="C2691" s="42" t="s">
        <v>11</v>
      </c>
      <c r="D2691" s="43" t="s">
        <v>30</v>
      </c>
      <c r="E2691" s="46">
        <v>0</v>
      </c>
      <c r="F2691" s="2">
        <f>IF(C2691="GBP",E2691*$C$3,IF(C2691="TRY",E2691/$C$1,IF(C2691="EUR",E2691*$E$1,IF(C2691="RUB",E2691/#REF!,IF(C2691="EGP",E2691/$E$2,E2691)))))</f>
        <v>0</v>
      </c>
      <c r="G2691" s="15" t="str">
        <f>VLOOKUP(B2691,SPECIFICATIONF!$C$2:$D$65,2,0)</f>
        <v>GLOBAL RETAIL</v>
      </c>
      <c r="H2691" s="12">
        <f t="shared" si="218"/>
        <v>1</v>
      </c>
      <c r="I2691" s="12">
        <f t="shared" si="219"/>
        <v>2026</v>
      </c>
    </row>
    <row r="2692" spans="1:9" ht="19.5" customHeight="1" x14ac:dyDescent="0.35">
      <c r="A2692" s="41">
        <v>46037</v>
      </c>
      <c r="B2692" s="8" t="s">
        <v>24</v>
      </c>
      <c r="C2692" s="42" t="s">
        <v>33</v>
      </c>
      <c r="D2692" s="43" t="s">
        <v>30</v>
      </c>
      <c r="E2692" s="46">
        <v>0</v>
      </c>
      <c r="F2692" s="2">
        <f>IF(C2692="GBP",E2692*$C$3,IF(C2692="TRY",E2692/$C$1,IF(C2692="EUR",E2692*$E$1,IF(C2692="RUB",E2692/#REF!,IF(C2692="EGP",E2692/$E$2,E2692)))))</f>
        <v>0</v>
      </c>
      <c r="G2692" s="15" t="str">
        <f>VLOOKUP(B2692,SPECIFICATIONF!$C$2:$D$65,2,0)</f>
        <v>GLOBAL RETAIL</v>
      </c>
      <c r="H2692" s="12">
        <f t="shared" si="218"/>
        <v>1</v>
      </c>
      <c r="I2692" s="12">
        <f t="shared" si="219"/>
        <v>2026</v>
      </c>
    </row>
    <row r="2693" spans="1:9" ht="19.5" customHeight="1" x14ac:dyDescent="0.35">
      <c r="A2693" s="41">
        <v>46037</v>
      </c>
      <c r="B2693" s="8" t="s">
        <v>24</v>
      </c>
      <c r="C2693" s="42" t="s">
        <v>11</v>
      </c>
      <c r="D2693" s="43" t="s">
        <v>29</v>
      </c>
      <c r="E2693" s="46">
        <v>15233839</v>
      </c>
      <c r="F2693" s="2">
        <f>IF(C2693="GBP",E2693*$C$3,IF(C2693="TRY",E2693/$C$1,IF(C2693="EUR",E2693*$E$1,IF(C2693="RUB",E2693/#REF!,IF(C2693="EGP",E2693/$E$2,E2693)))))</f>
        <v>417744.28317186265</v>
      </c>
      <c r="G2693" s="15" t="str">
        <f>VLOOKUP(B2693,SPECIFICATIONF!$C$2:$D$65,2,0)</f>
        <v>GLOBAL RETAIL</v>
      </c>
      <c r="H2693" s="12">
        <f t="shared" si="218"/>
        <v>1</v>
      </c>
      <c r="I2693" s="12">
        <f t="shared" si="219"/>
        <v>2026</v>
      </c>
    </row>
    <row r="2694" spans="1:9" ht="19.5" customHeight="1" x14ac:dyDescent="0.35">
      <c r="A2694" s="41">
        <v>46037</v>
      </c>
      <c r="B2694" s="8" t="s">
        <v>24</v>
      </c>
      <c r="C2694" s="42" t="s">
        <v>33</v>
      </c>
      <c r="D2694" s="43" t="s">
        <v>29</v>
      </c>
      <c r="E2694" s="46">
        <v>0</v>
      </c>
      <c r="F2694" s="2">
        <f>IF(C2694="GBP",E2694*$C$3,IF(C2694="TRY",E2694/$C$1,IF(C2694="EUR",E2694*$E$1,IF(C2694="RUB",E2694/#REF!,IF(C2694="EGP",E2694/$E$2,E2694)))))</f>
        <v>0</v>
      </c>
      <c r="G2694" s="15" t="str">
        <f>VLOOKUP(B2694,SPECIFICATIONF!$C$2:$D$65,2,0)</f>
        <v>GLOBAL RETAIL</v>
      </c>
      <c r="H2694" s="12">
        <f t="shared" si="218"/>
        <v>1</v>
      </c>
      <c r="I2694" s="12">
        <f t="shared" si="219"/>
        <v>2026</v>
      </c>
    </row>
    <row r="2695" spans="1:9" ht="19.5" customHeight="1" x14ac:dyDescent="0.35">
      <c r="A2695" s="41">
        <v>46038</v>
      </c>
      <c r="B2695" s="8" t="s">
        <v>32</v>
      </c>
      <c r="C2695" s="42" t="s">
        <v>11</v>
      </c>
      <c r="D2695" s="43" t="s">
        <v>30</v>
      </c>
      <c r="E2695" s="46">
        <v>1555343.99</v>
      </c>
      <c r="F2695" s="2">
        <f>IF(C2695="GBP",E2695*$C$3,IF(C2695="TRY",E2695/$C$1,IF(C2695="EUR",E2695*$E$1,IF(C2695="RUB",E2695/#REF!,IF(C2695="EGP",E2695/$E$2,E2695)))))</f>
        <v>42650.841996440606</v>
      </c>
      <c r="G2695" s="15" t="str">
        <f>VLOOKUP(B2695,SPECIFICATIONF!$C$2:$D$65,2,0)</f>
        <v>GLOBAL HFT</v>
      </c>
      <c r="H2695" s="12">
        <f t="shared" ref="H2695:H2702" si="220">MONTH(A2695)</f>
        <v>1</v>
      </c>
      <c r="I2695" s="12">
        <f t="shared" ref="I2695:I2702" si="221">YEAR(A2695)</f>
        <v>2026</v>
      </c>
    </row>
    <row r="2696" spans="1:9" ht="19.5" customHeight="1" x14ac:dyDescent="0.35">
      <c r="A2696" s="41">
        <v>46038</v>
      </c>
      <c r="B2696" s="8" t="s">
        <v>32</v>
      </c>
      <c r="C2696" s="42" t="s">
        <v>33</v>
      </c>
      <c r="D2696" s="43" t="s">
        <v>30</v>
      </c>
      <c r="E2696" s="46">
        <v>7399.62</v>
      </c>
      <c r="F2696" s="2">
        <f>IF(C2696="GBP",E2696*$C$3,IF(C2696="TRY",E2696/$C$1,IF(C2696="EUR",E2696*$E$1,IF(C2696="RUB",E2696/#REF!,IF(C2696="EGP",E2696/$E$2,E2696)))))</f>
        <v>7399.62</v>
      </c>
      <c r="G2696" s="15" t="str">
        <f>VLOOKUP(B2696,SPECIFICATIONF!$C$2:$D$65,2,0)</f>
        <v>GLOBAL HFT</v>
      </c>
      <c r="H2696" s="12">
        <f t="shared" si="220"/>
        <v>1</v>
      </c>
      <c r="I2696" s="12">
        <f t="shared" si="221"/>
        <v>2026</v>
      </c>
    </row>
    <row r="2697" spans="1:9" ht="19.5" customHeight="1" x14ac:dyDescent="0.35">
      <c r="A2697" s="41">
        <v>46038</v>
      </c>
      <c r="B2697" s="8" t="s">
        <v>32</v>
      </c>
      <c r="C2697" s="42" t="s">
        <v>11</v>
      </c>
      <c r="D2697" s="43" t="s">
        <v>29</v>
      </c>
      <c r="E2697" s="46">
        <v>5423501927</v>
      </c>
      <c r="F2697" s="2">
        <f>IF(C2697="GBP",E2697*$C$3,IF(C2697="TRY",E2697/$C$1,IF(C2697="EUR",E2697*$E$1,IF(C2697="RUB",E2697/#REF!,IF(C2697="EGP",E2697/$E$2,E2697)))))</f>
        <v>148723964.11540326</v>
      </c>
      <c r="G2697" s="15" t="str">
        <f>VLOOKUP(B2697,SPECIFICATIONF!$C$2:$D$65,2,0)</f>
        <v>GLOBAL HFT</v>
      </c>
      <c r="H2697" s="12">
        <f t="shared" si="220"/>
        <v>1</v>
      </c>
      <c r="I2697" s="12">
        <f t="shared" si="221"/>
        <v>2026</v>
      </c>
    </row>
    <row r="2698" spans="1:9" ht="19.5" customHeight="1" x14ac:dyDescent="0.35">
      <c r="A2698" s="41">
        <v>46038</v>
      </c>
      <c r="B2698" s="8" t="s">
        <v>32</v>
      </c>
      <c r="C2698" s="42" t="s">
        <v>33</v>
      </c>
      <c r="D2698" s="43" t="s">
        <v>29</v>
      </c>
      <c r="E2698" s="46">
        <v>22221493</v>
      </c>
      <c r="F2698" s="2">
        <f>IF(C2698="GBP",E2698*$C$3,IF(C2698="TRY",E2698/$C$1,IF(C2698="EUR",E2698*$E$1,IF(C2698="RUB",E2698/#REF!,IF(C2698="EGP",E2698/$E$2,E2698)))))</f>
        <v>22221493</v>
      </c>
      <c r="G2698" s="15" t="str">
        <f>VLOOKUP(B2698,SPECIFICATIONF!$C$2:$D$65,2,0)</f>
        <v>GLOBAL HFT</v>
      </c>
      <c r="H2698" s="12">
        <f t="shared" si="220"/>
        <v>1</v>
      </c>
      <c r="I2698" s="12">
        <f t="shared" si="221"/>
        <v>2026</v>
      </c>
    </row>
    <row r="2699" spans="1:9" ht="19.5" customHeight="1" x14ac:dyDescent="0.35">
      <c r="A2699" s="41">
        <v>46038</v>
      </c>
      <c r="B2699" s="8" t="s">
        <v>24</v>
      </c>
      <c r="C2699" s="42" t="s">
        <v>11</v>
      </c>
      <c r="D2699" s="43" t="s">
        <v>30</v>
      </c>
      <c r="E2699" s="46">
        <v>0</v>
      </c>
      <c r="F2699" s="2">
        <f>IF(C2699="GBP",E2699*$C$3,IF(C2699="TRY",E2699/$C$1,IF(C2699="EUR",E2699*$E$1,IF(C2699="RUB",E2699/#REF!,IF(C2699="EGP",E2699/$E$2,E2699)))))</f>
        <v>0</v>
      </c>
      <c r="G2699" s="15" t="str">
        <f>VLOOKUP(B2699,SPECIFICATIONF!$C$2:$D$65,2,0)</f>
        <v>GLOBAL RETAIL</v>
      </c>
      <c r="H2699" s="12">
        <f t="shared" si="220"/>
        <v>1</v>
      </c>
      <c r="I2699" s="12">
        <f t="shared" si="221"/>
        <v>2026</v>
      </c>
    </row>
    <row r="2700" spans="1:9" ht="19.5" customHeight="1" x14ac:dyDescent="0.35">
      <c r="A2700" s="41">
        <v>46038</v>
      </c>
      <c r="B2700" s="8" t="s">
        <v>24</v>
      </c>
      <c r="C2700" s="42" t="s">
        <v>33</v>
      </c>
      <c r="D2700" s="43" t="s">
        <v>30</v>
      </c>
      <c r="E2700" s="46">
        <v>0</v>
      </c>
      <c r="F2700" s="2">
        <f>IF(C2700="GBP",E2700*$C$3,IF(C2700="TRY",E2700/$C$1,IF(C2700="EUR",E2700*$E$1,IF(C2700="RUB",E2700/#REF!,IF(C2700="EGP",E2700/$E$2,E2700)))))</f>
        <v>0</v>
      </c>
      <c r="G2700" s="15" t="str">
        <f>VLOOKUP(B2700,SPECIFICATIONF!$C$2:$D$65,2,0)</f>
        <v>GLOBAL RETAIL</v>
      </c>
      <c r="H2700" s="12">
        <f t="shared" si="220"/>
        <v>1</v>
      </c>
      <c r="I2700" s="12">
        <f t="shared" si="221"/>
        <v>2026</v>
      </c>
    </row>
    <row r="2701" spans="1:9" ht="19.5" customHeight="1" x14ac:dyDescent="0.35">
      <c r="A2701" s="41">
        <v>46038</v>
      </c>
      <c r="B2701" s="8" t="s">
        <v>24</v>
      </c>
      <c r="C2701" s="42" t="s">
        <v>11</v>
      </c>
      <c r="D2701" s="43" t="s">
        <v>29</v>
      </c>
      <c r="E2701" s="46">
        <v>18730501</v>
      </c>
      <c r="F2701" s="2">
        <f>IF(C2701="GBP",E2701*$C$3,IF(C2701="TRY",E2701/$C$1,IF(C2701="EUR",E2701*$E$1,IF(C2701="RUB",E2701/#REF!,IF(C2701="EGP",E2701/$E$2,E2701)))))</f>
        <v>513630.19615048164</v>
      </c>
      <c r="G2701" s="15" t="str">
        <f>VLOOKUP(B2701,SPECIFICATIONF!$C$2:$D$65,2,0)</f>
        <v>GLOBAL RETAIL</v>
      </c>
      <c r="H2701" s="12">
        <f t="shared" si="220"/>
        <v>1</v>
      </c>
      <c r="I2701" s="12">
        <f t="shared" si="221"/>
        <v>2026</v>
      </c>
    </row>
    <row r="2702" spans="1:9" ht="19.5" customHeight="1" x14ac:dyDescent="0.35">
      <c r="A2702" s="41">
        <v>46038</v>
      </c>
      <c r="B2702" s="8" t="s">
        <v>24</v>
      </c>
      <c r="C2702" s="42" t="s">
        <v>33</v>
      </c>
      <c r="D2702" s="43" t="s">
        <v>29</v>
      </c>
      <c r="E2702" s="46">
        <v>0</v>
      </c>
      <c r="F2702" s="2">
        <f>IF(C2702="GBP",E2702*$C$3,IF(C2702="TRY",E2702/$C$1,IF(C2702="EUR",E2702*$E$1,IF(C2702="RUB",E2702/#REF!,IF(C2702="EGP",E2702/$E$2,E2702)))))</f>
        <v>0</v>
      </c>
      <c r="G2702" s="15" t="str">
        <f>VLOOKUP(B2702,SPECIFICATIONF!$C$2:$D$65,2,0)</f>
        <v>GLOBAL RETAIL</v>
      </c>
      <c r="H2702" s="12">
        <f t="shared" si="220"/>
        <v>1</v>
      </c>
      <c r="I2702" s="12">
        <f t="shared" si="221"/>
        <v>2026</v>
      </c>
    </row>
    <row r="2703" spans="1:9" ht="19.5" customHeight="1" x14ac:dyDescent="0.35">
      <c r="A2703" s="41">
        <v>46039</v>
      </c>
      <c r="B2703" s="8" t="s">
        <v>32</v>
      </c>
      <c r="C2703" s="42" t="s">
        <v>11</v>
      </c>
      <c r="D2703" s="43" t="s">
        <v>30</v>
      </c>
      <c r="E2703" s="46">
        <v>1553809.95</v>
      </c>
      <c r="F2703" s="2">
        <f>IF(C2703="GBP",E2703*$C$3,IF(C2703="TRY",E2703/$C$1,IF(C2703="EUR",E2703*$E$1,IF(C2703="RUB",E2703/#REF!,IF(C2703="EGP",E2703/$E$2,E2703)))))</f>
        <v>42608.775355185106</v>
      </c>
      <c r="G2703" s="15" t="str">
        <f>VLOOKUP(B2703,SPECIFICATIONF!$C$2:$D$65,2,0)</f>
        <v>GLOBAL HFT</v>
      </c>
      <c r="H2703" s="12">
        <f t="shared" ref="H2703:H2726" si="222">MONTH(A2703)</f>
        <v>1</v>
      </c>
      <c r="I2703" s="12">
        <f t="shared" ref="I2703:I2726" si="223">YEAR(A2703)</f>
        <v>2026</v>
      </c>
    </row>
    <row r="2704" spans="1:9" ht="19.5" customHeight="1" x14ac:dyDescent="0.35">
      <c r="A2704" s="41">
        <v>46039</v>
      </c>
      <c r="B2704" s="8" t="s">
        <v>32</v>
      </c>
      <c r="C2704" s="42" t="s">
        <v>33</v>
      </c>
      <c r="D2704" s="43" t="s">
        <v>30</v>
      </c>
      <c r="E2704" s="46">
        <v>5978.38</v>
      </c>
      <c r="F2704" s="2">
        <f>IF(C2704="GBP",E2704*$C$3,IF(C2704="TRY",E2704/$C$1,IF(C2704="EUR",E2704*$E$1,IF(C2704="RUB",E2704/#REF!,IF(C2704="EGP",E2704/$E$2,E2704)))))</f>
        <v>5978.38</v>
      </c>
      <c r="G2704" s="15" t="str">
        <f>VLOOKUP(B2704,SPECIFICATIONF!$C$2:$D$65,2,0)</f>
        <v>GLOBAL HFT</v>
      </c>
      <c r="H2704" s="12">
        <f t="shared" si="222"/>
        <v>1</v>
      </c>
      <c r="I2704" s="12">
        <f t="shared" si="223"/>
        <v>2026</v>
      </c>
    </row>
    <row r="2705" spans="1:9" ht="19.5" customHeight="1" x14ac:dyDescent="0.35">
      <c r="A2705" s="41">
        <v>46039</v>
      </c>
      <c r="B2705" s="8" t="s">
        <v>32</v>
      </c>
      <c r="C2705" s="42" t="s">
        <v>11</v>
      </c>
      <c r="D2705" s="43" t="s">
        <v>29</v>
      </c>
      <c r="E2705" s="46">
        <v>5576536139</v>
      </c>
      <c r="F2705" s="2">
        <f>IF(C2705="GBP",E2705*$C$3,IF(C2705="TRY",E2705/$C$1,IF(C2705="EUR",E2705*$E$1,IF(C2705="RUB",E2705/#REF!,IF(C2705="EGP",E2705/$E$2,E2705)))))</f>
        <v>152920487.86707944</v>
      </c>
      <c r="G2705" s="15" t="str">
        <f>VLOOKUP(B2705,SPECIFICATIONF!$C$2:$D$65,2,0)</f>
        <v>GLOBAL HFT</v>
      </c>
      <c r="H2705" s="12">
        <f t="shared" si="222"/>
        <v>1</v>
      </c>
      <c r="I2705" s="12">
        <f t="shared" si="223"/>
        <v>2026</v>
      </c>
    </row>
    <row r="2706" spans="1:9" ht="19.5" customHeight="1" x14ac:dyDescent="0.35">
      <c r="A2706" s="41">
        <v>46039</v>
      </c>
      <c r="B2706" s="8" t="s">
        <v>32</v>
      </c>
      <c r="C2706" s="42" t="s">
        <v>33</v>
      </c>
      <c r="D2706" s="43" t="s">
        <v>29</v>
      </c>
      <c r="E2706" s="46">
        <v>19023414</v>
      </c>
      <c r="F2706" s="2">
        <f>IF(C2706="GBP",E2706*$C$3,IF(C2706="TRY",E2706/$C$1,IF(C2706="EUR",E2706*$E$1,IF(C2706="RUB",E2706/#REF!,IF(C2706="EGP",E2706/$E$2,E2706)))))</f>
        <v>19023414</v>
      </c>
      <c r="G2706" s="15" t="str">
        <f>VLOOKUP(B2706,SPECIFICATIONF!$C$2:$D$65,2,0)</f>
        <v>GLOBAL HFT</v>
      </c>
      <c r="H2706" s="12">
        <f t="shared" si="222"/>
        <v>1</v>
      </c>
      <c r="I2706" s="12">
        <f t="shared" si="223"/>
        <v>2026</v>
      </c>
    </row>
    <row r="2707" spans="1:9" ht="19.5" customHeight="1" x14ac:dyDescent="0.35">
      <c r="A2707" s="41">
        <v>46039</v>
      </c>
      <c r="B2707" s="8" t="s">
        <v>24</v>
      </c>
      <c r="C2707" s="42" t="s">
        <v>11</v>
      </c>
      <c r="D2707" s="43" t="s">
        <v>30</v>
      </c>
      <c r="E2707" s="46">
        <v>0</v>
      </c>
      <c r="F2707" s="2">
        <f>IF(C2707="GBP",E2707*$C$3,IF(C2707="TRY",E2707/$C$1,IF(C2707="EUR",E2707*$E$1,IF(C2707="RUB",E2707/#REF!,IF(C2707="EGP",E2707/$E$2,E2707)))))</f>
        <v>0</v>
      </c>
      <c r="G2707" s="15" t="str">
        <f>VLOOKUP(B2707,SPECIFICATIONF!$C$2:$D$65,2,0)</f>
        <v>GLOBAL RETAIL</v>
      </c>
      <c r="H2707" s="12">
        <f t="shared" si="222"/>
        <v>1</v>
      </c>
      <c r="I2707" s="12">
        <f t="shared" si="223"/>
        <v>2026</v>
      </c>
    </row>
    <row r="2708" spans="1:9" ht="19.5" customHeight="1" x14ac:dyDescent="0.35">
      <c r="A2708" s="41">
        <v>46039</v>
      </c>
      <c r="B2708" s="8" t="s">
        <v>24</v>
      </c>
      <c r="C2708" s="42" t="s">
        <v>33</v>
      </c>
      <c r="D2708" s="43" t="s">
        <v>30</v>
      </c>
      <c r="E2708" s="46">
        <v>0</v>
      </c>
      <c r="F2708" s="2">
        <f>IF(C2708="GBP",E2708*$C$3,IF(C2708="TRY",E2708/$C$1,IF(C2708="EUR",E2708*$E$1,IF(C2708="RUB",E2708/#REF!,IF(C2708="EGP",E2708/$E$2,E2708)))))</f>
        <v>0</v>
      </c>
      <c r="G2708" s="15" t="str">
        <f>VLOOKUP(B2708,SPECIFICATIONF!$C$2:$D$65,2,0)</f>
        <v>GLOBAL RETAIL</v>
      </c>
      <c r="H2708" s="12">
        <f t="shared" si="222"/>
        <v>1</v>
      </c>
      <c r="I2708" s="12">
        <f t="shared" si="223"/>
        <v>2026</v>
      </c>
    </row>
    <row r="2709" spans="1:9" ht="19.5" customHeight="1" x14ac:dyDescent="0.35">
      <c r="A2709" s="41">
        <v>46039</v>
      </c>
      <c r="B2709" s="8" t="s">
        <v>24</v>
      </c>
      <c r="C2709" s="42" t="s">
        <v>11</v>
      </c>
      <c r="D2709" s="43" t="s">
        <v>29</v>
      </c>
      <c r="E2709" s="46">
        <v>32797192</v>
      </c>
      <c r="F2709" s="2">
        <f>IF(C2709="GBP",E2709*$C$3,IF(C2709="TRY",E2709/$C$1,IF(C2709="EUR",E2709*$E$1,IF(C2709="RUB",E2709/#REF!,IF(C2709="EGP",E2709/$E$2,E2709)))))</f>
        <v>899368.79745742027</v>
      </c>
      <c r="G2709" s="15" t="str">
        <f>VLOOKUP(B2709,SPECIFICATIONF!$C$2:$D$65,2,0)</f>
        <v>GLOBAL RETAIL</v>
      </c>
      <c r="H2709" s="12">
        <f t="shared" si="222"/>
        <v>1</v>
      </c>
      <c r="I2709" s="12">
        <f t="shared" si="223"/>
        <v>2026</v>
      </c>
    </row>
    <row r="2710" spans="1:9" ht="19.5" customHeight="1" x14ac:dyDescent="0.35">
      <c r="A2710" s="41">
        <v>46039</v>
      </c>
      <c r="B2710" s="8" t="s">
        <v>24</v>
      </c>
      <c r="C2710" s="42" t="s">
        <v>33</v>
      </c>
      <c r="D2710" s="43" t="s">
        <v>29</v>
      </c>
      <c r="E2710" s="46">
        <v>381</v>
      </c>
      <c r="F2710" s="2">
        <f>IF(C2710="GBP",E2710*$C$3,IF(C2710="TRY",E2710/$C$1,IF(C2710="EUR",E2710*$E$1,IF(C2710="RUB",E2710/#REF!,IF(C2710="EGP",E2710/$E$2,E2710)))))</f>
        <v>381</v>
      </c>
      <c r="G2710" s="15" t="str">
        <f>VLOOKUP(B2710,SPECIFICATIONF!$C$2:$D$65,2,0)</f>
        <v>GLOBAL RETAIL</v>
      </c>
      <c r="H2710" s="12">
        <f t="shared" si="222"/>
        <v>1</v>
      </c>
      <c r="I2710" s="12">
        <f t="shared" si="223"/>
        <v>2026</v>
      </c>
    </row>
    <row r="2711" spans="1:9" ht="19.5" customHeight="1" x14ac:dyDescent="0.35">
      <c r="A2711" s="41">
        <v>46040</v>
      </c>
      <c r="B2711" s="8" t="s">
        <v>32</v>
      </c>
      <c r="C2711" s="42" t="s">
        <v>11</v>
      </c>
      <c r="D2711" s="43" t="s">
        <v>30</v>
      </c>
      <c r="E2711" s="46">
        <v>1558917.89</v>
      </c>
      <c r="F2711" s="2">
        <f>IF(C2711="GBP",E2711*$C$3,IF(C2711="TRY",E2711/$C$1,IF(C2711="EUR",E2711*$E$1,IF(C2711="RUB",E2711/#REF!,IF(C2711="EGP",E2711/$E$2,E2711)))))</f>
        <v>42748.845939742612</v>
      </c>
      <c r="G2711" s="15" t="str">
        <f>VLOOKUP(B2711,SPECIFICATIONF!$C$2:$D$65,2,0)</f>
        <v>GLOBAL HFT</v>
      </c>
      <c r="H2711" s="12">
        <f t="shared" si="222"/>
        <v>1</v>
      </c>
      <c r="I2711" s="12">
        <f t="shared" si="223"/>
        <v>2026</v>
      </c>
    </row>
    <row r="2712" spans="1:9" ht="19.5" customHeight="1" x14ac:dyDescent="0.35">
      <c r="A2712" s="41">
        <v>46040</v>
      </c>
      <c r="B2712" s="8" t="s">
        <v>32</v>
      </c>
      <c r="C2712" s="42" t="s">
        <v>33</v>
      </c>
      <c r="D2712" s="43" t="s">
        <v>30</v>
      </c>
      <c r="E2712" s="46">
        <v>6277.89</v>
      </c>
      <c r="F2712" s="2">
        <f>IF(C2712="GBP",E2712*$C$3,IF(C2712="TRY",E2712/$C$1,IF(C2712="EUR",E2712*$E$1,IF(C2712="RUB",E2712/#REF!,IF(C2712="EGP",E2712/$E$2,E2712)))))</f>
        <v>6277.89</v>
      </c>
      <c r="G2712" s="15" t="str">
        <f>VLOOKUP(B2712,SPECIFICATIONF!$C$2:$D$65,2,0)</f>
        <v>GLOBAL HFT</v>
      </c>
      <c r="H2712" s="12">
        <f t="shared" si="222"/>
        <v>1</v>
      </c>
      <c r="I2712" s="12">
        <f t="shared" si="223"/>
        <v>2026</v>
      </c>
    </row>
    <row r="2713" spans="1:9" ht="19.5" customHeight="1" x14ac:dyDescent="0.35">
      <c r="A2713" s="41">
        <v>46040</v>
      </c>
      <c r="B2713" s="8" t="s">
        <v>32</v>
      </c>
      <c r="C2713" s="42" t="s">
        <v>11</v>
      </c>
      <c r="D2713" s="43" t="s">
        <v>29</v>
      </c>
      <c r="E2713" s="46">
        <v>5642660050</v>
      </c>
      <c r="F2713" s="2">
        <f>IF(C2713="GBP",E2713*$C$3,IF(C2713="TRY",E2713/$C$1,IF(C2713="EUR",E2713*$E$1,IF(C2713="RUB",E2713/#REF!,IF(C2713="EGP",E2713/$E$2,E2713)))))</f>
        <v>154733746.21917409</v>
      </c>
      <c r="G2713" s="15" t="str">
        <f>VLOOKUP(B2713,SPECIFICATIONF!$C$2:$D$65,2,0)</f>
        <v>GLOBAL HFT</v>
      </c>
      <c r="H2713" s="12">
        <f t="shared" si="222"/>
        <v>1</v>
      </c>
      <c r="I2713" s="12">
        <f t="shared" si="223"/>
        <v>2026</v>
      </c>
    </row>
    <row r="2714" spans="1:9" ht="19.5" customHeight="1" x14ac:dyDescent="0.35">
      <c r="A2714" s="41">
        <v>46040</v>
      </c>
      <c r="B2714" s="8" t="s">
        <v>32</v>
      </c>
      <c r="C2714" s="42" t="s">
        <v>33</v>
      </c>
      <c r="D2714" s="43" t="s">
        <v>29</v>
      </c>
      <c r="E2714" s="46">
        <v>19335997</v>
      </c>
      <c r="F2714" s="2">
        <f>IF(C2714="GBP",E2714*$C$3,IF(C2714="TRY",E2714/$C$1,IF(C2714="EUR",E2714*$E$1,IF(C2714="RUB",E2714/#REF!,IF(C2714="EGP",E2714/$E$2,E2714)))))</f>
        <v>19335997</v>
      </c>
      <c r="G2714" s="15" t="str">
        <f>VLOOKUP(B2714,SPECIFICATIONF!$C$2:$D$65,2,0)</f>
        <v>GLOBAL HFT</v>
      </c>
      <c r="H2714" s="12">
        <f t="shared" si="222"/>
        <v>1</v>
      </c>
      <c r="I2714" s="12">
        <f t="shared" si="223"/>
        <v>2026</v>
      </c>
    </row>
    <row r="2715" spans="1:9" ht="19.5" customHeight="1" x14ac:dyDescent="0.35">
      <c r="A2715" s="41">
        <v>46040</v>
      </c>
      <c r="B2715" s="8" t="s">
        <v>24</v>
      </c>
      <c r="C2715" s="42" t="s">
        <v>11</v>
      </c>
      <c r="D2715" s="43" t="s">
        <v>30</v>
      </c>
      <c r="E2715" s="46">
        <v>0</v>
      </c>
      <c r="F2715" s="2">
        <f>IF(C2715="GBP",E2715*$C$3,IF(C2715="TRY",E2715/$C$1,IF(C2715="EUR",E2715*$E$1,IF(C2715="RUB",E2715/#REF!,IF(C2715="EGP",E2715/$E$2,E2715)))))</f>
        <v>0</v>
      </c>
      <c r="G2715" s="15" t="str">
        <f>VLOOKUP(B2715,SPECIFICATIONF!$C$2:$D$65,2,0)</f>
        <v>GLOBAL RETAIL</v>
      </c>
      <c r="H2715" s="12">
        <f t="shared" si="222"/>
        <v>1</v>
      </c>
      <c r="I2715" s="12">
        <f t="shared" si="223"/>
        <v>2026</v>
      </c>
    </row>
    <row r="2716" spans="1:9" ht="19.5" customHeight="1" x14ac:dyDescent="0.35">
      <c r="A2716" s="41">
        <v>46040</v>
      </c>
      <c r="B2716" s="8" t="s">
        <v>24</v>
      </c>
      <c r="C2716" s="42" t="s">
        <v>33</v>
      </c>
      <c r="D2716" s="43" t="s">
        <v>30</v>
      </c>
      <c r="E2716" s="46">
        <v>0</v>
      </c>
      <c r="F2716" s="2">
        <f>IF(C2716="GBP",E2716*$C$3,IF(C2716="TRY",E2716/$C$1,IF(C2716="EUR",E2716*$E$1,IF(C2716="RUB",E2716/#REF!,IF(C2716="EGP",E2716/$E$2,E2716)))))</f>
        <v>0</v>
      </c>
      <c r="G2716" s="15" t="str">
        <f>VLOOKUP(B2716,SPECIFICATIONF!$C$2:$D$65,2,0)</f>
        <v>GLOBAL RETAIL</v>
      </c>
      <c r="H2716" s="12">
        <f t="shared" si="222"/>
        <v>1</v>
      </c>
      <c r="I2716" s="12">
        <f t="shared" si="223"/>
        <v>2026</v>
      </c>
    </row>
    <row r="2717" spans="1:9" ht="19.5" customHeight="1" x14ac:dyDescent="0.35">
      <c r="A2717" s="41">
        <v>46040</v>
      </c>
      <c r="B2717" s="8" t="s">
        <v>24</v>
      </c>
      <c r="C2717" s="42" t="s">
        <v>11</v>
      </c>
      <c r="D2717" s="43" t="s">
        <v>29</v>
      </c>
      <c r="E2717" s="46">
        <v>65502059</v>
      </c>
      <c r="F2717" s="2">
        <f>IF(C2717="GBP",E2717*$C$3,IF(C2717="TRY",E2717/$C$1,IF(C2717="EUR",E2717*$E$1,IF(C2717="RUB",E2717/#REF!,IF(C2717="EGP",E2717/$E$2,E2717)))))</f>
        <v>1796205.8469461347</v>
      </c>
      <c r="G2717" s="15" t="str">
        <f>VLOOKUP(B2717,SPECIFICATIONF!$C$2:$D$65,2,0)</f>
        <v>GLOBAL RETAIL</v>
      </c>
      <c r="H2717" s="12">
        <f t="shared" si="222"/>
        <v>1</v>
      </c>
      <c r="I2717" s="12">
        <f t="shared" si="223"/>
        <v>2026</v>
      </c>
    </row>
    <row r="2718" spans="1:9" ht="19.5" customHeight="1" x14ac:dyDescent="0.35">
      <c r="A2718" s="41">
        <v>46040</v>
      </c>
      <c r="B2718" s="8" t="s">
        <v>24</v>
      </c>
      <c r="C2718" s="42" t="s">
        <v>33</v>
      </c>
      <c r="D2718" s="43" t="s">
        <v>29</v>
      </c>
      <c r="E2718" s="46">
        <v>0</v>
      </c>
      <c r="F2718" s="2">
        <f>IF(C2718="GBP",E2718*$C$3,IF(C2718="TRY",E2718/$C$1,IF(C2718="EUR",E2718*$E$1,IF(C2718="RUB",E2718/#REF!,IF(C2718="EGP",E2718/$E$2,E2718)))))</f>
        <v>0</v>
      </c>
      <c r="G2718" s="15" t="str">
        <f>VLOOKUP(B2718,SPECIFICATIONF!$C$2:$D$65,2,0)</f>
        <v>GLOBAL RETAIL</v>
      </c>
      <c r="H2718" s="12">
        <f t="shared" si="222"/>
        <v>1</v>
      </c>
      <c r="I2718" s="12">
        <f t="shared" si="223"/>
        <v>2026</v>
      </c>
    </row>
    <row r="2719" spans="1:9" ht="19.5" customHeight="1" x14ac:dyDescent="0.35">
      <c r="A2719" s="41">
        <v>46041</v>
      </c>
      <c r="B2719" s="8" t="s">
        <v>32</v>
      </c>
      <c r="C2719" s="42" t="s">
        <v>11</v>
      </c>
      <c r="D2719" s="43" t="s">
        <v>30</v>
      </c>
      <c r="E2719" s="46">
        <v>1877155.45</v>
      </c>
      <c r="F2719" s="2">
        <f>IF(C2719="GBP",E2719*$C$3,IF(C2719="TRY",E2719/$C$1,IF(C2719="EUR",E2719*$E$1,IF(C2719="RUB",E2719/#REF!,IF(C2719="EGP",E2719/$E$2,E2719)))))</f>
        <v>51475.597048282136</v>
      </c>
      <c r="G2719" s="15" t="str">
        <f>VLOOKUP(B2719,SPECIFICATIONF!$C$2:$D$65,2,0)</f>
        <v>GLOBAL HFT</v>
      </c>
      <c r="H2719" s="12">
        <f t="shared" si="222"/>
        <v>1</v>
      </c>
      <c r="I2719" s="12">
        <f t="shared" si="223"/>
        <v>2026</v>
      </c>
    </row>
    <row r="2720" spans="1:9" ht="19.5" customHeight="1" x14ac:dyDescent="0.35">
      <c r="A2720" s="41">
        <v>46041</v>
      </c>
      <c r="B2720" s="8" t="s">
        <v>32</v>
      </c>
      <c r="C2720" s="42" t="s">
        <v>33</v>
      </c>
      <c r="D2720" s="43" t="s">
        <v>30</v>
      </c>
      <c r="E2720" s="46">
        <v>9681.81</v>
      </c>
      <c r="F2720" s="2">
        <f>IF(C2720="GBP",E2720*$C$3,IF(C2720="TRY",E2720/$C$1,IF(C2720="EUR",E2720*$E$1,IF(C2720="RUB",E2720/#REF!,IF(C2720="EGP",E2720/$E$2,E2720)))))</f>
        <v>9681.81</v>
      </c>
      <c r="G2720" s="15" t="str">
        <f>VLOOKUP(B2720,SPECIFICATIONF!$C$2:$D$65,2,0)</f>
        <v>GLOBAL HFT</v>
      </c>
      <c r="H2720" s="12">
        <f t="shared" si="222"/>
        <v>1</v>
      </c>
      <c r="I2720" s="12">
        <f t="shared" si="223"/>
        <v>2026</v>
      </c>
    </row>
    <row r="2721" spans="1:9" ht="19.5" customHeight="1" x14ac:dyDescent="0.35">
      <c r="A2721" s="41">
        <v>46041</v>
      </c>
      <c r="B2721" s="8" t="s">
        <v>32</v>
      </c>
      <c r="C2721" s="42" t="s">
        <v>11</v>
      </c>
      <c r="D2721" s="43" t="s">
        <v>29</v>
      </c>
      <c r="E2721" s="46">
        <v>6768600044</v>
      </c>
      <c r="F2721" s="2">
        <f>IF(C2721="GBP",E2721*$C$3,IF(C2721="TRY",E2721/$C$1,IF(C2721="EUR",E2721*$E$1,IF(C2721="RUB",E2721/#REF!,IF(C2721="EGP",E2721/$E$2,E2721)))))</f>
        <v>185609416.86844781</v>
      </c>
      <c r="G2721" s="15" t="str">
        <f>VLOOKUP(B2721,SPECIFICATIONF!$C$2:$D$65,2,0)</f>
        <v>GLOBAL HFT</v>
      </c>
      <c r="H2721" s="12">
        <f t="shared" si="222"/>
        <v>1</v>
      </c>
      <c r="I2721" s="12">
        <f t="shared" si="223"/>
        <v>2026</v>
      </c>
    </row>
    <row r="2722" spans="1:9" ht="19.5" customHeight="1" x14ac:dyDescent="0.35">
      <c r="A2722" s="41">
        <v>46041</v>
      </c>
      <c r="B2722" s="8" t="s">
        <v>32</v>
      </c>
      <c r="C2722" s="42" t="s">
        <v>33</v>
      </c>
      <c r="D2722" s="43" t="s">
        <v>29</v>
      </c>
      <c r="E2722" s="46">
        <v>29046445</v>
      </c>
      <c r="F2722" s="2">
        <f>IF(C2722="GBP",E2722*$C$3,IF(C2722="TRY",E2722/$C$1,IF(C2722="EUR",E2722*$E$1,IF(C2722="RUB",E2722/#REF!,IF(C2722="EGP",E2722/$E$2,E2722)))))</f>
        <v>29046445</v>
      </c>
      <c r="G2722" s="15" t="str">
        <f>VLOOKUP(B2722,SPECIFICATIONF!$C$2:$D$65,2,0)</f>
        <v>GLOBAL HFT</v>
      </c>
      <c r="H2722" s="12">
        <f t="shared" si="222"/>
        <v>1</v>
      </c>
      <c r="I2722" s="12">
        <f t="shared" si="223"/>
        <v>2026</v>
      </c>
    </row>
    <row r="2723" spans="1:9" ht="19.5" customHeight="1" x14ac:dyDescent="0.35">
      <c r="A2723" s="41">
        <v>46041</v>
      </c>
      <c r="B2723" s="8" t="s">
        <v>24</v>
      </c>
      <c r="C2723" s="42" t="s">
        <v>11</v>
      </c>
      <c r="D2723" s="43" t="s">
        <v>30</v>
      </c>
      <c r="E2723" s="46">
        <v>0</v>
      </c>
      <c r="F2723" s="2">
        <f>IF(C2723="GBP",E2723*$C$3,IF(C2723="TRY",E2723/$C$1,IF(C2723="EUR",E2723*$E$1,IF(C2723="RUB",E2723/#REF!,IF(C2723="EGP",E2723/$E$2,E2723)))))</f>
        <v>0</v>
      </c>
      <c r="G2723" s="15" t="str">
        <f>VLOOKUP(B2723,SPECIFICATIONF!$C$2:$D$65,2,0)</f>
        <v>GLOBAL RETAIL</v>
      </c>
      <c r="H2723" s="12">
        <f t="shared" si="222"/>
        <v>1</v>
      </c>
      <c r="I2723" s="12">
        <f t="shared" si="223"/>
        <v>2026</v>
      </c>
    </row>
    <row r="2724" spans="1:9" ht="19.5" customHeight="1" x14ac:dyDescent="0.35">
      <c r="A2724" s="41">
        <v>46041</v>
      </c>
      <c r="B2724" s="8" t="s">
        <v>24</v>
      </c>
      <c r="C2724" s="42" t="s">
        <v>33</v>
      </c>
      <c r="D2724" s="43" t="s">
        <v>30</v>
      </c>
      <c r="E2724" s="46">
        <v>0</v>
      </c>
      <c r="F2724" s="2">
        <f>IF(C2724="GBP",E2724*$C$3,IF(C2724="TRY",E2724/$C$1,IF(C2724="EUR",E2724*$E$1,IF(C2724="RUB",E2724/#REF!,IF(C2724="EGP",E2724/$E$2,E2724)))))</f>
        <v>0</v>
      </c>
      <c r="G2724" s="15" t="str">
        <f>VLOOKUP(B2724,SPECIFICATIONF!$C$2:$D$65,2,0)</f>
        <v>GLOBAL RETAIL</v>
      </c>
      <c r="H2724" s="12">
        <f t="shared" si="222"/>
        <v>1</v>
      </c>
      <c r="I2724" s="12">
        <f t="shared" si="223"/>
        <v>2026</v>
      </c>
    </row>
    <row r="2725" spans="1:9" ht="19.5" customHeight="1" x14ac:dyDescent="0.35">
      <c r="A2725" s="41">
        <v>46041</v>
      </c>
      <c r="B2725" s="8" t="s">
        <v>24</v>
      </c>
      <c r="C2725" s="42" t="s">
        <v>11</v>
      </c>
      <c r="D2725" s="43" t="s">
        <v>29</v>
      </c>
      <c r="E2725" s="46">
        <v>91803203</v>
      </c>
      <c r="F2725" s="2">
        <f>IF(C2725="GBP",E2725*$C$3,IF(C2725="TRY",E2725/$C$1,IF(C2725="EUR",E2725*$E$1,IF(C2725="RUB",E2725/#REF!,IF(C2725="EGP",E2725/$E$2,E2725)))))</f>
        <v>2517439.1845756015</v>
      </c>
      <c r="G2725" s="15" t="str">
        <f>VLOOKUP(B2725,SPECIFICATIONF!$C$2:$D$65,2,0)</f>
        <v>GLOBAL RETAIL</v>
      </c>
      <c r="H2725" s="12">
        <f t="shared" si="222"/>
        <v>1</v>
      </c>
      <c r="I2725" s="12">
        <f t="shared" si="223"/>
        <v>2026</v>
      </c>
    </row>
    <row r="2726" spans="1:9" ht="19.5" customHeight="1" x14ac:dyDescent="0.35">
      <c r="A2726" s="41">
        <v>46041</v>
      </c>
      <c r="B2726" s="8" t="s">
        <v>24</v>
      </c>
      <c r="C2726" s="42" t="s">
        <v>33</v>
      </c>
      <c r="D2726" s="43" t="s">
        <v>29</v>
      </c>
      <c r="E2726" s="46">
        <v>0</v>
      </c>
      <c r="F2726" s="2">
        <f>IF(C2726="GBP",E2726*$C$3,IF(C2726="TRY",E2726/$C$1,IF(C2726="EUR",E2726*$E$1,IF(C2726="RUB",E2726/#REF!,IF(C2726="EGP",E2726/$E$2,E2726)))))</f>
        <v>0</v>
      </c>
      <c r="G2726" s="15" t="str">
        <f>VLOOKUP(B2726,SPECIFICATIONF!$C$2:$D$65,2,0)</f>
        <v>GLOBAL RETAIL</v>
      </c>
      <c r="H2726" s="12">
        <f t="shared" si="222"/>
        <v>1</v>
      </c>
      <c r="I2726" s="12">
        <f t="shared" si="223"/>
        <v>2026</v>
      </c>
    </row>
    <row r="2727" spans="1:9" ht="19.5" customHeight="1" x14ac:dyDescent="0.35">
      <c r="A2727" s="41">
        <v>46042</v>
      </c>
      <c r="B2727" s="8" t="s">
        <v>32</v>
      </c>
      <c r="C2727" s="42" t="s">
        <v>11</v>
      </c>
      <c r="D2727" s="43" t="s">
        <v>30</v>
      </c>
      <c r="E2727" s="46">
        <v>1383485.74</v>
      </c>
      <c r="F2727" s="2">
        <f>IF(C2727="GBP",E2727*$C$3,IF(C2727="TRY",E2727/$C$1,IF(C2727="EUR",E2727*$E$1,IF(C2727="RUB",E2727/#REF!,IF(C2727="EGP",E2727/$E$2,E2727)))))</f>
        <v>37938.123065026091</v>
      </c>
      <c r="G2727" s="15" t="str">
        <f>VLOOKUP(B2727,SPECIFICATIONF!$C$2:$D$65,2,0)</f>
        <v>GLOBAL HFT</v>
      </c>
      <c r="H2727" s="12">
        <f t="shared" ref="H2727:H2734" si="224">MONTH(A2727)</f>
        <v>1</v>
      </c>
      <c r="I2727" s="12">
        <f t="shared" ref="I2727:I2734" si="225">YEAR(A2727)</f>
        <v>2026</v>
      </c>
    </row>
    <row r="2728" spans="1:9" ht="19.5" customHeight="1" x14ac:dyDescent="0.35">
      <c r="A2728" s="41">
        <v>46042</v>
      </c>
      <c r="B2728" s="8" t="s">
        <v>32</v>
      </c>
      <c r="C2728" s="42" t="s">
        <v>33</v>
      </c>
      <c r="D2728" s="43" t="s">
        <v>30</v>
      </c>
      <c r="E2728" s="46">
        <v>6870.46</v>
      </c>
      <c r="F2728" s="2">
        <f>IF(C2728="GBP",E2728*$C$3,IF(C2728="TRY",E2728/$C$1,IF(C2728="EUR",E2728*$E$1,IF(C2728="RUB",E2728/#REF!,IF(C2728="EGP",E2728/$E$2,E2728)))))</f>
        <v>6870.46</v>
      </c>
      <c r="G2728" s="15" t="str">
        <f>VLOOKUP(B2728,SPECIFICATIONF!$C$2:$D$65,2,0)</f>
        <v>GLOBAL HFT</v>
      </c>
      <c r="H2728" s="12">
        <f t="shared" si="224"/>
        <v>1</v>
      </c>
      <c r="I2728" s="12">
        <f t="shared" si="225"/>
        <v>2026</v>
      </c>
    </row>
    <row r="2729" spans="1:9" ht="19.5" customHeight="1" x14ac:dyDescent="0.35">
      <c r="A2729" s="41">
        <v>46042</v>
      </c>
      <c r="B2729" s="8" t="s">
        <v>32</v>
      </c>
      <c r="C2729" s="42" t="s">
        <v>11</v>
      </c>
      <c r="D2729" s="43" t="s">
        <v>29</v>
      </c>
      <c r="E2729" s="46">
        <v>5181305753</v>
      </c>
      <c r="F2729" s="2">
        <f>IF(C2729="GBP",E2729*$C$3,IF(C2729="TRY",E2729/$C$1,IF(C2729="EUR",E2729*$E$1,IF(C2729="RUB",E2729/#REF!,IF(C2729="EGP",E2729/$E$2,E2729)))))</f>
        <v>142082429.62796399</v>
      </c>
      <c r="G2729" s="15" t="str">
        <f>VLOOKUP(B2729,SPECIFICATIONF!$C$2:$D$65,2,0)</f>
        <v>GLOBAL HFT</v>
      </c>
      <c r="H2729" s="12">
        <f t="shared" si="224"/>
        <v>1</v>
      </c>
      <c r="I2729" s="12">
        <f t="shared" si="225"/>
        <v>2026</v>
      </c>
    </row>
    <row r="2730" spans="1:9" ht="19.5" customHeight="1" x14ac:dyDescent="0.35">
      <c r="A2730" s="41">
        <v>46042</v>
      </c>
      <c r="B2730" s="8" t="s">
        <v>32</v>
      </c>
      <c r="C2730" s="42" t="s">
        <v>33</v>
      </c>
      <c r="D2730" s="43" t="s">
        <v>29</v>
      </c>
      <c r="E2730" s="46">
        <v>22670591</v>
      </c>
      <c r="F2730" s="2">
        <f>IF(C2730="GBP",E2730*$C$3,IF(C2730="TRY",E2730/$C$1,IF(C2730="EUR",E2730*$E$1,IF(C2730="RUB",E2730/#REF!,IF(C2730="EGP",E2730/$E$2,E2730)))))</f>
        <v>22670591</v>
      </c>
      <c r="G2730" s="15" t="str">
        <f>VLOOKUP(B2730,SPECIFICATIONF!$C$2:$D$65,2,0)</f>
        <v>GLOBAL HFT</v>
      </c>
      <c r="H2730" s="12">
        <f t="shared" si="224"/>
        <v>1</v>
      </c>
      <c r="I2730" s="12">
        <f t="shared" si="225"/>
        <v>2026</v>
      </c>
    </row>
    <row r="2731" spans="1:9" ht="19.5" customHeight="1" x14ac:dyDescent="0.35">
      <c r="A2731" s="41">
        <v>46042</v>
      </c>
      <c r="B2731" s="8" t="s">
        <v>24</v>
      </c>
      <c r="C2731" s="42" t="s">
        <v>11</v>
      </c>
      <c r="D2731" s="43" t="s">
        <v>30</v>
      </c>
      <c r="E2731" s="46">
        <v>0</v>
      </c>
      <c r="F2731" s="2">
        <f>IF(C2731="GBP",E2731*$C$3,IF(C2731="TRY",E2731/$C$1,IF(C2731="EUR",E2731*$E$1,IF(C2731="RUB",E2731/#REF!,IF(C2731="EGP",E2731/$E$2,E2731)))))</f>
        <v>0</v>
      </c>
      <c r="G2731" s="15" t="str">
        <f>VLOOKUP(B2731,SPECIFICATIONF!$C$2:$D$65,2,0)</f>
        <v>GLOBAL RETAIL</v>
      </c>
      <c r="H2731" s="12">
        <f t="shared" si="224"/>
        <v>1</v>
      </c>
      <c r="I2731" s="12">
        <f t="shared" si="225"/>
        <v>2026</v>
      </c>
    </row>
    <row r="2732" spans="1:9" ht="19.5" customHeight="1" x14ac:dyDescent="0.35">
      <c r="A2732" s="41">
        <v>46042</v>
      </c>
      <c r="B2732" s="8" t="s">
        <v>24</v>
      </c>
      <c r="C2732" s="42" t="s">
        <v>33</v>
      </c>
      <c r="D2732" s="43" t="s">
        <v>30</v>
      </c>
      <c r="E2732" s="46">
        <v>0</v>
      </c>
      <c r="F2732" s="2">
        <f>IF(C2732="GBP",E2732*$C$3,IF(C2732="TRY",E2732/$C$1,IF(C2732="EUR",E2732*$E$1,IF(C2732="RUB",E2732/#REF!,IF(C2732="EGP",E2732/$E$2,E2732)))))</f>
        <v>0</v>
      </c>
      <c r="G2732" s="15" t="str">
        <f>VLOOKUP(B2732,SPECIFICATIONF!$C$2:$D$65,2,0)</f>
        <v>GLOBAL RETAIL</v>
      </c>
      <c r="H2732" s="12">
        <f t="shared" si="224"/>
        <v>1</v>
      </c>
      <c r="I2732" s="12">
        <f t="shared" si="225"/>
        <v>2026</v>
      </c>
    </row>
    <row r="2733" spans="1:9" ht="19.5" customHeight="1" x14ac:dyDescent="0.35">
      <c r="A2733" s="41">
        <v>46042</v>
      </c>
      <c r="B2733" s="8" t="s">
        <v>24</v>
      </c>
      <c r="C2733" s="42" t="s">
        <v>11</v>
      </c>
      <c r="D2733" s="43" t="s">
        <v>29</v>
      </c>
      <c r="E2733" s="46">
        <v>42646793</v>
      </c>
      <c r="F2733" s="2">
        <f>IF(C2733="GBP",E2733*$C$3,IF(C2733="TRY",E2733/$C$1,IF(C2733="EUR",E2733*$E$1,IF(C2733="RUB",E2733/#REF!,IF(C2733="EGP",E2733/$E$2,E2733)))))</f>
        <v>1169465.8169463265</v>
      </c>
      <c r="G2733" s="15" t="str">
        <f>VLOOKUP(B2733,SPECIFICATIONF!$C$2:$D$65,2,0)</f>
        <v>GLOBAL RETAIL</v>
      </c>
      <c r="H2733" s="12">
        <f t="shared" si="224"/>
        <v>1</v>
      </c>
      <c r="I2733" s="12">
        <f t="shared" si="225"/>
        <v>2026</v>
      </c>
    </row>
    <row r="2734" spans="1:9" ht="19.5" customHeight="1" x14ac:dyDescent="0.35">
      <c r="A2734" s="41">
        <v>46042</v>
      </c>
      <c r="B2734" s="8" t="s">
        <v>24</v>
      </c>
      <c r="C2734" s="42" t="s">
        <v>33</v>
      </c>
      <c r="D2734" s="43" t="s">
        <v>29</v>
      </c>
      <c r="F2734" s="2">
        <f>IF(C2734="GBP",E2734*$C$3,IF(C2734="TRY",E2734/$C$1,IF(C2734="EUR",E2734*$E$1,IF(C2734="RUB",E2734/#REF!,IF(C2734="EGP",E2734/$E$2,E2734)))))</f>
        <v>0</v>
      </c>
      <c r="G2734" s="15" t="str">
        <f>VLOOKUP(B2734,SPECIFICATIONF!$C$2:$D$65,2,0)</f>
        <v>GLOBAL RETAIL</v>
      </c>
      <c r="H2734" s="12">
        <f t="shared" si="224"/>
        <v>1</v>
      </c>
      <c r="I2734" s="12">
        <f t="shared" si="225"/>
        <v>2026</v>
      </c>
    </row>
    <row r="2735" spans="1:9" ht="19.5" customHeight="1" x14ac:dyDescent="0.35">
      <c r="A2735" s="41">
        <v>46043</v>
      </c>
      <c r="B2735" s="8" t="s">
        <v>32</v>
      </c>
      <c r="C2735" s="42" t="s">
        <v>11</v>
      </c>
      <c r="D2735" s="43" t="s">
        <v>30</v>
      </c>
      <c r="E2735" s="46">
        <v>1362024.1</v>
      </c>
      <c r="F2735" s="2">
        <f>IF(C2735="GBP",E2735*$C$3,IF(C2735="TRY",E2735/$C$1,IF(C2735="EUR",E2735*$E$1,IF(C2735="RUB",E2735/#REF!,IF(C2735="EGP",E2735/$E$2,E2735)))))</f>
        <v>37349.599225599108</v>
      </c>
      <c r="G2735" s="15" t="str">
        <f>VLOOKUP(B2735,SPECIFICATIONF!$C$2:$D$65,2,0)</f>
        <v>GLOBAL HFT</v>
      </c>
      <c r="H2735" s="12">
        <f t="shared" ref="H2735:H2742" si="226">MONTH(A2735)</f>
        <v>1</v>
      </c>
      <c r="I2735" s="12">
        <f t="shared" ref="I2735:I2742" si="227">YEAR(A2735)</f>
        <v>2026</v>
      </c>
    </row>
    <row r="2736" spans="1:9" ht="19.5" customHeight="1" x14ac:dyDescent="0.35">
      <c r="A2736" s="41">
        <v>46043</v>
      </c>
      <c r="B2736" s="8" t="s">
        <v>32</v>
      </c>
      <c r="C2736" s="42" t="s">
        <v>33</v>
      </c>
      <c r="D2736" s="43" t="s">
        <v>30</v>
      </c>
      <c r="E2736" s="46">
        <v>6653.87</v>
      </c>
      <c r="F2736" s="2">
        <f>IF(C2736="GBP",E2736*$C$3,IF(C2736="TRY",E2736/$C$1,IF(C2736="EUR",E2736*$E$1,IF(C2736="RUB",E2736/#REF!,IF(C2736="EGP",E2736/$E$2,E2736)))))</f>
        <v>6653.87</v>
      </c>
      <c r="G2736" s="15" t="str">
        <f>VLOOKUP(B2736,SPECIFICATIONF!$C$2:$D$65,2,0)</f>
        <v>GLOBAL HFT</v>
      </c>
      <c r="H2736" s="12">
        <f t="shared" si="226"/>
        <v>1</v>
      </c>
      <c r="I2736" s="12">
        <f t="shared" si="227"/>
        <v>2026</v>
      </c>
    </row>
    <row r="2737" spans="1:9" ht="19.5" customHeight="1" x14ac:dyDescent="0.35">
      <c r="A2737" s="41">
        <v>46043</v>
      </c>
      <c r="B2737" s="8" t="s">
        <v>32</v>
      </c>
      <c r="C2737" s="42" t="s">
        <v>11</v>
      </c>
      <c r="D2737" s="43" t="s">
        <v>29</v>
      </c>
      <c r="E2737" s="46">
        <v>4820084894</v>
      </c>
      <c r="F2737" s="2">
        <f>IF(C2737="GBP",E2737*$C$3,IF(C2737="TRY",E2737/$C$1,IF(C2737="EUR",E2737*$E$1,IF(C2737="RUB",E2737/#REF!,IF(C2737="EGP",E2737/$E$2,E2737)))))</f>
        <v>132176984.99186933</v>
      </c>
      <c r="G2737" s="15" t="str">
        <f>VLOOKUP(B2737,SPECIFICATIONF!$C$2:$D$65,2,0)</f>
        <v>GLOBAL HFT</v>
      </c>
      <c r="H2737" s="12">
        <f t="shared" si="226"/>
        <v>1</v>
      </c>
      <c r="I2737" s="12">
        <f t="shared" si="227"/>
        <v>2026</v>
      </c>
    </row>
    <row r="2738" spans="1:9" ht="19.5" customHeight="1" x14ac:dyDescent="0.35">
      <c r="A2738" s="41">
        <v>46043</v>
      </c>
      <c r="B2738" s="8" t="s">
        <v>32</v>
      </c>
      <c r="C2738" s="42" t="s">
        <v>33</v>
      </c>
      <c r="D2738" s="43" t="s">
        <v>29</v>
      </c>
      <c r="E2738" s="46">
        <v>21421857</v>
      </c>
      <c r="F2738" s="2">
        <f>IF(C2738="GBP",E2738*$C$3,IF(C2738="TRY",E2738/$C$1,IF(C2738="EUR",E2738*$E$1,IF(C2738="RUB",E2738/#REF!,IF(C2738="EGP",E2738/$E$2,E2738)))))</f>
        <v>21421857</v>
      </c>
      <c r="G2738" s="15" t="str">
        <f>VLOOKUP(B2738,SPECIFICATIONF!$C$2:$D$65,2,0)</f>
        <v>GLOBAL HFT</v>
      </c>
      <c r="H2738" s="12">
        <f t="shared" si="226"/>
        <v>1</v>
      </c>
      <c r="I2738" s="12">
        <f t="shared" si="227"/>
        <v>2026</v>
      </c>
    </row>
    <row r="2739" spans="1:9" ht="19.5" customHeight="1" x14ac:dyDescent="0.35">
      <c r="A2739" s="41">
        <v>46043</v>
      </c>
      <c r="B2739" s="8" t="s">
        <v>24</v>
      </c>
      <c r="C2739" s="42" t="s">
        <v>11</v>
      </c>
      <c r="D2739" s="43" t="s">
        <v>30</v>
      </c>
      <c r="E2739" s="46">
        <v>0</v>
      </c>
      <c r="F2739" s="2">
        <f>IF(C2739="GBP",E2739*$C$3,IF(C2739="TRY",E2739/$C$1,IF(C2739="EUR",E2739*$E$1,IF(C2739="RUB",E2739/#REF!,IF(C2739="EGP",E2739/$E$2,E2739)))))</f>
        <v>0</v>
      </c>
      <c r="G2739" s="15" t="str">
        <f>VLOOKUP(B2739,SPECIFICATIONF!$C$2:$D$65,2,0)</f>
        <v>GLOBAL RETAIL</v>
      </c>
      <c r="H2739" s="12">
        <f t="shared" si="226"/>
        <v>1</v>
      </c>
      <c r="I2739" s="12">
        <f t="shared" si="227"/>
        <v>2026</v>
      </c>
    </row>
    <row r="2740" spans="1:9" ht="19.5" customHeight="1" x14ac:dyDescent="0.35">
      <c r="A2740" s="41">
        <v>46043</v>
      </c>
      <c r="B2740" s="8" t="s">
        <v>24</v>
      </c>
      <c r="C2740" s="42" t="s">
        <v>33</v>
      </c>
      <c r="D2740" s="43" t="s">
        <v>30</v>
      </c>
      <c r="E2740" s="46">
        <v>0</v>
      </c>
      <c r="F2740" s="2">
        <f>IF(C2740="GBP",E2740*$C$3,IF(C2740="TRY",E2740/$C$1,IF(C2740="EUR",E2740*$E$1,IF(C2740="RUB",E2740/#REF!,IF(C2740="EGP",E2740/$E$2,E2740)))))</f>
        <v>0</v>
      </c>
      <c r="G2740" s="15" t="str">
        <f>VLOOKUP(B2740,SPECIFICATIONF!$C$2:$D$65,2,0)</f>
        <v>GLOBAL RETAIL</v>
      </c>
      <c r="H2740" s="12">
        <f t="shared" si="226"/>
        <v>1</v>
      </c>
      <c r="I2740" s="12">
        <f t="shared" si="227"/>
        <v>2026</v>
      </c>
    </row>
    <row r="2741" spans="1:9" ht="19.5" customHeight="1" x14ac:dyDescent="0.35">
      <c r="A2741" s="41">
        <v>46043</v>
      </c>
      <c r="B2741" s="8" t="s">
        <v>24</v>
      </c>
      <c r="C2741" s="42" t="s">
        <v>11</v>
      </c>
      <c r="D2741" s="43" t="s">
        <v>29</v>
      </c>
      <c r="E2741" s="46">
        <v>9399892</v>
      </c>
      <c r="F2741" s="2">
        <f>IF(C2741="GBP",E2741*$C$3,IF(C2741="TRY",E2741/$C$1,IF(C2741="EUR",E2741*$E$1,IF(C2741="RUB",E2741/#REF!,IF(C2741="EGP",E2741/$E$2,E2741)))))</f>
        <v>257765.04172276775</v>
      </c>
      <c r="G2741" s="15" t="str">
        <f>VLOOKUP(B2741,SPECIFICATIONF!$C$2:$D$65,2,0)</f>
        <v>GLOBAL RETAIL</v>
      </c>
      <c r="H2741" s="12">
        <f t="shared" si="226"/>
        <v>1</v>
      </c>
      <c r="I2741" s="12">
        <f t="shared" si="227"/>
        <v>2026</v>
      </c>
    </row>
    <row r="2742" spans="1:9" ht="19.5" customHeight="1" x14ac:dyDescent="0.35">
      <c r="A2742" s="41">
        <v>46043</v>
      </c>
      <c r="B2742" s="8" t="s">
        <v>24</v>
      </c>
      <c r="C2742" s="42" t="s">
        <v>33</v>
      </c>
      <c r="D2742" s="43" t="s">
        <v>29</v>
      </c>
      <c r="E2742" s="46">
        <v>0</v>
      </c>
      <c r="F2742" s="2">
        <f>IF(C2742="GBP",E2742*$C$3,IF(C2742="TRY",E2742/$C$1,IF(C2742="EUR",E2742*$E$1,IF(C2742="RUB",E2742/#REF!,IF(C2742="EGP",E2742/$E$2,E2742)))))</f>
        <v>0</v>
      </c>
      <c r="G2742" s="15" t="str">
        <f>VLOOKUP(B2742,SPECIFICATIONF!$C$2:$D$65,2,0)</f>
        <v>GLOBAL RETAIL</v>
      </c>
      <c r="H2742" s="12">
        <f t="shared" si="226"/>
        <v>1</v>
      </c>
      <c r="I2742" s="12">
        <f t="shared" si="227"/>
        <v>2026</v>
      </c>
    </row>
    <row r="2743" spans="1:9" ht="19.5" customHeight="1" x14ac:dyDescent="0.35">
      <c r="A2743" s="41">
        <v>46044</v>
      </c>
      <c r="B2743" s="8" t="s">
        <v>32</v>
      </c>
      <c r="C2743" s="42" t="s">
        <v>11</v>
      </c>
      <c r="D2743" s="43" t="s">
        <v>30</v>
      </c>
      <c r="E2743" s="46">
        <v>976610.79</v>
      </c>
      <c r="F2743" s="2">
        <f>IF(C2743="GBP",E2743*$C$3,IF(C2743="TRY",E2743/$C$1,IF(C2743="EUR",E2743*$E$1,IF(C2743="RUB",E2743/#REF!,IF(C2743="EGP",E2743/$E$2,E2743)))))</f>
        <v>26780.746101258948</v>
      </c>
      <c r="G2743" s="15" t="str">
        <f>VLOOKUP(B2743,SPECIFICATIONF!$C$2:$D$65,2,0)</f>
        <v>GLOBAL HFT</v>
      </c>
      <c r="H2743" s="12">
        <f t="shared" ref="H2743:H2758" si="228">MONTH(A2743)</f>
        <v>1</v>
      </c>
      <c r="I2743" s="12">
        <f t="shared" ref="I2743:I2758" si="229">YEAR(A2743)</f>
        <v>2026</v>
      </c>
    </row>
    <row r="2744" spans="1:9" ht="19.5" customHeight="1" x14ac:dyDescent="0.35">
      <c r="A2744" s="41">
        <v>46044</v>
      </c>
      <c r="B2744" s="8" t="s">
        <v>32</v>
      </c>
      <c r="C2744" s="42" t="s">
        <v>33</v>
      </c>
      <c r="D2744" s="43" t="s">
        <v>30</v>
      </c>
      <c r="E2744" s="46">
        <v>4380.32</v>
      </c>
      <c r="F2744" s="2">
        <f>IF(C2744="GBP",E2744*$C$3,IF(C2744="TRY",E2744/$C$1,IF(C2744="EUR",E2744*$E$1,IF(C2744="RUB",E2744/#REF!,IF(C2744="EGP",E2744/$E$2,E2744)))))</f>
        <v>4380.32</v>
      </c>
      <c r="G2744" s="15" t="str">
        <f>VLOOKUP(B2744,SPECIFICATIONF!$C$2:$D$65,2,0)</f>
        <v>GLOBAL HFT</v>
      </c>
      <c r="H2744" s="12">
        <f t="shared" si="228"/>
        <v>1</v>
      </c>
      <c r="I2744" s="12">
        <f t="shared" si="229"/>
        <v>2026</v>
      </c>
    </row>
    <row r="2745" spans="1:9" ht="19.5" customHeight="1" x14ac:dyDescent="0.35">
      <c r="A2745" s="41">
        <v>46044</v>
      </c>
      <c r="B2745" s="8" t="s">
        <v>32</v>
      </c>
      <c r="C2745" s="42" t="s">
        <v>11</v>
      </c>
      <c r="D2745" s="43" t="s">
        <v>29</v>
      </c>
      <c r="E2745" s="46">
        <v>3531990447</v>
      </c>
      <c r="F2745" s="2">
        <f>IF(C2745="GBP",E2745*$C$3,IF(C2745="TRY",E2745/$C$1,IF(C2745="EUR",E2745*$E$1,IF(C2745="RUB",E2745/#REF!,IF(C2745="EGP",E2745/$E$2,E2745)))))</f>
        <v>96854694.174717337</v>
      </c>
      <c r="G2745" s="15" t="str">
        <f>VLOOKUP(B2745,SPECIFICATIONF!$C$2:$D$65,2,0)</f>
        <v>GLOBAL HFT</v>
      </c>
      <c r="H2745" s="12">
        <f t="shared" si="228"/>
        <v>1</v>
      </c>
      <c r="I2745" s="12">
        <f t="shared" si="229"/>
        <v>2026</v>
      </c>
    </row>
    <row r="2746" spans="1:9" ht="19.5" customHeight="1" x14ac:dyDescent="0.35">
      <c r="A2746" s="41">
        <v>46044</v>
      </c>
      <c r="B2746" s="8" t="s">
        <v>32</v>
      </c>
      <c r="C2746" s="42" t="s">
        <v>33</v>
      </c>
      <c r="D2746" s="43" t="s">
        <v>29</v>
      </c>
      <c r="E2746" s="46">
        <v>14399276</v>
      </c>
      <c r="F2746" s="2">
        <f>IF(C2746="GBP",E2746*$C$3,IF(C2746="TRY",E2746/$C$1,IF(C2746="EUR",E2746*$E$1,IF(C2746="RUB",E2746/#REF!,IF(C2746="EGP",E2746/$E$2,E2746)))))</f>
        <v>14399276</v>
      </c>
      <c r="G2746" s="15" t="str">
        <f>VLOOKUP(B2746,SPECIFICATIONF!$C$2:$D$65,2,0)</f>
        <v>GLOBAL HFT</v>
      </c>
      <c r="H2746" s="12">
        <f t="shared" si="228"/>
        <v>1</v>
      </c>
      <c r="I2746" s="12">
        <f t="shared" si="229"/>
        <v>2026</v>
      </c>
    </row>
    <row r="2747" spans="1:9" ht="19.5" customHeight="1" x14ac:dyDescent="0.35">
      <c r="A2747" s="41">
        <v>46044</v>
      </c>
      <c r="B2747" s="8" t="s">
        <v>24</v>
      </c>
      <c r="C2747" s="42" t="s">
        <v>11</v>
      </c>
      <c r="D2747" s="43" t="s">
        <v>30</v>
      </c>
      <c r="E2747" s="46">
        <v>0</v>
      </c>
      <c r="F2747" s="2">
        <f>IF(C2747="GBP",E2747*$C$3,IF(C2747="TRY",E2747/$C$1,IF(C2747="EUR",E2747*$E$1,IF(C2747="RUB",E2747/#REF!,IF(C2747="EGP",E2747/$E$2,E2747)))))</f>
        <v>0</v>
      </c>
      <c r="G2747" s="15" t="str">
        <f>VLOOKUP(B2747,SPECIFICATIONF!$C$2:$D$65,2,0)</f>
        <v>GLOBAL RETAIL</v>
      </c>
      <c r="H2747" s="12">
        <f t="shared" si="228"/>
        <v>1</v>
      </c>
      <c r="I2747" s="12">
        <f t="shared" si="229"/>
        <v>2026</v>
      </c>
    </row>
    <row r="2748" spans="1:9" ht="19.5" customHeight="1" x14ac:dyDescent="0.35">
      <c r="A2748" s="41">
        <v>46044</v>
      </c>
      <c r="B2748" s="8" t="s">
        <v>24</v>
      </c>
      <c r="C2748" s="42" t="s">
        <v>33</v>
      </c>
      <c r="D2748" s="43" t="s">
        <v>30</v>
      </c>
      <c r="E2748" s="46">
        <v>0</v>
      </c>
      <c r="F2748" s="2">
        <f>IF(C2748="GBP",E2748*$C$3,IF(C2748="TRY",E2748/$C$1,IF(C2748="EUR",E2748*$E$1,IF(C2748="RUB",E2748/#REF!,IF(C2748="EGP",E2748/$E$2,E2748)))))</f>
        <v>0</v>
      </c>
      <c r="G2748" s="15" t="str">
        <f>VLOOKUP(B2748,SPECIFICATIONF!$C$2:$D$65,2,0)</f>
        <v>GLOBAL RETAIL</v>
      </c>
      <c r="H2748" s="12">
        <f t="shared" si="228"/>
        <v>1</v>
      </c>
      <c r="I2748" s="12">
        <f t="shared" si="229"/>
        <v>2026</v>
      </c>
    </row>
    <row r="2749" spans="1:9" ht="19.5" customHeight="1" x14ac:dyDescent="0.35">
      <c r="A2749" s="41">
        <v>46044</v>
      </c>
      <c r="B2749" s="8" t="s">
        <v>24</v>
      </c>
      <c r="C2749" s="42" t="s">
        <v>11</v>
      </c>
      <c r="D2749" s="43" t="s">
        <v>29</v>
      </c>
      <c r="E2749" s="46">
        <v>24117304</v>
      </c>
      <c r="F2749" s="2">
        <f>IF(C2749="GBP",E2749*$C$3,IF(C2749="TRY",E2749/$C$1,IF(C2749="EUR",E2749*$E$1,IF(C2749="RUB",E2749/#REF!,IF(C2749="EGP",E2749/$E$2,E2749)))))</f>
        <v>661347.79759178869</v>
      </c>
      <c r="G2749" s="15" t="str">
        <f>VLOOKUP(B2749,SPECIFICATIONF!$C$2:$D$65,2,0)</f>
        <v>GLOBAL RETAIL</v>
      </c>
      <c r="H2749" s="12">
        <f t="shared" si="228"/>
        <v>1</v>
      </c>
      <c r="I2749" s="12">
        <f t="shared" si="229"/>
        <v>2026</v>
      </c>
    </row>
    <row r="2750" spans="1:9" ht="19.5" customHeight="1" x14ac:dyDescent="0.35">
      <c r="A2750" s="41">
        <v>46044</v>
      </c>
      <c r="B2750" s="8" t="s">
        <v>24</v>
      </c>
      <c r="C2750" s="42" t="s">
        <v>33</v>
      </c>
      <c r="D2750" s="43" t="s">
        <v>29</v>
      </c>
      <c r="E2750" s="46">
        <v>13603</v>
      </c>
      <c r="F2750" s="2">
        <f>IF(C2750="GBP",E2750*$C$3,IF(C2750="TRY",E2750/$C$1,IF(C2750="EUR",E2750*$E$1,IF(C2750="RUB",E2750/#REF!,IF(C2750="EGP",E2750/$E$2,E2750)))))</f>
        <v>13603</v>
      </c>
      <c r="G2750" s="15" t="str">
        <f>VLOOKUP(B2750,SPECIFICATIONF!$C$2:$D$65,2,0)</f>
        <v>GLOBAL RETAIL</v>
      </c>
      <c r="H2750" s="12">
        <f t="shared" si="228"/>
        <v>1</v>
      </c>
      <c r="I2750" s="12">
        <f t="shared" si="229"/>
        <v>2026</v>
      </c>
    </row>
    <row r="2751" spans="1:9" ht="19.5" customHeight="1" x14ac:dyDescent="0.35">
      <c r="A2751" s="41">
        <v>46045</v>
      </c>
      <c r="B2751" s="8" t="s">
        <v>32</v>
      </c>
      <c r="C2751" s="42" t="s">
        <v>11</v>
      </c>
      <c r="D2751" s="43" t="s">
        <v>30</v>
      </c>
      <c r="E2751" s="46">
        <v>1346616.69</v>
      </c>
      <c r="F2751" s="2">
        <f>IF(C2751="GBP",E2751*$C$3,IF(C2751="TRY",E2751/$C$1,IF(C2751="EUR",E2751*$E$1,IF(C2751="RUB",E2751/#REF!,IF(C2751="EGP",E2751/$E$2,E2751)))))</f>
        <v>36927.095256246073</v>
      </c>
      <c r="G2751" s="15" t="str">
        <f>VLOOKUP(B2751,SPECIFICATIONF!$C$2:$D$65,2,0)</f>
        <v>GLOBAL HFT</v>
      </c>
      <c r="H2751" s="12">
        <f t="shared" si="228"/>
        <v>1</v>
      </c>
      <c r="I2751" s="12">
        <f t="shared" si="229"/>
        <v>2026</v>
      </c>
    </row>
    <row r="2752" spans="1:9" ht="19.5" customHeight="1" x14ac:dyDescent="0.35">
      <c r="A2752" s="41">
        <v>46045</v>
      </c>
      <c r="B2752" s="8" t="s">
        <v>32</v>
      </c>
      <c r="C2752" s="42" t="s">
        <v>33</v>
      </c>
      <c r="D2752" s="43" t="s">
        <v>30</v>
      </c>
      <c r="E2752" s="46">
        <v>5406.62</v>
      </c>
      <c r="F2752" s="2">
        <f>IF(C2752="GBP",E2752*$C$3,IF(C2752="TRY",E2752/$C$1,IF(C2752="EUR",E2752*$E$1,IF(C2752="RUB",E2752/#REF!,IF(C2752="EGP",E2752/$E$2,E2752)))))</f>
        <v>5406.62</v>
      </c>
      <c r="G2752" s="15" t="str">
        <f>VLOOKUP(B2752,SPECIFICATIONF!$C$2:$D$65,2,0)</f>
        <v>GLOBAL HFT</v>
      </c>
      <c r="H2752" s="12">
        <f t="shared" si="228"/>
        <v>1</v>
      </c>
      <c r="I2752" s="12">
        <f t="shared" si="229"/>
        <v>2026</v>
      </c>
    </row>
    <row r="2753" spans="1:9" ht="19.5" customHeight="1" x14ac:dyDescent="0.35">
      <c r="A2753" s="41">
        <v>46045</v>
      </c>
      <c r="B2753" s="8" t="s">
        <v>32</v>
      </c>
      <c r="C2753" s="42" t="s">
        <v>11</v>
      </c>
      <c r="D2753" s="43" t="s">
        <v>29</v>
      </c>
      <c r="E2753" s="46">
        <v>4885234390</v>
      </c>
      <c r="F2753" s="2">
        <f>IF(C2753="GBP",E2753*$C$3,IF(C2753="TRY",E2753/$C$1,IF(C2753="EUR",E2753*$E$1,IF(C2753="RUB",E2753/#REF!,IF(C2753="EGP",E2753/$E$2,E2753)))))</f>
        <v>133963522.81109717</v>
      </c>
      <c r="G2753" s="15" t="str">
        <f>VLOOKUP(B2753,SPECIFICATIONF!$C$2:$D$65,2,0)</f>
        <v>GLOBAL HFT</v>
      </c>
      <c r="H2753" s="12">
        <f t="shared" si="228"/>
        <v>1</v>
      </c>
      <c r="I2753" s="12">
        <f t="shared" si="229"/>
        <v>2026</v>
      </c>
    </row>
    <row r="2754" spans="1:9" ht="19.5" customHeight="1" x14ac:dyDescent="0.35">
      <c r="A2754" s="41">
        <v>46045</v>
      </c>
      <c r="B2754" s="8" t="s">
        <v>32</v>
      </c>
      <c r="C2754" s="42" t="s">
        <v>33</v>
      </c>
      <c r="D2754" s="43" t="s">
        <v>29</v>
      </c>
      <c r="E2754" s="46">
        <v>17272856</v>
      </c>
      <c r="F2754" s="2">
        <f>IF(C2754="GBP",E2754*$C$3,IF(C2754="TRY",E2754/$C$1,IF(C2754="EUR",E2754*$E$1,IF(C2754="RUB",E2754/#REF!,IF(C2754="EGP",E2754/$E$2,E2754)))))</f>
        <v>17272856</v>
      </c>
      <c r="G2754" s="15" t="str">
        <f>VLOOKUP(B2754,SPECIFICATIONF!$C$2:$D$65,2,0)</f>
        <v>GLOBAL HFT</v>
      </c>
      <c r="H2754" s="12">
        <f t="shared" si="228"/>
        <v>1</v>
      </c>
      <c r="I2754" s="12">
        <f t="shared" si="229"/>
        <v>2026</v>
      </c>
    </row>
    <row r="2755" spans="1:9" ht="19.5" customHeight="1" x14ac:dyDescent="0.35">
      <c r="A2755" s="41">
        <v>46045</v>
      </c>
      <c r="B2755" s="8" t="s">
        <v>24</v>
      </c>
      <c r="C2755" s="42" t="s">
        <v>11</v>
      </c>
      <c r="D2755" s="43" t="s">
        <v>30</v>
      </c>
      <c r="E2755" s="46">
        <v>0</v>
      </c>
      <c r="F2755" s="2">
        <f>IF(C2755="GBP",E2755*$C$3,IF(C2755="TRY",E2755/$C$1,IF(C2755="EUR",E2755*$E$1,IF(C2755="RUB",E2755/#REF!,IF(C2755="EGP",E2755/$E$2,E2755)))))</f>
        <v>0</v>
      </c>
      <c r="G2755" s="15" t="str">
        <f>VLOOKUP(B2755,SPECIFICATIONF!$C$2:$D$65,2,0)</f>
        <v>GLOBAL RETAIL</v>
      </c>
      <c r="H2755" s="12">
        <f t="shared" si="228"/>
        <v>1</v>
      </c>
      <c r="I2755" s="12">
        <f t="shared" si="229"/>
        <v>2026</v>
      </c>
    </row>
    <row r="2756" spans="1:9" ht="19.5" customHeight="1" x14ac:dyDescent="0.35">
      <c r="A2756" s="41">
        <v>46045</v>
      </c>
      <c r="B2756" s="8" t="s">
        <v>24</v>
      </c>
      <c r="C2756" s="42" t="s">
        <v>33</v>
      </c>
      <c r="D2756" s="43" t="s">
        <v>30</v>
      </c>
      <c r="E2756" s="46">
        <v>0</v>
      </c>
      <c r="F2756" s="2">
        <f>IF(C2756="GBP",E2756*$C$3,IF(C2756="TRY",E2756/$C$1,IF(C2756="EUR",E2756*$E$1,IF(C2756="RUB",E2756/#REF!,IF(C2756="EGP",E2756/$E$2,E2756)))))</f>
        <v>0</v>
      </c>
      <c r="G2756" s="15" t="str">
        <f>VLOOKUP(B2756,SPECIFICATIONF!$C$2:$D$65,2,0)</f>
        <v>GLOBAL RETAIL</v>
      </c>
      <c r="H2756" s="12">
        <f t="shared" si="228"/>
        <v>1</v>
      </c>
      <c r="I2756" s="12">
        <f t="shared" si="229"/>
        <v>2026</v>
      </c>
    </row>
    <row r="2757" spans="1:9" ht="19.5" customHeight="1" x14ac:dyDescent="0.35">
      <c r="A2757" s="41">
        <v>46045</v>
      </c>
      <c r="B2757" s="8" t="s">
        <v>24</v>
      </c>
      <c r="C2757" s="42" t="s">
        <v>11</v>
      </c>
      <c r="D2757" s="43" t="s">
        <v>29</v>
      </c>
      <c r="E2757" s="46">
        <v>17220365</v>
      </c>
      <c r="F2757" s="2">
        <f>IF(C2757="GBP",E2757*$C$3,IF(C2757="TRY",E2757/$C$1,IF(C2757="EUR",E2757*$E$1,IF(C2757="RUB",E2757/#REF!,IF(C2757="EGP",E2757/$E$2,E2757)))))</f>
        <v>472219.05344298523</v>
      </c>
      <c r="G2757" s="15" t="str">
        <f>VLOOKUP(B2757,SPECIFICATIONF!$C$2:$D$65,2,0)</f>
        <v>GLOBAL RETAIL</v>
      </c>
      <c r="H2757" s="12">
        <f t="shared" si="228"/>
        <v>1</v>
      </c>
      <c r="I2757" s="12">
        <f t="shared" si="229"/>
        <v>2026</v>
      </c>
    </row>
    <row r="2758" spans="1:9" ht="19.5" customHeight="1" x14ac:dyDescent="0.35">
      <c r="A2758" s="41">
        <v>46045</v>
      </c>
      <c r="B2758" s="8" t="s">
        <v>24</v>
      </c>
      <c r="C2758" s="42" t="s">
        <v>33</v>
      </c>
      <c r="D2758" s="43" t="s">
        <v>29</v>
      </c>
      <c r="E2758" s="46">
        <v>0</v>
      </c>
      <c r="F2758" s="2">
        <f>IF(C2758="GBP",E2758*$C$3,IF(C2758="TRY",E2758/$C$1,IF(C2758="EUR",E2758*$E$1,IF(C2758="RUB",E2758/#REF!,IF(C2758="EGP",E2758/$E$2,E2758)))))</f>
        <v>0</v>
      </c>
      <c r="G2758" s="15" t="str">
        <f>VLOOKUP(B2758,SPECIFICATIONF!$C$2:$D$65,2,0)</f>
        <v>GLOBAL RETAIL</v>
      </c>
      <c r="H2758" s="12">
        <f t="shared" si="228"/>
        <v>1</v>
      </c>
      <c r="I2758" s="12">
        <f t="shared" si="229"/>
        <v>2026</v>
      </c>
    </row>
    <row r="2759" spans="1:9" ht="19.5" customHeight="1" x14ac:dyDescent="0.35">
      <c r="A2759" s="41">
        <v>46046</v>
      </c>
      <c r="B2759" s="8" t="s">
        <v>32</v>
      </c>
      <c r="C2759" s="42" t="s">
        <v>11</v>
      </c>
      <c r="D2759" s="43" t="s">
        <v>30</v>
      </c>
      <c r="E2759" s="46">
        <v>1117521.53</v>
      </c>
      <c r="F2759" s="2">
        <f>IF(C2759="GBP",E2759*$C$3,IF(C2759="TRY",E2759/$C$1,IF(C2759="EUR",E2759*$E$1,IF(C2759="RUB",E2759/#REF!,IF(C2759="EGP",E2759/$E$2,E2759)))))</f>
        <v>30644.818451801497</v>
      </c>
      <c r="G2759" s="15" t="str">
        <f>VLOOKUP(B2759,SPECIFICATIONF!$C$2:$D$65,2,0)</f>
        <v>GLOBAL HFT</v>
      </c>
      <c r="H2759" s="12">
        <f t="shared" ref="H2759:H2782" si="230">MONTH(A2759)</f>
        <v>1</v>
      </c>
      <c r="I2759" s="12">
        <f t="shared" ref="I2759:I2782" si="231">YEAR(A2759)</f>
        <v>2026</v>
      </c>
    </row>
    <row r="2760" spans="1:9" ht="19.5" customHeight="1" x14ac:dyDescent="0.35">
      <c r="A2760" s="41">
        <v>46046</v>
      </c>
      <c r="B2760" s="8" t="s">
        <v>32</v>
      </c>
      <c r="C2760" s="42" t="s">
        <v>33</v>
      </c>
      <c r="D2760" s="43" t="s">
        <v>30</v>
      </c>
      <c r="E2760" s="46">
        <v>3722.68</v>
      </c>
      <c r="F2760" s="2">
        <f>IF(C2760="GBP",E2760*$C$3,IF(C2760="TRY",E2760/$C$1,IF(C2760="EUR",E2760*$E$1,IF(C2760="RUB",E2760/#REF!,IF(C2760="EGP",E2760/$E$2,E2760)))))</f>
        <v>3722.68</v>
      </c>
      <c r="G2760" s="15" t="str">
        <f>VLOOKUP(B2760,SPECIFICATIONF!$C$2:$D$65,2,0)</f>
        <v>GLOBAL HFT</v>
      </c>
      <c r="H2760" s="12">
        <f t="shared" si="230"/>
        <v>1</v>
      </c>
      <c r="I2760" s="12">
        <f t="shared" si="231"/>
        <v>2026</v>
      </c>
    </row>
    <row r="2761" spans="1:9" ht="19.5" customHeight="1" x14ac:dyDescent="0.35">
      <c r="A2761" s="41">
        <v>46046</v>
      </c>
      <c r="B2761" s="8" t="s">
        <v>32</v>
      </c>
      <c r="C2761" s="42" t="s">
        <v>11</v>
      </c>
      <c r="D2761" s="43" t="s">
        <v>29</v>
      </c>
      <c r="E2761" s="46">
        <v>4103459172</v>
      </c>
      <c r="F2761" s="2">
        <f>IF(C2761="GBP",E2761*$C$3,IF(C2761="TRY",E2761/$C$1,IF(C2761="EUR",E2761*$E$1,IF(C2761="RUB",E2761/#REF!,IF(C2761="EGP",E2761/$E$2,E2761)))))</f>
        <v>112525582.70650919</v>
      </c>
      <c r="G2761" s="15" t="str">
        <f>VLOOKUP(B2761,SPECIFICATIONF!$C$2:$D$65,2,0)</f>
        <v>GLOBAL HFT</v>
      </c>
      <c r="H2761" s="12">
        <f t="shared" si="230"/>
        <v>1</v>
      </c>
      <c r="I2761" s="12">
        <f t="shared" si="231"/>
        <v>2026</v>
      </c>
    </row>
    <row r="2762" spans="1:9" ht="19.5" customHeight="1" x14ac:dyDescent="0.35">
      <c r="A2762" s="41">
        <v>46046</v>
      </c>
      <c r="B2762" s="8" t="s">
        <v>32</v>
      </c>
      <c r="C2762" s="42" t="s">
        <v>33</v>
      </c>
      <c r="D2762" s="43" t="s">
        <v>29</v>
      </c>
      <c r="E2762" s="46">
        <v>12058166</v>
      </c>
      <c r="F2762" s="2">
        <f>IF(C2762="GBP",E2762*$C$3,IF(C2762="TRY",E2762/$C$1,IF(C2762="EUR",E2762*$E$1,IF(C2762="RUB",E2762/#REF!,IF(C2762="EGP",E2762/$E$2,E2762)))))</f>
        <v>12058166</v>
      </c>
      <c r="G2762" s="15" t="str">
        <f>VLOOKUP(B2762,SPECIFICATIONF!$C$2:$D$65,2,0)</f>
        <v>GLOBAL HFT</v>
      </c>
      <c r="H2762" s="12">
        <f t="shared" si="230"/>
        <v>1</v>
      </c>
      <c r="I2762" s="12">
        <f t="shared" si="231"/>
        <v>2026</v>
      </c>
    </row>
    <row r="2763" spans="1:9" ht="19.5" customHeight="1" x14ac:dyDescent="0.35">
      <c r="A2763" s="41">
        <v>46046</v>
      </c>
      <c r="B2763" s="8" t="s">
        <v>24</v>
      </c>
      <c r="C2763" s="42" t="s">
        <v>11</v>
      </c>
      <c r="D2763" s="43" t="s">
        <v>30</v>
      </c>
      <c r="E2763" s="46">
        <v>0</v>
      </c>
      <c r="F2763" s="2">
        <f>IF(C2763="GBP",E2763*$C$3,IF(C2763="TRY",E2763/$C$1,IF(C2763="EUR",E2763*$E$1,IF(C2763="RUB",E2763/#REF!,IF(C2763="EGP",E2763/$E$2,E2763)))))</f>
        <v>0</v>
      </c>
      <c r="G2763" s="15" t="str">
        <f>VLOOKUP(B2763,SPECIFICATIONF!$C$2:$D$65,2,0)</f>
        <v>GLOBAL RETAIL</v>
      </c>
      <c r="H2763" s="12">
        <f t="shared" si="230"/>
        <v>1</v>
      </c>
      <c r="I2763" s="12">
        <f t="shared" si="231"/>
        <v>2026</v>
      </c>
    </row>
    <row r="2764" spans="1:9" ht="19.5" customHeight="1" x14ac:dyDescent="0.35">
      <c r="A2764" s="41">
        <v>46046</v>
      </c>
      <c r="B2764" s="8" t="s">
        <v>24</v>
      </c>
      <c r="C2764" s="42" t="s">
        <v>33</v>
      </c>
      <c r="D2764" s="43" t="s">
        <v>30</v>
      </c>
      <c r="E2764" s="46">
        <v>0</v>
      </c>
      <c r="F2764" s="2">
        <f>IF(C2764="GBP",E2764*$C$3,IF(C2764="TRY",E2764/$C$1,IF(C2764="EUR",E2764*$E$1,IF(C2764="RUB",E2764/#REF!,IF(C2764="EGP",E2764/$E$2,E2764)))))</f>
        <v>0</v>
      </c>
      <c r="G2764" s="15" t="str">
        <f>VLOOKUP(B2764,SPECIFICATIONF!$C$2:$D$65,2,0)</f>
        <v>GLOBAL RETAIL</v>
      </c>
      <c r="H2764" s="12">
        <f t="shared" si="230"/>
        <v>1</v>
      </c>
      <c r="I2764" s="12">
        <f t="shared" si="231"/>
        <v>2026</v>
      </c>
    </row>
    <row r="2765" spans="1:9" ht="19.5" customHeight="1" x14ac:dyDescent="0.35">
      <c r="A2765" s="41">
        <v>46046</v>
      </c>
      <c r="B2765" s="8" t="s">
        <v>24</v>
      </c>
      <c r="C2765" s="42" t="s">
        <v>11</v>
      </c>
      <c r="D2765" s="43" t="s">
        <v>29</v>
      </c>
      <c r="E2765" s="46">
        <v>7415041</v>
      </c>
      <c r="F2765" s="2">
        <f>IF(C2765="GBP",E2765*$C$3,IF(C2765="TRY",E2765/$C$1,IF(C2765="EUR",E2765*$E$1,IF(C2765="RUB",E2765/#REF!,IF(C2765="EGP",E2765/$E$2,E2765)))))</f>
        <v>203336.20351606523</v>
      </c>
      <c r="G2765" s="15" t="str">
        <f>VLOOKUP(B2765,SPECIFICATIONF!$C$2:$D$65,2,0)</f>
        <v>GLOBAL RETAIL</v>
      </c>
      <c r="H2765" s="12">
        <f t="shared" si="230"/>
        <v>1</v>
      </c>
      <c r="I2765" s="12">
        <f t="shared" si="231"/>
        <v>2026</v>
      </c>
    </row>
    <row r="2766" spans="1:9" ht="19.5" customHeight="1" x14ac:dyDescent="0.35">
      <c r="A2766" s="41">
        <v>46046</v>
      </c>
      <c r="B2766" s="8" t="s">
        <v>24</v>
      </c>
      <c r="C2766" s="42" t="s">
        <v>33</v>
      </c>
      <c r="D2766" s="43" t="s">
        <v>29</v>
      </c>
      <c r="E2766" s="46">
        <v>0</v>
      </c>
      <c r="F2766" s="2">
        <f>IF(C2766="GBP",E2766*$C$3,IF(C2766="TRY",E2766/$C$1,IF(C2766="EUR",E2766*$E$1,IF(C2766="RUB",E2766/#REF!,IF(C2766="EGP",E2766/$E$2,E2766)))))</f>
        <v>0</v>
      </c>
      <c r="G2766" s="15" t="str">
        <f>VLOOKUP(B2766,SPECIFICATIONF!$C$2:$D$65,2,0)</f>
        <v>GLOBAL RETAIL</v>
      </c>
      <c r="H2766" s="12">
        <f t="shared" si="230"/>
        <v>1</v>
      </c>
      <c r="I2766" s="12">
        <f t="shared" si="231"/>
        <v>2026</v>
      </c>
    </row>
    <row r="2767" spans="1:9" ht="19.5" customHeight="1" x14ac:dyDescent="0.35">
      <c r="A2767" s="41">
        <v>46047</v>
      </c>
      <c r="B2767" s="8" t="s">
        <v>32</v>
      </c>
      <c r="C2767" s="42" t="s">
        <v>11</v>
      </c>
      <c r="D2767" s="43" t="s">
        <v>30</v>
      </c>
      <c r="E2767" s="46">
        <v>1734858.68</v>
      </c>
      <c r="F2767" s="2">
        <f>IF(C2767="GBP",E2767*$C$3,IF(C2767="TRY",E2767/$C$1,IF(C2767="EUR",E2767*$E$1,IF(C2767="RUB",E2767/#REF!,IF(C2767="EGP",E2767/$E$2,E2767)))))</f>
        <v>47573.516805651147</v>
      </c>
      <c r="G2767" s="15" t="str">
        <f>VLOOKUP(B2767,SPECIFICATIONF!$C$2:$D$65,2,0)</f>
        <v>GLOBAL HFT</v>
      </c>
      <c r="H2767" s="12">
        <f t="shared" si="230"/>
        <v>1</v>
      </c>
      <c r="I2767" s="12">
        <f t="shared" si="231"/>
        <v>2026</v>
      </c>
    </row>
    <row r="2768" spans="1:9" ht="19.5" customHeight="1" x14ac:dyDescent="0.35">
      <c r="A2768" s="41">
        <v>46047</v>
      </c>
      <c r="B2768" s="8" t="s">
        <v>32</v>
      </c>
      <c r="C2768" s="42" t="s">
        <v>33</v>
      </c>
      <c r="D2768" s="43" t="s">
        <v>30</v>
      </c>
      <c r="E2768" s="46">
        <v>6114.17</v>
      </c>
      <c r="F2768" s="2">
        <f>IF(C2768="GBP",E2768*$C$3,IF(C2768="TRY",E2768/$C$1,IF(C2768="EUR",E2768*$E$1,IF(C2768="RUB",E2768/#REF!,IF(C2768="EGP",E2768/$E$2,E2768)))))</f>
        <v>6114.17</v>
      </c>
      <c r="G2768" s="15" t="str">
        <f>VLOOKUP(B2768,SPECIFICATIONF!$C$2:$D$65,2,0)</f>
        <v>GLOBAL HFT</v>
      </c>
      <c r="H2768" s="12">
        <f t="shared" si="230"/>
        <v>1</v>
      </c>
      <c r="I2768" s="12">
        <f t="shared" si="231"/>
        <v>2026</v>
      </c>
    </row>
    <row r="2769" spans="1:9" ht="19.5" customHeight="1" x14ac:dyDescent="0.35">
      <c r="A2769" s="41">
        <v>46047</v>
      </c>
      <c r="B2769" s="8" t="s">
        <v>32</v>
      </c>
      <c r="C2769" s="42" t="s">
        <v>11</v>
      </c>
      <c r="D2769" s="43" t="s">
        <v>29</v>
      </c>
      <c r="E2769" s="46">
        <v>6300686061</v>
      </c>
      <c r="F2769" s="2">
        <f>IF(C2769="GBP",E2769*$C$3,IF(C2769="TRY",E2769/$C$1,IF(C2769="EUR",E2769*$E$1,IF(C2769="RUB",E2769/#REF!,IF(C2769="EGP",E2769/$E$2,E2769)))))</f>
        <v>172778219.72802731</v>
      </c>
      <c r="G2769" s="15" t="str">
        <f>VLOOKUP(B2769,SPECIFICATIONF!$C$2:$D$65,2,0)</f>
        <v>GLOBAL HFT</v>
      </c>
      <c r="H2769" s="12">
        <f t="shared" si="230"/>
        <v>1</v>
      </c>
      <c r="I2769" s="12">
        <f t="shared" si="231"/>
        <v>2026</v>
      </c>
    </row>
    <row r="2770" spans="1:9" ht="19.5" customHeight="1" x14ac:dyDescent="0.35">
      <c r="A2770" s="41">
        <v>46047</v>
      </c>
      <c r="B2770" s="8" t="s">
        <v>32</v>
      </c>
      <c r="C2770" s="42" t="s">
        <v>33</v>
      </c>
      <c r="D2770" s="43" t="s">
        <v>29</v>
      </c>
      <c r="E2770" s="46">
        <v>19431867</v>
      </c>
      <c r="F2770" s="2">
        <f>IF(C2770="GBP",E2770*$C$3,IF(C2770="TRY",E2770/$C$1,IF(C2770="EUR",E2770*$E$1,IF(C2770="RUB",E2770/#REF!,IF(C2770="EGP",E2770/$E$2,E2770)))))</f>
        <v>19431867</v>
      </c>
      <c r="G2770" s="15" t="str">
        <f>VLOOKUP(B2770,SPECIFICATIONF!$C$2:$D$65,2,0)</f>
        <v>GLOBAL HFT</v>
      </c>
      <c r="H2770" s="12">
        <f t="shared" si="230"/>
        <v>1</v>
      </c>
      <c r="I2770" s="12">
        <f t="shared" si="231"/>
        <v>2026</v>
      </c>
    </row>
    <row r="2771" spans="1:9" ht="19.5" customHeight="1" x14ac:dyDescent="0.35">
      <c r="A2771" s="41">
        <v>46047</v>
      </c>
      <c r="B2771" s="8" t="s">
        <v>24</v>
      </c>
      <c r="C2771" s="42" t="s">
        <v>11</v>
      </c>
      <c r="D2771" s="43" t="s">
        <v>30</v>
      </c>
      <c r="E2771" s="46">
        <v>0</v>
      </c>
      <c r="F2771" s="2">
        <f>IF(C2771="GBP",E2771*$C$3,IF(C2771="TRY",E2771/$C$1,IF(C2771="EUR",E2771*$E$1,IF(C2771="RUB",E2771/#REF!,IF(C2771="EGP",E2771/$E$2,E2771)))))</f>
        <v>0</v>
      </c>
      <c r="G2771" s="15" t="str">
        <f>VLOOKUP(B2771,SPECIFICATIONF!$C$2:$D$65,2,0)</f>
        <v>GLOBAL RETAIL</v>
      </c>
      <c r="H2771" s="12">
        <f t="shared" si="230"/>
        <v>1</v>
      </c>
      <c r="I2771" s="12">
        <f t="shared" si="231"/>
        <v>2026</v>
      </c>
    </row>
    <row r="2772" spans="1:9" ht="19.5" customHeight="1" x14ac:dyDescent="0.35">
      <c r="A2772" s="41">
        <v>46047</v>
      </c>
      <c r="B2772" s="8" t="s">
        <v>24</v>
      </c>
      <c r="C2772" s="42" t="s">
        <v>33</v>
      </c>
      <c r="D2772" s="43" t="s">
        <v>30</v>
      </c>
      <c r="E2772" s="46">
        <v>0</v>
      </c>
      <c r="F2772" s="2">
        <f>IF(C2772="GBP",E2772*$C$3,IF(C2772="TRY",E2772/$C$1,IF(C2772="EUR",E2772*$E$1,IF(C2772="RUB",E2772/#REF!,IF(C2772="EGP",E2772/$E$2,E2772)))))</f>
        <v>0</v>
      </c>
      <c r="G2772" s="15" t="str">
        <f>VLOOKUP(B2772,SPECIFICATIONF!$C$2:$D$65,2,0)</f>
        <v>GLOBAL RETAIL</v>
      </c>
      <c r="H2772" s="12">
        <f t="shared" si="230"/>
        <v>1</v>
      </c>
      <c r="I2772" s="12">
        <f t="shared" si="231"/>
        <v>2026</v>
      </c>
    </row>
    <row r="2773" spans="1:9" ht="19.5" customHeight="1" x14ac:dyDescent="0.35">
      <c r="A2773" s="41">
        <v>46047</v>
      </c>
      <c r="B2773" s="8" t="s">
        <v>24</v>
      </c>
      <c r="C2773" s="42" t="s">
        <v>11</v>
      </c>
      <c r="D2773" s="43" t="s">
        <v>29</v>
      </c>
      <c r="E2773" s="46">
        <v>52146649</v>
      </c>
      <c r="F2773" s="2">
        <f>IF(C2773="GBP",E2773*$C$3,IF(C2773="TRY",E2773/$C$1,IF(C2773="EUR",E2773*$E$1,IF(C2773="RUB",E2773/#REF!,IF(C2773="EGP",E2773/$E$2,E2773)))))</f>
        <v>1429972.0842736836</v>
      </c>
      <c r="G2773" s="15" t="str">
        <f>VLOOKUP(B2773,SPECIFICATIONF!$C$2:$D$65,2,0)</f>
        <v>GLOBAL RETAIL</v>
      </c>
      <c r="H2773" s="12">
        <f t="shared" si="230"/>
        <v>1</v>
      </c>
      <c r="I2773" s="12">
        <f t="shared" si="231"/>
        <v>2026</v>
      </c>
    </row>
    <row r="2774" spans="1:9" ht="19.5" customHeight="1" x14ac:dyDescent="0.35">
      <c r="A2774" s="41">
        <v>46047</v>
      </c>
      <c r="B2774" s="8" t="s">
        <v>24</v>
      </c>
      <c r="C2774" s="42" t="s">
        <v>33</v>
      </c>
      <c r="D2774" s="43" t="s">
        <v>29</v>
      </c>
      <c r="E2774" s="46">
        <v>0</v>
      </c>
      <c r="F2774" s="2">
        <f>IF(C2774="GBP",E2774*$C$3,IF(C2774="TRY",E2774/$C$1,IF(C2774="EUR",E2774*$E$1,IF(C2774="RUB",E2774/#REF!,IF(C2774="EGP",E2774/$E$2,E2774)))))</f>
        <v>0</v>
      </c>
      <c r="G2774" s="15" t="str">
        <f>VLOOKUP(B2774,SPECIFICATIONF!$C$2:$D$65,2,0)</f>
        <v>GLOBAL RETAIL</v>
      </c>
      <c r="H2774" s="12">
        <f t="shared" si="230"/>
        <v>1</v>
      </c>
      <c r="I2774" s="12">
        <f t="shared" si="231"/>
        <v>2026</v>
      </c>
    </row>
    <row r="2775" spans="1:9" ht="19.5" customHeight="1" x14ac:dyDescent="0.35">
      <c r="A2775" s="41">
        <v>46048</v>
      </c>
      <c r="B2775" s="8" t="s">
        <v>32</v>
      </c>
      <c r="C2775" s="42" t="s">
        <v>11</v>
      </c>
      <c r="D2775" s="43" t="s">
        <v>30</v>
      </c>
      <c r="E2775" s="46">
        <v>1149342.95</v>
      </c>
      <c r="F2775" s="2">
        <f>IF(C2775="GBP",E2775*$C$3,IF(C2775="TRY",E2775/$C$1,IF(C2775="EUR",E2775*$E$1,IF(C2775="RUB",E2775/#REF!,IF(C2775="EGP",E2775/$E$2,E2775)))))</f>
        <v>31517.42950456441</v>
      </c>
      <c r="G2775" s="15" t="str">
        <f>VLOOKUP(B2775,SPECIFICATIONF!$C$2:$D$65,2,0)</f>
        <v>GLOBAL HFT</v>
      </c>
      <c r="H2775" s="12">
        <f t="shared" si="230"/>
        <v>1</v>
      </c>
      <c r="I2775" s="12">
        <f t="shared" si="231"/>
        <v>2026</v>
      </c>
    </row>
    <row r="2776" spans="1:9" ht="19.5" customHeight="1" x14ac:dyDescent="0.35">
      <c r="A2776" s="41">
        <v>46048</v>
      </c>
      <c r="B2776" s="8" t="s">
        <v>32</v>
      </c>
      <c r="C2776" s="42" t="s">
        <v>33</v>
      </c>
      <c r="D2776" s="43" t="s">
        <v>30</v>
      </c>
      <c r="E2776" s="46">
        <v>5529.59</v>
      </c>
      <c r="F2776" s="2">
        <f>IF(C2776="GBP",E2776*$C$3,IF(C2776="TRY",E2776/$C$1,IF(C2776="EUR",E2776*$E$1,IF(C2776="RUB",E2776/#REF!,IF(C2776="EGP",E2776/$E$2,E2776)))))</f>
        <v>5529.59</v>
      </c>
      <c r="G2776" s="15" t="str">
        <f>VLOOKUP(B2776,SPECIFICATIONF!$C$2:$D$65,2,0)</f>
        <v>GLOBAL HFT</v>
      </c>
      <c r="H2776" s="12">
        <f t="shared" si="230"/>
        <v>1</v>
      </c>
      <c r="I2776" s="12">
        <f t="shared" si="231"/>
        <v>2026</v>
      </c>
    </row>
    <row r="2777" spans="1:9" ht="19.5" customHeight="1" x14ac:dyDescent="0.35">
      <c r="A2777" s="41">
        <v>46048</v>
      </c>
      <c r="B2777" s="8" t="s">
        <v>32</v>
      </c>
      <c r="C2777" s="42" t="s">
        <v>11</v>
      </c>
      <c r="D2777" s="43" t="s">
        <v>29</v>
      </c>
      <c r="E2777" s="46">
        <v>4377100488</v>
      </c>
      <c r="F2777" s="2">
        <f>IF(C2777="GBP",E2777*$C$3,IF(C2777="TRY",E2777/$C$1,IF(C2777="EUR",E2777*$E$1,IF(C2777="RUB",E2777/#REF!,IF(C2777="EGP",E2777/$E$2,E2777)))))</f>
        <v>120029409.9032273</v>
      </c>
      <c r="G2777" s="15" t="str">
        <f>VLOOKUP(B2777,SPECIFICATIONF!$C$2:$D$65,2,0)</f>
        <v>GLOBAL HFT</v>
      </c>
      <c r="H2777" s="12">
        <f t="shared" si="230"/>
        <v>1</v>
      </c>
      <c r="I2777" s="12">
        <f t="shared" si="231"/>
        <v>2026</v>
      </c>
    </row>
    <row r="2778" spans="1:9" ht="19.5" customHeight="1" x14ac:dyDescent="0.35">
      <c r="A2778" s="41">
        <v>46048</v>
      </c>
      <c r="B2778" s="8" t="s">
        <v>32</v>
      </c>
      <c r="C2778" s="42" t="s">
        <v>33</v>
      </c>
      <c r="D2778" s="43" t="s">
        <v>29</v>
      </c>
      <c r="E2778" s="46">
        <v>18333012</v>
      </c>
      <c r="F2778" s="2">
        <f>IF(C2778="GBP",E2778*$C$3,IF(C2778="TRY",E2778/$C$1,IF(C2778="EUR",E2778*$E$1,IF(C2778="RUB",E2778/#REF!,IF(C2778="EGP",E2778/$E$2,E2778)))))</f>
        <v>18333012</v>
      </c>
      <c r="G2778" s="15" t="str">
        <f>VLOOKUP(B2778,SPECIFICATIONF!$C$2:$D$65,2,0)</f>
        <v>GLOBAL HFT</v>
      </c>
      <c r="H2778" s="12">
        <f t="shared" si="230"/>
        <v>1</v>
      </c>
      <c r="I2778" s="12">
        <f t="shared" si="231"/>
        <v>2026</v>
      </c>
    </row>
    <row r="2779" spans="1:9" ht="19.5" customHeight="1" x14ac:dyDescent="0.35">
      <c r="A2779" s="41">
        <v>46048</v>
      </c>
      <c r="B2779" s="8" t="s">
        <v>24</v>
      </c>
      <c r="C2779" s="42" t="s">
        <v>11</v>
      </c>
      <c r="D2779" s="43" t="s">
        <v>30</v>
      </c>
      <c r="E2779" s="46">
        <v>0</v>
      </c>
      <c r="F2779" s="2">
        <f>IF(C2779="GBP",E2779*$C$3,IF(C2779="TRY",E2779/$C$1,IF(C2779="EUR",E2779*$E$1,IF(C2779="RUB",E2779/#REF!,IF(C2779="EGP",E2779/$E$2,E2779)))))</f>
        <v>0</v>
      </c>
      <c r="G2779" s="15" t="str">
        <f>VLOOKUP(B2779,SPECIFICATIONF!$C$2:$D$65,2,0)</f>
        <v>GLOBAL RETAIL</v>
      </c>
      <c r="H2779" s="12">
        <f t="shared" si="230"/>
        <v>1</v>
      </c>
      <c r="I2779" s="12">
        <f t="shared" si="231"/>
        <v>2026</v>
      </c>
    </row>
    <row r="2780" spans="1:9" ht="19.5" customHeight="1" x14ac:dyDescent="0.35">
      <c r="A2780" s="41">
        <v>46048</v>
      </c>
      <c r="B2780" s="8" t="s">
        <v>24</v>
      </c>
      <c r="C2780" s="42" t="s">
        <v>33</v>
      </c>
      <c r="D2780" s="43" t="s">
        <v>30</v>
      </c>
      <c r="E2780" s="46">
        <v>0</v>
      </c>
      <c r="F2780" s="2">
        <f>IF(C2780="GBP",E2780*$C$3,IF(C2780="TRY",E2780/$C$1,IF(C2780="EUR",E2780*$E$1,IF(C2780="RUB",E2780/#REF!,IF(C2780="EGP",E2780/$E$2,E2780)))))</f>
        <v>0</v>
      </c>
      <c r="G2780" s="15" t="str">
        <f>VLOOKUP(B2780,SPECIFICATIONF!$C$2:$D$65,2,0)</f>
        <v>GLOBAL RETAIL</v>
      </c>
      <c r="H2780" s="12">
        <f t="shared" si="230"/>
        <v>1</v>
      </c>
      <c r="I2780" s="12">
        <f t="shared" si="231"/>
        <v>2026</v>
      </c>
    </row>
    <row r="2781" spans="1:9" ht="19.5" customHeight="1" x14ac:dyDescent="0.35">
      <c r="A2781" s="41">
        <v>46048</v>
      </c>
      <c r="B2781" s="8" t="s">
        <v>24</v>
      </c>
      <c r="C2781" s="42" t="s">
        <v>11</v>
      </c>
      <c r="D2781" s="43" t="s">
        <v>29</v>
      </c>
      <c r="E2781" s="46">
        <v>21940256</v>
      </c>
      <c r="F2781" s="2">
        <f>IF(C2781="GBP",E2781*$C$3,IF(C2781="TRY",E2781/$C$1,IF(C2781="EUR",E2781*$E$1,IF(C2781="RUB",E2781/#REF!,IF(C2781="EGP",E2781/$E$2,E2781)))))</f>
        <v>601648.50864756806</v>
      </c>
      <c r="G2781" s="15" t="str">
        <f>VLOOKUP(B2781,SPECIFICATIONF!$C$2:$D$65,2,0)</f>
        <v>GLOBAL RETAIL</v>
      </c>
      <c r="H2781" s="12">
        <f t="shared" si="230"/>
        <v>1</v>
      </c>
      <c r="I2781" s="12">
        <f t="shared" si="231"/>
        <v>2026</v>
      </c>
    </row>
    <row r="2782" spans="1:9" ht="19.5" customHeight="1" x14ac:dyDescent="0.35">
      <c r="A2782" s="41">
        <v>46048</v>
      </c>
      <c r="B2782" s="8" t="s">
        <v>24</v>
      </c>
      <c r="C2782" s="42" t="s">
        <v>33</v>
      </c>
      <c r="D2782" s="43" t="s">
        <v>29</v>
      </c>
      <c r="E2782" s="46">
        <v>0</v>
      </c>
      <c r="F2782" s="2">
        <f>IF(C2782="GBP",E2782*$C$3,IF(C2782="TRY",E2782/$C$1,IF(C2782="EUR",E2782*$E$1,IF(C2782="RUB",E2782/#REF!,IF(C2782="EGP",E2782/$E$2,E2782)))))</f>
        <v>0</v>
      </c>
      <c r="G2782" s="15" t="str">
        <f>VLOOKUP(B2782,SPECIFICATIONF!$C$2:$D$65,2,0)</f>
        <v>GLOBAL RETAIL</v>
      </c>
      <c r="H2782" s="12">
        <f t="shared" si="230"/>
        <v>1</v>
      </c>
      <c r="I2782" s="12">
        <f t="shared" si="231"/>
        <v>2026</v>
      </c>
    </row>
    <row r="2783" spans="1:9" ht="19.5" customHeight="1" x14ac:dyDescent="0.35">
      <c r="A2783" s="41">
        <v>46049</v>
      </c>
      <c r="B2783" s="8" t="s">
        <v>32</v>
      </c>
      <c r="C2783" s="42" t="s">
        <v>11</v>
      </c>
      <c r="D2783" s="43" t="s">
        <v>30</v>
      </c>
      <c r="E2783" s="46">
        <v>1143469.92</v>
      </c>
      <c r="F2783" s="2">
        <f>IF(C2783="GBP",E2783*$C$3,IF(C2783="TRY",E2783/$C$1,IF(C2783="EUR",E2783*$E$1,IF(C2783="RUB",E2783/#REF!,IF(C2783="EGP",E2783/$E$2,E2783)))))</f>
        <v>31356.378524086223</v>
      </c>
      <c r="G2783" s="15" t="str">
        <f>VLOOKUP(B2783,SPECIFICATIONF!$C$2:$D$65,2,0)</f>
        <v>GLOBAL HFT</v>
      </c>
      <c r="H2783" s="12">
        <f t="shared" ref="H2783:H2790" si="232">MONTH(A2783)</f>
        <v>1</v>
      </c>
      <c r="I2783" s="12">
        <f t="shared" ref="I2783:I2790" si="233">YEAR(A2783)</f>
        <v>2026</v>
      </c>
    </row>
    <row r="2784" spans="1:9" ht="19.5" customHeight="1" x14ac:dyDescent="0.35">
      <c r="A2784" s="41">
        <v>46049</v>
      </c>
      <c r="B2784" s="8" t="s">
        <v>32</v>
      </c>
      <c r="C2784" s="42" t="s">
        <v>33</v>
      </c>
      <c r="D2784" s="43" t="s">
        <v>30</v>
      </c>
      <c r="E2784" s="46">
        <v>5677.18</v>
      </c>
      <c r="F2784" s="2">
        <f>IF(C2784="GBP",E2784*$C$3,IF(C2784="TRY",E2784/$C$1,IF(C2784="EUR",E2784*$E$1,IF(C2784="RUB",E2784/#REF!,IF(C2784="EGP",E2784/$E$2,E2784)))))</f>
        <v>5677.18</v>
      </c>
      <c r="G2784" s="15" t="str">
        <f>VLOOKUP(B2784,SPECIFICATIONF!$C$2:$D$65,2,0)</f>
        <v>GLOBAL HFT</v>
      </c>
      <c r="H2784" s="12">
        <f t="shared" si="232"/>
        <v>1</v>
      </c>
      <c r="I2784" s="12">
        <f t="shared" si="233"/>
        <v>2026</v>
      </c>
    </row>
    <row r="2785" spans="1:9" ht="19.5" customHeight="1" x14ac:dyDescent="0.35">
      <c r="A2785" s="41">
        <v>46049</v>
      </c>
      <c r="B2785" s="8" t="s">
        <v>32</v>
      </c>
      <c r="C2785" s="42" t="s">
        <v>11</v>
      </c>
      <c r="D2785" s="43" t="s">
        <v>29</v>
      </c>
      <c r="E2785" s="46">
        <v>4188074664</v>
      </c>
      <c r="F2785" s="2">
        <f>IF(C2785="GBP",E2785*$C$3,IF(C2785="TRY",E2785/$C$1,IF(C2785="EUR",E2785*$E$1,IF(C2785="RUB",E2785/#REF!,IF(C2785="EGP",E2785/$E$2,E2785)))))</f>
        <v>114845919.55992968</v>
      </c>
      <c r="G2785" s="15" t="str">
        <f>VLOOKUP(B2785,SPECIFICATIONF!$C$2:$D$65,2,0)</f>
        <v>GLOBAL HFT</v>
      </c>
      <c r="H2785" s="12">
        <f t="shared" si="232"/>
        <v>1</v>
      </c>
      <c r="I2785" s="12">
        <f t="shared" si="233"/>
        <v>2026</v>
      </c>
    </row>
    <row r="2786" spans="1:9" ht="19.5" customHeight="1" x14ac:dyDescent="0.35">
      <c r="A2786" s="41">
        <v>46049</v>
      </c>
      <c r="B2786" s="8" t="s">
        <v>32</v>
      </c>
      <c r="C2786" s="42" t="s">
        <v>33</v>
      </c>
      <c r="D2786" s="43" t="s">
        <v>29</v>
      </c>
      <c r="E2786" s="46">
        <v>17653348</v>
      </c>
      <c r="F2786" s="2">
        <f>IF(C2786="GBP",E2786*$C$3,IF(C2786="TRY",E2786/$C$1,IF(C2786="EUR",E2786*$E$1,IF(C2786="RUB",E2786/#REF!,IF(C2786="EGP",E2786/$E$2,E2786)))))</f>
        <v>17653348</v>
      </c>
      <c r="G2786" s="15" t="str">
        <f>VLOOKUP(B2786,SPECIFICATIONF!$C$2:$D$65,2,0)</f>
        <v>GLOBAL HFT</v>
      </c>
      <c r="H2786" s="12">
        <f t="shared" si="232"/>
        <v>1</v>
      </c>
      <c r="I2786" s="12">
        <f t="shared" si="233"/>
        <v>2026</v>
      </c>
    </row>
    <row r="2787" spans="1:9" ht="19.5" customHeight="1" x14ac:dyDescent="0.35">
      <c r="A2787" s="41">
        <v>46049</v>
      </c>
      <c r="B2787" s="8" t="s">
        <v>24</v>
      </c>
      <c r="C2787" s="42" t="s">
        <v>11</v>
      </c>
      <c r="D2787" s="43" t="s">
        <v>30</v>
      </c>
      <c r="E2787" s="46">
        <v>0</v>
      </c>
      <c r="F2787" s="2">
        <f>IF(C2787="GBP",E2787*$C$3,IF(C2787="TRY",E2787/$C$1,IF(C2787="EUR",E2787*$E$1,IF(C2787="RUB",E2787/#REF!,IF(C2787="EGP",E2787/$E$2,E2787)))))</f>
        <v>0</v>
      </c>
      <c r="G2787" s="15" t="str">
        <f>VLOOKUP(B2787,SPECIFICATIONF!$C$2:$D$65,2,0)</f>
        <v>GLOBAL RETAIL</v>
      </c>
      <c r="H2787" s="12">
        <f t="shared" si="232"/>
        <v>1</v>
      </c>
      <c r="I2787" s="12">
        <f t="shared" si="233"/>
        <v>2026</v>
      </c>
    </row>
    <row r="2788" spans="1:9" ht="19.5" customHeight="1" x14ac:dyDescent="0.35">
      <c r="A2788" s="41">
        <v>46049</v>
      </c>
      <c r="B2788" s="8" t="s">
        <v>24</v>
      </c>
      <c r="C2788" s="42" t="s">
        <v>33</v>
      </c>
      <c r="D2788" s="43" t="s">
        <v>30</v>
      </c>
      <c r="E2788" s="46">
        <v>0</v>
      </c>
      <c r="F2788" s="2">
        <f>IF(C2788="GBP",E2788*$C$3,IF(C2788="TRY",E2788/$C$1,IF(C2788="EUR",E2788*$E$1,IF(C2788="RUB",E2788/#REF!,IF(C2788="EGP",E2788/$E$2,E2788)))))</f>
        <v>0</v>
      </c>
      <c r="G2788" s="15" t="str">
        <f>VLOOKUP(B2788,SPECIFICATIONF!$C$2:$D$65,2,0)</f>
        <v>GLOBAL RETAIL</v>
      </c>
      <c r="H2788" s="12">
        <f t="shared" si="232"/>
        <v>1</v>
      </c>
      <c r="I2788" s="12">
        <f t="shared" si="233"/>
        <v>2026</v>
      </c>
    </row>
    <row r="2789" spans="1:9" ht="19.5" customHeight="1" x14ac:dyDescent="0.35">
      <c r="A2789" s="41">
        <v>46049</v>
      </c>
      <c r="B2789" s="8" t="s">
        <v>24</v>
      </c>
      <c r="C2789" s="42" t="s">
        <v>11</v>
      </c>
      <c r="D2789" s="43" t="s">
        <v>29</v>
      </c>
      <c r="E2789" s="46">
        <v>12518030</v>
      </c>
      <c r="F2789" s="2">
        <f>IF(C2789="GBP",E2789*$C$3,IF(C2789="TRY",E2789/$C$1,IF(C2789="EUR",E2789*$E$1,IF(C2789="RUB",E2789/#REF!,IF(C2789="EGP",E2789/$E$2,E2789)))))</f>
        <v>343271.02111778077</v>
      </c>
      <c r="G2789" s="15" t="str">
        <f>VLOOKUP(B2789,SPECIFICATIONF!$C$2:$D$65,2,0)</f>
        <v>GLOBAL RETAIL</v>
      </c>
      <c r="H2789" s="12">
        <f t="shared" si="232"/>
        <v>1</v>
      </c>
      <c r="I2789" s="12">
        <f t="shared" si="233"/>
        <v>2026</v>
      </c>
    </row>
    <row r="2790" spans="1:9" ht="19.5" customHeight="1" x14ac:dyDescent="0.35">
      <c r="A2790" s="41">
        <v>46049</v>
      </c>
      <c r="B2790" s="8" t="s">
        <v>24</v>
      </c>
      <c r="C2790" s="42" t="s">
        <v>33</v>
      </c>
      <c r="D2790" s="43" t="s">
        <v>29</v>
      </c>
      <c r="E2790" s="46">
        <v>0</v>
      </c>
      <c r="F2790" s="2">
        <f>IF(C2790="GBP",E2790*$C$3,IF(C2790="TRY",E2790/$C$1,IF(C2790="EUR",E2790*$E$1,IF(C2790="RUB",E2790/#REF!,IF(C2790="EGP",E2790/$E$2,E2790)))))</f>
        <v>0</v>
      </c>
      <c r="G2790" s="15" t="str">
        <f>VLOOKUP(B2790,SPECIFICATIONF!$C$2:$D$65,2,0)</f>
        <v>GLOBAL RETAIL</v>
      </c>
      <c r="H2790" s="12">
        <f t="shared" si="232"/>
        <v>1</v>
      </c>
      <c r="I2790" s="12">
        <f t="shared" si="233"/>
        <v>2026</v>
      </c>
    </row>
    <row r="2791" spans="1:9" ht="19.5" customHeight="1" x14ac:dyDescent="0.35">
      <c r="A2791" s="41">
        <v>46050</v>
      </c>
      <c r="B2791" s="8" t="s">
        <v>32</v>
      </c>
      <c r="C2791" s="42" t="s">
        <v>11</v>
      </c>
      <c r="D2791" s="43" t="s">
        <v>30</v>
      </c>
      <c r="E2791" s="46">
        <v>1180910.55</v>
      </c>
      <c r="F2791" s="2">
        <f>IF(C2791="GBP",E2791*$C$3,IF(C2791="TRY",E2791/$C$1,IF(C2791="EUR",E2791*$E$1,IF(C2791="RUB",E2791/#REF!,IF(C2791="EGP",E2791/$E$2,E2791)))))</f>
        <v>32383.080272795327</v>
      </c>
      <c r="G2791" s="15" t="str">
        <f>VLOOKUP(B2791,SPECIFICATIONF!$C$2:$D$65,2,0)</f>
        <v>GLOBAL HFT</v>
      </c>
      <c r="H2791" s="12">
        <f t="shared" ref="H2791:H2798" si="234">MONTH(A2791)</f>
        <v>1</v>
      </c>
      <c r="I2791" s="12">
        <f t="shared" ref="I2791:I2798" si="235">YEAR(A2791)</f>
        <v>2026</v>
      </c>
    </row>
    <row r="2792" spans="1:9" ht="19.5" customHeight="1" x14ac:dyDescent="0.35">
      <c r="A2792" s="41">
        <v>46050</v>
      </c>
      <c r="B2792" s="8" t="s">
        <v>32</v>
      </c>
      <c r="C2792" s="42" t="s">
        <v>33</v>
      </c>
      <c r="D2792" s="43" t="s">
        <v>30</v>
      </c>
      <c r="E2792" s="46">
        <v>5189.3900000000003</v>
      </c>
      <c r="F2792" s="2">
        <f>IF(C2792="GBP",E2792*$C$3,IF(C2792="TRY",E2792/$C$1,IF(C2792="EUR",E2792*$E$1,IF(C2792="RUB",E2792/#REF!,IF(C2792="EGP",E2792/$E$2,E2792)))))</f>
        <v>5189.3900000000003</v>
      </c>
      <c r="G2792" s="15" t="str">
        <f>VLOOKUP(B2792,SPECIFICATIONF!$C$2:$D$65,2,0)</f>
        <v>GLOBAL HFT</v>
      </c>
      <c r="H2792" s="12">
        <f t="shared" si="234"/>
        <v>1</v>
      </c>
      <c r="I2792" s="12">
        <f t="shared" si="235"/>
        <v>2026</v>
      </c>
    </row>
    <row r="2793" spans="1:9" ht="19.5" customHeight="1" x14ac:dyDescent="0.35">
      <c r="A2793" s="41">
        <v>46050</v>
      </c>
      <c r="B2793" s="8" t="s">
        <v>32</v>
      </c>
      <c r="C2793" s="42" t="s">
        <v>11</v>
      </c>
      <c r="D2793" s="43" t="s">
        <v>29</v>
      </c>
      <c r="E2793" s="46">
        <v>4265296583</v>
      </c>
      <c r="F2793" s="2">
        <f>IF(C2793="GBP",E2793*$C$3,IF(C2793="TRY",E2793/$C$1,IF(C2793="EUR",E2793*$E$1,IF(C2793="RUB",E2793/#REF!,IF(C2793="EGP",E2793/$E$2,E2793)))))</f>
        <v>116963508.90807828</v>
      </c>
      <c r="G2793" s="15" t="str">
        <f>VLOOKUP(B2793,SPECIFICATIONF!$C$2:$D$65,2,0)</f>
        <v>GLOBAL HFT</v>
      </c>
      <c r="H2793" s="12">
        <f t="shared" si="234"/>
        <v>1</v>
      </c>
      <c r="I2793" s="12">
        <f t="shared" si="235"/>
        <v>2026</v>
      </c>
    </row>
    <row r="2794" spans="1:9" ht="19.5" customHeight="1" x14ac:dyDescent="0.35">
      <c r="A2794" s="41">
        <v>46050</v>
      </c>
      <c r="B2794" s="8" t="s">
        <v>32</v>
      </c>
      <c r="C2794" s="42" t="s">
        <v>33</v>
      </c>
      <c r="D2794" s="43" t="s">
        <v>29</v>
      </c>
      <c r="E2794" s="46">
        <v>16473906</v>
      </c>
      <c r="F2794" s="2">
        <f>IF(C2794="GBP",E2794*$C$3,IF(C2794="TRY",E2794/$C$1,IF(C2794="EUR",E2794*$E$1,IF(C2794="RUB",E2794/#REF!,IF(C2794="EGP",E2794/$E$2,E2794)))))</f>
        <v>16473906</v>
      </c>
      <c r="G2794" s="15" t="str">
        <f>VLOOKUP(B2794,SPECIFICATIONF!$C$2:$D$65,2,0)</f>
        <v>GLOBAL HFT</v>
      </c>
      <c r="H2794" s="12">
        <f t="shared" si="234"/>
        <v>1</v>
      </c>
      <c r="I2794" s="12">
        <f t="shared" si="235"/>
        <v>2026</v>
      </c>
    </row>
    <row r="2795" spans="1:9" ht="19.5" customHeight="1" x14ac:dyDescent="0.35">
      <c r="A2795" s="41">
        <v>46050</v>
      </c>
      <c r="B2795" s="8" t="s">
        <v>24</v>
      </c>
      <c r="C2795" s="42" t="s">
        <v>11</v>
      </c>
      <c r="D2795" s="43" t="s">
        <v>30</v>
      </c>
      <c r="E2795" s="46">
        <v>0</v>
      </c>
      <c r="F2795" s="2">
        <f>IF(C2795="GBP",E2795*$C$3,IF(C2795="TRY",E2795/$C$1,IF(C2795="EUR",E2795*$E$1,IF(C2795="RUB",E2795/#REF!,IF(C2795="EGP",E2795/$E$2,E2795)))))</f>
        <v>0</v>
      </c>
      <c r="G2795" s="15" t="str">
        <f>VLOOKUP(B2795,SPECIFICATIONF!$C$2:$D$65,2,0)</f>
        <v>GLOBAL RETAIL</v>
      </c>
      <c r="H2795" s="12">
        <f t="shared" si="234"/>
        <v>1</v>
      </c>
      <c r="I2795" s="12">
        <f t="shared" si="235"/>
        <v>2026</v>
      </c>
    </row>
    <row r="2796" spans="1:9" ht="19.5" customHeight="1" x14ac:dyDescent="0.35">
      <c r="A2796" s="41">
        <v>46050</v>
      </c>
      <c r="B2796" s="8" t="s">
        <v>24</v>
      </c>
      <c r="C2796" s="42" t="s">
        <v>33</v>
      </c>
      <c r="D2796" s="43" t="s">
        <v>30</v>
      </c>
      <c r="E2796" s="46">
        <v>0</v>
      </c>
      <c r="F2796" s="2">
        <f>IF(C2796="GBP",E2796*$C$3,IF(C2796="TRY",E2796/$C$1,IF(C2796="EUR",E2796*$E$1,IF(C2796="RUB",E2796/#REF!,IF(C2796="EGP",E2796/$E$2,E2796)))))</f>
        <v>0</v>
      </c>
      <c r="G2796" s="15" t="str">
        <f>VLOOKUP(B2796,SPECIFICATIONF!$C$2:$D$65,2,0)</f>
        <v>GLOBAL RETAIL</v>
      </c>
      <c r="H2796" s="12">
        <f t="shared" si="234"/>
        <v>1</v>
      </c>
      <c r="I2796" s="12">
        <f t="shared" si="235"/>
        <v>2026</v>
      </c>
    </row>
    <row r="2797" spans="1:9" ht="19.5" customHeight="1" x14ac:dyDescent="0.35">
      <c r="A2797" s="41">
        <v>46050</v>
      </c>
      <c r="B2797" s="8" t="s">
        <v>24</v>
      </c>
      <c r="C2797" s="42" t="s">
        <v>11</v>
      </c>
      <c r="D2797" s="43" t="s">
        <v>29</v>
      </c>
      <c r="E2797" s="46">
        <v>9952650</v>
      </c>
      <c r="F2797" s="2">
        <f>IF(C2797="GBP",E2797*$C$3,IF(C2797="TRY",E2797/$C$1,IF(C2797="EUR",E2797*$E$1,IF(C2797="RUB",E2797/#REF!,IF(C2797="EGP",E2797/$E$2,E2797)))))</f>
        <v>272922.84235841269</v>
      </c>
      <c r="G2797" s="15" t="str">
        <f>VLOOKUP(B2797,SPECIFICATIONF!$C$2:$D$65,2,0)</f>
        <v>GLOBAL RETAIL</v>
      </c>
      <c r="H2797" s="12">
        <f t="shared" si="234"/>
        <v>1</v>
      </c>
      <c r="I2797" s="12">
        <f t="shared" si="235"/>
        <v>2026</v>
      </c>
    </row>
    <row r="2798" spans="1:9" ht="19.5" customHeight="1" x14ac:dyDescent="0.35">
      <c r="A2798" s="41">
        <v>46050</v>
      </c>
      <c r="B2798" s="8" t="s">
        <v>24</v>
      </c>
      <c r="C2798" s="42" t="s">
        <v>33</v>
      </c>
      <c r="D2798" s="43" t="s">
        <v>29</v>
      </c>
      <c r="E2798" s="46">
        <v>50</v>
      </c>
      <c r="F2798" s="2">
        <f>IF(C2798="GBP",E2798*$C$3,IF(C2798="TRY",E2798/$C$1,IF(C2798="EUR",E2798*$E$1,IF(C2798="RUB",E2798/#REF!,IF(C2798="EGP",E2798/$E$2,E2798)))))</f>
        <v>50</v>
      </c>
      <c r="G2798" s="15" t="str">
        <f>VLOOKUP(B2798,SPECIFICATIONF!$C$2:$D$65,2,0)</f>
        <v>GLOBAL RETAIL</v>
      </c>
      <c r="H2798" s="12">
        <f t="shared" si="234"/>
        <v>1</v>
      </c>
      <c r="I2798" s="12">
        <f t="shared" si="235"/>
        <v>2026</v>
      </c>
    </row>
    <row r="2799" spans="1:9" ht="19.5" customHeight="1" x14ac:dyDescent="0.35">
      <c r="A2799" s="41">
        <v>46051</v>
      </c>
      <c r="B2799" s="8" t="s">
        <v>32</v>
      </c>
      <c r="C2799" s="42" t="s">
        <v>11</v>
      </c>
      <c r="D2799" s="43" t="s">
        <v>30</v>
      </c>
      <c r="E2799" s="46">
        <v>1550765.34</v>
      </c>
      <c r="F2799" s="2">
        <f>IF(C2799="GBP",E2799*$C$3,IF(C2799="TRY",E2799/$C$1,IF(C2799="EUR",E2799*$E$1,IF(C2799="RUB",E2799/#REF!,IF(C2799="EGP",E2799/$E$2,E2799)))))</f>
        <v>42525.285670018566</v>
      </c>
      <c r="G2799" s="15" t="str">
        <f>VLOOKUP(B2799,SPECIFICATIONF!$C$2:$D$65,2,0)</f>
        <v>GLOBAL HFT</v>
      </c>
      <c r="H2799" s="12">
        <f t="shared" ref="H2799:H2806" si="236">MONTH(A2799)</f>
        <v>1</v>
      </c>
      <c r="I2799" s="12">
        <f t="shared" ref="I2799:I2806" si="237">YEAR(A2799)</f>
        <v>2026</v>
      </c>
    </row>
    <row r="2800" spans="1:9" ht="19.5" customHeight="1" x14ac:dyDescent="0.35">
      <c r="A2800" s="41">
        <v>46051</v>
      </c>
      <c r="B2800" s="8" t="s">
        <v>32</v>
      </c>
      <c r="C2800" s="42" t="s">
        <v>33</v>
      </c>
      <c r="D2800" s="43" t="s">
        <v>30</v>
      </c>
      <c r="E2800" s="46">
        <v>8327.1200000000008</v>
      </c>
      <c r="F2800" s="2">
        <f>IF(C2800="GBP",E2800*$C$3,IF(C2800="TRY",E2800/$C$1,IF(C2800="EUR",E2800*$E$1,IF(C2800="RUB",E2800/#REF!,IF(C2800="EGP",E2800/$E$2,E2800)))))</f>
        <v>8327.1200000000008</v>
      </c>
      <c r="G2800" s="15" t="str">
        <f>VLOOKUP(B2800,SPECIFICATIONF!$C$2:$D$65,2,0)</f>
        <v>GLOBAL HFT</v>
      </c>
      <c r="H2800" s="12">
        <f t="shared" si="236"/>
        <v>1</v>
      </c>
      <c r="I2800" s="12">
        <f t="shared" si="237"/>
        <v>2026</v>
      </c>
    </row>
    <row r="2801" spans="1:9" ht="19.5" customHeight="1" x14ac:dyDescent="0.35">
      <c r="A2801" s="41">
        <v>46051</v>
      </c>
      <c r="B2801" s="8" t="s">
        <v>32</v>
      </c>
      <c r="C2801" s="42" t="s">
        <v>11</v>
      </c>
      <c r="D2801" s="43" t="s">
        <v>29</v>
      </c>
      <c r="E2801" s="46">
        <v>5515965042</v>
      </c>
      <c r="F2801" s="2">
        <f>IF(C2801="GBP",E2801*$C$3,IF(C2801="TRY",E2801/$C$1,IF(C2801="EUR",E2801*$E$1,IF(C2801="RUB",E2801/#REF!,IF(C2801="EGP",E2801/$E$2,E2801)))))</f>
        <v>151259499.49131951</v>
      </c>
      <c r="G2801" s="15" t="str">
        <f>VLOOKUP(B2801,SPECIFICATIONF!$C$2:$D$65,2,0)</f>
        <v>GLOBAL HFT</v>
      </c>
      <c r="H2801" s="12">
        <f t="shared" si="236"/>
        <v>1</v>
      </c>
      <c r="I2801" s="12">
        <f t="shared" si="237"/>
        <v>2026</v>
      </c>
    </row>
    <row r="2802" spans="1:9" ht="19.5" customHeight="1" x14ac:dyDescent="0.35">
      <c r="A2802" s="41">
        <v>46051</v>
      </c>
      <c r="B2802" s="8" t="s">
        <v>32</v>
      </c>
      <c r="C2802" s="42" t="s">
        <v>33</v>
      </c>
      <c r="D2802" s="43" t="s">
        <v>29</v>
      </c>
      <c r="E2802" s="46">
        <v>26493596</v>
      </c>
      <c r="F2802" s="2">
        <f>IF(C2802="GBP",E2802*$C$3,IF(C2802="TRY",E2802/$C$1,IF(C2802="EUR",E2802*$E$1,IF(C2802="RUB",E2802/#REF!,IF(C2802="EGP",E2802/$E$2,E2802)))))</f>
        <v>26493596</v>
      </c>
      <c r="G2802" s="15" t="str">
        <f>VLOOKUP(B2802,SPECIFICATIONF!$C$2:$D$65,2,0)</f>
        <v>GLOBAL HFT</v>
      </c>
      <c r="H2802" s="12">
        <f t="shared" si="236"/>
        <v>1</v>
      </c>
      <c r="I2802" s="12">
        <f t="shared" si="237"/>
        <v>2026</v>
      </c>
    </row>
    <row r="2803" spans="1:9" ht="19.5" customHeight="1" x14ac:dyDescent="0.35">
      <c r="A2803" s="41">
        <v>46051</v>
      </c>
      <c r="B2803" s="8" t="s">
        <v>24</v>
      </c>
      <c r="C2803" s="42" t="s">
        <v>11</v>
      </c>
      <c r="D2803" s="43" t="s">
        <v>30</v>
      </c>
      <c r="E2803" s="46">
        <v>0</v>
      </c>
      <c r="F2803" s="2">
        <f>IF(C2803="GBP",E2803*$C$3,IF(C2803="TRY",E2803/$C$1,IF(C2803="EUR",E2803*$E$1,IF(C2803="RUB",E2803/#REF!,IF(C2803="EGP",E2803/$E$2,E2803)))))</f>
        <v>0</v>
      </c>
      <c r="G2803" s="15" t="str">
        <f>VLOOKUP(B2803,SPECIFICATIONF!$C$2:$D$65,2,0)</f>
        <v>GLOBAL RETAIL</v>
      </c>
      <c r="H2803" s="12">
        <f t="shared" si="236"/>
        <v>1</v>
      </c>
      <c r="I2803" s="12">
        <f t="shared" si="237"/>
        <v>2026</v>
      </c>
    </row>
    <row r="2804" spans="1:9" ht="19.5" customHeight="1" x14ac:dyDescent="0.35">
      <c r="A2804" s="41">
        <v>46051</v>
      </c>
      <c r="B2804" s="8" t="s">
        <v>24</v>
      </c>
      <c r="C2804" s="42" t="s">
        <v>33</v>
      </c>
      <c r="D2804" s="43" t="s">
        <v>30</v>
      </c>
      <c r="E2804" s="46">
        <v>0</v>
      </c>
      <c r="F2804" s="2">
        <f>IF(C2804="GBP",E2804*$C$3,IF(C2804="TRY",E2804/$C$1,IF(C2804="EUR",E2804*$E$1,IF(C2804="RUB",E2804/#REF!,IF(C2804="EGP",E2804/$E$2,E2804)))))</f>
        <v>0</v>
      </c>
      <c r="G2804" s="15" t="str">
        <f>VLOOKUP(B2804,SPECIFICATIONF!$C$2:$D$65,2,0)</f>
        <v>GLOBAL RETAIL</v>
      </c>
      <c r="H2804" s="12">
        <f t="shared" si="236"/>
        <v>1</v>
      </c>
      <c r="I2804" s="12">
        <f t="shared" si="237"/>
        <v>2026</v>
      </c>
    </row>
    <row r="2805" spans="1:9" ht="19.5" customHeight="1" x14ac:dyDescent="0.35">
      <c r="A2805" s="41">
        <v>46051</v>
      </c>
      <c r="B2805" s="8" t="s">
        <v>24</v>
      </c>
      <c r="C2805" s="42" t="s">
        <v>11</v>
      </c>
      <c r="D2805" s="43" t="s">
        <v>29</v>
      </c>
      <c r="E2805" s="46">
        <v>12100544</v>
      </c>
      <c r="F2805" s="2">
        <f>IF(C2805="GBP",E2805*$C$3,IF(C2805="TRY",E2805/$C$1,IF(C2805="EUR",E2805*$E$1,IF(C2805="RUB",E2805/#REF!,IF(C2805="EGP",E2805/$E$2,E2805)))))</f>
        <v>331822.6665825721</v>
      </c>
      <c r="G2805" s="15" t="str">
        <f>VLOOKUP(B2805,SPECIFICATIONF!$C$2:$D$65,2,0)</f>
        <v>GLOBAL RETAIL</v>
      </c>
      <c r="H2805" s="12">
        <f t="shared" si="236"/>
        <v>1</v>
      </c>
      <c r="I2805" s="12">
        <f t="shared" si="237"/>
        <v>2026</v>
      </c>
    </row>
    <row r="2806" spans="1:9" ht="19.5" customHeight="1" x14ac:dyDescent="0.35">
      <c r="A2806" s="41">
        <v>46051</v>
      </c>
      <c r="B2806" s="8" t="s">
        <v>24</v>
      </c>
      <c r="C2806" s="42" t="s">
        <v>33</v>
      </c>
      <c r="D2806" s="43" t="s">
        <v>29</v>
      </c>
      <c r="E2806" s="46">
        <v>7438</v>
      </c>
      <c r="F2806" s="2">
        <f>IF(C2806="GBP",E2806*$C$3,IF(C2806="TRY",E2806/$C$1,IF(C2806="EUR",E2806*$E$1,IF(C2806="RUB",E2806/#REF!,IF(C2806="EGP",E2806/$E$2,E2806)))))</f>
        <v>7438</v>
      </c>
      <c r="G2806" s="15" t="str">
        <f>VLOOKUP(B2806,SPECIFICATIONF!$C$2:$D$65,2,0)</f>
        <v>GLOBAL RETAIL</v>
      </c>
      <c r="H2806" s="12">
        <f t="shared" si="236"/>
        <v>1</v>
      </c>
      <c r="I2806" s="12">
        <f t="shared" si="237"/>
        <v>2026</v>
      </c>
    </row>
    <row r="2807" spans="1:9" ht="19.5" customHeight="1" x14ac:dyDescent="0.35">
      <c r="A2807" s="41">
        <v>46052</v>
      </c>
      <c r="B2807" s="8" t="s">
        <v>32</v>
      </c>
      <c r="C2807" s="42" t="s">
        <v>11</v>
      </c>
      <c r="D2807" s="43" t="s">
        <v>30</v>
      </c>
      <c r="E2807" s="46">
        <v>1278398.6399999999</v>
      </c>
      <c r="F2807" s="2">
        <f>IF(C2807="GBP",E2807*$C$3,IF(C2807="TRY",E2807/$C$1,IF(C2807="EUR",E2807*$E$1,IF(C2807="RUB",E2807/#REF!,IF(C2807="EGP",E2807/$E$2,E2807)))))</f>
        <v>35056.411156418559</v>
      </c>
      <c r="G2807" s="15" t="str">
        <f>VLOOKUP(B2807,SPECIFICATIONF!$C$2:$D$65,2,0)</f>
        <v>GLOBAL HFT</v>
      </c>
      <c r="H2807" s="12">
        <f t="shared" ref="H2807:H2814" si="238">MONTH(A2807)</f>
        <v>1</v>
      </c>
      <c r="I2807" s="12">
        <f t="shared" ref="I2807:I2814" si="239">YEAR(A2807)</f>
        <v>2026</v>
      </c>
    </row>
    <row r="2808" spans="1:9" ht="19.5" customHeight="1" x14ac:dyDescent="0.35">
      <c r="A2808" s="41">
        <v>46052</v>
      </c>
      <c r="B2808" s="8" t="s">
        <v>32</v>
      </c>
      <c r="C2808" s="42" t="s">
        <v>33</v>
      </c>
      <c r="D2808" s="43" t="s">
        <v>30</v>
      </c>
      <c r="E2808" s="46">
        <v>6580.48</v>
      </c>
      <c r="F2808" s="2">
        <f>IF(C2808="GBP",E2808*$C$3,IF(C2808="TRY",E2808/$C$1,IF(C2808="EUR",E2808*$E$1,IF(C2808="RUB",E2808/#REF!,IF(C2808="EGP",E2808/$E$2,E2808)))))</f>
        <v>6580.48</v>
      </c>
      <c r="G2808" s="15" t="str">
        <f>VLOOKUP(B2808,SPECIFICATIONF!$C$2:$D$65,2,0)</f>
        <v>GLOBAL HFT</v>
      </c>
      <c r="H2808" s="12">
        <f t="shared" si="238"/>
        <v>1</v>
      </c>
      <c r="I2808" s="12">
        <f t="shared" si="239"/>
        <v>2026</v>
      </c>
    </row>
    <row r="2809" spans="1:9" ht="19.5" customHeight="1" x14ac:dyDescent="0.35">
      <c r="A2809" s="41">
        <v>46052</v>
      </c>
      <c r="B2809" s="8" t="s">
        <v>32</v>
      </c>
      <c r="C2809" s="42" t="s">
        <v>11</v>
      </c>
      <c r="D2809" s="43" t="s">
        <v>29</v>
      </c>
      <c r="E2809" s="46">
        <v>4692575286</v>
      </c>
      <c r="F2809" s="2">
        <f>IF(C2809="GBP",E2809*$C$3,IF(C2809="TRY",E2809/$C$1,IF(C2809="EUR",E2809*$E$1,IF(C2809="RUB",E2809/#REF!,IF(C2809="EGP",E2809/$E$2,E2809)))))</f>
        <v>128680400.1985362</v>
      </c>
      <c r="G2809" s="15" t="str">
        <f>VLOOKUP(B2809,SPECIFICATIONF!$C$2:$D$65,2,0)</f>
        <v>GLOBAL HFT</v>
      </c>
      <c r="H2809" s="12">
        <f t="shared" si="238"/>
        <v>1</v>
      </c>
      <c r="I2809" s="12">
        <f t="shared" si="239"/>
        <v>2026</v>
      </c>
    </row>
    <row r="2810" spans="1:9" ht="19.5" customHeight="1" x14ac:dyDescent="0.35">
      <c r="A2810" s="41">
        <v>46052</v>
      </c>
      <c r="B2810" s="8" t="s">
        <v>32</v>
      </c>
      <c r="C2810" s="42" t="s">
        <v>33</v>
      </c>
      <c r="D2810" s="43" t="s">
        <v>29</v>
      </c>
      <c r="E2810" s="46">
        <v>20540551</v>
      </c>
      <c r="F2810" s="2">
        <f>IF(C2810="GBP",E2810*$C$3,IF(C2810="TRY",E2810/$C$1,IF(C2810="EUR",E2810*$E$1,IF(C2810="RUB",E2810/#REF!,IF(C2810="EGP",E2810/$E$2,E2810)))))</f>
        <v>20540551</v>
      </c>
      <c r="G2810" s="15" t="str">
        <f>VLOOKUP(B2810,SPECIFICATIONF!$C$2:$D$65,2,0)</f>
        <v>GLOBAL HFT</v>
      </c>
      <c r="H2810" s="12">
        <f t="shared" si="238"/>
        <v>1</v>
      </c>
      <c r="I2810" s="12">
        <f t="shared" si="239"/>
        <v>2026</v>
      </c>
    </row>
    <row r="2811" spans="1:9" ht="19.5" customHeight="1" x14ac:dyDescent="0.35">
      <c r="A2811" s="41">
        <v>46052</v>
      </c>
      <c r="B2811" s="8" t="s">
        <v>24</v>
      </c>
      <c r="C2811" s="42" t="s">
        <v>11</v>
      </c>
      <c r="D2811" s="43" t="s">
        <v>30</v>
      </c>
      <c r="E2811" s="46">
        <v>0</v>
      </c>
      <c r="F2811" s="2">
        <f>IF(C2811="GBP",E2811*$C$3,IF(C2811="TRY",E2811/$C$1,IF(C2811="EUR",E2811*$E$1,IF(C2811="RUB",E2811/#REF!,IF(C2811="EGP",E2811/$E$2,E2811)))))</f>
        <v>0</v>
      </c>
      <c r="G2811" s="15" t="str">
        <f>VLOOKUP(B2811,SPECIFICATIONF!$C$2:$D$65,2,0)</f>
        <v>GLOBAL RETAIL</v>
      </c>
      <c r="H2811" s="12">
        <f t="shared" si="238"/>
        <v>1</v>
      </c>
      <c r="I2811" s="12">
        <f t="shared" si="239"/>
        <v>2026</v>
      </c>
    </row>
    <row r="2812" spans="1:9" ht="19.5" customHeight="1" x14ac:dyDescent="0.35">
      <c r="A2812" s="41">
        <v>46052</v>
      </c>
      <c r="B2812" s="8" t="s">
        <v>24</v>
      </c>
      <c r="C2812" s="42" t="s">
        <v>33</v>
      </c>
      <c r="D2812" s="43" t="s">
        <v>30</v>
      </c>
      <c r="E2812" s="46">
        <v>0</v>
      </c>
      <c r="F2812" s="2">
        <f>IF(C2812="GBP",E2812*$C$3,IF(C2812="TRY",E2812/$C$1,IF(C2812="EUR",E2812*$E$1,IF(C2812="RUB",E2812/#REF!,IF(C2812="EGP",E2812/$E$2,E2812)))))</f>
        <v>0</v>
      </c>
      <c r="G2812" s="15" t="str">
        <f>VLOOKUP(B2812,SPECIFICATIONF!$C$2:$D$65,2,0)</f>
        <v>GLOBAL RETAIL</v>
      </c>
      <c r="H2812" s="12">
        <f t="shared" si="238"/>
        <v>1</v>
      </c>
      <c r="I2812" s="12">
        <f t="shared" si="239"/>
        <v>2026</v>
      </c>
    </row>
    <row r="2813" spans="1:9" ht="19.5" customHeight="1" x14ac:dyDescent="0.35">
      <c r="A2813" s="41">
        <v>46052</v>
      </c>
      <c r="B2813" s="8" t="s">
        <v>24</v>
      </c>
      <c r="C2813" s="42" t="s">
        <v>11</v>
      </c>
      <c r="D2813" s="43" t="s">
        <v>29</v>
      </c>
      <c r="E2813" s="46">
        <v>7796892</v>
      </c>
      <c r="F2813" s="2">
        <f>IF(C2813="GBP",E2813*$C$3,IF(C2813="TRY",E2813/$C$1,IF(C2813="EUR",E2813*$E$1,IF(C2813="RUB",E2813/#REF!,IF(C2813="EGP",E2813/$E$2,E2813)))))</f>
        <v>213807.37051956705</v>
      </c>
      <c r="G2813" s="15" t="str">
        <f>VLOOKUP(B2813,SPECIFICATIONF!$C$2:$D$65,2,0)</f>
        <v>GLOBAL RETAIL</v>
      </c>
      <c r="H2813" s="12">
        <f t="shared" si="238"/>
        <v>1</v>
      </c>
      <c r="I2813" s="12">
        <f t="shared" si="239"/>
        <v>2026</v>
      </c>
    </row>
    <row r="2814" spans="1:9" ht="19.5" customHeight="1" x14ac:dyDescent="0.35">
      <c r="A2814" s="41">
        <v>46052</v>
      </c>
      <c r="B2814" s="8" t="s">
        <v>24</v>
      </c>
      <c r="C2814" s="42" t="s">
        <v>33</v>
      </c>
      <c r="D2814" s="43" t="s">
        <v>29</v>
      </c>
      <c r="E2814" s="46">
        <v>0</v>
      </c>
      <c r="F2814" s="2">
        <f>IF(C2814="GBP",E2814*$C$3,IF(C2814="TRY",E2814/$C$1,IF(C2814="EUR",E2814*$E$1,IF(C2814="RUB",E2814/#REF!,IF(C2814="EGP",E2814/$E$2,E2814)))))</f>
        <v>0</v>
      </c>
      <c r="G2814" s="15" t="str">
        <f>VLOOKUP(B2814,SPECIFICATIONF!$C$2:$D$65,2,0)</f>
        <v>GLOBAL RETAIL</v>
      </c>
      <c r="H2814" s="12">
        <f t="shared" si="238"/>
        <v>1</v>
      </c>
      <c r="I2814" s="12">
        <f t="shared" si="239"/>
        <v>2026</v>
      </c>
    </row>
    <row r="2815" spans="1:9" ht="19.5" customHeight="1" x14ac:dyDescent="0.35">
      <c r="A2815" s="41">
        <v>46053</v>
      </c>
      <c r="B2815" s="8" t="s">
        <v>32</v>
      </c>
      <c r="C2815" s="42" t="s">
        <v>11</v>
      </c>
      <c r="D2815" s="43" t="s">
        <v>30</v>
      </c>
      <c r="E2815" s="46">
        <v>1367895.7</v>
      </c>
      <c r="F2815" s="2">
        <f>IF(C2815="GBP",E2815*$C$3,IF(C2815="TRY",E2815/$C$1,IF(C2815="EUR",E2815*$E$1,IF(C2815="RUB",E2815/#REF!,IF(C2815="EGP",E2815/$E$2,E2815)))))</f>
        <v>37510.610992434231</v>
      </c>
      <c r="G2815" s="15" t="str">
        <f>VLOOKUP(B2815,SPECIFICATIONF!$C$2:$D$65,2,0)</f>
        <v>GLOBAL HFT</v>
      </c>
      <c r="H2815" s="12">
        <f t="shared" ref="H2815:H2838" si="240">MONTH(A2815)</f>
        <v>1</v>
      </c>
      <c r="I2815" s="12">
        <f t="shared" ref="I2815:I2838" si="241">YEAR(A2815)</f>
        <v>2026</v>
      </c>
    </row>
    <row r="2816" spans="1:9" ht="19.5" customHeight="1" x14ac:dyDescent="0.35">
      <c r="A2816" s="41">
        <v>46053</v>
      </c>
      <c r="B2816" s="8" t="s">
        <v>32</v>
      </c>
      <c r="C2816" s="42" t="s">
        <v>33</v>
      </c>
      <c r="D2816" s="43" t="s">
        <v>30</v>
      </c>
      <c r="E2816" s="46">
        <v>9057.44</v>
      </c>
      <c r="F2816" s="2">
        <f>IF(C2816="GBP",E2816*$C$3,IF(C2816="TRY",E2816/$C$1,IF(C2816="EUR",E2816*$E$1,IF(C2816="RUB",E2816/#REF!,IF(C2816="EGP",E2816/$E$2,E2816)))))</f>
        <v>9057.44</v>
      </c>
      <c r="G2816" s="15" t="str">
        <f>VLOOKUP(B2816,SPECIFICATIONF!$C$2:$D$65,2,0)</f>
        <v>GLOBAL HFT</v>
      </c>
      <c r="H2816" s="12">
        <f t="shared" si="240"/>
        <v>1</v>
      </c>
      <c r="I2816" s="12">
        <f t="shared" si="241"/>
        <v>2026</v>
      </c>
    </row>
    <row r="2817" spans="1:9" ht="19.5" customHeight="1" x14ac:dyDescent="0.35">
      <c r="A2817" s="41">
        <v>46053</v>
      </c>
      <c r="B2817" s="8" t="s">
        <v>32</v>
      </c>
      <c r="C2817" s="42" t="s">
        <v>11</v>
      </c>
      <c r="D2817" s="43" t="s">
        <v>29</v>
      </c>
      <c r="E2817" s="46">
        <v>4847983551</v>
      </c>
      <c r="F2817" s="2">
        <f>IF(C2817="GBP",E2817*$C$3,IF(C2817="TRY",E2817/$C$1,IF(C2817="EUR",E2817*$E$1,IF(C2817="RUB",E2817/#REF!,IF(C2817="EGP",E2817/$E$2,E2817)))))</f>
        <v>132942025.5354856</v>
      </c>
      <c r="G2817" s="15" t="str">
        <f>VLOOKUP(B2817,SPECIFICATIONF!$C$2:$D$65,2,0)</f>
        <v>GLOBAL HFT</v>
      </c>
      <c r="H2817" s="12">
        <f t="shared" si="240"/>
        <v>1</v>
      </c>
      <c r="I2817" s="12">
        <f t="shared" si="241"/>
        <v>2026</v>
      </c>
    </row>
    <row r="2818" spans="1:9" ht="19.5" customHeight="1" x14ac:dyDescent="0.35">
      <c r="A2818" s="41">
        <v>46053</v>
      </c>
      <c r="B2818" s="8" t="s">
        <v>32</v>
      </c>
      <c r="C2818" s="42" t="s">
        <v>33</v>
      </c>
      <c r="D2818" s="43" t="s">
        <v>29</v>
      </c>
      <c r="E2818" s="46">
        <v>28105837</v>
      </c>
      <c r="F2818" s="2">
        <f>IF(C2818="GBP",E2818*$C$3,IF(C2818="TRY",E2818/$C$1,IF(C2818="EUR",E2818*$E$1,IF(C2818="RUB",E2818/#REF!,IF(C2818="EGP",E2818/$E$2,E2818)))))</f>
        <v>28105837</v>
      </c>
      <c r="G2818" s="15" t="str">
        <f>VLOOKUP(B2818,SPECIFICATIONF!$C$2:$D$65,2,0)</f>
        <v>GLOBAL HFT</v>
      </c>
      <c r="H2818" s="12">
        <f t="shared" si="240"/>
        <v>1</v>
      </c>
      <c r="I2818" s="12">
        <f t="shared" si="241"/>
        <v>2026</v>
      </c>
    </row>
    <row r="2819" spans="1:9" ht="19.5" customHeight="1" x14ac:dyDescent="0.35">
      <c r="A2819" s="41">
        <v>46053</v>
      </c>
      <c r="B2819" s="8" t="s">
        <v>24</v>
      </c>
      <c r="C2819" s="42" t="s">
        <v>11</v>
      </c>
      <c r="D2819" s="43" t="s">
        <v>30</v>
      </c>
      <c r="E2819" s="46">
        <v>0</v>
      </c>
      <c r="F2819" s="2">
        <f>IF(C2819="GBP",E2819*$C$3,IF(C2819="TRY",E2819/$C$1,IF(C2819="EUR",E2819*$E$1,IF(C2819="RUB",E2819/#REF!,IF(C2819="EGP",E2819/$E$2,E2819)))))</f>
        <v>0</v>
      </c>
      <c r="G2819" s="15" t="str">
        <f>VLOOKUP(B2819,SPECIFICATIONF!$C$2:$D$65,2,0)</f>
        <v>GLOBAL RETAIL</v>
      </c>
      <c r="H2819" s="12">
        <f t="shared" si="240"/>
        <v>1</v>
      </c>
      <c r="I2819" s="12">
        <f t="shared" si="241"/>
        <v>2026</v>
      </c>
    </row>
    <row r="2820" spans="1:9" ht="19.5" customHeight="1" x14ac:dyDescent="0.35">
      <c r="A2820" s="41">
        <v>46053</v>
      </c>
      <c r="B2820" s="8" t="s">
        <v>24</v>
      </c>
      <c r="C2820" s="42" t="s">
        <v>33</v>
      </c>
      <c r="D2820" s="43" t="s">
        <v>30</v>
      </c>
      <c r="E2820" s="46">
        <v>0</v>
      </c>
      <c r="F2820" s="2">
        <f>IF(C2820="GBP",E2820*$C$3,IF(C2820="TRY",E2820/$C$1,IF(C2820="EUR",E2820*$E$1,IF(C2820="RUB",E2820/#REF!,IF(C2820="EGP",E2820/$E$2,E2820)))))</f>
        <v>0</v>
      </c>
      <c r="G2820" s="15" t="str">
        <f>VLOOKUP(B2820,SPECIFICATIONF!$C$2:$D$65,2,0)</f>
        <v>GLOBAL RETAIL</v>
      </c>
      <c r="H2820" s="12">
        <f t="shared" si="240"/>
        <v>1</v>
      </c>
      <c r="I2820" s="12">
        <f t="shared" si="241"/>
        <v>2026</v>
      </c>
    </row>
    <row r="2821" spans="1:9" ht="19.5" customHeight="1" x14ac:dyDescent="0.35">
      <c r="A2821" s="41">
        <v>46053</v>
      </c>
      <c r="B2821" s="8" t="s">
        <v>24</v>
      </c>
      <c r="C2821" s="42" t="s">
        <v>11</v>
      </c>
      <c r="D2821" s="43" t="s">
        <v>29</v>
      </c>
      <c r="E2821" s="46">
        <v>7891715</v>
      </c>
      <c r="F2821" s="2">
        <f>IF(C2821="GBP",E2821*$C$3,IF(C2821="TRY",E2821/$C$1,IF(C2821="EUR",E2821*$E$1,IF(C2821="RUB",E2821/#REF!,IF(C2821="EGP",E2821/$E$2,E2821)))))</f>
        <v>216407.61896404682</v>
      </c>
      <c r="G2821" s="15" t="str">
        <f>VLOOKUP(B2821,SPECIFICATIONF!$C$2:$D$65,2,0)</f>
        <v>GLOBAL RETAIL</v>
      </c>
      <c r="H2821" s="12">
        <f t="shared" si="240"/>
        <v>1</v>
      </c>
      <c r="I2821" s="12">
        <f t="shared" si="241"/>
        <v>2026</v>
      </c>
    </row>
    <row r="2822" spans="1:9" ht="19.5" customHeight="1" x14ac:dyDescent="0.35">
      <c r="A2822" s="41">
        <v>46053</v>
      </c>
      <c r="B2822" s="8" t="s">
        <v>24</v>
      </c>
      <c r="C2822" s="42" t="s">
        <v>33</v>
      </c>
      <c r="D2822" s="43" t="s">
        <v>29</v>
      </c>
      <c r="E2822" s="46">
        <v>0</v>
      </c>
      <c r="F2822" s="2">
        <f>IF(C2822="GBP",E2822*$C$3,IF(C2822="TRY",E2822/$C$1,IF(C2822="EUR",E2822*$E$1,IF(C2822="RUB",E2822/#REF!,IF(C2822="EGP",E2822/$E$2,E2822)))))</f>
        <v>0</v>
      </c>
      <c r="G2822" s="15" t="str">
        <f>VLOOKUP(B2822,SPECIFICATIONF!$C$2:$D$65,2,0)</f>
        <v>GLOBAL RETAIL</v>
      </c>
      <c r="H2822" s="12">
        <f t="shared" si="240"/>
        <v>1</v>
      </c>
      <c r="I2822" s="12">
        <f t="shared" si="241"/>
        <v>2026</v>
      </c>
    </row>
    <row r="2823" spans="1:9" ht="19.5" customHeight="1" x14ac:dyDescent="0.35">
      <c r="A2823" s="41">
        <v>46054</v>
      </c>
      <c r="B2823" s="8" t="s">
        <v>32</v>
      </c>
      <c r="C2823" s="42" t="s">
        <v>11</v>
      </c>
      <c r="D2823" s="43" t="s">
        <v>30</v>
      </c>
      <c r="E2823" s="46">
        <v>1173363.18</v>
      </c>
      <c r="F2823" s="2">
        <f>IF(C2823="GBP",E2823*$C$3,IF(C2823="TRY",E2823/$C$1,IF(C2823="EUR",E2823*$E$1,IF(C2823="RUB",E2823/#REF!,IF(C2823="EGP",E2823/$E$2,E2823)))))</f>
        <v>32176.115326501564</v>
      </c>
      <c r="G2823" s="15" t="str">
        <f>VLOOKUP(B2823,SPECIFICATIONF!$C$2:$D$65,2,0)</f>
        <v>GLOBAL HFT</v>
      </c>
      <c r="H2823" s="12">
        <f t="shared" si="240"/>
        <v>2</v>
      </c>
      <c r="I2823" s="12">
        <f t="shared" si="241"/>
        <v>2026</v>
      </c>
    </row>
    <row r="2824" spans="1:9" ht="19.5" customHeight="1" x14ac:dyDescent="0.35">
      <c r="A2824" s="41">
        <v>46054</v>
      </c>
      <c r="B2824" s="8" t="s">
        <v>32</v>
      </c>
      <c r="C2824" s="42" t="s">
        <v>33</v>
      </c>
      <c r="D2824" s="43" t="s">
        <v>30</v>
      </c>
      <c r="E2824" s="46">
        <v>5224.9399999999996</v>
      </c>
      <c r="F2824" s="2">
        <f>IF(C2824="GBP",E2824*$C$3,IF(C2824="TRY",E2824/$C$1,IF(C2824="EUR",E2824*$E$1,IF(C2824="RUB",E2824/#REF!,IF(C2824="EGP",E2824/$E$2,E2824)))))</f>
        <v>5224.9399999999996</v>
      </c>
      <c r="G2824" s="15" t="str">
        <f>VLOOKUP(B2824,SPECIFICATIONF!$C$2:$D$65,2,0)</f>
        <v>GLOBAL HFT</v>
      </c>
      <c r="H2824" s="12">
        <f t="shared" si="240"/>
        <v>2</v>
      </c>
      <c r="I2824" s="12">
        <f t="shared" si="241"/>
        <v>2026</v>
      </c>
    </row>
    <row r="2825" spans="1:9" ht="19.5" customHeight="1" x14ac:dyDescent="0.35">
      <c r="A2825" s="41">
        <v>46054</v>
      </c>
      <c r="B2825" s="8" t="s">
        <v>32</v>
      </c>
      <c r="C2825" s="42" t="s">
        <v>11</v>
      </c>
      <c r="D2825" s="43" t="s">
        <v>29</v>
      </c>
      <c r="E2825" s="46">
        <v>4355585872</v>
      </c>
      <c r="F2825" s="2">
        <f>IF(C2825="GBP",E2825*$C$3,IF(C2825="TRY",E2825/$C$1,IF(C2825="EUR",E2825*$E$1,IF(C2825="RUB",E2825/#REF!,IF(C2825="EGP",E2825/$E$2,E2825)))))</f>
        <v>119439433.34914675</v>
      </c>
      <c r="G2825" s="15" t="str">
        <f>VLOOKUP(B2825,SPECIFICATIONF!$C$2:$D$65,2,0)</f>
        <v>GLOBAL HFT</v>
      </c>
      <c r="H2825" s="12">
        <f t="shared" si="240"/>
        <v>2</v>
      </c>
      <c r="I2825" s="12">
        <f t="shared" si="241"/>
        <v>2026</v>
      </c>
    </row>
    <row r="2826" spans="1:9" ht="19.5" customHeight="1" x14ac:dyDescent="0.35">
      <c r="A2826" s="41">
        <v>46054</v>
      </c>
      <c r="B2826" s="8" t="s">
        <v>32</v>
      </c>
      <c r="C2826" s="42" t="s">
        <v>33</v>
      </c>
      <c r="D2826" s="43" t="s">
        <v>29</v>
      </c>
      <c r="E2826" s="46">
        <v>17005260</v>
      </c>
      <c r="F2826" s="2">
        <f>IF(C2826="GBP",E2826*$C$3,IF(C2826="TRY",E2826/$C$1,IF(C2826="EUR",E2826*$E$1,IF(C2826="RUB",E2826/#REF!,IF(C2826="EGP",E2826/$E$2,E2826)))))</f>
        <v>17005260</v>
      </c>
      <c r="G2826" s="15" t="str">
        <f>VLOOKUP(B2826,SPECIFICATIONF!$C$2:$D$65,2,0)</f>
        <v>GLOBAL HFT</v>
      </c>
      <c r="H2826" s="12">
        <f t="shared" si="240"/>
        <v>2</v>
      </c>
      <c r="I2826" s="12">
        <f t="shared" si="241"/>
        <v>2026</v>
      </c>
    </row>
    <row r="2827" spans="1:9" ht="19.5" customHeight="1" x14ac:dyDescent="0.35">
      <c r="A2827" s="41">
        <v>46054</v>
      </c>
      <c r="B2827" s="8" t="s">
        <v>24</v>
      </c>
      <c r="C2827" s="42" t="s">
        <v>11</v>
      </c>
      <c r="D2827" s="43" t="s">
        <v>30</v>
      </c>
      <c r="E2827" s="46">
        <v>0</v>
      </c>
      <c r="F2827" s="2">
        <f>IF(C2827="GBP",E2827*$C$3,IF(C2827="TRY",E2827/$C$1,IF(C2827="EUR",E2827*$E$1,IF(C2827="RUB",E2827/#REF!,IF(C2827="EGP",E2827/$E$2,E2827)))))</f>
        <v>0</v>
      </c>
      <c r="G2827" s="15" t="str">
        <f>VLOOKUP(B2827,SPECIFICATIONF!$C$2:$D$65,2,0)</f>
        <v>GLOBAL RETAIL</v>
      </c>
      <c r="H2827" s="12">
        <f t="shared" si="240"/>
        <v>2</v>
      </c>
      <c r="I2827" s="12">
        <f t="shared" si="241"/>
        <v>2026</v>
      </c>
    </row>
    <row r="2828" spans="1:9" ht="19.5" customHeight="1" x14ac:dyDescent="0.35">
      <c r="A2828" s="41">
        <v>46054</v>
      </c>
      <c r="B2828" s="8" t="s">
        <v>24</v>
      </c>
      <c r="C2828" s="42" t="s">
        <v>33</v>
      </c>
      <c r="D2828" s="43" t="s">
        <v>30</v>
      </c>
      <c r="E2828" s="46">
        <v>0</v>
      </c>
      <c r="F2828" s="2">
        <f>IF(C2828="GBP",E2828*$C$3,IF(C2828="TRY",E2828/$C$1,IF(C2828="EUR",E2828*$E$1,IF(C2828="RUB",E2828/#REF!,IF(C2828="EGP",E2828/$E$2,E2828)))))</f>
        <v>0</v>
      </c>
      <c r="G2828" s="15" t="str">
        <f>VLOOKUP(B2828,SPECIFICATIONF!$C$2:$D$65,2,0)</f>
        <v>GLOBAL RETAIL</v>
      </c>
      <c r="H2828" s="12">
        <f t="shared" si="240"/>
        <v>2</v>
      </c>
      <c r="I2828" s="12">
        <f t="shared" si="241"/>
        <v>2026</v>
      </c>
    </row>
    <row r="2829" spans="1:9" ht="19.5" customHeight="1" x14ac:dyDescent="0.35">
      <c r="A2829" s="41">
        <v>46054</v>
      </c>
      <c r="B2829" s="8" t="s">
        <v>24</v>
      </c>
      <c r="C2829" s="42" t="s">
        <v>11</v>
      </c>
      <c r="D2829" s="43" t="s">
        <v>29</v>
      </c>
      <c r="E2829" s="46">
        <v>45331768</v>
      </c>
      <c r="F2829" s="2">
        <f>IF(C2829="GBP",E2829*$C$3,IF(C2829="TRY",E2829/$C$1,IF(C2829="EUR",E2829*$E$1,IF(C2829="RUB",E2829/#REF!,IF(C2829="EGP",E2829/$E$2,E2829)))))</f>
        <v>1243093.5451052871</v>
      </c>
      <c r="G2829" s="15" t="str">
        <f>VLOOKUP(B2829,SPECIFICATIONF!$C$2:$D$65,2,0)</f>
        <v>GLOBAL RETAIL</v>
      </c>
      <c r="H2829" s="12">
        <f t="shared" si="240"/>
        <v>2</v>
      </c>
      <c r="I2829" s="12">
        <f t="shared" si="241"/>
        <v>2026</v>
      </c>
    </row>
    <row r="2830" spans="1:9" ht="19.5" customHeight="1" x14ac:dyDescent="0.35">
      <c r="A2830" s="41">
        <v>46054</v>
      </c>
      <c r="B2830" s="8" t="s">
        <v>24</v>
      </c>
      <c r="C2830" s="42" t="s">
        <v>33</v>
      </c>
      <c r="D2830" s="43" t="s">
        <v>29</v>
      </c>
      <c r="E2830" s="46">
        <v>0</v>
      </c>
      <c r="F2830" s="2">
        <f>IF(C2830="GBP",E2830*$C$3,IF(C2830="TRY",E2830/$C$1,IF(C2830="EUR",E2830*$E$1,IF(C2830="RUB",E2830/#REF!,IF(C2830="EGP",E2830/$E$2,E2830)))))</f>
        <v>0</v>
      </c>
      <c r="G2830" s="15" t="str">
        <f>VLOOKUP(B2830,SPECIFICATIONF!$C$2:$D$65,2,0)</f>
        <v>GLOBAL RETAIL</v>
      </c>
      <c r="H2830" s="12">
        <f t="shared" si="240"/>
        <v>2</v>
      </c>
      <c r="I2830" s="12">
        <f t="shared" si="241"/>
        <v>2026</v>
      </c>
    </row>
    <row r="2831" spans="1:9" ht="19.5" customHeight="1" x14ac:dyDescent="0.35">
      <c r="A2831" s="41">
        <v>46055</v>
      </c>
      <c r="B2831" s="8" t="s">
        <v>32</v>
      </c>
      <c r="C2831" s="42" t="s">
        <v>11</v>
      </c>
      <c r="D2831" s="43" t="s">
        <v>30</v>
      </c>
      <c r="E2831" s="46">
        <v>1045740.83</v>
      </c>
      <c r="F2831" s="2">
        <f>IF(C2831="GBP",E2831*$C$3,IF(C2831="TRY",E2831/$C$1,IF(C2831="EUR",E2831*$E$1,IF(C2831="RUB",E2831/#REF!,IF(C2831="EGP",E2831/$E$2,E2831)))))</f>
        <v>28676.438907612104</v>
      </c>
      <c r="G2831" s="15" t="str">
        <f>VLOOKUP(B2831,SPECIFICATIONF!$C$2:$D$65,2,0)</f>
        <v>GLOBAL HFT</v>
      </c>
      <c r="H2831" s="12">
        <f t="shared" si="240"/>
        <v>2</v>
      </c>
      <c r="I2831" s="12">
        <f t="shared" si="241"/>
        <v>2026</v>
      </c>
    </row>
    <row r="2832" spans="1:9" ht="19.5" customHeight="1" x14ac:dyDescent="0.35">
      <c r="A2832" s="41">
        <v>46055</v>
      </c>
      <c r="B2832" s="8" t="s">
        <v>32</v>
      </c>
      <c r="C2832" s="42" t="s">
        <v>33</v>
      </c>
      <c r="D2832" s="43" t="s">
        <v>30</v>
      </c>
      <c r="E2832" s="46">
        <v>7865.24</v>
      </c>
      <c r="F2832" s="2">
        <f>IF(C2832="GBP",E2832*$C$3,IF(C2832="TRY",E2832/$C$1,IF(C2832="EUR",E2832*$E$1,IF(C2832="RUB",E2832/#REF!,IF(C2832="EGP",E2832/$E$2,E2832)))))</f>
        <v>7865.24</v>
      </c>
      <c r="G2832" s="15" t="str">
        <f>VLOOKUP(B2832,SPECIFICATIONF!$C$2:$D$65,2,0)</f>
        <v>GLOBAL HFT</v>
      </c>
      <c r="H2832" s="12">
        <f t="shared" si="240"/>
        <v>2</v>
      </c>
      <c r="I2832" s="12">
        <f t="shared" si="241"/>
        <v>2026</v>
      </c>
    </row>
    <row r="2833" spans="1:9" ht="19.5" customHeight="1" x14ac:dyDescent="0.35">
      <c r="A2833" s="41">
        <v>46055</v>
      </c>
      <c r="B2833" s="8" t="s">
        <v>32</v>
      </c>
      <c r="C2833" s="42" t="s">
        <v>11</v>
      </c>
      <c r="D2833" s="43" t="s">
        <v>29</v>
      </c>
      <c r="E2833" s="46">
        <v>3830089963</v>
      </c>
      <c r="F2833" s="2">
        <f>IF(C2833="GBP",E2833*$C$3,IF(C2833="TRY",E2833/$C$1,IF(C2833="EUR",E2833*$E$1,IF(C2833="RUB",E2833/#REF!,IF(C2833="EGP",E2833/$E$2,E2833)))))</f>
        <v>105029217.26277801</v>
      </c>
      <c r="G2833" s="15" t="str">
        <f>VLOOKUP(B2833,SPECIFICATIONF!$C$2:$D$65,2,0)</f>
        <v>GLOBAL HFT</v>
      </c>
      <c r="H2833" s="12">
        <f t="shared" si="240"/>
        <v>2</v>
      </c>
      <c r="I2833" s="12">
        <f t="shared" si="241"/>
        <v>2026</v>
      </c>
    </row>
    <row r="2834" spans="1:9" ht="19.5" customHeight="1" x14ac:dyDescent="0.35">
      <c r="A2834" s="41">
        <v>46055</v>
      </c>
      <c r="B2834" s="8" t="s">
        <v>32</v>
      </c>
      <c r="C2834" s="42" t="s">
        <v>33</v>
      </c>
      <c r="D2834" s="43" t="s">
        <v>29</v>
      </c>
      <c r="E2834" s="46">
        <v>25055728</v>
      </c>
      <c r="F2834" s="2">
        <f>IF(C2834="GBP",E2834*$C$3,IF(C2834="TRY",E2834/$C$1,IF(C2834="EUR",E2834*$E$1,IF(C2834="RUB",E2834/#REF!,IF(C2834="EGP",E2834/$E$2,E2834)))))</f>
        <v>25055728</v>
      </c>
      <c r="G2834" s="15" t="str">
        <f>VLOOKUP(B2834,SPECIFICATIONF!$C$2:$D$65,2,0)</f>
        <v>GLOBAL HFT</v>
      </c>
      <c r="H2834" s="12">
        <f t="shared" si="240"/>
        <v>2</v>
      </c>
      <c r="I2834" s="12">
        <f t="shared" si="241"/>
        <v>2026</v>
      </c>
    </row>
    <row r="2835" spans="1:9" ht="19.5" customHeight="1" x14ac:dyDescent="0.35">
      <c r="A2835" s="41">
        <v>46055</v>
      </c>
      <c r="B2835" s="8" t="s">
        <v>24</v>
      </c>
      <c r="C2835" s="42" t="s">
        <v>11</v>
      </c>
      <c r="D2835" s="43" t="s">
        <v>30</v>
      </c>
      <c r="E2835" s="46">
        <v>0</v>
      </c>
      <c r="F2835" s="2">
        <f>IF(C2835="GBP",E2835*$C$3,IF(C2835="TRY",E2835/$C$1,IF(C2835="EUR",E2835*$E$1,IF(C2835="RUB",E2835/#REF!,IF(C2835="EGP",E2835/$E$2,E2835)))))</f>
        <v>0</v>
      </c>
      <c r="G2835" s="15" t="str">
        <f>VLOOKUP(B2835,SPECIFICATIONF!$C$2:$D$65,2,0)</f>
        <v>GLOBAL RETAIL</v>
      </c>
      <c r="H2835" s="12">
        <f t="shared" si="240"/>
        <v>2</v>
      </c>
      <c r="I2835" s="12">
        <f t="shared" si="241"/>
        <v>2026</v>
      </c>
    </row>
    <row r="2836" spans="1:9" ht="19.5" customHeight="1" x14ac:dyDescent="0.35">
      <c r="A2836" s="41">
        <v>46055</v>
      </c>
      <c r="B2836" s="8" t="s">
        <v>24</v>
      </c>
      <c r="C2836" s="42" t="s">
        <v>33</v>
      </c>
      <c r="D2836" s="43" t="s">
        <v>30</v>
      </c>
      <c r="E2836" s="46">
        <v>0</v>
      </c>
      <c r="F2836" s="2">
        <f>IF(C2836="GBP",E2836*$C$3,IF(C2836="TRY",E2836/$C$1,IF(C2836="EUR",E2836*$E$1,IF(C2836="RUB",E2836/#REF!,IF(C2836="EGP",E2836/$E$2,E2836)))))</f>
        <v>0</v>
      </c>
      <c r="G2836" s="15" t="str">
        <f>VLOOKUP(B2836,SPECIFICATIONF!$C$2:$D$65,2,0)</f>
        <v>GLOBAL RETAIL</v>
      </c>
      <c r="H2836" s="12">
        <f t="shared" si="240"/>
        <v>2</v>
      </c>
      <c r="I2836" s="12">
        <f t="shared" si="241"/>
        <v>2026</v>
      </c>
    </row>
    <row r="2837" spans="1:9" ht="19.5" customHeight="1" x14ac:dyDescent="0.35">
      <c r="A2837" s="41">
        <v>46055</v>
      </c>
      <c r="B2837" s="8" t="s">
        <v>24</v>
      </c>
      <c r="C2837" s="42" t="s">
        <v>11</v>
      </c>
      <c r="D2837" s="43" t="s">
        <v>29</v>
      </c>
      <c r="E2837" s="46">
        <v>21651860</v>
      </c>
      <c r="F2837" s="2">
        <f>IF(C2837="GBP",E2837*$C$3,IF(C2837="TRY",E2837/$C$1,IF(C2837="EUR",E2837*$E$1,IF(C2837="RUB",E2837/#REF!,IF(C2837="EGP",E2837/$E$2,E2837)))))</f>
        <v>593740.07661742566</v>
      </c>
      <c r="G2837" s="15" t="str">
        <f>VLOOKUP(B2837,SPECIFICATIONF!$C$2:$D$65,2,0)</f>
        <v>GLOBAL RETAIL</v>
      </c>
      <c r="H2837" s="12">
        <f t="shared" si="240"/>
        <v>2</v>
      </c>
      <c r="I2837" s="12">
        <f t="shared" si="241"/>
        <v>2026</v>
      </c>
    </row>
    <row r="2838" spans="1:9" ht="19.5" customHeight="1" x14ac:dyDescent="0.35">
      <c r="A2838" s="41">
        <v>46055</v>
      </c>
      <c r="B2838" s="8" t="s">
        <v>24</v>
      </c>
      <c r="C2838" s="42" t="s">
        <v>33</v>
      </c>
      <c r="D2838" s="43" t="s">
        <v>29</v>
      </c>
      <c r="E2838" s="46">
        <v>0</v>
      </c>
      <c r="F2838" s="2">
        <f>IF(C2838="GBP",E2838*$C$3,IF(C2838="TRY",E2838/$C$1,IF(C2838="EUR",E2838*$E$1,IF(C2838="RUB",E2838/#REF!,IF(C2838="EGP",E2838/$E$2,E2838)))))</f>
        <v>0</v>
      </c>
      <c r="G2838" s="15" t="str">
        <f>VLOOKUP(B2838,SPECIFICATIONF!$C$2:$D$65,2,0)</f>
        <v>GLOBAL RETAIL</v>
      </c>
      <c r="H2838" s="12">
        <f t="shared" si="240"/>
        <v>2</v>
      </c>
      <c r="I2838" s="12">
        <f t="shared" si="241"/>
        <v>2026</v>
      </c>
    </row>
    <row r="2839" spans="1:9" ht="19.5" customHeight="1" x14ac:dyDescent="0.35">
      <c r="A2839" s="41">
        <v>46056</v>
      </c>
      <c r="B2839" s="8" t="s">
        <v>32</v>
      </c>
      <c r="C2839" s="42" t="s">
        <v>11</v>
      </c>
      <c r="D2839" s="43" t="s">
        <v>30</v>
      </c>
      <c r="E2839" s="46">
        <v>1115804.22</v>
      </c>
      <c r="F2839" s="2">
        <f>IF(C2839="GBP",E2839*$C$3,IF(C2839="TRY",E2839/$C$1,IF(C2839="EUR",E2839*$E$1,IF(C2839="RUB",E2839/#REF!,IF(C2839="EGP",E2839/$E$2,E2839)))))</f>
        <v>30597.726157145244</v>
      </c>
      <c r="G2839" s="15" t="str">
        <f>VLOOKUP(B2839,SPECIFICATIONF!$C$2:$D$65,2,0)</f>
        <v>GLOBAL HFT</v>
      </c>
      <c r="H2839" s="12">
        <f t="shared" ref="H2839:H2846" si="242">MONTH(A2839)</f>
        <v>2</v>
      </c>
      <c r="I2839" s="12">
        <f t="shared" ref="I2839:I2846" si="243">YEAR(A2839)</f>
        <v>2026</v>
      </c>
    </row>
    <row r="2840" spans="1:9" ht="19.5" customHeight="1" x14ac:dyDescent="0.35">
      <c r="A2840" s="41">
        <v>46056</v>
      </c>
      <c r="B2840" s="8" t="s">
        <v>32</v>
      </c>
      <c r="C2840" s="42" t="s">
        <v>33</v>
      </c>
      <c r="D2840" s="43" t="s">
        <v>30</v>
      </c>
      <c r="E2840" s="46">
        <v>8121.46</v>
      </c>
      <c r="F2840" s="2">
        <f>IF(C2840="GBP",E2840*$C$3,IF(C2840="TRY",E2840/$C$1,IF(C2840="EUR",E2840*$E$1,IF(C2840="RUB",E2840/#REF!,IF(C2840="EGP",E2840/$E$2,E2840)))))</f>
        <v>8121.46</v>
      </c>
      <c r="G2840" s="15" t="str">
        <f>VLOOKUP(B2840,SPECIFICATIONF!$C$2:$D$65,2,0)</f>
        <v>GLOBAL HFT</v>
      </c>
      <c r="H2840" s="12">
        <f t="shared" si="242"/>
        <v>2</v>
      </c>
      <c r="I2840" s="12">
        <f t="shared" si="243"/>
        <v>2026</v>
      </c>
    </row>
    <row r="2841" spans="1:9" ht="19.5" customHeight="1" x14ac:dyDescent="0.35">
      <c r="A2841" s="41">
        <v>46056</v>
      </c>
      <c r="B2841" s="8" t="s">
        <v>32</v>
      </c>
      <c r="C2841" s="42" t="s">
        <v>11</v>
      </c>
      <c r="D2841" s="43" t="s">
        <v>29</v>
      </c>
      <c r="E2841" s="46">
        <v>3986538311</v>
      </c>
      <c r="F2841" s="2">
        <f>IF(C2841="GBP",E2841*$C$3,IF(C2841="TRY",E2841/$C$1,IF(C2841="EUR",E2841*$E$1,IF(C2841="RUB",E2841/#REF!,IF(C2841="EGP",E2841/$E$2,E2841)))))</f>
        <v>109319363.8888965</v>
      </c>
      <c r="G2841" s="15" t="str">
        <f>VLOOKUP(B2841,SPECIFICATIONF!$C$2:$D$65,2,0)</f>
        <v>GLOBAL HFT</v>
      </c>
      <c r="H2841" s="12">
        <f t="shared" si="242"/>
        <v>2</v>
      </c>
      <c r="I2841" s="12">
        <f t="shared" si="243"/>
        <v>2026</v>
      </c>
    </row>
    <row r="2842" spans="1:9" ht="19.5" customHeight="1" x14ac:dyDescent="0.35">
      <c r="A2842" s="41">
        <v>46056</v>
      </c>
      <c r="B2842" s="8" t="s">
        <v>32</v>
      </c>
      <c r="C2842" s="42" t="s">
        <v>33</v>
      </c>
      <c r="D2842" s="43" t="s">
        <v>29</v>
      </c>
      <c r="E2842" s="46">
        <v>25321744</v>
      </c>
      <c r="F2842" s="2">
        <f>IF(C2842="GBP",E2842*$C$3,IF(C2842="TRY",E2842/$C$1,IF(C2842="EUR",E2842*$E$1,IF(C2842="RUB",E2842/#REF!,IF(C2842="EGP",E2842/$E$2,E2842)))))</f>
        <v>25321744</v>
      </c>
      <c r="G2842" s="15" t="str">
        <f>VLOOKUP(B2842,SPECIFICATIONF!$C$2:$D$65,2,0)</f>
        <v>GLOBAL HFT</v>
      </c>
      <c r="H2842" s="12">
        <f t="shared" si="242"/>
        <v>2</v>
      </c>
      <c r="I2842" s="12">
        <f t="shared" si="243"/>
        <v>2026</v>
      </c>
    </row>
    <row r="2843" spans="1:9" ht="19.5" customHeight="1" x14ac:dyDescent="0.35">
      <c r="A2843" s="41">
        <v>46056</v>
      </c>
      <c r="B2843" s="8" t="s">
        <v>24</v>
      </c>
      <c r="C2843" s="42" t="s">
        <v>11</v>
      </c>
      <c r="D2843" s="43" t="s">
        <v>30</v>
      </c>
      <c r="E2843" s="46">
        <v>0</v>
      </c>
      <c r="F2843" s="2">
        <f>IF(C2843="GBP",E2843*$C$3,IF(C2843="TRY",E2843/$C$1,IF(C2843="EUR",E2843*$E$1,IF(C2843="RUB",E2843/#REF!,IF(C2843="EGP",E2843/$E$2,E2843)))))</f>
        <v>0</v>
      </c>
      <c r="G2843" s="15" t="str">
        <f>VLOOKUP(B2843,SPECIFICATIONF!$C$2:$D$65,2,0)</f>
        <v>GLOBAL RETAIL</v>
      </c>
      <c r="H2843" s="12">
        <f t="shared" si="242"/>
        <v>2</v>
      </c>
      <c r="I2843" s="12">
        <f t="shared" si="243"/>
        <v>2026</v>
      </c>
    </row>
    <row r="2844" spans="1:9" ht="19.5" customHeight="1" x14ac:dyDescent="0.35">
      <c r="A2844" s="41">
        <v>46056</v>
      </c>
      <c r="B2844" s="8" t="s">
        <v>24</v>
      </c>
      <c r="C2844" s="42" t="s">
        <v>33</v>
      </c>
      <c r="D2844" s="43" t="s">
        <v>30</v>
      </c>
      <c r="E2844" s="46">
        <v>0</v>
      </c>
      <c r="F2844" s="2">
        <f>IF(C2844="GBP",E2844*$C$3,IF(C2844="TRY",E2844/$C$1,IF(C2844="EUR",E2844*$E$1,IF(C2844="RUB",E2844/#REF!,IF(C2844="EGP",E2844/$E$2,E2844)))))</f>
        <v>0</v>
      </c>
      <c r="G2844" s="15" t="str">
        <f>VLOOKUP(B2844,SPECIFICATIONF!$C$2:$D$65,2,0)</f>
        <v>GLOBAL RETAIL</v>
      </c>
      <c r="H2844" s="12">
        <f t="shared" si="242"/>
        <v>2</v>
      </c>
      <c r="I2844" s="12">
        <f t="shared" si="243"/>
        <v>2026</v>
      </c>
    </row>
    <row r="2845" spans="1:9" ht="19.5" customHeight="1" x14ac:dyDescent="0.35">
      <c r="A2845" s="41">
        <v>46056</v>
      </c>
      <c r="B2845" s="8" t="s">
        <v>24</v>
      </c>
      <c r="C2845" s="42" t="s">
        <v>11</v>
      </c>
      <c r="D2845" s="43" t="s">
        <v>29</v>
      </c>
      <c r="E2845" s="46">
        <v>26807358</v>
      </c>
      <c r="F2845" s="2">
        <f>IF(C2845="GBP",E2845*$C$3,IF(C2845="TRY",E2845/$C$1,IF(C2845="EUR",E2845*$E$1,IF(C2845="RUB",E2845/#REF!,IF(C2845="EGP",E2845/$E$2,E2845)))))</f>
        <v>735114.80273892207</v>
      </c>
      <c r="G2845" s="15" t="str">
        <f>VLOOKUP(B2845,SPECIFICATIONF!$C$2:$D$65,2,0)</f>
        <v>GLOBAL RETAIL</v>
      </c>
      <c r="H2845" s="12">
        <f t="shared" si="242"/>
        <v>2</v>
      </c>
      <c r="I2845" s="12">
        <f t="shared" si="243"/>
        <v>2026</v>
      </c>
    </row>
    <row r="2846" spans="1:9" ht="19.5" customHeight="1" x14ac:dyDescent="0.35">
      <c r="A2846" s="41">
        <v>46056</v>
      </c>
      <c r="B2846" s="8" t="s">
        <v>24</v>
      </c>
      <c r="C2846" s="42" t="s">
        <v>33</v>
      </c>
      <c r="D2846" s="43" t="s">
        <v>29</v>
      </c>
      <c r="E2846" s="46">
        <v>0</v>
      </c>
      <c r="F2846" s="2">
        <f>IF(C2846="GBP",E2846*$C$3,IF(C2846="TRY",E2846/$C$1,IF(C2846="EUR",E2846*$E$1,IF(C2846="RUB",E2846/#REF!,IF(C2846="EGP",E2846/$E$2,E2846)))))</f>
        <v>0</v>
      </c>
      <c r="G2846" s="15" t="str">
        <f>VLOOKUP(B2846,SPECIFICATIONF!$C$2:$D$65,2,0)</f>
        <v>GLOBAL RETAIL</v>
      </c>
      <c r="H2846" s="12">
        <f t="shared" si="242"/>
        <v>2</v>
      </c>
      <c r="I2846" s="12">
        <f t="shared" si="243"/>
        <v>2026</v>
      </c>
    </row>
    <row r="2847" spans="1:9" ht="19.5" customHeight="1" x14ac:dyDescent="0.35">
      <c r="A2847" s="41">
        <v>46057</v>
      </c>
      <c r="B2847" s="8" t="s">
        <v>32</v>
      </c>
      <c r="C2847" s="42" t="s">
        <v>11</v>
      </c>
      <c r="D2847" s="43" t="s">
        <v>30</v>
      </c>
      <c r="E2847" s="46">
        <v>967240.99</v>
      </c>
      <c r="F2847" s="2">
        <f>IF(C2847="GBP",E2847*$C$3,IF(C2847="TRY",E2847/$C$1,IF(C2847="EUR",E2847*$E$1,IF(C2847="RUB",E2847/#REF!,IF(C2847="EGP",E2847/$E$2,E2847)))))</f>
        <v>26523.806246212316</v>
      </c>
      <c r="G2847" s="15" t="str">
        <f>VLOOKUP(B2847,SPECIFICATIONF!$C$2:$D$65,2,0)</f>
        <v>GLOBAL HFT</v>
      </c>
      <c r="H2847" s="12">
        <f t="shared" ref="H2847:H2854" si="244">MONTH(A2847)</f>
        <v>2</v>
      </c>
      <c r="I2847" s="12">
        <f t="shared" ref="I2847:I2854" si="245">YEAR(A2847)</f>
        <v>2026</v>
      </c>
    </row>
    <row r="2848" spans="1:9" ht="19.5" customHeight="1" x14ac:dyDescent="0.35">
      <c r="A2848" s="41">
        <v>46057</v>
      </c>
      <c r="B2848" s="8" t="s">
        <v>32</v>
      </c>
      <c r="C2848" s="42" t="s">
        <v>33</v>
      </c>
      <c r="D2848" s="43" t="s">
        <v>30</v>
      </c>
      <c r="E2848" s="46">
        <v>6996.4</v>
      </c>
      <c r="F2848" s="2">
        <f>IF(C2848="GBP",E2848*$C$3,IF(C2848="TRY",E2848/$C$1,IF(C2848="EUR",E2848*$E$1,IF(C2848="RUB",E2848/#REF!,IF(C2848="EGP",E2848/$E$2,E2848)))))</f>
        <v>6996.4</v>
      </c>
      <c r="G2848" s="15" t="str">
        <f>VLOOKUP(B2848,SPECIFICATIONF!$C$2:$D$65,2,0)</f>
        <v>GLOBAL HFT</v>
      </c>
      <c r="H2848" s="12">
        <f t="shared" si="244"/>
        <v>2</v>
      </c>
      <c r="I2848" s="12">
        <f t="shared" si="245"/>
        <v>2026</v>
      </c>
    </row>
    <row r="2849" spans="1:9" ht="19.5" customHeight="1" x14ac:dyDescent="0.35">
      <c r="A2849" s="41">
        <v>46057</v>
      </c>
      <c r="B2849" s="8" t="s">
        <v>32</v>
      </c>
      <c r="C2849" s="42" t="s">
        <v>11</v>
      </c>
      <c r="D2849" s="43" t="s">
        <v>29</v>
      </c>
      <c r="E2849" s="46">
        <v>3405250352</v>
      </c>
      <c r="F2849" s="2">
        <f>IF(C2849="GBP",E2849*$C$3,IF(C2849="TRY",E2849/$C$1,IF(C2849="EUR",E2849*$E$1,IF(C2849="RUB",E2849/#REF!,IF(C2849="EGP",E2849/$E$2,E2849)))))</f>
        <v>93379211.065377086</v>
      </c>
      <c r="G2849" s="15" t="str">
        <f>VLOOKUP(B2849,SPECIFICATIONF!$C$2:$D$65,2,0)</f>
        <v>GLOBAL HFT</v>
      </c>
      <c r="H2849" s="12">
        <f t="shared" si="244"/>
        <v>2</v>
      </c>
      <c r="I2849" s="12">
        <f t="shared" si="245"/>
        <v>2026</v>
      </c>
    </row>
    <row r="2850" spans="1:9" ht="19.5" customHeight="1" x14ac:dyDescent="0.35">
      <c r="A2850" s="41">
        <v>46057</v>
      </c>
      <c r="B2850" s="8" t="s">
        <v>32</v>
      </c>
      <c r="C2850" s="42" t="s">
        <v>33</v>
      </c>
      <c r="D2850" s="43" t="s">
        <v>29</v>
      </c>
      <c r="E2850" s="46">
        <v>22443342</v>
      </c>
      <c r="F2850" s="2">
        <f>IF(C2850="GBP",E2850*$C$3,IF(C2850="TRY",E2850/$C$1,IF(C2850="EUR",E2850*$E$1,IF(C2850="RUB",E2850/#REF!,IF(C2850="EGP",E2850/$E$2,E2850)))))</f>
        <v>22443342</v>
      </c>
      <c r="G2850" s="15" t="str">
        <f>VLOOKUP(B2850,SPECIFICATIONF!$C$2:$D$65,2,0)</f>
        <v>GLOBAL HFT</v>
      </c>
      <c r="H2850" s="12">
        <f t="shared" si="244"/>
        <v>2</v>
      </c>
      <c r="I2850" s="12">
        <f t="shared" si="245"/>
        <v>2026</v>
      </c>
    </row>
    <row r="2851" spans="1:9" ht="19.5" customHeight="1" x14ac:dyDescent="0.35">
      <c r="A2851" s="41">
        <v>46057</v>
      </c>
      <c r="B2851" s="8" t="s">
        <v>24</v>
      </c>
      <c r="C2851" s="42" t="s">
        <v>11</v>
      </c>
      <c r="D2851" s="43" t="s">
        <v>30</v>
      </c>
      <c r="E2851" s="46">
        <v>0</v>
      </c>
      <c r="F2851" s="2">
        <f>IF(C2851="GBP",E2851*$C$3,IF(C2851="TRY",E2851/$C$1,IF(C2851="EUR",E2851*$E$1,IF(C2851="RUB",E2851/#REF!,IF(C2851="EGP",E2851/$E$2,E2851)))))</f>
        <v>0</v>
      </c>
      <c r="G2851" s="15" t="str">
        <f>VLOOKUP(B2851,SPECIFICATIONF!$C$2:$D$65,2,0)</f>
        <v>GLOBAL RETAIL</v>
      </c>
      <c r="H2851" s="12">
        <f t="shared" si="244"/>
        <v>2</v>
      </c>
      <c r="I2851" s="12">
        <f t="shared" si="245"/>
        <v>2026</v>
      </c>
    </row>
    <row r="2852" spans="1:9" ht="19.5" customHeight="1" x14ac:dyDescent="0.35">
      <c r="A2852" s="41">
        <v>46057</v>
      </c>
      <c r="B2852" s="8" t="s">
        <v>24</v>
      </c>
      <c r="C2852" s="42" t="s">
        <v>33</v>
      </c>
      <c r="D2852" s="43" t="s">
        <v>30</v>
      </c>
      <c r="E2852" s="46">
        <v>0</v>
      </c>
      <c r="F2852" s="2">
        <f>IF(C2852="GBP",E2852*$C$3,IF(C2852="TRY",E2852/$C$1,IF(C2852="EUR",E2852*$E$1,IF(C2852="RUB",E2852/#REF!,IF(C2852="EGP",E2852/$E$2,E2852)))))</f>
        <v>0</v>
      </c>
      <c r="G2852" s="15" t="str">
        <f>VLOOKUP(B2852,SPECIFICATIONF!$C$2:$D$65,2,0)</f>
        <v>GLOBAL RETAIL</v>
      </c>
      <c r="H2852" s="12">
        <f t="shared" si="244"/>
        <v>2</v>
      </c>
      <c r="I2852" s="12">
        <f t="shared" si="245"/>
        <v>2026</v>
      </c>
    </row>
    <row r="2853" spans="1:9" ht="19.5" customHeight="1" x14ac:dyDescent="0.35">
      <c r="A2853" s="41">
        <v>46057</v>
      </c>
      <c r="B2853" s="8" t="s">
        <v>24</v>
      </c>
      <c r="C2853" s="42" t="s">
        <v>11</v>
      </c>
      <c r="D2853" s="43" t="s">
        <v>29</v>
      </c>
      <c r="E2853" s="46">
        <v>7481915</v>
      </c>
      <c r="F2853" s="2">
        <f>IF(C2853="GBP",E2853*$C$3,IF(C2853="TRY",E2853/$C$1,IF(C2853="EUR",E2853*$E$1,IF(C2853="RUB",E2853/#REF!,IF(C2853="EGP",E2853/$E$2,E2853)))))</f>
        <v>205170.03090473826</v>
      </c>
      <c r="G2853" s="15" t="str">
        <f>VLOOKUP(B2853,SPECIFICATIONF!$C$2:$D$65,2,0)</f>
        <v>GLOBAL RETAIL</v>
      </c>
      <c r="H2853" s="12">
        <f t="shared" si="244"/>
        <v>2</v>
      </c>
      <c r="I2853" s="12">
        <f t="shared" si="245"/>
        <v>2026</v>
      </c>
    </row>
    <row r="2854" spans="1:9" ht="19.5" customHeight="1" x14ac:dyDescent="0.35">
      <c r="A2854" s="41">
        <v>46057</v>
      </c>
      <c r="B2854" s="8" t="s">
        <v>24</v>
      </c>
      <c r="C2854" s="42" t="s">
        <v>33</v>
      </c>
      <c r="D2854" s="43" t="s">
        <v>29</v>
      </c>
      <c r="E2854" s="46">
        <v>0</v>
      </c>
      <c r="F2854" s="2">
        <f>IF(C2854="GBP",E2854*$C$3,IF(C2854="TRY",E2854/$C$1,IF(C2854="EUR",E2854*$E$1,IF(C2854="RUB",E2854/#REF!,IF(C2854="EGP",E2854/$E$2,E2854)))))</f>
        <v>0</v>
      </c>
      <c r="G2854" s="15" t="str">
        <f>VLOOKUP(B2854,SPECIFICATIONF!$C$2:$D$65,2,0)</f>
        <v>GLOBAL RETAIL</v>
      </c>
      <c r="H2854" s="12">
        <f t="shared" si="244"/>
        <v>2</v>
      </c>
      <c r="I2854" s="12">
        <f t="shared" si="245"/>
        <v>2026</v>
      </c>
    </row>
    <row r="2855" spans="1:9" ht="19.5" customHeight="1" x14ac:dyDescent="0.35">
      <c r="A2855" s="41">
        <v>46058</v>
      </c>
      <c r="B2855" s="8" t="s">
        <v>32</v>
      </c>
      <c r="C2855" s="42" t="s">
        <v>11</v>
      </c>
      <c r="D2855" s="43" t="s">
        <v>30</v>
      </c>
      <c r="E2855" s="46">
        <v>1435551.68</v>
      </c>
      <c r="F2855" s="2">
        <f>IF(C2855="GBP",E2855*$C$3,IF(C2855="TRY",E2855/$C$1,IF(C2855="EUR",E2855*$E$1,IF(C2855="RUB",E2855/#REF!,IF(C2855="EGP",E2855/$E$2,E2855)))))</f>
        <v>39365.881936770056</v>
      </c>
      <c r="G2855" s="15" t="str">
        <f>VLOOKUP(B2855,SPECIFICATIONF!$C$2:$D$65,2,0)</f>
        <v>GLOBAL HFT</v>
      </c>
      <c r="H2855" s="12">
        <f t="shared" ref="H2855:H2862" si="246">MONTH(A2855)</f>
        <v>2</v>
      </c>
      <c r="I2855" s="12">
        <f t="shared" ref="I2855:I2862" si="247">YEAR(A2855)</f>
        <v>2026</v>
      </c>
    </row>
    <row r="2856" spans="1:9" ht="19.5" customHeight="1" x14ac:dyDescent="0.35">
      <c r="A2856" s="41">
        <v>46058</v>
      </c>
      <c r="B2856" s="8" t="s">
        <v>32</v>
      </c>
      <c r="C2856" s="42" t="s">
        <v>33</v>
      </c>
      <c r="D2856" s="43" t="s">
        <v>30</v>
      </c>
      <c r="E2856" s="46">
        <v>12295</v>
      </c>
      <c r="F2856" s="2">
        <f>IF(C2856="GBP",E2856*$C$3,IF(C2856="TRY",E2856/$C$1,IF(C2856="EUR",E2856*$E$1,IF(C2856="RUB",E2856/#REF!,IF(C2856="EGP",E2856/$E$2,E2856)))))</f>
        <v>12295</v>
      </c>
      <c r="G2856" s="15" t="str">
        <f>VLOOKUP(B2856,SPECIFICATIONF!$C$2:$D$65,2,0)</f>
        <v>GLOBAL HFT</v>
      </c>
      <c r="H2856" s="12">
        <f t="shared" si="246"/>
        <v>2</v>
      </c>
      <c r="I2856" s="12">
        <f t="shared" si="247"/>
        <v>2026</v>
      </c>
    </row>
    <row r="2857" spans="1:9" ht="19.5" customHeight="1" x14ac:dyDescent="0.35">
      <c r="A2857" s="41">
        <v>46058</v>
      </c>
      <c r="B2857" s="8" t="s">
        <v>32</v>
      </c>
      <c r="C2857" s="42" t="s">
        <v>11</v>
      </c>
      <c r="D2857" s="43" t="s">
        <v>29</v>
      </c>
      <c r="E2857" s="46">
        <v>4802113358</v>
      </c>
      <c r="F2857" s="2">
        <f>IF(C2857="GBP",E2857*$C$3,IF(C2857="TRY",E2857/$C$1,IF(C2857="EUR",E2857*$E$1,IF(C2857="RUB",E2857/#REF!,IF(C2857="EGP",E2857/$E$2,E2857)))))</f>
        <v>131684167.23110546</v>
      </c>
      <c r="G2857" s="15" t="str">
        <f>VLOOKUP(B2857,SPECIFICATIONF!$C$2:$D$65,2,0)</f>
        <v>GLOBAL HFT</v>
      </c>
      <c r="H2857" s="12">
        <f t="shared" si="246"/>
        <v>2</v>
      </c>
      <c r="I2857" s="12">
        <f t="shared" si="247"/>
        <v>2026</v>
      </c>
    </row>
    <row r="2858" spans="1:9" ht="19.5" customHeight="1" x14ac:dyDescent="0.35">
      <c r="A2858" s="41">
        <v>46058</v>
      </c>
      <c r="B2858" s="8" t="s">
        <v>32</v>
      </c>
      <c r="C2858" s="42" t="s">
        <v>33</v>
      </c>
      <c r="D2858" s="43" t="s">
        <v>29</v>
      </c>
      <c r="E2858" s="46">
        <v>37836812</v>
      </c>
      <c r="F2858" s="2">
        <f>IF(C2858="GBP",E2858*$C$3,IF(C2858="TRY",E2858/$C$1,IF(C2858="EUR",E2858*$E$1,IF(C2858="RUB",E2858/#REF!,IF(C2858="EGP",E2858/$E$2,E2858)))))</f>
        <v>37836812</v>
      </c>
      <c r="G2858" s="15" t="str">
        <f>VLOOKUP(B2858,SPECIFICATIONF!$C$2:$D$65,2,0)</f>
        <v>GLOBAL HFT</v>
      </c>
      <c r="H2858" s="12">
        <f t="shared" si="246"/>
        <v>2</v>
      </c>
      <c r="I2858" s="12">
        <f t="shared" si="247"/>
        <v>2026</v>
      </c>
    </row>
    <row r="2859" spans="1:9" ht="19.5" customHeight="1" x14ac:dyDescent="0.35">
      <c r="A2859" s="41">
        <v>46058</v>
      </c>
      <c r="B2859" s="8" t="s">
        <v>24</v>
      </c>
      <c r="C2859" s="42" t="s">
        <v>11</v>
      </c>
      <c r="D2859" s="43" t="s">
        <v>30</v>
      </c>
      <c r="E2859" s="46">
        <v>0</v>
      </c>
      <c r="F2859" s="2">
        <f>IF(C2859="GBP",E2859*$C$3,IF(C2859="TRY",E2859/$C$1,IF(C2859="EUR",E2859*$E$1,IF(C2859="RUB",E2859/#REF!,IF(C2859="EGP",E2859/$E$2,E2859)))))</f>
        <v>0</v>
      </c>
      <c r="G2859" s="15" t="str">
        <f>VLOOKUP(B2859,SPECIFICATIONF!$C$2:$D$65,2,0)</f>
        <v>GLOBAL RETAIL</v>
      </c>
      <c r="H2859" s="12">
        <f t="shared" si="246"/>
        <v>2</v>
      </c>
      <c r="I2859" s="12">
        <f t="shared" si="247"/>
        <v>2026</v>
      </c>
    </row>
    <row r="2860" spans="1:9" ht="19.5" customHeight="1" x14ac:dyDescent="0.35">
      <c r="A2860" s="41">
        <v>46058</v>
      </c>
      <c r="B2860" s="8" t="s">
        <v>24</v>
      </c>
      <c r="C2860" s="42" t="s">
        <v>33</v>
      </c>
      <c r="D2860" s="43" t="s">
        <v>30</v>
      </c>
      <c r="E2860" s="46">
        <v>0</v>
      </c>
      <c r="F2860" s="2">
        <f>IF(C2860="GBP",E2860*$C$3,IF(C2860="TRY",E2860/$C$1,IF(C2860="EUR",E2860*$E$1,IF(C2860="RUB",E2860/#REF!,IF(C2860="EGP",E2860/$E$2,E2860)))))</f>
        <v>0</v>
      </c>
      <c r="G2860" s="15" t="str">
        <f>VLOOKUP(B2860,SPECIFICATIONF!$C$2:$D$65,2,0)</f>
        <v>GLOBAL RETAIL</v>
      </c>
      <c r="H2860" s="12">
        <f t="shared" si="246"/>
        <v>2</v>
      </c>
      <c r="I2860" s="12">
        <f t="shared" si="247"/>
        <v>2026</v>
      </c>
    </row>
    <row r="2861" spans="1:9" ht="19.5" customHeight="1" x14ac:dyDescent="0.35">
      <c r="A2861" s="41">
        <v>46058</v>
      </c>
      <c r="B2861" s="8" t="s">
        <v>24</v>
      </c>
      <c r="C2861" s="42" t="s">
        <v>11</v>
      </c>
      <c r="D2861" s="43" t="s">
        <v>29</v>
      </c>
      <c r="E2861" s="46">
        <v>7364788</v>
      </c>
      <c r="F2861" s="2">
        <f>IF(C2861="GBP",E2861*$C$3,IF(C2861="TRY",E2861/$C$1,IF(C2861="EUR",E2861*$E$1,IF(C2861="RUB",E2861/#REF!,IF(C2861="EGP",E2861/$E$2,E2861)))))</f>
        <v>201958.15931707932</v>
      </c>
      <c r="G2861" s="15" t="str">
        <f>VLOOKUP(B2861,SPECIFICATIONF!$C$2:$D$65,2,0)</f>
        <v>GLOBAL RETAIL</v>
      </c>
      <c r="H2861" s="12">
        <f t="shared" si="246"/>
        <v>2</v>
      </c>
      <c r="I2861" s="12">
        <f t="shared" si="247"/>
        <v>2026</v>
      </c>
    </row>
    <row r="2862" spans="1:9" ht="19.5" customHeight="1" x14ac:dyDescent="0.35">
      <c r="A2862" s="41">
        <v>46058</v>
      </c>
      <c r="B2862" s="8" t="s">
        <v>24</v>
      </c>
      <c r="C2862" s="42" t="s">
        <v>33</v>
      </c>
      <c r="D2862" s="43" t="s">
        <v>29</v>
      </c>
      <c r="E2862" s="46">
        <v>24</v>
      </c>
      <c r="F2862" s="2">
        <f>IF(C2862="GBP",E2862*$C$3,IF(C2862="TRY",E2862/$C$1,IF(C2862="EUR",E2862*$E$1,IF(C2862="RUB",E2862/#REF!,IF(C2862="EGP",E2862/$E$2,E2862)))))</f>
        <v>24</v>
      </c>
      <c r="G2862" s="15" t="str">
        <f>VLOOKUP(B2862,SPECIFICATIONF!$C$2:$D$65,2,0)</f>
        <v>GLOBAL RETAIL</v>
      </c>
      <c r="H2862" s="12">
        <f t="shared" si="246"/>
        <v>2</v>
      </c>
      <c r="I2862" s="12">
        <f t="shared" si="247"/>
        <v>2026</v>
      </c>
    </row>
    <row r="2863" spans="1:9" ht="19.5" customHeight="1" x14ac:dyDescent="0.35">
      <c r="A2863" s="41">
        <v>46059</v>
      </c>
      <c r="B2863" s="8" t="s">
        <v>32</v>
      </c>
      <c r="C2863" s="42" t="s">
        <v>11</v>
      </c>
      <c r="D2863" s="43" t="s">
        <v>30</v>
      </c>
      <c r="E2863" s="46">
        <v>1844036.69</v>
      </c>
      <c r="F2863" s="2">
        <f>IF(C2863="GBP",E2863*$C$3,IF(C2863="TRY",E2863/$C$1,IF(C2863="EUR",E2863*$E$1,IF(C2863="RUB",E2863/#REF!,IF(C2863="EGP",E2863/$E$2,E2863)))))</f>
        <v>50567.410171964162</v>
      </c>
      <c r="G2863" s="15" t="str">
        <f>VLOOKUP(B2863,SPECIFICATIONF!$C$2:$D$65,2,0)</f>
        <v>GLOBAL HFT</v>
      </c>
      <c r="H2863" s="12">
        <f t="shared" ref="H2863:H2870" si="248">MONTH(A2863)</f>
        <v>2</v>
      </c>
      <c r="I2863" s="12">
        <f t="shared" ref="I2863:I2870" si="249">YEAR(A2863)</f>
        <v>2026</v>
      </c>
    </row>
    <row r="2864" spans="1:9" ht="19.5" customHeight="1" x14ac:dyDescent="0.35">
      <c r="A2864" s="41">
        <v>46059</v>
      </c>
      <c r="B2864" s="8" t="s">
        <v>32</v>
      </c>
      <c r="C2864" s="42" t="s">
        <v>33</v>
      </c>
      <c r="D2864" s="43" t="s">
        <v>30</v>
      </c>
      <c r="E2864" s="46">
        <v>14228.18</v>
      </c>
      <c r="F2864" s="2">
        <f>IF(C2864="GBP",E2864*$C$3,IF(C2864="TRY",E2864/$C$1,IF(C2864="EUR",E2864*$E$1,IF(C2864="RUB",E2864/#REF!,IF(C2864="EGP",E2864/$E$2,E2864)))))</f>
        <v>14228.18</v>
      </c>
      <c r="G2864" s="15" t="str">
        <f>VLOOKUP(B2864,SPECIFICATIONF!$C$2:$D$65,2,0)</f>
        <v>GLOBAL HFT</v>
      </c>
      <c r="H2864" s="12">
        <f t="shared" si="248"/>
        <v>2</v>
      </c>
      <c r="I2864" s="12">
        <f t="shared" si="249"/>
        <v>2026</v>
      </c>
    </row>
    <row r="2865" spans="1:9" ht="19.5" customHeight="1" x14ac:dyDescent="0.35">
      <c r="A2865" s="41">
        <v>46059</v>
      </c>
      <c r="B2865" s="8" t="s">
        <v>32</v>
      </c>
      <c r="C2865" s="42" t="s">
        <v>11</v>
      </c>
      <c r="D2865" s="43" t="s">
        <v>29</v>
      </c>
      <c r="E2865" s="46">
        <v>6177983350</v>
      </c>
      <c r="F2865" s="2">
        <f>IF(C2865="GBP",E2865*$C$3,IF(C2865="TRY",E2865/$C$1,IF(C2865="EUR",E2865*$E$1,IF(C2865="RUB",E2865/#REF!,IF(C2865="EGP",E2865/$E$2,E2865)))))</f>
        <v>169413450.27956858</v>
      </c>
      <c r="G2865" s="15" t="str">
        <f>VLOOKUP(B2865,SPECIFICATIONF!$C$2:$D$65,2,0)</f>
        <v>GLOBAL HFT</v>
      </c>
      <c r="H2865" s="12">
        <f t="shared" si="248"/>
        <v>2</v>
      </c>
      <c r="I2865" s="12">
        <f t="shared" si="249"/>
        <v>2026</v>
      </c>
    </row>
    <row r="2866" spans="1:9" ht="19.5" customHeight="1" x14ac:dyDescent="0.35">
      <c r="A2866" s="41">
        <v>46059</v>
      </c>
      <c r="B2866" s="8" t="s">
        <v>32</v>
      </c>
      <c r="C2866" s="42" t="s">
        <v>33</v>
      </c>
      <c r="D2866" s="43" t="s">
        <v>29</v>
      </c>
      <c r="E2866" s="46">
        <v>44155194</v>
      </c>
      <c r="F2866" s="2">
        <f>IF(C2866="GBP",E2866*$C$3,IF(C2866="TRY",E2866/$C$1,IF(C2866="EUR",E2866*$E$1,IF(C2866="RUB",E2866/#REF!,IF(C2866="EGP",E2866/$E$2,E2866)))))</f>
        <v>44155194</v>
      </c>
      <c r="G2866" s="15" t="str">
        <f>VLOOKUP(B2866,SPECIFICATIONF!$C$2:$D$65,2,0)</f>
        <v>GLOBAL HFT</v>
      </c>
      <c r="H2866" s="12">
        <f t="shared" si="248"/>
        <v>2</v>
      </c>
      <c r="I2866" s="12">
        <f t="shared" si="249"/>
        <v>2026</v>
      </c>
    </row>
    <row r="2867" spans="1:9" ht="19.5" customHeight="1" x14ac:dyDescent="0.35">
      <c r="A2867" s="41">
        <v>46059</v>
      </c>
      <c r="B2867" s="8" t="s">
        <v>24</v>
      </c>
      <c r="C2867" s="42" t="s">
        <v>11</v>
      </c>
      <c r="D2867" s="43" t="s">
        <v>30</v>
      </c>
      <c r="E2867" s="46">
        <v>0</v>
      </c>
      <c r="F2867" s="2">
        <f>IF(C2867="GBP",E2867*$C$3,IF(C2867="TRY",E2867/$C$1,IF(C2867="EUR",E2867*$E$1,IF(C2867="RUB",E2867/#REF!,IF(C2867="EGP",E2867/$E$2,E2867)))))</f>
        <v>0</v>
      </c>
      <c r="G2867" s="15" t="str">
        <f>VLOOKUP(B2867,SPECIFICATIONF!$C$2:$D$65,2,0)</f>
        <v>GLOBAL RETAIL</v>
      </c>
      <c r="H2867" s="12">
        <f t="shared" si="248"/>
        <v>2</v>
      </c>
      <c r="I2867" s="12">
        <f t="shared" si="249"/>
        <v>2026</v>
      </c>
    </row>
    <row r="2868" spans="1:9" ht="19.5" customHeight="1" x14ac:dyDescent="0.35">
      <c r="A2868" s="41">
        <v>46059</v>
      </c>
      <c r="B2868" s="8" t="s">
        <v>24</v>
      </c>
      <c r="C2868" s="42" t="s">
        <v>33</v>
      </c>
      <c r="D2868" s="43" t="s">
        <v>30</v>
      </c>
      <c r="E2868" s="46">
        <v>0</v>
      </c>
      <c r="F2868" s="2">
        <f>IF(C2868="GBP",E2868*$C$3,IF(C2868="TRY",E2868/$C$1,IF(C2868="EUR",E2868*$E$1,IF(C2868="RUB",E2868/#REF!,IF(C2868="EGP",E2868/$E$2,E2868)))))</f>
        <v>0</v>
      </c>
      <c r="G2868" s="15" t="str">
        <f>VLOOKUP(B2868,SPECIFICATIONF!$C$2:$D$65,2,0)</f>
        <v>GLOBAL RETAIL</v>
      </c>
      <c r="H2868" s="12">
        <f t="shared" si="248"/>
        <v>2</v>
      </c>
      <c r="I2868" s="12">
        <f t="shared" si="249"/>
        <v>2026</v>
      </c>
    </row>
    <row r="2869" spans="1:9" ht="19.5" customHeight="1" x14ac:dyDescent="0.35">
      <c r="A2869" s="41">
        <v>46059</v>
      </c>
      <c r="B2869" s="8" t="s">
        <v>24</v>
      </c>
      <c r="C2869" s="42" t="s">
        <v>11</v>
      </c>
      <c r="D2869" s="43" t="s">
        <v>29</v>
      </c>
      <c r="E2869" s="46">
        <v>29340827</v>
      </c>
      <c r="F2869" s="2">
        <f>IF(C2869="GBP",E2869*$C$3,IF(C2869="TRY",E2869/$C$1,IF(C2869="EUR",E2869*$E$1,IF(C2869="RUB",E2869/#REF!,IF(C2869="EGP",E2869/$E$2,E2869)))))</f>
        <v>804587.91397129989</v>
      </c>
      <c r="G2869" s="15" t="str">
        <f>VLOOKUP(B2869,SPECIFICATIONF!$C$2:$D$65,2,0)</f>
        <v>GLOBAL RETAIL</v>
      </c>
      <c r="H2869" s="12">
        <f t="shared" si="248"/>
        <v>2</v>
      </c>
      <c r="I2869" s="12">
        <f t="shared" si="249"/>
        <v>2026</v>
      </c>
    </row>
    <row r="2870" spans="1:9" ht="19.5" customHeight="1" x14ac:dyDescent="0.35">
      <c r="A2870" s="41">
        <v>46059</v>
      </c>
      <c r="B2870" s="8" t="s">
        <v>24</v>
      </c>
      <c r="C2870" s="42" t="s">
        <v>33</v>
      </c>
      <c r="D2870" s="43" t="s">
        <v>29</v>
      </c>
      <c r="E2870" s="46">
        <v>0</v>
      </c>
      <c r="F2870" s="2">
        <f>IF(C2870="GBP",E2870*$C$3,IF(C2870="TRY",E2870/$C$1,IF(C2870="EUR",E2870*$E$1,IF(C2870="RUB",E2870/#REF!,IF(C2870="EGP",E2870/$E$2,E2870)))))</f>
        <v>0</v>
      </c>
      <c r="G2870" s="15" t="str">
        <f>VLOOKUP(B2870,SPECIFICATIONF!$C$2:$D$65,2,0)</f>
        <v>GLOBAL RETAIL</v>
      </c>
      <c r="H2870" s="12">
        <f t="shared" si="248"/>
        <v>2</v>
      </c>
      <c r="I2870" s="12">
        <f t="shared" si="249"/>
        <v>2026</v>
      </c>
    </row>
    <row r="2871" spans="1:9" ht="19.5" customHeight="1" x14ac:dyDescent="0.35">
      <c r="A2871" s="41">
        <v>46060</v>
      </c>
      <c r="B2871" s="8" t="s">
        <v>32</v>
      </c>
      <c r="C2871" s="42" t="s">
        <v>11</v>
      </c>
      <c r="D2871" s="43" t="s">
        <v>30</v>
      </c>
      <c r="E2871" s="46">
        <v>1150927.79</v>
      </c>
      <c r="F2871" s="2">
        <f>IF(C2871="GBP",E2871*$C$3,IF(C2871="TRY",E2871/$C$1,IF(C2871="EUR",E2871*$E$1,IF(C2871="RUB",E2871/#REF!,IF(C2871="EGP",E2871/$E$2,E2871)))))</f>
        <v>31560.889189922917</v>
      </c>
      <c r="G2871" s="15" t="str">
        <f>VLOOKUP(B2871,SPECIFICATIONF!$C$2:$D$65,2,0)</f>
        <v>GLOBAL HFT</v>
      </c>
      <c r="H2871" s="12">
        <f t="shared" ref="H2871:H2894" si="250">MONTH(A2871)</f>
        <v>2</v>
      </c>
      <c r="I2871" s="12">
        <f t="shared" ref="I2871:I2894" si="251">YEAR(A2871)</f>
        <v>2026</v>
      </c>
    </row>
    <row r="2872" spans="1:9" ht="19.5" customHeight="1" x14ac:dyDescent="0.35">
      <c r="A2872" s="41">
        <v>46060</v>
      </c>
      <c r="B2872" s="8" t="s">
        <v>32</v>
      </c>
      <c r="C2872" s="42" t="s">
        <v>33</v>
      </c>
      <c r="D2872" s="43" t="s">
        <v>30</v>
      </c>
      <c r="E2872" s="46">
        <v>9622.74</v>
      </c>
      <c r="F2872" s="2">
        <f>IF(C2872="GBP",E2872*$C$3,IF(C2872="TRY",E2872/$C$1,IF(C2872="EUR",E2872*$E$1,IF(C2872="RUB",E2872/#REF!,IF(C2872="EGP",E2872/$E$2,E2872)))))</f>
        <v>9622.74</v>
      </c>
      <c r="G2872" s="15" t="str">
        <f>VLOOKUP(B2872,SPECIFICATIONF!$C$2:$D$65,2,0)</f>
        <v>GLOBAL HFT</v>
      </c>
      <c r="H2872" s="12">
        <f t="shared" si="250"/>
        <v>2</v>
      </c>
      <c r="I2872" s="12">
        <f t="shared" si="251"/>
        <v>2026</v>
      </c>
    </row>
    <row r="2873" spans="1:9" ht="19.5" customHeight="1" x14ac:dyDescent="0.35">
      <c r="A2873" s="41">
        <v>46060</v>
      </c>
      <c r="B2873" s="8" t="s">
        <v>32</v>
      </c>
      <c r="C2873" s="42" t="s">
        <v>11</v>
      </c>
      <c r="D2873" s="43" t="s">
        <v>29</v>
      </c>
      <c r="E2873" s="46">
        <v>3985433932</v>
      </c>
      <c r="F2873" s="2">
        <f>IF(C2873="GBP",E2873*$C$3,IF(C2873="TRY",E2873/$C$1,IF(C2873="EUR",E2873*$E$1,IF(C2873="RUB",E2873/#REF!,IF(C2873="EGP",E2873/$E$2,E2873)))))</f>
        <v>109289079.46658476</v>
      </c>
      <c r="G2873" s="15" t="str">
        <f>VLOOKUP(B2873,SPECIFICATIONF!$C$2:$D$65,2,0)</f>
        <v>GLOBAL HFT</v>
      </c>
      <c r="H2873" s="12">
        <f t="shared" si="250"/>
        <v>2</v>
      </c>
      <c r="I2873" s="12">
        <f t="shared" si="251"/>
        <v>2026</v>
      </c>
    </row>
    <row r="2874" spans="1:9" ht="19.5" customHeight="1" x14ac:dyDescent="0.35">
      <c r="A2874" s="41">
        <v>46060</v>
      </c>
      <c r="B2874" s="8" t="s">
        <v>32</v>
      </c>
      <c r="C2874" s="42" t="s">
        <v>33</v>
      </c>
      <c r="D2874" s="43" t="s">
        <v>29</v>
      </c>
      <c r="E2874" s="46">
        <v>29240519</v>
      </c>
      <c r="F2874" s="2">
        <f>IF(C2874="GBP",E2874*$C$3,IF(C2874="TRY",E2874/$C$1,IF(C2874="EUR",E2874*$E$1,IF(C2874="RUB",E2874/#REF!,IF(C2874="EGP",E2874/$E$2,E2874)))))</f>
        <v>29240519</v>
      </c>
      <c r="G2874" s="15" t="str">
        <f>VLOOKUP(B2874,SPECIFICATIONF!$C$2:$D$65,2,0)</f>
        <v>GLOBAL HFT</v>
      </c>
      <c r="H2874" s="12">
        <f t="shared" si="250"/>
        <v>2</v>
      </c>
      <c r="I2874" s="12">
        <f t="shared" si="251"/>
        <v>2026</v>
      </c>
    </row>
    <row r="2875" spans="1:9" ht="19.5" customHeight="1" x14ac:dyDescent="0.35">
      <c r="A2875" s="41">
        <v>46060</v>
      </c>
      <c r="B2875" s="8" t="s">
        <v>24</v>
      </c>
      <c r="C2875" s="42" t="s">
        <v>11</v>
      </c>
      <c r="D2875" s="43" t="s">
        <v>30</v>
      </c>
      <c r="E2875" s="46">
        <v>0</v>
      </c>
      <c r="F2875" s="2">
        <f>IF(C2875="GBP",E2875*$C$3,IF(C2875="TRY",E2875/$C$1,IF(C2875="EUR",E2875*$E$1,IF(C2875="RUB",E2875/#REF!,IF(C2875="EGP",E2875/$E$2,E2875)))))</f>
        <v>0</v>
      </c>
      <c r="G2875" s="15" t="str">
        <f>VLOOKUP(B2875,SPECIFICATIONF!$C$2:$D$65,2,0)</f>
        <v>GLOBAL RETAIL</v>
      </c>
      <c r="H2875" s="12">
        <f t="shared" si="250"/>
        <v>2</v>
      </c>
      <c r="I2875" s="12">
        <f t="shared" si="251"/>
        <v>2026</v>
      </c>
    </row>
    <row r="2876" spans="1:9" ht="19.5" customHeight="1" x14ac:dyDescent="0.35">
      <c r="A2876" s="41">
        <v>46060</v>
      </c>
      <c r="B2876" s="8" t="s">
        <v>24</v>
      </c>
      <c r="C2876" s="42" t="s">
        <v>33</v>
      </c>
      <c r="D2876" s="43" t="s">
        <v>30</v>
      </c>
      <c r="E2876" s="46">
        <v>0</v>
      </c>
      <c r="F2876" s="2">
        <f>IF(C2876="GBP",E2876*$C$3,IF(C2876="TRY",E2876/$C$1,IF(C2876="EUR",E2876*$E$1,IF(C2876="RUB",E2876/#REF!,IF(C2876="EGP",E2876/$E$2,E2876)))))</f>
        <v>0</v>
      </c>
      <c r="G2876" s="15" t="str">
        <f>VLOOKUP(B2876,SPECIFICATIONF!$C$2:$D$65,2,0)</f>
        <v>GLOBAL RETAIL</v>
      </c>
      <c r="H2876" s="12">
        <f t="shared" si="250"/>
        <v>2</v>
      </c>
      <c r="I2876" s="12">
        <f t="shared" si="251"/>
        <v>2026</v>
      </c>
    </row>
    <row r="2877" spans="1:9" ht="19.5" customHeight="1" x14ac:dyDescent="0.35">
      <c r="A2877" s="41">
        <v>46060</v>
      </c>
      <c r="B2877" s="8" t="s">
        <v>24</v>
      </c>
      <c r="C2877" s="42" t="s">
        <v>11</v>
      </c>
      <c r="D2877" s="43" t="s">
        <v>29</v>
      </c>
      <c r="E2877" s="46">
        <v>41220721</v>
      </c>
      <c r="F2877" s="2">
        <f>IF(C2877="GBP",E2877*$C$3,IF(C2877="TRY",E2877/$C$1,IF(C2877="EUR",E2877*$E$1,IF(C2877="RUB",E2877/#REF!,IF(C2877="EGP",E2877/$E$2,E2877)))))</f>
        <v>1130359.8880080292</v>
      </c>
      <c r="G2877" s="15" t="str">
        <f>VLOOKUP(B2877,SPECIFICATIONF!$C$2:$D$65,2,0)</f>
        <v>GLOBAL RETAIL</v>
      </c>
      <c r="H2877" s="12">
        <f t="shared" si="250"/>
        <v>2</v>
      </c>
      <c r="I2877" s="12">
        <f t="shared" si="251"/>
        <v>2026</v>
      </c>
    </row>
    <row r="2878" spans="1:9" ht="19.5" customHeight="1" x14ac:dyDescent="0.35">
      <c r="A2878" s="41">
        <v>46060</v>
      </c>
      <c r="B2878" s="8" t="s">
        <v>24</v>
      </c>
      <c r="C2878" s="42" t="s">
        <v>33</v>
      </c>
      <c r="D2878" s="43" t="s">
        <v>29</v>
      </c>
      <c r="E2878" s="46">
        <v>0</v>
      </c>
      <c r="F2878" s="2">
        <f>IF(C2878="GBP",E2878*$C$3,IF(C2878="TRY",E2878/$C$1,IF(C2878="EUR",E2878*$E$1,IF(C2878="RUB",E2878/#REF!,IF(C2878="EGP",E2878/$E$2,E2878)))))</f>
        <v>0</v>
      </c>
      <c r="G2878" s="15" t="str">
        <f>VLOOKUP(B2878,SPECIFICATIONF!$C$2:$D$65,2,0)</f>
        <v>GLOBAL RETAIL</v>
      </c>
      <c r="H2878" s="12">
        <f t="shared" si="250"/>
        <v>2</v>
      </c>
      <c r="I2878" s="12">
        <f t="shared" si="251"/>
        <v>2026</v>
      </c>
    </row>
    <row r="2879" spans="1:9" ht="19.5" customHeight="1" x14ac:dyDescent="0.35">
      <c r="A2879" s="41">
        <v>46061</v>
      </c>
      <c r="B2879" s="8" t="s">
        <v>32</v>
      </c>
      <c r="C2879" s="42" t="s">
        <v>11</v>
      </c>
      <c r="D2879" s="43" t="s">
        <v>30</v>
      </c>
      <c r="E2879" s="46">
        <v>825939.93</v>
      </c>
      <c r="F2879" s="2">
        <f>IF(C2879="GBP",E2879*$C$3,IF(C2879="TRY",E2879/$C$1,IF(C2879="EUR",E2879*$E$1,IF(C2879="RUB",E2879/#REF!,IF(C2879="EGP",E2879/$E$2,E2879)))))</f>
        <v>22649.030490664136</v>
      </c>
      <c r="G2879" s="15" t="str">
        <f>VLOOKUP(B2879,SPECIFICATIONF!$C$2:$D$65,2,0)</f>
        <v>GLOBAL HFT</v>
      </c>
      <c r="H2879" s="12">
        <f t="shared" si="250"/>
        <v>2</v>
      </c>
      <c r="I2879" s="12">
        <f t="shared" si="251"/>
        <v>2026</v>
      </c>
    </row>
    <row r="2880" spans="1:9" ht="19.5" customHeight="1" x14ac:dyDescent="0.35">
      <c r="A2880" s="41">
        <v>46061</v>
      </c>
      <c r="B2880" s="8" t="s">
        <v>32</v>
      </c>
      <c r="C2880" s="42" t="s">
        <v>33</v>
      </c>
      <c r="D2880" s="43" t="s">
        <v>30</v>
      </c>
      <c r="E2880" s="46">
        <v>4541.12</v>
      </c>
      <c r="F2880" s="2">
        <f>IF(C2880="GBP",E2880*$C$3,IF(C2880="TRY",E2880/$C$1,IF(C2880="EUR",E2880*$E$1,IF(C2880="RUB",E2880/#REF!,IF(C2880="EGP",E2880/$E$2,E2880)))))</f>
        <v>4541.12</v>
      </c>
      <c r="G2880" s="15" t="str">
        <f>VLOOKUP(B2880,SPECIFICATIONF!$C$2:$D$65,2,0)</f>
        <v>GLOBAL HFT</v>
      </c>
      <c r="H2880" s="12">
        <f t="shared" si="250"/>
        <v>2</v>
      </c>
      <c r="I2880" s="12">
        <f t="shared" si="251"/>
        <v>2026</v>
      </c>
    </row>
    <row r="2881" spans="1:9" ht="19.5" customHeight="1" x14ac:dyDescent="0.35">
      <c r="A2881" s="41">
        <v>46061</v>
      </c>
      <c r="B2881" s="8" t="s">
        <v>32</v>
      </c>
      <c r="C2881" s="42" t="s">
        <v>11</v>
      </c>
      <c r="D2881" s="43" t="s">
        <v>29</v>
      </c>
      <c r="E2881" s="46">
        <v>2953173966</v>
      </c>
      <c r="F2881" s="2">
        <f>IF(C2881="GBP",E2881*$C$3,IF(C2881="TRY",E2881/$C$1,IF(C2881="EUR",E2881*$E$1,IF(C2881="RUB",E2881/#REF!,IF(C2881="EGP",E2881/$E$2,E2881)))))</f>
        <v>80982314.537292719</v>
      </c>
      <c r="G2881" s="15" t="str">
        <f>VLOOKUP(B2881,SPECIFICATIONF!$C$2:$D$65,2,0)</f>
        <v>GLOBAL HFT</v>
      </c>
      <c r="H2881" s="12">
        <f t="shared" si="250"/>
        <v>2</v>
      </c>
      <c r="I2881" s="12">
        <f t="shared" si="251"/>
        <v>2026</v>
      </c>
    </row>
    <row r="2882" spans="1:9" ht="19.5" customHeight="1" x14ac:dyDescent="0.35">
      <c r="A2882" s="41">
        <v>46061</v>
      </c>
      <c r="B2882" s="8" t="s">
        <v>32</v>
      </c>
      <c r="C2882" s="42" t="s">
        <v>33</v>
      </c>
      <c r="D2882" s="43" t="s">
        <v>29</v>
      </c>
      <c r="E2882" s="46">
        <v>14313764</v>
      </c>
      <c r="F2882" s="2">
        <f>IF(C2882="GBP",E2882*$C$3,IF(C2882="TRY",E2882/$C$1,IF(C2882="EUR",E2882*$E$1,IF(C2882="RUB",E2882/#REF!,IF(C2882="EGP",E2882/$E$2,E2882)))))</f>
        <v>14313764</v>
      </c>
      <c r="G2882" s="15" t="str">
        <f>VLOOKUP(B2882,SPECIFICATIONF!$C$2:$D$65,2,0)</f>
        <v>GLOBAL HFT</v>
      </c>
      <c r="H2882" s="12">
        <f t="shared" si="250"/>
        <v>2</v>
      </c>
      <c r="I2882" s="12">
        <f t="shared" si="251"/>
        <v>2026</v>
      </c>
    </row>
    <row r="2883" spans="1:9" ht="19.5" customHeight="1" x14ac:dyDescent="0.35">
      <c r="A2883" s="41">
        <v>46061</v>
      </c>
      <c r="B2883" s="8" t="s">
        <v>24</v>
      </c>
      <c r="C2883" s="42" t="s">
        <v>11</v>
      </c>
      <c r="D2883" s="43" t="s">
        <v>30</v>
      </c>
      <c r="E2883" s="46">
        <v>0</v>
      </c>
      <c r="F2883" s="2">
        <f>IF(C2883="GBP",E2883*$C$3,IF(C2883="TRY",E2883/$C$1,IF(C2883="EUR",E2883*$E$1,IF(C2883="RUB",E2883/#REF!,IF(C2883="EGP",E2883/$E$2,E2883)))))</f>
        <v>0</v>
      </c>
      <c r="G2883" s="15" t="str">
        <f>VLOOKUP(B2883,SPECIFICATIONF!$C$2:$D$65,2,0)</f>
        <v>GLOBAL RETAIL</v>
      </c>
      <c r="H2883" s="12">
        <f t="shared" si="250"/>
        <v>2</v>
      </c>
      <c r="I2883" s="12">
        <f t="shared" si="251"/>
        <v>2026</v>
      </c>
    </row>
    <row r="2884" spans="1:9" ht="19.5" customHeight="1" x14ac:dyDescent="0.35">
      <c r="A2884" s="41">
        <v>46061</v>
      </c>
      <c r="B2884" s="8" t="s">
        <v>24</v>
      </c>
      <c r="C2884" s="42" t="s">
        <v>33</v>
      </c>
      <c r="D2884" s="43" t="s">
        <v>30</v>
      </c>
      <c r="E2884" s="46">
        <v>0</v>
      </c>
      <c r="F2884" s="2">
        <f>IF(C2884="GBP",E2884*$C$3,IF(C2884="TRY",E2884/$C$1,IF(C2884="EUR",E2884*$E$1,IF(C2884="RUB",E2884/#REF!,IF(C2884="EGP",E2884/$E$2,E2884)))))</f>
        <v>0</v>
      </c>
      <c r="G2884" s="15" t="str">
        <f>VLOOKUP(B2884,SPECIFICATIONF!$C$2:$D$65,2,0)</f>
        <v>GLOBAL RETAIL</v>
      </c>
      <c r="H2884" s="12">
        <f t="shared" si="250"/>
        <v>2</v>
      </c>
      <c r="I2884" s="12">
        <f t="shared" si="251"/>
        <v>2026</v>
      </c>
    </row>
    <row r="2885" spans="1:9" ht="19.5" customHeight="1" x14ac:dyDescent="0.35">
      <c r="A2885" s="41">
        <v>46061</v>
      </c>
      <c r="B2885" s="8" t="s">
        <v>24</v>
      </c>
      <c r="C2885" s="42" t="s">
        <v>11</v>
      </c>
      <c r="D2885" s="43" t="s">
        <v>29</v>
      </c>
      <c r="E2885" s="46">
        <v>23399284</v>
      </c>
      <c r="F2885" s="2">
        <f>IF(C2885="GBP",E2885*$C$3,IF(C2885="TRY",E2885/$C$1,IF(C2885="EUR",E2885*$E$1,IF(C2885="RUB",E2885/#REF!,IF(C2885="EGP",E2885/$E$2,E2885)))))</f>
        <v>641658.16123662819</v>
      </c>
      <c r="G2885" s="15" t="str">
        <f>VLOOKUP(B2885,SPECIFICATIONF!$C$2:$D$65,2,0)</f>
        <v>GLOBAL RETAIL</v>
      </c>
      <c r="H2885" s="12">
        <f t="shared" si="250"/>
        <v>2</v>
      </c>
      <c r="I2885" s="12">
        <f t="shared" si="251"/>
        <v>2026</v>
      </c>
    </row>
    <row r="2886" spans="1:9" ht="19.5" customHeight="1" x14ac:dyDescent="0.35">
      <c r="A2886" s="41">
        <v>46061</v>
      </c>
      <c r="B2886" s="8" t="s">
        <v>24</v>
      </c>
      <c r="C2886" s="42" t="s">
        <v>33</v>
      </c>
      <c r="D2886" s="43" t="s">
        <v>29</v>
      </c>
      <c r="E2886" s="46">
        <v>0</v>
      </c>
      <c r="F2886" s="2">
        <f>IF(C2886="GBP",E2886*$C$3,IF(C2886="TRY",E2886/$C$1,IF(C2886="EUR",E2886*$E$1,IF(C2886="RUB",E2886/#REF!,IF(C2886="EGP",E2886/$E$2,E2886)))))</f>
        <v>0</v>
      </c>
      <c r="G2886" s="15" t="str">
        <f>VLOOKUP(B2886,SPECIFICATIONF!$C$2:$D$65,2,0)</f>
        <v>GLOBAL RETAIL</v>
      </c>
      <c r="H2886" s="12">
        <f t="shared" si="250"/>
        <v>2</v>
      </c>
      <c r="I2886" s="12">
        <f t="shared" si="251"/>
        <v>2026</v>
      </c>
    </row>
    <row r="2887" spans="1:9" ht="19.5" customHeight="1" x14ac:dyDescent="0.35">
      <c r="A2887" s="41">
        <v>46062</v>
      </c>
      <c r="B2887" s="8" t="s">
        <v>32</v>
      </c>
      <c r="C2887" s="42" t="s">
        <v>11</v>
      </c>
      <c r="D2887" s="43" t="s">
        <v>30</v>
      </c>
      <c r="E2887" s="46">
        <v>926168.81</v>
      </c>
      <c r="F2887" s="2">
        <f>IF(C2887="GBP",E2887*$C$3,IF(C2887="TRY",E2887/$C$1,IF(C2887="EUR",E2887*$E$1,IF(C2887="RUB",E2887/#REF!,IF(C2887="EGP",E2887/$E$2,E2887)))))</f>
        <v>25397.519668521316</v>
      </c>
      <c r="G2887" s="15" t="str">
        <f>VLOOKUP(B2887,SPECIFICATIONF!$C$2:$D$65,2,0)</f>
        <v>GLOBAL HFT</v>
      </c>
      <c r="H2887" s="12">
        <f t="shared" si="250"/>
        <v>2</v>
      </c>
      <c r="I2887" s="12">
        <f t="shared" si="251"/>
        <v>2026</v>
      </c>
    </row>
    <row r="2888" spans="1:9" ht="19.5" customHeight="1" x14ac:dyDescent="0.35">
      <c r="A2888" s="41">
        <v>46062</v>
      </c>
      <c r="B2888" s="8" t="s">
        <v>32</v>
      </c>
      <c r="C2888" s="42" t="s">
        <v>33</v>
      </c>
      <c r="D2888" s="43" t="s">
        <v>30</v>
      </c>
      <c r="E2888" s="46">
        <v>5583.31</v>
      </c>
      <c r="F2888" s="2">
        <f>IF(C2888="GBP",E2888*$C$3,IF(C2888="TRY",E2888/$C$1,IF(C2888="EUR",E2888*$E$1,IF(C2888="RUB",E2888/#REF!,IF(C2888="EGP",E2888/$E$2,E2888)))))</f>
        <v>5583.31</v>
      </c>
      <c r="G2888" s="15" t="str">
        <f>VLOOKUP(B2888,SPECIFICATIONF!$C$2:$D$65,2,0)</f>
        <v>GLOBAL HFT</v>
      </c>
      <c r="H2888" s="12">
        <f t="shared" si="250"/>
        <v>2</v>
      </c>
      <c r="I2888" s="12">
        <f t="shared" si="251"/>
        <v>2026</v>
      </c>
    </row>
    <row r="2889" spans="1:9" ht="19.5" customHeight="1" x14ac:dyDescent="0.35">
      <c r="A2889" s="41">
        <v>46062</v>
      </c>
      <c r="B2889" s="8" t="s">
        <v>32</v>
      </c>
      <c r="C2889" s="42" t="s">
        <v>11</v>
      </c>
      <c r="D2889" s="43" t="s">
        <v>29</v>
      </c>
      <c r="E2889" s="46">
        <v>3272627921</v>
      </c>
      <c r="F2889" s="2">
        <f>IF(C2889="GBP",E2889*$C$3,IF(C2889="TRY",E2889/$C$1,IF(C2889="EUR",E2889*$E$1,IF(C2889="RUB",E2889/#REF!,IF(C2889="EGP",E2889/$E$2,E2889)))))</f>
        <v>89742421.785235375</v>
      </c>
      <c r="G2889" s="15" t="str">
        <f>VLOOKUP(B2889,SPECIFICATIONF!$C$2:$D$65,2,0)</f>
        <v>GLOBAL HFT</v>
      </c>
      <c r="H2889" s="12">
        <f t="shared" si="250"/>
        <v>2</v>
      </c>
      <c r="I2889" s="12">
        <f t="shared" si="251"/>
        <v>2026</v>
      </c>
    </row>
    <row r="2890" spans="1:9" ht="19.5" customHeight="1" x14ac:dyDescent="0.35">
      <c r="A2890" s="41">
        <v>46062</v>
      </c>
      <c r="B2890" s="8" t="s">
        <v>32</v>
      </c>
      <c r="C2890" s="42" t="s">
        <v>33</v>
      </c>
      <c r="D2890" s="43" t="s">
        <v>29</v>
      </c>
      <c r="E2890" s="46">
        <v>17098857</v>
      </c>
      <c r="F2890" s="2">
        <f>IF(C2890="GBP",E2890*$C$3,IF(C2890="TRY",E2890/$C$1,IF(C2890="EUR",E2890*$E$1,IF(C2890="RUB",E2890/#REF!,IF(C2890="EGP",E2890/$E$2,E2890)))))</f>
        <v>17098857</v>
      </c>
      <c r="G2890" s="15" t="str">
        <f>VLOOKUP(B2890,SPECIFICATIONF!$C$2:$D$65,2,0)</f>
        <v>GLOBAL HFT</v>
      </c>
      <c r="H2890" s="12">
        <f t="shared" si="250"/>
        <v>2</v>
      </c>
      <c r="I2890" s="12">
        <f t="shared" si="251"/>
        <v>2026</v>
      </c>
    </row>
    <row r="2891" spans="1:9" ht="19.5" customHeight="1" x14ac:dyDescent="0.35">
      <c r="A2891" s="41">
        <v>46062</v>
      </c>
      <c r="B2891" s="8" t="s">
        <v>24</v>
      </c>
      <c r="C2891" s="42" t="s">
        <v>11</v>
      </c>
      <c r="D2891" s="43" t="s">
        <v>30</v>
      </c>
      <c r="E2891" s="46">
        <v>0</v>
      </c>
      <c r="F2891" s="2">
        <f>IF(C2891="GBP",E2891*$C$3,IF(C2891="TRY",E2891/$C$1,IF(C2891="EUR",E2891*$E$1,IF(C2891="RUB",E2891/#REF!,IF(C2891="EGP",E2891/$E$2,E2891)))))</f>
        <v>0</v>
      </c>
      <c r="G2891" s="15" t="str">
        <f>VLOOKUP(B2891,SPECIFICATIONF!$C$2:$D$65,2,0)</f>
        <v>GLOBAL RETAIL</v>
      </c>
      <c r="H2891" s="12">
        <f t="shared" si="250"/>
        <v>2</v>
      </c>
      <c r="I2891" s="12">
        <f t="shared" si="251"/>
        <v>2026</v>
      </c>
    </row>
    <row r="2892" spans="1:9" ht="19.5" customHeight="1" x14ac:dyDescent="0.35">
      <c r="A2892" s="41">
        <v>46062</v>
      </c>
      <c r="B2892" s="8" t="s">
        <v>24</v>
      </c>
      <c r="C2892" s="42" t="s">
        <v>33</v>
      </c>
      <c r="D2892" s="43" t="s">
        <v>30</v>
      </c>
      <c r="E2892" s="46">
        <v>0</v>
      </c>
      <c r="F2892" s="2">
        <f>IF(C2892="GBP",E2892*$C$3,IF(C2892="TRY",E2892/$C$1,IF(C2892="EUR",E2892*$E$1,IF(C2892="RUB",E2892/#REF!,IF(C2892="EGP",E2892/$E$2,E2892)))))</f>
        <v>0</v>
      </c>
      <c r="G2892" s="15" t="str">
        <f>VLOOKUP(B2892,SPECIFICATIONF!$C$2:$D$65,2,0)</f>
        <v>GLOBAL RETAIL</v>
      </c>
      <c r="H2892" s="12">
        <f t="shared" si="250"/>
        <v>2</v>
      </c>
      <c r="I2892" s="12">
        <f t="shared" si="251"/>
        <v>2026</v>
      </c>
    </row>
    <row r="2893" spans="1:9" ht="19.5" customHeight="1" x14ac:dyDescent="0.35">
      <c r="A2893" s="41">
        <v>46062</v>
      </c>
      <c r="B2893" s="8" t="s">
        <v>24</v>
      </c>
      <c r="C2893" s="42" t="s">
        <v>11</v>
      </c>
      <c r="D2893" s="43" t="s">
        <v>29</v>
      </c>
      <c r="E2893" s="46">
        <v>4363625</v>
      </c>
      <c r="F2893" s="2">
        <f>IF(C2893="GBP",E2893*$C$3,IF(C2893="TRY",E2893/$C$1,IF(C2893="EUR",E2893*$E$1,IF(C2893="RUB",E2893/#REF!,IF(C2893="EGP",E2893/$E$2,E2893)))))</f>
        <v>119659.88334626742</v>
      </c>
      <c r="G2893" s="15" t="str">
        <f>VLOOKUP(B2893,SPECIFICATIONF!$C$2:$D$65,2,0)</f>
        <v>GLOBAL RETAIL</v>
      </c>
      <c r="H2893" s="12">
        <f t="shared" si="250"/>
        <v>2</v>
      </c>
      <c r="I2893" s="12">
        <f t="shared" si="251"/>
        <v>2026</v>
      </c>
    </row>
    <row r="2894" spans="1:9" ht="19.5" customHeight="1" x14ac:dyDescent="0.35">
      <c r="A2894" s="41">
        <v>46062</v>
      </c>
      <c r="B2894" s="8" t="s">
        <v>24</v>
      </c>
      <c r="C2894" s="42" t="s">
        <v>33</v>
      </c>
      <c r="D2894" s="43" t="s">
        <v>29</v>
      </c>
      <c r="E2894" s="46">
        <v>0</v>
      </c>
      <c r="F2894" s="2">
        <f>IF(C2894="GBP",E2894*$C$3,IF(C2894="TRY",E2894/$C$1,IF(C2894="EUR",E2894*$E$1,IF(C2894="RUB",E2894/#REF!,IF(C2894="EGP",E2894/$E$2,E2894)))))</f>
        <v>0</v>
      </c>
      <c r="G2894" s="15" t="str">
        <f>VLOOKUP(B2894,SPECIFICATIONF!$C$2:$D$65,2,0)</f>
        <v>GLOBAL RETAIL</v>
      </c>
      <c r="H2894" s="12">
        <f t="shared" si="250"/>
        <v>2</v>
      </c>
      <c r="I2894" s="12">
        <f t="shared" si="251"/>
        <v>2026</v>
      </c>
    </row>
    <row r="2895" spans="1:9" ht="19.5" customHeight="1" x14ac:dyDescent="0.35">
      <c r="A2895" s="41">
        <v>46063</v>
      </c>
      <c r="B2895" s="8" t="s">
        <v>32</v>
      </c>
      <c r="C2895" s="42" t="s">
        <v>11</v>
      </c>
      <c r="D2895" s="43" t="s">
        <v>30</v>
      </c>
      <c r="E2895" s="46">
        <v>1047044.13915445</v>
      </c>
      <c r="F2895" s="2">
        <f>IF(C2895="GBP",E2895*$C$3,IF(C2895="TRY",E2895/$C$1,IF(C2895="EUR",E2895*$E$1,IF(C2895="RUB",E2895/#REF!,IF(C2895="EGP",E2895/$E$2,E2895)))))</f>
        <v>28712.178418084619</v>
      </c>
      <c r="G2895" s="15" t="str">
        <f>VLOOKUP(B2895,SPECIFICATIONF!$C$2:$D$65,2,0)</f>
        <v>GLOBAL HFT</v>
      </c>
      <c r="H2895" s="12">
        <f t="shared" ref="H2895:H2902" si="252">MONTH(A2895)</f>
        <v>2</v>
      </c>
      <c r="I2895" s="12">
        <f t="shared" ref="I2895:I2902" si="253">YEAR(A2895)</f>
        <v>2026</v>
      </c>
    </row>
    <row r="2896" spans="1:9" ht="19.5" customHeight="1" x14ac:dyDescent="0.35">
      <c r="A2896" s="41">
        <v>46063</v>
      </c>
      <c r="B2896" s="8" t="s">
        <v>32</v>
      </c>
      <c r="C2896" s="42" t="s">
        <v>33</v>
      </c>
      <c r="D2896" s="43" t="s">
        <v>30</v>
      </c>
      <c r="E2896" s="46">
        <v>4735.0053951995396</v>
      </c>
      <c r="F2896" s="2">
        <f>IF(C2896="GBP",E2896*$C$3,IF(C2896="TRY",E2896/$C$1,IF(C2896="EUR",E2896*$E$1,IF(C2896="RUB",E2896/#REF!,IF(C2896="EGP",E2896/$E$2,E2896)))))</f>
        <v>4735.0053951995396</v>
      </c>
      <c r="G2896" s="15" t="str">
        <f>VLOOKUP(B2896,SPECIFICATIONF!$C$2:$D$65,2,0)</f>
        <v>GLOBAL HFT</v>
      </c>
      <c r="H2896" s="12">
        <f t="shared" si="252"/>
        <v>2</v>
      </c>
      <c r="I2896" s="12">
        <f t="shared" si="253"/>
        <v>2026</v>
      </c>
    </row>
    <row r="2897" spans="1:9" ht="19.5" customHeight="1" x14ac:dyDescent="0.35">
      <c r="A2897" s="41">
        <v>46063</v>
      </c>
      <c r="B2897" s="8" t="s">
        <v>32</v>
      </c>
      <c r="C2897" s="42" t="s">
        <v>11</v>
      </c>
      <c r="D2897" s="43" t="s">
        <v>29</v>
      </c>
      <c r="E2897" s="46">
        <v>3693991353.2952399</v>
      </c>
      <c r="F2897" s="2">
        <f>IF(C2897="GBP",E2897*$C$3,IF(C2897="TRY",E2897/$C$1,IF(C2897="EUR",E2897*$E$1,IF(C2897="RUB",E2897/#REF!,IF(C2897="EGP",E2897/$E$2,E2897)))))</f>
        <v>101297103.76520185</v>
      </c>
      <c r="G2897" s="15" t="str">
        <f>VLOOKUP(B2897,SPECIFICATIONF!$C$2:$D$65,2,0)</f>
        <v>GLOBAL HFT</v>
      </c>
      <c r="H2897" s="12">
        <f t="shared" si="252"/>
        <v>2</v>
      </c>
      <c r="I2897" s="12">
        <f t="shared" si="253"/>
        <v>2026</v>
      </c>
    </row>
    <row r="2898" spans="1:9" ht="19.5" customHeight="1" x14ac:dyDescent="0.35">
      <c r="A2898" s="41">
        <v>46063</v>
      </c>
      <c r="B2898" s="8" t="s">
        <v>32</v>
      </c>
      <c r="C2898" s="42" t="s">
        <v>33</v>
      </c>
      <c r="D2898" s="43" t="s">
        <v>29</v>
      </c>
      <c r="E2898" s="46">
        <v>15022557.6690329</v>
      </c>
      <c r="F2898" s="2">
        <f>IF(C2898="GBP",E2898*$C$3,IF(C2898="TRY",E2898/$C$1,IF(C2898="EUR",E2898*$E$1,IF(C2898="RUB",E2898/#REF!,IF(C2898="EGP",E2898/$E$2,E2898)))))</f>
        <v>15022557.6690329</v>
      </c>
      <c r="G2898" s="15" t="str">
        <f>VLOOKUP(B2898,SPECIFICATIONF!$C$2:$D$65,2,0)</f>
        <v>GLOBAL HFT</v>
      </c>
      <c r="H2898" s="12">
        <f t="shared" si="252"/>
        <v>2</v>
      </c>
      <c r="I2898" s="12">
        <f t="shared" si="253"/>
        <v>2026</v>
      </c>
    </row>
    <row r="2899" spans="1:9" ht="19.5" customHeight="1" x14ac:dyDescent="0.35">
      <c r="A2899" s="41">
        <v>46063</v>
      </c>
      <c r="B2899" s="8" t="s">
        <v>24</v>
      </c>
      <c r="C2899" s="42" t="s">
        <v>11</v>
      </c>
      <c r="D2899" s="43" t="s">
        <v>30</v>
      </c>
      <c r="E2899" s="46">
        <v>0</v>
      </c>
      <c r="F2899" s="2">
        <f>IF(C2899="GBP",E2899*$C$3,IF(C2899="TRY",E2899/$C$1,IF(C2899="EUR",E2899*$E$1,IF(C2899="RUB",E2899/#REF!,IF(C2899="EGP",E2899/$E$2,E2899)))))</f>
        <v>0</v>
      </c>
      <c r="G2899" s="15" t="str">
        <f>VLOOKUP(B2899,SPECIFICATIONF!$C$2:$D$65,2,0)</f>
        <v>GLOBAL RETAIL</v>
      </c>
      <c r="H2899" s="12">
        <f t="shared" si="252"/>
        <v>2</v>
      </c>
      <c r="I2899" s="12">
        <f t="shared" si="253"/>
        <v>2026</v>
      </c>
    </row>
    <row r="2900" spans="1:9" ht="19.5" customHeight="1" x14ac:dyDescent="0.35">
      <c r="A2900" s="41">
        <v>46063</v>
      </c>
      <c r="B2900" s="8" t="s">
        <v>24</v>
      </c>
      <c r="C2900" s="42" t="s">
        <v>33</v>
      </c>
      <c r="D2900" s="43" t="s">
        <v>30</v>
      </c>
      <c r="E2900" s="46">
        <v>0</v>
      </c>
      <c r="F2900" s="2">
        <f>IF(C2900="GBP",E2900*$C$3,IF(C2900="TRY",E2900/$C$1,IF(C2900="EUR",E2900*$E$1,IF(C2900="RUB",E2900/#REF!,IF(C2900="EGP",E2900/$E$2,E2900)))))</f>
        <v>0</v>
      </c>
      <c r="G2900" s="15" t="str">
        <f>VLOOKUP(B2900,SPECIFICATIONF!$C$2:$D$65,2,0)</f>
        <v>GLOBAL RETAIL</v>
      </c>
      <c r="H2900" s="12">
        <f t="shared" si="252"/>
        <v>2</v>
      </c>
      <c r="I2900" s="12">
        <f t="shared" si="253"/>
        <v>2026</v>
      </c>
    </row>
    <row r="2901" spans="1:9" ht="19.5" customHeight="1" x14ac:dyDescent="0.35">
      <c r="A2901" s="41">
        <v>46063</v>
      </c>
      <c r="B2901" s="8" t="s">
        <v>24</v>
      </c>
      <c r="C2901" s="42" t="s">
        <v>11</v>
      </c>
      <c r="D2901" s="43" t="s">
        <v>29</v>
      </c>
      <c r="E2901" s="46">
        <v>21328748</v>
      </c>
      <c r="F2901" s="2">
        <f>IF(C2901="GBP",E2901*$C$3,IF(C2901="TRY",E2901/$C$1,IF(C2901="EUR",E2901*$E$1,IF(C2901="RUB",E2901/#REF!,IF(C2901="EGP",E2901/$E$2,E2901)))))</f>
        <v>584879.65799121943</v>
      </c>
      <c r="G2901" s="15" t="str">
        <f>VLOOKUP(B2901,SPECIFICATIONF!$C$2:$D$65,2,0)</f>
        <v>GLOBAL RETAIL</v>
      </c>
      <c r="H2901" s="12">
        <f t="shared" si="252"/>
        <v>2</v>
      </c>
      <c r="I2901" s="12">
        <f t="shared" si="253"/>
        <v>2026</v>
      </c>
    </row>
    <row r="2902" spans="1:9" ht="19.5" customHeight="1" x14ac:dyDescent="0.35">
      <c r="A2902" s="41">
        <v>46063</v>
      </c>
      <c r="B2902" s="8" t="s">
        <v>24</v>
      </c>
      <c r="C2902" s="42" t="s">
        <v>33</v>
      </c>
      <c r="D2902" s="43" t="s">
        <v>29</v>
      </c>
      <c r="E2902" s="46">
        <v>0</v>
      </c>
      <c r="F2902" s="2">
        <f>IF(C2902="GBP",E2902*$C$3,IF(C2902="TRY",E2902/$C$1,IF(C2902="EUR",E2902*$E$1,IF(C2902="RUB",E2902/#REF!,IF(C2902="EGP",E2902/$E$2,E2902)))))</f>
        <v>0</v>
      </c>
      <c r="G2902" s="15" t="str">
        <f>VLOOKUP(B2902,SPECIFICATIONF!$C$2:$D$65,2,0)</f>
        <v>GLOBAL RETAIL</v>
      </c>
      <c r="H2902" s="12">
        <f t="shared" si="252"/>
        <v>2</v>
      </c>
      <c r="I2902" s="12">
        <f t="shared" si="253"/>
        <v>2026</v>
      </c>
    </row>
    <row r="2903" spans="1:9" ht="19.5" customHeight="1" x14ac:dyDescent="0.35">
      <c r="A2903" s="41">
        <v>46064</v>
      </c>
      <c r="B2903" s="8" t="s">
        <v>32</v>
      </c>
      <c r="C2903" s="42" t="s">
        <v>11</v>
      </c>
      <c r="D2903" s="43" t="s">
        <v>30</v>
      </c>
      <c r="E2903" s="46">
        <v>1000310.86</v>
      </c>
      <c r="F2903" s="2">
        <f>IF(C2903="GBP",E2903*$C$3,IF(C2903="TRY",E2903/$C$1,IF(C2903="EUR",E2903*$E$1,IF(C2903="RUB",E2903/#REF!,IF(C2903="EGP",E2903/$E$2,E2903)))))</f>
        <v>27430.652454691786</v>
      </c>
      <c r="G2903" s="15" t="str">
        <f>VLOOKUP(B2903,SPECIFICATIONF!$C$2:$D$65,2,0)</f>
        <v>GLOBAL HFT</v>
      </c>
      <c r="H2903" s="12">
        <f t="shared" ref="H2903:H2906" si="254">MONTH(A2903)</f>
        <v>2</v>
      </c>
      <c r="I2903" s="12">
        <f t="shared" ref="I2903:I2906" si="255">YEAR(A2903)</f>
        <v>2026</v>
      </c>
    </row>
    <row r="2904" spans="1:9" ht="19.5" customHeight="1" x14ac:dyDescent="0.35">
      <c r="A2904" s="41">
        <v>46064</v>
      </c>
      <c r="B2904" s="8" t="s">
        <v>32</v>
      </c>
      <c r="C2904" s="42" t="s">
        <v>33</v>
      </c>
      <c r="D2904" s="43" t="s">
        <v>30</v>
      </c>
      <c r="E2904" s="46">
        <v>5528.49</v>
      </c>
      <c r="F2904" s="2">
        <f>IF(C2904="GBP",E2904*$C$3,IF(C2904="TRY",E2904/$C$1,IF(C2904="EUR",E2904*$E$1,IF(C2904="RUB",E2904/#REF!,IF(C2904="EGP",E2904/$E$2,E2904)))))</f>
        <v>5528.49</v>
      </c>
      <c r="G2904" s="15" t="str">
        <f>VLOOKUP(B2904,SPECIFICATIONF!$C$2:$D$65,2,0)</f>
        <v>GLOBAL HFT</v>
      </c>
      <c r="H2904" s="12">
        <f t="shared" si="254"/>
        <v>2</v>
      </c>
      <c r="I2904" s="12">
        <f t="shared" si="255"/>
        <v>2026</v>
      </c>
    </row>
    <row r="2905" spans="1:9" ht="19.5" customHeight="1" x14ac:dyDescent="0.35">
      <c r="A2905" s="41">
        <v>46064</v>
      </c>
      <c r="B2905" s="8" t="s">
        <v>32</v>
      </c>
      <c r="C2905" s="42" t="s">
        <v>11</v>
      </c>
      <c r="D2905" s="43" t="s">
        <v>29</v>
      </c>
      <c r="E2905" s="46">
        <v>3416523534</v>
      </c>
      <c r="F2905" s="2">
        <f>IF(C2905="GBP",E2905*$C$3,IF(C2905="TRY",E2905/$C$1,IF(C2905="EUR",E2905*$E$1,IF(C2905="RUB",E2905/#REF!,IF(C2905="EGP",E2905/$E$2,E2905)))))</f>
        <v>93688345.705283418</v>
      </c>
      <c r="G2905" s="15" t="str">
        <f>VLOOKUP(B2905,SPECIFICATIONF!$C$2:$D$65,2,0)</f>
        <v>GLOBAL HFT</v>
      </c>
      <c r="H2905" s="12">
        <f t="shared" si="254"/>
        <v>2</v>
      </c>
      <c r="I2905" s="12">
        <f t="shared" si="255"/>
        <v>2026</v>
      </c>
    </row>
    <row r="2906" spans="1:9" ht="19.5" customHeight="1" x14ac:dyDescent="0.35">
      <c r="A2906" s="41">
        <v>46064</v>
      </c>
      <c r="B2906" s="8" t="s">
        <v>32</v>
      </c>
      <c r="C2906" s="42" t="s">
        <v>33</v>
      </c>
      <c r="D2906" s="43" t="s">
        <v>29</v>
      </c>
      <c r="E2906" s="46">
        <v>16917298</v>
      </c>
      <c r="F2906" s="2">
        <f>IF(C2906="GBP",E2906*$C$3,IF(C2906="TRY",E2906/$C$1,IF(C2906="EUR",E2906*$E$1,IF(C2906="RUB",E2906/#REF!,IF(C2906="EGP",E2906/$E$2,E2906)))))</f>
        <v>16917298</v>
      </c>
      <c r="G2906" s="15" t="str">
        <f>VLOOKUP(B2906,SPECIFICATIONF!$C$2:$D$65,2,0)</f>
        <v>GLOBAL HFT</v>
      </c>
      <c r="H2906" s="12">
        <f t="shared" si="254"/>
        <v>2</v>
      </c>
      <c r="I2906" s="12">
        <f t="shared" si="255"/>
        <v>2026</v>
      </c>
    </row>
    <row r="2907" spans="1:9" ht="19.5" customHeight="1" x14ac:dyDescent="0.35">
      <c r="A2907" s="41">
        <v>46064</v>
      </c>
      <c r="B2907" s="8" t="s">
        <v>24</v>
      </c>
      <c r="C2907" s="42" t="s">
        <v>11</v>
      </c>
      <c r="D2907" s="43" t="s">
        <v>30</v>
      </c>
      <c r="E2907" s="46">
        <v>0</v>
      </c>
      <c r="F2907" s="2">
        <f>IF(C2907="GBP",E2907*$C$3,IF(C2907="TRY",E2907/$C$1,IF(C2907="EUR",E2907*$E$1,IF(C2907="RUB",E2907/#REF!,IF(C2907="EGP",E2907/$E$2,E2907)))))</f>
        <v>0</v>
      </c>
      <c r="G2907" s="15" t="str">
        <f>VLOOKUP(B2907,SPECIFICATIONF!$C$2:$D$65,2,0)</f>
        <v>GLOBAL RETAIL</v>
      </c>
      <c r="H2907" s="12">
        <f t="shared" ref="H2907:H2914" si="256">MONTH(A2907)</f>
        <v>2</v>
      </c>
      <c r="I2907" s="12">
        <f t="shared" ref="I2907:I2914" si="257">YEAR(A2907)</f>
        <v>2026</v>
      </c>
    </row>
    <row r="2908" spans="1:9" ht="19.5" customHeight="1" x14ac:dyDescent="0.35">
      <c r="A2908" s="41">
        <v>46064</v>
      </c>
      <c r="B2908" s="8" t="s">
        <v>24</v>
      </c>
      <c r="C2908" s="42" t="s">
        <v>33</v>
      </c>
      <c r="D2908" s="43" t="s">
        <v>30</v>
      </c>
      <c r="E2908" s="46">
        <v>0</v>
      </c>
      <c r="F2908" s="2">
        <f>IF(C2908="GBP",E2908*$C$3,IF(C2908="TRY",E2908/$C$1,IF(C2908="EUR",E2908*$E$1,IF(C2908="RUB",E2908/#REF!,IF(C2908="EGP",E2908/$E$2,E2908)))))</f>
        <v>0</v>
      </c>
      <c r="G2908" s="15" t="str">
        <f>VLOOKUP(B2908,SPECIFICATIONF!$C$2:$D$65,2,0)</f>
        <v>GLOBAL RETAIL</v>
      </c>
      <c r="H2908" s="12">
        <f t="shared" si="256"/>
        <v>2</v>
      </c>
      <c r="I2908" s="12">
        <f t="shared" si="257"/>
        <v>2026</v>
      </c>
    </row>
    <row r="2909" spans="1:9" ht="19.5" customHeight="1" x14ac:dyDescent="0.35">
      <c r="A2909" s="41">
        <v>46064</v>
      </c>
      <c r="B2909" s="8" t="s">
        <v>24</v>
      </c>
      <c r="C2909" s="42" t="s">
        <v>11</v>
      </c>
      <c r="D2909" s="43" t="s">
        <v>29</v>
      </c>
      <c r="E2909" s="46">
        <v>6852319</v>
      </c>
      <c r="F2909" s="2">
        <f>IF(C2909="GBP",E2909*$C$3,IF(C2909="TRY",E2909/$C$1,IF(C2909="EUR",E2909*$E$1,IF(C2909="RUB",E2909/#REF!,IF(C2909="EGP",E2909/$E$2,E2909)))))</f>
        <v>187905.16879690895</v>
      </c>
      <c r="G2909" s="15" t="str">
        <f>VLOOKUP(B2909,SPECIFICATIONF!$C$2:$D$65,2,0)</f>
        <v>GLOBAL RETAIL</v>
      </c>
      <c r="H2909" s="12">
        <f t="shared" si="256"/>
        <v>2</v>
      </c>
      <c r="I2909" s="12">
        <f t="shared" si="257"/>
        <v>2026</v>
      </c>
    </row>
    <row r="2910" spans="1:9" ht="19.5" customHeight="1" x14ac:dyDescent="0.35">
      <c r="A2910" s="41">
        <v>46064</v>
      </c>
      <c r="B2910" s="8" t="s">
        <v>24</v>
      </c>
      <c r="C2910" s="42" t="s">
        <v>33</v>
      </c>
      <c r="D2910" s="43" t="s">
        <v>29</v>
      </c>
      <c r="E2910" s="46">
        <v>0</v>
      </c>
      <c r="F2910" s="2">
        <f>IF(C2910="GBP",E2910*$C$3,IF(C2910="TRY",E2910/$C$1,IF(C2910="EUR",E2910*$E$1,IF(C2910="RUB",E2910/#REF!,IF(C2910="EGP",E2910/$E$2,E2910)))))</f>
        <v>0</v>
      </c>
      <c r="G2910" s="15" t="str">
        <f>VLOOKUP(B2910,SPECIFICATIONF!$C$2:$D$65,2,0)</f>
        <v>GLOBAL RETAIL</v>
      </c>
      <c r="H2910" s="12">
        <f t="shared" si="256"/>
        <v>2</v>
      </c>
      <c r="I2910" s="12">
        <f t="shared" si="257"/>
        <v>2026</v>
      </c>
    </row>
    <row r="2911" spans="1:9" ht="19.5" customHeight="1" x14ac:dyDescent="0.35">
      <c r="A2911" s="41">
        <v>46065</v>
      </c>
      <c r="B2911" s="8" t="s">
        <v>32</v>
      </c>
      <c r="C2911" s="42" t="s">
        <v>11</v>
      </c>
      <c r="D2911" s="43" t="s">
        <v>30</v>
      </c>
      <c r="E2911" s="46">
        <v>1372460.43</v>
      </c>
      <c r="F2911" s="2">
        <f>IF(C2911="GBP",E2911*$C$3,IF(C2911="TRY",E2911/$C$1,IF(C2911="EUR",E2911*$E$1,IF(C2911="RUB",E2911/#REF!,IF(C2911="EGP",E2911/$E$2,E2911)))))</f>
        <v>37635.785602834345</v>
      </c>
      <c r="G2911" s="15" t="str">
        <f>VLOOKUP(B2911,SPECIFICATIONF!$C$2:$D$65,2,0)</f>
        <v>GLOBAL HFT</v>
      </c>
      <c r="H2911" s="12">
        <f t="shared" si="256"/>
        <v>2</v>
      </c>
      <c r="I2911" s="12">
        <f t="shared" si="257"/>
        <v>2026</v>
      </c>
    </row>
    <row r="2912" spans="1:9" ht="19.5" customHeight="1" x14ac:dyDescent="0.35">
      <c r="A2912" s="41">
        <v>46065</v>
      </c>
      <c r="B2912" s="8" t="s">
        <v>32</v>
      </c>
      <c r="C2912" s="42" t="s">
        <v>33</v>
      </c>
      <c r="D2912" s="43" t="s">
        <v>30</v>
      </c>
      <c r="E2912" s="46">
        <v>5149.91</v>
      </c>
      <c r="F2912" s="2">
        <f>IF(C2912="GBP",E2912*$C$3,IF(C2912="TRY",E2912/$C$1,IF(C2912="EUR",E2912*$E$1,IF(C2912="RUB",E2912/#REF!,IF(C2912="EGP",E2912/$E$2,E2912)))))</f>
        <v>5149.91</v>
      </c>
      <c r="G2912" s="15" t="str">
        <f>VLOOKUP(B2912,SPECIFICATIONF!$C$2:$D$65,2,0)</f>
        <v>GLOBAL HFT</v>
      </c>
      <c r="H2912" s="12">
        <f t="shared" si="256"/>
        <v>2</v>
      </c>
      <c r="I2912" s="12">
        <f t="shared" si="257"/>
        <v>2026</v>
      </c>
    </row>
    <row r="2913" spans="1:9" ht="19.5" customHeight="1" x14ac:dyDescent="0.35">
      <c r="A2913" s="41">
        <v>46065</v>
      </c>
      <c r="B2913" s="8" t="s">
        <v>32</v>
      </c>
      <c r="C2913" s="42" t="s">
        <v>11</v>
      </c>
      <c r="D2913" s="43" t="s">
        <v>29</v>
      </c>
      <c r="E2913" s="46">
        <v>4625141533</v>
      </c>
      <c r="F2913" s="2">
        <f>IF(C2913="GBP",E2913*$C$3,IF(C2913="TRY",E2913/$C$1,IF(C2913="EUR",E2913*$E$1,IF(C2913="RUB",E2913/#REF!,IF(C2913="EGP",E2913/$E$2,E2913)))))</f>
        <v>126831223.19144209</v>
      </c>
      <c r="G2913" s="15" t="str">
        <f>VLOOKUP(B2913,SPECIFICATIONF!$C$2:$D$65,2,0)</f>
        <v>GLOBAL HFT</v>
      </c>
      <c r="H2913" s="12">
        <f t="shared" si="256"/>
        <v>2</v>
      </c>
      <c r="I2913" s="12">
        <f t="shared" si="257"/>
        <v>2026</v>
      </c>
    </row>
    <row r="2914" spans="1:9" ht="19.5" customHeight="1" x14ac:dyDescent="0.35">
      <c r="A2914" s="41">
        <v>46065</v>
      </c>
      <c r="B2914" s="8" t="s">
        <v>32</v>
      </c>
      <c r="C2914" s="42" t="s">
        <v>33</v>
      </c>
      <c r="D2914" s="43" t="s">
        <v>29</v>
      </c>
      <c r="E2914" s="46">
        <v>15662725</v>
      </c>
      <c r="F2914" s="2">
        <f>IF(C2914="GBP",E2914*$C$3,IF(C2914="TRY",E2914/$C$1,IF(C2914="EUR",E2914*$E$1,IF(C2914="RUB",E2914/#REF!,IF(C2914="EGP",E2914/$E$2,E2914)))))</f>
        <v>15662725</v>
      </c>
      <c r="G2914" s="15" t="str">
        <f>VLOOKUP(B2914,SPECIFICATIONF!$C$2:$D$65,2,0)</f>
        <v>GLOBAL HFT</v>
      </c>
      <c r="H2914" s="12">
        <f t="shared" si="256"/>
        <v>2</v>
      </c>
      <c r="I2914" s="12">
        <f t="shared" si="257"/>
        <v>2026</v>
      </c>
    </row>
    <row r="2915" spans="1:9" ht="19.5" customHeight="1" x14ac:dyDescent="0.35">
      <c r="A2915" s="41">
        <v>46065</v>
      </c>
      <c r="B2915" s="8" t="s">
        <v>24</v>
      </c>
      <c r="C2915" s="42" t="s">
        <v>11</v>
      </c>
      <c r="D2915" s="43" t="s">
        <v>30</v>
      </c>
      <c r="E2915" s="46">
        <v>0</v>
      </c>
      <c r="F2915" s="2">
        <f>IF(C2915="GBP",E2915*$C$3,IF(C2915="TRY",E2915/$C$1,IF(C2915="EUR",E2915*$E$1,IF(C2915="RUB",E2915/#REF!,IF(C2915="EGP",E2915/$E$2,E2915)))))</f>
        <v>0</v>
      </c>
      <c r="G2915" s="15" t="str">
        <f>VLOOKUP(B2915,SPECIFICATIONF!$C$2:$D$65,2,0)</f>
        <v>GLOBAL RETAIL</v>
      </c>
      <c r="H2915" s="12">
        <f t="shared" ref="H2915:H2922" si="258">MONTH(A2915)</f>
        <v>2</v>
      </c>
      <c r="I2915" s="12">
        <f t="shared" ref="I2915:I2922" si="259">YEAR(A2915)</f>
        <v>2026</v>
      </c>
    </row>
    <row r="2916" spans="1:9" ht="19.5" customHeight="1" x14ac:dyDescent="0.35">
      <c r="A2916" s="41">
        <v>46065</v>
      </c>
      <c r="B2916" s="8" t="s">
        <v>24</v>
      </c>
      <c r="C2916" s="42" t="s">
        <v>33</v>
      </c>
      <c r="D2916" s="43" t="s">
        <v>30</v>
      </c>
      <c r="E2916" s="46">
        <v>0</v>
      </c>
      <c r="F2916" s="2">
        <f>IF(C2916="GBP",E2916*$C$3,IF(C2916="TRY",E2916/$C$1,IF(C2916="EUR",E2916*$E$1,IF(C2916="RUB",E2916/#REF!,IF(C2916="EGP",E2916/$E$2,E2916)))))</f>
        <v>0</v>
      </c>
      <c r="G2916" s="15" t="str">
        <f>VLOOKUP(B2916,SPECIFICATIONF!$C$2:$D$65,2,0)</f>
        <v>GLOBAL RETAIL</v>
      </c>
      <c r="H2916" s="12">
        <f t="shared" si="258"/>
        <v>2</v>
      </c>
      <c r="I2916" s="12">
        <f t="shared" si="259"/>
        <v>2026</v>
      </c>
    </row>
    <row r="2917" spans="1:9" ht="19.5" customHeight="1" x14ac:dyDescent="0.35">
      <c r="A2917" s="41">
        <v>46065</v>
      </c>
      <c r="B2917" s="8" t="s">
        <v>24</v>
      </c>
      <c r="C2917" s="42" t="s">
        <v>11</v>
      </c>
      <c r="D2917" s="43" t="s">
        <v>29</v>
      </c>
      <c r="E2917" s="46">
        <v>34264716</v>
      </c>
      <c r="F2917" s="2">
        <f>IF(C2917="GBP",E2917*$C$3,IF(C2917="TRY",E2917/$C$1,IF(C2917="EUR",E2917*$E$1,IF(C2917="RUB",E2917/#REF!,IF(C2917="EGP",E2917/$E$2,E2917)))))</f>
        <v>939611.42844607017</v>
      </c>
      <c r="G2917" s="15" t="str">
        <f>VLOOKUP(B2917,SPECIFICATIONF!$C$2:$D$65,2,0)</f>
        <v>GLOBAL RETAIL</v>
      </c>
      <c r="H2917" s="12">
        <f t="shared" si="258"/>
        <v>2</v>
      </c>
      <c r="I2917" s="12">
        <f t="shared" si="259"/>
        <v>2026</v>
      </c>
    </row>
    <row r="2918" spans="1:9" ht="19.5" customHeight="1" x14ac:dyDescent="0.35">
      <c r="A2918" s="41">
        <v>46065</v>
      </c>
      <c r="B2918" s="8" t="s">
        <v>24</v>
      </c>
      <c r="C2918" s="42" t="s">
        <v>33</v>
      </c>
      <c r="D2918" s="43" t="s">
        <v>29</v>
      </c>
      <c r="E2918" s="46">
        <v>0</v>
      </c>
      <c r="F2918" s="2">
        <f>IF(C2918="GBP",E2918*$C$3,IF(C2918="TRY",E2918/$C$1,IF(C2918="EUR",E2918*$E$1,IF(C2918="RUB",E2918/#REF!,IF(C2918="EGP",E2918/$E$2,E2918)))))</f>
        <v>0</v>
      </c>
      <c r="G2918" s="15" t="str">
        <f>VLOOKUP(B2918,SPECIFICATIONF!$C$2:$D$65,2,0)</f>
        <v>GLOBAL RETAIL</v>
      </c>
      <c r="H2918" s="12">
        <f t="shared" si="258"/>
        <v>2</v>
      </c>
      <c r="I2918" s="12">
        <f t="shared" si="259"/>
        <v>2026</v>
      </c>
    </row>
    <row r="2919" spans="1:9" ht="19.5" customHeight="1" x14ac:dyDescent="0.35">
      <c r="A2919" s="41">
        <v>46066</v>
      </c>
      <c r="B2919" s="8" t="s">
        <v>32</v>
      </c>
      <c r="C2919" s="42" t="s">
        <v>11</v>
      </c>
      <c r="D2919" s="43" t="s">
        <v>30</v>
      </c>
      <c r="E2919" s="46">
        <v>1450431.77</v>
      </c>
      <c r="F2919" s="2">
        <f>IF(C2919="GBP",E2919*$C$3,IF(C2919="TRY",E2919/$C$1,IF(C2919="EUR",E2919*$E$1,IF(C2919="RUB",E2919/#REF!,IF(C2919="EGP",E2919/$E$2,E2919)))))</f>
        <v>39773.92566957981</v>
      </c>
      <c r="G2919" s="15" t="str">
        <f>VLOOKUP(B2919,SPECIFICATIONF!$C$2:$D$65,2,0)</f>
        <v>GLOBAL HFT</v>
      </c>
      <c r="H2919" s="12">
        <f t="shared" si="258"/>
        <v>2</v>
      </c>
      <c r="I2919" s="12">
        <f t="shared" si="259"/>
        <v>2026</v>
      </c>
    </row>
    <row r="2920" spans="1:9" ht="19.5" customHeight="1" x14ac:dyDescent="0.35">
      <c r="A2920" s="41">
        <v>46066</v>
      </c>
      <c r="B2920" s="8" t="s">
        <v>32</v>
      </c>
      <c r="C2920" s="42" t="s">
        <v>33</v>
      </c>
      <c r="D2920" s="43" t="s">
        <v>30</v>
      </c>
      <c r="E2920" s="46">
        <v>4918.03</v>
      </c>
      <c r="F2920" s="2">
        <f>IF(C2920="GBP",E2920*$C$3,IF(C2920="TRY",E2920/$C$1,IF(C2920="EUR",E2920*$E$1,IF(C2920="RUB",E2920/#REF!,IF(C2920="EGP",E2920/$E$2,E2920)))))</f>
        <v>4918.03</v>
      </c>
      <c r="G2920" s="15" t="str">
        <f>VLOOKUP(B2920,SPECIFICATIONF!$C$2:$D$65,2,0)</f>
        <v>GLOBAL HFT</v>
      </c>
      <c r="H2920" s="12">
        <f t="shared" si="258"/>
        <v>2</v>
      </c>
      <c r="I2920" s="12">
        <f t="shared" si="259"/>
        <v>2026</v>
      </c>
    </row>
    <row r="2921" spans="1:9" ht="19.5" customHeight="1" x14ac:dyDescent="0.35">
      <c r="A2921" s="41">
        <v>46066</v>
      </c>
      <c r="B2921" s="8" t="s">
        <v>32</v>
      </c>
      <c r="C2921" s="42" t="s">
        <v>11</v>
      </c>
      <c r="D2921" s="43" t="s">
        <v>29</v>
      </c>
      <c r="E2921" s="46">
        <v>4789760717</v>
      </c>
      <c r="F2921" s="2">
        <f>IF(C2921="GBP",E2921*$C$3,IF(C2921="TRY",E2921/$C$1,IF(C2921="EUR",E2921*$E$1,IF(C2921="RUB",E2921/#REF!,IF(C2921="EGP",E2921/$E$2,E2921)))))</f>
        <v>131345431.52831745</v>
      </c>
      <c r="G2921" s="15" t="str">
        <f>VLOOKUP(B2921,SPECIFICATIONF!$C$2:$D$65,2,0)</f>
        <v>GLOBAL HFT</v>
      </c>
      <c r="H2921" s="12">
        <f t="shared" si="258"/>
        <v>2</v>
      </c>
      <c r="I2921" s="12">
        <f t="shared" si="259"/>
        <v>2026</v>
      </c>
    </row>
    <row r="2922" spans="1:9" ht="19.5" customHeight="1" x14ac:dyDescent="0.35">
      <c r="A2922" s="41">
        <v>46066</v>
      </c>
      <c r="B2922" s="8" t="s">
        <v>32</v>
      </c>
      <c r="C2922" s="42" t="s">
        <v>33</v>
      </c>
      <c r="D2922" s="43" t="s">
        <v>29</v>
      </c>
      <c r="E2922" s="46">
        <v>15063593</v>
      </c>
      <c r="F2922" s="2">
        <f>IF(C2922="GBP",E2922*$C$3,IF(C2922="TRY",E2922/$C$1,IF(C2922="EUR",E2922*$E$1,IF(C2922="RUB",E2922/#REF!,IF(C2922="EGP",E2922/$E$2,E2922)))))</f>
        <v>15063593</v>
      </c>
      <c r="G2922" s="15" t="str">
        <f>VLOOKUP(B2922,SPECIFICATIONF!$C$2:$D$65,2,0)</f>
        <v>GLOBAL HFT</v>
      </c>
      <c r="H2922" s="12">
        <f t="shared" si="258"/>
        <v>2</v>
      </c>
      <c r="I2922" s="12">
        <f t="shared" si="259"/>
        <v>2026</v>
      </c>
    </row>
    <row r="2923" spans="1:9" ht="19.5" customHeight="1" x14ac:dyDescent="0.35">
      <c r="A2923" s="41">
        <v>46066</v>
      </c>
      <c r="B2923" s="8" t="s">
        <v>24</v>
      </c>
      <c r="C2923" s="42" t="s">
        <v>11</v>
      </c>
      <c r="D2923" s="43" t="s">
        <v>30</v>
      </c>
      <c r="E2923" s="46">
        <v>0</v>
      </c>
      <c r="F2923" s="2">
        <f>IF(C2923="GBP",E2923*$C$3,IF(C2923="TRY",E2923/$C$1,IF(C2923="EUR",E2923*$E$1,IF(C2923="RUB",E2923/#REF!,IF(C2923="EGP",E2923/$E$2,E2923)))))</f>
        <v>0</v>
      </c>
      <c r="G2923" s="15" t="str">
        <f>VLOOKUP(B2923,SPECIFICATIONF!$C$2:$D$65,2,0)</f>
        <v>GLOBAL RETAIL</v>
      </c>
      <c r="H2923" s="12">
        <f t="shared" ref="H2923:H2930" si="260">MONTH(A2923)</f>
        <v>2</v>
      </c>
      <c r="I2923" s="12">
        <f t="shared" ref="I2923:I2930" si="261">YEAR(A2923)</f>
        <v>2026</v>
      </c>
    </row>
    <row r="2924" spans="1:9" ht="19.5" customHeight="1" x14ac:dyDescent="0.35">
      <c r="A2924" s="41">
        <v>46066</v>
      </c>
      <c r="B2924" s="8" t="s">
        <v>24</v>
      </c>
      <c r="C2924" s="42" t="s">
        <v>33</v>
      </c>
      <c r="D2924" s="43" t="s">
        <v>30</v>
      </c>
      <c r="E2924" s="46">
        <v>0</v>
      </c>
      <c r="F2924" s="2">
        <f>IF(C2924="GBP",E2924*$C$3,IF(C2924="TRY",E2924/$C$1,IF(C2924="EUR",E2924*$E$1,IF(C2924="RUB",E2924/#REF!,IF(C2924="EGP",E2924/$E$2,E2924)))))</f>
        <v>0</v>
      </c>
      <c r="G2924" s="15" t="str">
        <f>VLOOKUP(B2924,SPECIFICATIONF!$C$2:$D$65,2,0)</f>
        <v>GLOBAL RETAIL</v>
      </c>
      <c r="H2924" s="12">
        <f t="shared" si="260"/>
        <v>2</v>
      </c>
      <c r="I2924" s="12">
        <f t="shared" si="261"/>
        <v>2026</v>
      </c>
    </row>
    <row r="2925" spans="1:9" ht="19.5" customHeight="1" x14ac:dyDescent="0.35">
      <c r="A2925" s="41">
        <v>46066</v>
      </c>
      <c r="B2925" s="8" t="s">
        <v>24</v>
      </c>
      <c r="C2925" s="42" t="s">
        <v>11</v>
      </c>
      <c r="D2925" s="43" t="s">
        <v>29</v>
      </c>
      <c r="E2925" s="46">
        <v>14827174</v>
      </c>
      <c r="F2925" s="2">
        <f>IF(C2925="GBP",E2925*$C$3,IF(C2925="TRY",E2925/$C$1,IF(C2925="EUR",E2925*$E$1,IF(C2925="RUB",E2925/#REF!,IF(C2925="EGP",E2925/$E$2,E2925)))))</f>
        <v>406592.66348387167</v>
      </c>
      <c r="G2925" s="15" t="str">
        <f>VLOOKUP(B2925,SPECIFICATIONF!$C$2:$D$65,2,0)</f>
        <v>GLOBAL RETAIL</v>
      </c>
      <c r="H2925" s="12">
        <f t="shared" si="260"/>
        <v>2</v>
      </c>
      <c r="I2925" s="12">
        <f t="shared" si="261"/>
        <v>2026</v>
      </c>
    </row>
    <row r="2926" spans="1:9" ht="19.5" customHeight="1" x14ac:dyDescent="0.35">
      <c r="A2926" s="41">
        <v>46066</v>
      </c>
      <c r="B2926" s="8" t="s">
        <v>24</v>
      </c>
      <c r="C2926" s="42" t="s">
        <v>33</v>
      </c>
      <c r="D2926" s="43" t="s">
        <v>29</v>
      </c>
      <c r="E2926" s="46">
        <v>0</v>
      </c>
      <c r="F2926" s="2">
        <f>IF(C2926="GBP",E2926*$C$3,IF(C2926="TRY",E2926/$C$1,IF(C2926="EUR",E2926*$E$1,IF(C2926="RUB",E2926/#REF!,IF(C2926="EGP",E2926/$E$2,E2926)))))</f>
        <v>0</v>
      </c>
      <c r="G2926" s="15" t="str">
        <f>VLOOKUP(B2926,SPECIFICATIONF!$C$2:$D$65,2,0)</f>
        <v>GLOBAL RETAIL</v>
      </c>
      <c r="H2926" s="12">
        <f t="shared" si="260"/>
        <v>2</v>
      </c>
      <c r="I2926" s="12">
        <f t="shared" si="261"/>
        <v>2026</v>
      </c>
    </row>
    <row r="2927" spans="1:9" ht="19.5" customHeight="1" x14ac:dyDescent="0.35">
      <c r="A2927" s="41">
        <v>46067</v>
      </c>
      <c r="B2927" s="8" t="s">
        <v>32</v>
      </c>
      <c r="C2927" s="42" t="s">
        <v>11</v>
      </c>
      <c r="D2927" s="43" t="s">
        <v>30</v>
      </c>
      <c r="E2927" s="46">
        <v>1388585.18</v>
      </c>
      <c r="F2927" s="2">
        <f>IF(C2927="GBP",E2927*$C$3,IF(C2927="TRY",E2927/$C$1,IF(C2927="EUR",E2927*$E$1,IF(C2927="RUB",E2927/#REF!,IF(C2927="EGP",E2927/$E$2,E2927)))))</f>
        <v>38077.960561495485</v>
      </c>
      <c r="G2927" s="15" t="str">
        <f>VLOOKUP(B2927,SPECIFICATIONF!$C$2:$D$65,2,0)</f>
        <v>GLOBAL HFT</v>
      </c>
      <c r="H2927" s="12">
        <f t="shared" si="260"/>
        <v>2</v>
      </c>
      <c r="I2927" s="12">
        <f t="shared" si="261"/>
        <v>2026</v>
      </c>
    </row>
    <row r="2928" spans="1:9" ht="19.5" customHeight="1" x14ac:dyDescent="0.35">
      <c r="A2928" s="41">
        <v>46067</v>
      </c>
      <c r="B2928" s="8" t="s">
        <v>32</v>
      </c>
      <c r="C2928" s="42" t="s">
        <v>33</v>
      </c>
      <c r="D2928" s="43" t="s">
        <v>30</v>
      </c>
      <c r="E2928" s="46">
        <v>6104.49</v>
      </c>
      <c r="F2928" s="2">
        <f>IF(C2928="GBP",E2928*$C$3,IF(C2928="TRY",E2928/$C$1,IF(C2928="EUR",E2928*$E$1,IF(C2928="RUB",E2928/#REF!,IF(C2928="EGP",E2928/$E$2,E2928)))))</f>
        <v>6104.49</v>
      </c>
      <c r="G2928" s="15" t="str">
        <f>VLOOKUP(B2928,SPECIFICATIONF!$C$2:$D$65,2,0)</f>
        <v>GLOBAL HFT</v>
      </c>
      <c r="H2928" s="12">
        <f t="shared" si="260"/>
        <v>2</v>
      </c>
      <c r="I2928" s="12">
        <f t="shared" si="261"/>
        <v>2026</v>
      </c>
    </row>
    <row r="2929" spans="1:9" ht="19.5" customHeight="1" x14ac:dyDescent="0.35">
      <c r="A2929" s="41">
        <v>46067</v>
      </c>
      <c r="B2929" s="8" t="s">
        <v>32</v>
      </c>
      <c r="C2929" s="42" t="s">
        <v>11</v>
      </c>
      <c r="D2929" s="43" t="s">
        <v>29</v>
      </c>
      <c r="E2929" s="46">
        <v>4654695413</v>
      </c>
      <c r="F2929" s="2">
        <f>IF(C2929="GBP",E2929*$C$3,IF(C2929="TRY",E2929/$C$1,IF(C2929="EUR",E2929*$E$1,IF(C2929="RUB",E2929/#REF!,IF(C2929="EGP",E2929/$E$2,E2929)))))</f>
        <v>127641653.47205272</v>
      </c>
      <c r="G2929" s="15" t="str">
        <f>VLOOKUP(B2929,SPECIFICATIONF!$C$2:$D$65,2,0)</f>
        <v>GLOBAL HFT</v>
      </c>
      <c r="H2929" s="12">
        <f t="shared" si="260"/>
        <v>2</v>
      </c>
      <c r="I2929" s="12">
        <f t="shared" si="261"/>
        <v>2026</v>
      </c>
    </row>
    <row r="2930" spans="1:9" ht="19.5" customHeight="1" x14ac:dyDescent="0.35">
      <c r="A2930" s="41">
        <v>46067</v>
      </c>
      <c r="B2930" s="8" t="s">
        <v>32</v>
      </c>
      <c r="C2930" s="42" t="s">
        <v>33</v>
      </c>
      <c r="D2930" s="43" t="s">
        <v>29</v>
      </c>
      <c r="E2930" s="46">
        <v>18960527</v>
      </c>
      <c r="F2930" s="2">
        <f>IF(C2930="GBP",E2930*$C$3,IF(C2930="TRY",E2930/$C$1,IF(C2930="EUR",E2930*$E$1,IF(C2930="RUB",E2930/#REF!,IF(C2930="EGP",E2930/$E$2,E2930)))))</f>
        <v>18960527</v>
      </c>
      <c r="G2930" s="15" t="str">
        <f>VLOOKUP(B2930,SPECIFICATIONF!$C$2:$D$65,2,0)</f>
        <v>GLOBAL HFT</v>
      </c>
      <c r="H2930" s="12">
        <f t="shared" si="260"/>
        <v>2</v>
      </c>
      <c r="I2930" s="12">
        <f t="shared" si="261"/>
        <v>2026</v>
      </c>
    </row>
    <row r="2931" spans="1:9" ht="19.5" customHeight="1" x14ac:dyDescent="0.35">
      <c r="A2931" s="41">
        <v>46067</v>
      </c>
      <c r="B2931" s="8" t="s">
        <v>24</v>
      </c>
      <c r="C2931" s="42" t="s">
        <v>11</v>
      </c>
      <c r="D2931" s="43" t="s">
        <v>30</v>
      </c>
      <c r="E2931" s="46">
        <v>0</v>
      </c>
      <c r="F2931" s="2">
        <f>IF(C2931="GBP",E2931*$C$3,IF(C2931="TRY",E2931/$C$1,IF(C2931="EUR",E2931*$E$1,IF(C2931="RUB",E2931/#REF!,IF(C2931="EGP",E2931/$E$2,E2931)))))</f>
        <v>0</v>
      </c>
      <c r="G2931" s="15" t="str">
        <f>VLOOKUP(B2931,SPECIFICATIONF!$C$2:$D$65,2,0)</f>
        <v>GLOBAL RETAIL</v>
      </c>
      <c r="H2931" s="12">
        <f t="shared" ref="H2931:H2950" si="262">MONTH(A2931)</f>
        <v>2</v>
      </c>
      <c r="I2931" s="12">
        <f t="shared" ref="I2931:I2950" si="263">YEAR(A2931)</f>
        <v>2026</v>
      </c>
    </row>
    <row r="2932" spans="1:9" ht="19.5" customHeight="1" x14ac:dyDescent="0.35">
      <c r="A2932" s="41">
        <v>46067</v>
      </c>
      <c r="B2932" s="8" t="s">
        <v>24</v>
      </c>
      <c r="C2932" s="42" t="s">
        <v>33</v>
      </c>
      <c r="D2932" s="43" t="s">
        <v>30</v>
      </c>
      <c r="E2932" s="46">
        <v>0</v>
      </c>
      <c r="F2932" s="2">
        <f>IF(C2932="GBP",E2932*$C$3,IF(C2932="TRY",E2932/$C$1,IF(C2932="EUR",E2932*$E$1,IF(C2932="RUB",E2932/#REF!,IF(C2932="EGP",E2932/$E$2,E2932)))))</f>
        <v>0</v>
      </c>
      <c r="G2932" s="15" t="str">
        <f>VLOOKUP(B2932,SPECIFICATIONF!$C$2:$D$65,2,0)</f>
        <v>GLOBAL RETAIL</v>
      </c>
      <c r="H2932" s="12">
        <f t="shared" si="262"/>
        <v>2</v>
      </c>
      <c r="I2932" s="12">
        <f t="shared" si="263"/>
        <v>2026</v>
      </c>
    </row>
    <row r="2933" spans="1:9" ht="19.5" customHeight="1" x14ac:dyDescent="0.35">
      <c r="A2933" s="41">
        <v>46067</v>
      </c>
      <c r="B2933" s="8" t="s">
        <v>24</v>
      </c>
      <c r="C2933" s="42" t="s">
        <v>11</v>
      </c>
      <c r="D2933" s="43" t="s">
        <v>29</v>
      </c>
      <c r="E2933" s="46">
        <v>14952460</v>
      </c>
      <c r="F2933" s="2">
        <f>IF(C2933="GBP",E2933*$C$3,IF(C2933="TRY",E2933/$C$1,IF(C2933="EUR",E2933*$E$1,IF(C2933="RUB",E2933/#REF!,IF(C2933="EGP",E2933/$E$2,E2933)))))</f>
        <v>410028.27221398032</v>
      </c>
      <c r="G2933" s="15" t="str">
        <f>VLOOKUP(B2933,SPECIFICATIONF!$C$2:$D$65,2,0)</f>
        <v>GLOBAL RETAIL</v>
      </c>
      <c r="H2933" s="12">
        <f t="shared" si="262"/>
        <v>2</v>
      </c>
      <c r="I2933" s="12">
        <f t="shared" si="263"/>
        <v>2026</v>
      </c>
    </row>
    <row r="2934" spans="1:9" ht="19.5" customHeight="1" x14ac:dyDescent="0.35">
      <c r="A2934" s="41">
        <v>46067</v>
      </c>
      <c r="B2934" s="8" t="s">
        <v>24</v>
      </c>
      <c r="C2934" s="42" t="s">
        <v>33</v>
      </c>
      <c r="D2934" s="43" t="s">
        <v>29</v>
      </c>
      <c r="E2934" s="46">
        <v>0</v>
      </c>
      <c r="F2934" s="2">
        <f>IF(C2934="GBP",E2934*$C$3,IF(C2934="TRY",E2934/$C$1,IF(C2934="EUR",E2934*$E$1,IF(C2934="RUB",E2934/#REF!,IF(C2934="EGP",E2934/$E$2,E2934)))))</f>
        <v>0</v>
      </c>
      <c r="G2934" s="15" t="str">
        <f>VLOOKUP(B2934,SPECIFICATIONF!$C$2:$D$65,2,0)</f>
        <v>GLOBAL RETAIL</v>
      </c>
      <c r="H2934" s="12">
        <f t="shared" si="262"/>
        <v>2</v>
      </c>
      <c r="I2934" s="12">
        <f t="shared" si="263"/>
        <v>2026</v>
      </c>
    </row>
    <row r="2935" spans="1:9" ht="19.5" customHeight="1" x14ac:dyDescent="0.35">
      <c r="A2935" s="41">
        <v>46068</v>
      </c>
      <c r="B2935" s="8" t="s">
        <v>32</v>
      </c>
      <c r="C2935" s="42" t="s">
        <v>11</v>
      </c>
      <c r="D2935" s="43" t="s">
        <v>30</v>
      </c>
      <c r="E2935" s="46">
        <v>1574907.68</v>
      </c>
      <c r="F2935" s="2">
        <f>IF(C2935="GBP",E2935*$C$3,IF(C2935="TRY",E2935/$C$1,IF(C2935="EUR",E2935*$E$1,IF(C2935="RUB",E2935/#REF!,IF(C2935="EGP",E2935/$E$2,E2935)))))</f>
        <v>43187.320008007257</v>
      </c>
      <c r="G2935" s="15" t="str">
        <f>VLOOKUP(B2935,SPECIFICATIONF!$C$2:$D$65,2,0)</f>
        <v>GLOBAL HFT</v>
      </c>
      <c r="H2935" s="12">
        <f t="shared" si="262"/>
        <v>2</v>
      </c>
      <c r="I2935" s="12">
        <f t="shared" si="263"/>
        <v>2026</v>
      </c>
    </row>
    <row r="2936" spans="1:9" ht="19.5" customHeight="1" x14ac:dyDescent="0.35">
      <c r="A2936" s="41">
        <v>46068</v>
      </c>
      <c r="B2936" s="8" t="s">
        <v>32</v>
      </c>
      <c r="C2936" s="42" t="s">
        <v>33</v>
      </c>
      <c r="D2936" s="43" t="s">
        <v>30</v>
      </c>
      <c r="E2936" s="46">
        <v>8566.4</v>
      </c>
      <c r="F2936" s="2">
        <f>IF(C2936="GBP",E2936*$C$3,IF(C2936="TRY",E2936/$C$1,IF(C2936="EUR",E2936*$E$1,IF(C2936="RUB",E2936/#REF!,IF(C2936="EGP",E2936/$E$2,E2936)))))</f>
        <v>8566.4</v>
      </c>
      <c r="G2936" s="15" t="str">
        <f>VLOOKUP(B2936,SPECIFICATIONF!$C$2:$D$65,2,0)</f>
        <v>GLOBAL HFT</v>
      </c>
      <c r="H2936" s="12">
        <f t="shared" si="262"/>
        <v>2</v>
      </c>
      <c r="I2936" s="12">
        <f t="shared" si="263"/>
        <v>2026</v>
      </c>
    </row>
    <row r="2937" spans="1:9" ht="19.5" customHeight="1" x14ac:dyDescent="0.35">
      <c r="A2937" s="41">
        <v>46068</v>
      </c>
      <c r="B2937" s="8" t="s">
        <v>32</v>
      </c>
      <c r="C2937" s="42" t="s">
        <v>11</v>
      </c>
      <c r="D2937" s="43" t="s">
        <v>29</v>
      </c>
      <c r="E2937" s="46">
        <v>5447992675</v>
      </c>
      <c r="F2937" s="2">
        <f>IF(C2937="GBP",E2937*$C$3,IF(C2937="TRY",E2937/$C$1,IF(C2937="EUR",E2937*$E$1,IF(C2937="RUB",E2937/#REF!,IF(C2937="EGP",E2937/$E$2,E2937)))))</f>
        <v>149395552.54216838</v>
      </c>
      <c r="G2937" s="15" t="str">
        <f>VLOOKUP(B2937,SPECIFICATIONF!$C$2:$D$65,2,0)</f>
        <v>GLOBAL HFT</v>
      </c>
      <c r="H2937" s="12">
        <f t="shared" si="262"/>
        <v>2</v>
      </c>
      <c r="I2937" s="12">
        <f t="shared" si="263"/>
        <v>2026</v>
      </c>
    </row>
    <row r="2938" spans="1:9" ht="19.5" customHeight="1" x14ac:dyDescent="0.35">
      <c r="A2938" s="41">
        <v>46068</v>
      </c>
      <c r="B2938" s="8" t="s">
        <v>32</v>
      </c>
      <c r="C2938" s="42" t="s">
        <v>33</v>
      </c>
      <c r="D2938" s="43" t="s">
        <v>29</v>
      </c>
      <c r="E2938" s="46">
        <v>26549863</v>
      </c>
      <c r="F2938" s="2">
        <f>IF(C2938="GBP",E2938*$C$3,IF(C2938="TRY",E2938/$C$1,IF(C2938="EUR",E2938*$E$1,IF(C2938="RUB",E2938/#REF!,IF(C2938="EGP",E2938/$E$2,E2938)))))</f>
        <v>26549863</v>
      </c>
      <c r="G2938" s="15" t="str">
        <f>VLOOKUP(B2938,SPECIFICATIONF!$C$2:$D$65,2,0)</f>
        <v>GLOBAL HFT</v>
      </c>
      <c r="H2938" s="12">
        <f t="shared" si="262"/>
        <v>2</v>
      </c>
      <c r="I2938" s="12">
        <f t="shared" si="263"/>
        <v>2026</v>
      </c>
    </row>
    <row r="2939" spans="1:9" ht="19.5" customHeight="1" x14ac:dyDescent="0.35">
      <c r="A2939" s="41">
        <v>46068</v>
      </c>
      <c r="B2939" s="8" t="s">
        <v>24</v>
      </c>
      <c r="C2939" s="42" t="s">
        <v>11</v>
      </c>
      <c r="D2939" s="43" t="s">
        <v>30</v>
      </c>
      <c r="E2939" s="46">
        <v>0</v>
      </c>
      <c r="F2939" s="2">
        <f>IF(C2939="GBP",E2939*$C$3,IF(C2939="TRY",E2939/$C$1,IF(C2939="EUR",E2939*$E$1,IF(C2939="RUB",E2939/#REF!,IF(C2939="EGP",E2939/$E$2,E2939)))))</f>
        <v>0</v>
      </c>
      <c r="G2939" s="15" t="str">
        <f>VLOOKUP(B2939,SPECIFICATIONF!$C$2:$D$65,2,0)</f>
        <v>GLOBAL RETAIL</v>
      </c>
      <c r="H2939" s="12">
        <f t="shared" si="262"/>
        <v>2</v>
      </c>
      <c r="I2939" s="12">
        <f t="shared" si="263"/>
        <v>2026</v>
      </c>
    </row>
    <row r="2940" spans="1:9" ht="19.5" customHeight="1" x14ac:dyDescent="0.35">
      <c r="A2940" s="41">
        <v>46068</v>
      </c>
      <c r="B2940" s="8" t="s">
        <v>24</v>
      </c>
      <c r="C2940" s="42" t="s">
        <v>33</v>
      </c>
      <c r="D2940" s="43" t="s">
        <v>30</v>
      </c>
      <c r="E2940" s="46">
        <v>0</v>
      </c>
      <c r="F2940" s="2">
        <f>IF(C2940="GBP",E2940*$C$3,IF(C2940="TRY",E2940/$C$1,IF(C2940="EUR",E2940*$E$1,IF(C2940="RUB",E2940/#REF!,IF(C2940="EGP",E2940/$E$2,E2940)))))</f>
        <v>0</v>
      </c>
      <c r="G2940" s="15" t="str">
        <f>VLOOKUP(B2940,SPECIFICATIONF!$C$2:$D$65,2,0)</f>
        <v>GLOBAL RETAIL</v>
      </c>
      <c r="H2940" s="12">
        <f t="shared" si="262"/>
        <v>2</v>
      </c>
      <c r="I2940" s="12">
        <f t="shared" si="263"/>
        <v>2026</v>
      </c>
    </row>
    <row r="2941" spans="1:9" ht="19.5" customHeight="1" x14ac:dyDescent="0.35">
      <c r="A2941" s="41">
        <v>46068</v>
      </c>
      <c r="B2941" s="8" t="s">
        <v>24</v>
      </c>
      <c r="C2941" s="42" t="s">
        <v>11</v>
      </c>
      <c r="D2941" s="43" t="s">
        <v>29</v>
      </c>
      <c r="E2941" s="46">
        <v>24003710</v>
      </c>
      <c r="F2941" s="2">
        <f>IF(C2941="GBP",E2941*$C$3,IF(C2941="TRY",E2941/$C$1,IF(C2941="EUR",E2941*$E$1,IF(C2941="RUB",E2941/#REF!,IF(C2941="EGP",E2941/$E$2,E2941)))))</f>
        <v>658232.808382396</v>
      </c>
      <c r="G2941" s="15" t="str">
        <f>VLOOKUP(B2941,SPECIFICATIONF!$C$2:$D$65,2,0)</f>
        <v>GLOBAL RETAIL</v>
      </c>
      <c r="H2941" s="12">
        <f t="shared" si="262"/>
        <v>2</v>
      </c>
      <c r="I2941" s="12">
        <f t="shared" si="263"/>
        <v>2026</v>
      </c>
    </row>
    <row r="2942" spans="1:9" ht="19.5" customHeight="1" x14ac:dyDescent="0.35">
      <c r="A2942" s="41">
        <v>46068</v>
      </c>
      <c r="B2942" s="8" t="s">
        <v>24</v>
      </c>
      <c r="C2942" s="42" t="s">
        <v>33</v>
      </c>
      <c r="D2942" s="43" t="s">
        <v>29</v>
      </c>
      <c r="E2942" s="46">
        <v>0</v>
      </c>
      <c r="F2942" s="2">
        <f>IF(C2942="GBP",E2942*$C$3,IF(C2942="TRY",E2942/$C$1,IF(C2942="EUR",E2942*$E$1,IF(C2942="RUB",E2942/#REF!,IF(C2942="EGP",E2942/$E$2,E2942)))))</f>
        <v>0</v>
      </c>
      <c r="G2942" s="15" t="str">
        <f>VLOOKUP(B2942,SPECIFICATIONF!$C$2:$D$65,2,0)</f>
        <v>GLOBAL RETAIL</v>
      </c>
      <c r="H2942" s="12">
        <f t="shared" si="262"/>
        <v>2</v>
      </c>
      <c r="I2942" s="12">
        <f t="shared" si="263"/>
        <v>2026</v>
      </c>
    </row>
    <row r="2943" spans="1:9" ht="19.5" customHeight="1" x14ac:dyDescent="0.35">
      <c r="A2943" s="41">
        <v>46069</v>
      </c>
      <c r="B2943" s="8" t="s">
        <v>32</v>
      </c>
      <c r="C2943" s="42" t="s">
        <v>11</v>
      </c>
      <c r="D2943" s="43" t="s">
        <v>30</v>
      </c>
      <c r="E2943" s="46">
        <v>1148482.31</v>
      </c>
      <c r="F2943" s="2">
        <f>IF(C2943="GBP",E2943*$C$3,IF(C2943="TRY",E2943/$C$1,IF(C2943="EUR",E2943*$E$1,IF(C2943="RUB",E2943/#REF!,IF(C2943="EGP",E2943/$E$2,E2943)))))</f>
        <v>31493.828924312184</v>
      </c>
      <c r="G2943" s="15" t="str">
        <f>VLOOKUP(B2943,SPECIFICATIONF!$C$2:$D$65,2,0)</f>
        <v>GLOBAL HFT</v>
      </c>
      <c r="H2943" s="12">
        <f t="shared" si="262"/>
        <v>2</v>
      </c>
      <c r="I2943" s="12">
        <f t="shared" si="263"/>
        <v>2026</v>
      </c>
    </row>
    <row r="2944" spans="1:9" ht="19.5" customHeight="1" x14ac:dyDescent="0.35">
      <c r="A2944" s="41">
        <v>46069</v>
      </c>
      <c r="B2944" s="8" t="s">
        <v>32</v>
      </c>
      <c r="C2944" s="42" t="s">
        <v>33</v>
      </c>
      <c r="D2944" s="43" t="s">
        <v>30</v>
      </c>
      <c r="E2944" s="46">
        <v>4621.7</v>
      </c>
      <c r="F2944" s="2">
        <f>IF(C2944="GBP",E2944*$C$3,IF(C2944="TRY",E2944/$C$1,IF(C2944="EUR",E2944*$E$1,IF(C2944="RUB",E2944/#REF!,IF(C2944="EGP",E2944/$E$2,E2944)))))</f>
        <v>4621.7</v>
      </c>
      <c r="G2944" s="15" t="str">
        <f>VLOOKUP(B2944,SPECIFICATIONF!$C$2:$D$65,2,0)</f>
        <v>GLOBAL HFT</v>
      </c>
      <c r="H2944" s="12">
        <f t="shared" si="262"/>
        <v>2</v>
      </c>
      <c r="I2944" s="12">
        <f t="shared" si="263"/>
        <v>2026</v>
      </c>
    </row>
    <row r="2945" spans="1:9" ht="19.5" customHeight="1" x14ac:dyDescent="0.35">
      <c r="A2945" s="41">
        <v>46069</v>
      </c>
      <c r="B2945" s="8" t="s">
        <v>32</v>
      </c>
      <c r="C2945" s="42" t="s">
        <v>11</v>
      </c>
      <c r="D2945" s="43" t="s">
        <v>29</v>
      </c>
      <c r="E2945" s="46">
        <v>4081780313</v>
      </c>
      <c r="F2945" s="2">
        <f>IF(C2945="GBP",E2945*$C$3,IF(C2945="TRY",E2945/$C$1,IF(C2945="EUR",E2945*$E$1,IF(C2945="RUB",E2945/#REF!,IF(C2945="EGP",E2945/$E$2,E2945)))))</f>
        <v>111931102.25985757</v>
      </c>
      <c r="G2945" s="15" t="str">
        <f>VLOOKUP(B2945,SPECIFICATIONF!$C$2:$D$65,2,0)</f>
        <v>GLOBAL HFT</v>
      </c>
      <c r="H2945" s="12">
        <f t="shared" si="262"/>
        <v>2</v>
      </c>
      <c r="I2945" s="12">
        <f t="shared" si="263"/>
        <v>2026</v>
      </c>
    </row>
    <row r="2946" spans="1:9" ht="19.5" customHeight="1" x14ac:dyDescent="0.35">
      <c r="A2946" s="41">
        <v>46069</v>
      </c>
      <c r="B2946" s="8" t="s">
        <v>32</v>
      </c>
      <c r="C2946" s="42" t="s">
        <v>33</v>
      </c>
      <c r="D2946" s="43" t="s">
        <v>29</v>
      </c>
      <c r="E2946" s="46">
        <v>14458803</v>
      </c>
      <c r="F2946" s="2">
        <f>IF(C2946="GBP",E2946*$C$3,IF(C2946="TRY",E2946/$C$1,IF(C2946="EUR",E2946*$E$1,IF(C2946="RUB",E2946/#REF!,IF(C2946="EGP",E2946/$E$2,E2946)))))</f>
        <v>14458803</v>
      </c>
      <c r="G2946" s="15" t="str">
        <f>VLOOKUP(B2946,SPECIFICATIONF!$C$2:$D$65,2,0)</f>
        <v>GLOBAL HFT</v>
      </c>
      <c r="H2946" s="12">
        <f t="shared" si="262"/>
        <v>2</v>
      </c>
      <c r="I2946" s="12">
        <f t="shared" si="263"/>
        <v>2026</v>
      </c>
    </row>
    <row r="2947" spans="1:9" ht="19.5" customHeight="1" x14ac:dyDescent="0.35">
      <c r="A2947" s="41">
        <v>46069</v>
      </c>
      <c r="B2947" s="8" t="s">
        <v>24</v>
      </c>
      <c r="C2947" s="42" t="s">
        <v>11</v>
      </c>
      <c r="D2947" s="43" t="s">
        <v>30</v>
      </c>
      <c r="E2947" s="46">
        <v>0</v>
      </c>
      <c r="F2947" s="2">
        <f>IF(C2947="GBP",E2947*$C$3,IF(C2947="TRY",E2947/$C$1,IF(C2947="EUR",E2947*$E$1,IF(C2947="RUB",E2947/#REF!,IF(C2947="EGP",E2947/$E$2,E2947)))))</f>
        <v>0</v>
      </c>
      <c r="G2947" s="15" t="str">
        <f>VLOOKUP(B2947,SPECIFICATIONF!$C$2:$D$65,2,0)</f>
        <v>GLOBAL RETAIL</v>
      </c>
      <c r="H2947" s="12">
        <f t="shared" si="262"/>
        <v>2</v>
      </c>
      <c r="I2947" s="12">
        <f t="shared" si="263"/>
        <v>2026</v>
      </c>
    </row>
    <row r="2948" spans="1:9" ht="19.5" customHeight="1" x14ac:dyDescent="0.35">
      <c r="A2948" s="41">
        <v>46069</v>
      </c>
      <c r="B2948" s="8" t="s">
        <v>24</v>
      </c>
      <c r="C2948" s="42" t="s">
        <v>33</v>
      </c>
      <c r="D2948" s="43" t="s">
        <v>30</v>
      </c>
      <c r="E2948" s="46">
        <v>0</v>
      </c>
      <c r="F2948" s="2">
        <f>IF(C2948="GBP",E2948*$C$3,IF(C2948="TRY",E2948/$C$1,IF(C2948="EUR",E2948*$E$1,IF(C2948="RUB",E2948/#REF!,IF(C2948="EGP",E2948/$E$2,E2948)))))</f>
        <v>0</v>
      </c>
      <c r="G2948" s="15" t="str">
        <f>VLOOKUP(B2948,SPECIFICATIONF!$C$2:$D$65,2,0)</f>
        <v>GLOBAL RETAIL</v>
      </c>
      <c r="H2948" s="12">
        <f t="shared" si="262"/>
        <v>2</v>
      </c>
      <c r="I2948" s="12">
        <f t="shared" si="263"/>
        <v>2026</v>
      </c>
    </row>
    <row r="2949" spans="1:9" ht="19.5" customHeight="1" x14ac:dyDescent="0.35">
      <c r="A2949" s="41">
        <v>46069</v>
      </c>
      <c r="B2949" s="8" t="s">
        <v>24</v>
      </c>
      <c r="C2949" s="42" t="s">
        <v>11</v>
      </c>
      <c r="D2949" s="43" t="s">
        <v>29</v>
      </c>
      <c r="E2949" s="46">
        <v>66699045</v>
      </c>
      <c r="F2949" s="2">
        <f>IF(C2949="GBP",E2949*$C$3,IF(C2949="TRY",E2949/$C$1,IF(C2949="EUR",E2949*$E$1,IF(C2949="RUB",E2949/#REF!,IF(C2949="EGP",E2949/$E$2,E2949)))))</f>
        <v>1829029.75026668</v>
      </c>
      <c r="G2949" s="15" t="str">
        <f>VLOOKUP(B2949,SPECIFICATIONF!$C$2:$D$65,2,0)</f>
        <v>GLOBAL RETAIL</v>
      </c>
      <c r="H2949" s="12">
        <f t="shared" si="262"/>
        <v>2</v>
      </c>
      <c r="I2949" s="12">
        <f t="shared" si="263"/>
        <v>2026</v>
      </c>
    </row>
    <row r="2950" spans="1:9" ht="19.5" customHeight="1" x14ac:dyDescent="0.35">
      <c r="A2950" s="41">
        <v>46069</v>
      </c>
      <c r="B2950" s="8" t="s">
        <v>24</v>
      </c>
      <c r="C2950" s="42" t="s">
        <v>33</v>
      </c>
      <c r="D2950" s="43" t="s">
        <v>29</v>
      </c>
      <c r="E2950" s="46">
        <v>10038</v>
      </c>
      <c r="F2950" s="2">
        <f>IF(C2950="GBP",E2950*$C$3,IF(C2950="TRY",E2950/$C$1,IF(C2950="EUR",E2950*$E$1,IF(C2950="RUB",E2950/#REF!,IF(C2950="EGP",E2950/$E$2,E2950)))))</f>
        <v>10038</v>
      </c>
      <c r="G2950" s="15" t="str">
        <f>VLOOKUP(B2950,SPECIFICATIONF!$C$2:$D$65,2,0)</f>
        <v>GLOBAL RETAIL</v>
      </c>
      <c r="H2950" s="12">
        <f t="shared" si="262"/>
        <v>2</v>
      </c>
      <c r="I2950" s="12">
        <f t="shared" si="263"/>
        <v>2026</v>
      </c>
    </row>
    <row r="2951" spans="1:9" ht="19.5" customHeight="1" x14ac:dyDescent="0.35">
      <c r="A2951" s="41">
        <v>46070</v>
      </c>
      <c r="B2951" s="8" t="s">
        <v>32</v>
      </c>
      <c r="C2951" s="42" t="s">
        <v>11</v>
      </c>
      <c r="D2951" s="43" t="s">
        <v>30</v>
      </c>
      <c r="E2951" s="46">
        <v>1019167.07</v>
      </c>
      <c r="F2951" s="2">
        <f>IF(C2951="GBP",E2951*$C$3,IF(C2951="TRY",E2951/$C$1,IF(C2951="EUR",E2951*$E$1,IF(C2951="RUB",E2951/#REF!,IF(C2951="EGP",E2951/$E$2,E2951)))))</f>
        <v>27947.729859132523</v>
      </c>
      <c r="G2951" s="15" t="str">
        <f>VLOOKUP(B2951,SPECIFICATIONF!$C$2:$D$65,2,0)</f>
        <v>GLOBAL HFT</v>
      </c>
      <c r="H2951" s="12">
        <f t="shared" ref="H2951:H2958" si="264">MONTH(A2951)</f>
        <v>2</v>
      </c>
      <c r="I2951" s="12">
        <f t="shared" ref="I2951:I2958" si="265">YEAR(A2951)</f>
        <v>2026</v>
      </c>
    </row>
    <row r="2952" spans="1:9" ht="19.5" customHeight="1" x14ac:dyDescent="0.35">
      <c r="A2952" s="41">
        <v>46070</v>
      </c>
      <c r="B2952" s="8" t="s">
        <v>32</v>
      </c>
      <c r="C2952" s="42" t="s">
        <v>33</v>
      </c>
      <c r="D2952" s="43" t="s">
        <v>30</v>
      </c>
      <c r="E2952" s="46">
        <v>3989.09</v>
      </c>
      <c r="F2952" s="2">
        <f>IF(C2952="GBP",E2952*$C$3,IF(C2952="TRY",E2952/$C$1,IF(C2952="EUR",E2952*$E$1,IF(C2952="RUB",E2952/#REF!,IF(C2952="EGP",E2952/$E$2,E2952)))))</f>
        <v>3989.09</v>
      </c>
      <c r="G2952" s="15" t="str">
        <f>VLOOKUP(B2952,SPECIFICATIONF!$C$2:$D$65,2,0)</f>
        <v>GLOBAL HFT</v>
      </c>
      <c r="H2952" s="12">
        <f t="shared" si="264"/>
        <v>2</v>
      </c>
      <c r="I2952" s="12">
        <f t="shared" si="265"/>
        <v>2026</v>
      </c>
    </row>
    <row r="2953" spans="1:9" ht="19.5" customHeight="1" x14ac:dyDescent="0.35">
      <c r="A2953" s="41">
        <v>46070</v>
      </c>
      <c r="B2953" s="8" t="s">
        <v>32</v>
      </c>
      <c r="C2953" s="42" t="s">
        <v>11</v>
      </c>
      <c r="D2953" s="43" t="s">
        <v>29</v>
      </c>
      <c r="E2953" s="46">
        <v>3496936929</v>
      </c>
      <c r="F2953" s="2">
        <f>IF(C2953="GBP",E2953*$C$3,IF(C2953="TRY",E2953/$C$1,IF(C2953="EUR",E2953*$E$1,IF(C2953="RUB",E2953/#REF!,IF(C2953="EGP",E2953/$E$2,E2953)))))</f>
        <v>95893452.116851166</v>
      </c>
      <c r="G2953" s="15" t="str">
        <f>VLOOKUP(B2953,SPECIFICATIONF!$C$2:$D$65,2,0)</f>
        <v>GLOBAL HFT</v>
      </c>
      <c r="H2953" s="12">
        <f t="shared" si="264"/>
        <v>2</v>
      </c>
      <c r="I2953" s="12">
        <f t="shared" si="265"/>
        <v>2026</v>
      </c>
    </row>
    <row r="2954" spans="1:9" ht="19.5" customHeight="1" x14ac:dyDescent="0.35">
      <c r="A2954" s="41">
        <v>46070</v>
      </c>
      <c r="B2954" s="8" t="s">
        <v>32</v>
      </c>
      <c r="C2954" s="42" t="s">
        <v>33</v>
      </c>
      <c r="D2954" s="43" t="s">
        <v>29</v>
      </c>
      <c r="E2954" s="46">
        <v>12389344</v>
      </c>
      <c r="F2954" s="2">
        <f>IF(C2954="GBP",E2954*$C$3,IF(C2954="TRY",E2954/$C$1,IF(C2954="EUR",E2954*$E$1,IF(C2954="RUB",E2954/#REF!,IF(C2954="EGP",E2954/$E$2,E2954)))))</f>
        <v>12389344</v>
      </c>
      <c r="G2954" s="15" t="str">
        <f>VLOOKUP(B2954,SPECIFICATIONF!$C$2:$D$65,2,0)</f>
        <v>GLOBAL HFT</v>
      </c>
      <c r="H2954" s="12">
        <f t="shared" si="264"/>
        <v>2</v>
      </c>
      <c r="I2954" s="12">
        <f t="shared" si="265"/>
        <v>2026</v>
      </c>
    </row>
    <row r="2955" spans="1:9" ht="19.5" customHeight="1" x14ac:dyDescent="0.35">
      <c r="A2955" s="41">
        <v>46070</v>
      </c>
      <c r="B2955" s="8" t="s">
        <v>24</v>
      </c>
      <c r="C2955" s="42" t="s">
        <v>11</v>
      </c>
      <c r="D2955" s="43" t="s">
        <v>30</v>
      </c>
      <c r="E2955" s="46">
        <v>0</v>
      </c>
      <c r="F2955" s="2">
        <f>IF(C2955="GBP",E2955*$C$3,IF(C2955="TRY",E2955/$C$1,IF(C2955="EUR",E2955*$E$1,IF(C2955="RUB",E2955/#REF!,IF(C2955="EGP",E2955/$E$2,E2955)))))</f>
        <v>0</v>
      </c>
      <c r="G2955" s="15" t="str">
        <f>VLOOKUP(B2955,SPECIFICATIONF!$C$2:$D$65,2,0)</f>
        <v>GLOBAL RETAIL</v>
      </c>
      <c r="H2955" s="12">
        <f t="shared" si="264"/>
        <v>2</v>
      </c>
      <c r="I2955" s="12">
        <f t="shared" si="265"/>
        <v>2026</v>
      </c>
    </row>
    <row r="2956" spans="1:9" ht="19.5" customHeight="1" x14ac:dyDescent="0.35">
      <c r="A2956" s="41">
        <v>46070</v>
      </c>
      <c r="B2956" s="8" t="s">
        <v>24</v>
      </c>
      <c r="C2956" s="42" t="s">
        <v>33</v>
      </c>
      <c r="D2956" s="43" t="s">
        <v>30</v>
      </c>
      <c r="E2956" s="46">
        <v>0</v>
      </c>
      <c r="F2956" s="2">
        <f>IF(C2956="GBP",E2956*$C$3,IF(C2956="TRY",E2956/$C$1,IF(C2956="EUR",E2956*$E$1,IF(C2956="RUB",E2956/#REF!,IF(C2956="EGP",E2956/$E$2,E2956)))))</f>
        <v>0</v>
      </c>
      <c r="G2956" s="15" t="str">
        <f>VLOOKUP(B2956,SPECIFICATIONF!$C$2:$D$65,2,0)</f>
        <v>GLOBAL RETAIL</v>
      </c>
      <c r="H2956" s="12">
        <f t="shared" si="264"/>
        <v>2</v>
      </c>
      <c r="I2956" s="12">
        <f t="shared" si="265"/>
        <v>2026</v>
      </c>
    </row>
    <row r="2957" spans="1:9" ht="19.5" customHeight="1" x14ac:dyDescent="0.35">
      <c r="A2957" s="41">
        <v>46070</v>
      </c>
      <c r="B2957" s="8" t="s">
        <v>24</v>
      </c>
      <c r="C2957" s="42" t="s">
        <v>11</v>
      </c>
      <c r="D2957" s="43" t="s">
        <v>29</v>
      </c>
      <c r="E2957" s="46">
        <v>30778649</v>
      </c>
      <c r="F2957" s="2">
        <f>IF(C2957="GBP",E2957*$C$3,IF(C2957="TRY",E2957/$C$1,IF(C2957="EUR",E2957*$E$1,IF(C2957="RUB",E2957/#REF!,IF(C2957="EGP",E2957/$E$2,E2957)))))</f>
        <v>844016.05291373818</v>
      </c>
      <c r="G2957" s="15" t="str">
        <f>VLOOKUP(B2957,SPECIFICATIONF!$C$2:$D$65,2,0)</f>
        <v>GLOBAL RETAIL</v>
      </c>
      <c r="H2957" s="12">
        <f t="shared" si="264"/>
        <v>2</v>
      </c>
      <c r="I2957" s="12">
        <f t="shared" si="265"/>
        <v>2026</v>
      </c>
    </row>
    <row r="2958" spans="1:9" ht="19.5" customHeight="1" x14ac:dyDescent="0.35">
      <c r="A2958" s="41">
        <v>46070</v>
      </c>
      <c r="B2958" s="8" t="s">
        <v>24</v>
      </c>
      <c r="C2958" s="42" t="s">
        <v>33</v>
      </c>
      <c r="D2958" s="43" t="s">
        <v>29</v>
      </c>
      <c r="E2958" s="46">
        <v>0</v>
      </c>
      <c r="F2958" s="2">
        <f>IF(C2958="GBP",E2958*$C$3,IF(C2958="TRY",E2958/$C$1,IF(C2958="EUR",E2958*$E$1,IF(C2958="RUB",E2958/#REF!,IF(C2958="EGP",E2958/$E$2,E2958)))))</f>
        <v>0</v>
      </c>
      <c r="G2958" s="15" t="str">
        <f>VLOOKUP(B2958,SPECIFICATIONF!$C$2:$D$65,2,0)</f>
        <v>GLOBAL RETAIL</v>
      </c>
      <c r="H2958" s="12">
        <f t="shared" si="264"/>
        <v>2</v>
      </c>
      <c r="I2958" s="12">
        <f t="shared" si="265"/>
        <v>2026</v>
      </c>
    </row>
    <row r="2959" spans="1:9" ht="19.5" customHeight="1" x14ac:dyDescent="0.35">
      <c r="A2959" s="41">
        <v>46071</v>
      </c>
      <c r="B2959" s="8" t="s">
        <v>32</v>
      </c>
      <c r="C2959" s="42" t="s">
        <v>11</v>
      </c>
      <c r="D2959" s="43" t="s">
        <v>30</v>
      </c>
      <c r="E2959" s="46">
        <v>917964.83</v>
      </c>
      <c r="F2959" s="2">
        <f>IF(C2959="GBP",E2959*$C$3,IF(C2959="TRY",E2959/$C$1,IF(C2959="EUR",E2959*$E$1,IF(C2959="RUB",E2959/#REF!,IF(C2959="EGP",E2959/$E$2,E2959)))))</f>
        <v>25172.549078753607</v>
      </c>
      <c r="G2959" s="15" t="str">
        <f>VLOOKUP(B2959,SPECIFICATIONF!$C$2:$D$65,2,0)</f>
        <v>GLOBAL HFT</v>
      </c>
      <c r="H2959" s="12">
        <f t="shared" ref="H2959:H2966" si="266">MONTH(A2959)</f>
        <v>2</v>
      </c>
      <c r="I2959" s="12">
        <f t="shared" ref="I2959:I2966" si="267">YEAR(A2959)</f>
        <v>2026</v>
      </c>
    </row>
    <row r="2960" spans="1:9" ht="19.5" customHeight="1" x14ac:dyDescent="0.35">
      <c r="A2960" s="41">
        <v>46071</v>
      </c>
      <c r="B2960" s="8" t="s">
        <v>32</v>
      </c>
      <c r="C2960" s="42" t="s">
        <v>33</v>
      </c>
      <c r="D2960" s="43" t="s">
        <v>30</v>
      </c>
      <c r="E2960" s="46">
        <v>3955.43</v>
      </c>
      <c r="F2960" s="2">
        <f>IF(C2960="GBP",E2960*$C$3,IF(C2960="TRY",E2960/$C$1,IF(C2960="EUR",E2960*$E$1,IF(C2960="RUB",E2960/#REF!,IF(C2960="EGP",E2960/$E$2,E2960)))))</f>
        <v>3955.43</v>
      </c>
      <c r="G2960" s="15" t="str">
        <f>VLOOKUP(B2960,SPECIFICATIONF!$C$2:$D$65,2,0)</f>
        <v>GLOBAL HFT</v>
      </c>
      <c r="H2960" s="12">
        <f t="shared" si="266"/>
        <v>2</v>
      </c>
      <c r="I2960" s="12">
        <f t="shared" si="267"/>
        <v>2026</v>
      </c>
    </row>
    <row r="2961" spans="1:9" ht="19.5" customHeight="1" x14ac:dyDescent="0.35">
      <c r="A2961" s="41">
        <v>46071</v>
      </c>
      <c r="B2961" s="8" t="s">
        <v>32</v>
      </c>
      <c r="C2961" s="42" t="s">
        <v>11</v>
      </c>
      <c r="D2961" s="43" t="s">
        <v>29</v>
      </c>
      <c r="E2961" s="46">
        <v>3114272908</v>
      </c>
      <c r="F2961" s="2">
        <f>IF(C2961="GBP",E2961*$C$3,IF(C2961="TRY",E2961/$C$1,IF(C2961="EUR",E2961*$E$1,IF(C2961="RUB",E2961/#REF!,IF(C2961="EGP",E2961/$E$2,E2961)))))</f>
        <v>85399990.347410932</v>
      </c>
      <c r="G2961" s="15" t="str">
        <f>VLOOKUP(B2961,SPECIFICATIONF!$C$2:$D$65,2,0)</f>
        <v>GLOBAL HFT</v>
      </c>
      <c r="H2961" s="12">
        <f t="shared" si="266"/>
        <v>2</v>
      </c>
      <c r="I2961" s="12">
        <f t="shared" si="267"/>
        <v>2026</v>
      </c>
    </row>
    <row r="2962" spans="1:9" ht="19.5" customHeight="1" x14ac:dyDescent="0.35">
      <c r="A2962" s="41">
        <v>46071</v>
      </c>
      <c r="B2962" s="8" t="s">
        <v>32</v>
      </c>
      <c r="C2962" s="42" t="s">
        <v>33</v>
      </c>
      <c r="D2962" s="43" t="s">
        <v>29</v>
      </c>
      <c r="E2962" s="46">
        <v>11943137</v>
      </c>
      <c r="F2962" s="2">
        <f>IF(C2962="GBP",E2962*$C$3,IF(C2962="TRY",E2962/$C$1,IF(C2962="EUR",E2962*$E$1,IF(C2962="RUB",E2962/#REF!,IF(C2962="EGP",E2962/$E$2,E2962)))))</f>
        <v>11943137</v>
      </c>
      <c r="G2962" s="15" t="str">
        <f>VLOOKUP(B2962,SPECIFICATIONF!$C$2:$D$65,2,0)</f>
        <v>GLOBAL HFT</v>
      </c>
      <c r="H2962" s="12">
        <f t="shared" si="266"/>
        <v>2</v>
      </c>
      <c r="I2962" s="12">
        <f t="shared" si="267"/>
        <v>2026</v>
      </c>
    </row>
    <row r="2963" spans="1:9" ht="19.5" customHeight="1" x14ac:dyDescent="0.35">
      <c r="A2963" s="41">
        <v>46071</v>
      </c>
      <c r="B2963" s="8" t="s">
        <v>24</v>
      </c>
      <c r="C2963" s="42" t="s">
        <v>11</v>
      </c>
      <c r="D2963" s="43" t="s">
        <v>30</v>
      </c>
      <c r="E2963" s="46">
        <v>0</v>
      </c>
      <c r="F2963" s="2">
        <f>IF(C2963="GBP",E2963*$C$3,IF(C2963="TRY",E2963/$C$1,IF(C2963="EUR",E2963*$E$1,IF(C2963="RUB",E2963/#REF!,IF(C2963="EGP",E2963/$E$2,E2963)))))</f>
        <v>0</v>
      </c>
      <c r="G2963" s="15" t="str">
        <f>VLOOKUP(B2963,SPECIFICATIONF!$C$2:$D$65,2,0)</f>
        <v>GLOBAL RETAIL</v>
      </c>
      <c r="H2963" s="12">
        <f t="shared" si="266"/>
        <v>2</v>
      </c>
      <c r="I2963" s="12">
        <f t="shared" si="267"/>
        <v>2026</v>
      </c>
    </row>
    <row r="2964" spans="1:9" ht="19.5" customHeight="1" x14ac:dyDescent="0.35">
      <c r="A2964" s="41">
        <v>46071</v>
      </c>
      <c r="B2964" s="8" t="s">
        <v>24</v>
      </c>
      <c r="C2964" s="42" t="s">
        <v>33</v>
      </c>
      <c r="D2964" s="43" t="s">
        <v>30</v>
      </c>
      <c r="E2964" s="46">
        <v>0</v>
      </c>
      <c r="F2964" s="2">
        <f>IF(C2964="GBP",E2964*$C$3,IF(C2964="TRY",E2964/$C$1,IF(C2964="EUR",E2964*$E$1,IF(C2964="RUB",E2964/#REF!,IF(C2964="EGP",E2964/$E$2,E2964)))))</f>
        <v>0</v>
      </c>
      <c r="G2964" s="15" t="str">
        <f>VLOOKUP(B2964,SPECIFICATIONF!$C$2:$D$65,2,0)</f>
        <v>GLOBAL RETAIL</v>
      </c>
      <c r="H2964" s="12">
        <f t="shared" si="266"/>
        <v>2</v>
      </c>
      <c r="I2964" s="12">
        <f t="shared" si="267"/>
        <v>2026</v>
      </c>
    </row>
    <row r="2965" spans="1:9" ht="19.5" customHeight="1" x14ac:dyDescent="0.35">
      <c r="A2965" s="41">
        <v>46071</v>
      </c>
      <c r="B2965" s="8" t="s">
        <v>24</v>
      </c>
      <c r="C2965" s="42" t="s">
        <v>11</v>
      </c>
      <c r="D2965" s="43" t="s">
        <v>29</v>
      </c>
      <c r="E2965" s="46">
        <v>8543079</v>
      </c>
      <c r="F2965" s="2">
        <f>IF(C2965="GBP",E2965*$C$3,IF(C2965="TRY",E2965/$C$1,IF(C2965="EUR",E2965*$E$1,IF(C2965="RUB",E2965/#REF!,IF(C2965="EGP",E2965/$E$2,E2965)))))</f>
        <v>234269.40595444085</v>
      </c>
      <c r="G2965" s="15" t="str">
        <f>VLOOKUP(B2965,SPECIFICATIONF!$C$2:$D$65,2,0)</f>
        <v>GLOBAL RETAIL</v>
      </c>
      <c r="H2965" s="12">
        <f t="shared" si="266"/>
        <v>2</v>
      </c>
      <c r="I2965" s="12">
        <f t="shared" si="267"/>
        <v>2026</v>
      </c>
    </row>
    <row r="2966" spans="1:9" ht="19.5" customHeight="1" x14ac:dyDescent="0.35">
      <c r="A2966" s="41">
        <v>46071</v>
      </c>
      <c r="B2966" s="8" t="s">
        <v>24</v>
      </c>
      <c r="C2966" s="42" t="s">
        <v>33</v>
      </c>
      <c r="D2966" s="43" t="s">
        <v>29</v>
      </c>
      <c r="E2966" s="46">
        <v>0</v>
      </c>
      <c r="F2966" s="2">
        <f>IF(C2966="GBP",E2966*$C$3,IF(C2966="TRY",E2966/$C$1,IF(C2966="EUR",E2966*$E$1,IF(C2966="RUB",E2966/#REF!,IF(C2966="EGP",E2966/$E$2,E2966)))))</f>
        <v>0</v>
      </c>
      <c r="G2966" s="15" t="str">
        <f>VLOOKUP(B2966,SPECIFICATIONF!$C$2:$D$65,2,0)</f>
        <v>GLOBAL RETAIL</v>
      </c>
      <c r="H2966" s="12">
        <f t="shared" si="266"/>
        <v>2</v>
      </c>
      <c r="I2966" s="12">
        <f t="shared" si="267"/>
        <v>2026</v>
      </c>
    </row>
    <row r="2967" spans="1:9" ht="19.5" customHeight="1" x14ac:dyDescent="0.35">
      <c r="A2967" s="41">
        <v>46072</v>
      </c>
      <c r="B2967" s="8" t="s">
        <v>32</v>
      </c>
      <c r="C2967" s="42" t="s">
        <v>11</v>
      </c>
      <c r="D2967" s="43" t="s">
        <v>30</v>
      </c>
      <c r="E2967" s="46">
        <v>811040.49</v>
      </c>
      <c r="F2967" s="2">
        <f>IF(C2967="GBP",E2967*$C$3,IF(C2967="TRY",E2967/$C$1,IF(C2967="EUR",E2967*$E$1,IF(C2967="RUB",E2967/#REF!,IF(C2967="EGP",E2967/$E$2,E2967)))))</f>
        <v>22240.45613967735</v>
      </c>
      <c r="G2967" s="15" t="str">
        <f>VLOOKUP(B2967,SPECIFICATIONF!$C$2:$D$65,2,0)</f>
        <v>GLOBAL HFT</v>
      </c>
      <c r="H2967" s="12">
        <f t="shared" ref="H2967:H2974" si="268">MONTH(A2967)</f>
        <v>2</v>
      </c>
      <c r="I2967" s="12">
        <f t="shared" ref="I2967:I2974" si="269">YEAR(A2967)</f>
        <v>2026</v>
      </c>
    </row>
    <row r="2968" spans="1:9" ht="19.5" customHeight="1" x14ac:dyDescent="0.35">
      <c r="A2968" s="41">
        <v>46072</v>
      </c>
      <c r="B2968" s="8" t="s">
        <v>32</v>
      </c>
      <c r="C2968" s="42" t="s">
        <v>33</v>
      </c>
      <c r="D2968" s="43" t="s">
        <v>30</v>
      </c>
      <c r="E2968" s="46">
        <v>3254.79</v>
      </c>
      <c r="F2968" s="2">
        <f>IF(C2968="GBP",E2968*$C$3,IF(C2968="TRY",E2968/$C$1,IF(C2968="EUR",E2968*$E$1,IF(C2968="RUB",E2968/#REF!,IF(C2968="EGP",E2968/$E$2,E2968)))))</f>
        <v>3254.79</v>
      </c>
      <c r="G2968" s="15" t="str">
        <f>VLOOKUP(B2968,SPECIFICATIONF!$C$2:$D$65,2,0)</f>
        <v>GLOBAL HFT</v>
      </c>
      <c r="H2968" s="12">
        <f t="shared" si="268"/>
        <v>2</v>
      </c>
      <c r="I2968" s="12">
        <f t="shared" si="269"/>
        <v>2026</v>
      </c>
    </row>
    <row r="2969" spans="1:9" ht="19.5" customHeight="1" x14ac:dyDescent="0.35">
      <c r="A2969" s="41">
        <v>46072</v>
      </c>
      <c r="B2969" s="8" t="s">
        <v>32</v>
      </c>
      <c r="C2969" s="42" t="s">
        <v>11</v>
      </c>
      <c r="D2969" s="43" t="s">
        <v>29</v>
      </c>
      <c r="E2969" s="46">
        <v>2768536984</v>
      </c>
      <c r="F2969" s="2">
        <f>IF(C2969="GBP",E2969*$C$3,IF(C2969="TRY",E2969/$C$1,IF(C2969="EUR",E2969*$E$1,IF(C2969="RUB",E2969/#REF!,IF(C2969="EGP",E2969/$E$2,E2969)))))</f>
        <v>75919175.581143439</v>
      </c>
      <c r="G2969" s="15" t="str">
        <f>VLOOKUP(B2969,SPECIFICATIONF!$C$2:$D$65,2,0)</f>
        <v>GLOBAL HFT</v>
      </c>
      <c r="H2969" s="12">
        <f t="shared" si="268"/>
        <v>2</v>
      </c>
      <c r="I2969" s="12">
        <f t="shared" si="269"/>
        <v>2026</v>
      </c>
    </row>
    <row r="2970" spans="1:9" ht="19.5" customHeight="1" x14ac:dyDescent="0.35">
      <c r="A2970" s="41">
        <v>46072</v>
      </c>
      <c r="B2970" s="8" t="s">
        <v>32</v>
      </c>
      <c r="C2970" s="42" t="s">
        <v>33</v>
      </c>
      <c r="D2970" s="43" t="s">
        <v>29</v>
      </c>
      <c r="E2970" s="46">
        <v>10058645</v>
      </c>
      <c r="F2970" s="2">
        <f>IF(C2970="GBP",E2970*$C$3,IF(C2970="TRY",E2970/$C$1,IF(C2970="EUR",E2970*$E$1,IF(C2970="RUB",E2970/#REF!,IF(C2970="EGP",E2970/$E$2,E2970)))))</f>
        <v>10058645</v>
      </c>
      <c r="G2970" s="15" t="str">
        <f>VLOOKUP(B2970,SPECIFICATIONF!$C$2:$D$65,2,0)</f>
        <v>GLOBAL HFT</v>
      </c>
      <c r="H2970" s="12">
        <f t="shared" si="268"/>
        <v>2</v>
      </c>
      <c r="I2970" s="12">
        <f t="shared" si="269"/>
        <v>2026</v>
      </c>
    </row>
    <row r="2971" spans="1:9" ht="19.5" customHeight="1" x14ac:dyDescent="0.35">
      <c r="A2971" s="41">
        <v>46072</v>
      </c>
      <c r="B2971" s="8" t="s">
        <v>24</v>
      </c>
      <c r="C2971" s="42" t="s">
        <v>11</v>
      </c>
      <c r="D2971" s="43" t="s">
        <v>30</v>
      </c>
      <c r="E2971" s="46">
        <v>0</v>
      </c>
      <c r="F2971" s="2">
        <f>IF(C2971="GBP",E2971*$C$3,IF(C2971="TRY",E2971/$C$1,IF(C2971="EUR",E2971*$E$1,IF(C2971="RUB",E2971/#REF!,IF(C2971="EGP",E2971/$E$2,E2971)))))</f>
        <v>0</v>
      </c>
      <c r="G2971" s="15" t="str">
        <f>VLOOKUP(B2971,SPECIFICATIONF!$C$2:$D$65,2,0)</f>
        <v>GLOBAL RETAIL</v>
      </c>
      <c r="H2971" s="12">
        <f t="shared" si="268"/>
        <v>2</v>
      </c>
      <c r="I2971" s="12">
        <f t="shared" si="269"/>
        <v>2026</v>
      </c>
    </row>
    <row r="2972" spans="1:9" ht="19.5" customHeight="1" x14ac:dyDescent="0.35">
      <c r="A2972" s="41">
        <v>46072</v>
      </c>
      <c r="B2972" s="8" t="s">
        <v>24</v>
      </c>
      <c r="C2972" s="42" t="s">
        <v>33</v>
      </c>
      <c r="D2972" s="43" t="s">
        <v>30</v>
      </c>
      <c r="E2972" s="46">
        <v>0</v>
      </c>
      <c r="F2972" s="2">
        <f>IF(C2972="GBP",E2972*$C$3,IF(C2972="TRY",E2972/$C$1,IF(C2972="EUR",E2972*$E$1,IF(C2972="RUB",E2972/#REF!,IF(C2972="EGP",E2972/$E$2,E2972)))))</f>
        <v>0</v>
      </c>
      <c r="G2972" s="15" t="str">
        <f>VLOOKUP(B2972,SPECIFICATIONF!$C$2:$D$65,2,0)</f>
        <v>GLOBAL RETAIL</v>
      </c>
      <c r="H2972" s="12">
        <f t="shared" si="268"/>
        <v>2</v>
      </c>
      <c r="I2972" s="12">
        <f t="shared" si="269"/>
        <v>2026</v>
      </c>
    </row>
    <row r="2973" spans="1:9" ht="19.5" customHeight="1" x14ac:dyDescent="0.35">
      <c r="A2973" s="41">
        <v>46072</v>
      </c>
      <c r="B2973" s="8" t="s">
        <v>24</v>
      </c>
      <c r="C2973" s="42" t="s">
        <v>11</v>
      </c>
      <c r="D2973" s="43" t="s">
        <v>29</v>
      </c>
      <c r="E2973" s="46">
        <v>5437095</v>
      </c>
      <c r="F2973" s="2">
        <f>IF(C2973="GBP",E2973*$C$3,IF(C2973="TRY",E2973/$C$1,IF(C2973="EUR",E2973*$E$1,IF(C2973="RUB",E2973/#REF!,IF(C2973="EGP",E2973/$E$2,E2973)))))</f>
        <v>149096.71510328545</v>
      </c>
      <c r="G2973" s="15" t="str">
        <f>VLOOKUP(B2973,SPECIFICATIONF!$C$2:$D$65,2,0)</f>
        <v>GLOBAL RETAIL</v>
      </c>
      <c r="H2973" s="12">
        <f t="shared" si="268"/>
        <v>2</v>
      </c>
      <c r="I2973" s="12">
        <f t="shared" si="269"/>
        <v>2026</v>
      </c>
    </row>
    <row r="2974" spans="1:9" ht="19.5" customHeight="1" x14ac:dyDescent="0.35">
      <c r="A2974" s="41">
        <v>46072</v>
      </c>
      <c r="B2974" s="8" t="s">
        <v>24</v>
      </c>
      <c r="C2974" s="42" t="s">
        <v>33</v>
      </c>
      <c r="D2974" s="43" t="s">
        <v>29</v>
      </c>
      <c r="E2974" s="46">
        <v>0</v>
      </c>
      <c r="F2974" s="2">
        <f>IF(C2974="GBP",E2974*$C$3,IF(C2974="TRY",E2974/$C$1,IF(C2974="EUR",E2974*$E$1,IF(C2974="RUB",E2974/#REF!,IF(C2974="EGP",E2974/$E$2,E2974)))))</f>
        <v>0</v>
      </c>
      <c r="G2974" s="15" t="str">
        <f>VLOOKUP(B2974,SPECIFICATIONF!$C$2:$D$65,2,0)</f>
        <v>GLOBAL RETAIL</v>
      </c>
      <c r="H2974" s="12">
        <f t="shared" si="268"/>
        <v>2</v>
      </c>
      <c r="I2974" s="12">
        <f t="shared" si="269"/>
        <v>2026</v>
      </c>
    </row>
    <row r="2975" spans="1:9" ht="19.5" customHeight="1" x14ac:dyDescent="0.35">
      <c r="A2975" s="41">
        <v>46073</v>
      </c>
      <c r="B2975" s="8" t="s">
        <v>32</v>
      </c>
      <c r="C2975" s="42" t="s">
        <v>11</v>
      </c>
      <c r="D2975" s="43" t="s">
        <v>30</v>
      </c>
      <c r="E2975" s="46">
        <v>1113126.6499999999</v>
      </c>
      <c r="F2975" s="2">
        <f>IF(C2975="GBP",E2975*$C$3,IF(C2975="TRY",E2975/$C$1,IF(C2975="EUR",E2975*$E$1,IF(C2975="RUB",E2975/#REF!,IF(C2975="EGP",E2975/$E$2,E2975)))))</f>
        <v>30524.301489844209</v>
      </c>
      <c r="G2975" s="15" t="str">
        <f>VLOOKUP(B2975,SPECIFICATIONF!$C$2:$D$65,2,0)</f>
        <v>GLOBAL HFT</v>
      </c>
      <c r="H2975" s="12">
        <f t="shared" ref="H2975:H2982" si="270">MONTH(A2975)</f>
        <v>2</v>
      </c>
      <c r="I2975" s="12">
        <f t="shared" ref="I2975:I2982" si="271">YEAR(A2975)</f>
        <v>2026</v>
      </c>
    </row>
    <row r="2976" spans="1:9" ht="19.5" customHeight="1" x14ac:dyDescent="0.35">
      <c r="A2976" s="41">
        <v>46073</v>
      </c>
      <c r="B2976" s="8" t="s">
        <v>32</v>
      </c>
      <c r="C2976" s="42" t="s">
        <v>33</v>
      </c>
      <c r="D2976" s="43" t="s">
        <v>30</v>
      </c>
      <c r="E2976" s="46">
        <v>7989.89</v>
      </c>
      <c r="F2976" s="2">
        <f>IF(C2976="GBP",E2976*$C$3,IF(C2976="TRY",E2976/$C$1,IF(C2976="EUR",E2976*$E$1,IF(C2976="RUB",E2976/#REF!,IF(C2976="EGP",E2976/$E$2,E2976)))))</f>
        <v>7989.89</v>
      </c>
      <c r="G2976" s="15" t="str">
        <f>VLOOKUP(B2976,SPECIFICATIONF!$C$2:$D$65,2,0)</f>
        <v>GLOBAL HFT</v>
      </c>
      <c r="H2976" s="12">
        <f t="shared" si="270"/>
        <v>2</v>
      </c>
      <c r="I2976" s="12">
        <f t="shared" si="271"/>
        <v>2026</v>
      </c>
    </row>
    <row r="2977" spans="1:9" ht="19.5" customHeight="1" x14ac:dyDescent="0.35">
      <c r="A2977" s="41">
        <v>46073</v>
      </c>
      <c r="B2977" s="8" t="s">
        <v>32</v>
      </c>
      <c r="C2977" s="42" t="s">
        <v>11</v>
      </c>
      <c r="D2977" s="43" t="s">
        <v>29</v>
      </c>
      <c r="E2977" s="46">
        <v>3696229887</v>
      </c>
      <c r="F2977" s="2">
        <f>IF(C2977="GBP",E2977*$C$3,IF(C2977="TRY",E2977/$C$1,IF(C2977="EUR",E2977*$E$1,IF(C2977="RUB",E2977/#REF!,IF(C2977="EGP",E2977/$E$2,E2977)))))</f>
        <v>101358489.12301292</v>
      </c>
      <c r="G2977" s="15" t="str">
        <f>VLOOKUP(B2977,SPECIFICATIONF!$C$2:$D$65,2,0)</f>
        <v>GLOBAL HFT</v>
      </c>
      <c r="H2977" s="12">
        <f t="shared" si="270"/>
        <v>2</v>
      </c>
      <c r="I2977" s="12">
        <f t="shared" si="271"/>
        <v>2026</v>
      </c>
    </row>
    <row r="2978" spans="1:9" ht="19.5" customHeight="1" x14ac:dyDescent="0.35">
      <c r="A2978" s="41">
        <v>46073</v>
      </c>
      <c r="B2978" s="8" t="s">
        <v>32</v>
      </c>
      <c r="C2978" s="42" t="s">
        <v>33</v>
      </c>
      <c r="D2978" s="43" t="s">
        <v>29</v>
      </c>
      <c r="E2978" s="46">
        <v>23861252</v>
      </c>
      <c r="F2978" s="2">
        <f>IF(C2978="GBP",E2978*$C$3,IF(C2978="TRY",E2978/$C$1,IF(C2978="EUR",E2978*$E$1,IF(C2978="RUB",E2978/#REF!,IF(C2978="EGP",E2978/$E$2,E2978)))))</f>
        <v>23861252</v>
      </c>
      <c r="G2978" s="15" t="str">
        <f>VLOOKUP(B2978,SPECIFICATIONF!$C$2:$D$65,2,0)</f>
        <v>GLOBAL HFT</v>
      </c>
      <c r="H2978" s="12">
        <f t="shared" si="270"/>
        <v>2</v>
      </c>
      <c r="I2978" s="12">
        <f t="shared" si="271"/>
        <v>2026</v>
      </c>
    </row>
    <row r="2979" spans="1:9" ht="19.5" customHeight="1" x14ac:dyDescent="0.35">
      <c r="A2979" s="41">
        <v>46073</v>
      </c>
      <c r="B2979" s="8" t="s">
        <v>24</v>
      </c>
      <c r="C2979" s="42" t="s">
        <v>11</v>
      </c>
      <c r="D2979" s="43" t="s">
        <v>30</v>
      </c>
      <c r="E2979" s="46">
        <v>0</v>
      </c>
      <c r="F2979" s="2">
        <f>IF(C2979="GBP",E2979*$C$3,IF(C2979="TRY",E2979/$C$1,IF(C2979="EUR",E2979*$E$1,IF(C2979="RUB",E2979/#REF!,IF(C2979="EGP",E2979/$E$2,E2979)))))</f>
        <v>0</v>
      </c>
      <c r="G2979" s="15" t="str">
        <f>VLOOKUP(B2979,SPECIFICATIONF!$C$2:$D$65,2,0)</f>
        <v>GLOBAL RETAIL</v>
      </c>
      <c r="H2979" s="12">
        <f t="shared" si="270"/>
        <v>2</v>
      </c>
      <c r="I2979" s="12">
        <f t="shared" si="271"/>
        <v>2026</v>
      </c>
    </row>
    <row r="2980" spans="1:9" ht="19.5" customHeight="1" x14ac:dyDescent="0.35">
      <c r="A2980" s="41">
        <v>46073</v>
      </c>
      <c r="B2980" s="8" t="s">
        <v>24</v>
      </c>
      <c r="C2980" s="42" t="s">
        <v>33</v>
      </c>
      <c r="D2980" s="43" t="s">
        <v>30</v>
      </c>
      <c r="E2980" s="46">
        <v>0</v>
      </c>
      <c r="F2980" s="2">
        <f>IF(C2980="GBP",E2980*$C$3,IF(C2980="TRY",E2980/$C$1,IF(C2980="EUR",E2980*$E$1,IF(C2980="RUB",E2980/#REF!,IF(C2980="EGP",E2980/$E$2,E2980)))))</f>
        <v>0</v>
      </c>
      <c r="G2980" s="15" t="str">
        <f>VLOOKUP(B2980,SPECIFICATIONF!$C$2:$D$65,2,0)</f>
        <v>GLOBAL RETAIL</v>
      </c>
      <c r="H2980" s="12">
        <f t="shared" si="270"/>
        <v>2</v>
      </c>
      <c r="I2980" s="12">
        <f t="shared" si="271"/>
        <v>2026</v>
      </c>
    </row>
    <row r="2981" spans="1:9" ht="19.5" customHeight="1" x14ac:dyDescent="0.35">
      <c r="A2981" s="41">
        <v>46073</v>
      </c>
      <c r="B2981" s="8" t="s">
        <v>24</v>
      </c>
      <c r="C2981" s="42" t="s">
        <v>11</v>
      </c>
      <c r="D2981" s="43" t="s">
        <v>29</v>
      </c>
      <c r="E2981" s="46">
        <v>2987221</v>
      </c>
      <c r="F2981" s="2">
        <f>IF(C2981="GBP",E2981*$C$3,IF(C2981="TRY",E2981/$C$1,IF(C2981="EUR",E2981*$E$1,IF(C2981="RUB",E2981/#REF!,IF(C2981="EGP",E2981/$E$2,E2981)))))</f>
        <v>81915.956662068886</v>
      </c>
      <c r="G2981" s="15" t="str">
        <f>VLOOKUP(B2981,SPECIFICATIONF!$C$2:$D$65,2,0)</f>
        <v>GLOBAL RETAIL</v>
      </c>
      <c r="H2981" s="12">
        <f t="shared" si="270"/>
        <v>2</v>
      </c>
      <c r="I2981" s="12">
        <f t="shared" si="271"/>
        <v>2026</v>
      </c>
    </row>
    <row r="2982" spans="1:9" ht="19.5" customHeight="1" x14ac:dyDescent="0.35">
      <c r="A2982" s="41">
        <v>46073</v>
      </c>
      <c r="B2982" s="8" t="s">
        <v>24</v>
      </c>
      <c r="C2982" s="42" t="s">
        <v>33</v>
      </c>
      <c r="D2982" s="43" t="s">
        <v>29</v>
      </c>
      <c r="E2982" s="46">
        <v>0</v>
      </c>
      <c r="F2982" s="2">
        <f>IF(C2982="GBP",E2982*$C$3,IF(C2982="TRY",E2982/$C$1,IF(C2982="EUR",E2982*$E$1,IF(C2982="RUB",E2982/#REF!,IF(C2982="EGP",E2982/$E$2,E2982)))))</f>
        <v>0</v>
      </c>
      <c r="G2982" s="15" t="str">
        <f>VLOOKUP(B2982,SPECIFICATIONF!$C$2:$D$65,2,0)</f>
        <v>GLOBAL RETAIL</v>
      </c>
      <c r="H2982" s="12">
        <f t="shared" si="270"/>
        <v>2</v>
      </c>
      <c r="I2982" s="12">
        <f t="shared" si="271"/>
        <v>2026</v>
      </c>
    </row>
    <row r="2983" spans="1:9" ht="19.5" customHeight="1" x14ac:dyDescent="0.35">
      <c r="A2983" s="41">
        <v>46074</v>
      </c>
      <c r="B2983" s="8" t="s">
        <v>32</v>
      </c>
      <c r="C2983" s="42" t="s">
        <v>11</v>
      </c>
      <c r="D2983" s="43" t="s">
        <v>30</v>
      </c>
      <c r="E2983" s="46">
        <v>1008317.9</v>
      </c>
      <c r="F2983" s="2">
        <f>IF(C2983="GBP",E2983*$C$3,IF(C2983="TRY",E2983/$C$1,IF(C2983="EUR",E2983*$E$1,IF(C2983="RUB",E2983/#REF!,IF(C2983="EGP",E2983/$E$2,E2983)))))</f>
        <v>27650.222530568815</v>
      </c>
      <c r="G2983" s="15" t="str">
        <f>VLOOKUP(B2983,SPECIFICATIONF!$C$2:$D$65,2,0)</f>
        <v>GLOBAL HFT</v>
      </c>
      <c r="H2983" s="12">
        <f t="shared" ref="H2983:H3006" si="272">MONTH(A2983)</f>
        <v>2</v>
      </c>
      <c r="I2983" s="12">
        <f t="shared" ref="I2983:I3006" si="273">YEAR(A2983)</f>
        <v>2026</v>
      </c>
    </row>
    <row r="2984" spans="1:9" ht="19.5" customHeight="1" x14ac:dyDescent="0.35">
      <c r="A2984" s="41">
        <v>46074</v>
      </c>
      <c r="B2984" s="8" t="s">
        <v>32</v>
      </c>
      <c r="C2984" s="42" t="s">
        <v>33</v>
      </c>
      <c r="D2984" s="43" t="s">
        <v>30</v>
      </c>
      <c r="E2984" s="46">
        <v>3619.48</v>
      </c>
      <c r="F2984" s="2">
        <f>IF(C2984="GBP",E2984*$C$3,IF(C2984="TRY",E2984/$C$1,IF(C2984="EUR",E2984*$E$1,IF(C2984="RUB",E2984/#REF!,IF(C2984="EGP",E2984/$E$2,E2984)))))</f>
        <v>3619.48</v>
      </c>
      <c r="G2984" s="15" t="str">
        <f>VLOOKUP(B2984,SPECIFICATIONF!$C$2:$D$65,2,0)</f>
        <v>GLOBAL HFT</v>
      </c>
      <c r="H2984" s="12">
        <f t="shared" si="272"/>
        <v>2</v>
      </c>
      <c r="I2984" s="12">
        <f t="shared" si="273"/>
        <v>2026</v>
      </c>
    </row>
    <row r="2985" spans="1:9" ht="19.5" customHeight="1" x14ac:dyDescent="0.35">
      <c r="A2985" s="41">
        <v>46074</v>
      </c>
      <c r="B2985" s="8" t="s">
        <v>32</v>
      </c>
      <c r="C2985" s="42" t="s">
        <v>11</v>
      </c>
      <c r="D2985" s="43" t="s">
        <v>29</v>
      </c>
      <c r="E2985" s="46">
        <v>3529692108</v>
      </c>
      <c r="F2985" s="2">
        <f>IF(C2985="GBP",E2985*$C$3,IF(C2985="TRY",E2985/$C$1,IF(C2985="EUR",E2985*$E$1,IF(C2985="RUB",E2985/#REF!,IF(C2985="EGP",E2985/$E$2,E2985)))))</f>
        <v>96791668.828444421</v>
      </c>
      <c r="G2985" s="15" t="str">
        <f>VLOOKUP(B2985,SPECIFICATIONF!$C$2:$D$65,2,0)</f>
        <v>GLOBAL HFT</v>
      </c>
      <c r="H2985" s="12">
        <f t="shared" si="272"/>
        <v>2</v>
      </c>
      <c r="I2985" s="12">
        <f t="shared" si="273"/>
        <v>2026</v>
      </c>
    </row>
    <row r="2986" spans="1:9" ht="19.5" customHeight="1" x14ac:dyDescent="0.35">
      <c r="A2986" s="41">
        <v>46074</v>
      </c>
      <c r="B2986" s="8" t="s">
        <v>32</v>
      </c>
      <c r="C2986" s="42" t="s">
        <v>33</v>
      </c>
      <c r="D2986" s="43" t="s">
        <v>29</v>
      </c>
      <c r="E2986" s="46">
        <v>10968976</v>
      </c>
      <c r="F2986" s="2">
        <f>IF(C2986="GBP",E2986*$C$3,IF(C2986="TRY",E2986/$C$1,IF(C2986="EUR",E2986*$E$1,IF(C2986="RUB",E2986/#REF!,IF(C2986="EGP",E2986/$E$2,E2986)))))</f>
        <v>10968976</v>
      </c>
      <c r="G2986" s="15" t="str">
        <f>VLOOKUP(B2986,SPECIFICATIONF!$C$2:$D$65,2,0)</f>
        <v>GLOBAL HFT</v>
      </c>
      <c r="H2986" s="12">
        <f t="shared" si="272"/>
        <v>2</v>
      </c>
      <c r="I2986" s="12">
        <f t="shared" si="273"/>
        <v>2026</v>
      </c>
    </row>
    <row r="2987" spans="1:9" ht="19.5" customHeight="1" x14ac:dyDescent="0.35">
      <c r="A2987" s="41">
        <v>46074</v>
      </c>
      <c r="B2987" s="8" t="s">
        <v>24</v>
      </c>
      <c r="C2987" s="42" t="s">
        <v>11</v>
      </c>
      <c r="D2987" s="43" t="s">
        <v>30</v>
      </c>
      <c r="E2987" s="46">
        <v>0</v>
      </c>
      <c r="F2987" s="2">
        <f>IF(C2987="GBP",E2987*$C$3,IF(C2987="TRY",E2987/$C$1,IF(C2987="EUR",E2987*$E$1,IF(C2987="RUB",E2987/#REF!,IF(C2987="EGP",E2987/$E$2,E2987)))))</f>
        <v>0</v>
      </c>
      <c r="G2987" s="15" t="str">
        <f>VLOOKUP(B2987,SPECIFICATIONF!$C$2:$D$65,2,0)</f>
        <v>GLOBAL RETAIL</v>
      </c>
      <c r="H2987" s="12">
        <f t="shared" si="272"/>
        <v>2</v>
      </c>
      <c r="I2987" s="12">
        <f t="shared" si="273"/>
        <v>2026</v>
      </c>
    </row>
    <row r="2988" spans="1:9" ht="19.5" customHeight="1" x14ac:dyDescent="0.35">
      <c r="A2988" s="41">
        <v>46074</v>
      </c>
      <c r="B2988" s="8" t="s">
        <v>24</v>
      </c>
      <c r="C2988" s="42" t="s">
        <v>33</v>
      </c>
      <c r="D2988" s="43" t="s">
        <v>30</v>
      </c>
      <c r="E2988" s="46">
        <v>0</v>
      </c>
      <c r="F2988" s="2">
        <f>IF(C2988="GBP",E2988*$C$3,IF(C2988="TRY",E2988/$C$1,IF(C2988="EUR",E2988*$E$1,IF(C2988="RUB",E2988/#REF!,IF(C2988="EGP",E2988/$E$2,E2988)))))</f>
        <v>0</v>
      </c>
      <c r="G2988" s="15" t="str">
        <f>VLOOKUP(B2988,SPECIFICATIONF!$C$2:$D$65,2,0)</f>
        <v>GLOBAL RETAIL</v>
      </c>
      <c r="H2988" s="12">
        <f t="shared" si="272"/>
        <v>2</v>
      </c>
      <c r="I2988" s="12">
        <f t="shared" si="273"/>
        <v>2026</v>
      </c>
    </row>
    <row r="2989" spans="1:9" ht="19.5" customHeight="1" x14ac:dyDescent="0.35">
      <c r="A2989" s="41">
        <v>46074</v>
      </c>
      <c r="B2989" s="8" t="s">
        <v>24</v>
      </c>
      <c r="C2989" s="42" t="s">
        <v>11</v>
      </c>
      <c r="D2989" s="43" t="s">
        <v>29</v>
      </c>
      <c r="E2989" s="46">
        <v>20711436</v>
      </c>
      <c r="F2989" s="2">
        <f>IF(C2989="GBP",E2989*$C$3,IF(C2989="TRY",E2989/$C$1,IF(C2989="EUR",E2989*$E$1,IF(C2989="RUB",E2989/#REF!,IF(C2989="EGP",E2989/$E$2,E2989)))))</f>
        <v>567951.64930388925</v>
      </c>
      <c r="G2989" s="15" t="str">
        <f>VLOOKUP(B2989,SPECIFICATIONF!$C$2:$D$65,2,0)</f>
        <v>GLOBAL RETAIL</v>
      </c>
      <c r="H2989" s="12">
        <f t="shared" si="272"/>
        <v>2</v>
      </c>
      <c r="I2989" s="12">
        <f t="shared" si="273"/>
        <v>2026</v>
      </c>
    </row>
    <row r="2990" spans="1:9" ht="19.5" customHeight="1" x14ac:dyDescent="0.35">
      <c r="A2990" s="41">
        <v>46074</v>
      </c>
      <c r="B2990" s="8" t="s">
        <v>24</v>
      </c>
      <c r="C2990" s="42" t="s">
        <v>33</v>
      </c>
      <c r="D2990" s="43" t="s">
        <v>29</v>
      </c>
      <c r="E2990" s="46">
        <v>0</v>
      </c>
      <c r="F2990" s="2">
        <f>IF(C2990="GBP",E2990*$C$3,IF(C2990="TRY",E2990/$C$1,IF(C2990="EUR",E2990*$E$1,IF(C2990="RUB",E2990/#REF!,IF(C2990="EGP",E2990/$E$2,E2990)))))</f>
        <v>0</v>
      </c>
      <c r="G2990" s="15" t="str">
        <f>VLOOKUP(B2990,SPECIFICATIONF!$C$2:$D$65,2,0)</f>
        <v>GLOBAL RETAIL</v>
      </c>
      <c r="H2990" s="12">
        <f t="shared" si="272"/>
        <v>2</v>
      </c>
      <c r="I2990" s="12">
        <f t="shared" si="273"/>
        <v>2026</v>
      </c>
    </row>
    <row r="2991" spans="1:9" ht="19.5" customHeight="1" x14ac:dyDescent="0.35">
      <c r="A2991" s="41">
        <v>46075</v>
      </c>
      <c r="B2991" s="8" t="s">
        <v>32</v>
      </c>
      <c r="C2991" s="42" t="s">
        <v>11</v>
      </c>
      <c r="D2991" s="43" t="s">
        <v>30</v>
      </c>
      <c r="E2991" s="46">
        <v>748163.84</v>
      </c>
      <c r="F2991" s="2">
        <f>IF(C2991="GBP",E2991*$C$3,IF(C2991="TRY",E2991/$C$1,IF(C2991="EUR",E2991*$E$1,IF(C2991="RUB",E2991/#REF!,IF(C2991="EGP",E2991/$E$2,E2991)))))</f>
        <v>20516.244594413012</v>
      </c>
      <c r="G2991" s="15" t="str">
        <f>VLOOKUP(B2991,SPECIFICATIONF!$C$2:$D$65,2,0)</f>
        <v>GLOBAL HFT</v>
      </c>
      <c r="H2991" s="12">
        <f t="shared" si="272"/>
        <v>2</v>
      </c>
      <c r="I2991" s="12">
        <f t="shared" si="273"/>
        <v>2026</v>
      </c>
    </row>
    <row r="2992" spans="1:9" ht="19.5" customHeight="1" x14ac:dyDescent="0.35">
      <c r="A2992" s="41">
        <v>46075</v>
      </c>
      <c r="B2992" s="8" t="s">
        <v>32</v>
      </c>
      <c r="C2992" s="42" t="s">
        <v>33</v>
      </c>
      <c r="D2992" s="43" t="s">
        <v>30</v>
      </c>
      <c r="E2992" s="46">
        <v>2834.11</v>
      </c>
      <c r="F2992" s="2">
        <f>IF(C2992="GBP",E2992*$C$3,IF(C2992="TRY",E2992/$C$1,IF(C2992="EUR",E2992*$E$1,IF(C2992="RUB",E2992/#REF!,IF(C2992="EGP",E2992/$E$2,E2992)))))</f>
        <v>2834.11</v>
      </c>
      <c r="G2992" s="15" t="str">
        <f>VLOOKUP(B2992,SPECIFICATIONF!$C$2:$D$65,2,0)</f>
        <v>GLOBAL HFT</v>
      </c>
      <c r="H2992" s="12">
        <f t="shared" si="272"/>
        <v>2</v>
      </c>
      <c r="I2992" s="12">
        <f t="shared" si="273"/>
        <v>2026</v>
      </c>
    </row>
    <row r="2993" spans="1:9" ht="19.5" customHeight="1" x14ac:dyDescent="0.35">
      <c r="A2993" s="41">
        <v>46075</v>
      </c>
      <c r="B2993" s="8" t="s">
        <v>32</v>
      </c>
      <c r="C2993" s="42" t="s">
        <v>11</v>
      </c>
      <c r="D2993" s="43" t="s">
        <v>29</v>
      </c>
      <c r="E2993" s="46">
        <v>2587739485</v>
      </c>
      <c r="F2993" s="2">
        <f>IF(C2993="GBP",E2993*$C$3,IF(C2993="TRY",E2993/$C$1,IF(C2993="EUR",E2993*$E$1,IF(C2993="RUB",E2993/#REF!,IF(C2993="EGP",E2993/$E$2,E2993)))))</f>
        <v>70961323.419319987</v>
      </c>
      <c r="G2993" s="15" t="str">
        <f>VLOOKUP(B2993,SPECIFICATIONF!$C$2:$D$65,2,0)</f>
        <v>GLOBAL HFT</v>
      </c>
      <c r="H2993" s="12">
        <f t="shared" si="272"/>
        <v>2</v>
      </c>
      <c r="I2993" s="12">
        <f t="shared" si="273"/>
        <v>2026</v>
      </c>
    </row>
    <row r="2994" spans="1:9" ht="19.5" customHeight="1" x14ac:dyDescent="0.35">
      <c r="A2994" s="41">
        <v>46075</v>
      </c>
      <c r="B2994" s="8" t="s">
        <v>32</v>
      </c>
      <c r="C2994" s="42" t="s">
        <v>33</v>
      </c>
      <c r="D2994" s="43" t="s">
        <v>29</v>
      </c>
      <c r="E2994" s="46">
        <v>8854250</v>
      </c>
      <c r="F2994" s="2">
        <f>IF(C2994="GBP",E2994*$C$3,IF(C2994="TRY",E2994/$C$1,IF(C2994="EUR",E2994*$E$1,IF(C2994="RUB",E2994/#REF!,IF(C2994="EGP",E2994/$E$2,E2994)))))</f>
        <v>8854250</v>
      </c>
      <c r="G2994" s="15" t="str">
        <f>VLOOKUP(B2994,SPECIFICATIONF!$C$2:$D$65,2,0)</f>
        <v>GLOBAL HFT</v>
      </c>
      <c r="H2994" s="12">
        <f t="shared" si="272"/>
        <v>2</v>
      </c>
      <c r="I2994" s="12">
        <f t="shared" si="273"/>
        <v>2026</v>
      </c>
    </row>
    <row r="2995" spans="1:9" ht="19.5" customHeight="1" x14ac:dyDescent="0.35">
      <c r="A2995" s="41">
        <v>46075</v>
      </c>
      <c r="B2995" s="8" t="s">
        <v>24</v>
      </c>
      <c r="C2995" s="42" t="s">
        <v>11</v>
      </c>
      <c r="D2995" s="43" t="s">
        <v>30</v>
      </c>
      <c r="E2995" s="46">
        <v>0</v>
      </c>
      <c r="F2995" s="2">
        <f>IF(C2995="GBP",E2995*$C$3,IF(C2995="TRY",E2995/$C$1,IF(C2995="EUR",E2995*$E$1,IF(C2995="RUB",E2995/#REF!,IF(C2995="EGP",E2995/$E$2,E2995)))))</f>
        <v>0</v>
      </c>
      <c r="G2995" s="15" t="str">
        <f>VLOOKUP(B2995,SPECIFICATIONF!$C$2:$D$65,2,0)</f>
        <v>GLOBAL RETAIL</v>
      </c>
      <c r="H2995" s="12">
        <f t="shared" si="272"/>
        <v>2</v>
      </c>
      <c r="I2995" s="12">
        <f t="shared" si="273"/>
        <v>2026</v>
      </c>
    </row>
    <row r="2996" spans="1:9" ht="19.5" customHeight="1" x14ac:dyDescent="0.35">
      <c r="A2996" s="41">
        <v>46075</v>
      </c>
      <c r="B2996" s="8" t="s">
        <v>24</v>
      </c>
      <c r="C2996" s="42" t="s">
        <v>33</v>
      </c>
      <c r="D2996" s="43" t="s">
        <v>30</v>
      </c>
      <c r="E2996" s="46">
        <v>0</v>
      </c>
      <c r="F2996" s="2">
        <f>IF(C2996="GBP",E2996*$C$3,IF(C2996="TRY",E2996/$C$1,IF(C2996="EUR",E2996*$E$1,IF(C2996="RUB",E2996/#REF!,IF(C2996="EGP",E2996/$E$2,E2996)))))</f>
        <v>0</v>
      </c>
      <c r="G2996" s="15" t="str">
        <f>VLOOKUP(B2996,SPECIFICATIONF!$C$2:$D$65,2,0)</f>
        <v>GLOBAL RETAIL</v>
      </c>
      <c r="H2996" s="12">
        <f t="shared" si="272"/>
        <v>2</v>
      </c>
      <c r="I2996" s="12">
        <f t="shared" si="273"/>
        <v>2026</v>
      </c>
    </row>
    <row r="2997" spans="1:9" ht="19.5" customHeight="1" x14ac:dyDescent="0.35">
      <c r="A2997" s="41">
        <v>46075</v>
      </c>
      <c r="B2997" s="8" t="s">
        <v>24</v>
      </c>
      <c r="C2997" s="42" t="s">
        <v>11</v>
      </c>
      <c r="D2997" s="43" t="s">
        <v>29</v>
      </c>
      <c r="E2997" s="46">
        <v>7548179</v>
      </c>
      <c r="F2997" s="2">
        <f>IF(C2997="GBP",E2997*$C$3,IF(C2997="TRY",E2997/$C$1,IF(C2997="EUR",E2997*$E$1,IF(C2997="RUB",E2997/#REF!,IF(C2997="EGP",E2997/$E$2,E2997)))))</f>
        <v>206987.13079532396</v>
      </c>
      <c r="G2997" s="15" t="str">
        <f>VLOOKUP(B2997,SPECIFICATIONF!$C$2:$D$65,2,0)</f>
        <v>GLOBAL RETAIL</v>
      </c>
      <c r="H2997" s="12">
        <f t="shared" si="272"/>
        <v>2</v>
      </c>
      <c r="I2997" s="12">
        <f t="shared" si="273"/>
        <v>2026</v>
      </c>
    </row>
    <row r="2998" spans="1:9" ht="19.5" customHeight="1" x14ac:dyDescent="0.35">
      <c r="A2998" s="41">
        <v>46075</v>
      </c>
      <c r="B2998" s="8" t="s">
        <v>24</v>
      </c>
      <c r="C2998" s="42" t="s">
        <v>33</v>
      </c>
      <c r="D2998" s="43" t="s">
        <v>29</v>
      </c>
      <c r="E2998" s="46">
        <v>0</v>
      </c>
      <c r="F2998" s="2">
        <f>IF(C2998="GBP",E2998*$C$3,IF(C2998="TRY",E2998/$C$1,IF(C2998="EUR",E2998*$E$1,IF(C2998="RUB",E2998/#REF!,IF(C2998="EGP",E2998/$E$2,E2998)))))</f>
        <v>0</v>
      </c>
      <c r="G2998" s="15" t="str">
        <f>VLOOKUP(B2998,SPECIFICATIONF!$C$2:$D$65,2,0)</f>
        <v>GLOBAL RETAIL</v>
      </c>
      <c r="H2998" s="12">
        <f t="shared" si="272"/>
        <v>2</v>
      </c>
      <c r="I2998" s="12">
        <f t="shared" si="273"/>
        <v>2026</v>
      </c>
    </row>
    <row r="2999" spans="1:9" ht="19.5" customHeight="1" x14ac:dyDescent="0.35">
      <c r="A2999" s="41">
        <v>46076</v>
      </c>
      <c r="B2999" s="8" t="s">
        <v>32</v>
      </c>
      <c r="C2999" s="42" t="s">
        <v>11</v>
      </c>
      <c r="D2999" s="43" t="s">
        <v>30</v>
      </c>
      <c r="E2999" s="46">
        <v>965576.14</v>
      </c>
      <c r="F2999" s="2">
        <f>IF(C2999="GBP",E2999*$C$3,IF(C2999="TRY",E2999/$C$1,IF(C2999="EUR",E2999*$E$1,IF(C2999="RUB",E2999/#REF!,IF(C2999="EGP",E2999/$E$2,E2999)))))</f>
        <v>26478.152516391576</v>
      </c>
      <c r="G2999" s="15" t="str">
        <f>VLOOKUP(B2999,SPECIFICATIONF!$C$2:$D$65,2,0)</f>
        <v>GLOBAL HFT</v>
      </c>
      <c r="H2999" s="12">
        <f t="shared" si="272"/>
        <v>2</v>
      </c>
      <c r="I2999" s="12">
        <f t="shared" si="273"/>
        <v>2026</v>
      </c>
    </row>
    <row r="3000" spans="1:9" ht="19.5" customHeight="1" x14ac:dyDescent="0.35">
      <c r="A3000" s="41">
        <v>46076</v>
      </c>
      <c r="B3000" s="8" t="s">
        <v>32</v>
      </c>
      <c r="C3000" s="42" t="s">
        <v>33</v>
      </c>
      <c r="D3000" s="43" t="s">
        <v>30</v>
      </c>
      <c r="E3000" s="46">
        <v>5367.79</v>
      </c>
      <c r="F3000" s="2">
        <f>IF(C3000="GBP",E3000*$C$3,IF(C3000="TRY",E3000/$C$1,IF(C3000="EUR",E3000*$E$1,IF(C3000="RUB",E3000/#REF!,IF(C3000="EGP",E3000/$E$2,E3000)))))</f>
        <v>5367.79</v>
      </c>
      <c r="G3000" s="15" t="str">
        <f>VLOOKUP(B3000,SPECIFICATIONF!$C$2:$D$65,2,0)</f>
        <v>GLOBAL HFT</v>
      </c>
      <c r="H3000" s="12">
        <f t="shared" si="272"/>
        <v>2</v>
      </c>
      <c r="I3000" s="12">
        <f t="shared" si="273"/>
        <v>2026</v>
      </c>
    </row>
    <row r="3001" spans="1:9" ht="19.5" customHeight="1" x14ac:dyDescent="0.35">
      <c r="A3001" s="41">
        <v>46076</v>
      </c>
      <c r="B3001" s="8" t="s">
        <v>32</v>
      </c>
      <c r="C3001" s="42" t="s">
        <v>11</v>
      </c>
      <c r="D3001" s="43" t="s">
        <v>29</v>
      </c>
      <c r="E3001" s="46">
        <v>3310137497</v>
      </c>
      <c r="F3001" s="2">
        <f>IF(C3001="GBP",E3001*$C$3,IF(C3001="TRY",E3001/$C$1,IF(C3001="EUR",E3001*$E$1,IF(C3001="RUB",E3001/#REF!,IF(C3001="EGP",E3001/$E$2,E3001)))))</f>
        <v>90771014.179982394</v>
      </c>
      <c r="G3001" s="15" t="str">
        <f>VLOOKUP(B3001,SPECIFICATIONF!$C$2:$D$65,2,0)</f>
        <v>GLOBAL HFT</v>
      </c>
      <c r="H3001" s="12">
        <f t="shared" si="272"/>
        <v>2</v>
      </c>
      <c r="I3001" s="12">
        <f t="shared" si="273"/>
        <v>2026</v>
      </c>
    </row>
    <row r="3002" spans="1:9" ht="19.5" customHeight="1" x14ac:dyDescent="0.35">
      <c r="A3002" s="41">
        <v>46076</v>
      </c>
      <c r="B3002" s="8" t="s">
        <v>32</v>
      </c>
      <c r="C3002" s="42" t="s">
        <v>33</v>
      </c>
      <c r="D3002" s="43" t="s">
        <v>29</v>
      </c>
      <c r="E3002" s="46">
        <v>15807678</v>
      </c>
      <c r="F3002" s="2">
        <f>IF(C3002="GBP",E3002*$C$3,IF(C3002="TRY",E3002/$C$1,IF(C3002="EUR",E3002*$E$1,IF(C3002="RUB",E3002/#REF!,IF(C3002="EGP",E3002/$E$2,E3002)))))</f>
        <v>15807678</v>
      </c>
      <c r="G3002" s="15" t="str">
        <f>VLOOKUP(B3002,SPECIFICATIONF!$C$2:$D$65,2,0)</f>
        <v>GLOBAL HFT</v>
      </c>
      <c r="H3002" s="12">
        <f t="shared" si="272"/>
        <v>2</v>
      </c>
      <c r="I3002" s="12">
        <f t="shared" si="273"/>
        <v>2026</v>
      </c>
    </row>
    <row r="3003" spans="1:9" ht="19.5" customHeight="1" x14ac:dyDescent="0.35">
      <c r="A3003" s="41">
        <v>46076</v>
      </c>
      <c r="B3003" s="8" t="s">
        <v>24</v>
      </c>
      <c r="C3003" s="42" t="s">
        <v>11</v>
      </c>
      <c r="D3003" s="43" t="s">
        <v>30</v>
      </c>
      <c r="E3003" s="46">
        <v>0</v>
      </c>
      <c r="F3003" s="2">
        <f>IF(C3003="GBP",E3003*$C$3,IF(C3003="TRY",E3003/$C$1,IF(C3003="EUR",E3003*$E$1,IF(C3003="RUB",E3003/#REF!,IF(C3003="EGP",E3003/$E$2,E3003)))))</f>
        <v>0</v>
      </c>
      <c r="G3003" s="15" t="str">
        <f>VLOOKUP(B3003,SPECIFICATIONF!$C$2:$D$65,2,0)</f>
        <v>GLOBAL RETAIL</v>
      </c>
      <c r="H3003" s="12">
        <f t="shared" si="272"/>
        <v>2</v>
      </c>
      <c r="I3003" s="12">
        <f t="shared" si="273"/>
        <v>2026</v>
      </c>
    </row>
    <row r="3004" spans="1:9" ht="19.5" customHeight="1" x14ac:dyDescent="0.35">
      <c r="A3004" s="41">
        <v>46076</v>
      </c>
      <c r="B3004" s="8" t="s">
        <v>24</v>
      </c>
      <c r="C3004" s="42" t="s">
        <v>33</v>
      </c>
      <c r="D3004" s="43" t="s">
        <v>30</v>
      </c>
      <c r="E3004" s="46">
        <v>0</v>
      </c>
      <c r="F3004" s="2">
        <f>IF(C3004="GBP",E3004*$C$3,IF(C3004="TRY",E3004/$C$1,IF(C3004="EUR",E3004*$E$1,IF(C3004="RUB",E3004/#REF!,IF(C3004="EGP",E3004/$E$2,E3004)))))</f>
        <v>0</v>
      </c>
      <c r="G3004" s="15" t="str">
        <f>VLOOKUP(B3004,SPECIFICATIONF!$C$2:$D$65,2,0)</f>
        <v>GLOBAL RETAIL</v>
      </c>
      <c r="H3004" s="12">
        <f t="shared" si="272"/>
        <v>2</v>
      </c>
      <c r="I3004" s="12">
        <f t="shared" si="273"/>
        <v>2026</v>
      </c>
    </row>
    <row r="3005" spans="1:9" ht="19.5" customHeight="1" x14ac:dyDescent="0.35">
      <c r="A3005" s="41">
        <v>46076</v>
      </c>
      <c r="B3005" s="8" t="s">
        <v>24</v>
      </c>
      <c r="C3005" s="42" t="s">
        <v>11</v>
      </c>
      <c r="D3005" s="43" t="s">
        <v>29</v>
      </c>
      <c r="E3005" s="46">
        <v>24621714</v>
      </c>
      <c r="F3005" s="2">
        <f>IF(C3005="GBP",E3005*$C$3,IF(C3005="TRY",E3005/$C$1,IF(C3005="EUR",E3005*$E$1,IF(C3005="RUB",E3005/#REF!,IF(C3005="EGP",E3005/$E$2,E3005)))))</f>
        <v>675179.79318231053</v>
      </c>
      <c r="G3005" s="15" t="str">
        <f>VLOOKUP(B3005,SPECIFICATIONF!$C$2:$D$65,2,0)</f>
        <v>GLOBAL RETAIL</v>
      </c>
      <c r="H3005" s="12">
        <f t="shared" si="272"/>
        <v>2</v>
      </c>
      <c r="I3005" s="12">
        <f t="shared" si="273"/>
        <v>2026</v>
      </c>
    </row>
    <row r="3006" spans="1:9" ht="19.5" customHeight="1" x14ac:dyDescent="0.35">
      <c r="A3006" s="41">
        <v>46076</v>
      </c>
      <c r="B3006" s="8" t="s">
        <v>24</v>
      </c>
      <c r="C3006" s="42" t="s">
        <v>33</v>
      </c>
      <c r="D3006" s="43" t="s">
        <v>29</v>
      </c>
      <c r="E3006" s="46">
        <v>0</v>
      </c>
      <c r="F3006" s="2">
        <f>IF(C3006="GBP",E3006*$C$3,IF(C3006="TRY",E3006/$C$1,IF(C3006="EUR",E3006*$E$1,IF(C3006="RUB",E3006/#REF!,IF(C3006="EGP",E3006/$E$2,E3006)))))</f>
        <v>0</v>
      </c>
      <c r="G3006" s="15" t="str">
        <f>VLOOKUP(B3006,SPECIFICATIONF!$C$2:$D$65,2,0)</f>
        <v>GLOBAL RETAIL</v>
      </c>
      <c r="H3006" s="12">
        <f t="shared" si="272"/>
        <v>2</v>
      </c>
      <c r="I3006" s="12">
        <f t="shared" si="273"/>
        <v>2026</v>
      </c>
    </row>
    <row r="3007" spans="1:9" ht="19.5" customHeight="1" x14ac:dyDescent="0.35">
      <c r="A3007" s="41">
        <v>46077</v>
      </c>
      <c r="B3007" s="8" t="s">
        <v>32</v>
      </c>
      <c r="C3007" s="42" t="s">
        <v>11</v>
      </c>
      <c r="D3007" s="43" t="s">
        <v>30</v>
      </c>
      <c r="E3007" s="46">
        <v>861144.5</v>
      </c>
      <c r="F3007" s="2">
        <f>IF(C3007="GBP",E3007*$C$3,IF(C3007="TRY",E3007/$C$1,IF(C3007="EUR",E3007*$E$1,IF(C3007="RUB",E3007/#REF!,IF(C3007="EGP",E3007/$E$2,E3007)))))</f>
        <v>23614.414715810773</v>
      </c>
      <c r="G3007" s="15" t="str">
        <f>VLOOKUP(B3007,SPECIFICATIONF!$C$2:$D$65,2,0)</f>
        <v>GLOBAL HFT</v>
      </c>
      <c r="H3007" s="12">
        <f t="shared" ref="H3007:H3014" si="274">MONTH(A3007)</f>
        <v>2</v>
      </c>
      <c r="I3007" s="12">
        <f t="shared" ref="I3007:I3014" si="275">YEAR(A3007)</f>
        <v>2026</v>
      </c>
    </row>
    <row r="3008" spans="1:9" ht="19.5" customHeight="1" x14ac:dyDescent="0.35">
      <c r="A3008" s="41">
        <v>46077</v>
      </c>
      <c r="B3008" s="8" t="s">
        <v>32</v>
      </c>
      <c r="C3008" s="42" t="s">
        <v>33</v>
      </c>
      <c r="D3008" s="43" t="s">
        <v>30</v>
      </c>
      <c r="E3008" s="46">
        <v>4239.5200000000004</v>
      </c>
      <c r="F3008" s="2">
        <f>IF(C3008="GBP",E3008*$C$3,IF(C3008="TRY",E3008/$C$1,IF(C3008="EUR",E3008*$E$1,IF(C3008="RUB",E3008/#REF!,IF(C3008="EGP",E3008/$E$2,E3008)))))</f>
        <v>4239.5200000000004</v>
      </c>
      <c r="G3008" s="15" t="str">
        <f>VLOOKUP(B3008,SPECIFICATIONF!$C$2:$D$65,2,0)</f>
        <v>GLOBAL HFT</v>
      </c>
      <c r="H3008" s="12">
        <f t="shared" si="274"/>
        <v>2</v>
      </c>
      <c r="I3008" s="12">
        <f t="shared" si="275"/>
        <v>2026</v>
      </c>
    </row>
    <row r="3009" spans="1:9" ht="19.5" customHeight="1" x14ac:dyDescent="0.35">
      <c r="A3009" s="41">
        <v>46077</v>
      </c>
      <c r="B3009" s="8" t="s">
        <v>32</v>
      </c>
      <c r="C3009" s="42" t="s">
        <v>11</v>
      </c>
      <c r="D3009" s="43" t="s">
        <v>29</v>
      </c>
      <c r="E3009" s="46">
        <v>2875459633</v>
      </c>
      <c r="F3009" s="2">
        <f>IF(C3009="GBP",E3009*$C$3,IF(C3009="TRY",E3009/$C$1,IF(C3009="EUR",E3009*$E$1,IF(C3009="RUB",E3009/#REF!,IF(C3009="EGP",E3009/$E$2,E3009)))))</f>
        <v>78851222.149401233</v>
      </c>
      <c r="G3009" s="15" t="str">
        <f>VLOOKUP(B3009,SPECIFICATIONF!$C$2:$D$65,2,0)</f>
        <v>GLOBAL HFT</v>
      </c>
      <c r="H3009" s="12">
        <f t="shared" si="274"/>
        <v>2</v>
      </c>
      <c r="I3009" s="12">
        <f t="shared" si="275"/>
        <v>2026</v>
      </c>
    </row>
    <row r="3010" spans="1:9" ht="19.5" customHeight="1" x14ac:dyDescent="0.35">
      <c r="A3010" s="41">
        <v>46077</v>
      </c>
      <c r="B3010" s="8" t="s">
        <v>32</v>
      </c>
      <c r="C3010" s="42" t="s">
        <v>33</v>
      </c>
      <c r="D3010" s="43" t="s">
        <v>29</v>
      </c>
      <c r="E3010" s="46">
        <v>12314858</v>
      </c>
      <c r="F3010" s="2">
        <f>IF(C3010="GBP",E3010*$C$3,IF(C3010="TRY",E3010/$C$1,IF(C3010="EUR",E3010*$E$1,IF(C3010="RUB",E3010/#REF!,IF(C3010="EGP",E3010/$E$2,E3010)))))</f>
        <v>12314858</v>
      </c>
      <c r="G3010" s="15" t="str">
        <f>VLOOKUP(B3010,SPECIFICATIONF!$C$2:$D$65,2,0)</f>
        <v>GLOBAL HFT</v>
      </c>
      <c r="H3010" s="12">
        <f t="shared" si="274"/>
        <v>2</v>
      </c>
      <c r="I3010" s="12">
        <f t="shared" si="275"/>
        <v>2026</v>
      </c>
    </row>
    <row r="3011" spans="1:9" ht="19.5" customHeight="1" x14ac:dyDescent="0.35">
      <c r="A3011" s="41">
        <v>46077</v>
      </c>
      <c r="B3011" s="8" t="s">
        <v>24</v>
      </c>
      <c r="C3011" s="42" t="s">
        <v>11</v>
      </c>
      <c r="D3011" s="43" t="s">
        <v>30</v>
      </c>
      <c r="E3011" s="46">
        <v>0</v>
      </c>
      <c r="F3011" s="2">
        <f>IF(C3011="GBP",E3011*$C$3,IF(C3011="TRY",E3011/$C$1,IF(C3011="EUR",E3011*$E$1,IF(C3011="RUB",E3011/#REF!,IF(C3011="EGP",E3011/$E$2,E3011)))))</f>
        <v>0</v>
      </c>
      <c r="G3011" s="15" t="str">
        <f>VLOOKUP(B3011,SPECIFICATIONF!$C$2:$D$65,2,0)</f>
        <v>GLOBAL RETAIL</v>
      </c>
      <c r="H3011" s="12">
        <f t="shared" si="274"/>
        <v>2</v>
      </c>
      <c r="I3011" s="12">
        <f t="shared" si="275"/>
        <v>2026</v>
      </c>
    </row>
    <row r="3012" spans="1:9" ht="19.5" customHeight="1" x14ac:dyDescent="0.35">
      <c r="A3012" s="41">
        <v>46077</v>
      </c>
      <c r="B3012" s="8" t="s">
        <v>24</v>
      </c>
      <c r="C3012" s="42" t="s">
        <v>33</v>
      </c>
      <c r="D3012" s="43" t="s">
        <v>30</v>
      </c>
      <c r="E3012" s="46">
        <v>0</v>
      </c>
      <c r="F3012" s="2">
        <f>IF(C3012="GBP",E3012*$C$3,IF(C3012="TRY",E3012/$C$1,IF(C3012="EUR",E3012*$E$1,IF(C3012="RUB",E3012/#REF!,IF(C3012="EGP",E3012/$E$2,E3012)))))</f>
        <v>0</v>
      </c>
      <c r="G3012" s="15" t="str">
        <f>VLOOKUP(B3012,SPECIFICATIONF!$C$2:$D$65,2,0)</f>
        <v>GLOBAL RETAIL</v>
      </c>
      <c r="H3012" s="12">
        <f t="shared" si="274"/>
        <v>2</v>
      </c>
      <c r="I3012" s="12">
        <f t="shared" si="275"/>
        <v>2026</v>
      </c>
    </row>
    <row r="3013" spans="1:9" ht="19.5" customHeight="1" x14ac:dyDescent="0.35">
      <c r="A3013" s="41">
        <v>46077</v>
      </c>
      <c r="B3013" s="8" t="s">
        <v>24</v>
      </c>
      <c r="C3013" s="42" t="s">
        <v>11</v>
      </c>
      <c r="D3013" s="43" t="s">
        <v>29</v>
      </c>
      <c r="E3013" s="46">
        <v>21339139</v>
      </c>
      <c r="F3013" s="2">
        <f>IF(C3013="GBP",E3013*$C$3,IF(C3013="TRY",E3013/$C$1,IF(C3013="EUR",E3013*$E$1,IF(C3013="RUB",E3013/#REF!,IF(C3013="EGP",E3013/$E$2,E3013)))))</f>
        <v>585164.60132339189</v>
      </c>
      <c r="G3013" s="15" t="str">
        <f>VLOOKUP(B3013,SPECIFICATIONF!$C$2:$D$65,2,0)</f>
        <v>GLOBAL RETAIL</v>
      </c>
      <c r="H3013" s="12">
        <f t="shared" si="274"/>
        <v>2</v>
      </c>
      <c r="I3013" s="12">
        <f t="shared" si="275"/>
        <v>2026</v>
      </c>
    </row>
    <row r="3014" spans="1:9" ht="19.5" customHeight="1" x14ac:dyDescent="0.35">
      <c r="A3014" s="41">
        <v>46077</v>
      </c>
      <c r="B3014" s="8" t="s">
        <v>24</v>
      </c>
      <c r="C3014" s="42" t="s">
        <v>33</v>
      </c>
      <c r="D3014" s="43" t="s">
        <v>29</v>
      </c>
      <c r="E3014" s="46">
        <v>0</v>
      </c>
      <c r="F3014" s="2">
        <f>IF(C3014="GBP",E3014*$C$3,IF(C3014="TRY",E3014/$C$1,IF(C3014="EUR",E3014*$E$1,IF(C3014="RUB",E3014/#REF!,IF(C3014="EGP",E3014/$E$2,E3014)))))</f>
        <v>0</v>
      </c>
      <c r="G3014" s="15" t="str">
        <f>VLOOKUP(B3014,SPECIFICATIONF!$C$2:$D$65,2,0)</f>
        <v>GLOBAL RETAIL</v>
      </c>
      <c r="H3014" s="12">
        <f t="shared" si="274"/>
        <v>2</v>
      </c>
      <c r="I3014" s="12">
        <f t="shared" si="275"/>
        <v>2026</v>
      </c>
    </row>
    <row r="3015" spans="1:9" ht="19.5" customHeight="1" x14ac:dyDescent="0.35">
      <c r="A3015" s="41">
        <v>46078</v>
      </c>
      <c r="B3015" s="8" t="s">
        <v>32</v>
      </c>
      <c r="C3015" s="42" t="s">
        <v>11</v>
      </c>
      <c r="D3015" s="43" t="s">
        <v>30</v>
      </c>
      <c r="E3015" s="46">
        <v>1483983.28</v>
      </c>
      <c r="F3015" s="2">
        <f>IF(C3015="GBP",E3015*$C$3,IF(C3015="TRY",E3015/$C$1,IF(C3015="EUR",E3015*$E$1,IF(C3015="RUB",E3015/#REF!,IF(C3015="EGP",E3015/$E$2,E3015)))))</f>
        <v>40693.97947179497</v>
      </c>
      <c r="G3015" s="15" t="str">
        <f>VLOOKUP(B3015,SPECIFICATIONF!$C$2:$D$65,2,0)</f>
        <v>GLOBAL HFT</v>
      </c>
      <c r="H3015" s="12">
        <f t="shared" ref="H3015:H3022" si="276">MONTH(A3015)</f>
        <v>2</v>
      </c>
      <c r="I3015" s="12">
        <f t="shared" ref="I3015:I3022" si="277">YEAR(A3015)</f>
        <v>2026</v>
      </c>
    </row>
    <row r="3016" spans="1:9" ht="19.5" customHeight="1" x14ac:dyDescent="0.35">
      <c r="A3016" s="41">
        <v>46078</v>
      </c>
      <c r="B3016" s="8" t="s">
        <v>32</v>
      </c>
      <c r="C3016" s="42" t="s">
        <v>33</v>
      </c>
      <c r="D3016" s="43" t="s">
        <v>30</v>
      </c>
      <c r="E3016" s="46">
        <v>7269.54</v>
      </c>
      <c r="F3016" s="2">
        <f>IF(C3016="GBP",E3016*$C$3,IF(C3016="TRY",E3016/$C$1,IF(C3016="EUR",E3016*$E$1,IF(C3016="RUB",E3016/#REF!,IF(C3016="EGP",E3016/$E$2,E3016)))))</f>
        <v>7269.54</v>
      </c>
      <c r="G3016" s="15" t="str">
        <f>VLOOKUP(B3016,SPECIFICATIONF!$C$2:$D$65,2,0)</f>
        <v>GLOBAL HFT</v>
      </c>
      <c r="H3016" s="12">
        <f t="shared" si="276"/>
        <v>2</v>
      </c>
      <c r="I3016" s="12">
        <f t="shared" si="277"/>
        <v>2026</v>
      </c>
    </row>
    <row r="3017" spans="1:9" ht="19.5" customHeight="1" x14ac:dyDescent="0.35">
      <c r="A3017" s="41">
        <v>46078</v>
      </c>
      <c r="B3017" s="8" t="s">
        <v>32</v>
      </c>
      <c r="C3017" s="42" t="s">
        <v>11</v>
      </c>
      <c r="D3017" s="43" t="s">
        <v>29</v>
      </c>
      <c r="E3017" s="46">
        <v>4725496066</v>
      </c>
      <c r="F3017" s="2">
        <f>IF(C3017="GBP",E3017*$C$3,IF(C3017="TRY",E3017/$C$1,IF(C3017="EUR",E3017*$E$1,IF(C3017="RUB",E3017/#REF!,IF(C3017="EGP",E3017/$E$2,E3017)))))</f>
        <v>129583158.04195036</v>
      </c>
      <c r="G3017" s="15" t="str">
        <f>VLOOKUP(B3017,SPECIFICATIONF!$C$2:$D$65,2,0)</f>
        <v>GLOBAL HFT</v>
      </c>
      <c r="H3017" s="12">
        <f t="shared" si="276"/>
        <v>2</v>
      </c>
      <c r="I3017" s="12">
        <f t="shared" si="277"/>
        <v>2026</v>
      </c>
    </row>
    <row r="3018" spans="1:9" ht="19.5" customHeight="1" x14ac:dyDescent="0.35">
      <c r="A3018" s="41">
        <v>46078</v>
      </c>
      <c r="B3018" s="8" t="s">
        <v>32</v>
      </c>
      <c r="C3018" s="42" t="s">
        <v>33</v>
      </c>
      <c r="D3018" s="43" t="s">
        <v>29</v>
      </c>
      <c r="E3018" s="46">
        <v>21480738</v>
      </c>
      <c r="F3018" s="2">
        <f>IF(C3018="GBP",E3018*$C$3,IF(C3018="TRY",E3018/$C$1,IF(C3018="EUR",E3018*$E$1,IF(C3018="RUB",E3018/#REF!,IF(C3018="EGP",E3018/$E$2,E3018)))))</f>
        <v>21480738</v>
      </c>
      <c r="G3018" s="15" t="str">
        <f>VLOOKUP(B3018,SPECIFICATIONF!$C$2:$D$65,2,0)</f>
        <v>GLOBAL HFT</v>
      </c>
      <c r="H3018" s="12">
        <f t="shared" si="276"/>
        <v>2</v>
      </c>
      <c r="I3018" s="12">
        <f t="shared" si="277"/>
        <v>2026</v>
      </c>
    </row>
    <row r="3019" spans="1:9" ht="19.5" customHeight="1" x14ac:dyDescent="0.35">
      <c r="A3019" s="41">
        <v>46078</v>
      </c>
      <c r="B3019" s="8" t="s">
        <v>24</v>
      </c>
      <c r="C3019" s="42" t="s">
        <v>11</v>
      </c>
      <c r="D3019" s="43" t="s">
        <v>30</v>
      </c>
      <c r="E3019" s="46">
        <v>0</v>
      </c>
      <c r="F3019" s="2">
        <f>IF(C3019="GBP",E3019*$C$3,IF(C3019="TRY",E3019/$C$1,IF(C3019="EUR",E3019*$E$1,IF(C3019="RUB",E3019/#REF!,IF(C3019="EGP",E3019/$E$2,E3019)))))</f>
        <v>0</v>
      </c>
      <c r="G3019" s="15" t="str">
        <f>VLOOKUP(B3019,SPECIFICATIONF!$C$2:$D$65,2,0)</f>
        <v>GLOBAL RETAIL</v>
      </c>
      <c r="H3019" s="12">
        <f t="shared" si="276"/>
        <v>2</v>
      </c>
      <c r="I3019" s="12">
        <f t="shared" si="277"/>
        <v>2026</v>
      </c>
    </row>
    <row r="3020" spans="1:9" ht="19.5" customHeight="1" x14ac:dyDescent="0.35">
      <c r="A3020" s="41">
        <v>46078</v>
      </c>
      <c r="B3020" s="8" t="s">
        <v>24</v>
      </c>
      <c r="C3020" s="42" t="s">
        <v>33</v>
      </c>
      <c r="D3020" s="43" t="s">
        <v>30</v>
      </c>
      <c r="E3020" s="46">
        <v>0</v>
      </c>
      <c r="F3020" s="2">
        <f>IF(C3020="GBP",E3020*$C$3,IF(C3020="TRY",E3020/$C$1,IF(C3020="EUR",E3020*$E$1,IF(C3020="RUB",E3020/#REF!,IF(C3020="EGP",E3020/$E$2,E3020)))))</f>
        <v>0</v>
      </c>
      <c r="G3020" s="15" t="str">
        <f>VLOOKUP(B3020,SPECIFICATIONF!$C$2:$D$65,2,0)</f>
        <v>GLOBAL RETAIL</v>
      </c>
      <c r="H3020" s="12">
        <f t="shared" si="276"/>
        <v>2</v>
      </c>
      <c r="I3020" s="12">
        <f t="shared" si="277"/>
        <v>2026</v>
      </c>
    </row>
    <row r="3021" spans="1:9" ht="19.5" customHeight="1" x14ac:dyDescent="0.35">
      <c r="A3021" s="41">
        <v>46078</v>
      </c>
      <c r="B3021" s="8" t="s">
        <v>24</v>
      </c>
      <c r="C3021" s="42" t="s">
        <v>11</v>
      </c>
      <c r="D3021" s="43" t="s">
        <v>29</v>
      </c>
      <c r="E3021" s="46">
        <v>4535759</v>
      </c>
      <c r="F3021" s="2">
        <f>IF(C3021="GBP",E3021*$C$3,IF(C3021="TRY",E3021/$C$1,IF(C3021="EUR",E3021*$E$1,IF(C3021="RUB",E3021/#REF!,IF(C3021="EGP",E3021/$E$2,E3021)))))</f>
        <v>124380.16392948125</v>
      </c>
      <c r="G3021" s="15" t="str">
        <f>VLOOKUP(B3021,SPECIFICATIONF!$C$2:$D$65,2,0)</f>
        <v>GLOBAL RETAIL</v>
      </c>
      <c r="H3021" s="12">
        <f t="shared" si="276"/>
        <v>2</v>
      </c>
      <c r="I3021" s="12">
        <f t="shared" si="277"/>
        <v>2026</v>
      </c>
    </row>
    <row r="3022" spans="1:9" ht="19.5" customHeight="1" x14ac:dyDescent="0.35">
      <c r="A3022" s="41">
        <v>46078</v>
      </c>
      <c r="B3022" s="8" t="s">
        <v>24</v>
      </c>
      <c r="C3022" s="42" t="s">
        <v>33</v>
      </c>
      <c r="D3022" s="43" t="s">
        <v>29</v>
      </c>
      <c r="E3022" s="46">
        <v>0</v>
      </c>
      <c r="F3022" s="2">
        <f>IF(C3022="GBP",E3022*$C$3,IF(C3022="TRY",E3022/$C$1,IF(C3022="EUR",E3022*$E$1,IF(C3022="RUB",E3022/#REF!,IF(C3022="EGP",E3022/$E$2,E3022)))))</f>
        <v>0</v>
      </c>
      <c r="G3022" s="15" t="str">
        <f>VLOOKUP(B3022,SPECIFICATIONF!$C$2:$D$65,2,0)</f>
        <v>GLOBAL RETAIL</v>
      </c>
      <c r="H3022" s="12">
        <f t="shared" si="276"/>
        <v>2</v>
      </c>
      <c r="I3022" s="12">
        <f t="shared" si="277"/>
        <v>2026</v>
      </c>
    </row>
    <row r="3023" spans="1:9" ht="19.5" customHeight="1" x14ac:dyDescent="0.35">
      <c r="A3023" s="41">
        <v>46079</v>
      </c>
      <c r="B3023" s="8" t="s">
        <v>32</v>
      </c>
      <c r="C3023" s="42" t="s">
        <v>11</v>
      </c>
      <c r="D3023" s="43" t="s">
        <v>30</v>
      </c>
      <c r="E3023" s="46">
        <v>1549295.48</v>
      </c>
      <c r="F3023" s="2">
        <f>IF(C3023="GBP",E3023*$C$3,IF(C3023="TRY",E3023/$C$1,IF(C3023="EUR",E3023*$E$1,IF(C3023="RUB",E3023/#REF!,IF(C3023="EGP",E3023/$E$2,E3023)))))</f>
        <v>42484.978980938875</v>
      </c>
      <c r="G3023" s="15" t="str">
        <f>VLOOKUP(B3023,SPECIFICATIONF!$C$2:$D$65,2,0)</f>
        <v>GLOBAL HFT</v>
      </c>
      <c r="H3023" s="12">
        <f t="shared" ref="H3023:H3030" si="278">MONTH(A3023)</f>
        <v>2</v>
      </c>
      <c r="I3023" s="12">
        <f t="shared" ref="I3023:I3030" si="279">YEAR(A3023)</f>
        <v>2026</v>
      </c>
    </row>
    <row r="3024" spans="1:9" ht="19.5" customHeight="1" x14ac:dyDescent="0.35">
      <c r="A3024" s="41">
        <v>46079</v>
      </c>
      <c r="B3024" s="8" t="s">
        <v>32</v>
      </c>
      <c r="C3024" s="42" t="s">
        <v>33</v>
      </c>
      <c r="D3024" s="43" t="s">
        <v>30</v>
      </c>
      <c r="E3024" s="46">
        <v>7053.05</v>
      </c>
      <c r="F3024" s="2">
        <f>IF(C3024="GBP",E3024*$C$3,IF(C3024="TRY",E3024/$C$1,IF(C3024="EUR",E3024*$E$1,IF(C3024="RUB",E3024/#REF!,IF(C3024="EGP",E3024/$E$2,E3024)))))</f>
        <v>7053.05</v>
      </c>
      <c r="G3024" s="15" t="str">
        <f>VLOOKUP(B3024,SPECIFICATIONF!$C$2:$D$65,2,0)</f>
        <v>GLOBAL HFT</v>
      </c>
      <c r="H3024" s="12">
        <f t="shared" si="278"/>
        <v>2</v>
      </c>
      <c r="I3024" s="12">
        <f t="shared" si="279"/>
        <v>2026</v>
      </c>
    </row>
    <row r="3025" spans="1:9" ht="19.5" customHeight="1" x14ac:dyDescent="0.35">
      <c r="A3025" s="41">
        <v>46079</v>
      </c>
      <c r="B3025" s="8" t="s">
        <v>32</v>
      </c>
      <c r="C3025" s="42" t="s">
        <v>11</v>
      </c>
      <c r="D3025" s="43" t="s">
        <v>29</v>
      </c>
      <c r="E3025" s="46">
        <v>5063738854</v>
      </c>
      <c r="F3025" s="2">
        <f>IF(C3025="GBP",E3025*$C$3,IF(C3025="TRY",E3025/$C$1,IF(C3025="EUR",E3025*$E$1,IF(C3025="RUB",E3025/#REF!,IF(C3025="EGP",E3025/$E$2,E3025)))))</f>
        <v>138858495.07361469</v>
      </c>
      <c r="G3025" s="15" t="str">
        <f>VLOOKUP(B3025,SPECIFICATIONF!$C$2:$D$65,2,0)</f>
        <v>GLOBAL HFT</v>
      </c>
      <c r="H3025" s="12">
        <f t="shared" si="278"/>
        <v>2</v>
      </c>
      <c r="I3025" s="12">
        <f t="shared" si="279"/>
        <v>2026</v>
      </c>
    </row>
    <row r="3026" spans="1:9" ht="19.5" customHeight="1" x14ac:dyDescent="0.35">
      <c r="A3026" s="41">
        <v>46079</v>
      </c>
      <c r="B3026" s="8" t="s">
        <v>32</v>
      </c>
      <c r="C3026" s="42" t="s">
        <v>33</v>
      </c>
      <c r="D3026" s="43" t="s">
        <v>29</v>
      </c>
      <c r="E3026" s="46">
        <v>21316023</v>
      </c>
      <c r="F3026" s="2">
        <f>IF(C3026="GBP",E3026*$C$3,IF(C3026="TRY",E3026/$C$1,IF(C3026="EUR",E3026*$E$1,IF(C3026="RUB",E3026/#REF!,IF(C3026="EGP",E3026/$E$2,E3026)))))</f>
        <v>21316023</v>
      </c>
      <c r="G3026" s="15" t="str">
        <f>VLOOKUP(B3026,SPECIFICATIONF!$C$2:$D$65,2,0)</f>
        <v>GLOBAL HFT</v>
      </c>
      <c r="H3026" s="12">
        <f t="shared" si="278"/>
        <v>2</v>
      </c>
      <c r="I3026" s="12">
        <f t="shared" si="279"/>
        <v>2026</v>
      </c>
    </row>
    <row r="3027" spans="1:9" ht="19.5" customHeight="1" x14ac:dyDescent="0.35">
      <c r="A3027" s="41">
        <v>46079</v>
      </c>
      <c r="B3027" s="8" t="s">
        <v>24</v>
      </c>
      <c r="C3027" s="42" t="s">
        <v>11</v>
      </c>
      <c r="D3027" s="43" t="s">
        <v>30</v>
      </c>
      <c r="E3027" s="46">
        <v>0</v>
      </c>
      <c r="F3027" s="2">
        <f>IF(C3027="GBP",E3027*$C$3,IF(C3027="TRY",E3027/$C$1,IF(C3027="EUR",E3027*$E$1,IF(C3027="RUB",E3027/#REF!,IF(C3027="EGP",E3027/$E$2,E3027)))))</f>
        <v>0</v>
      </c>
      <c r="G3027" s="15" t="str">
        <f>VLOOKUP(B3027,SPECIFICATIONF!$C$2:$D$65,2,0)</f>
        <v>GLOBAL RETAIL</v>
      </c>
      <c r="H3027" s="12">
        <f t="shared" si="278"/>
        <v>2</v>
      </c>
      <c r="I3027" s="12">
        <f t="shared" si="279"/>
        <v>2026</v>
      </c>
    </row>
    <row r="3028" spans="1:9" ht="19.5" customHeight="1" x14ac:dyDescent="0.35">
      <c r="A3028" s="41">
        <v>46079</v>
      </c>
      <c r="B3028" s="8" t="s">
        <v>24</v>
      </c>
      <c r="C3028" s="42" t="s">
        <v>33</v>
      </c>
      <c r="D3028" s="43" t="s">
        <v>30</v>
      </c>
      <c r="E3028" s="46">
        <v>0</v>
      </c>
      <c r="F3028" s="2">
        <f>IF(C3028="GBP",E3028*$C$3,IF(C3028="TRY",E3028/$C$1,IF(C3028="EUR",E3028*$E$1,IF(C3028="RUB",E3028/#REF!,IF(C3028="EGP",E3028/$E$2,E3028)))))</f>
        <v>0</v>
      </c>
      <c r="G3028" s="15" t="str">
        <f>VLOOKUP(B3028,SPECIFICATIONF!$C$2:$D$65,2,0)</f>
        <v>GLOBAL RETAIL</v>
      </c>
      <c r="H3028" s="12">
        <f t="shared" si="278"/>
        <v>2</v>
      </c>
      <c r="I3028" s="12">
        <f t="shared" si="279"/>
        <v>2026</v>
      </c>
    </row>
    <row r="3029" spans="1:9" ht="19.5" customHeight="1" x14ac:dyDescent="0.35">
      <c r="A3029" s="41">
        <v>46079</v>
      </c>
      <c r="B3029" s="8" t="s">
        <v>24</v>
      </c>
      <c r="C3029" s="42" t="s">
        <v>11</v>
      </c>
      <c r="D3029" s="43" t="s">
        <v>29</v>
      </c>
      <c r="E3029" s="46">
        <v>86730474</v>
      </c>
      <c r="F3029" s="2">
        <f>IF(C3029="GBP",E3029*$C$3,IF(C3029="TRY",E3029/$C$1,IF(C3029="EUR",E3029*$E$1,IF(C3029="RUB",E3029/#REF!,IF(C3029="EGP",E3029/$E$2,E3029)))))</f>
        <v>2378334.1605675281</v>
      </c>
      <c r="G3029" s="15" t="str">
        <f>VLOOKUP(B3029,SPECIFICATIONF!$C$2:$D$65,2,0)</f>
        <v>GLOBAL RETAIL</v>
      </c>
      <c r="H3029" s="12">
        <f t="shared" si="278"/>
        <v>2</v>
      </c>
      <c r="I3029" s="12">
        <f t="shared" si="279"/>
        <v>2026</v>
      </c>
    </row>
    <row r="3030" spans="1:9" ht="19.5" customHeight="1" x14ac:dyDescent="0.35">
      <c r="A3030" s="41">
        <v>46079</v>
      </c>
      <c r="B3030" s="8" t="s">
        <v>24</v>
      </c>
      <c r="C3030" s="42" t="s">
        <v>33</v>
      </c>
      <c r="D3030" s="43" t="s">
        <v>29</v>
      </c>
      <c r="E3030" s="46">
        <v>10659</v>
      </c>
      <c r="F3030" s="2">
        <f>IF(C3030="GBP",E3030*$C$3,IF(C3030="TRY",E3030/$C$1,IF(C3030="EUR",E3030*$E$1,IF(C3030="RUB",E3030/#REF!,IF(C3030="EGP",E3030/$E$2,E3030)))))</f>
        <v>10659</v>
      </c>
      <c r="G3030" s="15" t="str">
        <f>VLOOKUP(B3030,SPECIFICATIONF!$C$2:$D$65,2,0)</f>
        <v>GLOBAL RETAIL</v>
      </c>
      <c r="H3030" s="12">
        <f t="shared" si="278"/>
        <v>2</v>
      </c>
      <c r="I3030" s="12">
        <f t="shared" si="279"/>
        <v>2026</v>
      </c>
    </row>
    <row r="3031" spans="1:9" ht="19.5" customHeight="1" x14ac:dyDescent="0.35">
      <c r="A3031" s="41">
        <v>46080</v>
      </c>
      <c r="B3031" s="8" t="s">
        <v>32</v>
      </c>
      <c r="C3031" s="42" t="s">
        <v>11</v>
      </c>
      <c r="D3031" s="43" t="s">
        <v>30</v>
      </c>
      <c r="E3031" s="46">
        <v>1511328.52</v>
      </c>
      <c r="F3031" s="2">
        <f>IF(C3031="GBP",E3031*$C$3,IF(C3031="TRY",E3031/$C$1,IF(C3031="EUR",E3031*$E$1,IF(C3031="RUB",E3031/#REF!,IF(C3031="EGP",E3031/$E$2,E3031)))))</f>
        <v>41443.844143593225</v>
      </c>
      <c r="G3031" s="15" t="str">
        <f>VLOOKUP(B3031,SPECIFICATIONF!$C$2:$D$65,2,0)</f>
        <v>GLOBAL HFT</v>
      </c>
      <c r="H3031" s="12">
        <f t="shared" ref="H3031:H3038" si="280">MONTH(A3031)</f>
        <v>2</v>
      </c>
      <c r="I3031" s="12">
        <f t="shared" ref="I3031:I3038" si="281">YEAR(A3031)</f>
        <v>2026</v>
      </c>
    </row>
    <row r="3032" spans="1:9" ht="19.5" customHeight="1" x14ac:dyDescent="0.35">
      <c r="A3032" s="41">
        <v>46080</v>
      </c>
      <c r="B3032" s="8" t="s">
        <v>32</v>
      </c>
      <c r="C3032" s="42" t="s">
        <v>33</v>
      </c>
      <c r="D3032" s="43" t="s">
        <v>30</v>
      </c>
      <c r="E3032" s="46">
        <v>4768.07</v>
      </c>
      <c r="F3032" s="2">
        <f>IF(C3032="GBP",E3032*$C$3,IF(C3032="TRY",E3032/$C$1,IF(C3032="EUR",E3032*$E$1,IF(C3032="RUB",E3032/#REF!,IF(C3032="EGP",E3032/$E$2,E3032)))))</f>
        <v>4768.07</v>
      </c>
      <c r="G3032" s="15" t="str">
        <f>VLOOKUP(B3032,SPECIFICATIONF!$C$2:$D$65,2,0)</f>
        <v>GLOBAL HFT</v>
      </c>
      <c r="H3032" s="12">
        <f t="shared" si="280"/>
        <v>2</v>
      </c>
      <c r="I3032" s="12">
        <f t="shared" si="281"/>
        <v>2026</v>
      </c>
    </row>
    <row r="3033" spans="1:9" ht="19.5" customHeight="1" x14ac:dyDescent="0.35">
      <c r="A3033" s="41">
        <v>46080</v>
      </c>
      <c r="B3033" s="8" t="s">
        <v>32</v>
      </c>
      <c r="C3033" s="42" t="s">
        <v>11</v>
      </c>
      <c r="D3033" s="43" t="s">
        <v>29</v>
      </c>
      <c r="E3033" s="46">
        <v>5152210447</v>
      </c>
      <c r="F3033" s="2">
        <f>IF(C3033="GBP",E3033*$C$3,IF(C3033="TRY",E3033/$C$1,IF(C3033="EUR",E3033*$E$1,IF(C3033="RUB",E3033/#REF!,IF(C3033="EGP",E3033/$E$2,E3033)))))</f>
        <v>141284574.42228431</v>
      </c>
      <c r="G3033" s="15" t="str">
        <f>VLOOKUP(B3033,SPECIFICATIONF!$C$2:$D$65,2,0)</f>
        <v>GLOBAL HFT</v>
      </c>
      <c r="H3033" s="12">
        <f t="shared" si="280"/>
        <v>2</v>
      </c>
      <c r="I3033" s="12">
        <f t="shared" si="281"/>
        <v>2026</v>
      </c>
    </row>
    <row r="3034" spans="1:9" ht="19.5" customHeight="1" x14ac:dyDescent="0.35">
      <c r="A3034" s="41">
        <v>46080</v>
      </c>
      <c r="B3034" s="8" t="s">
        <v>32</v>
      </c>
      <c r="C3034" s="42" t="s">
        <v>33</v>
      </c>
      <c r="D3034" s="43" t="s">
        <v>29</v>
      </c>
      <c r="E3034" s="46">
        <v>14359254</v>
      </c>
      <c r="F3034" s="2">
        <f>IF(C3034="GBP",E3034*$C$3,IF(C3034="TRY",E3034/$C$1,IF(C3034="EUR",E3034*$E$1,IF(C3034="RUB",E3034/#REF!,IF(C3034="EGP",E3034/$E$2,E3034)))))</f>
        <v>14359254</v>
      </c>
      <c r="G3034" s="15" t="str">
        <f>VLOOKUP(B3034,SPECIFICATIONF!$C$2:$D$65,2,0)</f>
        <v>GLOBAL HFT</v>
      </c>
      <c r="H3034" s="12">
        <f t="shared" si="280"/>
        <v>2</v>
      </c>
      <c r="I3034" s="12">
        <f t="shared" si="281"/>
        <v>2026</v>
      </c>
    </row>
    <row r="3035" spans="1:9" ht="19.5" customHeight="1" x14ac:dyDescent="0.35">
      <c r="A3035" s="41">
        <v>46080</v>
      </c>
      <c r="B3035" s="8" t="s">
        <v>24</v>
      </c>
      <c r="C3035" s="42" t="s">
        <v>11</v>
      </c>
      <c r="D3035" s="43" t="s">
        <v>30</v>
      </c>
      <c r="E3035" s="46">
        <v>0</v>
      </c>
      <c r="F3035" s="2">
        <f>IF(C3035="GBP",E3035*$C$3,IF(C3035="TRY",E3035/$C$1,IF(C3035="EUR",E3035*$E$1,IF(C3035="RUB",E3035/#REF!,IF(C3035="EGP",E3035/$E$2,E3035)))))</f>
        <v>0</v>
      </c>
      <c r="G3035" s="15" t="str">
        <f>VLOOKUP(B3035,SPECIFICATIONF!$C$2:$D$65,2,0)</f>
        <v>GLOBAL RETAIL</v>
      </c>
      <c r="H3035" s="12">
        <f t="shared" si="280"/>
        <v>2</v>
      </c>
      <c r="I3035" s="12">
        <f t="shared" si="281"/>
        <v>2026</v>
      </c>
    </row>
    <row r="3036" spans="1:9" ht="19.5" customHeight="1" x14ac:dyDescent="0.35">
      <c r="A3036" s="41">
        <v>46080</v>
      </c>
      <c r="B3036" s="8" t="s">
        <v>24</v>
      </c>
      <c r="C3036" s="42" t="s">
        <v>33</v>
      </c>
      <c r="D3036" s="43" t="s">
        <v>30</v>
      </c>
      <c r="E3036" s="46">
        <v>0</v>
      </c>
      <c r="F3036" s="2">
        <f>IF(C3036="GBP",E3036*$C$3,IF(C3036="TRY",E3036/$C$1,IF(C3036="EUR",E3036*$E$1,IF(C3036="RUB",E3036/#REF!,IF(C3036="EGP",E3036/$E$2,E3036)))))</f>
        <v>0</v>
      </c>
      <c r="G3036" s="15" t="str">
        <f>VLOOKUP(B3036,SPECIFICATIONF!$C$2:$D$65,2,0)</f>
        <v>GLOBAL RETAIL</v>
      </c>
      <c r="H3036" s="12">
        <f t="shared" si="280"/>
        <v>2</v>
      </c>
      <c r="I3036" s="12">
        <f t="shared" si="281"/>
        <v>2026</v>
      </c>
    </row>
    <row r="3037" spans="1:9" ht="19.5" customHeight="1" x14ac:dyDescent="0.35">
      <c r="A3037" s="41">
        <v>46080</v>
      </c>
      <c r="B3037" s="8" t="s">
        <v>24</v>
      </c>
      <c r="C3037" s="42" t="s">
        <v>11</v>
      </c>
      <c r="D3037" s="43" t="s">
        <v>29</v>
      </c>
      <c r="E3037" s="46">
        <v>55511706</v>
      </c>
      <c r="F3037" s="2">
        <f>IF(C3037="GBP",E3037*$C$3,IF(C3037="TRY",E3037/$C$1,IF(C3037="EUR",E3037*$E$1,IF(C3037="RUB",E3037/#REF!,IF(C3037="EGP",E3037/$E$2,E3037)))))</f>
        <v>1522249.1080952864</v>
      </c>
      <c r="G3037" s="15" t="str">
        <f>VLOOKUP(B3037,SPECIFICATIONF!$C$2:$D$65,2,0)</f>
        <v>GLOBAL RETAIL</v>
      </c>
      <c r="H3037" s="12">
        <f t="shared" si="280"/>
        <v>2</v>
      </c>
      <c r="I3037" s="12">
        <f t="shared" si="281"/>
        <v>2026</v>
      </c>
    </row>
    <row r="3038" spans="1:9" ht="19.5" customHeight="1" x14ac:dyDescent="0.35">
      <c r="A3038" s="41">
        <v>46080</v>
      </c>
      <c r="B3038" s="8" t="s">
        <v>24</v>
      </c>
      <c r="C3038" s="42" t="s">
        <v>33</v>
      </c>
      <c r="D3038" s="43" t="s">
        <v>29</v>
      </c>
      <c r="E3038" s="46">
        <v>0</v>
      </c>
      <c r="F3038" s="2">
        <f>IF(C3038="GBP",E3038*$C$3,IF(C3038="TRY",E3038/$C$1,IF(C3038="EUR",E3038*$E$1,IF(C3038="RUB",E3038/#REF!,IF(C3038="EGP",E3038/$E$2,E3038)))))</f>
        <v>0</v>
      </c>
      <c r="G3038" s="15" t="str">
        <f>VLOOKUP(B3038,SPECIFICATIONF!$C$2:$D$65,2,0)</f>
        <v>GLOBAL RETAIL</v>
      </c>
      <c r="H3038" s="12">
        <f t="shared" si="280"/>
        <v>2</v>
      </c>
      <c r="I3038" s="12">
        <f t="shared" si="281"/>
        <v>2026</v>
      </c>
    </row>
    <row r="3039" spans="1:9" ht="19.5" customHeight="1" x14ac:dyDescent="0.35">
      <c r="A3039" s="41">
        <v>46081</v>
      </c>
      <c r="B3039" s="8" t="s">
        <v>32</v>
      </c>
      <c r="C3039" s="42" t="s">
        <v>11</v>
      </c>
      <c r="D3039" s="43" t="s">
        <v>30</v>
      </c>
      <c r="E3039" s="46">
        <v>1444613.08</v>
      </c>
      <c r="F3039" s="2">
        <f>IF(C3039="GBP",E3039*$C$3,IF(C3039="TRY",E3039/$C$1,IF(C3039="EUR",E3039*$E$1,IF(C3039="RUB",E3039/#REF!,IF(C3039="EGP",E3039/$E$2,E3039)))))</f>
        <v>39614.364807537793</v>
      </c>
      <c r="G3039" s="15" t="str">
        <f>VLOOKUP(B3039,SPECIFICATIONF!$C$2:$D$65,2,0)</f>
        <v>GLOBAL HFT</v>
      </c>
      <c r="H3039" s="12">
        <f t="shared" ref="H3039:H3062" si="282">MONTH(A3039)</f>
        <v>2</v>
      </c>
      <c r="I3039" s="12">
        <f t="shared" ref="I3039:I3062" si="283">YEAR(A3039)</f>
        <v>2026</v>
      </c>
    </row>
    <row r="3040" spans="1:9" ht="19.5" customHeight="1" x14ac:dyDescent="0.35">
      <c r="A3040" s="41">
        <v>46081</v>
      </c>
      <c r="B3040" s="8" t="s">
        <v>32</v>
      </c>
      <c r="C3040" s="42" t="s">
        <v>33</v>
      </c>
      <c r="D3040" s="43" t="s">
        <v>30</v>
      </c>
      <c r="E3040" s="46">
        <v>7161.97</v>
      </c>
      <c r="F3040" s="2">
        <f>IF(C3040="GBP",E3040*$C$3,IF(C3040="TRY",E3040/$C$1,IF(C3040="EUR",E3040*$E$1,IF(C3040="RUB",E3040/#REF!,IF(C3040="EGP",E3040/$E$2,E3040)))))</f>
        <v>7161.97</v>
      </c>
      <c r="G3040" s="15" t="str">
        <f>VLOOKUP(B3040,SPECIFICATIONF!$C$2:$D$65,2,0)</f>
        <v>GLOBAL HFT</v>
      </c>
      <c r="H3040" s="12">
        <f t="shared" si="282"/>
        <v>2</v>
      </c>
      <c r="I3040" s="12">
        <f t="shared" si="283"/>
        <v>2026</v>
      </c>
    </row>
    <row r="3041" spans="1:9" ht="19.5" customHeight="1" x14ac:dyDescent="0.35">
      <c r="A3041" s="41">
        <v>46081</v>
      </c>
      <c r="B3041" s="8" t="s">
        <v>32</v>
      </c>
      <c r="C3041" s="42" t="s">
        <v>11</v>
      </c>
      <c r="D3041" s="43" t="s">
        <v>29</v>
      </c>
      <c r="E3041" s="46">
        <v>4905158836</v>
      </c>
      <c r="F3041" s="2">
        <f>IF(C3041="GBP",E3041*$C$3,IF(C3041="TRY",E3041/$C$1,IF(C3041="EUR",E3041*$E$1,IF(C3041="RUB",E3041/#REF!,IF(C3041="EGP",E3041/$E$2,E3041)))))</f>
        <v>134509893.51987693</v>
      </c>
      <c r="G3041" s="15" t="str">
        <f>VLOOKUP(B3041,SPECIFICATIONF!$C$2:$D$65,2,0)</f>
        <v>GLOBAL HFT</v>
      </c>
      <c r="H3041" s="12">
        <f t="shared" si="282"/>
        <v>2</v>
      </c>
      <c r="I3041" s="12">
        <f t="shared" si="283"/>
        <v>2026</v>
      </c>
    </row>
    <row r="3042" spans="1:9" ht="19.5" customHeight="1" x14ac:dyDescent="0.35">
      <c r="A3042" s="41">
        <v>46081</v>
      </c>
      <c r="B3042" s="8" t="s">
        <v>32</v>
      </c>
      <c r="C3042" s="42" t="s">
        <v>33</v>
      </c>
      <c r="D3042" s="43" t="s">
        <v>29</v>
      </c>
      <c r="E3042" s="46">
        <v>22547829</v>
      </c>
      <c r="F3042" s="2">
        <f>IF(C3042="GBP",E3042*$C$3,IF(C3042="TRY",E3042/$C$1,IF(C3042="EUR",E3042*$E$1,IF(C3042="RUB",E3042/#REF!,IF(C3042="EGP",E3042/$E$2,E3042)))))</f>
        <v>22547829</v>
      </c>
      <c r="G3042" s="15" t="str">
        <f>VLOOKUP(B3042,SPECIFICATIONF!$C$2:$D$65,2,0)</f>
        <v>GLOBAL HFT</v>
      </c>
      <c r="H3042" s="12">
        <f t="shared" si="282"/>
        <v>2</v>
      </c>
      <c r="I3042" s="12">
        <f t="shared" si="283"/>
        <v>2026</v>
      </c>
    </row>
    <row r="3043" spans="1:9" ht="19.5" customHeight="1" x14ac:dyDescent="0.35">
      <c r="A3043" s="41">
        <v>46081</v>
      </c>
      <c r="B3043" s="8" t="s">
        <v>24</v>
      </c>
      <c r="C3043" s="42" t="s">
        <v>11</v>
      </c>
      <c r="D3043" s="43" t="s">
        <v>30</v>
      </c>
      <c r="E3043" s="46">
        <v>0</v>
      </c>
      <c r="F3043" s="2">
        <f>IF(C3043="GBP",E3043*$C$3,IF(C3043="TRY",E3043/$C$1,IF(C3043="EUR",E3043*$E$1,IF(C3043="RUB",E3043/#REF!,IF(C3043="EGP",E3043/$E$2,E3043)))))</f>
        <v>0</v>
      </c>
      <c r="G3043" s="15" t="str">
        <f>VLOOKUP(B3043,SPECIFICATIONF!$C$2:$D$65,2,0)</f>
        <v>GLOBAL RETAIL</v>
      </c>
      <c r="H3043" s="12">
        <f t="shared" si="282"/>
        <v>2</v>
      </c>
      <c r="I3043" s="12">
        <f t="shared" si="283"/>
        <v>2026</v>
      </c>
    </row>
    <row r="3044" spans="1:9" ht="19.5" customHeight="1" x14ac:dyDescent="0.35">
      <c r="A3044" s="41">
        <v>46081</v>
      </c>
      <c r="B3044" s="8" t="s">
        <v>24</v>
      </c>
      <c r="C3044" s="42" t="s">
        <v>33</v>
      </c>
      <c r="D3044" s="43" t="s">
        <v>30</v>
      </c>
      <c r="E3044" s="46">
        <v>0</v>
      </c>
      <c r="F3044" s="2">
        <f>IF(C3044="GBP",E3044*$C$3,IF(C3044="TRY",E3044/$C$1,IF(C3044="EUR",E3044*$E$1,IF(C3044="RUB",E3044/#REF!,IF(C3044="EGP",E3044/$E$2,E3044)))))</f>
        <v>0</v>
      </c>
      <c r="G3044" s="15" t="str">
        <f>VLOOKUP(B3044,SPECIFICATIONF!$C$2:$D$65,2,0)</f>
        <v>GLOBAL RETAIL</v>
      </c>
      <c r="H3044" s="12">
        <f t="shared" si="282"/>
        <v>2</v>
      </c>
      <c r="I3044" s="12">
        <f t="shared" si="283"/>
        <v>2026</v>
      </c>
    </row>
    <row r="3045" spans="1:9" ht="19.5" customHeight="1" x14ac:dyDescent="0.35">
      <c r="A3045" s="41">
        <v>46081</v>
      </c>
      <c r="B3045" s="8" t="s">
        <v>24</v>
      </c>
      <c r="C3045" s="42" t="s">
        <v>11</v>
      </c>
      <c r="D3045" s="43" t="s">
        <v>29</v>
      </c>
      <c r="E3045" s="46">
        <v>39172437</v>
      </c>
      <c r="F3045" s="2">
        <f>IF(C3045="GBP",E3045*$C$3,IF(C3045="TRY",E3045/$C$1,IF(C3045="EUR",E3045*$E$1,IF(C3045="RUB",E3045/#REF!,IF(C3045="EGP",E3045/$E$2,E3045)))))</f>
        <v>1074191.5819551428</v>
      </c>
      <c r="G3045" s="15" t="str">
        <f>VLOOKUP(B3045,SPECIFICATIONF!$C$2:$D$65,2,0)</f>
        <v>GLOBAL RETAIL</v>
      </c>
      <c r="H3045" s="12">
        <f t="shared" si="282"/>
        <v>2</v>
      </c>
      <c r="I3045" s="12">
        <f t="shared" si="283"/>
        <v>2026</v>
      </c>
    </row>
    <row r="3046" spans="1:9" ht="19.5" customHeight="1" x14ac:dyDescent="0.35">
      <c r="A3046" s="41">
        <v>46081</v>
      </c>
      <c r="B3046" s="8" t="s">
        <v>24</v>
      </c>
      <c r="C3046" s="42" t="s">
        <v>33</v>
      </c>
      <c r="D3046" s="43" t="s">
        <v>29</v>
      </c>
      <c r="E3046" s="46">
        <v>0</v>
      </c>
      <c r="F3046" s="2">
        <f>IF(C3046="GBP",E3046*$C$3,IF(C3046="TRY",E3046/$C$1,IF(C3046="EUR",E3046*$E$1,IF(C3046="RUB",E3046/#REF!,IF(C3046="EGP",E3046/$E$2,E3046)))))</f>
        <v>0</v>
      </c>
      <c r="G3046" s="15" t="str">
        <f>VLOOKUP(B3046,SPECIFICATIONF!$C$2:$D$65,2,0)</f>
        <v>GLOBAL RETAIL</v>
      </c>
      <c r="H3046" s="12">
        <f t="shared" si="282"/>
        <v>2</v>
      </c>
      <c r="I3046" s="12">
        <f t="shared" si="283"/>
        <v>2026</v>
      </c>
    </row>
    <row r="3047" spans="1:9" ht="19.5" customHeight="1" x14ac:dyDescent="0.35">
      <c r="A3047" s="41">
        <v>46082</v>
      </c>
      <c r="B3047" s="8" t="s">
        <v>32</v>
      </c>
      <c r="C3047" s="42" t="s">
        <v>11</v>
      </c>
      <c r="D3047" s="43" t="s">
        <v>30</v>
      </c>
      <c r="E3047" s="46">
        <v>1258607.32</v>
      </c>
      <c r="F3047" s="2">
        <f>IF(C3047="GBP",E3047*$C$3,IF(C3047="TRY",E3047/$C$1,IF(C3047="EUR",E3047*$E$1,IF(C3047="RUB",E3047/#REF!,IF(C3047="EGP",E3047/$E$2,E3047)))))</f>
        <v>34513.691045852538</v>
      </c>
      <c r="G3047" s="15" t="str">
        <f>VLOOKUP(B3047,SPECIFICATIONF!$C$2:$D$65,2,0)</f>
        <v>GLOBAL HFT</v>
      </c>
      <c r="H3047" s="12">
        <f t="shared" si="282"/>
        <v>3</v>
      </c>
      <c r="I3047" s="12">
        <f t="shared" si="283"/>
        <v>2026</v>
      </c>
    </row>
    <row r="3048" spans="1:9" ht="19.5" customHeight="1" x14ac:dyDescent="0.35">
      <c r="A3048" s="41">
        <v>46082</v>
      </c>
      <c r="B3048" s="8" t="s">
        <v>32</v>
      </c>
      <c r="C3048" s="42" t="s">
        <v>33</v>
      </c>
      <c r="D3048" s="43" t="s">
        <v>30</v>
      </c>
      <c r="E3048" s="46">
        <v>6377.47</v>
      </c>
      <c r="F3048" s="2">
        <f>IF(C3048="GBP",E3048*$C$3,IF(C3048="TRY",E3048/$C$1,IF(C3048="EUR",E3048*$E$1,IF(C3048="RUB",E3048/#REF!,IF(C3048="EGP",E3048/$E$2,E3048)))))</f>
        <v>6377.47</v>
      </c>
      <c r="G3048" s="15" t="str">
        <f>VLOOKUP(B3048,SPECIFICATIONF!$C$2:$D$65,2,0)</f>
        <v>GLOBAL HFT</v>
      </c>
      <c r="H3048" s="12">
        <f t="shared" si="282"/>
        <v>3</v>
      </c>
      <c r="I3048" s="12">
        <f t="shared" si="283"/>
        <v>2026</v>
      </c>
    </row>
    <row r="3049" spans="1:9" ht="19.5" customHeight="1" x14ac:dyDescent="0.35">
      <c r="A3049" s="41">
        <v>46082</v>
      </c>
      <c r="B3049" s="8" t="s">
        <v>32</v>
      </c>
      <c r="C3049" s="42" t="s">
        <v>11</v>
      </c>
      <c r="D3049" s="43" t="s">
        <v>29</v>
      </c>
      <c r="E3049" s="46">
        <v>4235336314</v>
      </c>
      <c r="F3049" s="2">
        <f>IF(C3049="GBP",E3049*$C$3,IF(C3049="TRY",E3049/$C$1,IF(C3049="EUR",E3049*$E$1,IF(C3049="RUB",E3049/#REF!,IF(C3049="EGP",E3049/$E$2,E3049)))))</f>
        <v>116141934.57628699</v>
      </c>
      <c r="G3049" s="15" t="str">
        <f>VLOOKUP(B3049,SPECIFICATIONF!$C$2:$D$65,2,0)</f>
        <v>GLOBAL HFT</v>
      </c>
      <c r="H3049" s="12">
        <f t="shared" si="282"/>
        <v>3</v>
      </c>
      <c r="I3049" s="12">
        <f t="shared" si="283"/>
        <v>2026</v>
      </c>
    </row>
    <row r="3050" spans="1:9" ht="19.5" customHeight="1" x14ac:dyDescent="0.35">
      <c r="A3050" s="41">
        <v>46082</v>
      </c>
      <c r="B3050" s="8" t="s">
        <v>32</v>
      </c>
      <c r="C3050" s="42" t="s">
        <v>33</v>
      </c>
      <c r="D3050" s="43" t="s">
        <v>29</v>
      </c>
      <c r="E3050" s="46">
        <v>19568793</v>
      </c>
      <c r="F3050" s="2">
        <f>IF(C3050="GBP",E3050*$C$3,IF(C3050="TRY",E3050/$C$1,IF(C3050="EUR",E3050*$E$1,IF(C3050="RUB",E3050/#REF!,IF(C3050="EGP",E3050/$E$2,E3050)))))</f>
        <v>19568793</v>
      </c>
      <c r="G3050" s="15" t="str">
        <f>VLOOKUP(B3050,SPECIFICATIONF!$C$2:$D$65,2,0)</f>
        <v>GLOBAL HFT</v>
      </c>
      <c r="H3050" s="12">
        <f t="shared" si="282"/>
        <v>3</v>
      </c>
      <c r="I3050" s="12">
        <f t="shared" si="283"/>
        <v>2026</v>
      </c>
    </row>
    <row r="3051" spans="1:9" ht="19.5" customHeight="1" x14ac:dyDescent="0.35">
      <c r="A3051" s="41">
        <v>46082</v>
      </c>
      <c r="B3051" s="8" t="s">
        <v>24</v>
      </c>
      <c r="C3051" s="42" t="s">
        <v>11</v>
      </c>
      <c r="D3051" s="43" t="s">
        <v>30</v>
      </c>
      <c r="E3051" s="46">
        <v>0</v>
      </c>
      <c r="F3051" s="2">
        <f>IF(C3051="GBP",E3051*$C$3,IF(C3051="TRY",E3051/$C$1,IF(C3051="EUR",E3051*$E$1,IF(C3051="RUB",E3051/#REF!,IF(C3051="EGP",E3051/$E$2,E3051)))))</f>
        <v>0</v>
      </c>
      <c r="G3051" s="15" t="str">
        <f>VLOOKUP(B3051,SPECIFICATIONF!$C$2:$D$65,2,0)</f>
        <v>GLOBAL RETAIL</v>
      </c>
      <c r="H3051" s="12">
        <f t="shared" si="282"/>
        <v>3</v>
      </c>
      <c r="I3051" s="12">
        <f t="shared" si="283"/>
        <v>2026</v>
      </c>
    </row>
    <row r="3052" spans="1:9" ht="19.5" customHeight="1" x14ac:dyDescent="0.35">
      <c r="A3052" s="41">
        <v>46082</v>
      </c>
      <c r="B3052" s="8" t="s">
        <v>24</v>
      </c>
      <c r="C3052" s="42" t="s">
        <v>33</v>
      </c>
      <c r="D3052" s="43" t="s">
        <v>30</v>
      </c>
      <c r="E3052" s="46">
        <v>0</v>
      </c>
      <c r="F3052" s="2">
        <f>IF(C3052="GBP",E3052*$C$3,IF(C3052="TRY",E3052/$C$1,IF(C3052="EUR",E3052*$E$1,IF(C3052="RUB",E3052/#REF!,IF(C3052="EGP",E3052/$E$2,E3052)))))</f>
        <v>0</v>
      </c>
      <c r="G3052" s="15" t="str">
        <f>VLOOKUP(B3052,SPECIFICATIONF!$C$2:$D$65,2,0)</f>
        <v>GLOBAL RETAIL</v>
      </c>
      <c r="H3052" s="12">
        <f t="shared" si="282"/>
        <v>3</v>
      </c>
      <c r="I3052" s="12">
        <f t="shared" si="283"/>
        <v>2026</v>
      </c>
    </row>
    <row r="3053" spans="1:9" ht="19.5" customHeight="1" x14ac:dyDescent="0.35">
      <c r="A3053" s="41">
        <v>46082</v>
      </c>
      <c r="B3053" s="8" t="s">
        <v>24</v>
      </c>
      <c r="C3053" s="42" t="s">
        <v>11</v>
      </c>
      <c r="D3053" s="43" t="s">
        <v>29</v>
      </c>
      <c r="E3053" s="46">
        <v>11516474</v>
      </c>
      <c r="F3053" s="2">
        <f>IF(C3053="GBP",E3053*$C$3,IF(C3053="TRY",E3053/$C$1,IF(C3053="EUR",E3053*$E$1,IF(C3053="RUB",E3053/#REF!,IF(C3053="EGP",E3053/$E$2,E3053)))))</f>
        <v>315806.22427461616</v>
      </c>
      <c r="G3053" s="15" t="str">
        <f>VLOOKUP(B3053,SPECIFICATIONF!$C$2:$D$65,2,0)</f>
        <v>GLOBAL RETAIL</v>
      </c>
      <c r="H3053" s="12">
        <f t="shared" si="282"/>
        <v>3</v>
      </c>
      <c r="I3053" s="12">
        <f t="shared" si="283"/>
        <v>2026</v>
      </c>
    </row>
    <row r="3054" spans="1:9" ht="19.5" customHeight="1" x14ac:dyDescent="0.35">
      <c r="A3054" s="41">
        <v>46082</v>
      </c>
      <c r="B3054" s="8" t="s">
        <v>24</v>
      </c>
      <c r="C3054" s="42" t="s">
        <v>33</v>
      </c>
      <c r="D3054" s="43" t="s">
        <v>29</v>
      </c>
      <c r="E3054" s="46">
        <v>0</v>
      </c>
      <c r="F3054" s="2">
        <f>IF(C3054="GBP",E3054*$C$3,IF(C3054="TRY",E3054/$C$1,IF(C3054="EUR",E3054*$E$1,IF(C3054="RUB",E3054/#REF!,IF(C3054="EGP",E3054/$E$2,E3054)))))</f>
        <v>0</v>
      </c>
      <c r="G3054" s="15" t="str">
        <f>VLOOKUP(B3054,SPECIFICATIONF!$C$2:$D$65,2,0)</f>
        <v>GLOBAL RETAIL</v>
      </c>
      <c r="H3054" s="12">
        <f t="shared" si="282"/>
        <v>3</v>
      </c>
      <c r="I3054" s="12">
        <f t="shared" si="283"/>
        <v>2026</v>
      </c>
    </row>
    <row r="3055" spans="1:9" ht="19.5" customHeight="1" x14ac:dyDescent="0.35">
      <c r="A3055" s="41">
        <v>46083</v>
      </c>
      <c r="B3055" s="8" t="s">
        <v>32</v>
      </c>
      <c r="C3055" s="42" t="s">
        <v>11</v>
      </c>
      <c r="D3055" s="43" t="s">
        <v>30</v>
      </c>
      <c r="E3055" s="46">
        <v>1074596.73</v>
      </c>
      <c r="F3055" s="2">
        <f>IF(C3055="GBP",E3055*$C$3,IF(C3055="TRY",E3055/$C$1,IF(C3055="EUR",E3055*$E$1,IF(C3055="RUB",E3055/#REF!,IF(C3055="EGP",E3055/$E$2,E3055)))))</f>
        <v>29467.72909131294</v>
      </c>
      <c r="G3055" s="15" t="str">
        <f>VLOOKUP(B3055,SPECIFICATIONF!$C$2:$D$65,2,0)</f>
        <v>GLOBAL HFT</v>
      </c>
      <c r="H3055" s="12">
        <f t="shared" si="282"/>
        <v>3</v>
      </c>
      <c r="I3055" s="12">
        <f t="shared" si="283"/>
        <v>2026</v>
      </c>
    </row>
    <row r="3056" spans="1:9" ht="19.5" customHeight="1" x14ac:dyDescent="0.35">
      <c r="A3056" s="41">
        <v>46083</v>
      </c>
      <c r="B3056" s="8" t="s">
        <v>32</v>
      </c>
      <c r="C3056" s="42" t="s">
        <v>33</v>
      </c>
      <c r="D3056" s="43" t="s">
        <v>30</v>
      </c>
      <c r="E3056" s="46">
        <v>5455.19</v>
      </c>
      <c r="F3056" s="2">
        <f>IF(C3056="GBP",E3056*$C$3,IF(C3056="TRY",E3056/$C$1,IF(C3056="EUR",E3056*$E$1,IF(C3056="RUB",E3056/#REF!,IF(C3056="EGP",E3056/$E$2,E3056)))))</f>
        <v>5455.19</v>
      </c>
      <c r="G3056" s="15" t="str">
        <f>VLOOKUP(B3056,SPECIFICATIONF!$C$2:$D$65,2,0)</f>
        <v>GLOBAL HFT</v>
      </c>
      <c r="H3056" s="12">
        <f t="shared" si="282"/>
        <v>3</v>
      </c>
      <c r="I3056" s="12">
        <f t="shared" si="283"/>
        <v>2026</v>
      </c>
    </row>
    <row r="3057" spans="1:9" ht="19.5" customHeight="1" x14ac:dyDescent="0.35">
      <c r="A3057" s="41">
        <v>46083</v>
      </c>
      <c r="B3057" s="8" t="s">
        <v>32</v>
      </c>
      <c r="C3057" s="42" t="s">
        <v>11</v>
      </c>
      <c r="D3057" s="43" t="s">
        <v>29</v>
      </c>
      <c r="E3057" s="46">
        <v>3551948053</v>
      </c>
      <c r="F3057" s="2">
        <f>IF(C3057="GBP",E3057*$C$3,IF(C3057="TRY",E3057/$C$1,IF(C3057="EUR",E3057*$E$1,IF(C3057="RUB",E3057/#REF!,IF(C3057="EGP",E3057/$E$2,E3057)))))</f>
        <v>97401974.201261953</v>
      </c>
      <c r="G3057" s="15" t="str">
        <f>VLOOKUP(B3057,SPECIFICATIONF!$C$2:$D$65,2,0)</f>
        <v>GLOBAL HFT</v>
      </c>
      <c r="H3057" s="12">
        <f t="shared" si="282"/>
        <v>3</v>
      </c>
      <c r="I3057" s="12">
        <f t="shared" si="283"/>
        <v>2026</v>
      </c>
    </row>
    <row r="3058" spans="1:9" ht="19.5" customHeight="1" x14ac:dyDescent="0.35">
      <c r="A3058" s="41">
        <v>46083</v>
      </c>
      <c r="B3058" s="8" t="s">
        <v>32</v>
      </c>
      <c r="C3058" s="42" t="s">
        <v>33</v>
      </c>
      <c r="D3058" s="43" t="s">
        <v>29</v>
      </c>
      <c r="E3058" s="46">
        <v>16900267</v>
      </c>
      <c r="F3058" s="2">
        <f>IF(C3058="GBP",E3058*$C$3,IF(C3058="TRY",E3058/$C$1,IF(C3058="EUR",E3058*$E$1,IF(C3058="RUB",E3058/#REF!,IF(C3058="EGP",E3058/$E$2,E3058)))))</f>
        <v>16900267</v>
      </c>
      <c r="G3058" s="15" t="str">
        <f>VLOOKUP(B3058,SPECIFICATIONF!$C$2:$D$65,2,0)</f>
        <v>GLOBAL HFT</v>
      </c>
      <c r="H3058" s="12">
        <f t="shared" si="282"/>
        <v>3</v>
      </c>
      <c r="I3058" s="12">
        <f t="shared" si="283"/>
        <v>2026</v>
      </c>
    </row>
    <row r="3059" spans="1:9" ht="19.5" customHeight="1" x14ac:dyDescent="0.35">
      <c r="A3059" s="41">
        <v>46083</v>
      </c>
      <c r="B3059" s="8" t="s">
        <v>24</v>
      </c>
      <c r="C3059" s="42" t="s">
        <v>11</v>
      </c>
      <c r="D3059" s="43" t="s">
        <v>30</v>
      </c>
      <c r="E3059" s="46">
        <v>0</v>
      </c>
      <c r="F3059" s="2">
        <f>IF(C3059="GBP",E3059*$C$3,IF(C3059="TRY",E3059/$C$1,IF(C3059="EUR",E3059*$E$1,IF(C3059="RUB",E3059/#REF!,IF(C3059="EGP",E3059/$E$2,E3059)))))</f>
        <v>0</v>
      </c>
      <c r="G3059" s="15" t="str">
        <f>VLOOKUP(B3059,SPECIFICATIONF!$C$2:$D$65,2,0)</f>
        <v>GLOBAL RETAIL</v>
      </c>
      <c r="H3059" s="12">
        <f t="shared" si="282"/>
        <v>3</v>
      </c>
      <c r="I3059" s="12">
        <f t="shared" si="283"/>
        <v>2026</v>
      </c>
    </row>
    <row r="3060" spans="1:9" ht="19.5" customHeight="1" x14ac:dyDescent="0.35">
      <c r="A3060" s="41">
        <v>46083</v>
      </c>
      <c r="B3060" s="8" t="s">
        <v>24</v>
      </c>
      <c r="C3060" s="42" t="s">
        <v>33</v>
      </c>
      <c r="D3060" s="43" t="s">
        <v>30</v>
      </c>
      <c r="E3060" s="46">
        <v>0</v>
      </c>
      <c r="F3060" s="2">
        <f>IF(C3060="GBP",E3060*$C$3,IF(C3060="TRY",E3060/$C$1,IF(C3060="EUR",E3060*$E$1,IF(C3060="RUB",E3060/#REF!,IF(C3060="EGP",E3060/$E$2,E3060)))))</f>
        <v>0</v>
      </c>
      <c r="G3060" s="15" t="str">
        <f>VLOOKUP(B3060,SPECIFICATIONF!$C$2:$D$65,2,0)</f>
        <v>GLOBAL RETAIL</v>
      </c>
      <c r="H3060" s="12">
        <f t="shared" si="282"/>
        <v>3</v>
      </c>
      <c r="I3060" s="12">
        <f t="shared" si="283"/>
        <v>2026</v>
      </c>
    </row>
    <row r="3061" spans="1:9" ht="19.5" customHeight="1" x14ac:dyDescent="0.35">
      <c r="A3061" s="41">
        <v>46083</v>
      </c>
      <c r="B3061" s="8" t="s">
        <v>24</v>
      </c>
      <c r="C3061" s="42" t="s">
        <v>11</v>
      </c>
      <c r="D3061" s="43" t="s">
        <v>29</v>
      </c>
      <c r="E3061" s="46">
        <v>9688700</v>
      </c>
      <c r="F3061" s="2">
        <f>IF(C3061="GBP",E3061*$C$3,IF(C3061="TRY",E3061/$C$1,IF(C3061="EUR",E3061*$E$1,IF(C3061="RUB",E3061/#REF!,IF(C3061="EGP",E3061/$E$2,E3061)))))</f>
        <v>265684.77166965109</v>
      </c>
      <c r="G3061" s="15" t="str">
        <f>VLOOKUP(B3061,SPECIFICATIONF!$C$2:$D$65,2,0)</f>
        <v>GLOBAL RETAIL</v>
      </c>
      <c r="H3061" s="12">
        <f t="shared" si="282"/>
        <v>3</v>
      </c>
      <c r="I3061" s="12">
        <f t="shared" si="283"/>
        <v>2026</v>
      </c>
    </row>
    <row r="3062" spans="1:9" ht="19.5" customHeight="1" x14ac:dyDescent="0.35">
      <c r="A3062" s="41">
        <v>46083</v>
      </c>
      <c r="B3062" s="8" t="s">
        <v>24</v>
      </c>
      <c r="C3062" s="42" t="s">
        <v>33</v>
      </c>
      <c r="D3062" s="43" t="s">
        <v>29</v>
      </c>
      <c r="E3062" s="46">
        <v>28</v>
      </c>
      <c r="F3062" s="2">
        <f>IF(C3062="GBP",E3062*$C$3,IF(C3062="TRY",E3062/$C$1,IF(C3062="EUR",E3062*$E$1,IF(C3062="RUB",E3062/#REF!,IF(C3062="EGP",E3062/$E$2,E3062)))))</f>
        <v>28</v>
      </c>
      <c r="G3062" s="15" t="str">
        <f>VLOOKUP(B3062,SPECIFICATIONF!$C$2:$D$65,2,0)</f>
        <v>GLOBAL RETAIL</v>
      </c>
      <c r="H3062" s="12">
        <f t="shared" si="282"/>
        <v>3</v>
      </c>
      <c r="I3062" s="12">
        <f t="shared" si="283"/>
        <v>2026</v>
      </c>
    </row>
    <row r="3063" spans="1:9" ht="19.5" customHeight="1" x14ac:dyDescent="0.35">
      <c r="A3063" s="41">
        <v>46084</v>
      </c>
      <c r="B3063" s="8" t="s">
        <v>32</v>
      </c>
      <c r="C3063" s="42" t="s">
        <v>11</v>
      </c>
      <c r="D3063" s="43" t="s">
        <v>30</v>
      </c>
      <c r="E3063" s="46">
        <v>1210332.79</v>
      </c>
      <c r="F3063" s="2">
        <f>IF(C3063="GBP",E3063*$C$3,IF(C3063="TRY",E3063/$C$1,IF(C3063="EUR",E3063*$E$1,IF(C3063="RUB",E3063/#REF!,IF(C3063="EGP",E3063/$E$2,E3063)))))</f>
        <v>33189.900704474465</v>
      </c>
      <c r="G3063" s="15" t="str">
        <f>VLOOKUP(B3063,SPECIFICATIONF!$C$2:$D$65,2,0)</f>
        <v>GLOBAL HFT</v>
      </c>
      <c r="H3063" s="12">
        <f t="shared" ref="H3063:H3070" si="284">MONTH(A3063)</f>
        <v>3</v>
      </c>
      <c r="I3063" s="12">
        <f t="shared" ref="I3063:I3070" si="285">YEAR(A3063)</f>
        <v>2026</v>
      </c>
    </row>
    <row r="3064" spans="1:9" ht="19.5" customHeight="1" x14ac:dyDescent="0.35">
      <c r="A3064" s="41">
        <v>46084</v>
      </c>
      <c r="B3064" s="8" t="s">
        <v>32</v>
      </c>
      <c r="C3064" s="42" t="s">
        <v>33</v>
      </c>
      <c r="D3064" s="43" t="s">
        <v>30</v>
      </c>
      <c r="E3064" s="46">
        <v>5383.48</v>
      </c>
      <c r="F3064" s="2">
        <f>IF(C3064="GBP",E3064*$C$3,IF(C3064="TRY",E3064/$C$1,IF(C3064="EUR",E3064*$E$1,IF(C3064="RUB",E3064/#REF!,IF(C3064="EGP",E3064/$E$2,E3064)))))</f>
        <v>5383.48</v>
      </c>
      <c r="G3064" s="15" t="str">
        <f>VLOOKUP(B3064,SPECIFICATIONF!$C$2:$D$65,2,0)</f>
        <v>GLOBAL HFT</v>
      </c>
      <c r="H3064" s="12">
        <f t="shared" si="284"/>
        <v>3</v>
      </c>
      <c r="I3064" s="12">
        <f t="shared" si="285"/>
        <v>2026</v>
      </c>
    </row>
    <row r="3065" spans="1:9" ht="19.5" customHeight="1" x14ac:dyDescent="0.35">
      <c r="A3065" s="41">
        <v>46084</v>
      </c>
      <c r="B3065" s="8" t="s">
        <v>32</v>
      </c>
      <c r="C3065" s="42" t="s">
        <v>11</v>
      </c>
      <c r="D3065" s="43" t="s">
        <v>29</v>
      </c>
      <c r="E3065" s="46">
        <v>4012610299</v>
      </c>
      <c r="F3065" s="2">
        <f>IF(C3065="GBP",E3065*$C$3,IF(C3065="TRY",E3065/$C$1,IF(C3065="EUR",E3065*$E$1,IF(C3065="RUB",E3065/#REF!,IF(C3065="EGP",E3065/$E$2,E3065)))))</f>
        <v>110034313.28135926</v>
      </c>
      <c r="G3065" s="15" t="str">
        <f>VLOOKUP(B3065,SPECIFICATIONF!$C$2:$D$65,2,0)</f>
        <v>GLOBAL HFT</v>
      </c>
      <c r="H3065" s="12">
        <f t="shared" si="284"/>
        <v>3</v>
      </c>
      <c r="I3065" s="12">
        <f t="shared" si="285"/>
        <v>2026</v>
      </c>
    </row>
    <row r="3066" spans="1:9" ht="19.5" customHeight="1" x14ac:dyDescent="0.35">
      <c r="A3066" s="41">
        <v>46084</v>
      </c>
      <c r="B3066" s="8" t="s">
        <v>32</v>
      </c>
      <c r="C3066" s="42" t="s">
        <v>33</v>
      </c>
      <c r="D3066" s="43" t="s">
        <v>29</v>
      </c>
      <c r="E3066" s="46">
        <v>15359336</v>
      </c>
      <c r="F3066" s="2">
        <f>IF(C3066="GBP",E3066*$C$3,IF(C3066="TRY",E3066/$C$1,IF(C3066="EUR",E3066*$E$1,IF(C3066="RUB",E3066/#REF!,IF(C3066="EGP",E3066/$E$2,E3066)))))</f>
        <v>15359336</v>
      </c>
      <c r="G3066" s="15" t="str">
        <f>VLOOKUP(B3066,SPECIFICATIONF!$C$2:$D$65,2,0)</f>
        <v>GLOBAL HFT</v>
      </c>
      <c r="H3066" s="12">
        <f t="shared" si="284"/>
        <v>3</v>
      </c>
      <c r="I3066" s="12">
        <f t="shared" si="285"/>
        <v>2026</v>
      </c>
    </row>
    <row r="3067" spans="1:9" ht="19.5" customHeight="1" x14ac:dyDescent="0.35">
      <c r="A3067" s="41">
        <v>46084</v>
      </c>
      <c r="B3067" s="8" t="s">
        <v>24</v>
      </c>
      <c r="C3067" s="42" t="s">
        <v>11</v>
      </c>
      <c r="D3067" s="43" t="s">
        <v>30</v>
      </c>
      <c r="E3067" s="46">
        <v>0</v>
      </c>
      <c r="F3067" s="2">
        <f>IF(C3067="GBP",E3067*$C$3,IF(C3067="TRY",E3067/$C$1,IF(C3067="EUR",E3067*$E$1,IF(C3067="RUB",E3067/#REF!,IF(C3067="EGP",E3067/$E$2,E3067)))))</f>
        <v>0</v>
      </c>
      <c r="G3067" s="15" t="str">
        <f>VLOOKUP(B3067,SPECIFICATIONF!$C$2:$D$65,2,0)</f>
        <v>GLOBAL RETAIL</v>
      </c>
      <c r="H3067" s="12">
        <f t="shared" si="284"/>
        <v>3</v>
      </c>
      <c r="I3067" s="12">
        <f t="shared" si="285"/>
        <v>2026</v>
      </c>
    </row>
    <row r="3068" spans="1:9" ht="19.5" customHeight="1" x14ac:dyDescent="0.35">
      <c r="A3068" s="41">
        <v>46084</v>
      </c>
      <c r="B3068" s="8" t="s">
        <v>24</v>
      </c>
      <c r="C3068" s="42" t="s">
        <v>33</v>
      </c>
      <c r="D3068" s="43" t="s">
        <v>30</v>
      </c>
      <c r="E3068" s="46">
        <v>0</v>
      </c>
      <c r="F3068" s="2">
        <f>IF(C3068="GBP",E3068*$C$3,IF(C3068="TRY",E3068/$C$1,IF(C3068="EUR",E3068*$E$1,IF(C3068="RUB",E3068/#REF!,IF(C3068="EGP",E3068/$E$2,E3068)))))</f>
        <v>0</v>
      </c>
      <c r="G3068" s="15" t="str">
        <f>VLOOKUP(B3068,SPECIFICATIONF!$C$2:$D$65,2,0)</f>
        <v>GLOBAL RETAIL</v>
      </c>
      <c r="H3068" s="12">
        <f t="shared" si="284"/>
        <v>3</v>
      </c>
      <c r="I3068" s="12">
        <f t="shared" si="285"/>
        <v>2026</v>
      </c>
    </row>
    <row r="3069" spans="1:9" ht="19.5" customHeight="1" x14ac:dyDescent="0.35">
      <c r="A3069" s="41">
        <v>46084</v>
      </c>
      <c r="B3069" s="8" t="s">
        <v>24</v>
      </c>
      <c r="C3069" s="42" t="s">
        <v>11</v>
      </c>
      <c r="D3069" s="43" t="s">
        <v>29</v>
      </c>
      <c r="E3069" s="46">
        <v>16615311</v>
      </c>
      <c r="F3069" s="2">
        <f>IF(C3069="GBP",E3069*$C$3,IF(C3069="TRY",E3069/$C$1,IF(C3069="EUR",E3069*$E$1,IF(C3069="RUB",E3069/#REF!,IF(C3069="EGP",E3069/$E$2,E3069)))))</f>
        <v>455627.18520082592</v>
      </c>
      <c r="G3069" s="15" t="str">
        <f>VLOOKUP(B3069,SPECIFICATIONF!$C$2:$D$65,2,0)</f>
        <v>GLOBAL RETAIL</v>
      </c>
      <c r="H3069" s="12">
        <f t="shared" si="284"/>
        <v>3</v>
      </c>
      <c r="I3069" s="12">
        <f t="shared" si="285"/>
        <v>2026</v>
      </c>
    </row>
    <row r="3070" spans="1:9" ht="19.5" customHeight="1" x14ac:dyDescent="0.35">
      <c r="A3070" s="41">
        <v>46084</v>
      </c>
      <c r="B3070" s="8" t="s">
        <v>24</v>
      </c>
      <c r="C3070" s="42" t="s">
        <v>33</v>
      </c>
      <c r="D3070" s="43" t="s">
        <v>29</v>
      </c>
      <c r="E3070" s="46">
        <v>0</v>
      </c>
      <c r="F3070" s="2">
        <f>IF(C3070="GBP",E3070*$C$3,IF(C3070="TRY",E3070/$C$1,IF(C3070="EUR",E3070*$E$1,IF(C3070="RUB",E3070/#REF!,IF(C3070="EGP",E3070/$E$2,E3070)))))</f>
        <v>0</v>
      </c>
      <c r="G3070" s="15" t="str">
        <f>VLOOKUP(B3070,SPECIFICATIONF!$C$2:$D$65,2,0)</f>
        <v>GLOBAL RETAIL</v>
      </c>
      <c r="H3070" s="12">
        <f t="shared" si="284"/>
        <v>3</v>
      </c>
      <c r="I3070" s="12">
        <f t="shared" si="285"/>
        <v>2026</v>
      </c>
    </row>
    <row r="3071" spans="1:9" ht="19.5" customHeight="1" x14ac:dyDescent="0.35">
      <c r="A3071" s="41">
        <v>46085</v>
      </c>
      <c r="B3071" s="8" t="s">
        <v>32</v>
      </c>
      <c r="C3071" s="42" t="s">
        <v>11</v>
      </c>
      <c r="D3071" s="43" t="s">
        <v>30</v>
      </c>
      <c r="E3071" s="46">
        <v>1453599.17</v>
      </c>
      <c r="F3071" s="2">
        <f>IF(C3071="GBP",E3071*$C$3,IF(C3071="TRY",E3071/$C$1,IF(C3071="EUR",E3071*$E$1,IF(C3071="RUB",E3071/#REF!,IF(C3071="EGP",E3071/$E$2,E3071)))))</f>
        <v>39860.782517844942</v>
      </c>
      <c r="G3071" s="15" t="str">
        <f>VLOOKUP(B3071,SPECIFICATIONF!$C$2:$D$65,2,0)</f>
        <v>GLOBAL HFT</v>
      </c>
      <c r="H3071" s="12">
        <f t="shared" ref="H3071:H3078" si="286">MONTH(A3071)</f>
        <v>3</v>
      </c>
      <c r="I3071" s="12">
        <f t="shared" ref="I3071:I3078" si="287">YEAR(A3071)</f>
        <v>2026</v>
      </c>
    </row>
    <row r="3072" spans="1:9" ht="19.5" customHeight="1" x14ac:dyDescent="0.35">
      <c r="A3072" s="41">
        <v>46085</v>
      </c>
      <c r="B3072" s="8" t="s">
        <v>32</v>
      </c>
      <c r="C3072" s="42" t="s">
        <v>33</v>
      </c>
      <c r="D3072" s="43" t="s">
        <v>30</v>
      </c>
      <c r="E3072" s="46">
        <v>7533.79</v>
      </c>
      <c r="F3072" s="2">
        <f>IF(C3072="GBP",E3072*$C$3,IF(C3072="TRY",E3072/$C$1,IF(C3072="EUR",E3072*$E$1,IF(C3072="RUB",E3072/#REF!,IF(C3072="EGP",E3072/$E$2,E3072)))))</f>
        <v>7533.79</v>
      </c>
      <c r="G3072" s="15" t="str">
        <f>VLOOKUP(B3072,SPECIFICATIONF!$C$2:$D$65,2,0)</f>
        <v>GLOBAL HFT</v>
      </c>
      <c r="H3072" s="12">
        <f t="shared" si="286"/>
        <v>3</v>
      </c>
      <c r="I3072" s="12">
        <f t="shared" si="287"/>
        <v>2026</v>
      </c>
    </row>
    <row r="3073" spans="1:9" ht="19.5" customHeight="1" x14ac:dyDescent="0.35">
      <c r="A3073" s="41">
        <v>46085</v>
      </c>
      <c r="B3073" s="8" t="s">
        <v>32</v>
      </c>
      <c r="C3073" s="42" t="s">
        <v>11</v>
      </c>
      <c r="D3073" s="43" t="s">
        <v>29</v>
      </c>
      <c r="E3073" s="46">
        <v>4692334586</v>
      </c>
      <c r="F3073" s="2">
        <f>IF(C3073="GBP",E3073*$C$3,IF(C3073="TRY",E3073/$C$1,IF(C3073="EUR",E3073*$E$1,IF(C3073="RUB",E3073/#REF!,IF(C3073="EGP",E3073/$E$2,E3073)))))</f>
        <v>128673799.69232371</v>
      </c>
      <c r="G3073" s="15" t="str">
        <f>VLOOKUP(B3073,SPECIFICATIONF!$C$2:$D$65,2,0)</f>
        <v>GLOBAL HFT</v>
      </c>
      <c r="H3073" s="12">
        <f t="shared" si="286"/>
        <v>3</v>
      </c>
      <c r="I3073" s="12">
        <f t="shared" si="287"/>
        <v>2026</v>
      </c>
    </row>
    <row r="3074" spans="1:9" ht="19.5" customHeight="1" x14ac:dyDescent="0.35">
      <c r="A3074" s="41">
        <v>46085</v>
      </c>
      <c r="B3074" s="8" t="s">
        <v>32</v>
      </c>
      <c r="C3074" s="42" t="s">
        <v>33</v>
      </c>
      <c r="D3074" s="43" t="s">
        <v>29</v>
      </c>
      <c r="E3074" s="46">
        <v>22055758</v>
      </c>
      <c r="F3074" s="2">
        <f>IF(C3074="GBP",E3074*$C$3,IF(C3074="TRY",E3074/$C$1,IF(C3074="EUR",E3074*$E$1,IF(C3074="RUB",E3074/#REF!,IF(C3074="EGP",E3074/$E$2,E3074)))))</f>
        <v>22055758</v>
      </c>
      <c r="G3074" s="15" t="str">
        <f>VLOOKUP(B3074,SPECIFICATIONF!$C$2:$D$65,2,0)</f>
        <v>GLOBAL HFT</v>
      </c>
      <c r="H3074" s="12">
        <f t="shared" si="286"/>
        <v>3</v>
      </c>
      <c r="I3074" s="12">
        <f t="shared" si="287"/>
        <v>2026</v>
      </c>
    </row>
    <row r="3075" spans="1:9" ht="19.5" customHeight="1" x14ac:dyDescent="0.35">
      <c r="A3075" s="41">
        <v>46085</v>
      </c>
      <c r="B3075" s="8" t="s">
        <v>24</v>
      </c>
      <c r="C3075" s="42" t="s">
        <v>11</v>
      </c>
      <c r="D3075" s="43" t="s">
        <v>30</v>
      </c>
      <c r="E3075" s="46">
        <v>0</v>
      </c>
      <c r="F3075" s="2">
        <f>IF(C3075="GBP",E3075*$C$3,IF(C3075="TRY",E3075/$C$1,IF(C3075="EUR",E3075*$E$1,IF(C3075="RUB",E3075/#REF!,IF(C3075="EGP",E3075/$E$2,E3075)))))</f>
        <v>0</v>
      </c>
      <c r="G3075" s="15" t="str">
        <f>VLOOKUP(B3075,SPECIFICATIONF!$C$2:$D$65,2,0)</f>
        <v>GLOBAL RETAIL</v>
      </c>
      <c r="H3075" s="12">
        <f t="shared" si="286"/>
        <v>3</v>
      </c>
      <c r="I3075" s="12">
        <f t="shared" si="287"/>
        <v>2026</v>
      </c>
    </row>
    <row r="3076" spans="1:9" ht="19.5" customHeight="1" x14ac:dyDescent="0.35">
      <c r="A3076" s="41">
        <v>46085</v>
      </c>
      <c r="B3076" s="8" t="s">
        <v>24</v>
      </c>
      <c r="C3076" s="42" t="s">
        <v>33</v>
      </c>
      <c r="D3076" s="43" t="s">
        <v>30</v>
      </c>
      <c r="E3076" s="46">
        <v>0</v>
      </c>
      <c r="F3076" s="2">
        <f>IF(C3076="GBP",E3076*$C$3,IF(C3076="TRY",E3076/$C$1,IF(C3076="EUR",E3076*$E$1,IF(C3076="RUB",E3076/#REF!,IF(C3076="EGP",E3076/$E$2,E3076)))))</f>
        <v>0</v>
      </c>
      <c r="G3076" s="15" t="str">
        <f>VLOOKUP(B3076,SPECIFICATIONF!$C$2:$D$65,2,0)</f>
        <v>GLOBAL RETAIL</v>
      </c>
      <c r="H3076" s="12">
        <f t="shared" si="286"/>
        <v>3</v>
      </c>
      <c r="I3076" s="12">
        <f t="shared" si="287"/>
        <v>2026</v>
      </c>
    </row>
    <row r="3077" spans="1:9" ht="19.5" customHeight="1" x14ac:dyDescent="0.35">
      <c r="A3077" s="41">
        <v>46085</v>
      </c>
      <c r="B3077" s="8" t="s">
        <v>24</v>
      </c>
      <c r="C3077" s="42" t="s">
        <v>11</v>
      </c>
      <c r="D3077" s="43" t="s">
        <v>29</v>
      </c>
      <c r="E3077" s="46">
        <v>2713084</v>
      </c>
      <c r="F3077" s="2">
        <f>IF(C3077="GBP",E3077*$C$3,IF(C3077="TRY",E3077/$C$1,IF(C3077="EUR",E3077*$E$1,IF(C3077="RUB",E3077/#REF!,IF(C3077="EGP",E3077/$E$2,E3077)))))</f>
        <v>74398.536755249283</v>
      </c>
      <c r="G3077" s="15" t="str">
        <f>VLOOKUP(B3077,SPECIFICATIONF!$C$2:$D$65,2,0)</f>
        <v>GLOBAL RETAIL</v>
      </c>
      <c r="H3077" s="12">
        <f t="shared" si="286"/>
        <v>3</v>
      </c>
      <c r="I3077" s="12">
        <f t="shared" si="287"/>
        <v>2026</v>
      </c>
    </row>
    <row r="3078" spans="1:9" ht="19.5" customHeight="1" x14ac:dyDescent="0.35">
      <c r="A3078" s="41">
        <v>46085</v>
      </c>
      <c r="B3078" s="8" t="s">
        <v>24</v>
      </c>
      <c r="C3078" s="42" t="s">
        <v>33</v>
      </c>
      <c r="D3078" s="43" t="s">
        <v>29</v>
      </c>
      <c r="E3078" s="46">
        <v>0</v>
      </c>
      <c r="F3078" s="2">
        <f>IF(C3078="GBP",E3078*$C$3,IF(C3078="TRY",E3078/$C$1,IF(C3078="EUR",E3078*$E$1,IF(C3078="RUB",E3078/#REF!,IF(C3078="EGP",E3078/$E$2,E3078)))))</f>
        <v>0</v>
      </c>
      <c r="G3078" s="15" t="str">
        <f>VLOOKUP(B3078,SPECIFICATIONF!$C$2:$D$65,2,0)</f>
        <v>GLOBAL RETAIL</v>
      </c>
      <c r="H3078" s="12">
        <f t="shared" si="286"/>
        <v>3</v>
      </c>
      <c r="I3078" s="12">
        <f t="shared" si="287"/>
        <v>2026</v>
      </c>
    </row>
    <row r="3079" spans="1:9" ht="19.5" customHeight="1" x14ac:dyDescent="0.35">
      <c r="A3079" s="41">
        <v>46086</v>
      </c>
      <c r="B3079" s="8" t="s">
        <v>32</v>
      </c>
      <c r="C3079" s="42" t="s">
        <v>11</v>
      </c>
      <c r="D3079" s="43" t="s">
        <v>30</v>
      </c>
      <c r="E3079" s="46">
        <v>1257751.49</v>
      </c>
      <c r="F3079" s="2">
        <f>IF(C3079="GBP",E3079*$C$3,IF(C3079="TRY",E3079/$C$1,IF(C3079="EUR",E3079*$E$1,IF(C3079="RUB",E3079/#REF!,IF(C3079="EGP",E3079/$E$2,E3079)))))</f>
        <v>34490.222366036047</v>
      </c>
      <c r="G3079" s="15" t="str">
        <f>VLOOKUP(B3079,SPECIFICATIONF!$C$2:$D$65,2,0)</f>
        <v>GLOBAL HFT</v>
      </c>
      <c r="H3079" s="12">
        <f t="shared" ref="H3079:H3086" si="288">MONTH(A3079)</f>
        <v>3</v>
      </c>
      <c r="I3079" s="12">
        <f t="shared" ref="I3079:I3086" si="289">YEAR(A3079)</f>
        <v>2026</v>
      </c>
    </row>
    <row r="3080" spans="1:9" ht="19.5" customHeight="1" x14ac:dyDescent="0.35">
      <c r="A3080" s="41">
        <v>46086</v>
      </c>
      <c r="B3080" s="8" t="s">
        <v>32</v>
      </c>
      <c r="C3080" s="42" t="s">
        <v>33</v>
      </c>
      <c r="D3080" s="43" t="s">
        <v>30</v>
      </c>
      <c r="E3080" s="46">
        <v>5362.74</v>
      </c>
      <c r="F3080" s="2">
        <f>IF(C3080="GBP",E3080*$C$3,IF(C3080="TRY",E3080/$C$1,IF(C3080="EUR",E3080*$E$1,IF(C3080="RUB",E3080/#REF!,IF(C3080="EGP",E3080/$E$2,E3080)))))</f>
        <v>5362.74</v>
      </c>
      <c r="G3080" s="15" t="str">
        <f>VLOOKUP(B3080,SPECIFICATIONF!$C$2:$D$65,2,0)</f>
        <v>GLOBAL HFT</v>
      </c>
      <c r="H3080" s="12">
        <f t="shared" si="288"/>
        <v>3</v>
      </c>
      <c r="I3080" s="12">
        <f t="shared" si="289"/>
        <v>2026</v>
      </c>
    </row>
    <row r="3081" spans="1:9" ht="19.5" customHeight="1" x14ac:dyDescent="0.35">
      <c r="A3081" s="41">
        <v>46086</v>
      </c>
      <c r="B3081" s="8" t="s">
        <v>32</v>
      </c>
      <c r="C3081" s="42" t="s">
        <v>11</v>
      </c>
      <c r="D3081" s="43" t="s">
        <v>29</v>
      </c>
      <c r="E3081" s="46">
        <v>4089109936</v>
      </c>
      <c r="F3081" s="2">
        <f>IF(C3081="GBP",E3081*$C$3,IF(C3081="TRY",E3081/$C$1,IF(C3081="EUR",E3081*$E$1,IF(C3081="RUB",E3081/#REF!,IF(C3081="EGP",E3081/$E$2,E3081)))))</f>
        <v>112132096.1200431</v>
      </c>
      <c r="G3081" s="15" t="str">
        <f>VLOOKUP(B3081,SPECIFICATIONF!$C$2:$D$65,2,0)</f>
        <v>GLOBAL HFT</v>
      </c>
      <c r="H3081" s="12">
        <f t="shared" si="288"/>
        <v>3</v>
      </c>
      <c r="I3081" s="12">
        <f t="shared" si="289"/>
        <v>2026</v>
      </c>
    </row>
    <row r="3082" spans="1:9" ht="19.5" customHeight="1" x14ac:dyDescent="0.35">
      <c r="A3082" s="41">
        <v>46086</v>
      </c>
      <c r="B3082" s="8" t="s">
        <v>32</v>
      </c>
      <c r="C3082" s="42" t="s">
        <v>33</v>
      </c>
      <c r="D3082" s="43" t="s">
        <v>29</v>
      </c>
      <c r="E3082" s="46">
        <v>15993385</v>
      </c>
      <c r="F3082" s="2">
        <f>IF(C3082="GBP",E3082*$C$3,IF(C3082="TRY",E3082/$C$1,IF(C3082="EUR",E3082*$E$1,IF(C3082="RUB",E3082/#REF!,IF(C3082="EGP",E3082/$E$2,E3082)))))</f>
        <v>15993385</v>
      </c>
      <c r="G3082" s="15" t="str">
        <f>VLOOKUP(B3082,SPECIFICATIONF!$C$2:$D$65,2,0)</f>
        <v>GLOBAL HFT</v>
      </c>
      <c r="H3082" s="12">
        <f t="shared" si="288"/>
        <v>3</v>
      </c>
      <c r="I3082" s="12">
        <f t="shared" si="289"/>
        <v>2026</v>
      </c>
    </row>
    <row r="3083" spans="1:9" ht="19.5" customHeight="1" x14ac:dyDescent="0.35">
      <c r="A3083" s="41">
        <v>46086</v>
      </c>
      <c r="B3083" s="8" t="s">
        <v>24</v>
      </c>
      <c r="C3083" s="42" t="s">
        <v>11</v>
      </c>
      <c r="D3083" s="43" t="s">
        <v>30</v>
      </c>
      <c r="E3083" s="46">
        <v>0</v>
      </c>
      <c r="F3083" s="2">
        <f>IF(C3083="GBP",E3083*$C$3,IF(C3083="TRY",E3083/$C$1,IF(C3083="EUR",E3083*$E$1,IF(C3083="RUB",E3083/#REF!,IF(C3083="EGP",E3083/$E$2,E3083)))))</f>
        <v>0</v>
      </c>
      <c r="G3083" s="15" t="str">
        <f>VLOOKUP(B3083,SPECIFICATIONF!$C$2:$D$65,2,0)</f>
        <v>GLOBAL RETAIL</v>
      </c>
      <c r="H3083" s="12">
        <f t="shared" si="288"/>
        <v>3</v>
      </c>
      <c r="I3083" s="12">
        <f t="shared" si="289"/>
        <v>2026</v>
      </c>
    </row>
    <row r="3084" spans="1:9" ht="19.5" customHeight="1" x14ac:dyDescent="0.35">
      <c r="A3084" s="41">
        <v>46086</v>
      </c>
      <c r="B3084" s="8" t="s">
        <v>24</v>
      </c>
      <c r="C3084" s="42" t="s">
        <v>33</v>
      </c>
      <c r="D3084" s="43" t="s">
        <v>30</v>
      </c>
      <c r="E3084" s="46">
        <v>0</v>
      </c>
      <c r="F3084" s="2">
        <f>IF(C3084="GBP",E3084*$C$3,IF(C3084="TRY",E3084/$C$1,IF(C3084="EUR",E3084*$E$1,IF(C3084="RUB",E3084/#REF!,IF(C3084="EGP",E3084/$E$2,E3084)))))</f>
        <v>0</v>
      </c>
      <c r="G3084" s="15" t="str">
        <f>VLOOKUP(B3084,SPECIFICATIONF!$C$2:$D$65,2,0)</f>
        <v>GLOBAL RETAIL</v>
      </c>
      <c r="H3084" s="12">
        <f t="shared" si="288"/>
        <v>3</v>
      </c>
      <c r="I3084" s="12">
        <f t="shared" si="289"/>
        <v>2026</v>
      </c>
    </row>
    <row r="3085" spans="1:9" ht="19.5" customHeight="1" x14ac:dyDescent="0.35">
      <c r="A3085" s="41">
        <v>46086</v>
      </c>
      <c r="B3085" s="8" t="s">
        <v>24</v>
      </c>
      <c r="C3085" s="42" t="s">
        <v>11</v>
      </c>
      <c r="D3085" s="43" t="s">
        <v>29</v>
      </c>
      <c r="E3085" s="46">
        <v>25356305</v>
      </c>
      <c r="F3085" s="2">
        <f>IF(C3085="GBP",E3085*$C$3,IF(C3085="TRY",E3085/$C$1,IF(C3085="EUR",E3085*$E$1,IF(C3085="RUB",E3085/#REF!,IF(C3085="EGP",E3085/$E$2,E3085)))))</f>
        <v>695323.84162075736</v>
      </c>
      <c r="G3085" s="15" t="str">
        <f>VLOOKUP(B3085,SPECIFICATIONF!$C$2:$D$65,2,0)</f>
        <v>GLOBAL RETAIL</v>
      </c>
      <c r="H3085" s="12">
        <f t="shared" si="288"/>
        <v>3</v>
      </c>
      <c r="I3085" s="12">
        <f t="shared" si="289"/>
        <v>2026</v>
      </c>
    </row>
    <row r="3086" spans="1:9" ht="19.5" customHeight="1" x14ac:dyDescent="0.35">
      <c r="A3086" s="41">
        <v>46086</v>
      </c>
      <c r="B3086" s="8" t="s">
        <v>24</v>
      </c>
      <c r="C3086" s="42" t="s">
        <v>33</v>
      </c>
      <c r="D3086" s="43" t="s">
        <v>29</v>
      </c>
      <c r="E3086" s="46">
        <v>0</v>
      </c>
      <c r="F3086" s="2">
        <f>IF(C3086="GBP",E3086*$C$3,IF(C3086="TRY",E3086/$C$1,IF(C3086="EUR",E3086*$E$1,IF(C3086="RUB",E3086/#REF!,IF(C3086="EGP",E3086/$E$2,E3086)))))</f>
        <v>0</v>
      </c>
      <c r="G3086" s="15" t="str">
        <f>VLOOKUP(B3086,SPECIFICATIONF!$C$2:$D$65,2,0)</f>
        <v>GLOBAL RETAIL</v>
      </c>
      <c r="H3086" s="12">
        <f t="shared" si="288"/>
        <v>3</v>
      </c>
      <c r="I3086" s="12">
        <f t="shared" si="289"/>
        <v>2026</v>
      </c>
    </row>
    <row r="3087" spans="1:9" ht="19.5" customHeight="1" x14ac:dyDescent="0.35">
      <c r="A3087" s="41">
        <v>46087</v>
      </c>
      <c r="B3087" s="8" t="s">
        <v>32</v>
      </c>
      <c r="C3087" s="42" t="s">
        <v>11</v>
      </c>
      <c r="D3087" s="43" t="s">
        <v>30</v>
      </c>
      <c r="E3087" s="46">
        <v>1511151.79</v>
      </c>
      <c r="F3087" s="2">
        <f>IF(C3087="GBP",E3087*$C$3,IF(C3087="TRY",E3087/$C$1,IF(C3087="EUR",E3087*$E$1,IF(C3087="RUB",E3087/#REF!,IF(C3087="EGP",E3087/$E$2,E3087)))))</f>
        <v>41438.99783090967</v>
      </c>
      <c r="G3087" s="15" t="str">
        <f>VLOOKUP(B3087,SPECIFICATIONF!$C$2:$D$65,2,0)</f>
        <v>GLOBAL HFT</v>
      </c>
      <c r="H3087" s="12">
        <f t="shared" ref="H3087:H3094" si="290">MONTH(A3087)</f>
        <v>3</v>
      </c>
      <c r="I3087" s="12">
        <f t="shared" ref="I3087:I3094" si="291">YEAR(A3087)</f>
        <v>2026</v>
      </c>
    </row>
    <row r="3088" spans="1:9" ht="19.5" customHeight="1" x14ac:dyDescent="0.35">
      <c r="A3088" s="41">
        <v>46087</v>
      </c>
      <c r="B3088" s="8" t="s">
        <v>32</v>
      </c>
      <c r="C3088" s="42" t="s">
        <v>33</v>
      </c>
      <c r="D3088" s="43" t="s">
        <v>30</v>
      </c>
      <c r="E3088" s="46">
        <v>5215.3</v>
      </c>
      <c r="F3088" s="2">
        <f>IF(C3088="GBP",E3088*$C$3,IF(C3088="TRY",E3088/$C$1,IF(C3088="EUR",E3088*$E$1,IF(C3088="RUB",E3088/#REF!,IF(C3088="EGP",E3088/$E$2,E3088)))))</f>
        <v>5215.3</v>
      </c>
      <c r="G3088" s="15" t="str">
        <f>VLOOKUP(B3088,SPECIFICATIONF!$C$2:$D$65,2,0)</f>
        <v>GLOBAL HFT</v>
      </c>
      <c r="H3088" s="12">
        <f t="shared" si="290"/>
        <v>3</v>
      </c>
      <c r="I3088" s="12">
        <f t="shared" si="291"/>
        <v>2026</v>
      </c>
    </row>
    <row r="3089" spans="1:9" ht="19.5" customHeight="1" x14ac:dyDescent="0.35">
      <c r="A3089" s="41">
        <v>46087</v>
      </c>
      <c r="B3089" s="8" t="s">
        <v>32</v>
      </c>
      <c r="C3089" s="42" t="s">
        <v>11</v>
      </c>
      <c r="D3089" s="43" t="s">
        <v>29</v>
      </c>
      <c r="E3089" s="46">
        <v>4941728200</v>
      </c>
      <c r="F3089" s="2">
        <f>IF(C3089="GBP",E3089*$C$3,IF(C3089="TRY",E3089/$C$1,IF(C3089="EUR",E3089*$E$1,IF(C3089="RUB",E3089/#REF!,IF(C3089="EGP",E3089/$E$2,E3089)))))</f>
        <v>135512703.30080155</v>
      </c>
      <c r="G3089" s="15" t="str">
        <f>VLOOKUP(B3089,SPECIFICATIONF!$C$2:$D$65,2,0)</f>
        <v>GLOBAL HFT</v>
      </c>
      <c r="H3089" s="12">
        <f t="shared" si="290"/>
        <v>3</v>
      </c>
      <c r="I3089" s="12">
        <f t="shared" si="291"/>
        <v>2026</v>
      </c>
    </row>
    <row r="3090" spans="1:9" ht="19.5" customHeight="1" x14ac:dyDescent="0.35">
      <c r="A3090" s="41">
        <v>46087</v>
      </c>
      <c r="B3090" s="8" t="s">
        <v>32</v>
      </c>
      <c r="C3090" s="42" t="s">
        <v>33</v>
      </c>
      <c r="D3090" s="43" t="s">
        <v>29</v>
      </c>
      <c r="E3090" s="46">
        <v>15046673</v>
      </c>
      <c r="F3090" s="2">
        <f>IF(C3090="GBP",E3090*$C$3,IF(C3090="TRY",E3090/$C$1,IF(C3090="EUR",E3090*$E$1,IF(C3090="RUB",E3090/#REF!,IF(C3090="EGP",E3090/$E$2,E3090)))))</f>
        <v>15046673</v>
      </c>
      <c r="G3090" s="15" t="str">
        <f>VLOOKUP(B3090,SPECIFICATIONF!$C$2:$D$65,2,0)</f>
        <v>GLOBAL HFT</v>
      </c>
      <c r="H3090" s="12">
        <f t="shared" si="290"/>
        <v>3</v>
      </c>
      <c r="I3090" s="12">
        <f t="shared" si="291"/>
        <v>2026</v>
      </c>
    </row>
    <row r="3091" spans="1:9" ht="19.5" customHeight="1" x14ac:dyDescent="0.35">
      <c r="A3091" s="41">
        <v>46087</v>
      </c>
      <c r="B3091" s="8" t="s">
        <v>24</v>
      </c>
      <c r="C3091" s="42" t="s">
        <v>11</v>
      </c>
      <c r="D3091" s="43" t="s">
        <v>30</v>
      </c>
      <c r="E3091" s="46">
        <v>0</v>
      </c>
      <c r="F3091" s="2">
        <f>IF(C3091="GBP",E3091*$C$3,IF(C3091="TRY",E3091/$C$1,IF(C3091="EUR",E3091*$E$1,IF(C3091="RUB",E3091/#REF!,IF(C3091="EGP",E3091/$E$2,E3091)))))</f>
        <v>0</v>
      </c>
      <c r="G3091" s="15" t="str">
        <f>VLOOKUP(B3091,SPECIFICATIONF!$C$2:$D$65,2,0)</f>
        <v>GLOBAL RETAIL</v>
      </c>
      <c r="H3091" s="12">
        <f t="shared" si="290"/>
        <v>3</v>
      </c>
      <c r="I3091" s="12">
        <f t="shared" si="291"/>
        <v>2026</v>
      </c>
    </row>
    <row r="3092" spans="1:9" ht="19.5" customHeight="1" x14ac:dyDescent="0.35">
      <c r="A3092" s="41">
        <v>46087</v>
      </c>
      <c r="B3092" s="8" t="s">
        <v>24</v>
      </c>
      <c r="C3092" s="42" t="s">
        <v>33</v>
      </c>
      <c r="D3092" s="43" t="s">
        <v>30</v>
      </c>
      <c r="E3092" s="46">
        <v>0</v>
      </c>
      <c r="F3092" s="2">
        <f>IF(C3092="GBP",E3092*$C$3,IF(C3092="TRY",E3092/$C$1,IF(C3092="EUR",E3092*$E$1,IF(C3092="RUB",E3092/#REF!,IF(C3092="EGP",E3092/$E$2,E3092)))))</f>
        <v>0</v>
      </c>
      <c r="G3092" s="15" t="str">
        <f>VLOOKUP(B3092,SPECIFICATIONF!$C$2:$D$65,2,0)</f>
        <v>GLOBAL RETAIL</v>
      </c>
      <c r="H3092" s="12">
        <f t="shared" si="290"/>
        <v>3</v>
      </c>
      <c r="I3092" s="12">
        <f t="shared" si="291"/>
        <v>2026</v>
      </c>
    </row>
    <row r="3093" spans="1:9" ht="19.5" customHeight="1" x14ac:dyDescent="0.35">
      <c r="A3093" s="41">
        <v>46087</v>
      </c>
      <c r="B3093" s="8" t="s">
        <v>24</v>
      </c>
      <c r="C3093" s="42" t="s">
        <v>11</v>
      </c>
      <c r="D3093" s="43" t="s">
        <v>29</v>
      </c>
      <c r="E3093" s="46">
        <v>16126541</v>
      </c>
      <c r="F3093" s="2">
        <f>IF(C3093="GBP",E3093*$C$3,IF(C3093="TRY",E3093/$C$1,IF(C3093="EUR",E3093*$E$1,IF(C3093="RUB",E3093/#REF!,IF(C3093="EGP",E3093/$E$2,E3093)))))</f>
        <v>442224.07169241144</v>
      </c>
      <c r="G3093" s="15" t="str">
        <f>VLOOKUP(B3093,SPECIFICATIONF!$C$2:$D$65,2,0)</f>
        <v>GLOBAL RETAIL</v>
      </c>
      <c r="H3093" s="12">
        <f t="shared" si="290"/>
        <v>3</v>
      </c>
      <c r="I3093" s="12">
        <f t="shared" si="291"/>
        <v>2026</v>
      </c>
    </row>
    <row r="3094" spans="1:9" ht="19.5" customHeight="1" x14ac:dyDescent="0.35">
      <c r="A3094" s="41">
        <v>46087</v>
      </c>
      <c r="B3094" s="8" t="s">
        <v>24</v>
      </c>
      <c r="C3094" s="42" t="s">
        <v>33</v>
      </c>
      <c r="D3094" s="43" t="s">
        <v>29</v>
      </c>
      <c r="E3094" s="46">
        <v>258</v>
      </c>
      <c r="F3094" s="2">
        <f>IF(C3094="GBP",E3094*$C$3,IF(C3094="TRY",E3094/$C$1,IF(C3094="EUR",E3094*$E$1,IF(C3094="RUB",E3094/#REF!,IF(C3094="EGP",E3094/$E$2,E3094)))))</f>
        <v>258</v>
      </c>
      <c r="G3094" s="15" t="str">
        <f>VLOOKUP(B3094,SPECIFICATIONF!$C$2:$D$65,2,0)</f>
        <v>GLOBAL RETAIL</v>
      </c>
      <c r="H3094" s="12">
        <f t="shared" si="290"/>
        <v>3</v>
      </c>
      <c r="I3094" s="12">
        <f t="shared" si="291"/>
        <v>2026</v>
      </c>
    </row>
    <row r="3095" spans="1:9" ht="19.5" customHeight="1" x14ac:dyDescent="0.35">
      <c r="A3095" s="41">
        <v>46088</v>
      </c>
      <c r="B3095" s="8" t="s">
        <v>32</v>
      </c>
      <c r="C3095" s="42" t="s">
        <v>11</v>
      </c>
      <c r="D3095" s="43" t="s">
        <v>30</v>
      </c>
      <c r="E3095" s="46">
        <v>754290.94</v>
      </c>
      <c r="F3095" s="2">
        <f>IF(C3095="GBP",E3095*$C$3,IF(C3095="TRY",E3095/$C$1,IF(C3095="EUR",E3095*$E$1,IF(C3095="RUB",E3095/#REF!,IF(C3095="EGP",E3095/$E$2,E3095)))))</f>
        <v>20684.262714955203</v>
      </c>
      <c r="G3095" s="15" t="str">
        <f>VLOOKUP(B3095,SPECIFICATIONF!$C$2:$D$65,2,0)</f>
        <v>GLOBAL HFT</v>
      </c>
      <c r="H3095" s="12">
        <f t="shared" ref="H3095:H3118" si="292">MONTH(A3095)</f>
        <v>3</v>
      </c>
      <c r="I3095" s="12">
        <f t="shared" ref="I3095:I3118" si="293">YEAR(A3095)</f>
        <v>2026</v>
      </c>
    </row>
    <row r="3096" spans="1:9" ht="19.5" customHeight="1" x14ac:dyDescent="0.35">
      <c r="A3096" s="41">
        <v>46088</v>
      </c>
      <c r="B3096" s="8" t="s">
        <v>32</v>
      </c>
      <c r="C3096" s="42" t="s">
        <v>33</v>
      </c>
      <c r="D3096" s="43" t="s">
        <v>30</v>
      </c>
      <c r="E3096" s="46">
        <v>2316.38</v>
      </c>
      <c r="F3096" s="2">
        <f>IF(C3096="GBP",E3096*$C$3,IF(C3096="TRY",E3096/$C$1,IF(C3096="EUR",E3096*$E$1,IF(C3096="RUB",E3096/#REF!,IF(C3096="EGP",E3096/$E$2,E3096)))))</f>
        <v>2316.38</v>
      </c>
      <c r="G3096" s="15" t="str">
        <f>VLOOKUP(B3096,SPECIFICATIONF!$C$2:$D$65,2,0)</f>
        <v>GLOBAL HFT</v>
      </c>
      <c r="H3096" s="12">
        <f t="shared" si="292"/>
        <v>3</v>
      </c>
      <c r="I3096" s="12">
        <f t="shared" si="293"/>
        <v>2026</v>
      </c>
    </row>
    <row r="3097" spans="1:9" ht="19.5" customHeight="1" x14ac:dyDescent="0.35">
      <c r="A3097" s="41">
        <v>46088</v>
      </c>
      <c r="B3097" s="8" t="s">
        <v>32</v>
      </c>
      <c r="C3097" s="42" t="s">
        <v>11</v>
      </c>
      <c r="D3097" s="43" t="s">
        <v>29</v>
      </c>
      <c r="E3097" s="46">
        <v>2622713176</v>
      </c>
      <c r="F3097" s="2">
        <f>IF(C3097="GBP",E3097*$C$3,IF(C3097="TRY",E3097/$C$1,IF(C3097="EUR",E3097*$E$1,IF(C3097="RUB",E3097/#REF!,IF(C3097="EGP",E3097/$E$2,E3097)))))</f>
        <v>71920376.450973347</v>
      </c>
      <c r="G3097" s="15" t="str">
        <f>VLOOKUP(B3097,SPECIFICATIONF!$C$2:$D$65,2,0)</f>
        <v>GLOBAL HFT</v>
      </c>
      <c r="H3097" s="12">
        <f t="shared" si="292"/>
        <v>3</v>
      </c>
      <c r="I3097" s="12">
        <f t="shared" si="293"/>
        <v>2026</v>
      </c>
    </row>
    <row r="3098" spans="1:9" ht="19.5" customHeight="1" x14ac:dyDescent="0.35">
      <c r="A3098" s="41">
        <v>46088</v>
      </c>
      <c r="B3098" s="8" t="s">
        <v>32</v>
      </c>
      <c r="C3098" s="42" t="s">
        <v>33</v>
      </c>
      <c r="D3098" s="43" t="s">
        <v>29</v>
      </c>
      <c r="E3098" s="46">
        <v>7091952</v>
      </c>
      <c r="F3098" s="2">
        <f>IF(C3098="GBP",E3098*$C$3,IF(C3098="TRY",E3098/$C$1,IF(C3098="EUR",E3098*$E$1,IF(C3098="RUB",E3098/#REF!,IF(C3098="EGP",E3098/$E$2,E3098)))))</f>
        <v>7091952</v>
      </c>
      <c r="G3098" s="15" t="str">
        <f>VLOOKUP(B3098,SPECIFICATIONF!$C$2:$D$65,2,0)</f>
        <v>GLOBAL HFT</v>
      </c>
      <c r="H3098" s="12">
        <f t="shared" si="292"/>
        <v>3</v>
      </c>
      <c r="I3098" s="12">
        <f t="shared" si="293"/>
        <v>2026</v>
      </c>
    </row>
    <row r="3099" spans="1:9" ht="19.5" customHeight="1" x14ac:dyDescent="0.35">
      <c r="A3099" s="41">
        <v>46088</v>
      </c>
      <c r="B3099" s="8" t="s">
        <v>24</v>
      </c>
      <c r="C3099" s="42" t="s">
        <v>11</v>
      </c>
      <c r="D3099" s="43" t="s">
        <v>30</v>
      </c>
      <c r="E3099" s="46">
        <v>0</v>
      </c>
      <c r="F3099" s="2">
        <f>IF(C3099="GBP",E3099*$C$3,IF(C3099="TRY",E3099/$C$1,IF(C3099="EUR",E3099*$E$1,IF(C3099="RUB",E3099/#REF!,IF(C3099="EGP",E3099/$E$2,E3099)))))</f>
        <v>0</v>
      </c>
      <c r="G3099" s="15" t="str">
        <f>VLOOKUP(B3099,SPECIFICATIONF!$C$2:$D$65,2,0)</f>
        <v>GLOBAL RETAIL</v>
      </c>
      <c r="H3099" s="12">
        <f t="shared" si="292"/>
        <v>3</v>
      </c>
      <c r="I3099" s="12">
        <f t="shared" si="293"/>
        <v>2026</v>
      </c>
    </row>
    <row r="3100" spans="1:9" ht="19.5" customHeight="1" x14ac:dyDescent="0.35">
      <c r="A3100" s="41">
        <v>46088</v>
      </c>
      <c r="B3100" s="8" t="s">
        <v>24</v>
      </c>
      <c r="C3100" s="42" t="s">
        <v>33</v>
      </c>
      <c r="D3100" s="43" t="s">
        <v>30</v>
      </c>
      <c r="E3100" s="46">
        <v>0</v>
      </c>
      <c r="F3100" s="2">
        <f>IF(C3100="GBP",E3100*$C$3,IF(C3100="TRY",E3100/$C$1,IF(C3100="EUR",E3100*$E$1,IF(C3100="RUB",E3100/#REF!,IF(C3100="EGP",E3100/$E$2,E3100)))))</f>
        <v>0</v>
      </c>
      <c r="G3100" s="15" t="str">
        <f>VLOOKUP(B3100,SPECIFICATIONF!$C$2:$D$65,2,0)</f>
        <v>GLOBAL RETAIL</v>
      </c>
      <c r="H3100" s="12">
        <f t="shared" si="292"/>
        <v>3</v>
      </c>
      <c r="I3100" s="12">
        <f t="shared" si="293"/>
        <v>2026</v>
      </c>
    </row>
    <row r="3101" spans="1:9" ht="19.5" customHeight="1" x14ac:dyDescent="0.35">
      <c r="A3101" s="41">
        <v>46088</v>
      </c>
      <c r="B3101" s="8" t="s">
        <v>24</v>
      </c>
      <c r="C3101" s="42" t="s">
        <v>11</v>
      </c>
      <c r="D3101" s="43" t="s">
        <v>29</v>
      </c>
      <c r="E3101" s="46">
        <v>8785419</v>
      </c>
      <c r="F3101" s="2">
        <f>IF(C3101="GBP",E3101*$C$3,IF(C3101="TRY",E3101/$C$1,IF(C3101="EUR",E3101*$E$1,IF(C3101="RUB",E3101/#REF!,IF(C3101="EGP",E3101/$E$2,E3101)))))</f>
        <v>240914.8844568636</v>
      </c>
      <c r="G3101" s="15" t="str">
        <f>VLOOKUP(B3101,SPECIFICATIONF!$C$2:$D$65,2,0)</f>
        <v>GLOBAL RETAIL</v>
      </c>
      <c r="H3101" s="12">
        <f t="shared" si="292"/>
        <v>3</v>
      </c>
      <c r="I3101" s="12">
        <f t="shared" si="293"/>
        <v>2026</v>
      </c>
    </row>
    <row r="3102" spans="1:9" ht="19.5" customHeight="1" x14ac:dyDescent="0.35">
      <c r="A3102" s="41">
        <v>46088</v>
      </c>
      <c r="B3102" s="8" t="s">
        <v>24</v>
      </c>
      <c r="C3102" s="42" t="s">
        <v>33</v>
      </c>
      <c r="D3102" s="43" t="s">
        <v>29</v>
      </c>
      <c r="E3102" s="46">
        <v>0</v>
      </c>
      <c r="F3102" s="2">
        <f>IF(C3102="GBP",E3102*$C$3,IF(C3102="TRY",E3102/$C$1,IF(C3102="EUR",E3102*$E$1,IF(C3102="RUB",E3102/#REF!,IF(C3102="EGP",E3102/$E$2,E3102)))))</f>
        <v>0</v>
      </c>
      <c r="G3102" s="15" t="str">
        <f>VLOOKUP(B3102,SPECIFICATIONF!$C$2:$D$65,2,0)</f>
        <v>GLOBAL RETAIL</v>
      </c>
      <c r="H3102" s="12">
        <f t="shared" si="292"/>
        <v>3</v>
      </c>
      <c r="I3102" s="12">
        <f t="shared" si="293"/>
        <v>2026</v>
      </c>
    </row>
    <row r="3103" spans="1:9" ht="19.5" customHeight="1" x14ac:dyDescent="0.35">
      <c r="A3103" s="41">
        <v>46089</v>
      </c>
      <c r="B3103" s="8" t="s">
        <v>32</v>
      </c>
      <c r="C3103" s="42" t="s">
        <v>11</v>
      </c>
      <c r="D3103" s="43" t="s">
        <v>30</v>
      </c>
      <c r="E3103" s="46">
        <v>741176.64</v>
      </c>
      <c r="F3103" s="2">
        <f>IF(C3103="GBP",E3103*$C$3,IF(C3103="TRY",E3103/$C$1,IF(C3103="EUR",E3103*$E$1,IF(C3103="RUB",E3103/#REF!,IF(C3103="EGP",E3103/$E$2,E3103)))))</f>
        <v>20324.640701567721</v>
      </c>
      <c r="G3103" s="15" t="str">
        <f>VLOOKUP(B3103,SPECIFICATIONF!$C$2:$D$65,2,0)</f>
        <v>GLOBAL HFT</v>
      </c>
      <c r="H3103" s="12">
        <f t="shared" si="292"/>
        <v>3</v>
      </c>
      <c r="I3103" s="12">
        <f t="shared" si="293"/>
        <v>2026</v>
      </c>
    </row>
    <row r="3104" spans="1:9" ht="19.5" customHeight="1" x14ac:dyDescent="0.35">
      <c r="A3104" s="41">
        <v>46089</v>
      </c>
      <c r="B3104" s="8" t="s">
        <v>32</v>
      </c>
      <c r="C3104" s="42" t="s">
        <v>33</v>
      </c>
      <c r="D3104" s="43" t="s">
        <v>30</v>
      </c>
      <c r="E3104" s="46">
        <v>2780.33</v>
      </c>
      <c r="F3104" s="2">
        <f>IF(C3104="GBP",E3104*$C$3,IF(C3104="TRY",E3104/$C$1,IF(C3104="EUR",E3104*$E$1,IF(C3104="RUB",E3104/#REF!,IF(C3104="EGP",E3104/$E$2,E3104)))))</f>
        <v>2780.33</v>
      </c>
      <c r="G3104" s="15" t="str">
        <f>VLOOKUP(B3104,SPECIFICATIONF!$C$2:$D$65,2,0)</f>
        <v>GLOBAL HFT</v>
      </c>
      <c r="H3104" s="12">
        <f t="shared" si="292"/>
        <v>3</v>
      </c>
      <c r="I3104" s="12">
        <f t="shared" si="293"/>
        <v>2026</v>
      </c>
    </row>
    <row r="3105" spans="1:9" ht="19.5" customHeight="1" x14ac:dyDescent="0.35">
      <c r="A3105" s="41">
        <v>46089</v>
      </c>
      <c r="B3105" s="8" t="s">
        <v>32</v>
      </c>
      <c r="C3105" s="42" t="s">
        <v>11</v>
      </c>
      <c r="D3105" s="43" t="s">
        <v>29</v>
      </c>
      <c r="E3105" s="46">
        <v>2549612617</v>
      </c>
      <c r="F3105" s="2">
        <f>IF(C3105="GBP",E3105*$C$3,IF(C3105="TRY",E3105/$C$1,IF(C3105="EUR",E3105*$E$1,IF(C3105="RUB",E3105/#REF!,IF(C3105="EGP",E3105/$E$2,E3105)))))</f>
        <v>69915803.564328194</v>
      </c>
      <c r="G3105" s="15" t="str">
        <f>VLOOKUP(B3105,SPECIFICATIONF!$C$2:$D$65,2,0)</f>
        <v>GLOBAL HFT</v>
      </c>
      <c r="H3105" s="12">
        <f t="shared" si="292"/>
        <v>3</v>
      </c>
      <c r="I3105" s="12">
        <f t="shared" si="293"/>
        <v>2026</v>
      </c>
    </row>
    <row r="3106" spans="1:9" ht="19.5" customHeight="1" x14ac:dyDescent="0.35">
      <c r="A3106" s="41">
        <v>46089</v>
      </c>
      <c r="B3106" s="8" t="s">
        <v>32</v>
      </c>
      <c r="C3106" s="42" t="s">
        <v>33</v>
      </c>
      <c r="D3106" s="43" t="s">
        <v>29</v>
      </c>
      <c r="E3106" s="46">
        <v>8525200</v>
      </c>
      <c r="F3106" s="2">
        <f>IF(C3106="GBP",E3106*$C$3,IF(C3106="TRY",E3106/$C$1,IF(C3106="EUR",E3106*$E$1,IF(C3106="RUB",E3106/#REF!,IF(C3106="EGP",E3106/$E$2,E3106)))))</f>
        <v>8525200</v>
      </c>
      <c r="G3106" s="15" t="str">
        <f>VLOOKUP(B3106,SPECIFICATIONF!$C$2:$D$65,2,0)</f>
        <v>GLOBAL HFT</v>
      </c>
      <c r="H3106" s="12">
        <f t="shared" si="292"/>
        <v>3</v>
      </c>
      <c r="I3106" s="12">
        <f t="shared" si="293"/>
        <v>2026</v>
      </c>
    </row>
    <row r="3107" spans="1:9" ht="19.5" customHeight="1" x14ac:dyDescent="0.35">
      <c r="A3107" s="41">
        <v>46089</v>
      </c>
      <c r="B3107" s="8" t="s">
        <v>24</v>
      </c>
      <c r="C3107" s="42" t="s">
        <v>11</v>
      </c>
      <c r="D3107" s="43" t="s">
        <v>30</v>
      </c>
      <c r="E3107" s="46">
        <v>0</v>
      </c>
      <c r="F3107" s="2">
        <f>IF(C3107="GBP",E3107*$C$3,IF(C3107="TRY",E3107/$C$1,IF(C3107="EUR",E3107*$E$1,IF(C3107="RUB",E3107/#REF!,IF(C3107="EGP",E3107/$E$2,E3107)))))</f>
        <v>0</v>
      </c>
      <c r="G3107" s="15" t="str">
        <f>VLOOKUP(B3107,SPECIFICATIONF!$C$2:$D$65,2,0)</f>
        <v>GLOBAL RETAIL</v>
      </c>
      <c r="H3107" s="12">
        <f t="shared" si="292"/>
        <v>3</v>
      </c>
      <c r="I3107" s="12">
        <f t="shared" si="293"/>
        <v>2026</v>
      </c>
    </row>
    <row r="3108" spans="1:9" ht="19.5" customHeight="1" x14ac:dyDescent="0.35">
      <c r="A3108" s="41">
        <v>46089</v>
      </c>
      <c r="B3108" s="8" t="s">
        <v>24</v>
      </c>
      <c r="C3108" s="42" t="s">
        <v>33</v>
      </c>
      <c r="D3108" s="43" t="s">
        <v>30</v>
      </c>
      <c r="E3108" s="46">
        <v>0</v>
      </c>
      <c r="F3108" s="2">
        <f>IF(C3108="GBP",E3108*$C$3,IF(C3108="TRY",E3108/$C$1,IF(C3108="EUR",E3108*$E$1,IF(C3108="RUB",E3108/#REF!,IF(C3108="EGP",E3108/$E$2,E3108)))))</f>
        <v>0</v>
      </c>
      <c r="G3108" s="15" t="str">
        <f>VLOOKUP(B3108,SPECIFICATIONF!$C$2:$D$65,2,0)</f>
        <v>GLOBAL RETAIL</v>
      </c>
      <c r="H3108" s="12">
        <f t="shared" si="292"/>
        <v>3</v>
      </c>
      <c r="I3108" s="12">
        <f t="shared" si="293"/>
        <v>2026</v>
      </c>
    </row>
    <row r="3109" spans="1:9" ht="19.5" customHeight="1" x14ac:dyDescent="0.35">
      <c r="A3109" s="41">
        <v>46089</v>
      </c>
      <c r="B3109" s="8" t="s">
        <v>24</v>
      </c>
      <c r="C3109" s="42" t="s">
        <v>11</v>
      </c>
      <c r="D3109" s="43" t="s">
        <v>29</v>
      </c>
      <c r="E3109" s="46">
        <v>7425100</v>
      </c>
      <c r="F3109" s="2">
        <f>IF(C3109="GBP",E3109*$C$3,IF(C3109="TRY",E3109/$C$1,IF(C3109="EUR",E3109*$E$1,IF(C3109="RUB",E3109/#REF!,IF(C3109="EGP",E3109/$E$2,E3109)))))</f>
        <v>203612.04270173772</v>
      </c>
      <c r="G3109" s="15" t="str">
        <f>VLOOKUP(B3109,SPECIFICATIONF!$C$2:$D$65,2,0)</f>
        <v>GLOBAL RETAIL</v>
      </c>
      <c r="H3109" s="12">
        <f t="shared" si="292"/>
        <v>3</v>
      </c>
      <c r="I3109" s="12">
        <f t="shared" si="293"/>
        <v>2026</v>
      </c>
    </row>
    <row r="3110" spans="1:9" ht="19.5" customHeight="1" x14ac:dyDescent="0.35">
      <c r="A3110" s="41">
        <v>46089</v>
      </c>
      <c r="B3110" s="8" t="s">
        <v>24</v>
      </c>
      <c r="C3110" s="42" t="s">
        <v>33</v>
      </c>
      <c r="D3110" s="43" t="s">
        <v>29</v>
      </c>
      <c r="E3110" s="46">
        <v>0</v>
      </c>
      <c r="F3110" s="2">
        <f>IF(C3110="GBP",E3110*$C$3,IF(C3110="TRY",E3110/$C$1,IF(C3110="EUR",E3110*$E$1,IF(C3110="RUB",E3110/#REF!,IF(C3110="EGP",E3110/$E$2,E3110)))))</f>
        <v>0</v>
      </c>
      <c r="G3110" s="15" t="str">
        <f>VLOOKUP(B3110,SPECIFICATIONF!$C$2:$D$65,2,0)</f>
        <v>GLOBAL RETAIL</v>
      </c>
      <c r="H3110" s="12">
        <f t="shared" si="292"/>
        <v>3</v>
      </c>
      <c r="I3110" s="12">
        <f t="shared" si="293"/>
        <v>2026</v>
      </c>
    </row>
    <row r="3111" spans="1:9" ht="19.5" customHeight="1" x14ac:dyDescent="0.35">
      <c r="A3111" s="41">
        <v>46090</v>
      </c>
      <c r="B3111" s="8" t="s">
        <v>32</v>
      </c>
      <c r="C3111" s="42" t="s">
        <v>11</v>
      </c>
      <c r="D3111" s="43" t="s">
        <v>30</v>
      </c>
      <c r="E3111" s="46">
        <v>1047944.46</v>
      </c>
      <c r="F3111" s="2">
        <f>IF(C3111="GBP",E3111*$C$3,IF(C3111="TRY",E3111/$C$1,IF(C3111="EUR",E3111*$E$1,IF(C3111="RUB",E3111/#REF!,IF(C3111="EGP",E3111/$E$2,E3111)))))</f>
        <v>28736.86713156314</v>
      </c>
      <c r="G3111" s="15" t="str">
        <f>VLOOKUP(B3111,SPECIFICATIONF!$C$2:$D$65,2,0)</f>
        <v>GLOBAL HFT</v>
      </c>
      <c r="H3111" s="12">
        <f t="shared" si="292"/>
        <v>3</v>
      </c>
      <c r="I3111" s="12">
        <f t="shared" si="293"/>
        <v>2026</v>
      </c>
    </row>
    <row r="3112" spans="1:9" ht="19.5" customHeight="1" x14ac:dyDescent="0.35">
      <c r="A3112" s="41">
        <v>46090</v>
      </c>
      <c r="B3112" s="8" t="s">
        <v>32</v>
      </c>
      <c r="C3112" s="42" t="s">
        <v>33</v>
      </c>
      <c r="D3112" s="43" t="s">
        <v>30</v>
      </c>
      <c r="E3112" s="46">
        <v>4393.97</v>
      </c>
      <c r="F3112" s="2">
        <f>IF(C3112="GBP",E3112*$C$3,IF(C3112="TRY",E3112/$C$1,IF(C3112="EUR",E3112*$E$1,IF(C3112="RUB",E3112/#REF!,IF(C3112="EGP",E3112/$E$2,E3112)))))</f>
        <v>4393.97</v>
      </c>
      <c r="G3112" s="15" t="str">
        <f>VLOOKUP(B3112,SPECIFICATIONF!$C$2:$D$65,2,0)</f>
        <v>GLOBAL HFT</v>
      </c>
      <c r="H3112" s="12">
        <f t="shared" si="292"/>
        <v>3</v>
      </c>
      <c r="I3112" s="12">
        <f t="shared" si="293"/>
        <v>2026</v>
      </c>
    </row>
    <row r="3113" spans="1:9" ht="19.5" customHeight="1" x14ac:dyDescent="0.35">
      <c r="A3113" s="41">
        <v>46090</v>
      </c>
      <c r="B3113" s="8" t="s">
        <v>32</v>
      </c>
      <c r="C3113" s="42" t="s">
        <v>11</v>
      </c>
      <c r="D3113" s="43" t="s">
        <v>29</v>
      </c>
      <c r="E3113" s="46">
        <v>3467324579</v>
      </c>
      <c r="F3113" s="2">
        <f>IF(C3113="GBP",E3113*$C$3,IF(C3113="TRY",E3113/$C$1,IF(C3113="EUR",E3113*$E$1,IF(C3113="RUB",E3113/#REF!,IF(C3113="EGP",E3113/$E$2,E3113)))))</f>
        <v>95081418.464415669</v>
      </c>
      <c r="G3113" s="15" t="str">
        <f>VLOOKUP(B3113,SPECIFICATIONF!$C$2:$D$65,2,0)</f>
        <v>GLOBAL HFT</v>
      </c>
      <c r="H3113" s="12">
        <f t="shared" si="292"/>
        <v>3</v>
      </c>
      <c r="I3113" s="12">
        <f t="shared" si="293"/>
        <v>2026</v>
      </c>
    </row>
    <row r="3114" spans="1:9" ht="19.5" customHeight="1" x14ac:dyDescent="0.35">
      <c r="A3114" s="41">
        <v>46090</v>
      </c>
      <c r="B3114" s="8" t="s">
        <v>32</v>
      </c>
      <c r="C3114" s="42" t="s">
        <v>33</v>
      </c>
      <c r="D3114" s="43" t="s">
        <v>29</v>
      </c>
      <c r="E3114" s="46">
        <v>13231421</v>
      </c>
      <c r="F3114" s="2">
        <f>IF(C3114="GBP",E3114*$C$3,IF(C3114="TRY",E3114/$C$1,IF(C3114="EUR",E3114*$E$1,IF(C3114="RUB",E3114/#REF!,IF(C3114="EGP",E3114/$E$2,E3114)))))</f>
        <v>13231421</v>
      </c>
      <c r="G3114" s="15" t="str">
        <f>VLOOKUP(B3114,SPECIFICATIONF!$C$2:$D$65,2,0)</f>
        <v>GLOBAL HFT</v>
      </c>
      <c r="H3114" s="12">
        <f t="shared" si="292"/>
        <v>3</v>
      </c>
      <c r="I3114" s="12">
        <f t="shared" si="293"/>
        <v>2026</v>
      </c>
    </row>
    <row r="3115" spans="1:9" ht="19.5" customHeight="1" x14ac:dyDescent="0.35">
      <c r="A3115" s="41">
        <v>46090</v>
      </c>
      <c r="B3115" s="8" t="s">
        <v>24</v>
      </c>
      <c r="C3115" s="42" t="s">
        <v>11</v>
      </c>
      <c r="D3115" s="43" t="s">
        <v>30</v>
      </c>
      <c r="E3115" s="46">
        <v>0</v>
      </c>
      <c r="F3115" s="2">
        <f>IF(C3115="GBP",E3115*$C$3,IF(C3115="TRY",E3115/$C$1,IF(C3115="EUR",E3115*$E$1,IF(C3115="RUB",E3115/#REF!,IF(C3115="EGP",E3115/$E$2,E3115)))))</f>
        <v>0</v>
      </c>
      <c r="G3115" s="15" t="str">
        <f>VLOOKUP(B3115,SPECIFICATIONF!$C$2:$D$65,2,0)</f>
        <v>GLOBAL RETAIL</v>
      </c>
      <c r="H3115" s="12">
        <f t="shared" si="292"/>
        <v>3</v>
      </c>
      <c r="I3115" s="12">
        <f t="shared" si="293"/>
        <v>2026</v>
      </c>
    </row>
    <row r="3116" spans="1:9" ht="19.5" customHeight="1" x14ac:dyDescent="0.35">
      <c r="A3116" s="41">
        <v>46090</v>
      </c>
      <c r="B3116" s="8" t="s">
        <v>24</v>
      </c>
      <c r="C3116" s="42" t="s">
        <v>33</v>
      </c>
      <c r="D3116" s="43" t="s">
        <v>30</v>
      </c>
      <c r="E3116" s="46">
        <v>0</v>
      </c>
      <c r="F3116" s="2">
        <f>IF(C3116="GBP",E3116*$C$3,IF(C3116="TRY",E3116/$C$1,IF(C3116="EUR",E3116*$E$1,IF(C3116="RUB",E3116/#REF!,IF(C3116="EGP",E3116/$E$2,E3116)))))</f>
        <v>0</v>
      </c>
      <c r="G3116" s="15" t="str">
        <f>VLOOKUP(B3116,SPECIFICATIONF!$C$2:$D$65,2,0)</f>
        <v>GLOBAL RETAIL</v>
      </c>
      <c r="H3116" s="12">
        <f t="shared" si="292"/>
        <v>3</v>
      </c>
      <c r="I3116" s="12">
        <f t="shared" si="293"/>
        <v>2026</v>
      </c>
    </row>
    <row r="3117" spans="1:9" ht="19.5" customHeight="1" x14ac:dyDescent="0.35">
      <c r="A3117" s="41">
        <v>46090</v>
      </c>
      <c r="B3117" s="8" t="s">
        <v>24</v>
      </c>
      <c r="C3117" s="42" t="s">
        <v>11</v>
      </c>
      <c r="D3117" s="43" t="s">
        <v>29</v>
      </c>
      <c r="E3117" s="46">
        <v>10561723</v>
      </c>
      <c r="F3117" s="2">
        <f>IF(C3117="GBP",E3117*$C$3,IF(C3117="TRY",E3117/$C$1,IF(C3117="EUR",E3117*$E$1,IF(C3117="RUB",E3117/#REF!,IF(C3117="EGP",E3117/$E$2,E3117)))))</f>
        <v>289624.92013305216</v>
      </c>
      <c r="G3117" s="15" t="str">
        <f>VLOOKUP(B3117,SPECIFICATIONF!$C$2:$D$65,2,0)</f>
        <v>GLOBAL RETAIL</v>
      </c>
      <c r="H3117" s="12">
        <f t="shared" si="292"/>
        <v>3</v>
      </c>
      <c r="I3117" s="12">
        <f t="shared" si="293"/>
        <v>2026</v>
      </c>
    </row>
    <row r="3118" spans="1:9" ht="19.5" customHeight="1" x14ac:dyDescent="0.35">
      <c r="A3118" s="41">
        <v>46090</v>
      </c>
      <c r="B3118" s="8" t="s">
        <v>24</v>
      </c>
      <c r="C3118" s="42" t="s">
        <v>33</v>
      </c>
      <c r="D3118" s="43" t="s">
        <v>29</v>
      </c>
      <c r="E3118" s="46">
        <v>0</v>
      </c>
      <c r="F3118" s="2">
        <f>IF(C3118="GBP",E3118*$C$3,IF(C3118="TRY",E3118/$C$1,IF(C3118="EUR",E3118*$E$1,IF(C3118="RUB",E3118/#REF!,IF(C3118="EGP",E3118/$E$2,E3118)))))</f>
        <v>0</v>
      </c>
      <c r="G3118" s="15" t="str">
        <f>VLOOKUP(B3118,SPECIFICATIONF!$C$2:$D$65,2,0)</f>
        <v>GLOBAL RETAIL</v>
      </c>
      <c r="H3118" s="12">
        <f t="shared" si="292"/>
        <v>3</v>
      </c>
      <c r="I3118" s="12">
        <f t="shared" si="293"/>
        <v>2026</v>
      </c>
    </row>
    <row r="3119" spans="1:9" ht="19.5" customHeight="1" x14ac:dyDescent="0.35">
      <c r="A3119" s="41">
        <v>46091</v>
      </c>
      <c r="B3119" s="8" t="s">
        <v>32</v>
      </c>
      <c r="C3119" s="42" t="s">
        <v>11</v>
      </c>
      <c r="D3119" s="43" t="s">
        <v>30</v>
      </c>
      <c r="E3119" s="46">
        <v>1197709.5</v>
      </c>
      <c r="F3119" s="2">
        <f>IF(C3119="GBP",E3119*$C$3,IF(C3119="TRY",E3119/$C$1,IF(C3119="EUR",E3119*$E$1,IF(C3119="RUB",E3119/#REF!,IF(C3119="EGP",E3119/$E$2,E3119)))))</f>
        <v>32843.743230162145</v>
      </c>
      <c r="G3119" s="15" t="str">
        <f>VLOOKUP(B3119,SPECIFICATIONF!$C$2:$D$65,2,0)</f>
        <v>GLOBAL HFT</v>
      </c>
      <c r="H3119" s="12">
        <f t="shared" ref="H3119:H3126" si="294">MONTH(A3119)</f>
        <v>3</v>
      </c>
      <c r="I3119" s="12">
        <f t="shared" ref="I3119:I3126" si="295">YEAR(A3119)</f>
        <v>2026</v>
      </c>
    </row>
    <row r="3120" spans="1:9" ht="19.5" customHeight="1" x14ac:dyDescent="0.35">
      <c r="A3120" s="41">
        <v>46091</v>
      </c>
      <c r="B3120" s="8" t="s">
        <v>32</v>
      </c>
      <c r="C3120" s="42" t="s">
        <v>33</v>
      </c>
      <c r="D3120" s="43" t="s">
        <v>30</v>
      </c>
      <c r="E3120" s="46">
        <v>6037.16</v>
      </c>
      <c r="F3120" s="2">
        <f>IF(C3120="GBP",E3120*$C$3,IF(C3120="TRY",E3120/$C$1,IF(C3120="EUR",E3120*$E$1,IF(C3120="RUB",E3120/#REF!,IF(C3120="EGP",E3120/$E$2,E3120)))))</f>
        <v>6037.16</v>
      </c>
      <c r="G3120" s="15" t="str">
        <f>VLOOKUP(B3120,SPECIFICATIONF!$C$2:$D$65,2,0)</f>
        <v>GLOBAL HFT</v>
      </c>
      <c r="H3120" s="12">
        <f t="shared" si="294"/>
        <v>3</v>
      </c>
      <c r="I3120" s="12">
        <f t="shared" si="295"/>
        <v>2026</v>
      </c>
    </row>
    <row r="3121" spans="1:9" ht="19.5" customHeight="1" x14ac:dyDescent="0.35">
      <c r="A3121" s="41">
        <v>46091</v>
      </c>
      <c r="B3121" s="8" t="s">
        <v>32</v>
      </c>
      <c r="C3121" s="42" t="s">
        <v>11</v>
      </c>
      <c r="D3121" s="43" t="s">
        <v>29</v>
      </c>
      <c r="E3121" s="46">
        <v>3957132261</v>
      </c>
      <c r="F3121" s="2">
        <f>IF(C3121="GBP",E3121*$C$3,IF(C3121="TRY",E3121/$C$1,IF(C3121="EUR",E3121*$E$1,IF(C3121="RUB",E3121/#REF!,IF(C3121="EGP",E3121/$E$2,E3121)))))</f>
        <v>108512987.42146987</v>
      </c>
      <c r="G3121" s="15" t="str">
        <f>VLOOKUP(B3121,SPECIFICATIONF!$C$2:$D$65,2,0)</f>
        <v>GLOBAL HFT</v>
      </c>
      <c r="H3121" s="12">
        <f t="shared" si="294"/>
        <v>3</v>
      </c>
      <c r="I3121" s="12">
        <f t="shared" si="295"/>
        <v>2026</v>
      </c>
    </row>
    <row r="3122" spans="1:9" ht="19.5" customHeight="1" x14ac:dyDescent="0.35">
      <c r="A3122" s="41">
        <v>46091</v>
      </c>
      <c r="B3122" s="8" t="s">
        <v>32</v>
      </c>
      <c r="C3122" s="42" t="s">
        <v>33</v>
      </c>
      <c r="D3122" s="43" t="s">
        <v>29</v>
      </c>
      <c r="E3122" s="46">
        <v>18212178</v>
      </c>
      <c r="F3122" s="2">
        <f>IF(C3122="GBP",E3122*$C$3,IF(C3122="TRY",E3122/$C$1,IF(C3122="EUR",E3122*$E$1,IF(C3122="RUB",E3122/#REF!,IF(C3122="EGP",E3122/$E$2,E3122)))))</f>
        <v>18212178</v>
      </c>
      <c r="G3122" s="15" t="str">
        <f>VLOOKUP(B3122,SPECIFICATIONF!$C$2:$D$65,2,0)</f>
        <v>GLOBAL HFT</v>
      </c>
      <c r="H3122" s="12">
        <f t="shared" si="294"/>
        <v>3</v>
      </c>
      <c r="I3122" s="12">
        <f t="shared" si="295"/>
        <v>2026</v>
      </c>
    </row>
    <row r="3123" spans="1:9" ht="19.5" customHeight="1" x14ac:dyDescent="0.35">
      <c r="A3123" s="41">
        <v>46091</v>
      </c>
      <c r="B3123" s="8" t="s">
        <v>24</v>
      </c>
      <c r="C3123" s="42" t="s">
        <v>11</v>
      </c>
      <c r="D3123" s="43" t="s">
        <v>30</v>
      </c>
      <c r="E3123" s="46">
        <v>0</v>
      </c>
      <c r="F3123" s="2">
        <f>IF(C3123="GBP",E3123*$C$3,IF(C3123="TRY",E3123/$C$1,IF(C3123="EUR",E3123*$E$1,IF(C3123="RUB",E3123/#REF!,IF(C3123="EGP",E3123/$E$2,E3123)))))</f>
        <v>0</v>
      </c>
      <c r="G3123" s="15" t="str">
        <f>VLOOKUP(B3123,SPECIFICATIONF!$C$2:$D$65,2,0)</f>
        <v>GLOBAL RETAIL</v>
      </c>
      <c r="H3123" s="12">
        <f t="shared" si="294"/>
        <v>3</v>
      </c>
      <c r="I3123" s="12">
        <f t="shared" si="295"/>
        <v>2026</v>
      </c>
    </row>
    <row r="3124" spans="1:9" ht="19.5" customHeight="1" x14ac:dyDescent="0.35">
      <c r="A3124" s="41">
        <v>46091</v>
      </c>
      <c r="B3124" s="8" t="s">
        <v>24</v>
      </c>
      <c r="C3124" s="42" t="s">
        <v>33</v>
      </c>
      <c r="D3124" s="43" t="s">
        <v>30</v>
      </c>
      <c r="E3124" s="46">
        <v>0</v>
      </c>
      <c r="F3124" s="2">
        <f>IF(C3124="GBP",E3124*$C$3,IF(C3124="TRY",E3124/$C$1,IF(C3124="EUR",E3124*$E$1,IF(C3124="RUB",E3124/#REF!,IF(C3124="EGP",E3124/$E$2,E3124)))))</f>
        <v>0</v>
      </c>
      <c r="G3124" s="15" t="str">
        <f>VLOOKUP(B3124,SPECIFICATIONF!$C$2:$D$65,2,0)</f>
        <v>GLOBAL RETAIL</v>
      </c>
      <c r="H3124" s="12">
        <f t="shared" si="294"/>
        <v>3</v>
      </c>
      <c r="I3124" s="12">
        <f t="shared" si="295"/>
        <v>2026</v>
      </c>
    </row>
    <row r="3125" spans="1:9" ht="19.5" customHeight="1" x14ac:dyDescent="0.35">
      <c r="A3125" s="41">
        <v>46091</v>
      </c>
      <c r="B3125" s="8" t="s">
        <v>24</v>
      </c>
      <c r="C3125" s="42" t="s">
        <v>11</v>
      </c>
      <c r="D3125" s="43" t="s">
        <v>29</v>
      </c>
      <c r="E3125" s="46">
        <v>31817672</v>
      </c>
      <c r="F3125" s="2">
        <f>IF(C3125="GBP",E3125*$C$3,IF(C3125="TRY",E3125/$C$1,IF(C3125="EUR",E3125*$E$1,IF(C3125="RUB",E3125/#REF!,IF(C3125="EGP",E3125/$E$2,E3125)))))</f>
        <v>872508.27462712757</v>
      </c>
      <c r="G3125" s="15" t="str">
        <f>VLOOKUP(B3125,SPECIFICATIONF!$C$2:$D$65,2,0)</f>
        <v>GLOBAL RETAIL</v>
      </c>
      <c r="H3125" s="12">
        <f t="shared" si="294"/>
        <v>3</v>
      </c>
      <c r="I3125" s="12">
        <f t="shared" si="295"/>
        <v>2026</v>
      </c>
    </row>
    <row r="3126" spans="1:9" ht="19.5" customHeight="1" x14ac:dyDescent="0.35">
      <c r="A3126" s="41">
        <v>46091</v>
      </c>
      <c r="B3126" s="8" t="s">
        <v>24</v>
      </c>
      <c r="C3126" s="42" t="s">
        <v>33</v>
      </c>
      <c r="D3126" s="43" t="s">
        <v>29</v>
      </c>
      <c r="E3126" s="46">
        <v>0</v>
      </c>
      <c r="F3126" s="2">
        <f>IF(C3126="GBP",E3126*$C$3,IF(C3126="TRY",E3126/$C$1,IF(C3126="EUR",E3126*$E$1,IF(C3126="RUB",E3126/#REF!,IF(C3126="EGP",E3126/$E$2,E3126)))))</f>
        <v>0</v>
      </c>
      <c r="G3126" s="15" t="str">
        <f>VLOOKUP(B3126,SPECIFICATIONF!$C$2:$D$65,2,0)</f>
        <v>GLOBAL RETAIL</v>
      </c>
      <c r="H3126" s="12">
        <f t="shared" si="294"/>
        <v>3</v>
      </c>
      <c r="I3126" s="12">
        <f t="shared" si="295"/>
        <v>2026</v>
      </c>
    </row>
    <row r="3127" spans="1:9" ht="19.5" customHeight="1" x14ac:dyDescent="0.35">
      <c r="A3127" s="41">
        <v>46092</v>
      </c>
      <c r="B3127" s="8" t="s">
        <v>32</v>
      </c>
      <c r="C3127" s="42" t="s">
        <v>11</v>
      </c>
      <c r="D3127" s="43" t="s">
        <v>30</v>
      </c>
      <c r="E3127" s="46">
        <v>1081011.3600000001</v>
      </c>
      <c r="F3127" s="2">
        <f>IF(C3127="GBP",E3127*$C$3,IF(C3127="TRY",E3127/$C$1,IF(C3127="EUR",E3127*$E$1,IF(C3127="RUB",E3127/#REF!,IF(C3127="EGP",E3127/$E$2,E3127)))))</f>
        <v>29643.631896322418</v>
      </c>
      <c r="G3127" s="15" t="str">
        <f>VLOOKUP(B3127,SPECIFICATIONF!$C$2:$D$65,2,0)</f>
        <v>GLOBAL HFT</v>
      </c>
      <c r="H3127" s="12">
        <f t="shared" ref="H3127:H3134" si="296">MONTH(A3127)</f>
        <v>3</v>
      </c>
      <c r="I3127" s="12">
        <f t="shared" ref="I3127:I3134" si="297">YEAR(A3127)</f>
        <v>2026</v>
      </c>
    </row>
    <row r="3128" spans="1:9" ht="19.5" customHeight="1" x14ac:dyDescent="0.35">
      <c r="A3128" s="41">
        <v>46092</v>
      </c>
      <c r="B3128" s="8" t="s">
        <v>32</v>
      </c>
      <c r="C3128" s="42" t="s">
        <v>33</v>
      </c>
      <c r="D3128" s="43" t="s">
        <v>30</v>
      </c>
      <c r="E3128" s="46">
        <v>4177.84</v>
      </c>
      <c r="F3128" s="2">
        <f>IF(C3128="GBP",E3128*$C$3,IF(C3128="TRY",E3128/$C$1,IF(C3128="EUR",E3128*$E$1,IF(C3128="RUB",E3128/#REF!,IF(C3128="EGP",E3128/$E$2,E3128)))))</f>
        <v>4177.84</v>
      </c>
      <c r="G3128" s="15" t="str">
        <f>VLOOKUP(B3128,SPECIFICATIONF!$C$2:$D$65,2,0)</f>
        <v>GLOBAL HFT</v>
      </c>
      <c r="H3128" s="12">
        <f t="shared" si="296"/>
        <v>3</v>
      </c>
      <c r="I3128" s="12">
        <f t="shared" si="297"/>
        <v>2026</v>
      </c>
    </row>
    <row r="3129" spans="1:9" ht="19.5" customHeight="1" x14ac:dyDescent="0.35">
      <c r="A3129" s="41">
        <v>46092</v>
      </c>
      <c r="B3129" s="8" t="s">
        <v>32</v>
      </c>
      <c r="C3129" s="42" t="s">
        <v>11</v>
      </c>
      <c r="D3129" s="43" t="s">
        <v>29</v>
      </c>
      <c r="E3129" s="46">
        <v>3755142764</v>
      </c>
      <c r="F3129" s="2">
        <f>IF(C3129="GBP",E3129*$C$3,IF(C3129="TRY",E3129/$C$1,IF(C3129="EUR",E3129*$E$1,IF(C3129="RUB",E3129/#REF!,IF(C3129="EGP",E3129/$E$2,E3129)))))</f>
        <v>102974005.57766083</v>
      </c>
      <c r="G3129" s="15" t="str">
        <f>VLOOKUP(B3129,SPECIFICATIONF!$C$2:$D$65,2,0)</f>
        <v>GLOBAL HFT</v>
      </c>
      <c r="H3129" s="12">
        <f t="shared" si="296"/>
        <v>3</v>
      </c>
      <c r="I3129" s="12">
        <f t="shared" si="297"/>
        <v>2026</v>
      </c>
    </row>
    <row r="3130" spans="1:9" ht="19.5" customHeight="1" x14ac:dyDescent="0.35">
      <c r="A3130" s="41">
        <v>46092</v>
      </c>
      <c r="B3130" s="8" t="s">
        <v>32</v>
      </c>
      <c r="C3130" s="42" t="s">
        <v>33</v>
      </c>
      <c r="D3130" s="43" t="s">
        <v>29</v>
      </c>
      <c r="E3130" s="46">
        <v>12997873</v>
      </c>
      <c r="F3130" s="2">
        <f>IF(C3130="GBP",E3130*$C$3,IF(C3130="TRY",E3130/$C$1,IF(C3130="EUR",E3130*$E$1,IF(C3130="RUB",E3130/#REF!,IF(C3130="EGP",E3130/$E$2,E3130)))))</f>
        <v>12997873</v>
      </c>
      <c r="G3130" s="15" t="str">
        <f>VLOOKUP(B3130,SPECIFICATIONF!$C$2:$D$65,2,0)</f>
        <v>GLOBAL HFT</v>
      </c>
      <c r="H3130" s="12">
        <f t="shared" si="296"/>
        <v>3</v>
      </c>
      <c r="I3130" s="12">
        <f t="shared" si="297"/>
        <v>2026</v>
      </c>
    </row>
    <row r="3131" spans="1:9" ht="19.5" customHeight="1" x14ac:dyDescent="0.35">
      <c r="A3131" s="41">
        <v>46092</v>
      </c>
      <c r="B3131" s="8" t="s">
        <v>24</v>
      </c>
      <c r="C3131" s="42" t="s">
        <v>11</v>
      </c>
      <c r="D3131" s="43" t="s">
        <v>30</v>
      </c>
      <c r="E3131" s="46">
        <v>0</v>
      </c>
      <c r="F3131" s="2">
        <f>IF(C3131="GBP",E3131*$C$3,IF(C3131="TRY",E3131/$C$1,IF(C3131="EUR",E3131*$E$1,IF(C3131="RUB",E3131/#REF!,IF(C3131="EGP",E3131/$E$2,E3131)))))</f>
        <v>0</v>
      </c>
      <c r="G3131" s="15" t="str">
        <f>VLOOKUP(B3131,SPECIFICATIONF!$C$2:$D$65,2,0)</f>
        <v>GLOBAL RETAIL</v>
      </c>
      <c r="H3131" s="12">
        <f t="shared" si="296"/>
        <v>3</v>
      </c>
      <c r="I3131" s="12">
        <f t="shared" si="297"/>
        <v>2026</v>
      </c>
    </row>
    <row r="3132" spans="1:9" ht="19.5" customHeight="1" x14ac:dyDescent="0.35">
      <c r="A3132" s="41">
        <v>46092</v>
      </c>
      <c r="B3132" s="8" t="s">
        <v>24</v>
      </c>
      <c r="C3132" s="42" t="s">
        <v>33</v>
      </c>
      <c r="D3132" s="43" t="s">
        <v>30</v>
      </c>
      <c r="E3132" s="46">
        <v>0</v>
      </c>
      <c r="F3132" s="2">
        <f>IF(C3132="GBP",E3132*$C$3,IF(C3132="TRY",E3132/$C$1,IF(C3132="EUR",E3132*$E$1,IF(C3132="RUB",E3132/#REF!,IF(C3132="EGP",E3132/$E$2,E3132)))))</f>
        <v>0</v>
      </c>
      <c r="G3132" s="15" t="str">
        <f>VLOOKUP(B3132,SPECIFICATIONF!$C$2:$D$65,2,0)</f>
        <v>GLOBAL RETAIL</v>
      </c>
      <c r="H3132" s="12">
        <f t="shared" si="296"/>
        <v>3</v>
      </c>
      <c r="I3132" s="12">
        <f t="shared" si="297"/>
        <v>2026</v>
      </c>
    </row>
    <row r="3133" spans="1:9" ht="19.5" customHeight="1" x14ac:dyDescent="0.35">
      <c r="A3133" s="41">
        <v>46092</v>
      </c>
      <c r="B3133" s="8" t="s">
        <v>24</v>
      </c>
      <c r="C3133" s="42" t="s">
        <v>11</v>
      </c>
      <c r="D3133" s="43" t="s">
        <v>29</v>
      </c>
      <c r="E3133" s="46">
        <v>20761465</v>
      </c>
      <c r="F3133" s="2">
        <f>IF(C3133="GBP",E3133*$C$3,IF(C3133="TRY",E3133/$C$1,IF(C3133="EUR",E3133*$E$1,IF(C3133="RUB",E3133/#REF!,IF(C3133="EGP",E3133/$E$2,E3133)))))</f>
        <v>569323.5509462005</v>
      </c>
      <c r="G3133" s="15" t="str">
        <f>VLOOKUP(B3133,SPECIFICATIONF!$C$2:$D$65,2,0)</f>
        <v>GLOBAL RETAIL</v>
      </c>
      <c r="H3133" s="12">
        <f t="shared" si="296"/>
        <v>3</v>
      </c>
      <c r="I3133" s="12">
        <f t="shared" si="297"/>
        <v>2026</v>
      </c>
    </row>
    <row r="3134" spans="1:9" ht="19.5" customHeight="1" x14ac:dyDescent="0.35">
      <c r="A3134" s="41">
        <v>46092</v>
      </c>
      <c r="B3134" s="8" t="s">
        <v>24</v>
      </c>
      <c r="C3134" s="42" t="s">
        <v>33</v>
      </c>
      <c r="D3134" s="43" t="s">
        <v>29</v>
      </c>
      <c r="E3134" s="46">
        <v>0</v>
      </c>
      <c r="F3134" s="2">
        <f>IF(C3134="GBP",E3134*$C$3,IF(C3134="TRY",E3134/$C$1,IF(C3134="EUR",E3134*$E$1,IF(C3134="RUB",E3134/#REF!,IF(C3134="EGP",E3134/$E$2,E3134)))))</f>
        <v>0</v>
      </c>
      <c r="G3134" s="15" t="str">
        <f>VLOOKUP(B3134,SPECIFICATIONF!$C$2:$D$65,2,0)</f>
        <v>GLOBAL RETAIL</v>
      </c>
      <c r="H3134" s="12">
        <f t="shared" si="296"/>
        <v>3</v>
      </c>
      <c r="I3134" s="12">
        <f t="shared" si="297"/>
        <v>2026</v>
      </c>
    </row>
    <row r="3135" spans="1:9" ht="19.5" customHeight="1" x14ac:dyDescent="0.35">
      <c r="A3135" s="41">
        <v>46093</v>
      </c>
      <c r="B3135" s="8" t="s">
        <v>32</v>
      </c>
      <c r="C3135" s="42" t="s">
        <v>11</v>
      </c>
      <c r="D3135" s="43" t="s">
        <v>30</v>
      </c>
      <c r="E3135" s="46">
        <v>1241721.6000000001</v>
      </c>
      <c r="F3135" s="2">
        <f>IF(C3135="GBP",E3135*$C$3,IF(C3135="TRY",E3135/$C$1,IF(C3135="EUR",E3135*$E$1,IF(C3135="RUB",E3135/#REF!,IF(C3135="EGP",E3135/$E$2,E3135)))))</f>
        <v>34050.648670438124</v>
      </c>
      <c r="G3135" s="15" t="str">
        <f>VLOOKUP(B3135,SPECIFICATIONF!$C$2:$D$65,2,0)</f>
        <v>GLOBAL HFT</v>
      </c>
      <c r="H3135" s="12">
        <f t="shared" ref="H3135:H3142" si="298">MONTH(A3135)</f>
        <v>3</v>
      </c>
      <c r="I3135" s="12">
        <f t="shared" ref="I3135:I3142" si="299">YEAR(A3135)</f>
        <v>2026</v>
      </c>
    </row>
    <row r="3136" spans="1:9" ht="19.5" customHeight="1" x14ac:dyDescent="0.35">
      <c r="A3136" s="41">
        <v>46093</v>
      </c>
      <c r="B3136" s="8" t="s">
        <v>32</v>
      </c>
      <c r="C3136" s="42" t="s">
        <v>33</v>
      </c>
      <c r="D3136" s="43" t="s">
        <v>30</v>
      </c>
      <c r="E3136" s="46">
        <v>4152.5200000000004</v>
      </c>
      <c r="F3136" s="2">
        <f>IF(C3136="GBP",E3136*$C$3,IF(C3136="TRY",E3136/$C$1,IF(C3136="EUR",E3136*$E$1,IF(C3136="RUB",E3136/#REF!,IF(C3136="EGP",E3136/$E$2,E3136)))))</f>
        <v>4152.5200000000004</v>
      </c>
      <c r="G3136" s="15" t="str">
        <f>VLOOKUP(B3136,SPECIFICATIONF!$C$2:$D$65,2,0)</f>
        <v>GLOBAL HFT</v>
      </c>
      <c r="H3136" s="12">
        <f t="shared" si="298"/>
        <v>3</v>
      </c>
      <c r="I3136" s="12">
        <f t="shared" si="299"/>
        <v>2026</v>
      </c>
    </row>
    <row r="3137" spans="1:9" ht="19.5" customHeight="1" x14ac:dyDescent="0.35">
      <c r="A3137" s="41">
        <v>46093</v>
      </c>
      <c r="B3137" s="8" t="s">
        <v>32</v>
      </c>
      <c r="C3137" s="42" t="s">
        <v>11</v>
      </c>
      <c r="D3137" s="43" t="s">
        <v>29</v>
      </c>
      <c r="E3137" s="46">
        <v>4308169283</v>
      </c>
      <c r="F3137" s="2">
        <f>IF(C3137="GBP",E3137*$C$3,IF(C3137="TRY",E3137/$C$1,IF(C3137="EUR",E3137*$E$1,IF(C3137="RUB",E3137/#REF!,IF(C3137="EGP",E3137/$E$2,E3137)))))</f>
        <v>118139169.57569741</v>
      </c>
      <c r="G3137" s="15" t="str">
        <f>VLOOKUP(B3137,SPECIFICATIONF!$C$2:$D$65,2,0)</f>
        <v>GLOBAL HFT</v>
      </c>
      <c r="H3137" s="12">
        <f t="shared" si="298"/>
        <v>3</v>
      </c>
      <c r="I3137" s="12">
        <f t="shared" si="299"/>
        <v>2026</v>
      </c>
    </row>
    <row r="3138" spans="1:9" ht="19.5" customHeight="1" x14ac:dyDescent="0.35">
      <c r="A3138" s="41">
        <v>46093</v>
      </c>
      <c r="B3138" s="8" t="s">
        <v>32</v>
      </c>
      <c r="C3138" s="42" t="s">
        <v>33</v>
      </c>
      <c r="D3138" s="43" t="s">
        <v>29</v>
      </c>
      <c r="E3138" s="46">
        <v>12542379</v>
      </c>
      <c r="F3138" s="2">
        <f>IF(C3138="GBP",E3138*$C$3,IF(C3138="TRY",E3138/$C$1,IF(C3138="EUR",E3138*$E$1,IF(C3138="RUB",E3138/#REF!,IF(C3138="EGP",E3138/$E$2,E3138)))))</f>
        <v>12542379</v>
      </c>
      <c r="G3138" s="15" t="str">
        <f>VLOOKUP(B3138,SPECIFICATIONF!$C$2:$D$65,2,0)</f>
        <v>GLOBAL HFT</v>
      </c>
      <c r="H3138" s="12">
        <f t="shared" si="298"/>
        <v>3</v>
      </c>
      <c r="I3138" s="12">
        <f t="shared" si="299"/>
        <v>2026</v>
      </c>
    </row>
    <row r="3139" spans="1:9" ht="19.5" customHeight="1" x14ac:dyDescent="0.35">
      <c r="A3139" s="41">
        <v>46093</v>
      </c>
      <c r="B3139" s="8" t="s">
        <v>24</v>
      </c>
      <c r="C3139" s="42" t="s">
        <v>11</v>
      </c>
      <c r="D3139" s="43" t="s">
        <v>30</v>
      </c>
      <c r="E3139" s="46">
        <v>0</v>
      </c>
      <c r="F3139" s="2">
        <f>IF(C3139="GBP",E3139*$C$3,IF(C3139="TRY",E3139/$C$1,IF(C3139="EUR",E3139*$E$1,IF(C3139="RUB",E3139/#REF!,IF(C3139="EGP",E3139/$E$2,E3139)))))</f>
        <v>0</v>
      </c>
      <c r="G3139" s="15" t="str">
        <f>VLOOKUP(B3139,SPECIFICATIONF!$C$2:$D$65,2,0)</f>
        <v>GLOBAL RETAIL</v>
      </c>
      <c r="H3139" s="12">
        <f t="shared" si="298"/>
        <v>3</v>
      </c>
      <c r="I3139" s="12">
        <f t="shared" si="299"/>
        <v>2026</v>
      </c>
    </row>
    <row r="3140" spans="1:9" ht="19.5" customHeight="1" x14ac:dyDescent="0.35">
      <c r="A3140" s="41">
        <v>46093</v>
      </c>
      <c r="B3140" s="8" t="s">
        <v>24</v>
      </c>
      <c r="C3140" s="42" t="s">
        <v>33</v>
      </c>
      <c r="D3140" s="43" t="s">
        <v>30</v>
      </c>
      <c r="E3140" s="46">
        <v>0</v>
      </c>
      <c r="F3140" s="2">
        <f>IF(C3140="GBP",E3140*$C$3,IF(C3140="TRY",E3140/$C$1,IF(C3140="EUR",E3140*$E$1,IF(C3140="RUB",E3140/#REF!,IF(C3140="EGP",E3140/$E$2,E3140)))))</f>
        <v>0</v>
      </c>
      <c r="G3140" s="15" t="str">
        <f>VLOOKUP(B3140,SPECIFICATIONF!$C$2:$D$65,2,0)</f>
        <v>GLOBAL RETAIL</v>
      </c>
      <c r="H3140" s="12">
        <f t="shared" si="298"/>
        <v>3</v>
      </c>
      <c r="I3140" s="12">
        <f t="shared" si="299"/>
        <v>2026</v>
      </c>
    </row>
    <row r="3141" spans="1:9" ht="19.5" customHeight="1" x14ac:dyDescent="0.35">
      <c r="A3141" s="41">
        <v>46093</v>
      </c>
      <c r="B3141" s="8" t="s">
        <v>24</v>
      </c>
      <c r="C3141" s="42" t="s">
        <v>11</v>
      </c>
      <c r="D3141" s="43" t="s">
        <v>29</v>
      </c>
      <c r="E3141" s="46">
        <v>22160475</v>
      </c>
      <c r="F3141" s="2">
        <f>IF(C3141="GBP",E3141*$C$3,IF(C3141="TRY",E3141/$C$1,IF(C3141="EUR",E3141*$E$1,IF(C3141="RUB",E3141/#REF!,IF(C3141="EGP",E3141/$E$2,E3141)))))</f>
        <v>607687.38225623779</v>
      </c>
      <c r="G3141" s="15" t="str">
        <f>VLOOKUP(B3141,SPECIFICATIONF!$C$2:$D$65,2,0)</f>
        <v>GLOBAL RETAIL</v>
      </c>
      <c r="H3141" s="12">
        <f t="shared" si="298"/>
        <v>3</v>
      </c>
      <c r="I3141" s="12">
        <f t="shared" si="299"/>
        <v>2026</v>
      </c>
    </row>
    <row r="3142" spans="1:9" ht="19.5" customHeight="1" x14ac:dyDescent="0.35">
      <c r="A3142" s="41">
        <v>46093</v>
      </c>
      <c r="B3142" s="8" t="s">
        <v>24</v>
      </c>
      <c r="C3142" s="42" t="s">
        <v>33</v>
      </c>
      <c r="D3142" s="43" t="s">
        <v>29</v>
      </c>
      <c r="E3142" s="46">
        <v>0</v>
      </c>
      <c r="F3142" s="2">
        <f>IF(C3142="GBP",E3142*$C$3,IF(C3142="TRY",E3142/$C$1,IF(C3142="EUR",E3142*$E$1,IF(C3142="RUB",E3142/#REF!,IF(C3142="EGP",E3142/$E$2,E3142)))))</f>
        <v>0</v>
      </c>
      <c r="G3142" s="15" t="str">
        <f>VLOOKUP(B3142,SPECIFICATIONF!$C$2:$D$65,2,0)</f>
        <v>GLOBAL RETAIL</v>
      </c>
      <c r="H3142" s="12">
        <f t="shared" si="298"/>
        <v>3</v>
      </c>
      <c r="I3142" s="12">
        <f t="shared" si="299"/>
        <v>2026</v>
      </c>
    </row>
    <row r="3143" spans="1:9" ht="19.5" customHeight="1" x14ac:dyDescent="0.35">
      <c r="A3143" s="41">
        <v>46094</v>
      </c>
      <c r="B3143" s="8" t="s">
        <v>32</v>
      </c>
      <c r="C3143" s="42" t="s">
        <v>11</v>
      </c>
      <c r="D3143" s="43" t="s">
        <v>30</v>
      </c>
      <c r="E3143" s="46">
        <v>1711300.83</v>
      </c>
      <c r="F3143" s="2">
        <f>IF(C3143="GBP",E3143*$C$3,IF(C3143="TRY",E3143/$C$1,IF(C3143="EUR",E3143*$E$1,IF(C3143="RUB",E3143/#REF!,IF(C3143="EGP",E3143/$E$2,E3143)))))</f>
        <v>46927.510427264177</v>
      </c>
      <c r="G3143" s="15" t="str">
        <f>VLOOKUP(B3143,SPECIFICATIONF!$C$2:$D$65,2,0)</f>
        <v>GLOBAL HFT</v>
      </c>
      <c r="H3143" s="12">
        <f t="shared" ref="H3143:H3150" si="300">MONTH(A3143)</f>
        <v>3</v>
      </c>
      <c r="I3143" s="12">
        <f t="shared" ref="I3143:I3150" si="301">YEAR(A3143)</f>
        <v>2026</v>
      </c>
    </row>
    <row r="3144" spans="1:9" ht="19.5" customHeight="1" x14ac:dyDescent="0.35">
      <c r="A3144" s="41">
        <v>46094</v>
      </c>
      <c r="B3144" s="8" t="s">
        <v>32</v>
      </c>
      <c r="C3144" s="42" t="s">
        <v>33</v>
      </c>
      <c r="D3144" s="43" t="s">
        <v>30</v>
      </c>
      <c r="E3144" s="46">
        <v>8828.09</v>
      </c>
      <c r="F3144" s="2">
        <f>IF(C3144="GBP",E3144*$C$3,IF(C3144="TRY",E3144/$C$1,IF(C3144="EUR",E3144*$E$1,IF(C3144="RUB",E3144/#REF!,IF(C3144="EGP",E3144/$E$2,E3144)))))</f>
        <v>8828.09</v>
      </c>
      <c r="G3144" s="15" t="str">
        <f>VLOOKUP(B3144,SPECIFICATIONF!$C$2:$D$65,2,0)</f>
        <v>GLOBAL HFT</v>
      </c>
      <c r="H3144" s="12">
        <f t="shared" si="300"/>
        <v>3</v>
      </c>
      <c r="I3144" s="12">
        <f t="shared" si="301"/>
        <v>2026</v>
      </c>
    </row>
    <row r="3145" spans="1:9" ht="19.5" customHeight="1" x14ac:dyDescent="0.35">
      <c r="A3145" s="41">
        <v>46094</v>
      </c>
      <c r="B3145" s="8" t="s">
        <v>32</v>
      </c>
      <c r="C3145" s="42" t="s">
        <v>11</v>
      </c>
      <c r="D3145" s="43" t="s">
        <v>29</v>
      </c>
      <c r="E3145" s="46">
        <v>5805733062</v>
      </c>
      <c r="F3145" s="2">
        <f>IF(C3145="GBP",E3145*$C$3,IF(C3145="TRY",E3145/$C$1,IF(C3145="EUR",E3145*$E$1,IF(C3145="RUB",E3145/#REF!,IF(C3145="EGP",E3145/$E$2,E3145)))))</f>
        <v>159205555.22953692</v>
      </c>
      <c r="G3145" s="15" t="str">
        <f>VLOOKUP(B3145,SPECIFICATIONF!$C$2:$D$65,2,0)</f>
        <v>GLOBAL HFT</v>
      </c>
      <c r="H3145" s="12">
        <f t="shared" si="300"/>
        <v>3</v>
      </c>
      <c r="I3145" s="12">
        <f t="shared" si="301"/>
        <v>2026</v>
      </c>
    </row>
    <row r="3146" spans="1:9" ht="19.5" customHeight="1" x14ac:dyDescent="0.35">
      <c r="A3146" s="41">
        <v>46094</v>
      </c>
      <c r="B3146" s="8" t="s">
        <v>32</v>
      </c>
      <c r="C3146" s="42" t="s">
        <v>33</v>
      </c>
      <c r="D3146" s="43" t="s">
        <v>29</v>
      </c>
      <c r="E3146" s="46">
        <v>26584085</v>
      </c>
      <c r="F3146" s="2">
        <f>IF(C3146="GBP",E3146*$C$3,IF(C3146="TRY",E3146/$C$1,IF(C3146="EUR",E3146*$E$1,IF(C3146="RUB",E3146/#REF!,IF(C3146="EGP",E3146/$E$2,E3146)))))</f>
        <v>26584085</v>
      </c>
      <c r="G3146" s="15" t="str">
        <f>VLOOKUP(B3146,SPECIFICATIONF!$C$2:$D$65,2,0)</f>
        <v>GLOBAL HFT</v>
      </c>
      <c r="H3146" s="12">
        <f t="shared" si="300"/>
        <v>3</v>
      </c>
      <c r="I3146" s="12">
        <f t="shared" si="301"/>
        <v>2026</v>
      </c>
    </row>
    <row r="3147" spans="1:9" ht="19.5" customHeight="1" x14ac:dyDescent="0.35">
      <c r="A3147" s="41">
        <v>46094</v>
      </c>
      <c r="B3147" s="8" t="s">
        <v>24</v>
      </c>
      <c r="C3147" s="42" t="s">
        <v>11</v>
      </c>
      <c r="D3147" s="43" t="s">
        <v>30</v>
      </c>
      <c r="E3147" s="46">
        <v>0</v>
      </c>
      <c r="F3147" s="2">
        <f>IF(C3147="GBP",E3147*$C$3,IF(C3147="TRY",E3147/$C$1,IF(C3147="EUR",E3147*$E$1,IF(C3147="RUB",E3147/#REF!,IF(C3147="EGP",E3147/$E$2,E3147)))))</f>
        <v>0</v>
      </c>
      <c r="G3147" s="15" t="str">
        <f>VLOOKUP(B3147,SPECIFICATIONF!$C$2:$D$65,2,0)</f>
        <v>GLOBAL RETAIL</v>
      </c>
      <c r="H3147" s="12">
        <f t="shared" si="300"/>
        <v>3</v>
      </c>
      <c r="I3147" s="12">
        <f t="shared" si="301"/>
        <v>2026</v>
      </c>
    </row>
    <row r="3148" spans="1:9" ht="19.5" customHeight="1" x14ac:dyDescent="0.35">
      <c r="A3148" s="41">
        <v>46094</v>
      </c>
      <c r="B3148" s="8" t="s">
        <v>24</v>
      </c>
      <c r="C3148" s="42" t="s">
        <v>33</v>
      </c>
      <c r="D3148" s="43" t="s">
        <v>30</v>
      </c>
      <c r="E3148" s="46">
        <v>0</v>
      </c>
      <c r="F3148" s="2">
        <f>IF(C3148="GBP",E3148*$C$3,IF(C3148="TRY",E3148/$C$1,IF(C3148="EUR",E3148*$E$1,IF(C3148="RUB",E3148/#REF!,IF(C3148="EGP",E3148/$E$2,E3148)))))</f>
        <v>0</v>
      </c>
      <c r="G3148" s="15" t="str">
        <f>VLOOKUP(B3148,SPECIFICATIONF!$C$2:$D$65,2,0)</f>
        <v>GLOBAL RETAIL</v>
      </c>
      <c r="H3148" s="12">
        <f t="shared" si="300"/>
        <v>3</v>
      </c>
      <c r="I3148" s="12">
        <f t="shared" si="301"/>
        <v>2026</v>
      </c>
    </row>
    <row r="3149" spans="1:9" ht="19.5" customHeight="1" x14ac:dyDescent="0.35">
      <c r="A3149" s="41">
        <v>46094</v>
      </c>
      <c r="B3149" s="8" t="s">
        <v>24</v>
      </c>
      <c r="C3149" s="42" t="s">
        <v>11</v>
      </c>
      <c r="D3149" s="43" t="s">
        <v>29</v>
      </c>
      <c r="E3149" s="46">
        <v>19773507</v>
      </c>
      <c r="F3149" s="2">
        <f>IF(C3149="GBP",E3149*$C$3,IF(C3149="TRY",E3149/$C$1,IF(C3149="EUR",E3149*$E$1,IF(C3149="RUB",E3149/#REF!,IF(C3149="EGP",E3149/$E$2,E3149)))))</f>
        <v>542231.64019974275</v>
      </c>
      <c r="G3149" s="15" t="str">
        <f>VLOOKUP(B3149,SPECIFICATIONF!$C$2:$D$65,2,0)</f>
        <v>GLOBAL RETAIL</v>
      </c>
      <c r="H3149" s="12">
        <f t="shared" si="300"/>
        <v>3</v>
      </c>
      <c r="I3149" s="12">
        <f t="shared" si="301"/>
        <v>2026</v>
      </c>
    </row>
    <row r="3150" spans="1:9" ht="19.5" customHeight="1" x14ac:dyDescent="0.35">
      <c r="A3150" s="41">
        <v>46094</v>
      </c>
      <c r="B3150" s="8" t="s">
        <v>24</v>
      </c>
      <c r="C3150" s="42" t="s">
        <v>33</v>
      </c>
      <c r="D3150" s="43" t="s">
        <v>29</v>
      </c>
      <c r="E3150" s="46">
        <v>0</v>
      </c>
      <c r="F3150" s="2">
        <f>IF(C3150="GBP",E3150*$C$3,IF(C3150="TRY",E3150/$C$1,IF(C3150="EUR",E3150*$E$1,IF(C3150="RUB",E3150/#REF!,IF(C3150="EGP",E3150/$E$2,E3150)))))</f>
        <v>0</v>
      </c>
      <c r="G3150" s="15" t="str">
        <f>VLOOKUP(B3150,SPECIFICATIONF!$C$2:$D$65,2,0)</f>
        <v>GLOBAL RETAIL</v>
      </c>
      <c r="H3150" s="12">
        <f t="shared" si="300"/>
        <v>3</v>
      </c>
      <c r="I3150" s="12">
        <f t="shared" si="301"/>
        <v>2026</v>
      </c>
    </row>
    <row r="3151" spans="1:9" ht="19.5" customHeight="1" x14ac:dyDescent="0.35">
      <c r="A3151" s="41">
        <v>46095</v>
      </c>
      <c r="B3151" s="8" t="s">
        <v>32</v>
      </c>
      <c r="C3151" s="42" t="s">
        <v>11</v>
      </c>
      <c r="D3151" s="43" t="s">
        <v>30</v>
      </c>
      <c r="E3151" s="46">
        <v>948723.28</v>
      </c>
      <c r="F3151" s="2">
        <f>IF(C3151="GBP",E3151*$C$3,IF(C3151="TRY",E3151/$C$1,IF(C3151="EUR",E3151*$E$1,IF(C3151="RUB",E3151/#REF!,IF(C3151="EGP",E3151/$E$2,E3151)))))</f>
        <v>26016.011232103632</v>
      </c>
      <c r="G3151" s="15" t="str">
        <f>VLOOKUP(B3151,SPECIFICATIONF!$C$2:$D$65,2,0)</f>
        <v>GLOBAL HFT</v>
      </c>
      <c r="H3151" s="12">
        <f t="shared" ref="H3151:H3174" si="302">MONTH(A3151)</f>
        <v>3</v>
      </c>
      <c r="I3151" s="12">
        <f t="shared" ref="I3151:I3174" si="303">YEAR(A3151)</f>
        <v>2026</v>
      </c>
    </row>
    <row r="3152" spans="1:9" ht="19.5" customHeight="1" x14ac:dyDescent="0.35">
      <c r="A3152" s="41">
        <v>46095</v>
      </c>
      <c r="B3152" s="8" t="s">
        <v>32</v>
      </c>
      <c r="C3152" s="42" t="s">
        <v>33</v>
      </c>
      <c r="D3152" s="43" t="s">
        <v>30</v>
      </c>
      <c r="E3152" s="46">
        <v>3473.57</v>
      </c>
      <c r="F3152" s="2">
        <f>IF(C3152="GBP",E3152*$C$3,IF(C3152="TRY",E3152/$C$1,IF(C3152="EUR",E3152*$E$1,IF(C3152="RUB",E3152/#REF!,IF(C3152="EGP",E3152/$E$2,E3152)))))</f>
        <v>3473.57</v>
      </c>
      <c r="G3152" s="15" t="str">
        <f>VLOOKUP(B3152,SPECIFICATIONF!$C$2:$D$65,2,0)</f>
        <v>GLOBAL HFT</v>
      </c>
      <c r="H3152" s="12">
        <f t="shared" si="302"/>
        <v>3</v>
      </c>
      <c r="I3152" s="12">
        <f t="shared" si="303"/>
        <v>2026</v>
      </c>
    </row>
    <row r="3153" spans="1:9" ht="19.5" customHeight="1" x14ac:dyDescent="0.35">
      <c r="A3153" s="41">
        <v>46095</v>
      </c>
      <c r="B3153" s="8" t="s">
        <v>32</v>
      </c>
      <c r="C3153" s="42" t="s">
        <v>11</v>
      </c>
      <c r="D3153" s="43" t="s">
        <v>29</v>
      </c>
      <c r="E3153" s="46">
        <v>3392273381</v>
      </c>
      <c r="F3153" s="2">
        <f>IF(C3153="GBP",E3153*$C$3,IF(C3153="TRY",E3153/$C$1,IF(C3153="EUR",E3153*$E$1,IF(C3153="RUB",E3153/#REF!,IF(C3153="EGP",E3153/$E$2,E3153)))))</f>
        <v>93023354.905407369</v>
      </c>
      <c r="G3153" s="15" t="str">
        <f>VLOOKUP(B3153,SPECIFICATIONF!$C$2:$D$65,2,0)</f>
        <v>GLOBAL HFT</v>
      </c>
      <c r="H3153" s="12">
        <f t="shared" si="302"/>
        <v>3</v>
      </c>
      <c r="I3153" s="12">
        <f t="shared" si="303"/>
        <v>2026</v>
      </c>
    </row>
    <row r="3154" spans="1:9" ht="19.5" customHeight="1" x14ac:dyDescent="0.35">
      <c r="A3154" s="41">
        <v>46095</v>
      </c>
      <c r="B3154" s="8" t="s">
        <v>32</v>
      </c>
      <c r="C3154" s="42" t="s">
        <v>33</v>
      </c>
      <c r="D3154" s="43" t="s">
        <v>29</v>
      </c>
      <c r="E3154" s="46">
        <v>10826710</v>
      </c>
      <c r="F3154" s="2">
        <f>IF(C3154="GBP",E3154*$C$3,IF(C3154="TRY",E3154/$C$1,IF(C3154="EUR",E3154*$E$1,IF(C3154="RUB",E3154/#REF!,IF(C3154="EGP",E3154/$E$2,E3154)))))</f>
        <v>10826710</v>
      </c>
      <c r="G3154" s="15" t="str">
        <f>VLOOKUP(B3154,SPECIFICATIONF!$C$2:$D$65,2,0)</f>
        <v>GLOBAL HFT</v>
      </c>
      <c r="H3154" s="12">
        <f t="shared" si="302"/>
        <v>3</v>
      </c>
      <c r="I3154" s="12">
        <f t="shared" si="303"/>
        <v>2026</v>
      </c>
    </row>
    <row r="3155" spans="1:9" ht="19.5" customHeight="1" x14ac:dyDescent="0.35">
      <c r="A3155" s="41">
        <v>46095</v>
      </c>
      <c r="B3155" s="8" t="s">
        <v>24</v>
      </c>
      <c r="C3155" s="42" t="s">
        <v>11</v>
      </c>
      <c r="D3155" s="43" t="s">
        <v>30</v>
      </c>
      <c r="E3155" s="46">
        <v>0</v>
      </c>
      <c r="F3155" s="2">
        <f>IF(C3155="GBP",E3155*$C$3,IF(C3155="TRY",E3155/$C$1,IF(C3155="EUR",E3155*$E$1,IF(C3155="RUB",E3155/#REF!,IF(C3155="EGP",E3155/$E$2,E3155)))))</f>
        <v>0</v>
      </c>
      <c r="G3155" s="15" t="str">
        <f>VLOOKUP(B3155,SPECIFICATIONF!$C$2:$D$65,2,0)</f>
        <v>GLOBAL RETAIL</v>
      </c>
      <c r="H3155" s="12">
        <f t="shared" si="302"/>
        <v>3</v>
      </c>
      <c r="I3155" s="12">
        <f t="shared" si="303"/>
        <v>2026</v>
      </c>
    </row>
    <row r="3156" spans="1:9" ht="19.5" customHeight="1" x14ac:dyDescent="0.35">
      <c r="A3156" s="41">
        <v>46095</v>
      </c>
      <c r="B3156" s="8" t="s">
        <v>24</v>
      </c>
      <c r="C3156" s="42" t="s">
        <v>33</v>
      </c>
      <c r="D3156" s="43" t="s">
        <v>30</v>
      </c>
      <c r="E3156" s="46">
        <v>0</v>
      </c>
      <c r="F3156" s="2">
        <f>IF(C3156="GBP",E3156*$C$3,IF(C3156="TRY",E3156/$C$1,IF(C3156="EUR",E3156*$E$1,IF(C3156="RUB",E3156/#REF!,IF(C3156="EGP",E3156/$E$2,E3156)))))</f>
        <v>0</v>
      </c>
      <c r="G3156" s="15" t="str">
        <f>VLOOKUP(B3156,SPECIFICATIONF!$C$2:$D$65,2,0)</f>
        <v>GLOBAL RETAIL</v>
      </c>
      <c r="H3156" s="12">
        <f t="shared" si="302"/>
        <v>3</v>
      </c>
      <c r="I3156" s="12">
        <f t="shared" si="303"/>
        <v>2026</v>
      </c>
    </row>
    <row r="3157" spans="1:9" ht="19.5" customHeight="1" x14ac:dyDescent="0.35">
      <c r="A3157" s="41">
        <v>46095</v>
      </c>
      <c r="B3157" s="8" t="s">
        <v>24</v>
      </c>
      <c r="C3157" s="42" t="s">
        <v>11</v>
      </c>
      <c r="D3157" s="43" t="s">
        <v>29</v>
      </c>
      <c r="E3157" s="46">
        <v>27463171</v>
      </c>
      <c r="F3157" s="2">
        <f>IF(C3157="GBP",E3157*$C$3,IF(C3157="TRY",E3157/$C$1,IF(C3157="EUR",E3157*$E$1,IF(C3157="RUB",E3157/#REF!,IF(C3157="EGP",E3157/$E$2,E3157)))))</f>
        <v>753098.59077684139</v>
      </c>
      <c r="G3157" s="15" t="str">
        <f>VLOOKUP(B3157,SPECIFICATIONF!$C$2:$D$65,2,0)</f>
        <v>GLOBAL RETAIL</v>
      </c>
      <c r="H3157" s="12">
        <f t="shared" si="302"/>
        <v>3</v>
      </c>
      <c r="I3157" s="12">
        <f t="shared" si="303"/>
        <v>2026</v>
      </c>
    </row>
    <row r="3158" spans="1:9" ht="19.5" customHeight="1" x14ac:dyDescent="0.35">
      <c r="A3158" s="41">
        <v>46095</v>
      </c>
      <c r="B3158" s="8" t="s">
        <v>24</v>
      </c>
      <c r="C3158" s="42" t="s">
        <v>33</v>
      </c>
      <c r="D3158" s="43" t="s">
        <v>29</v>
      </c>
      <c r="E3158" s="46">
        <v>0</v>
      </c>
      <c r="F3158" s="2">
        <f>IF(C3158="GBP",E3158*$C$3,IF(C3158="TRY",E3158/$C$1,IF(C3158="EUR",E3158*$E$1,IF(C3158="RUB",E3158/#REF!,IF(C3158="EGP",E3158/$E$2,E3158)))))</f>
        <v>0</v>
      </c>
      <c r="G3158" s="15" t="str">
        <f>VLOOKUP(B3158,SPECIFICATIONF!$C$2:$D$65,2,0)</f>
        <v>GLOBAL RETAIL</v>
      </c>
      <c r="H3158" s="12">
        <f t="shared" si="302"/>
        <v>3</v>
      </c>
      <c r="I3158" s="12">
        <f t="shared" si="303"/>
        <v>2026</v>
      </c>
    </row>
    <row r="3159" spans="1:9" ht="19.5" customHeight="1" x14ac:dyDescent="0.35">
      <c r="A3159" s="41">
        <v>46096</v>
      </c>
      <c r="B3159" s="8" t="s">
        <v>32</v>
      </c>
      <c r="C3159" s="42" t="s">
        <v>11</v>
      </c>
      <c r="D3159" s="43" t="s">
        <v>30</v>
      </c>
      <c r="E3159" s="46">
        <v>1102443.76</v>
      </c>
      <c r="F3159" s="2">
        <f>IF(C3159="GBP",E3159*$C$3,IF(C3159="TRY",E3159/$C$1,IF(C3159="EUR",E3159*$E$1,IF(C3159="RUB",E3159/#REF!,IF(C3159="EGP",E3159/$E$2,E3159)))))</f>
        <v>30231.353912726332</v>
      </c>
      <c r="G3159" s="15" t="str">
        <f>VLOOKUP(B3159,SPECIFICATIONF!$C$2:$D$65,2,0)</f>
        <v>GLOBAL HFT</v>
      </c>
      <c r="H3159" s="12">
        <f t="shared" si="302"/>
        <v>3</v>
      </c>
      <c r="I3159" s="12">
        <f t="shared" si="303"/>
        <v>2026</v>
      </c>
    </row>
    <row r="3160" spans="1:9" ht="19.5" customHeight="1" x14ac:dyDescent="0.35">
      <c r="A3160" s="41">
        <v>46096</v>
      </c>
      <c r="B3160" s="8" t="s">
        <v>32</v>
      </c>
      <c r="C3160" s="42" t="s">
        <v>33</v>
      </c>
      <c r="D3160" s="43" t="s">
        <v>30</v>
      </c>
      <c r="E3160" s="46">
        <v>3703.33</v>
      </c>
      <c r="F3160" s="2">
        <f>IF(C3160="GBP",E3160*$C$3,IF(C3160="TRY",E3160/$C$1,IF(C3160="EUR",E3160*$E$1,IF(C3160="RUB",E3160/#REF!,IF(C3160="EGP",E3160/$E$2,E3160)))))</f>
        <v>3703.33</v>
      </c>
      <c r="G3160" s="15" t="str">
        <f>VLOOKUP(B3160,SPECIFICATIONF!$C$2:$D$65,2,0)</f>
        <v>GLOBAL HFT</v>
      </c>
      <c r="H3160" s="12">
        <f t="shared" si="302"/>
        <v>3</v>
      </c>
      <c r="I3160" s="12">
        <f t="shared" si="303"/>
        <v>2026</v>
      </c>
    </row>
    <row r="3161" spans="1:9" ht="19.5" customHeight="1" x14ac:dyDescent="0.35">
      <c r="A3161" s="41">
        <v>46096</v>
      </c>
      <c r="B3161" s="8" t="s">
        <v>32</v>
      </c>
      <c r="C3161" s="42" t="s">
        <v>11</v>
      </c>
      <c r="D3161" s="43" t="s">
        <v>29</v>
      </c>
      <c r="E3161" s="46">
        <v>3983817063</v>
      </c>
      <c r="F3161" s="2">
        <f>IF(C3161="GBP",E3161*$C$3,IF(C3161="TRY",E3161/$C$1,IF(C3161="EUR",E3161*$E$1,IF(C3161="RUB",E3161/#REF!,IF(C3161="EGP",E3161/$E$2,E3161)))))</f>
        <v>109244741.47788817</v>
      </c>
      <c r="G3161" s="15" t="str">
        <f>VLOOKUP(B3161,SPECIFICATIONF!$C$2:$D$65,2,0)</f>
        <v>GLOBAL HFT</v>
      </c>
      <c r="H3161" s="12">
        <f t="shared" si="302"/>
        <v>3</v>
      </c>
      <c r="I3161" s="12">
        <f t="shared" si="303"/>
        <v>2026</v>
      </c>
    </row>
    <row r="3162" spans="1:9" ht="19.5" customHeight="1" x14ac:dyDescent="0.35">
      <c r="A3162" s="41">
        <v>46096</v>
      </c>
      <c r="B3162" s="8" t="s">
        <v>32</v>
      </c>
      <c r="C3162" s="42" t="s">
        <v>33</v>
      </c>
      <c r="D3162" s="43" t="s">
        <v>29</v>
      </c>
      <c r="E3162" s="46">
        <v>11477589</v>
      </c>
      <c r="F3162" s="2">
        <f>IF(C3162="GBP",E3162*$C$3,IF(C3162="TRY",E3162/$C$1,IF(C3162="EUR",E3162*$E$1,IF(C3162="RUB",E3162/#REF!,IF(C3162="EGP",E3162/$E$2,E3162)))))</f>
        <v>11477589</v>
      </c>
      <c r="G3162" s="15" t="str">
        <f>VLOOKUP(B3162,SPECIFICATIONF!$C$2:$D$65,2,0)</f>
        <v>GLOBAL HFT</v>
      </c>
      <c r="H3162" s="12">
        <f t="shared" si="302"/>
        <v>3</v>
      </c>
      <c r="I3162" s="12">
        <f t="shared" si="303"/>
        <v>2026</v>
      </c>
    </row>
    <row r="3163" spans="1:9" ht="19.5" customHeight="1" x14ac:dyDescent="0.35">
      <c r="A3163" s="41">
        <v>46096</v>
      </c>
      <c r="B3163" s="8" t="s">
        <v>24</v>
      </c>
      <c r="C3163" s="42" t="s">
        <v>11</v>
      </c>
      <c r="D3163" s="43" t="s">
        <v>30</v>
      </c>
      <c r="E3163" s="46">
        <v>0</v>
      </c>
      <c r="F3163" s="2">
        <f>IF(C3163="GBP",E3163*$C$3,IF(C3163="TRY",E3163/$C$1,IF(C3163="EUR",E3163*$E$1,IF(C3163="RUB",E3163/#REF!,IF(C3163="EGP",E3163/$E$2,E3163)))))</f>
        <v>0</v>
      </c>
      <c r="G3163" s="15" t="str">
        <f>VLOOKUP(B3163,SPECIFICATIONF!$C$2:$D$65,2,0)</f>
        <v>GLOBAL RETAIL</v>
      </c>
      <c r="H3163" s="12">
        <f t="shared" si="302"/>
        <v>3</v>
      </c>
      <c r="I3163" s="12">
        <f t="shared" si="303"/>
        <v>2026</v>
      </c>
    </row>
    <row r="3164" spans="1:9" ht="19.5" customHeight="1" x14ac:dyDescent="0.35">
      <c r="A3164" s="41">
        <v>46096</v>
      </c>
      <c r="B3164" s="8" t="s">
        <v>24</v>
      </c>
      <c r="C3164" s="42" t="s">
        <v>33</v>
      </c>
      <c r="D3164" s="43" t="s">
        <v>30</v>
      </c>
      <c r="E3164" s="46">
        <v>0</v>
      </c>
      <c r="F3164" s="2">
        <f>IF(C3164="GBP",E3164*$C$3,IF(C3164="TRY",E3164/$C$1,IF(C3164="EUR",E3164*$E$1,IF(C3164="RUB",E3164/#REF!,IF(C3164="EGP",E3164/$E$2,E3164)))))</f>
        <v>0</v>
      </c>
      <c r="G3164" s="15" t="str">
        <f>VLOOKUP(B3164,SPECIFICATIONF!$C$2:$D$65,2,0)</f>
        <v>GLOBAL RETAIL</v>
      </c>
      <c r="H3164" s="12">
        <f t="shared" si="302"/>
        <v>3</v>
      </c>
      <c r="I3164" s="12">
        <f t="shared" si="303"/>
        <v>2026</v>
      </c>
    </row>
    <row r="3165" spans="1:9" ht="19.5" customHeight="1" x14ac:dyDescent="0.35">
      <c r="A3165" s="41">
        <v>46096</v>
      </c>
      <c r="B3165" s="8" t="s">
        <v>24</v>
      </c>
      <c r="C3165" s="42" t="s">
        <v>11</v>
      </c>
      <c r="D3165" s="43" t="s">
        <v>29</v>
      </c>
      <c r="E3165" s="46">
        <v>38563995</v>
      </c>
      <c r="F3165" s="2">
        <f>IF(C3165="GBP",E3165*$C$3,IF(C3165="TRY",E3165/$C$1,IF(C3165="EUR",E3165*$E$1,IF(C3165="RUB",E3165/#REF!,IF(C3165="EGP",E3165/$E$2,E3165)))))</f>
        <v>1057506.8075432789</v>
      </c>
      <c r="G3165" s="15" t="str">
        <f>VLOOKUP(B3165,SPECIFICATIONF!$C$2:$D$65,2,0)</f>
        <v>GLOBAL RETAIL</v>
      </c>
      <c r="H3165" s="12">
        <f t="shared" si="302"/>
        <v>3</v>
      </c>
      <c r="I3165" s="12">
        <f t="shared" si="303"/>
        <v>2026</v>
      </c>
    </row>
    <row r="3166" spans="1:9" ht="19.5" customHeight="1" x14ac:dyDescent="0.35">
      <c r="A3166" s="41">
        <v>46096</v>
      </c>
      <c r="B3166" s="8" t="s">
        <v>24</v>
      </c>
      <c r="C3166" s="42" t="s">
        <v>33</v>
      </c>
      <c r="D3166" s="43" t="s">
        <v>29</v>
      </c>
      <c r="E3166" s="46">
        <v>0</v>
      </c>
      <c r="F3166" s="2">
        <f>IF(C3166="GBP",E3166*$C$3,IF(C3166="TRY",E3166/$C$1,IF(C3166="EUR",E3166*$E$1,IF(C3166="RUB",E3166/#REF!,IF(C3166="EGP",E3166/$E$2,E3166)))))</f>
        <v>0</v>
      </c>
      <c r="G3166" s="15" t="str">
        <f>VLOOKUP(B3166,SPECIFICATIONF!$C$2:$D$65,2,0)</f>
        <v>GLOBAL RETAIL</v>
      </c>
      <c r="H3166" s="12">
        <f t="shared" si="302"/>
        <v>3</v>
      </c>
      <c r="I3166" s="12">
        <f t="shared" si="303"/>
        <v>2026</v>
      </c>
    </row>
    <row r="3167" spans="1:9" ht="19.5" customHeight="1" x14ac:dyDescent="0.35">
      <c r="A3167" s="41">
        <v>46097</v>
      </c>
      <c r="B3167" s="8" t="s">
        <v>32</v>
      </c>
      <c r="C3167" s="42" t="s">
        <v>11</v>
      </c>
      <c r="D3167" s="43" t="s">
        <v>30</v>
      </c>
      <c r="E3167" s="46">
        <v>1750423.16</v>
      </c>
      <c r="F3167" s="2">
        <f>IF(C3167="GBP",E3167*$C$3,IF(C3167="TRY",E3167/$C$1,IF(C3167="EUR",E3167*$E$1,IF(C3167="RUB",E3167/#REF!,IF(C3167="EGP",E3167/$E$2,E3167)))))</f>
        <v>48000.327968651014</v>
      </c>
      <c r="G3167" s="15" t="str">
        <f>VLOOKUP(B3167,SPECIFICATIONF!$C$2:$D$65,2,0)</f>
        <v>GLOBAL HFT</v>
      </c>
      <c r="H3167" s="12">
        <f t="shared" si="302"/>
        <v>3</v>
      </c>
      <c r="I3167" s="12">
        <f t="shared" si="303"/>
        <v>2026</v>
      </c>
    </row>
    <row r="3168" spans="1:9" ht="19.5" customHeight="1" x14ac:dyDescent="0.35">
      <c r="A3168" s="41">
        <v>46097</v>
      </c>
      <c r="B3168" s="8" t="s">
        <v>32</v>
      </c>
      <c r="C3168" s="42" t="s">
        <v>33</v>
      </c>
      <c r="D3168" s="43" t="s">
        <v>30</v>
      </c>
      <c r="E3168" s="46">
        <v>10666.9</v>
      </c>
      <c r="F3168" s="2">
        <f>IF(C3168="GBP",E3168*$C$3,IF(C3168="TRY",E3168/$C$1,IF(C3168="EUR",E3168*$E$1,IF(C3168="RUB",E3168/#REF!,IF(C3168="EGP",E3168/$E$2,E3168)))))</f>
        <v>10666.9</v>
      </c>
      <c r="G3168" s="15" t="str">
        <f>VLOOKUP(B3168,SPECIFICATIONF!$C$2:$D$65,2,0)</f>
        <v>GLOBAL HFT</v>
      </c>
      <c r="H3168" s="12">
        <f t="shared" si="302"/>
        <v>3</v>
      </c>
      <c r="I3168" s="12">
        <f t="shared" si="303"/>
        <v>2026</v>
      </c>
    </row>
    <row r="3169" spans="1:9" ht="19.5" customHeight="1" x14ac:dyDescent="0.35">
      <c r="A3169" s="41">
        <v>46097</v>
      </c>
      <c r="B3169" s="8" t="s">
        <v>32</v>
      </c>
      <c r="C3169" s="42" t="s">
        <v>11</v>
      </c>
      <c r="D3169" s="43" t="s">
        <v>29</v>
      </c>
      <c r="E3169" s="46">
        <v>5866584943</v>
      </c>
      <c r="F3169" s="2">
        <f>IF(C3169="GBP",E3169*$C$3,IF(C3169="TRY",E3169/$C$1,IF(C3169="EUR",E3169*$E$1,IF(C3169="RUB",E3169/#REF!,IF(C3169="EGP",E3169/$E$2,E3169)))))</f>
        <v>160874243.30008855</v>
      </c>
      <c r="G3169" s="15" t="str">
        <f>VLOOKUP(B3169,SPECIFICATIONF!$C$2:$D$65,2,0)</f>
        <v>GLOBAL HFT</v>
      </c>
      <c r="H3169" s="12">
        <f t="shared" si="302"/>
        <v>3</v>
      </c>
      <c r="I3169" s="12">
        <f t="shared" si="303"/>
        <v>2026</v>
      </c>
    </row>
    <row r="3170" spans="1:9" ht="19.5" customHeight="1" x14ac:dyDescent="0.35">
      <c r="A3170" s="41">
        <v>46097</v>
      </c>
      <c r="B3170" s="8" t="s">
        <v>32</v>
      </c>
      <c r="C3170" s="42" t="s">
        <v>33</v>
      </c>
      <c r="D3170" s="43" t="s">
        <v>29</v>
      </c>
      <c r="E3170" s="46">
        <v>32269709</v>
      </c>
      <c r="F3170" s="2">
        <f>IF(C3170="GBP",E3170*$C$3,IF(C3170="TRY",E3170/$C$1,IF(C3170="EUR",E3170*$E$1,IF(C3170="RUB",E3170/#REF!,IF(C3170="EGP",E3170/$E$2,E3170)))))</f>
        <v>32269709</v>
      </c>
      <c r="G3170" s="15" t="str">
        <f>VLOOKUP(B3170,SPECIFICATIONF!$C$2:$D$65,2,0)</f>
        <v>GLOBAL HFT</v>
      </c>
      <c r="H3170" s="12">
        <f t="shared" si="302"/>
        <v>3</v>
      </c>
      <c r="I3170" s="12">
        <f t="shared" si="303"/>
        <v>2026</v>
      </c>
    </row>
    <row r="3171" spans="1:9" ht="19.5" customHeight="1" x14ac:dyDescent="0.35">
      <c r="A3171" s="41">
        <v>46097</v>
      </c>
      <c r="B3171" s="8" t="s">
        <v>24</v>
      </c>
      <c r="C3171" s="42" t="s">
        <v>11</v>
      </c>
      <c r="D3171" s="43" t="s">
        <v>30</v>
      </c>
      <c r="E3171" s="46">
        <v>0</v>
      </c>
      <c r="F3171" s="2">
        <f>IF(C3171="GBP",E3171*$C$3,IF(C3171="TRY",E3171/$C$1,IF(C3171="EUR",E3171*$E$1,IF(C3171="RUB",E3171/#REF!,IF(C3171="EGP",E3171/$E$2,E3171)))))</f>
        <v>0</v>
      </c>
      <c r="G3171" s="15" t="str">
        <f>VLOOKUP(B3171,SPECIFICATIONF!$C$2:$D$65,2,0)</f>
        <v>GLOBAL RETAIL</v>
      </c>
      <c r="H3171" s="12">
        <f t="shared" si="302"/>
        <v>3</v>
      </c>
      <c r="I3171" s="12">
        <f t="shared" si="303"/>
        <v>2026</v>
      </c>
    </row>
    <row r="3172" spans="1:9" ht="19.5" customHeight="1" x14ac:dyDescent="0.35">
      <c r="A3172" s="41">
        <v>46097</v>
      </c>
      <c r="B3172" s="8" t="s">
        <v>24</v>
      </c>
      <c r="C3172" s="42" t="s">
        <v>33</v>
      </c>
      <c r="D3172" s="43" t="s">
        <v>30</v>
      </c>
      <c r="E3172" s="46">
        <v>0</v>
      </c>
      <c r="F3172" s="2">
        <f>IF(C3172="GBP",E3172*$C$3,IF(C3172="TRY",E3172/$C$1,IF(C3172="EUR",E3172*$E$1,IF(C3172="RUB",E3172/#REF!,IF(C3172="EGP",E3172/$E$2,E3172)))))</f>
        <v>0</v>
      </c>
      <c r="G3172" s="15" t="str">
        <f>VLOOKUP(B3172,SPECIFICATIONF!$C$2:$D$65,2,0)</f>
        <v>GLOBAL RETAIL</v>
      </c>
      <c r="H3172" s="12">
        <f t="shared" si="302"/>
        <v>3</v>
      </c>
      <c r="I3172" s="12">
        <f t="shared" si="303"/>
        <v>2026</v>
      </c>
    </row>
    <row r="3173" spans="1:9" ht="19.5" customHeight="1" x14ac:dyDescent="0.35">
      <c r="A3173" s="41">
        <v>46097</v>
      </c>
      <c r="B3173" s="8" t="s">
        <v>24</v>
      </c>
      <c r="C3173" s="42" t="s">
        <v>11</v>
      </c>
      <c r="D3173" s="43" t="s">
        <v>29</v>
      </c>
      <c r="E3173" s="46">
        <v>14092691</v>
      </c>
      <c r="F3173" s="2">
        <f>IF(C3173="GBP",E3173*$C$3,IF(C3173="TRY",E3173/$C$1,IF(C3173="EUR",E3173*$E$1,IF(C3173="RUB",E3173/#REF!,IF(C3173="EGP",E3173/$E$2,E3173)))))</f>
        <v>386451.57663525001</v>
      </c>
      <c r="G3173" s="15" t="str">
        <f>VLOOKUP(B3173,SPECIFICATIONF!$C$2:$D$65,2,0)</f>
        <v>GLOBAL RETAIL</v>
      </c>
      <c r="H3173" s="12">
        <f t="shared" si="302"/>
        <v>3</v>
      </c>
      <c r="I3173" s="12">
        <f t="shared" si="303"/>
        <v>2026</v>
      </c>
    </row>
    <row r="3174" spans="1:9" ht="19.5" customHeight="1" x14ac:dyDescent="0.35">
      <c r="A3174" s="41">
        <v>46097</v>
      </c>
      <c r="B3174" s="8" t="s">
        <v>24</v>
      </c>
      <c r="C3174" s="42" t="s">
        <v>33</v>
      </c>
      <c r="D3174" s="43" t="s">
        <v>29</v>
      </c>
      <c r="E3174" s="46">
        <v>0</v>
      </c>
      <c r="F3174" s="2">
        <f>IF(C3174="GBP",E3174*$C$3,IF(C3174="TRY",E3174/$C$1,IF(C3174="EUR",E3174*$E$1,IF(C3174="RUB",E3174/#REF!,IF(C3174="EGP",E3174/$E$2,E3174)))))</f>
        <v>0</v>
      </c>
      <c r="G3174" s="15" t="str">
        <f>VLOOKUP(B3174,SPECIFICATIONF!$C$2:$D$65,2,0)</f>
        <v>GLOBAL RETAIL</v>
      </c>
      <c r="H3174" s="12">
        <f t="shared" si="302"/>
        <v>3</v>
      </c>
      <c r="I3174" s="12">
        <f t="shared" si="303"/>
        <v>2026</v>
      </c>
    </row>
    <row r="3175" spans="1:9" ht="19.5" customHeight="1" x14ac:dyDescent="0.35">
      <c r="A3175" s="41">
        <v>46098</v>
      </c>
      <c r="B3175" s="8" t="s">
        <v>32</v>
      </c>
      <c r="C3175" s="42" t="s">
        <v>11</v>
      </c>
      <c r="D3175" s="43" t="s">
        <v>30</v>
      </c>
      <c r="E3175" s="46">
        <v>1379062.67</v>
      </c>
      <c r="F3175" s="2">
        <f>IF(C3175="GBP",E3175*$C$3,IF(C3175="TRY",E3175/$C$1,IF(C3175="EUR",E3175*$E$1,IF(C3175="RUB",E3175/#REF!,IF(C3175="EGP",E3175/$E$2,E3175)))))</f>
        <v>37816.833073280148</v>
      </c>
      <c r="G3175" s="15" t="str">
        <f>VLOOKUP(B3175,SPECIFICATIONF!$C$2:$D$65,2,0)</f>
        <v>GLOBAL HFT</v>
      </c>
      <c r="H3175" s="12">
        <f t="shared" ref="H3175:H3182" si="304">MONTH(A3175)</f>
        <v>3</v>
      </c>
      <c r="I3175" s="12">
        <f t="shared" ref="I3175:I3182" si="305">YEAR(A3175)</f>
        <v>2026</v>
      </c>
    </row>
    <row r="3176" spans="1:9" ht="19.5" customHeight="1" x14ac:dyDescent="0.35">
      <c r="A3176" s="41">
        <v>46098</v>
      </c>
      <c r="B3176" s="8" t="s">
        <v>32</v>
      </c>
      <c r="C3176" s="42" t="s">
        <v>33</v>
      </c>
      <c r="D3176" s="43" t="s">
        <v>30</v>
      </c>
      <c r="E3176" s="46">
        <v>6674.37</v>
      </c>
      <c r="F3176" s="2">
        <f>IF(C3176="GBP",E3176*$C$3,IF(C3176="TRY",E3176/$C$1,IF(C3176="EUR",E3176*$E$1,IF(C3176="RUB",E3176/#REF!,IF(C3176="EGP",E3176/$E$2,E3176)))))</f>
        <v>6674.37</v>
      </c>
      <c r="G3176" s="15" t="str">
        <f>VLOOKUP(B3176,SPECIFICATIONF!$C$2:$D$65,2,0)</f>
        <v>GLOBAL HFT</v>
      </c>
      <c r="H3176" s="12">
        <f t="shared" si="304"/>
        <v>3</v>
      </c>
      <c r="I3176" s="12">
        <f t="shared" si="305"/>
        <v>2026</v>
      </c>
    </row>
    <row r="3177" spans="1:9" ht="19.5" customHeight="1" x14ac:dyDescent="0.35">
      <c r="A3177" s="41">
        <v>46098</v>
      </c>
      <c r="B3177" s="8" t="s">
        <v>32</v>
      </c>
      <c r="C3177" s="42" t="s">
        <v>11</v>
      </c>
      <c r="D3177" s="43" t="s">
        <v>29</v>
      </c>
      <c r="E3177" s="46">
        <v>4816728486</v>
      </c>
      <c r="F3177" s="2">
        <f>IF(C3177="GBP",E3177*$C$3,IF(C3177="TRY",E3177/$C$1,IF(C3177="EUR",E3177*$E$1,IF(C3177="RUB",E3177/#REF!,IF(C3177="EGP",E3177/$E$2,E3177)))))</f>
        <v>132084945.14203291</v>
      </c>
      <c r="G3177" s="15" t="str">
        <f>VLOOKUP(B3177,SPECIFICATIONF!$C$2:$D$65,2,0)</f>
        <v>GLOBAL HFT</v>
      </c>
      <c r="H3177" s="12">
        <f t="shared" si="304"/>
        <v>3</v>
      </c>
      <c r="I3177" s="12">
        <f t="shared" si="305"/>
        <v>2026</v>
      </c>
    </row>
    <row r="3178" spans="1:9" ht="19.5" customHeight="1" x14ac:dyDescent="0.35">
      <c r="A3178" s="41">
        <v>46098</v>
      </c>
      <c r="B3178" s="8" t="s">
        <v>32</v>
      </c>
      <c r="C3178" s="42" t="s">
        <v>33</v>
      </c>
      <c r="D3178" s="43" t="s">
        <v>29</v>
      </c>
      <c r="E3178" s="46">
        <v>21136262</v>
      </c>
      <c r="F3178" s="2">
        <f>IF(C3178="GBP",E3178*$C$3,IF(C3178="TRY",E3178/$C$1,IF(C3178="EUR",E3178*$E$1,IF(C3178="RUB",E3178/#REF!,IF(C3178="EGP",E3178/$E$2,E3178)))))</f>
        <v>21136262</v>
      </c>
      <c r="G3178" s="15" t="str">
        <f>VLOOKUP(B3178,SPECIFICATIONF!$C$2:$D$65,2,0)</f>
        <v>GLOBAL HFT</v>
      </c>
      <c r="H3178" s="12">
        <f t="shared" si="304"/>
        <v>3</v>
      </c>
      <c r="I3178" s="12">
        <f t="shared" si="305"/>
        <v>2026</v>
      </c>
    </row>
    <row r="3179" spans="1:9" ht="19.5" customHeight="1" x14ac:dyDescent="0.35">
      <c r="A3179" s="41">
        <v>46098</v>
      </c>
      <c r="B3179" s="8" t="s">
        <v>24</v>
      </c>
      <c r="C3179" s="42" t="s">
        <v>11</v>
      </c>
      <c r="D3179" s="43" t="s">
        <v>30</v>
      </c>
      <c r="E3179" s="46">
        <v>0</v>
      </c>
      <c r="F3179" s="2">
        <f>IF(C3179="GBP",E3179*$C$3,IF(C3179="TRY",E3179/$C$1,IF(C3179="EUR",E3179*$E$1,IF(C3179="RUB",E3179/#REF!,IF(C3179="EGP",E3179/$E$2,E3179)))))</f>
        <v>0</v>
      </c>
      <c r="G3179" s="15" t="str">
        <f>VLOOKUP(B3179,SPECIFICATIONF!$C$2:$D$65,2,0)</f>
        <v>GLOBAL RETAIL</v>
      </c>
      <c r="H3179" s="12">
        <f t="shared" si="304"/>
        <v>3</v>
      </c>
      <c r="I3179" s="12">
        <f t="shared" si="305"/>
        <v>2026</v>
      </c>
    </row>
    <row r="3180" spans="1:9" ht="19.5" customHeight="1" x14ac:dyDescent="0.35">
      <c r="A3180" s="41">
        <v>46098</v>
      </c>
      <c r="B3180" s="8" t="s">
        <v>24</v>
      </c>
      <c r="C3180" s="42" t="s">
        <v>33</v>
      </c>
      <c r="D3180" s="43" t="s">
        <v>30</v>
      </c>
      <c r="E3180" s="46">
        <v>0</v>
      </c>
      <c r="F3180" s="2">
        <f>IF(C3180="GBP",E3180*$C$3,IF(C3180="TRY",E3180/$C$1,IF(C3180="EUR",E3180*$E$1,IF(C3180="RUB",E3180/#REF!,IF(C3180="EGP",E3180/$E$2,E3180)))))</f>
        <v>0</v>
      </c>
      <c r="G3180" s="15" t="str">
        <f>VLOOKUP(B3180,SPECIFICATIONF!$C$2:$D$65,2,0)</f>
        <v>GLOBAL RETAIL</v>
      </c>
      <c r="H3180" s="12">
        <f t="shared" si="304"/>
        <v>3</v>
      </c>
      <c r="I3180" s="12">
        <f t="shared" si="305"/>
        <v>2026</v>
      </c>
    </row>
    <row r="3181" spans="1:9" ht="19.5" customHeight="1" x14ac:dyDescent="0.35">
      <c r="A3181" s="41">
        <v>46098</v>
      </c>
      <c r="B3181" s="8" t="s">
        <v>24</v>
      </c>
      <c r="C3181" s="42" t="s">
        <v>11</v>
      </c>
      <c r="D3181" s="43" t="s">
        <v>29</v>
      </c>
      <c r="E3181" s="46">
        <v>33420800</v>
      </c>
      <c r="F3181" s="2">
        <f>IF(C3181="GBP",E3181*$C$3,IF(C3181="TRY",E3181/$C$1,IF(C3181="EUR",E3181*$E$1,IF(C3181="RUB",E3181/#REF!,IF(C3181="EGP",E3181/$E$2,E3181)))))</f>
        <v>916469.45586271374</v>
      </c>
      <c r="G3181" s="15" t="str">
        <f>VLOOKUP(B3181,SPECIFICATIONF!$C$2:$D$65,2,0)</f>
        <v>GLOBAL RETAIL</v>
      </c>
      <c r="H3181" s="12">
        <f t="shared" si="304"/>
        <v>3</v>
      </c>
      <c r="I3181" s="12">
        <f t="shared" si="305"/>
        <v>2026</v>
      </c>
    </row>
    <row r="3182" spans="1:9" ht="19.5" customHeight="1" x14ac:dyDescent="0.35">
      <c r="A3182" s="41">
        <v>46098</v>
      </c>
      <c r="B3182" s="8" t="s">
        <v>24</v>
      </c>
      <c r="C3182" s="42" t="s">
        <v>33</v>
      </c>
      <c r="D3182" s="43" t="s">
        <v>29</v>
      </c>
      <c r="E3182" s="46">
        <v>0</v>
      </c>
      <c r="F3182" s="2">
        <f>IF(C3182="GBP",E3182*$C$3,IF(C3182="TRY",E3182/$C$1,IF(C3182="EUR",E3182*$E$1,IF(C3182="RUB",E3182/#REF!,IF(C3182="EGP",E3182/$E$2,E3182)))))</f>
        <v>0</v>
      </c>
      <c r="G3182" s="15" t="str">
        <f>VLOOKUP(B3182,SPECIFICATIONF!$C$2:$D$65,2,0)</f>
        <v>GLOBAL RETAIL</v>
      </c>
      <c r="H3182" s="12">
        <f t="shared" si="304"/>
        <v>3</v>
      </c>
      <c r="I3182" s="12">
        <f t="shared" si="305"/>
        <v>2026</v>
      </c>
    </row>
    <row r="3183" spans="1:9" ht="19.5" customHeight="1" x14ac:dyDescent="0.35">
      <c r="A3183" s="41">
        <v>46099</v>
      </c>
      <c r="B3183" s="8" t="s">
        <v>32</v>
      </c>
      <c r="C3183" s="42" t="s">
        <v>11</v>
      </c>
      <c r="D3183" s="43" t="s">
        <v>30</v>
      </c>
      <c r="E3183" s="46">
        <v>1666398.85</v>
      </c>
      <c r="F3183" s="2">
        <f>IF(C3183="GBP",E3183*$C$3,IF(C3183="TRY",E3183/$C$1,IF(C3183="EUR",E3183*$E$1,IF(C3183="RUB",E3183/#REF!,IF(C3183="EGP",E3183/$E$2,E3183)))))</f>
        <v>45696.202583712904</v>
      </c>
      <c r="G3183" s="15" t="str">
        <f>VLOOKUP(B3183,SPECIFICATIONF!$C$2:$D$65,2,0)</f>
        <v>GLOBAL HFT</v>
      </c>
      <c r="H3183" s="12">
        <f t="shared" ref="H3183:H3184" si="306">MONTH(A3183)</f>
        <v>3</v>
      </c>
      <c r="I3183" s="12">
        <f t="shared" ref="I3183:I3184" si="307">YEAR(A3183)</f>
        <v>2026</v>
      </c>
    </row>
    <row r="3184" spans="1:9" ht="19.5" customHeight="1" x14ac:dyDescent="0.35">
      <c r="A3184" s="41">
        <v>46099</v>
      </c>
      <c r="B3184" s="8" t="s">
        <v>32</v>
      </c>
      <c r="C3184" s="42" t="s">
        <v>33</v>
      </c>
      <c r="D3184" s="43" t="s">
        <v>30</v>
      </c>
      <c r="E3184" s="46">
        <v>7159.14</v>
      </c>
      <c r="F3184" s="2">
        <f>IF(C3184="GBP",E3184*$C$3,IF(C3184="TRY",E3184/$C$1,IF(C3184="EUR",E3184*$E$1,IF(C3184="RUB",E3184/#REF!,IF(C3184="EGP",E3184/$E$2,E3184)))))</f>
        <v>7159.14</v>
      </c>
      <c r="G3184" s="15" t="str">
        <f>VLOOKUP(B3184,SPECIFICATIONF!$C$2:$D$65,2,0)</f>
        <v>GLOBAL HFT</v>
      </c>
      <c r="H3184" s="12">
        <f t="shared" si="306"/>
        <v>3</v>
      </c>
      <c r="I3184" s="12">
        <f t="shared" si="307"/>
        <v>2026</v>
      </c>
    </row>
    <row r="3185" spans="1:9" ht="19.5" customHeight="1" x14ac:dyDescent="0.35">
      <c r="A3185" s="41">
        <v>46099</v>
      </c>
      <c r="B3185" s="8" t="s">
        <v>32</v>
      </c>
      <c r="C3185" s="42" t="s">
        <v>11</v>
      </c>
      <c r="D3185" s="43" t="s">
        <v>29</v>
      </c>
      <c r="E3185" s="46">
        <v>5777908710</v>
      </c>
      <c r="F3185" s="2">
        <v>0</v>
      </c>
      <c r="G3185" s="15" t="s">
        <v>24</v>
      </c>
      <c r="H3185" s="12">
        <f t="shared" ref="H3185:H3192" si="308">MONTH(A3185)</f>
        <v>3</v>
      </c>
      <c r="I3185" s="12">
        <f t="shared" ref="I3185:I3192" si="309">YEAR(A3185)</f>
        <v>2026</v>
      </c>
    </row>
    <row r="3186" spans="1:9" ht="19.5" customHeight="1" x14ac:dyDescent="0.35">
      <c r="A3186" s="41">
        <v>46099</v>
      </c>
      <c r="B3186" s="8" t="s">
        <v>32</v>
      </c>
      <c r="C3186" s="42" t="s">
        <v>33</v>
      </c>
      <c r="D3186" s="43" t="s">
        <v>29</v>
      </c>
      <c r="E3186" s="46">
        <v>22280370</v>
      </c>
      <c r="F3186" s="2">
        <v>0</v>
      </c>
      <c r="G3186" s="15" t="s">
        <v>24</v>
      </c>
      <c r="H3186" s="12">
        <f t="shared" si="308"/>
        <v>3</v>
      </c>
      <c r="I3186" s="12">
        <f t="shared" si="309"/>
        <v>2026</v>
      </c>
    </row>
    <row r="3187" spans="1:9" ht="19.5" customHeight="1" x14ac:dyDescent="0.35">
      <c r="A3187" s="41">
        <v>46099</v>
      </c>
      <c r="B3187" s="8" t="s">
        <v>24</v>
      </c>
      <c r="C3187" s="42" t="s">
        <v>11</v>
      </c>
      <c r="D3187" s="43" t="s">
        <v>30</v>
      </c>
      <c r="E3187" s="46">
        <v>0</v>
      </c>
      <c r="F3187" s="2">
        <f>IF(C3187="GBP",E3187*$C$3,IF(C3187="TRY",E3187/$C$1,IF(C3187="EUR",E3187*$E$1,IF(C3187="RUB",E3187/#REF!,IF(C3187="EGP",E3187/$E$2,E3187)))))</f>
        <v>0</v>
      </c>
      <c r="G3187" s="15" t="str">
        <f>VLOOKUP(B3187,SPECIFICATIONF!$C$2:$D$65,2,0)</f>
        <v>GLOBAL RETAIL</v>
      </c>
      <c r="H3187" s="12">
        <f t="shared" si="308"/>
        <v>3</v>
      </c>
      <c r="I3187" s="12">
        <f t="shared" si="309"/>
        <v>2026</v>
      </c>
    </row>
    <row r="3188" spans="1:9" ht="19.5" customHeight="1" x14ac:dyDescent="0.35">
      <c r="A3188" s="41">
        <v>46099</v>
      </c>
      <c r="B3188" s="8" t="s">
        <v>24</v>
      </c>
      <c r="C3188" s="42" t="s">
        <v>33</v>
      </c>
      <c r="D3188" s="43" t="s">
        <v>30</v>
      </c>
      <c r="E3188" s="46">
        <v>0</v>
      </c>
      <c r="F3188" s="2">
        <f>IF(C3188="GBP",E3188*$C$3,IF(C3188="TRY",E3188/$C$1,IF(C3188="EUR",E3188*$E$1,IF(C3188="RUB",E3188/#REF!,IF(C3188="EGP",E3188/$E$2,E3188)))))</f>
        <v>0</v>
      </c>
      <c r="G3188" s="15" t="str">
        <f>VLOOKUP(B3188,SPECIFICATIONF!$C$2:$D$65,2,0)</f>
        <v>GLOBAL RETAIL</v>
      </c>
      <c r="H3188" s="12">
        <f t="shared" si="308"/>
        <v>3</v>
      </c>
      <c r="I3188" s="12">
        <f t="shared" si="309"/>
        <v>2026</v>
      </c>
    </row>
    <row r="3189" spans="1:9" ht="19.5" customHeight="1" x14ac:dyDescent="0.35">
      <c r="A3189" s="41">
        <v>46099</v>
      </c>
      <c r="B3189" s="8" t="s">
        <v>24</v>
      </c>
      <c r="C3189" s="42" t="s">
        <v>11</v>
      </c>
      <c r="D3189" s="43" t="s">
        <v>29</v>
      </c>
      <c r="E3189" s="46">
        <v>52490469</v>
      </c>
      <c r="F3189" s="2">
        <f>IF(C3189="GBP",E3189*$C$3,IF(C3189="TRY",E3189/$C$1,IF(C3189="EUR",E3189*$E$1,IF(C3189="RUB",E3189/#REF!,IF(C3189="EGP",E3189/$E$2,E3189)))))</f>
        <v>1439400.3603267621</v>
      </c>
      <c r="G3189" s="15" t="str">
        <f>VLOOKUP(B3189,SPECIFICATIONF!$C$2:$D$65,2,0)</f>
        <v>GLOBAL RETAIL</v>
      </c>
      <c r="H3189" s="12">
        <f t="shared" si="308"/>
        <v>3</v>
      </c>
      <c r="I3189" s="12">
        <f t="shared" si="309"/>
        <v>2026</v>
      </c>
    </row>
    <row r="3190" spans="1:9" ht="19.5" customHeight="1" x14ac:dyDescent="0.35">
      <c r="A3190" s="41">
        <v>46099</v>
      </c>
      <c r="B3190" s="8" t="s">
        <v>24</v>
      </c>
      <c r="C3190" s="42" t="s">
        <v>33</v>
      </c>
      <c r="D3190" s="43" t="s">
        <v>29</v>
      </c>
      <c r="E3190" s="46">
        <v>0</v>
      </c>
      <c r="F3190" s="2">
        <f>IF(C3190="GBP",E3190*$C$3,IF(C3190="TRY",E3190/$C$1,IF(C3190="EUR",E3190*$E$1,IF(C3190="RUB",E3190/#REF!,IF(C3190="EGP",E3190/$E$2,E3190)))))</f>
        <v>0</v>
      </c>
      <c r="G3190" s="15" t="str">
        <f>VLOOKUP(B3190,SPECIFICATIONF!$C$2:$D$65,2,0)</f>
        <v>GLOBAL RETAIL</v>
      </c>
      <c r="H3190" s="12">
        <f t="shared" si="308"/>
        <v>3</v>
      </c>
      <c r="I3190" s="12">
        <f t="shared" si="309"/>
        <v>2026</v>
      </c>
    </row>
    <row r="3191" spans="1:9" ht="19.5" customHeight="1" x14ac:dyDescent="0.35">
      <c r="A3191" s="41">
        <v>46100</v>
      </c>
      <c r="B3191" s="8" t="s">
        <v>32</v>
      </c>
      <c r="C3191" s="42" t="s">
        <v>11</v>
      </c>
      <c r="D3191" s="43" t="s">
        <v>30</v>
      </c>
      <c r="E3191" s="46">
        <v>1136254.96</v>
      </c>
      <c r="F3191" s="2">
        <f>IF(C3191="GBP",E3191*$C$3,IF(C3191="TRY",E3191/$C$1,IF(C3191="EUR",E3191*$E$1,IF(C3191="RUB",E3191/#REF!,IF(C3191="EGP",E3191/$E$2,E3191)))))</f>
        <v>31158.528967364924</v>
      </c>
      <c r="G3191" s="15" t="str">
        <f>VLOOKUP(B3191,SPECIFICATIONF!$C$2:$D$65,2,0)</f>
        <v>GLOBAL HFT</v>
      </c>
      <c r="H3191" s="12">
        <f t="shared" si="308"/>
        <v>3</v>
      </c>
      <c r="I3191" s="12">
        <f t="shared" si="309"/>
        <v>2026</v>
      </c>
    </row>
    <row r="3192" spans="1:9" ht="19.5" customHeight="1" x14ac:dyDescent="0.35">
      <c r="A3192" s="41">
        <v>46100</v>
      </c>
      <c r="B3192" s="8" t="s">
        <v>32</v>
      </c>
      <c r="C3192" s="42" t="s">
        <v>33</v>
      </c>
      <c r="D3192" s="43" t="s">
        <v>30</v>
      </c>
      <c r="E3192" s="46">
        <v>4941.71</v>
      </c>
      <c r="F3192" s="2">
        <f>IF(C3192="GBP",E3192*$C$3,IF(C3192="TRY",E3192/$C$1,IF(C3192="EUR",E3192*$E$1,IF(C3192="RUB",E3192/#REF!,IF(C3192="EGP",E3192/$E$2,E3192)))))</f>
        <v>4941.71</v>
      </c>
      <c r="G3192" s="15" t="str">
        <f>VLOOKUP(B3192,SPECIFICATIONF!$C$2:$D$65,2,0)</f>
        <v>GLOBAL HFT</v>
      </c>
      <c r="H3192" s="12">
        <f t="shared" si="308"/>
        <v>3</v>
      </c>
      <c r="I3192" s="12">
        <f t="shared" si="309"/>
        <v>2026</v>
      </c>
    </row>
    <row r="3193" spans="1:9" ht="19.5" customHeight="1" x14ac:dyDescent="0.35">
      <c r="A3193" s="41">
        <v>46100</v>
      </c>
      <c r="B3193" s="8" t="s">
        <v>32</v>
      </c>
      <c r="C3193" s="42" t="s">
        <v>11</v>
      </c>
      <c r="D3193" s="43" t="s">
        <v>29</v>
      </c>
      <c r="E3193" s="46">
        <v>3904152153</v>
      </c>
      <c r="F3193" s="2">
        <v>0</v>
      </c>
      <c r="G3193" s="15" t="s">
        <v>24</v>
      </c>
      <c r="H3193" s="12">
        <f t="shared" ref="H3193:H3200" si="310">MONTH(A3193)</f>
        <v>3</v>
      </c>
      <c r="I3193" s="12">
        <f t="shared" ref="I3193:I3200" si="311">YEAR(A3193)</f>
        <v>2026</v>
      </c>
    </row>
    <row r="3194" spans="1:9" ht="19.5" customHeight="1" x14ac:dyDescent="0.35">
      <c r="A3194" s="41">
        <v>46100</v>
      </c>
      <c r="B3194" s="8" t="s">
        <v>32</v>
      </c>
      <c r="C3194" s="42" t="s">
        <v>33</v>
      </c>
      <c r="D3194" s="43" t="s">
        <v>29</v>
      </c>
      <c r="E3194" s="46">
        <v>16067167</v>
      </c>
      <c r="F3194" s="2">
        <v>0</v>
      </c>
      <c r="G3194" s="15" t="s">
        <v>24</v>
      </c>
      <c r="H3194" s="12">
        <f t="shared" si="310"/>
        <v>3</v>
      </c>
      <c r="I3194" s="12">
        <f t="shared" si="311"/>
        <v>2026</v>
      </c>
    </row>
    <row r="3195" spans="1:9" ht="19.5" customHeight="1" x14ac:dyDescent="0.35">
      <c r="A3195" s="41">
        <v>46100</v>
      </c>
      <c r="B3195" s="8" t="s">
        <v>24</v>
      </c>
      <c r="C3195" s="42" t="s">
        <v>11</v>
      </c>
      <c r="D3195" s="43" t="s">
        <v>30</v>
      </c>
      <c r="E3195" s="46">
        <v>0</v>
      </c>
      <c r="F3195" s="2">
        <f>IF(C3195="GBP",E3195*$C$3,IF(C3195="TRY",E3195/$C$1,IF(C3195="EUR",E3195*$E$1,IF(C3195="RUB",E3195/#REF!,IF(C3195="EGP",E3195/$E$2,E3195)))))</f>
        <v>0</v>
      </c>
      <c r="G3195" s="15" t="str">
        <f>VLOOKUP(B3195,SPECIFICATIONF!$C$2:$D$65,2,0)</f>
        <v>GLOBAL RETAIL</v>
      </c>
      <c r="H3195" s="12">
        <f t="shared" si="310"/>
        <v>3</v>
      </c>
      <c r="I3195" s="12">
        <f t="shared" si="311"/>
        <v>2026</v>
      </c>
    </row>
    <row r="3196" spans="1:9" ht="19.5" customHeight="1" x14ac:dyDescent="0.35">
      <c r="A3196" s="41">
        <v>46100</v>
      </c>
      <c r="B3196" s="8" t="s">
        <v>24</v>
      </c>
      <c r="C3196" s="42" t="s">
        <v>33</v>
      </c>
      <c r="D3196" s="43" t="s">
        <v>30</v>
      </c>
      <c r="E3196" s="46">
        <v>0</v>
      </c>
      <c r="F3196" s="2">
        <f>IF(C3196="GBP",E3196*$C$3,IF(C3196="TRY",E3196/$C$1,IF(C3196="EUR",E3196*$E$1,IF(C3196="RUB",E3196/#REF!,IF(C3196="EGP",E3196/$E$2,E3196)))))</f>
        <v>0</v>
      </c>
      <c r="G3196" s="15" t="str">
        <f>VLOOKUP(B3196,SPECIFICATIONF!$C$2:$D$65,2,0)</f>
        <v>GLOBAL RETAIL</v>
      </c>
      <c r="H3196" s="12">
        <f t="shared" si="310"/>
        <v>3</v>
      </c>
      <c r="I3196" s="12">
        <f t="shared" si="311"/>
        <v>2026</v>
      </c>
    </row>
    <row r="3197" spans="1:9" ht="19.5" customHeight="1" x14ac:dyDescent="0.35">
      <c r="A3197" s="41">
        <v>46100</v>
      </c>
      <c r="B3197" s="8" t="s">
        <v>24</v>
      </c>
      <c r="C3197" s="42" t="s">
        <v>11</v>
      </c>
      <c r="D3197" s="43" t="s">
        <v>29</v>
      </c>
      <c r="E3197" s="46">
        <v>22752948</v>
      </c>
      <c r="F3197" s="2">
        <f>IF(C3197="GBP",E3197*$C$3,IF(C3197="TRY",E3197/$C$1,IF(C3197="EUR",E3197*$E$1,IF(C3197="RUB",E3197/#REF!,IF(C3197="EGP",E3197/$E$2,E3197)))))</f>
        <v>623934.25270587846</v>
      </c>
      <c r="G3197" s="15" t="str">
        <f>VLOOKUP(B3197,SPECIFICATIONF!$C$2:$D$65,2,0)</f>
        <v>GLOBAL RETAIL</v>
      </c>
      <c r="H3197" s="12">
        <f t="shared" si="310"/>
        <v>3</v>
      </c>
      <c r="I3197" s="12">
        <f t="shared" si="311"/>
        <v>2026</v>
      </c>
    </row>
    <row r="3198" spans="1:9" ht="19.5" customHeight="1" x14ac:dyDescent="0.35">
      <c r="A3198" s="41">
        <v>46100</v>
      </c>
      <c r="B3198" s="8" t="s">
        <v>24</v>
      </c>
      <c r="C3198" s="42" t="s">
        <v>33</v>
      </c>
      <c r="D3198" s="43" t="s">
        <v>29</v>
      </c>
      <c r="E3198" s="46">
        <v>0</v>
      </c>
      <c r="F3198" s="2">
        <f>IF(C3198="GBP",E3198*$C$3,IF(C3198="TRY",E3198/$C$1,IF(C3198="EUR",E3198*$E$1,IF(C3198="RUB",E3198/#REF!,IF(C3198="EGP",E3198/$E$2,E3198)))))</f>
        <v>0</v>
      </c>
      <c r="G3198" s="15" t="str">
        <f>VLOOKUP(B3198,SPECIFICATIONF!$C$2:$D$65,2,0)</f>
        <v>GLOBAL RETAIL</v>
      </c>
      <c r="H3198" s="12">
        <f t="shared" si="310"/>
        <v>3</v>
      </c>
      <c r="I3198" s="12">
        <f t="shared" si="311"/>
        <v>2026</v>
      </c>
    </row>
    <row r="3199" spans="1:9" ht="19.5" customHeight="1" x14ac:dyDescent="0.35">
      <c r="A3199" s="41">
        <v>46101</v>
      </c>
      <c r="B3199" s="8" t="s">
        <v>32</v>
      </c>
      <c r="C3199" s="42" t="s">
        <v>11</v>
      </c>
      <c r="D3199" s="43" t="s">
        <v>30</v>
      </c>
      <c r="E3199" s="46">
        <v>826867.27</v>
      </c>
      <c r="F3199" s="2">
        <f>IF(C3199="GBP",E3199*$C$3,IF(C3199="TRY",E3199/$C$1,IF(C3199="EUR",E3199*$E$1,IF(C3199="RUB",E3199/#REF!,IF(C3199="EGP",E3199/$E$2,E3199)))))</f>
        <v>22674.460126854763</v>
      </c>
      <c r="G3199" s="15" t="str">
        <f>VLOOKUP(B3199,SPECIFICATIONF!$C$2:$D$65,2,0)</f>
        <v>GLOBAL HFT</v>
      </c>
      <c r="H3199" s="12">
        <f t="shared" si="310"/>
        <v>3</v>
      </c>
      <c r="I3199" s="12">
        <f t="shared" si="311"/>
        <v>2026</v>
      </c>
    </row>
    <row r="3200" spans="1:9" ht="19.5" customHeight="1" x14ac:dyDescent="0.35">
      <c r="A3200" s="41">
        <v>46101</v>
      </c>
      <c r="B3200" s="8" t="s">
        <v>32</v>
      </c>
      <c r="C3200" s="42" t="s">
        <v>33</v>
      </c>
      <c r="D3200" s="43" t="s">
        <v>30</v>
      </c>
      <c r="E3200" s="46">
        <v>3419.84</v>
      </c>
      <c r="F3200" s="2">
        <f>IF(C3200="GBP",E3200*$C$3,IF(C3200="TRY",E3200/$C$1,IF(C3200="EUR",E3200*$E$1,IF(C3200="RUB",E3200/#REF!,IF(C3200="EGP",E3200/$E$2,E3200)))))</f>
        <v>3419.84</v>
      </c>
      <c r="G3200" s="15" t="str">
        <f>VLOOKUP(B3200,SPECIFICATIONF!$C$2:$D$65,2,0)</f>
        <v>GLOBAL HFT</v>
      </c>
      <c r="H3200" s="12">
        <f t="shared" si="310"/>
        <v>3</v>
      </c>
      <c r="I3200" s="12">
        <f t="shared" si="311"/>
        <v>2026</v>
      </c>
    </row>
    <row r="3201" spans="1:9" ht="19.5" customHeight="1" x14ac:dyDescent="0.35">
      <c r="A3201" s="41">
        <v>46101</v>
      </c>
      <c r="B3201" s="8" t="s">
        <v>32</v>
      </c>
      <c r="C3201" s="42" t="s">
        <v>11</v>
      </c>
      <c r="D3201" s="43" t="s">
        <v>29</v>
      </c>
      <c r="E3201" s="46">
        <v>2868355246</v>
      </c>
      <c r="F3201" s="2">
        <v>0</v>
      </c>
      <c r="G3201" s="15" t="s">
        <v>24</v>
      </c>
      <c r="H3201" s="12">
        <f t="shared" ref="H3201:H3230" si="312">MONTH(A3201)</f>
        <v>3</v>
      </c>
      <c r="I3201" s="12">
        <f t="shared" ref="I3201:I3230" si="313">YEAR(A3201)</f>
        <v>2026</v>
      </c>
    </row>
    <row r="3202" spans="1:9" ht="19.5" customHeight="1" x14ac:dyDescent="0.35">
      <c r="A3202" s="41">
        <v>46101</v>
      </c>
      <c r="B3202" s="8" t="s">
        <v>32</v>
      </c>
      <c r="C3202" s="42" t="s">
        <v>33</v>
      </c>
      <c r="D3202" s="43" t="s">
        <v>29</v>
      </c>
      <c r="E3202" s="46">
        <v>10960555</v>
      </c>
      <c r="F3202" s="2">
        <v>0</v>
      </c>
      <c r="G3202" s="15" t="s">
        <v>24</v>
      </c>
      <c r="H3202" s="12">
        <f t="shared" si="312"/>
        <v>3</v>
      </c>
      <c r="I3202" s="12">
        <f t="shared" si="313"/>
        <v>2026</v>
      </c>
    </row>
    <row r="3203" spans="1:9" ht="19.5" customHeight="1" x14ac:dyDescent="0.35">
      <c r="A3203" s="41">
        <v>46101</v>
      </c>
      <c r="B3203" s="8" t="s">
        <v>24</v>
      </c>
      <c r="C3203" s="42" t="s">
        <v>11</v>
      </c>
      <c r="D3203" s="43" t="s">
        <v>30</v>
      </c>
      <c r="E3203" s="46">
        <v>0</v>
      </c>
      <c r="F3203" s="2">
        <f>IF(C3203="GBP",E3203*$C$3,IF(C3203="TRY",E3203/$C$1,IF(C3203="EUR",E3203*$E$1,IF(C3203="RUB",E3203/#REF!,IF(C3203="EGP",E3203/$E$2,E3203)))))</f>
        <v>0</v>
      </c>
      <c r="G3203" s="15" t="str">
        <f>VLOOKUP(B3203,SPECIFICATIONF!$C$2:$D$65,2,0)</f>
        <v>GLOBAL RETAIL</v>
      </c>
      <c r="H3203" s="12">
        <f t="shared" si="312"/>
        <v>3</v>
      </c>
      <c r="I3203" s="12">
        <f t="shared" si="313"/>
        <v>2026</v>
      </c>
    </row>
    <row r="3204" spans="1:9" ht="19.5" customHeight="1" x14ac:dyDescent="0.35">
      <c r="A3204" s="41">
        <v>46101</v>
      </c>
      <c r="B3204" s="8" t="s">
        <v>24</v>
      </c>
      <c r="C3204" s="42" t="s">
        <v>33</v>
      </c>
      <c r="D3204" s="43" t="s">
        <v>30</v>
      </c>
      <c r="E3204" s="46">
        <v>0</v>
      </c>
      <c r="F3204" s="2">
        <f>IF(C3204="GBP",E3204*$C$3,IF(C3204="TRY",E3204/$C$1,IF(C3204="EUR",E3204*$E$1,IF(C3204="RUB",E3204/#REF!,IF(C3204="EGP",E3204/$E$2,E3204)))))</f>
        <v>0</v>
      </c>
      <c r="G3204" s="15" t="str">
        <f>VLOOKUP(B3204,SPECIFICATIONF!$C$2:$D$65,2,0)</f>
        <v>GLOBAL RETAIL</v>
      </c>
      <c r="H3204" s="12">
        <f t="shared" si="312"/>
        <v>3</v>
      </c>
      <c r="I3204" s="12">
        <f t="shared" si="313"/>
        <v>2026</v>
      </c>
    </row>
    <row r="3205" spans="1:9" ht="19.5" customHeight="1" x14ac:dyDescent="0.35">
      <c r="A3205" s="41">
        <v>46101</v>
      </c>
      <c r="B3205" s="8" t="s">
        <v>24</v>
      </c>
      <c r="C3205" s="42" t="s">
        <v>11</v>
      </c>
      <c r="D3205" s="43" t="s">
        <v>29</v>
      </c>
      <c r="E3205" s="46">
        <v>6366788</v>
      </c>
      <c r="F3205" s="2">
        <f>IF(C3205="GBP",E3205*$C$3,IF(C3205="TRY",E3205/$C$1,IF(C3205="EUR",E3205*$E$1,IF(C3205="RUB",E3205/#REF!,IF(C3205="EGP",E3205/$E$2,E3205)))))</f>
        <v>174590.87556112529</v>
      </c>
      <c r="G3205" s="15" t="str">
        <f>VLOOKUP(B3205,SPECIFICATIONF!$C$2:$D$65,2,0)</f>
        <v>GLOBAL RETAIL</v>
      </c>
      <c r="H3205" s="12">
        <f t="shared" si="312"/>
        <v>3</v>
      </c>
      <c r="I3205" s="12">
        <f t="shared" si="313"/>
        <v>2026</v>
      </c>
    </row>
    <row r="3206" spans="1:9" ht="19.5" customHeight="1" x14ac:dyDescent="0.35">
      <c r="A3206" s="41">
        <v>46101</v>
      </c>
      <c r="B3206" s="8" t="s">
        <v>24</v>
      </c>
      <c r="C3206" s="42" t="s">
        <v>33</v>
      </c>
      <c r="D3206" s="43" t="s">
        <v>29</v>
      </c>
      <c r="E3206" s="46">
        <v>0</v>
      </c>
      <c r="F3206" s="2">
        <f>IF(C3206="GBP",E3206*$C$3,IF(C3206="TRY",E3206/$C$1,IF(C3206="EUR",E3206*$E$1,IF(C3206="RUB",E3206/#REF!,IF(C3206="EGP",E3206/$E$2,E3206)))))</f>
        <v>0</v>
      </c>
      <c r="G3206" s="15" t="str">
        <f>VLOOKUP(B3206,SPECIFICATIONF!$C$2:$D$65,2,0)</f>
        <v>GLOBAL RETAIL</v>
      </c>
      <c r="H3206" s="12">
        <f t="shared" si="312"/>
        <v>3</v>
      </c>
      <c r="I3206" s="12">
        <f t="shared" si="313"/>
        <v>2026</v>
      </c>
    </row>
    <row r="3207" spans="1:9" ht="19.5" customHeight="1" x14ac:dyDescent="0.35">
      <c r="A3207" s="41">
        <v>46102</v>
      </c>
      <c r="B3207" s="8" t="s">
        <v>32</v>
      </c>
      <c r="C3207" s="42" t="s">
        <v>11</v>
      </c>
      <c r="D3207" s="43" t="s">
        <v>30</v>
      </c>
      <c r="E3207" s="46">
        <v>637490.27</v>
      </c>
      <c r="F3207" s="2">
        <f>IF(C3207="GBP",E3207*$C$3,IF(C3207="TRY",E3207/$C$1,IF(C3207="EUR",E3207*$E$1,IF(C3207="RUB",E3207/#REF!,IF(C3207="EGP",E3207/$E$2,E3207)))))</f>
        <v>17481.33979033041</v>
      </c>
      <c r="G3207" s="15" t="str">
        <f>VLOOKUP(B3207,SPECIFICATIONF!$C$2:$D$65,2,0)</f>
        <v>GLOBAL HFT</v>
      </c>
      <c r="H3207" s="12">
        <f t="shared" si="312"/>
        <v>3</v>
      </c>
      <c r="I3207" s="12">
        <f t="shared" si="313"/>
        <v>2026</v>
      </c>
    </row>
    <row r="3208" spans="1:9" ht="19.5" customHeight="1" x14ac:dyDescent="0.35">
      <c r="A3208" s="41">
        <v>46102</v>
      </c>
      <c r="B3208" s="8" t="s">
        <v>32</v>
      </c>
      <c r="C3208" s="42" t="s">
        <v>33</v>
      </c>
      <c r="D3208" s="43" t="s">
        <v>30</v>
      </c>
      <c r="E3208" s="46">
        <v>2436.25</v>
      </c>
      <c r="F3208" s="2">
        <f>IF(C3208="GBP",E3208*$C$3,IF(C3208="TRY",E3208/$C$1,IF(C3208="EUR",E3208*$E$1,IF(C3208="RUB",E3208/#REF!,IF(C3208="EGP",E3208/$E$2,E3208)))))</f>
        <v>2436.25</v>
      </c>
      <c r="G3208" s="15" t="str">
        <f>VLOOKUP(B3208,SPECIFICATIONF!$C$2:$D$65,2,0)</f>
        <v>GLOBAL HFT</v>
      </c>
      <c r="H3208" s="12">
        <f t="shared" si="312"/>
        <v>3</v>
      </c>
      <c r="I3208" s="12">
        <f t="shared" si="313"/>
        <v>2026</v>
      </c>
    </row>
    <row r="3209" spans="1:9" ht="19.5" customHeight="1" x14ac:dyDescent="0.35">
      <c r="A3209" s="41">
        <v>46102</v>
      </c>
      <c r="B3209" s="8" t="s">
        <v>32</v>
      </c>
      <c r="C3209" s="42" t="s">
        <v>11</v>
      </c>
      <c r="D3209" s="43" t="s">
        <v>29</v>
      </c>
      <c r="E3209" s="46">
        <v>2307197790</v>
      </c>
      <c r="F3209" s="2">
        <v>0</v>
      </c>
      <c r="G3209" s="15" t="s">
        <v>24</v>
      </c>
      <c r="H3209" s="12">
        <f t="shared" si="312"/>
        <v>3</v>
      </c>
      <c r="I3209" s="12">
        <f t="shared" si="313"/>
        <v>2026</v>
      </c>
    </row>
    <row r="3210" spans="1:9" ht="19.5" customHeight="1" x14ac:dyDescent="0.35">
      <c r="A3210" s="41">
        <v>46102</v>
      </c>
      <c r="B3210" s="8" t="s">
        <v>32</v>
      </c>
      <c r="C3210" s="42" t="s">
        <v>33</v>
      </c>
      <c r="D3210" s="43" t="s">
        <v>29</v>
      </c>
      <c r="E3210" s="46">
        <v>8079963</v>
      </c>
      <c r="F3210" s="2">
        <v>0</v>
      </c>
      <c r="G3210" s="15" t="s">
        <v>24</v>
      </c>
      <c r="H3210" s="12">
        <f t="shared" si="312"/>
        <v>3</v>
      </c>
      <c r="I3210" s="12">
        <f t="shared" si="313"/>
        <v>2026</v>
      </c>
    </row>
    <row r="3211" spans="1:9" ht="19.5" customHeight="1" x14ac:dyDescent="0.35">
      <c r="A3211" s="41">
        <v>46102</v>
      </c>
      <c r="B3211" s="8" t="s">
        <v>24</v>
      </c>
      <c r="C3211" s="42" t="s">
        <v>11</v>
      </c>
      <c r="D3211" s="43" t="s">
        <v>30</v>
      </c>
      <c r="E3211" s="46">
        <v>0</v>
      </c>
      <c r="F3211" s="2">
        <f>IF(C3211="GBP",E3211*$C$3,IF(C3211="TRY",E3211/$C$1,IF(C3211="EUR",E3211*$E$1,IF(C3211="RUB",E3211/#REF!,IF(C3211="EGP",E3211/$E$2,E3211)))))</f>
        <v>0</v>
      </c>
      <c r="G3211" s="15" t="str">
        <f>VLOOKUP(B3211,SPECIFICATIONF!$C$2:$D$65,2,0)</f>
        <v>GLOBAL RETAIL</v>
      </c>
      <c r="H3211" s="12">
        <f t="shared" si="312"/>
        <v>3</v>
      </c>
      <c r="I3211" s="12">
        <f t="shared" si="313"/>
        <v>2026</v>
      </c>
    </row>
    <row r="3212" spans="1:9" ht="19.5" customHeight="1" x14ac:dyDescent="0.35">
      <c r="A3212" s="41">
        <v>46102</v>
      </c>
      <c r="B3212" s="8" t="s">
        <v>24</v>
      </c>
      <c r="C3212" s="42" t="s">
        <v>33</v>
      </c>
      <c r="D3212" s="43" t="s">
        <v>30</v>
      </c>
      <c r="E3212" s="46">
        <v>0</v>
      </c>
      <c r="F3212" s="2">
        <f>IF(C3212="GBP",E3212*$C$3,IF(C3212="TRY",E3212/$C$1,IF(C3212="EUR",E3212*$E$1,IF(C3212="RUB",E3212/#REF!,IF(C3212="EGP",E3212/$E$2,E3212)))))</f>
        <v>0</v>
      </c>
      <c r="G3212" s="15" t="str">
        <f>VLOOKUP(B3212,SPECIFICATIONF!$C$2:$D$65,2,0)</f>
        <v>GLOBAL RETAIL</v>
      </c>
      <c r="H3212" s="12">
        <f t="shared" si="312"/>
        <v>3</v>
      </c>
      <c r="I3212" s="12">
        <f t="shared" si="313"/>
        <v>2026</v>
      </c>
    </row>
    <row r="3213" spans="1:9" ht="19.5" customHeight="1" x14ac:dyDescent="0.35">
      <c r="A3213" s="41">
        <v>46102</v>
      </c>
      <c r="B3213" s="8" t="s">
        <v>24</v>
      </c>
      <c r="C3213" s="42" t="s">
        <v>11</v>
      </c>
      <c r="D3213" s="43" t="s">
        <v>29</v>
      </c>
      <c r="E3213" s="46">
        <v>7600469</v>
      </c>
      <c r="F3213" s="2">
        <f>IF(C3213="GBP",E3213*$C$3,IF(C3213="TRY",E3213/$C$1,IF(C3213="EUR",E3213*$E$1,IF(C3213="RUB",E3213/#REF!,IF(C3213="EGP",E3213/$E$2,E3213)))))</f>
        <v>208421.03386907029</v>
      </c>
      <c r="G3213" s="15" t="str">
        <f>VLOOKUP(B3213,SPECIFICATIONF!$C$2:$D$65,2,0)</f>
        <v>GLOBAL RETAIL</v>
      </c>
      <c r="H3213" s="12">
        <f t="shared" si="312"/>
        <v>3</v>
      </c>
      <c r="I3213" s="12">
        <f t="shared" si="313"/>
        <v>2026</v>
      </c>
    </row>
    <row r="3214" spans="1:9" ht="19.5" customHeight="1" x14ac:dyDescent="0.35">
      <c r="A3214" s="41">
        <v>46102</v>
      </c>
      <c r="B3214" s="8" t="s">
        <v>24</v>
      </c>
      <c r="C3214" s="42" t="s">
        <v>33</v>
      </c>
      <c r="D3214" s="43" t="s">
        <v>29</v>
      </c>
      <c r="E3214" s="46">
        <v>0</v>
      </c>
      <c r="F3214" s="2">
        <f>IF(C3214="GBP",E3214*$C$3,IF(C3214="TRY",E3214/$C$1,IF(C3214="EUR",E3214*$E$1,IF(C3214="RUB",E3214/#REF!,IF(C3214="EGP",E3214/$E$2,E3214)))))</f>
        <v>0</v>
      </c>
      <c r="G3214" s="15" t="str">
        <f>VLOOKUP(B3214,SPECIFICATIONF!$C$2:$D$65,2,0)</f>
        <v>GLOBAL RETAIL</v>
      </c>
      <c r="H3214" s="12">
        <f t="shared" si="312"/>
        <v>3</v>
      </c>
      <c r="I3214" s="12">
        <f t="shared" si="313"/>
        <v>2026</v>
      </c>
    </row>
    <row r="3215" spans="1:9" ht="19.5" customHeight="1" x14ac:dyDescent="0.35">
      <c r="A3215" s="41">
        <v>46103</v>
      </c>
      <c r="B3215" s="8" t="s">
        <v>32</v>
      </c>
      <c r="C3215" s="42" t="s">
        <v>11</v>
      </c>
      <c r="D3215" s="43" t="s">
        <v>30</v>
      </c>
      <c r="E3215" s="46">
        <v>770935.68</v>
      </c>
      <c r="F3215" s="2">
        <f>IF(C3215="GBP",E3215*$C$3,IF(C3215="TRY",E3215/$C$1,IF(C3215="EUR",E3215*$E$1,IF(C3215="RUB",E3215/#REF!,IF(C3215="EGP",E3215/$E$2,E3215)))))</f>
        <v>21140.696905961297</v>
      </c>
      <c r="G3215" s="15" t="str">
        <f>VLOOKUP(B3215,SPECIFICATIONF!$C$2:$D$65,2,0)</f>
        <v>GLOBAL HFT</v>
      </c>
      <c r="H3215" s="12">
        <f t="shared" si="312"/>
        <v>3</v>
      </c>
      <c r="I3215" s="12">
        <f t="shared" si="313"/>
        <v>2026</v>
      </c>
    </row>
    <row r="3216" spans="1:9" ht="19.5" customHeight="1" x14ac:dyDescent="0.35">
      <c r="A3216" s="41">
        <v>46103</v>
      </c>
      <c r="B3216" s="8" t="s">
        <v>32</v>
      </c>
      <c r="C3216" s="42" t="s">
        <v>33</v>
      </c>
      <c r="D3216" s="43" t="s">
        <v>30</v>
      </c>
      <c r="E3216" s="46">
        <v>3552.48</v>
      </c>
      <c r="F3216" s="2">
        <f>IF(C3216="GBP",E3216*$C$3,IF(C3216="TRY",E3216/$C$1,IF(C3216="EUR",E3216*$E$1,IF(C3216="RUB",E3216/#REF!,IF(C3216="EGP",E3216/$E$2,E3216)))))</f>
        <v>3552.48</v>
      </c>
      <c r="G3216" s="15" t="str">
        <f>VLOOKUP(B3216,SPECIFICATIONF!$C$2:$D$65,2,0)</f>
        <v>GLOBAL HFT</v>
      </c>
      <c r="H3216" s="12">
        <f t="shared" si="312"/>
        <v>3</v>
      </c>
      <c r="I3216" s="12">
        <f t="shared" si="313"/>
        <v>2026</v>
      </c>
    </row>
    <row r="3217" spans="1:9" ht="19.5" customHeight="1" x14ac:dyDescent="0.35">
      <c r="A3217" s="41">
        <v>46103</v>
      </c>
      <c r="B3217" s="8" t="s">
        <v>32</v>
      </c>
      <c r="C3217" s="42" t="s">
        <v>11</v>
      </c>
      <c r="D3217" s="43" t="s">
        <v>29</v>
      </c>
      <c r="E3217" s="46">
        <v>2674393105</v>
      </c>
      <c r="F3217" s="2">
        <v>0</v>
      </c>
      <c r="G3217" s="15" t="s">
        <v>24</v>
      </c>
      <c r="H3217" s="12">
        <f t="shared" si="312"/>
        <v>3</v>
      </c>
      <c r="I3217" s="12">
        <f t="shared" si="313"/>
        <v>2026</v>
      </c>
    </row>
    <row r="3218" spans="1:9" ht="19.5" customHeight="1" x14ac:dyDescent="0.35">
      <c r="A3218" s="41">
        <v>46103</v>
      </c>
      <c r="B3218" s="8" t="s">
        <v>32</v>
      </c>
      <c r="C3218" s="42" t="s">
        <v>33</v>
      </c>
      <c r="D3218" s="43" t="s">
        <v>29</v>
      </c>
      <c r="E3218" s="46">
        <v>11556554</v>
      </c>
      <c r="F3218" s="2">
        <v>0</v>
      </c>
      <c r="G3218" s="15" t="s">
        <v>24</v>
      </c>
      <c r="H3218" s="12">
        <f t="shared" si="312"/>
        <v>3</v>
      </c>
      <c r="I3218" s="12">
        <f t="shared" si="313"/>
        <v>2026</v>
      </c>
    </row>
    <row r="3219" spans="1:9" ht="19.5" customHeight="1" x14ac:dyDescent="0.35">
      <c r="A3219" s="41">
        <v>46103</v>
      </c>
      <c r="B3219" s="8" t="s">
        <v>24</v>
      </c>
      <c r="C3219" s="42" t="s">
        <v>11</v>
      </c>
      <c r="D3219" s="43" t="s">
        <v>30</v>
      </c>
      <c r="E3219" s="46">
        <v>0</v>
      </c>
      <c r="F3219" s="2">
        <f>IF(C3219="GBP",E3219*$C$3,IF(C3219="TRY",E3219/$C$1,IF(C3219="EUR",E3219*$E$1,IF(C3219="RUB",E3219/#REF!,IF(C3219="EGP",E3219/$E$2,E3219)))))</f>
        <v>0</v>
      </c>
      <c r="G3219" s="15" t="str">
        <f>VLOOKUP(B3219,SPECIFICATIONF!$C$2:$D$65,2,0)</f>
        <v>GLOBAL RETAIL</v>
      </c>
      <c r="H3219" s="12">
        <f t="shared" si="312"/>
        <v>3</v>
      </c>
      <c r="I3219" s="12">
        <f t="shared" si="313"/>
        <v>2026</v>
      </c>
    </row>
    <row r="3220" spans="1:9" ht="19.5" customHeight="1" x14ac:dyDescent="0.35">
      <c r="A3220" s="41">
        <v>46103</v>
      </c>
      <c r="B3220" s="8" t="s">
        <v>24</v>
      </c>
      <c r="C3220" s="42" t="s">
        <v>33</v>
      </c>
      <c r="D3220" s="43" t="s">
        <v>30</v>
      </c>
      <c r="E3220" s="46">
        <v>0</v>
      </c>
      <c r="F3220" s="2">
        <f>IF(C3220="GBP",E3220*$C$3,IF(C3220="TRY",E3220/$C$1,IF(C3220="EUR",E3220*$E$1,IF(C3220="RUB",E3220/#REF!,IF(C3220="EGP",E3220/$E$2,E3220)))))</f>
        <v>0</v>
      </c>
      <c r="G3220" s="15" t="str">
        <f>VLOOKUP(B3220,SPECIFICATIONF!$C$2:$D$65,2,0)</f>
        <v>GLOBAL RETAIL</v>
      </c>
      <c r="H3220" s="12">
        <f t="shared" si="312"/>
        <v>3</v>
      </c>
      <c r="I3220" s="12">
        <f t="shared" si="313"/>
        <v>2026</v>
      </c>
    </row>
    <row r="3221" spans="1:9" ht="19.5" customHeight="1" x14ac:dyDescent="0.35">
      <c r="A3221" s="41">
        <v>46103</v>
      </c>
      <c r="B3221" s="8" t="s">
        <v>24</v>
      </c>
      <c r="C3221" s="42" t="s">
        <v>11</v>
      </c>
      <c r="D3221" s="43" t="s">
        <v>29</v>
      </c>
      <c r="E3221" s="46">
        <v>6658833</v>
      </c>
      <c r="F3221" s="2">
        <f>IF(C3221="GBP",E3221*$C$3,IF(C3221="TRY",E3221/$C$1,IF(C3221="EUR",E3221*$E$1,IF(C3221="RUB",E3221/#REF!,IF(C3221="EGP",E3221/$E$2,E3221)))))</f>
        <v>182599.37093638341</v>
      </c>
      <c r="G3221" s="15" t="str">
        <f>VLOOKUP(B3221,SPECIFICATIONF!$C$2:$D$65,2,0)</f>
        <v>GLOBAL RETAIL</v>
      </c>
      <c r="H3221" s="12">
        <f t="shared" si="312"/>
        <v>3</v>
      </c>
      <c r="I3221" s="12">
        <f t="shared" si="313"/>
        <v>2026</v>
      </c>
    </row>
    <row r="3222" spans="1:9" ht="19.5" customHeight="1" x14ac:dyDescent="0.35">
      <c r="A3222" s="41">
        <v>46103</v>
      </c>
      <c r="B3222" s="8" t="s">
        <v>24</v>
      </c>
      <c r="C3222" s="42" t="s">
        <v>33</v>
      </c>
      <c r="D3222" s="43" t="s">
        <v>29</v>
      </c>
      <c r="E3222" s="46">
        <v>0</v>
      </c>
      <c r="F3222" s="2">
        <f>IF(C3222="GBP",E3222*$C$3,IF(C3222="TRY",E3222/$C$1,IF(C3222="EUR",E3222*$E$1,IF(C3222="RUB",E3222/#REF!,IF(C3222="EGP",E3222/$E$2,E3222)))))</f>
        <v>0</v>
      </c>
      <c r="G3222" s="15" t="str">
        <f>VLOOKUP(B3222,SPECIFICATIONF!$C$2:$D$65,2,0)</f>
        <v>GLOBAL RETAIL</v>
      </c>
      <c r="H3222" s="12">
        <f t="shared" si="312"/>
        <v>3</v>
      </c>
      <c r="I3222" s="12">
        <f t="shared" si="313"/>
        <v>2026</v>
      </c>
    </row>
    <row r="3223" spans="1:9" ht="19.5" customHeight="1" x14ac:dyDescent="0.35">
      <c r="A3223" s="41">
        <v>46104</v>
      </c>
      <c r="B3223" s="8" t="s">
        <v>32</v>
      </c>
      <c r="C3223" s="42" t="s">
        <v>11</v>
      </c>
      <c r="D3223" s="43" t="s">
        <v>30</v>
      </c>
      <c r="E3223" s="46">
        <v>1155093.0900000001</v>
      </c>
      <c r="F3223" s="2">
        <f>IF(C3223="GBP",E3223*$C$3,IF(C3223="TRY",E3223/$C$1,IF(C3223="EUR",E3223*$E$1,IF(C3223="RUB",E3223/#REF!,IF(C3223="EGP",E3223/$E$2,E3223)))))</f>
        <v>31675.110579731208</v>
      </c>
      <c r="G3223" s="15" t="str">
        <f>VLOOKUP(B3223,SPECIFICATIONF!$C$2:$D$65,2,0)</f>
        <v>GLOBAL HFT</v>
      </c>
      <c r="H3223" s="12">
        <f t="shared" si="312"/>
        <v>3</v>
      </c>
      <c r="I3223" s="12">
        <f t="shared" si="313"/>
        <v>2026</v>
      </c>
    </row>
    <row r="3224" spans="1:9" ht="19.5" customHeight="1" x14ac:dyDescent="0.35">
      <c r="A3224" s="41">
        <v>46104</v>
      </c>
      <c r="B3224" s="8" t="s">
        <v>32</v>
      </c>
      <c r="C3224" s="42" t="s">
        <v>33</v>
      </c>
      <c r="D3224" s="43" t="s">
        <v>30</v>
      </c>
      <c r="E3224" s="46">
        <v>7211.23</v>
      </c>
      <c r="F3224" s="2">
        <f>IF(C3224="GBP",E3224*$C$3,IF(C3224="TRY",E3224/$C$1,IF(C3224="EUR",E3224*$E$1,IF(C3224="RUB",E3224/#REF!,IF(C3224="EGP",E3224/$E$2,E3224)))))</f>
        <v>7211.23</v>
      </c>
      <c r="G3224" s="15" t="str">
        <f>VLOOKUP(B3224,SPECIFICATIONF!$C$2:$D$65,2,0)</f>
        <v>GLOBAL HFT</v>
      </c>
      <c r="H3224" s="12">
        <f t="shared" si="312"/>
        <v>3</v>
      </c>
      <c r="I3224" s="12">
        <f t="shared" si="313"/>
        <v>2026</v>
      </c>
    </row>
    <row r="3225" spans="1:9" ht="19.5" customHeight="1" x14ac:dyDescent="0.35">
      <c r="A3225" s="41">
        <v>46104</v>
      </c>
      <c r="B3225" s="8" t="s">
        <v>32</v>
      </c>
      <c r="C3225" s="42" t="s">
        <v>11</v>
      </c>
      <c r="D3225" s="43" t="s">
        <v>29</v>
      </c>
      <c r="E3225" s="46">
        <v>3957845887</v>
      </c>
      <c r="F3225" s="2">
        <v>0</v>
      </c>
      <c r="G3225" s="15" t="s">
        <v>24</v>
      </c>
      <c r="H3225" s="12">
        <f t="shared" si="312"/>
        <v>3</v>
      </c>
      <c r="I3225" s="12">
        <f t="shared" si="313"/>
        <v>2026</v>
      </c>
    </row>
    <row r="3226" spans="1:9" ht="19.5" customHeight="1" x14ac:dyDescent="0.35">
      <c r="A3226" s="41">
        <v>46104</v>
      </c>
      <c r="B3226" s="8" t="s">
        <v>32</v>
      </c>
      <c r="C3226" s="42" t="s">
        <v>33</v>
      </c>
      <c r="D3226" s="43" t="s">
        <v>29</v>
      </c>
      <c r="E3226" s="46">
        <v>23449493</v>
      </c>
      <c r="F3226" s="2">
        <v>0</v>
      </c>
      <c r="G3226" s="15" t="s">
        <v>24</v>
      </c>
      <c r="H3226" s="12">
        <f t="shared" si="312"/>
        <v>3</v>
      </c>
      <c r="I3226" s="12">
        <f t="shared" si="313"/>
        <v>2026</v>
      </c>
    </row>
    <row r="3227" spans="1:9" ht="19.5" customHeight="1" x14ac:dyDescent="0.35">
      <c r="A3227" s="41">
        <v>46104</v>
      </c>
      <c r="B3227" s="8" t="s">
        <v>24</v>
      </c>
      <c r="C3227" s="42" t="s">
        <v>11</v>
      </c>
      <c r="D3227" s="43" t="s">
        <v>30</v>
      </c>
      <c r="E3227" s="46">
        <v>0</v>
      </c>
      <c r="F3227" s="2">
        <f>IF(C3227="GBP",E3227*$C$3,IF(C3227="TRY",E3227/$C$1,IF(C3227="EUR",E3227*$E$1,IF(C3227="RUB",E3227/#REF!,IF(C3227="EGP",E3227/$E$2,E3227)))))</f>
        <v>0</v>
      </c>
      <c r="G3227" s="15" t="str">
        <f>VLOOKUP(B3227,SPECIFICATIONF!$C$2:$D$65,2,0)</f>
        <v>GLOBAL RETAIL</v>
      </c>
      <c r="H3227" s="12">
        <f t="shared" si="312"/>
        <v>3</v>
      </c>
      <c r="I3227" s="12">
        <f t="shared" si="313"/>
        <v>2026</v>
      </c>
    </row>
    <row r="3228" spans="1:9" ht="19.5" customHeight="1" x14ac:dyDescent="0.35">
      <c r="A3228" s="41">
        <v>46104</v>
      </c>
      <c r="B3228" s="8" t="s">
        <v>24</v>
      </c>
      <c r="C3228" s="42" t="s">
        <v>33</v>
      </c>
      <c r="D3228" s="43" t="s">
        <v>30</v>
      </c>
      <c r="E3228" s="46">
        <v>0</v>
      </c>
      <c r="F3228" s="2">
        <f>IF(C3228="GBP",E3228*$C$3,IF(C3228="TRY",E3228/$C$1,IF(C3228="EUR",E3228*$E$1,IF(C3228="RUB",E3228/#REF!,IF(C3228="EGP",E3228/$E$2,E3228)))))</f>
        <v>0</v>
      </c>
      <c r="G3228" s="15" t="str">
        <f>VLOOKUP(B3228,SPECIFICATIONF!$C$2:$D$65,2,0)</f>
        <v>GLOBAL RETAIL</v>
      </c>
      <c r="H3228" s="12">
        <f t="shared" si="312"/>
        <v>3</v>
      </c>
      <c r="I3228" s="12">
        <f t="shared" si="313"/>
        <v>2026</v>
      </c>
    </row>
    <row r="3229" spans="1:9" ht="19.5" customHeight="1" x14ac:dyDescent="0.35">
      <c r="A3229" s="41">
        <v>46104</v>
      </c>
      <c r="B3229" s="8" t="s">
        <v>24</v>
      </c>
      <c r="C3229" s="42" t="s">
        <v>11</v>
      </c>
      <c r="D3229" s="43" t="s">
        <v>29</v>
      </c>
      <c r="E3229" s="46">
        <v>10991540</v>
      </c>
      <c r="F3229" s="2">
        <f>IF(C3229="GBP",E3229*$C$3,IF(C3229="TRY",E3229/$C$1,IF(C3229="EUR",E3229*$E$1,IF(C3229="RUB",E3229/#REF!,IF(C3229="EGP",E3229/$E$2,E3229)))))</f>
        <v>301411.41692877648</v>
      </c>
      <c r="G3229" s="15" t="str">
        <f>VLOOKUP(B3229,SPECIFICATIONF!$C$2:$D$65,2,0)</f>
        <v>GLOBAL RETAIL</v>
      </c>
      <c r="H3229" s="12">
        <f t="shared" si="312"/>
        <v>3</v>
      </c>
      <c r="I3229" s="12">
        <f t="shared" si="313"/>
        <v>2026</v>
      </c>
    </row>
    <row r="3230" spans="1:9" ht="19.5" customHeight="1" x14ac:dyDescent="0.35">
      <c r="A3230" s="41">
        <v>46104</v>
      </c>
      <c r="B3230" s="8" t="s">
        <v>24</v>
      </c>
      <c r="C3230" s="42" t="s">
        <v>33</v>
      </c>
      <c r="D3230" s="43" t="s">
        <v>29</v>
      </c>
      <c r="E3230" s="46">
        <v>0</v>
      </c>
      <c r="F3230" s="2">
        <f>IF(C3230="GBP",E3230*$C$3,IF(C3230="TRY",E3230/$C$1,IF(C3230="EUR",E3230*$E$1,IF(C3230="RUB",E3230/#REF!,IF(C3230="EGP",E3230/$E$2,E3230)))))</f>
        <v>0</v>
      </c>
      <c r="G3230" s="15" t="str">
        <f>VLOOKUP(B3230,SPECIFICATIONF!$C$2:$D$65,2,0)</f>
        <v>GLOBAL RETAIL</v>
      </c>
      <c r="H3230" s="12">
        <f t="shared" si="312"/>
        <v>3</v>
      </c>
      <c r="I3230" s="12">
        <f t="shared" si="313"/>
        <v>2026</v>
      </c>
    </row>
    <row r="3231" spans="1:9" ht="19.5" customHeight="1" x14ac:dyDescent="0.35">
      <c r="A3231" s="41">
        <v>46105</v>
      </c>
      <c r="B3231" s="8" t="s">
        <v>32</v>
      </c>
      <c r="C3231" s="42" t="s">
        <v>11</v>
      </c>
      <c r="D3231" s="43" t="s">
        <v>30</v>
      </c>
      <c r="E3231" s="46">
        <v>987280.96</v>
      </c>
      <c r="F3231" s="2">
        <f>IF(C3231="GBP",E3231*$C$3,IF(C3231="TRY",E3231/$C$1,IF(C3231="EUR",E3231*$E$1,IF(C3231="RUB",E3231/#REF!,IF(C3231="EGP",E3231/$E$2,E3231)))))</f>
        <v>27073.344868908513</v>
      </c>
      <c r="G3231" s="15" t="str">
        <f>VLOOKUP(B3231,SPECIFICATIONF!$C$2:$D$65,2,0)</f>
        <v>GLOBAL HFT</v>
      </c>
      <c r="H3231" s="12">
        <f t="shared" ref="H3231:H3238" si="314">MONTH(A3231)</f>
        <v>3</v>
      </c>
      <c r="I3231" s="12">
        <f t="shared" ref="I3231:I3238" si="315">YEAR(A3231)</f>
        <v>2026</v>
      </c>
    </row>
    <row r="3232" spans="1:9" ht="19.5" customHeight="1" x14ac:dyDescent="0.35">
      <c r="A3232" s="41">
        <v>46105</v>
      </c>
      <c r="B3232" s="8" t="s">
        <v>32</v>
      </c>
      <c r="C3232" s="42" t="s">
        <v>33</v>
      </c>
      <c r="D3232" s="43" t="s">
        <v>30</v>
      </c>
      <c r="E3232" s="46">
        <v>4238.71</v>
      </c>
      <c r="F3232" s="2">
        <f>IF(C3232="GBP",E3232*$C$3,IF(C3232="TRY",E3232/$C$1,IF(C3232="EUR",E3232*$E$1,IF(C3232="RUB",E3232/#REF!,IF(C3232="EGP",E3232/$E$2,E3232)))))</f>
        <v>4238.71</v>
      </c>
      <c r="G3232" s="15" t="str">
        <f>VLOOKUP(B3232,SPECIFICATIONF!$C$2:$D$65,2,0)</f>
        <v>GLOBAL HFT</v>
      </c>
      <c r="H3232" s="12">
        <f t="shared" si="314"/>
        <v>3</v>
      </c>
      <c r="I3232" s="12">
        <f t="shared" si="315"/>
        <v>2026</v>
      </c>
    </row>
    <row r="3233" spans="1:9" ht="19.5" customHeight="1" x14ac:dyDescent="0.35">
      <c r="A3233" s="41">
        <v>46105</v>
      </c>
      <c r="B3233" s="8" t="s">
        <v>32</v>
      </c>
      <c r="C3233" s="42" t="s">
        <v>11</v>
      </c>
      <c r="D3233" s="43" t="s">
        <v>29</v>
      </c>
      <c r="E3233" s="46">
        <v>3318285178</v>
      </c>
      <c r="F3233" s="2">
        <v>0</v>
      </c>
      <c r="G3233" s="15" t="s">
        <v>24</v>
      </c>
      <c r="H3233" s="12">
        <f t="shared" si="314"/>
        <v>3</v>
      </c>
      <c r="I3233" s="12">
        <f t="shared" si="315"/>
        <v>2026</v>
      </c>
    </row>
    <row r="3234" spans="1:9" ht="19.5" customHeight="1" x14ac:dyDescent="0.35">
      <c r="A3234" s="41">
        <v>46105</v>
      </c>
      <c r="B3234" s="8" t="s">
        <v>32</v>
      </c>
      <c r="C3234" s="42" t="s">
        <v>33</v>
      </c>
      <c r="D3234" s="43" t="s">
        <v>29</v>
      </c>
      <c r="E3234" s="46">
        <v>13921923</v>
      </c>
      <c r="F3234" s="2">
        <v>0</v>
      </c>
      <c r="G3234" s="15" t="s">
        <v>24</v>
      </c>
      <c r="H3234" s="12">
        <f t="shared" si="314"/>
        <v>3</v>
      </c>
      <c r="I3234" s="12">
        <f t="shared" si="315"/>
        <v>2026</v>
      </c>
    </row>
    <row r="3235" spans="1:9" ht="19.5" customHeight="1" x14ac:dyDescent="0.35">
      <c r="A3235" s="41">
        <v>46105</v>
      </c>
      <c r="B3235" s="8" t="s">
        <v>24</v>
      </c>
      <c r="C3235" s="42" t="s">
        <v>11</v>
      </c>
      <c r="D3235" s="43" t="s">
        <v>30</v>
      </c>
      <c r="E3235" s="46">
        <v>0</v>
      </c>
      <c r="F3235" s="2">
        <f>IF(C3235="GBP",E3235*$C$3,IF(C3235="TRY",E3235/$C$1,IF(C3235="EUR",E3235*$E$1,IF(C3235="RUB",E3235/#REF!,IF(C3235="EGP",E3235/$E$2,E3235)))))</f>
        <v>0</v>
      </c>
      <c r="G3235" s="15" t="str">
        <f>VLOOKUP(B3235,SPECIFICATIONF!$C$2:$D$65,2,0)</f>
        <v>GLOBAL RETAIL</v>
      </c>
      <c r="H3235" s="12">
        <f t="shared" si="314"/>
        <v>3</v>
      </c>
      <c r="I3235" s="12">
        <f t="shared" si="315"/>
        <v>2026</v>
      </c>
    </row>
    <row r="3236" spans="1:9" ht="19.5" customHeight="1" x14ac:dyDescent="0.35">
      <c r="A3236" s="41">
        <v>46105</v>
      </c>
      <c r="B3236" s="8" t="s">
        <v>24</v>
      </c>
      <c r="C3236" s="42" t="s">
        <v>33</v>
      </c>
      <c r="D3236" s="43" t="s">
        <v>30</v>
      </c>
      <c r="E3236" s="46">
        <v>0</v>
      </c>
      <c r="F3236" s="2">
        <f>IF(C3236="GBP",E3236*$C$3,IF(C3236="TRY",E3236/$C$1,IF(C3236="EUR",E3236*$E$1,IF(C3236="RUB",E3236/#REF!,IF(C3236="EGP",E3236/$E$2,E3236)))))</f>
        <v>0</v>
      </c>
      <c r="G3236" s="15" t="str">
        <f>VLOOKUP(B3236,SPECIFICATIONF!$C$2:$D$65,2,0)</f>
        <v>GLOBAL RETAIL</v>
      </c>
      <c r="H3236" s="12">
        <f t="shared" si="314"/>
        <v>3</v>
      </c>
      <c r="I3236" s="12">
        <f t="shared" si="315"/>
        <v>2026</v>
      </c>
    </row>
    <row r="3237" spans="1:9" ht="19.5" customHeight="1" x14ac:dyDescent="0.35">
      <c r="A3237" s="41">
        <v>46105</v>
      </c>
      <c r="B3237" s="8" t="s">
        <v>24</v>
      </c>
      <c r="C3237" s="42" t="s">
        <v>11</v>
      </c>
      <c r="D3237" s="43" t="s">
        <v>29</v>
      </c>
      <c r="E3237" s="46">
        <v>21650534</v>
      </c>
      <c r="F3237" s="2">
        <f>IF(C3237="GBP",E3237*$C$3,IF(C3237="TRY",E3237/$C$1,IF(C3237="EUR",E3237*$E$1,IF(C3237="RUB",E3237/#REF!,IF(C3237="EGP",E3237/$E$2,E3237)))))</f>
        <v>593703.71487568179</v>
      </c>
      <c r="G3237" s="15" t="str">
        <f>VLOOKUP(B3237,SPECIFICATIONF!$C$2:$D$65,2,0)</f>
        <v>GLOBAL RETAIL</v>
      </c>
      <c r="H3237" s="12">
        <f t="shared" si="314"/>
        <v>3</v>
      </c>
      <c r="I3237" s="12">
        <f t="shared" si="315"/>
        <v>2026</v>
      </c>
    </row>
    <row r="3238" spans="1:9" ht="19.5" customHeight="1" x14ac:dyDescent="0.35">
      <c r="A3238" s="41">
        <v>46105</v>
      </c>
      <c r="B3238" s="8" t="s">
        <v>24</v>
      </c>
      <c r="C3238" s="42" t="s">
        <v>33</v>
      </c>
      <c r="D3238" s="43" t="s">
        <v>29</v>
      </c>
      <c r="E3238" s="46">
        <v>0</v>
      </c>
      <c r="F3238" s="2">
        <f>IF(C3238="GBP",E3238*$C$3,IF(C3238="TRY",E3238/$C$1,IF(C3238="EUR",E3238*$E$1,IF(C3238="RUB",E3238/#REF!,IF(C3238="EGP",E3238/$E$2,E3238)))))</f>
        <v>0</v>
      </c>
      <c r="G3238" s="15" t="str">
        <f>VLOOKUP(B3238,SPECIFICATIONF!$C$2:$D$65,2,0)</f>
        <v>GLOBAL RETAIL</v>
      </c>
      <c r="H3238" s="12">
        <f t="shared" si="314"/>
        <v>3</v>
      </c>
      <c r="I3238" s="12">
        <f t="shared" si="315"/>
        <v>2026</v>
      </c>
    </row>
    <row r="3239" spans="1:9" ht="19.5" customHeight="1" x14ac:dyDescent="0.35">
      <c r="A3239" s="41">
        <v>46106</v>
      </c>
      <c r="B3239" s="8" t="s">
        <v>32</v>
      </c>
      <c r="C3239" s="42" t="s">
        <v>11</v>
      </c>
      <c r="D3239" s="43" t="s">
        <v>30</v>
      </c>
      <c r="E3239" s="46">
        <v>1176702.83</v>
      </c>
      <c r="F3239" s="2">
        <f>IF(C3239="GBP",E3239*$C$3,IF(C3239="TRY",E3239/$C$1,IF(C3239="EUR",E3239*$E$1,IF(C3239="RUB",E3239/#REF!,IF(C3239="EGP",E3239/$E$2,E3239)))))</f>
        <v>32267.69563631677</v>
      </c>
      <c r="G3239" s="15" t="str">
        <f>VLOOKUP(B3239,SPECIFICATIONF!$C$2:$D$65,2,0)</f>
        <v>GLOBAL HFT</v>
      </c>
      <c r="H3239" s="12">
        <f t="shared" ref="H3239:H3246" si="316">MONTH(A3239)</f>
        <v>3</v>
      </c>
      <c r="I3239" s="12">
        <f t="shared" ref="I3239:I3246" si="317">YEAR(A3239)</f>
        <v>2026</v>
      </c>
    </row>
    <row r="3240" spans="1:9" ht="19.5" customHeight="1" x14ac:dyDescent="0.35">
      <c r="A3240" s="41">
        <v>46106</v>
      </c>
      <c r="B3240" s="8" t="s">
        <v>32</v>
      </c>
      <c r="C3240" s="42" t="s">
        <v>33</v>
      </c>
      <c r="D3240" s="43" t="s">
        <v>30</v>
      </c>
      <c r="E3240" s="46">
        <v>5399.19</v>
      </c>
      <c r="F3240" s="2">
        <f>IF(C3240="GBP",E3240*$C$3,IF(C3240="TRY",E3240/$C$1,IF(C3240="EUR",E3240*$E$1,IF(C3240="RUB",E3240/#REF!,IF(C3240="EGP",E3240/$E$2,E3240)))))</f>
        <v>5399.19</v>
      </c>
      <c r="G3240" s="15" t="str">
        <f>VLOOKUP(B3240,SPECIFICATIONF!$C$2:$D$65,2,0)</f>
        <v>GLOBAL HFT</v>
      </c>
      <c r="H3240" s="12">
        <f t="shared" si="316"/>
        <v>3</v>
      </c>
      <c r="I3240" s="12">
        <f t="shared" si="317"/>
        <v>2026</v>
      </c>
    </row>
    <row r="3241" spans="1:9" ht="19.5" customHeight="1" x14ac:dyDescent="0.35">
      <c r="A3241" s="41">
        <v>46106</v>
      </c>
      <c r="B3241" s="8" t="s">
        <v>32</v>
      </c>
      <c r="C3241" s="42" t="s">
        <v>11</v>
      </c>
      <c r="D3241" s="43" t="s">
        <v>29</v>
      </c>
      <c r="E3241" s="46">
        <v>3840226419</v>
      </c>
      <c r="F3241" s="2">
        <v>0</v>
      </c>
      <c r="G3241" s="15" t="s">
        <v>24</v>
      </c>
      <c r="H3241" s="12">
        <f t="shared" si="316"/>
        <v>3</v>
      </c>
      <c r="I3241" s="12">
        <f t="shared" si="317"/>
        <v>2026</v>
      </c>
    </row>
    <row r="3242" spans="1:9" ht="19.5" customHeight="1" x14ac:dyDescent="0.35">
      <c r="A3242" s="41">
        <v>46106</v>
      </c>
      <c r="B3242" s="8" t="s">
        <v>32</v>
      </c>
      <c r="C3242" s="42" t="s">
        <v>33</v>
      </c>
      <c r="D3242" s="43" t="s">
        <v>29</v>
      </c>
      <c r="E3242" s="46">
        <v>17510394</v>
      </c>
      <c r="F3242" s="2">
        <v>0</v>
      </c>
      <c r="G3242" s="15" t="s">
        <v>24</v>
      </c>
      <c r="H3242" s="12">
        <f t="shared" si="316"/>
        <v>3</v>
      </c>
      <c r="I3242" s="12">
        <f t="shared" si="317"/>
        <v>2026</v>
      </c>
    </row>
    <row r="3243" spans="1:9" ht="19.5" customHeight="1" x14ac:dyDescent="0.35">
      <c r="A3243" s="41">
        <v>46106</v>
      </c>
      <c r="B3243" s="8" t="s">
        <v>24</v>
      </c>
      <c r="C3243" s="42" t="s">
        <v>11</v>
      </c>
      <c r="D3243" s="43" t="s">
        <v>30</v>
      </c>
      <c r="E3243" s="46">
        <v>0</v>
      </c>
      <c r="F3243" s="2">
        <f>IF(C3243="GBP",E3243*$C$3,IF(C3243="TRY",E3243/$C$1,IF(C3243="EUR",E3243*$E$1,IF(C3243="RUB",E3243/#REF!,IF(C3243="EGP",E3243/$E$2,E3243)))))</f>
        <v>0</v>
      </c>
      <c r="G3243" s="15" t="str">
        <f>VLOOKUP(B3243,SPECIFICATIONF!$C$2:$D$65,2,0)</f>
        <v>GLOBAL RETAIL</v>
      </c>
      <c r="H3243" s="12">
        <f t="shared" si="316"/>
        <v>3</v>
      </c>
      <c r="I3243" s="12">
        <f t="shared" si="317"/>
        <v>2026</v>
      </c>
    </row>
    <row r="3244" spans="1:9" ht="19.5" customHeight="1" x14ac:dyDescent="0.35">
      <c r="A3244" s="41">
        <v>46106</v>
      </c>
      <c r="B3244" s="8" t="s">
        <v>24</v>
      </c>
      <c r="C3244" s="42" t="s">
        <v>33</v>
      </c>
      <c r="D3244" s="43" t="s">
        <v>30</v>
      </c>
      <c r="E3244" s="46">
        <v>0</v>
      </c>
      <c r="F3244" s="2">
        <f>IF(C3244="GBP",E3244*$C$3,IF(C3244="TRY",E3244/$C$1,IF(C3244="EUR",E3244*$E$1,IF(C3244="RUB",E3244/#REF!,IF(C3244="EGP",E3244/$E$2,E3244)))))</f>
        <v>0</v>
      </c>
      <c r="G3244" s="15" t="str">
        <f>VLOOKUP(B3244,SPECIFICATIONF!$C$2:$D$65,2,0)</f>
        <v>GLOBAL RETAIL</v>
      </c>
      <c r="H3244" s="12">
        <f t="shared" si="316"/>
        <v>3</v>
      </c>
      <c r="I3244" s="12">
        <f t="shared" si="317"/>
        <v>2026</v>
      </c>
    </row>
    <row r="3245" spans="1:9" ht="19.5" customHeight="1" x14ac:dyDescent="0.35">
      <c r="A3245" s="41">
        <v>46106</v>
      </c>
      <c r="B3245" s="8" t="s">
        <v>24</v>
      </c>
      <c r="C3245" s="42" t="s">
        <v>11</v>
      </c>
      <c r="D3245" s="43" t="s">
        <v>29</v>
      </c>
      <c r="E3245" s="46">
        <v>3865855</v>
      </c>
      <c r="F3245" s="2">
        <f>IF(C3245="GBP",E3245*$C$3,IF(C3245="TRY",E3245/$C$1,IF(C3245="EUR",E3245*$E$1,IF(C3245="RUB",E3245/#REF!,IF(C3245="EGP",E3245/$E$2,E3245)))))</f>
        <v>106009.97068574515</v>
      </c>
      <c r="G3245" s="15" t="str">
        <f>VLOOKUP(B3245,SPECIFICATIONF!$C$2:$D$65,2,0)</f>
        <v>GLOBAL RETAIL</v>
      </c>
      <c r="H3245" s="12">
        <f t="shared" si="316"/>
        <v>3</v>
      </c>
      <c r="I3245" s="12">
        <f t="shared" si="317"/>
        <v>2026</v>
      </c>
    </row>
    <row r="3246" spans="1:9" ht="19.5" customHeight="1" x14ac:dyDescent="0.35">
      <c r="A3246" s="41">
        <v>46106</v>
      </c>
      <c r="B3246" s="8" t="s">
        <v>24</v>
      </c>
      <c r="C3246" s="42" t="s">
        <v>33</v>
      </c>
      <c r="D3246" s="43" t="s">
        <v>29</v>
      </c>
      <c r="E3246" s="46">
        <v>0</v>
      </c>
      <c r="F3246" s="2">
        <f>IF(C3246="GBP",E3246*$C$3,IF(C3246="TRY",E3246/$C$1,IF(C3246="EUR",E3246*$E$1,IF(C3246="RUB",E3246/#REF!,IF(C3246="EGP",E3246/$E$2,E3246)))))</f>
        <v>0</v>
      </c>
      <c r="G3246" s="15" t="str">
        <f>VLOOKUP(B3246,SPECIFICATIONF!$C$2:$D$65,2,0)</f>
        <v>GLOBAL RETAIL</v>
      </c>
      <c r="H3246" s="12">
        <f t="shared" si="316"/>
        <v>3</v>
      </c>
      <c r="I3246" s="12">
        <f t="shared" si="317"/>
        <v>2026</v>
      </c>
    </row>
    <row r="3247" spans="1:9" ht="19.5" customHeight="1" x14ac:dyDescent="0.35">
      <c r="A3247" s="41">
        <v>46107</v>
      </c>
      <c r="B3247" s="8" t="s">
        <v>32</v>
      </c>
      <c r="C3247" s="42" t="s">
        <v>11</v>
      </c>
      <c r="D3247" s="43" t="s">
        <v>30</v>
      </c>
      <c r="E3247" s="46">
        <v>909564.9</v>
      </c>
      <c r="F3247" s="2">
        <f>IF(C3247="GBP",E3247*$C$3,IF(C3247="TRY",E3247/$C$1,IF(C3247="EUR",E3247*$E$1,IF(C3247="RUB",E3247/#REF!,IF(C3247="EGP",E3247/$E$2,E3247)))))</f>
        <v>24942.205123001953</v>
      </c>
      <c r="G3247" s="15" t="str">
        <f>VLOOKUP(B3247,SPECIFICATIONF!$C$2:$D$65,2,0)</f>
        <v>GLOBAL HFT</v>
      </c>
      <c r="H3247" s="12">
        <f t="shared" ref="H3247:H3254" si="318">MONTH(A3247)</f>
        <v>3</v>
      </c>
      <c r="I3247" s="12">
        <f t="shared" ref="I3247:I3254" si="319">YEAR(A3247)</f>
        <v>2026</v>
      </c>
    </row>
    <row r="3248" spans="1:9" ht="19.5" customHeight="1" x14ac:dyDescent="0.35">
      <c r="A3248" s="41">
        <v>46107</v>
      </c>
      <c r="B3248" s="8" t="s">
        <v>32</v>
      </c>
      <c r="C3248" s="42" t="s">
        <v>33</v>
      </c>
      <c r="D3248" s="43" t="s">
        <v>30</v>
      </c>
      <c r="E3248" s="46">
        <v>4507.68</v>
      </c>
      <c r="F3248" s="2">
        <f>IF(C3248="GBP",E3248*$C$3,IF(C3248="TRY",E3248/$C$1,IF(C3248="EUR",E3248*$E$1,IF(C3248="RUB",E3248/#REF!,IF(C3248="EGP",E3248/$E$2,E3248)))))</f>
        <v>4507.68</v>
      </c>
      <c r="G3248" s="15" t="str">
        <f>VLOOKUP(B3248,SPECIFICATIONF!$C$2:$D$65,2,0)</f>
        <v>GLOBAL HFT</v>
      </c>
      <c r="H3248" s="12">
        <f t="shared" si="318"/>
        <v>3</v>
      </c>
      <c r="I3248" s="12">
        <f t="shared" si="319"/>
        <v>2026</v>
      </c>
    </row>
    <row r="3249" spans="1:9" ht="19.5" customHeight="1" x14ac:dyDescent="0.35">
      <c r="A3249" s="41">
        <v>46107</v>
      </c>
      <c r="B3249" s="8" t="s">
        <v>32</v>
      </c>
      <c r="C3249" s="42" t="s">
        <v>11</v>
      </c>
      <c r="D3249" s="43" t="s">
        <v>29</v>
      </c>
      <c r="E3249" s="46">
        <v>3103793070</v>
      </c>
      <c r="F3249" s="2">
        <v>0</v>
      </c>
      <c r="G3249" s="15" t="s">
        <v>24</v>
      </c>
      <c r="H3249" s="12">
        <f t="shared" si="318"/>
        <v>3</v>
      </c>
      <c r="I3249" s="12">
        <f t="shared" si="319"/>
        <v>2026</v>
      </c>
    </row>
    <row r="3250" spans="1:9" ht="19.5" customHeight="1" x14ac:dyDescent="0.35">
      <c r="A3250" s="41">
        <v>46107</v>
      </c>
      <c r="B3250" s="8" t="s">
        <v>32</v>
      </c>
      <c r="C3250" s="42" t="s">
        <v>33</v>
      </c>
      <c r="D3250" s="43" t="s">
        <v>29</v>
      </c>
      <c r="E3250" s="46">
        <v>14438752</v>
      </c>
      <c r="F3250" s="2">
        <v>0</v>
      </c>
      <c r="G3250" s="15" t="s">
        <v>24</v>
      </c>
      <c r="H3250" s="12">
        <f t="shared" si="318"/>
        <v>3</v>
      </c>
      <c r="I3250" s="12">
        <f t="shared" si="319"/>
        <v>2026</v>
      </c>
    </row>
    <row r="3251" spans="1:9" ht="19.5" customHeight="1" x14ac:dyDescent="0.35">
      <c r="A3251" s="41">
        <v>46107</v>
      </c>
      <c r="B3251" s="8" t="s">
        <v>24</v>
      </c>
      <c r="C3251" s="42" t="s">
        <v>11</v>
      </c>
      <c r="D3251" s="43" t="s">
        <v>30</v>
      </c>
      <c r="E3251" s="46">
        <v>0</v>
      </c>
      <c r="F3251" s="2">
        <f>IF(C3251="GBP",E3251*$C$3,IF(C3251="TRY",E3251/$C$1,IF(C3251="EUR",E3251*$E$1,IF(C3251="RUB",E3251/#REF!,IF(C3251="EGP",E3251/$E$2,E3251)))))</f>
        <v>0</v>
      </c>
      <c r="G3251" s="15" t="str">
        <f>VLOOKUP(B3251,SPECIFICATIONF!$C$2:$D$65,2,0)</f>
        <v>GLOBAL RETAIL</v>
      </c>
      <c r="H3251" s="12">
        <f t="shared" si="318"/>
        <v>3</v>
      </c>
      <c r="I3251" s="12">
        <f t="shared" si="319"/>
        <v>2026</v>
      </c>
    </row>
    <row r="3252" spans="1:9" ht="19.5" customHeight="1" x14ac:dyDescent="0.35">
      <c r="A3252" s="41">
        <v>46107</v>
      </c>
      <c r="B3252" s="8" t="s">
        <v>24</v>
      </c>
      <c r="C3252" s="42" t="s">
        <v>33</v>
      </c>
      <c r="D3252" s="43" t="s">
        <v>30</v>
      </c>
      <c r="E3252" s="46">
        <v>0</v>
      </c>
      <c r="F3252" s="2">
        <f>IF(C3252="GBP",E3252*$C$3,IF(C3252="TRY",E3252/$C$1,IF(C3252="EUR",E3252*$E$1,IF(C3252="RUB",E3252/#REF!,IF(C3252="EGP",E3252/$E$2,E3252)))))</f>
        <v>0</v>
      </c>
      <c r="G3252" s="15" t="str">
        <f>VLOOKUP(B3252,SPECIFICATIONF!$C$2:$D$65,2,0)</f>
        <v>GLOBAL RETAIL</v>
      </c>
      <c r="H3252" s="12">
        <f t="shared" si="318"/>
        <v>3</v>
      </c>
      <c r="I3252" s="12">
        <f t="shared" si="319"/>
        <v>2026</v>
      </c>
    </row>
    <row r="3253" spans="1:9" ht="19.5" customHeight="1" x14ac:dyDescent="0.35">
      <c r="A3253" s="41">
        <v>46107</v>
      </c>
      <c r="B3253" s="8" t="s">
        <v>24</v>
      </c>
      <c r="C3253" s="42" t="s">
        <v>11</v>
      </c>
      <c r="D3253" s="43" t="s">
        <v>29</v>
      </c>
      <c r="E3253" s="46">
        <v>8418354</v>
      </c>
      <c r="F3253" s="2">
        <f>IF(C3253="GBP",E3253*$C$3,IF(C3253="TRY",E3253/$C$1,IF(C3253="EUR",E3253*$E$1,IF(C3253="RUB",E3253/#REF!,IF(C3253="EGP",E3253/$E$2,E3253)))))</f>
        <v>230849.1810381469</v>
      </c>
      <c r="G3253" s="15" t="str">
        <f>VLOOKUP(B3253,SPECIFICATIONF!$C$2:$D$65,2,0)</f>
        <v>GLOBAL RETAIL</v>
      </c>
      <c r="H3253" s="12">
        <f t="shared" si="318"/>
        <v>3</v>
      </c>
      <c r="I3253" s="12">
        <f t="shared" si="319"/>
        <v>2026</v>
      </c>
    </row>
    <row r="3254" spans="1:9" ht="19.5" customHeight="1" x14ac:dyDescent="0.35">
      <c r="A3254" s="41">
        <v>46107</v>
      </c>
      <c r="B3254" s="8" t="s">
        <v>24</v>
      </c>
      <c r="C3254" s="42" t="s">
        <v>33</v>
      </c>
      <c r="D3254" s="43" t="s">
        <v>29</v>
      </c>
      <c r="E3254" s="46">
        <v>0</v>
      </c>
      <c r="F3254" s="2">
        <f>IF(C3254="GBP",E3254*$C$3,IF(C3254="TRY",E3254/$C$1,IF(C3254="EUR",E3254*$E$1,IF(C3254="RUB",E3254/#REF!,IF(C3254="EGP",E3254/$E$2,E3254)))))</f>
        <v>0</v>
      </c>
      <c r="G3254" s="15" t="str">
        <f>VLOOKUP(B3254,SPECIFICATIONF!$C$2:$D$65,2,0)</f>
        <v>GLOBAL RETAIL</v>
      </c>
      <c r="H3254" s="12">
        <f t="shared" si="318"/>
        <v>3</v>
      </c>
      <c r="I3254" s="12">
        <f t="shared" si="319"/>
        <v>2026</v>
      </c>
    </row>
    <row r="3255" spans="1:9" ht="19.5" customHeight="1" x14ac:dyDescent="0.35">
      <c r="A3255" s="41">
        <v>46108</v>
      </c>
      <c r="B3255" s="8" t="s">
        <v>32</v>
      </c>
      <c r="C3255" s="42" t="s">
        <v>11</v>
      </c>
      <c r="D3255" s="43" t="s">
        <v>30</v>
      </c>
      <c r="E3255" s="46">
        <v>798219.73</v>
      </c>
      <c r="F3255" s="2">
        <f>IF(C3255="GBP",E3255*$C$3,IF(C3255="TRY",E3255/$C$1,IF(C3255="EUR",E3255*$E$1,IF(C3255="RUB",E3255/#REF!,IF(C3255="EGP",E3255/$E$2,E3255)))))</f>
        <v>21888.883617746502</v>
      </c>
      <c r="G3255" s="15" t="str">
        <f>VLOOKUP(B3255,SPECIFICATIONF!$C$2:$D$65,2,0)</f>
        <v>GLOBAL HFT</v>
      </c>
      <c r="H3255" s="12">
        <f t="shared" ref="H3255:H3262" si="320">MONTH(A3255)</f>
        <v>3</v>
      </c>
      <c r="I3255" s="12">
        <f t="shared" ref="I3255:I3262" si="321">YEAR(A3255)</f>
        <v>2026</v>
      </c>
    </row>
    <row r="3256" spans="1:9" ht="19.5" customHeight="1" x14ac:dyDescent="0.35">
      <c r="A3256" s="41">
        <v>46108</v>
      </c>
      <c r="B3256" s="8" t="s">
        <v>32</v>
      </c>
      <c r="C3256" s="42" t="s">
        <v>33</v>
      </c>
      <c r="D3256" s="43" t="s">
        <v>30</v>
      </c>
      <c r="E3256" s="46">
        <v>4147.1899999999996</v>
      </c>
      <c r="F3256" s="2">
        <f>IF(C3256="GBP",E3256*$C$3,IF(C3256="TRY",E3256/$C$1,IF(C3256="EUR",E3256*$E$1,IF(C3256="RUB",E3256/#REF!,IF(C3256="EGP",E3256/$E$2,E3256)))))</f>
        <v>4147.1899999999996</v>
      </c>
      <c r="G3256" s="15" t="str">
        <f>VLOOKUP(B3256,SPECIFICATIONF!$C$2:$D$65,2,0)</f>
        <v>GLOBAL HFT</v>
      </c>
      <c r="H3256" s="12">
        <f t="shared" si="320"/>
        <v>3</v>
      </c>
      <c r="I3256" s="12">
        <f t="shared" si="321"/>
        <v>2026</v>
      </c>
    </row>
    <row r="3257" spans="1:9" ht="19.5" customHeight="1" x14ac:dyDescent="0.35">
      <c r="A3257" s="41">
        <v>46108</v>
      </c>
      <c r="B3257" s="8" t="s">
        <v>32</v>
      </c>
      <c r="C3257" s="42" t="s">
        <v>11</v>
      </c>
      <c r="D3257" s="43" t="s">
        <v>29</v>
      </c>
      <c r="E3257" s="46">
        <v>2759472581</v>
      </c>
      <c r="F3257" s="2">
        <v>0</v>
      </c>
      <c r="G3257" s="15" t="s">
        <v>24</v>
      </c>
      <c r="H3257" s="12">
        <f t="shared" si="320"/>
        <v>3</v>
      </c>
      <c r="I3257" s="12">
        <f t="shared" si="321"/>
        <v>2026</v>
      </c>
    </row>
    <row r="3258" spans="1:9" ht="19.5" customHeight="1" x14ac:dyDescent="0.35">
      <c r="A3258" s="41">
        <v>46108</v>
      </c>
      <c r="B3258" s="8" t="s">
        <v>32</v>
      </c>
      <c r="C3258" s="42" t="s">
        <v>33</v>
      </c>
      <c r="D3258" s="43" t="s">
        <v>29</v>
      </c>
      <c r="E3258" s="46">
        <v>12812812</v>
      </c>
      <c r="F3258" s="2">
        <v>0</v>
      </c>
      <c r="G3258" s="15" t="s">
        <v>24</v>
      </c>
      <c r="H3258" s="12">
        <f t="shared" si="320"/>
        <v>3</v>
      </c>
      <c r="I3258" s="12">
        <f t="shared" si="321"/>
        <v>2026</v>
      </c>
    </row>
    <row r="3259" spans="1:9" ht="19.5" customHeight="1" x14ac:dyDescent="0.35">
      <c r="A3259" s="41">
        <v>46108</v>
      </c>
      <c r="B3259" s="8" t="s">
        <v>24</v>
      </c>
      <c r="C3259" s="42" t="s">
        <v>11</v>
      </c>
      <c r="D3259" s="43" t="s">
        <v>30</v>
      </c>
      <c r="E3259" s="46">
        <v>0</v>
      </c>
      <c r="F3259" s="2">
        <f>IF(C3259="GBP",E3259*$C$3,IF(C3259="TRY",E3259/$C$1,IF(C3259="EUR",E3259*$E$1,IF(C3259="RUB",E3259/#REF!,IF(C3259="EGP",E3259/$E$2,E3259)))))</f>
        <v>0</v>
      </c>
      <c r="G3259" s="15" t="str">
        <f>VLOOKUP(B3259,SPECIFICATIONF!$C$2:$D$65,2,0)</f>
        <v>GLOBAL RETAIL</v>
      </c>
      <c r="H3259" s="12">
        <f t="shared" si="320"/>
        <v>3</v>
      </c>
      <c r="I3259" s="12">
        <f t="shared" si="321"/>
        <v>2026</v>
      </c>
    </row>
    <row r="3260" spans="1:9" ht="19.5" customHeight="1" x14ac:dyDescent="0.35">
      <c r="A3260" s="41">
        <v>46108</v>
      </c>
      <c r="B3260" s="8" t="s">
        <v>24</v>
      </c>
      <c r="C3260" s="42" t="s">
        <v>33</v>
      </c>
      <c r="D3260" s="43" t="s">
        <v>30</v>
      </c>
      <c r="E3260" s="46">
        <v>0</v>
      </c>
      <c r="F3260" s="2">
        <f>IF(C3260="GBP",E3260*$C$3,IF(C3260="TRY",E3260/$C$1,IF(C3260="EUR",E3260*$E$1,IF(C3260="RUB",E3260/#REF!,IF(C3260="EGP",E3260/$E$2,E3260)))))</f>
        <v>0</v>
      </c>
      <c r="G3260" s="15" t="str">
        <f>VLOOKUP(B3260,SPECIFICATIONF!$C$2:$D$65,2,0)</f>
        <v>GLOBAL RETAIL</v>
      </c>
      <c r="H3260" s="12">
        <f t="shared" si="320"/>
        <v>3</v>
      </c>
      <c r="I3260" s="12">
        <f t="shared" si="321"/>
        <v>2026</v>
      </c>
    </row>
    <row r="3261" spans="1:9" ht="19.5" customHeight="1" x14ac:dyDescent="0.35">
      <c r="A3261" s="41">
        <v>46108</v>
      </c>
      <c r="B3261" s="8" t="s">
        <v>24</v>
      </c>
      <c r="C3261" s="42" t="s">
        <v>11</v>
      </c>
      <c r="D3261" s="43" t="s">
        <v>29</v>
      </c>
      <c r="E3261" s="46">
        <v>2484105</v>
      </c>
      <c r="F3261" s="2">
        <f>IF(C3261="GBP",E3261*$C$3,IF(C3261="TRY",E3261/$C$1,IF(C3261="EUR",E3261*$E$1,IF(C3261="RUB",E3261/#REF!,IF(C3261="EGP",E3261/$E$2,E3261)))))</f>
        <v>68119.445305194575</v>
      </c>
      <c r="G3261" s="15" t="str">
        <f>VLOOKUP(B3261,SPECIFICATIONF!$C$2:$D$65,2,0)</f>
        <v>GLOBAL RETAIL</v>
      </c>
      <c r="H3261" s="12">
        <f t="shared" si="320"/>
        <v>3</v>
      </c>
      <c r="I3261" s="12">
        <f t="shared" si="321"/>
        <v>2026</v>
      </c>
    </row>
    <row r="3262" spans="1:9" ht="19.5" customHeight="1" x14ac:dyDescent="0.35">
      <c r="A3262" s="41">
        <v>46108</v>
      </c>
      <c r="B3262" s="8" t="s">
        <v>24</v>
      </c>
      <c r="C3262" s="42" t="s">
        <v>33</v>
      </c>
      <c r="D3262" s="43" t="s">
        <v>29</v>
      </c>
      <c r="E3262" s="46">
        <v>0</v>
      </c>
      <c r="F3262" s="2">
        <f>IF(C3262="GBP",E3262*$C$3,IF(C3262="TRY",E3262/$C$1,IF(C3262="EUR",E3262*$E$1,IF(C3262="RUB",E3262/#REF!,IF(C3262="EGP",E3262/$E$2,E3262)))))</f>
        <v>0</v>
      </c>
      <c r="G3262" s="15" t="str">
        <f>VLOOKUP(B3262,SPECIFICATIONF!$C$2:$D$65,2,0)</f>
        <v>GLOBAL RETAIL</v>
      </c>
      <c r="H3262" s="12">
        <f t="shared" si="320"/>
        <v>3</v>
      </c>
      <c r="I3262" s="12">
        <f t="shared" si="321"/>
        <v>2026</v>
      </c>
    </row>
    <row r="3263" spans="1:9" ht="19.5" customHeight="1" x14ac:dyDescent="0.35">
      <c r="A3263" s="41">
        <v>46109</v>
      </c>
      <c r="B3263" s="8" t="s">
        <v>32</v>
      </c>
      <c r="C3263" s="42" t="s">
        <v>11</v>
      </c>
      <c r="D3263" s="43" t="s">
        <v>30</v>
      </c>
      <c r="E3263" s="46">
        <v>593240.11</v>
      </c>
      <c r="F3263" s="2">
        <f>IF(C3263="GBP",E3263*$C$3,IF(C3263="TRY",E3263/$C$1,IF(C3263="EUR",E3263*$E$1,IF(C3263="RUB",E3263/#REF!,IF(C3263="EGP",E3263/$E$2,E3263)))))</f>
        <v>16267.9062382599</v>
      </c>
      <c r="G3263" s="15" t="str">
        <f>VLOOKUP(B3263,SPECIFICATIONF!$C$2:$D$65,2,0)</f>
        <v>GLOBAL HFT</v>
      </c>
      <c r="H3263" s="12">
        <f t="shared" ref="H3263:H3286" si="322">MONTH(A3263)</f>
        <v>3</v>
      </c>
      <c r="I3263" s="12">
        <f t="shared" ref="I3263:I3286" si="323">YEAR(A3263)</f>
        <v>2026</v>
      </c>
    </row>
    <row r="3264" spans="1:9" ht="19.5" customHeight="1" x14ac:dyDescent="0.35">
      <c r="A3264" s="41">
        <v>46109</v>
      </c>
      <c r="B3264" s="8" t="s">
        <v>32</v>
      </c>
      <c r="C3264" s="42" t="s">
        <v>33</v>
      </c>
      <c r="D3264" s="43" t="s">
        <v>30</v>
      </c>
      <c r="E3264" s="46">
        <v>2810.71</v>
      </c>
      <c r="F3264" s="2">
        <f>IF(C3264="GBP",E3264*$C$3,IF(C3264="TRY",E3264/$C$1,IF(C3264="EUR",E3264*$E$1,IF(C3264="RUB",E3264/#REF!,IF(C3264="EGP",E3264/$E$2,E3264)))))</f>
        <v>2810.71</v>
      </c>
      <c r="G3264" s="15" t="str">
        <f>VLOOKUP(B3264,SPECIFICATIONF!$C$2:$D$65,2,0)</f>
        <v>GLOBAL HFT</v>
      </c>
      <c r="H3264" s="12">
        <f t="shared" si="322"/>
        <v>3</v>
      </c>
      <c r="I3264" s="12">
        <f t="shared" si="323"/>
        <v>2026</v>
      </c>
    </row>
    <row r="3265" spans="1:9" ht="19.5" customHeight="1" x14ac:dyDescent="0.35">
      <c r="A3265" s="41">
        <v>46109</v>
      </c>
      <c r="B3265" s="8" t="s">
        <v>32</v>
      </c>
      <c r="C3265" s="42" t="s">
        <v>11</v>
      </c>
      <c r="D3265" s="43" t="s">
        <v>29</v>
      </c>
      <c r="E3265" s="46">
        <v>2078787573</v>
      </c>
      <c r="F3265" s="2">
        <v>0</v>
      </c>
      <c r="G3265" s="15" t="s">
        <v>24</v>
      </c>
      <c r="H3265" s="12">
        <f t="shared" si="322"/>
        <v>3</v>
      </c>
      <c r="I3265" s="12">
        <f t="shared" si="323"/>
        <v>2026</v>
      </c>
    </row>
    <row r="3266" spans="1:9" ht="19.5" customHeight="1" x14ac:dyDescent="0.35">
      <c r="A3266" s="41">
        <v>46109</v>
      </c>
      <c r="B3266" s="8" t="s">
        <v>32</v>
      </c>
      <c r="C3266" s="42" t="s">
        <v>33</v>
      </c>
      <c r="D3266" s="43" t="s">
        <v>29</v>
      </c>
      <c r="E3266" s="46">
        <v>8889489</v>
      </c>
      <c r="F3266" s="2">
        <v>0</v>
      </c>
      <c r="G3266" s="15" t="s">
        <v>24</v>
      </c>
      <c r="H3266" s="12">
        <f t="shared" si="322"/>
        <v>3</v>
      </c>
      <c r="I3266" s="12">
        <f t="shared" si="323"/>
        <v>2026</v>
      </c>
    </row>
    <row r="3267" spans="1:9" ht="19.5" customHeight="1" x14ac:dyDescent="0.35">
      <c r="A3267" s="41">
        <v>46109</v>
      </c>
      <c r="B3267" s="8" t="s">
        <v>24</v>
      </c>
      <c r="C3267" s="42" t="s">
        <v>11</v>
      </c>
      <c r="D3267" s="43" t="s">
        <v>30</v>
      </c>
      <c r="E3267" s="46">
        <v>0</v>
      </c>
      <c r="F3267" s="2">
        <f>IF(C3267="GBP",E3267*$C$3,IF(C3267="TRY",E3267/$C$1,IF(C3267="EUR",E3267*$E$1,IF(C3267="RUB",E3267/#REF!,IF(C3267="EGP",E3267/$E$2,E3267)))))</f>
        <v>0</v>
      </c>
      <c r="G3267" s="15" t="str">
        <f>VLOOKUP(B3267,SPECIFICATIONF!$C$2:$D$65,2,0)</f>
        <v>GLOBAL RETAIL</v>
      </c>
      <c r="H3267" s="12">
        <f t="shared" si="322"/>
        <v>3</v>
      </c>
      <c r="I3267" s="12">
        <f t="shared" si="323"/>
        <v>2026</v>
      </c>
    </row>
    <row r="3268" spans="1:9" ht="19.5" customHeight="1" x14ac:dyDescent="0.35">
      <c r="A3268" s="41">
        <v>46109</v>
      </c>
      <c r="B3268" s="8" t="s">
        <v>24</v>
      </c>
      <c r="C3268" s="42" t="s">
        <v>33</v>
      </c>
      <c r="D3268" s="43" t="s">
        <v>30</v>
      </c>
      <c r="E3268" s="46">
        <v>0</v>
      </c>
      <c r="F3268" s="2">
        <f>IF(C3268="GBP",E3268*$C$3,IF(C3268="TRY",E3268/$C$1,IF(C3268="EUR",E3268*$E$1,IF(C3268="RUB",E3268/#REF!,IF(C3268="EGP",E3268/$E$2,E3268)))))</f>
        <v>0</v>
      </c>
      <c r="G3268" s="15" t="str">
        <f>VLOOKUP(B3268,SPECIFICATIONF!$C$2:$D$65,2,0)</f>
        <v>GLOBAL RETAIL</v>
      </c>
      <c r="H3268" s="12">
        <f t="shared" si="322"/>
        <v>3</v>
      </c>
      <c r="I3268" s="12">
        <f t="shared" si="323"/>
        <v>2026</v>
      </c>
    </row>
    <row r="3269" spans="1:9" ht="19.5" customHeight="1" x14ac:dyDescent="0.35">
      <c r="A3269" s="41">
        <v>46109</v>
      </c>
      <c r="B3269" s="8" t="s">
        <v>24</v>
      </c>
      <c r="C3269" s="42" t="s">
        <v>11</v>
      </c>
      <c r="D3269" s="43" t="s">
        <v>29</v>
      </c>
      <c r="E3269" s="46">
        <v>6539163</v>
      </c>
      <c r="F3269" s="2">
        <f>IF(C3269="GBP",E3269*$C$3,IF(C3269="TRY",E3269/$C$1,IF(C3269="EUR",E3269*$E$1,IF(C3269="RUB",E3269/#REF!,IF(C3269="EGP",E3269/$E$2,E3269)))))</f>
        <v>179317.76487719</v>
      </c>
      <c r="G3269" s="15" t="str">
        <f>VLOOKUP(B3269,SPECIFICATIONF!$C$2:$D$65,2,0)</f>
        <v>GLOBAL RETAIL</v>
      </c>
      <c r="H3269" s="12">
        <f t="shared" si="322"/>
        <v>3</v>
      </c>
      <c r="I3269" s="12">
        <f t="shared" si="323"/>
        <v>2026</v>
      </c>
    </row>
    <row r="3270" spans="1:9" ht="19.5" customHeight="1" x14ac:dyDescent="0.35">
      <c r="A3270" s="41">
        <v>46109</v>
      </c>
      <c r="B3270" s="8" t="s">
        <v>24</v>
      </c>
      <c r="C3270" s="42" t="s">
        <v>33</v>
      </c>
      <c r="D3270" s="43" t="s">
        <v>29</v>
      </c>
      <c r="E3270" s="46">
        <v>0</v>
      </c>
      <c r="F3270" s="2">
        <f>IF(C3270="GBP",E3270*$C$3,IF(C3270="TRY",E3270/$C$1,IF(C3270="EUR",E3270*$E$1,IF(C3270="RUB",E3270/#REF!,IF(C3270="EGP",E3270/$E$2,E3270)))))</f>
        <v>0</v>
      </c>
      <c r="G3270" s="15" t="str">
        <f>VLOOKUP(B3270,SPECIFICATIONF!$C$2:$D$65,2,0)</f>
        <v>GLOBAL RETAIL</v>
      </c>
      <c r="H3270" s="12">
        <f t="shared" si="322"/>
        <v>3</v>
      </c>
      <c r="I3270" s="12">
        <f t="shared" si="323"/>
        <v>2026</v>
      </c>
    </row>
    <row r="3271" spans="1:9" ht="19.5" customHeight="1" x14ac:dyDescent="0.35">
      <c r="A3271" s="41">
        <v>46110</v>
      </c>
      <c r="B3271" s="8" t="s">
        <v>32</v>
      </c>
      <c r="C3271" s="42" t="s">
        <v>11</v>
      </c>
      <c r="D3271" s="43" t="s">
        <v>30</v>
      </c>
      <c r="E3271" s="46">
        <v>614992.17000000004</v>
      </c>
      <c r="F3271" s="2">
        <f>IF(C3271="GBP",E3271*$C$3,IF(C3271="TRY",E3271/$C$1,IF(C3271="EUR",E3271*$E$1,IF(C3271="RUB",E3271/#REF!,IF(C3271="EGP",E3271/$E$2,E3271)))))</f>
        <v>16864.394012104127</v>
      </c>
      <c r="G3271" s="15" t="str">
        <f>VLOOKUP(B3271,SPECIFICATIONF!$C$2:$D$65,2,0)</f>
        <v>GLOBAL HFT</v>
      </c>
      <c r="H3271" s="12">
        <f t="shared" si="322"/>
        <v>3</v>
      </c>
      <c r="I3271" s="12">
        <f t="shared" si="323"/>
        <v>2026</v>
      </c>
    </row>
    <row r="3272" spans="1:9" ht="19.5" customHeight="1" x14ac:dyDescent="0.35">
      <c r="A3272" s="41">
        <v>46110</v>
      </c>
      <c r="B3272" s="8" t="s">
        <v>32</v>
      </c>
      <c r="C3272" s="42" t="s">
        <v>33</v>
      </c>
      <c r="D3272" s="43" t="s">
        <v>30</v>
      </c>
      <c r="E3272" s="46">
        <v>2181.96</v>
      </c>
      <c r="F3272" s="2">
        <f>IF(C3272="GBP",E3272*$C$3,IF(C3272="TRY",E3272/$C$1,IF(C3272="EUR",E3272*$E$1,IF(C3272="RUB",E3272/#REF!,IF(C3272="EGP",E3272/$E$2,E3272)))))</f>
        <v>2181.96</v>
      </c>
      <c r="G3272" s="15" t="str">
        <f>VLOOKUP(B3272,SPECIFICATIONF!$C$2:$D$65,2,0)</f>
        <v>GLOBAL HFT</v>
      </c>
      <c r="H3272" s="12">
        <f t="shared" si="322"/>
        <v>3</v>
      </c>
      <c r="I3272" s="12">
        <f t="shared" si="323"/>
        <v>2026</v>
      </c>
    </row>
    <row r="3273" spans="1:9" ht="19.5" customHeight="1" x14ac:dyDescent="0.35">
      <c r="A3273" s="41">
        <v>46110</v>
      </c>
      <c r="B3273" s="8" t="s">
        <v>32</v>
      </c>
      <c r="C3273" s="42" t="s">
        <v>11</v>
      </c>
      <c r="D3273" s="43" t="s">
        <v>29</v>
      </c>
      <c r="E3273" s="46">
        <v>2095625249</v>
      </c>
      <c r="F3273" s="2">
        <v>0</v>
      </c>
      <c r="G3273" s="15" t="s">
        <v>24</v>
      </c>
      <c r="H3273" s="12">
        <f t="shared" si="322"/>
        <v>3</v>
      </c>
      <c r="I3273" s="12">
        <f t="shared" si="323"/>
        <v>2026</v>
      </c>
    </row>
    <row r="3274" spans="1:9" ht="19.5" customHeight="1" x14ac:dyDescent="0.35">
      <c r="A3274" s="41">
        <v>46110</v>
      </c>
      <c r="B3274" s="8" t="s">
        <v>32</v>
      </c>
      <c r="C3274" s="42" t="s">
        <v>33</v>
      </c>
      <c r="D3274" s="43" t="s">
        <v>29</v>
      </c>
      <c r="E3274" s="46">
        <v>7212377</v>
      </c>
      <c r="F3274" s="2">
        <v>0</v>
      </c>
      <c r="G3274" s="15" t="s">
        <v>24</v>
      </c>
      <c r="H3274" s="12">
        <f t="shared" si="322"/>
        <v>3</v>
      </c>
      <c r="I3274" s="12">
        <f t="shared" si="323"/>
        <v>2026</v>
      </c>
    </row>
    <row r="3275" spans="1:9" ht="19.5" customHeight="1" x14ac:dyDescent="0.35">
      <c r="A3275" s="41">
        <v>46110</v>
      </c>
      <c r="B3275" s="8" t="s">
        <v>24</v>
      </c>
      <c r="C3275" s="42" t="s">
        <v>11</v>
      </c>
      <c r="D3275" s="43" t="s">
        <v>30</v>
      </c>
      <c r="E3275" s="46">
        <v>0</v>
      </c>
      <c r="F3275" s="2">
        <f>IF(C3275="GBP",E3275*$C$3,IF(C3275="TRY",E3275/$C$1,IF(C3275="EUR",E3275*$E$1,IF(C3275="RUB",E3275/#REF!,IF(C3275="EGP",E3275/$E$2,E3275)))))</f>
        <v>0</v>
      </c>
      <c r="G3275" s="15" t="str">
        <f>VLOOKUP(B3275,SPECIFICATIONF!$C$2:$D$65,2,0)</f>
        <v>GLOBAL RETAIL</v>
      </c>
      <c r="H3275" s="12">
        <f t="shared" si="322"/>
        <v>3</v>
      </c>
      <c r="I3275" s="12">
        <f t="shared" si="323"/>
        <v>2026</v>
      </c>
    </row>
    <row r="3276" spans="1:9" ht="19.5" customHeight="1" x14ac:dyDescent="0.35">
      <c r="A3276" s="41">
        <v>46110</v>
      </c>
      <c r="B3276" s="8" t="s">
        <v>24</v>
      </c>
      <c r="C3276" s="42" t="s">
        <v>33</v>
      </c>
      <c r="D3276" s="43" t="s">
        <v>30</v>
      </c>
      <c r="E3276" s="46">
        <v>0</v>
      </c>
      <c r="F3276" s="2">
        <f>IF(C3276="GBP",E3276*$C$3,IF(C3276="TRY",E3276/$C$1,IF(C3276="EUR",E3276*$E$1,IF(C3276="RUB",E3276/#REF!,IF(C3276="EGP",E3276/$E$2,E3276)))))</f>
        <v>0</v>
      </c>
      <c r="G3276" s="15" t="str">
        <f>VLOOKUP(B3276,SPECIFICATIONF!$C$2:$D$65,2,0)</f>
        <v>GLOBAL RETAIL</v>
      </c>
      <c r="H3276" s="12">
        <f t="shared" si="322"/>
        <v>3</v>
      </c>
      <c r="I3276" s="12">
        <f t="shared" si="323"/>
        <v>2026</v>
      </c>
    </row>
    <row r="3277" spans="1:9" ht="19.5" customHeight="1" x14ac:dyDescent="0.35">
      <c r="A3277" s="41">
        <v>46110</v>
      </c>
      <c r="B3277" s="8" t="s">
        <v>24</v>
      </c>
      <c r="C3277" s="42" t="s">
        <v>11</v>
      </c>
      <c r="D3277" s="43" t="s">
        <v>29</v>
      </c>
      <c r="E3277" s="46">
        <v>95512743</v>
      </c>
      <c r="F3277" s="2">
        <f>IF(C3277="GBP",E3277*$C$3,IF(C3277="TRY",E3277/$C$1,IF(C3277="EUR",E3277*$E$1,IF(C3277="RUB",E3277/#REF!,IF(C3277="EGP",E3277/$E$2,E3277)))))</f>
        <v>2619162.6653211541</v>
      </c>
      <c r="G3277" s="15" t="str">
        <f>VLOOKUP(B3277,SPECIFICATIONF!$C$2:$D$65,2,0)</f>
        <v>GLOBAL RETAIL</v>
      </c>
      <c r="H3277" s="12">
        <f t="shared" si="322"/>
        <v>3</v>
      </c>
      <c r="I3277" s="12">
        <f t="shared" si="323"/>
        <v>2026</v>
      </c>
    </row>
    <row r="3278" spans="1:9" ht="19.5" customHeight="1" x14ac:dyDescent="0.35">
      <c r="A3278" s="41">
        <v>46110</v>
      </c>
      <c r="B3278" s="8" t="s">
        <v>24</v>
      </c>
      <c r="C3278" s="42" t="s">
        <v>33</v>
      </c>
      <c r="D3278" s="43" t="s">
        <v>29</v>
      </c>
      <c r="E3278" s="46">
        <v>0</v>
      </c>
      <c r="F3278" s="2">
        <f>IF(C3278="GBP",E3278*$C$3,IF(C3278="TRY",E3278/$C$1,IF(C3278="EUR",E3278*$E$1,IF(C3278="RUB",E3278/#REF!,IF(C3278="EGP",E3278/$E$2,E3278)))))</f>
        <v>0</v>
      </c>
      <c r="G3278" s="15" t="str">
        <f>VLOOKUP(B3278,SPECIFICATIONF!$C$2:$D$65,2,0)</f>
        <v>GLOBAL RETAIL</v>
      </c>
      <c r="H3278" s="12">
        <f t="shared" si="322"/>
        <v>3</v>
      </c>
      <c r="I3278" s="12">
        <f t="shared" si="323"/>
        <v>2026</v>
      </c>
    </row>
    <row r="3279" spans="1:9" ht="19.5" customHeight="1" x14ac:dyDescent="0.35">
      <c r="A3279" s="41">
        <v>46111</v>
      </c>
      <c r="B3279" s="8" t="s">
        <v>32</v>
      </c>
      <c r="C3279" s="42" t="s">
        <v>11</v>
      </c>
      <c r="D3279" s="43" t="s">
        <v>30</v>
      </c>
      <c r="E3279" s="46">
        <v>895049.07</v>
      </c>
      <c r="F3279" s="2">
        <f>IF(C3279="GBP",E3279*$C$3,IF(C3279="TRY",E3279/$C$1,IF(C3279="EUR",E3279*$E$1,IF(C3279="RUB",E3279/#REF!,IF(C3279="EGP",E3279/$E$2,E3279)))))</f>
        <v>24544.150174541843</v>
      </c>
      <c r="G3279" s="15" t="str">
        <f>VLOOKUP(B3279,SPECIFICATIONF!$C$2:$D$65,2,0)</f>
        <v>GLOBAL HFT</v>
      </c>
      <c r="H3279" s="12">
        <f t="shared" si="322"/>
        <v>3</v>
      </c>
      <c r="I3279" s="12">
        <f t="shared" si="323"/>
        <v>2026</v>
      </c>
    </row>
    <row r="3280" spans="1:9" ht="19.5" customHeight="1" x14ac:dyDescent="0.35">
      <c r="A3280" s="41">
        <v>46111</v>
      </c>
      <c r="B3280" s="8" t="s">
        <v>32</v>
      </c>
      <c r="C3280" s="42" t="s">
        <v>33</v>
      </c>
      <c r="D3280" s="43" t="s">
        <v>30</v>
      </c>
      <c r="E3280" s="46">
        <v>4243.1000000000004</v>
      </c>
      <c r="F3280" s="2">
        <f>IF(C3280="GBP",E3280*$C$3,IF(C3280="TRY",E3280/$C$1,IF(C3280="EUR",E3280*$E$1,IF(C3280="RUB",E3280/#REF!,IF(C3280="EGP",E3280/$E$2,E3280)))))</f>
        <v>4243.1000000000004</v>
      </c>
      <c r="G3280" s="15" t="str">
        <f>VLOOKUP(B3280,SPECIFICATIONF!$C$2:$D$65,2,0)</f>
        <v>GLOBAL HFT</v>
      </c>
      <c r="H3280" s="12">
        <f t="shared" si="322"/>
        <v>3</v>
      </c>
      <c r="I3280" s="12">
        <f t="shared" si="323"/>
        <v>2026</v>
      </c>
    </row>
    <row r="3281" spans="1:9" ht="19.5" customHeight="1" x14ac:dyDescent="0.35">
      <c r="A3281" s="41">
        <v>46111</v>
      </c>
      <c r="B3281" s="8" t="s">
        <v>32</v>
      </c>
      <c r="C3281" s="42" t="s">
        <v>11</v>
      </c>
      <c r="D3281" s="43" t="s">
        <v>29</v>
      </c>
      <c r="E3281" s="46">
        <v>2839283194</v>
      </c>
      <c r="F3281" s="2">
        <v>0</v>
      </c>
      <c r="G3281" s="15" t="s">
        <v>24</v>
      </c>
      <c r="H3281" s="12">
        <f t="shared" si="322"/>
        <v>3</v>
      </c>
      <c r="I3281" s="12">
        <f t="shared" si="323"/>
        <v>2026</v>
      </c>
    </row>
    <row r="3282" spans="1:9" ht="19.5" customHeight="1" x14ac:dyDescent="0.35">
      <c r="A3282" s="41">
        <v>46111</v>
      </c>
      <c r="B3282" s="8" t="s">
        <v>32</v>
      </c>
      <c r="C3282" s="42" t="s">
        <v>33</v>
      </c>
      <c r="D3282" s="43" t="s">
        <v>29</v>
      </c>
      <c r="E3282" s="46">
        <v>13492934</v>
      </c>
      <c r="F3282" s="2">
        <v>0</v>
      </c>
      <c r="G3282" s="15" t="s">
        <v>24</v>
      </c>
      <c r="H3282" s="12">
        <f t="shared" si="322"/>
        <v>3</v>
      </c>
      <c r="I3282" s="12">
        <f t="shared" si="323"/>
        <v>2026</v>
      </c>
    </row>
    <row r="3283" spans="1:9" ht="19.5" customHeight="1" x14ac:dyDescent="0.35">
      <c r="A3283" s="41">
        <v>46111</v>
      </c>
      <c r="B3283" s="8" t="s">
        <v>24</v>
      </c>
      <c r="C3283" s="42" t="s">
        <v>11</v>
      </c>
      <c r="D3283" s="43" t="s">
        <v>30</v>
      </c>
      <c r="E3283" s="46">
        <v>0</v>
      </c>
      <c r="F3283" s="2">
        <f>IF(C3283="GBP",E3283*$C$3,IF(C3283="TRY",E3283/$C$1,IF(C3283="EUR",E3283*$E$1,IF(C3283="RUB",E3283/#REF!,IF(C3283="EGP",E3283/$E$2,E3283)))))</f>
        <v>0</v>
      </c>
      <c r="G3283" s="15" t="str">
        <f>VLOOKUP(B3283,SPECIFICATIONF!$C$2:$D$65,2,0)</f>
        <v>GLOBAL RETAIL</v>
      </c>
      <c r="H3283" s="12">
        <f t="shared" si="322"/>
        <v>3</v>
      </c>
      <c r="I3283" s="12">
        <f t="shared" si="323"/>
        <v>2026</v>
      </c>
    </row>
    <row r="3284" spans="1:9" ht="19.5" customHeight="1" x14ac:dyDescent="0.35">
      <c r="A3284" s="41">
        <v>46111</v>
      </c>
      <c r="B3284" s="8" t="s">
        <v>24</v>
      </c>
      <c r="C3284" s="42" t="s">
        <v>33</v>
      </c>
      <c r="D3284" s="43" t="s">
        <v>30</v>
      </c>
      <c r="E3284" s="46">
        <v>0</v>
      </c>
      <c r="F3284" s="2">
        <f>IF(C3284="GBP",E3284*$C$3,IF(C3284="TRY",E3284/$C$1,IF(C3284="EUR",E3284*$E$1,IF(C3284="RUB",E3284/#REF!,IF(C3284="EGP",E3284/$E$2,E3284)))))</f>
        <v>0</v>
      </c>
      <c r="G3284" s="15" t="str">
        <f>VLOOKUP(B3284,SPECIFICATIONF!$C$2:$D$65,2,0)</f>
        <v>GLOBAL RETAIL</v>
      </c>
      <c r="H3284" s="12">
        <f t="shared" si="322"/>
        <v>3</v>
      </c>
      <c r="I3284" s="12">
        <f t="shared" si="323"/>
        <v>2026</v>
      </c>
    </row>
    <row r="3285" spans="1:9" ht="19.5" customHeight="1" x14ac:dyDescent="0.35">
      <c r="A3285" s="41">
        <v>46111</v>
      </c>
      <c r="B3285" s="8" t="s">
        <v>24</v>
      </c>
      <c r="C3285" s="42" t="s">
        <v>11</v>
      </c>
      <c r="D3285" s="43" t="s">
        <v>29</v>
      </c>
      <c r="E3285" s="46">
        <v>22379413</v>
      </c>
      <c r="F3285" s="2">
        <f>IF(C3285="GBP",E3285*$C$3,IF(C3285="TRY",E3285/$C$1,IF(C3285="EUR",E3285*$E$1,IF(C3285="RUB",E3285/#REF!,IF(C3285="EGP",E3285/$E$2,E3285)))))</f>
        <v>613691.12811892421</v>
      </c>
      <c r="G3285" s="15" t="str">
        <f>VLOOKUP(B3285,SPECIFICATIONF!$C$2:$D$65,2,0)</f>
        <v>GLOBAL RETAIL</v>
      </c>
      <c r="H3285" s="12">
        <f t="shared" si="322"/>
        <v>3</v>
      </c>
      <c r="I3285" s="12">
        <f t="shared" si="323"/>
        <v>2026</v>
      </c>
    </row>
    <row r="3286" spans="1:9" ht="19.5" customHeight="1" x14ac:dyDescent="0.35">
      <c r="A3286" s="41">
        <v>46111</v>
      </c>
      <c r="B3286" s="8" t="s">
        <v>24</v>
      </c>
      <c r="C3286" s="42" t="s">
        <v>33</v>
      </c>
      <c r="D3286" s="43" t="s">
        <v>29</v>
      </c>
      <c r="E3286" s="46">
        <v>0</v>
      </c>
      <c r="F3286" s="2">
        <f>IF(C3286="GBP",E3286*$C$3,IF(C3286="TRY",E3286/$C$1,IF(C3286="EUR",E3286*$E$1,IF(C3286="RUB",E3286/#REF!,IF(C3286="EGP",E3286/$E$2,E3286)))))</f>
        <v>0</v>
      </c>
      <c r="G3286" s="15" t="str">
        <f>VLOOKUP(B3286,SPECIFICATIONF!$C$2:$D$65,2,0)</f>
        <v>GLOBAL RETAIL</v>
      </c>
      <c r="H3286" s="12">
        <f t="shared" si="322"/>
        <v>3</v>
      </c>
      <c r="I3286" s="12">
        <f t="shared" si="323"/>
        <v>2026</v>
      </c>
    </row>
    <row r="3287" spans="1:9" ht="19.5" customHeight="1" x14ac:dyDescent="0.35">
      <c r="A3287" s="41">
        <v>46112</v>
      </c>
      <c r="B3287" s="8" t="s">
        <v>32</v>
      </c>
      <c r="C3287" s="42" t="s">
        <v>11</v>
      </c>
      <c r="D3287" s="43" t="s">
        <v>30</v>
      </c>
      <c r="E3287" s="46">
        <v>789785.18</v>
      </c>
      <c r="F3287" s="2">
        <f>IF(C3287="GBP",E3287*$C$3,IF(C3287="TRY",E3287/$C$1,IF(C3287="EUR",E3287*$E$1,IF(C3287="RUB",E3287/#REF!,IF(C3287="EGP",E3287/$E$2,E3287)))))</f>
        <v>21657.590307923074</v>
      </c>
      <c r="G3287" s="15" t="str">
        <f>VLOOKUP(B3287,SPECIFICATIONF!$C$2:$D$65,2,0)</f>
        <v>GLOBAL HFT</v>
      </c>
      <c r="H3287" s="12">
        <f t="shared" ref="H3287:H3294" si="324">MONTH(A3287)</f>
        <v>3</v>
      </c>
      <c r="I3287" s="12">
        <f t="shared" ref="I3287:I3294" si="325">YEAR(A3287)</f>
        <v>2026</v>
      </c>
    </row>
    <row r="3288" spans="1:9" ht="19.5" customHeight="1" x14ac:dyDescent="0.35">
      <c r="A3288" s="41">
        <v>46112</v>
      </c>
      <c r="B3288" s="8" t="s">
        <v>32</v>
      </c>
      <c r="C3288" s="42" t="s">
        <v>33</v>
      </c>
      <c r="D3288" s="43" t="s">
        <v>30</v>
      </c>
      <c r="E3288" s="46">
        <v>4810.2700000000004</v>
      </c>
      <c r="F3288" s="2">
        <f>IF(C3288="GBP",E3288*$C$3,IF(C3288="TRY",E3288/$C$1,IF(C3288="EUR",E3288*$E$1,IF(C3288="RUB",E3288/#REF!,IF(C3288="EGP",E3288/$E$2,E3288)))))</f>
        <v>4810.2700000000004</v>
      </c>
      <c r="G3288" s="15" t="str">
        <f>VLOOKUP(B3288,SPECIFICATIONF!$C$2:$D$65,2,0)</f>
        <v>GLOBAL HFT</v>
      </c>
      <c r="H3288" s="12">
        <f t="shared" si="324"/>
        <v>3</v>
      </c>
      <c r="I3288" s="12">
        <f t="shared" si="325"/>
        <v>2026</v>
      </c>
    </row>
    <row r="3289" spans="1:9" ht="19.5" customHeight="1" x14ac:dyDescent="0.35">
      <c r="A3289" s="41">
        <v>46112</v>
      </c>
      <c r="B3289" s="8" t="s">
        <v>32</v>
      </c>
      <c r="C3289" s="42" t="s">
        <v>11</v>
      </c>
      <c r="D3289" s="43" t="s">
        <v>29</v>
      </c>
      <c r="E3289" s="46">
        <v>2587621685</v>
      </c>
      <c r="F3289" s="2">
        <v>0</v>
      </c>
      <c r="G3289" s="15" t="s">
        <v>24</v>
      </c>
      <c r="H3289" s="12">
        <f t="shared" si="324"/>
        <v>3</v>
      </c>
      <c r="I3289" s="12">
        <f t="shared" si="325"/>
        <v>2026</v>
      </c>
    </row>
    <row r="3290" spans="1:9" ht="19.5" customHeight="1" x14ac:dyDescent="0.35">
      <c r="A3290" s="41">
        <v>46112</v>
      </c>
      <c r="B3290" s="8" t="s">
        <v>32</v>
      </c>
      <c r="C3290" s="42" t="s">
        <v>33</v>
      </c>
      <c r="D3290" s="43" t="s">
        <v>29</v>
      </c>
      <c r="E3290" s="46">
        <v>14385089</v>
      </c>
      <c r="F3290" s="2">
        <v>0</v>
      </c>
      <c r="G3290" s="15" t="s">
        <v>24</v>
      </c>
      <c r="H3290" s="12">
        <f t="shared" si="324"/>
        <v>3</v>
      </c>
      <c r="I3290" s="12">
        <f t="shared" si="325"/>
        <v>2026</v>
      </c>
    </row>
    <row r="3291" spans="1:9" ht="19.5" customHeight="1" x14ac:dyDescent="0.35">
      <c r="A3291" s="41">
        <v>46112</v>
      </c>
      <c r="B3291" s="8" t="s">
        <v>24</v>
      </c>
      <c r="C3291" s="42" t="s">
        <v>11</v>
      </c>
      <c r="D3291" s="43" t="s">
        <v>30</v>
      </c>
      <c r="E3291" s="46">
        <v>0</v>
      </c>
      <c r="F3291" s="2">
        <f>IF(C3291="GBP",E3291*$C$3,IF(C3291="TRY",E3291/$C$1,IF(C3291="EUR",E3291*$E$1,IF(C3291="RUB",E3291/#REF!,IF(C3291="EGP",E3291/$E$2,E3291)))))</f>
        <v>0</v>
      </c>
      <c r="G3291" s="15" t="str">
        <f>VLOOKUP(B3291,SPECIFICATIONF!$C$2:$D$65,2,0)</f>
        <v>GLOBAL RETAIL</v>
      </c>
      <c r="H3291" s="12">
        <f t="shared" si="324"/>
        <v>3</v>
      </c>
      <c r="I3291" s="12">
        <f t="shared" si="325"/>
        <v>2026</v>
      </c>
    </row>
    <row r="3292" spans="1:9" ht="19.5" customHeight="1" x14ac:dyDescent="0.35">
      <c r="A3292" s="41">
        <v>46112</v>
      </c>
      <c r="B3292" s="8" t="s">
        <v>24</v>
      </c>
      <c r="C3292" s="42" t="s">
        <v>33</v>
      </c>
      <c r="D3292" s="43" t="s">
        <v>30</v>
      </c>
      <c r="E3292" s="46">
        <v>0</v>
      </c>
      <c r="F3292" s="2">
        <f>IF(C3292="GBP",E3292*$C$3,IF(C3292="TRY",E3292/$C$1,IF(C3292="EUR",E3292*$E$1,IF(C3292="RUB",E3292/#REF!,IF(C3292="EGP",E3292/$E$2,E3292)))))</f>
        <v>0</v>
      </c>
      <c r="G3292" s="15" t="str">
        <f>VLOOKUP(B3292,SPECIFICATIONF!$C$2:$D$65,2,0)</f>
        <v>GLOBAL RETAIL</v>
      </c>
      <c r="H3292" s="12">
        <f t="shared" si="324"/>
        <v>3</v>
      </c>
      <c r="I3292" s="12">
        <f t="shared" si="325"/>
        <v>2026</v>
      </c>
    </row>
    <row r="3293" spans="1:9" ht="19.5" customHeight="1" x14ac:dyDescent="0.35">
      <c r="A3293" s="41">
        <v>46112</v>
      </c>
      <c r="B3293" s="8" t="s">
        <v>24</v>
      </c>
      <c r="C3293" s="42" t="s">
        <v>11</v>
      </c>
      <c r="D3293" s="43" t="s">
        <v>29</v>
      </c>
      <c r="E3293" s="46">
        <v>14068728</v>
      </c>
      <c r="F3293" s="2">
        <f>IF(C3293="GBP",E3293*$C$3,IF(C3293="TRY",E3293/$C$1,IF(C3293="EUR",E3293*$E$1,IF(C3293="RUB",E3293/#REF!,IF(C3293="EGP",E3293/$E$2,E3293)))))</f>
        <v>385794.46018169902</v>
      </c>
      <c r="G3293" s="15" t="str">
        <f>VLOOKUP(B3293,SPECIFICATIONF!$C$2:$D$65,2,0)</f>
        <v>GLOBAL RETAIL</v>
      </c>
      <c r="H3293" s="12">
        <f t="shared" si="324"/>
        <v>3</v>
      </c>
      <c r="I3293" s="12">
        <f t="shared" si="325"/>
        <v>2026</v>
      </c>
    </row>
    <row r="3294" spans="1:9" ht="19.5" customHeight="1" x14ac:dyDescent="0.35">
      <c r="A3294" s="41">
        <v>46112</v>
      </c>
      <c r="B3294" s="8" t="s">
        <v>24</v>
      </c>
      <c r="C3294" s="42" t="s">
        <v>33</v>
      </c>
      <c r="D3294" s="43" t="s">
        <v>29</v>
      </c>
      <c r="E3294" s="46">
        <v>7239</v>
      </c>
      <c r="F3294" s="2">
        <f>IF(C3294="GBP",E3294*$C$3,IF(C3294="TRY",E3294/$C$1,IF(C3294="EUR",E3294*$E$1,IF(C3294="RUB",E3294/#REF!,IF(C3294="EGP",E3294/$E$2,E3294)))))</f>
        <v>7239</v>
      </c>
      <c r="G3294" s="15" t="str">
        <f>VLOOKUP(B3294,SPECIFICATIONF!$C$2:$D$65,2,0)</f>
        <v>GLOBAL RETAIL</v>
      </c>
      <c r="H3294" s="12">
        <f t="shared" si="324"/>
        <v>3</v>
      </c>
      <c r="I3294" s="12">
        <f t="shared" si="325"/>
        <v>2026</v>
      </c>
    </row>
    <row r="3295" spans="1:9" ht="19.5" customHeight="1" x14ac:dyDescent="0.35">
      <c r="A3295" s="41">
        <v>46113</v>
      </c>
      <c r="B3295" s="8" t="s">
        <v>32</v>
      </c>
      <c r="C3295" s="42" t="s">
        <v>11</v>
      </c>
      <c r="D3295" s="43" t="s">
        <v>30</v>
      </c>
      <c r="E3295" s="46">
        <v>1006766.61</v>
      </c>
      <c r="F3295" s="2">
        <f>IF(C3295="GBP",E3295*$C$3,IF(C3295="TRY",E3295/$C$1,IF(C3295="EUR",E3295*$E$1,IF(C3295="RUB",E3295/#REF!,IF(C3295="EGP",E3295/$E$2,E3295)))))</f>
        <v>27607.682857605112</v>
      </c>
      <c r="G3295" s="15" t="str">
        <f>VLOOKUP(B3295,SPECIFICATIONF!$C$2:$D$65,2,0)</f>
        <v>GLOBAL HFT</v>
      </c>
      <c r="H3295" s="12">
        <f t="shared" ref="H3295:H3302" si="326">MONTH(A3295)</f>
        <v>4</v>
      </c>
      <c r="I3295" s="12">
        <f t="shared" ref="I3295:I3302" si="327">YEAR(A3295)</f>
        <v>2026</v>
      </c>
    </row>
    <row r="3296" spans="1:9" ht="19.5" customHeight="1" x14ac:dyDescent="0.35">
      <c r="A3296" s="41">
        <v>46113</v>
      </c>
      <c r="B3296" s="8" t="s">
        <v>32</v>
      </c>
      <c r="C3296" s="42" t="s">
        <v>33</v>
      </c>
      <c r="D3296" s="43" t="s">
        <v>30</v>
      </c>
      <c r="E3296" s="46">
        <v>4765.26</v>
      </c>
      <c r="F3296" s="2">
        <f>IF(C3296="GBP",E3296*$C$3,IF(C3296="TRY",E3296/$C$1,IF(C3296="EUR",E3296*$E$1,IF(C3296="RUB",E3296/#REF!,IF(C3296="EGP",E3296/$E$2,E3296)))))</f>
        <v>4765.26</v>
      </c>
      <c r="G3296" s="15" t="str">
        <f>VLOOKUP(B3296,SPECIFICATIONF!$C$2:$D$65,2,0)</f>
        <v>GLOBAL HFT</v>
      </c>
      <c r="H3296" s="12">
        <f t="shared" si="326"/>
        <v>4</v>
      </c>
      <c r="I3296" s="12">
        <f t="shared" si="327"/>
        <v>2026</v>
      </c>
    </row>
    <row r="3297" spans="1:9" ht="19.5" customHeight="1" x14ac:dyDescent="0.35">
      <c r="A3297" s="41">
        <v>46113</v>
      </c>
      <c r="B3297" s="8" t="s">
        <v>32</v>
      </c>
      <c r="C3297" s="42" t="s">
        <v>11</v>
      </c>
      <c r="D3297" s="43" t="s">
        <v>29</v>
      </c>
      <c r="E3297" s="46">
        <v>3231890339</v>
      </c>
      <c r="F3297" s="2">
        <v>0</v>
      </c>
      <c r="G3297" s="15" t="s">
        <v>24</v>
      </c>
      <c r="H3297" s="12">
        <f t="shared" si="326"/>
        <v>4</v>
      </c>
      <c r="I3297" s="12">
        <f t="shared" si="327"/>
        <v>2026</v>
      </c>
    </row>
    <row r="3298" spans="1:9" ht="19.5" customHeight="1" x14ac:dyDescent="0.35">
      <c r="A3298" s="41">
        <v>46113</v>
      </c>
      <c r="B3298" s="8" t="s">
        <v>32</v>
      </c>
      <c r="C3298" s="42" t="s">
        <v>33</v>
      </c>
      <c r="D3298" s="43" t="s">
        <v>29</v>
      </c>
      <c r="E3298" s="46">
        <v>14528432</v>
      </c>
      <c r="F3298" s="2">
        <v>0</v>
      </c>
      <c r="G3298" s="15" t="s">
        <v>24</v>
      </c>
      <c r="H3298" s="12">
        <f t="shared" si="326"/>
        <v>4</v>
      </c>
      <c r="I3298" s="12">
        <f t="shared" si="327"/>
        <v>2026</v>
      </c>
    </row>
    <row r="3299" spans="1:9" ht="19.5" customHeight="1" x14ac:dyDescent="0.35">
      <c r="A3299" s="41">
        <v>46113</v>
      </c>
      <c r="B3299" s="8" t="s">
        <v>24</v>
      </c>
      <c r="C3299" s="42" t="s">
        <v>11</v>
      </c>
      <c r="D3299" s="43" t="s">
        <v>30</v>
      </c>
      <c r="E3299" s="46">
        <v>0</v>
      </c>
      <c r="F3299" s="2">
        <f>IF(C3299="GBP",E3299*$C$3,IF(C3299="TRY",E3299/$C$1,IF(C3299="EUR",E3299*$E$1,IF(C3299="RUB",E3299/#REF!,IF(C3299="EGP",E3299/$E$2,E3299)))))</f>
        <v>0</v>
      </c>
      <c r="G3299" s="15" t="str">
        <f>VLOOKUP(B3299,SPECIFICATIONF!$C$2:$D$65,2,0)</f>
        <v>GLOBAL RETAIL</v>
      </c>
      <c r="H3299" s="12">
        <f t="shared" si="326"/>
        <v>4</v>
      </c>
      <c r="I3299" s="12">
        <f t="shared" si="327"/>
        <v>2026</v>
      </c>
    </row>
    <row r="3300" spans="1:9" ht="19.5" customHeight="1" x14ac:dyDescent="0.35">
      <c r="A3300" s="41">
        <v>46113</v>
      </c>
      <c r="B3300" s="8" t="s">
        <v>24</v>
      </c>
      <c r="C3300" s="42" t="s">
        <v>33</v>
      </c>
      <c r="D3300" s="43" t="s">
        <v>30</v>
      </c>
      <c r="E3300" s="46">
        <v>0</v>
      </c>
      <c r="F3300" s="2">
        <f>IF(C3300="GBP",E3300*$C$3,IF(C3300="TRY",E3300/$C$1,IF(C3300="EUR",E3300*$E$1,IF(C3300="RUB",E3300/#REF!,IF(C3300="EGP",E3300/$E$2,E3300)))))</f>
        <v>0</v>
      </c>
      <c r="G3300" s="15" t="str">
        <f>VLOOKUP(B3300,SPECIFICATIONF!$C$2:$D$65,2,0)</f>
        <v>GLOBAL RETAIL</v>
      </c>
      <c r="H3300" s="12">
        <f t="shared" si="326"/>
        <v>4</v>
      </c>
      <c r="I3300" s="12">
        <f t="shared" si="327"/>
        <v>2026</v>
      </c>
    </row>
    <row r="3301" spans="1:9" ht="19.5" customHeight="1" x14ac:dyDescent="0.35">
      <c r="A3301" s="41">
        <v>46113</v>
      </c>
      <c r="B3301" s="8" t="s">
        <v>24</v>
      </c>
      <c r="C3301" s="42" t="s">
        <v>11</v>
      </c>
      <c r="D3301" s="43" t="s">
        <v>29</v>
      </c>
      <c r="E3301" s="46">
        <v>44801436</v>
      </c>
      <c r="F3301" s="2">
        <f>IF(C3301="GBP",E3301*$C$3,IF(C3301="TRY",E3301/$C$1,IF(C3301="EUR",E3301*$E$1,IF(C3301="RUB",E3301/#REF!,IF(C3301="EGP",E3301/$E$2,E3301)))))</f>
        <v>1228550.7131124388</v>
      </c>
      <c r="G3301" s="15" t="str">
        <f>VLOOKUP(B3301,SPECIFICATIONF!$C$2:$D$65,2,0)</f>
        <v>GLOBAL RETAIL</v>
      </c>
      <c r="H3301" s="12">
        <f t="shared" si="326"/>
        <v>4</v>
      </c>
      <c r="I3301" s="12">
        <f t="shared" si="327"/>
        <v>2026</v>
      </c>
    </row>
    <row r="3302" spans="1:9" ht="19.5" customHeight="1" x14ac:dyDescent="0.35">
      <c r="A3302" s="41">
        <v>46113</v>
      </c>
      <c r="B3302" s="8" t="s">
        <v>24</v>
      </c>
      <c r="C3302" s="42" t="s">
        <v>33</v>
      </c>
      <c r="D3302" s="43" t="s">
        <v>29</v>
      </c>
      <c r="E3302" s="46">
        <v>0</v>
      </c>
      <c r="F3302" s="2">
        <f>IF(C3302="GBP",E3302*$C$3,IF(C3302="TRY",E3302/$C$1,IF(C3302="EUR",E3302*$E$1,IF(C3302="RUB",E3302/#REF!,IF(C3302="EGP",E3302/$E$2,E3302)))))</f>
        <v>0</v>
      </c>
      <c r="G3302" s="15" t="str">
        <f>VLOOKUP(B3302,SPECIFICATIONF!$C$2:$D$65,2,0)</f>
        <v>GLOBAL RETAIL</v>
      </c>
      <c r="H3302" s="12">
        <f t="shared" si="326"/>
        <v>4</v>
      </c>
      <c r="I3302" s="12">
        <f t="shared" si="327"/>
        <v>2026</v>
      </c>
    </row>
    <row r="3303" spans="1:9" ht="19.5" customHeight="1" x14ac:dyDescent="0.35">
      <c r="A3303" s="41">
        <v>46114</v>
      </c>
      <c r="B3303" s="8" t="s">
        <v>32</v>
      </c>
      <c r="C3303" s="42" t="s">
        <v>11</v>
      </c>
      <c r="D3303" s="43" t="s">
        <v>30</v>
      </c>
      <c r="E3303" s="46">
        <v>1484747.16</v>
      </c>
      <c r="F3303" s="2">
        <f>IF(C3303="GBP",E3303*$C$3,IF(C3303="TRY",E3303/$C$1,IF(C3303="EUR",E3303*$E$1,IF(C3303="RUB",E3303/#REF!,IF(C3303="EGP",E3303/$E$2,E3303)))))</f>
        <v>40714.926686940758</v>
      </c>
      <c r="G3303" s="15" t="str">
        <f>VLOOKUP(B3303,SPECIFICATIONF!$C$2:$D$65,2,0)</f>
        <v>GLOBAL HFT</v>
      </c>
      <c r="H3303" s="12">
        <f t="shared" ref="H3303:H3310" si="328">MONTH(A3303)</f>
        <v>4</v>
      </c>
      <c r="I3303" s="12">
        <f t="shared" ref="I3303:I3310" si="329">YEAR(A3303)</f>
        <v>2026</v>
      </c>
    </row>
    <row r="3304" spans="1:9" ht="19.5" customHeight="1" x14ac:dyDescent="0.35">
      <c r="A3304" s="41">
        <v>46114</v>
      </c>
      <c r="B3304" s="8" t="s">
        <v>32</v>
      </c>
      <c r="C3304" s="42" t="s">
        <v>33</v>
      </c>
      <c r="D3304" s="43" t="s">
        <v>30</v>
      </c>
      <c r="E3304" s="46">
        <v>6748.6</v>
      </c>
      <c r="F3304" s="2">
        <f>IF(C3304="GBP",E3304*$C$3,IF(C3304="TRY",E3304/$C$1,IF(C3304="EUR",E3304*$E$1,IF(C3304="RUB",E3304/#REF!,IF(C3304="EGP",E3304/$E$2,E3304)))))</f>
        <v>6748.6</v>
      </c>
      <c r="G3304" s="15" t="str">
        <f>VLOOKUP(B3304,SPECIFICATIONF!$C$2:$D$65,2,0)</f>
        <v>GLOBAL HFT</v>
      </c>
      <c r="H3304" s="12">
        <f t="shared" si="328"/>
        <v>4</v>
      </c>
      <c r="I3304" s="12">
        <f t="shared" si="329"/>
        <v>2026</v>
      </c>
    </row>
    <row r="3305" spans="1:9" ht="19.5" customHeight="1" x14ac:dyDescent="0.35">
      <c r="A3305" s="41">
        <v>46114</v>
      </c>
      <c r="B3305" s="8" t="s">
        <v>32</v>
      </c>
      <c r="C3305" s="42" t="s">
        <v>11</v>
      </c>
      <c r="D3305" s="43" t="s">
        <v>29</v>
      </c>
      <c r="E3305" s="46">
        <v>4668608799</v>
      </c>
      <c r="F3305" s="2">
        <v>0</v>
      </c>
      <c r="G3305" s="15" t="s">
        <v>24</v>
      </c>
      <c r="H3305" s="12">
        <f t="shared" si="328"/>
        <v>4</v>
      </c>
      <c r="I3305" s="12">
        <f t="shared" si="329"/>
        <v>2026</v>
      </c>
    </row>
    <row r="3306" spans="1:9" ht="19.5" customHeight="1" x14ac:dyDescent="0.35">
      <c r="A3306" s="41">
        <v>46114</v>
      </c>
      <c r="B3306" s="8" t="s">
        <v>32</v>
      </c>
      <c r="C3306" s="42" t="s">
        <v>33</v>
      </c>
      <c r="D3306" s="43" t="s">
        <v>29</v>
      </c>
      <c r="E3306" s="46">
        <v>19610984</v>
      </c>
      <c r="F3306" s="2">
        <v>0</v>
      </c>
      <c r="G3306" s="15" t="s">
        <v>24</v>
      </c>
      <c r="H3306" s="12">
        <f t="shared" si="328"/>
        <v>4</v>
      </c>
      <c r="I3306" s="12">
        <f t="shared" si="329"/>
        <v>2026</v>
      </c>
    </row>
    <row r="3307" spans="1:9" ht="19.5" customHeight="1" x14ac:dyDescent="0.35">
      <c r="A3307" s="41">
        <v>46114</v>
      </c>
      <c r="B3307" s="8" t="s">
        <v>24</v>
      </c>
      <c r="C3307" s="42" t="s">
        <v>11</v>
      </c>
      <c r="D3307" s="43" t="s">
        <v>30</v>
      </c>
      <c r="E3307" s="46">
        <v>0</v>
      </c>
      <c r="F3307" s="2">
        <f>IF(C3307="GBP",E3307*$C$3,IF(C3307="TRY",E3307/$C$1,IF(C3307="EUR",E3307*$E$1,IF(C3307="RUB",E3307/#REF!,IF(C3307="EGP",E3307/$E$2,E3307)))))</f>
        <v>0</v>
      </c>
      <c r="G3307" s="15" t="str">
        <f>VLOOKUP(B3307,SPECIFICATIONF!$C$2:$D$65,2,0)</f>
        <v>GLOBAL RETAIL</v>
      </c>
      <c r="H3307" s="12">
        <f t="shared" si="328"/>
        <v>4</v>
      </c>
      <c r="I3307" s="12">
        <f t="shared" si="329"/>
        <v>2026</v>
      </c>
    </row>
    <row r="3308" spans="1:9" ht="19.5" customHeight="1" x14ac:dyDescent="0.35">
      <c r="A3308" s="41">
        <v>46114</v>
      </c>
      <c r="B3308" s="8" t="s">
        <v>24</v>
      </c>
      <c r="C3308" s="42" t="s">
        <v>33</v>
      </c>
      <c r="D3308" s="43" t="s">
        <v>30</v>
      </c>
      <c r="E3308" s="46">
        <v>0</v>
      </c>
      <c r="F3308" s="2">
        <f>IF(C3308="GBP",E3308*$C$3,IF(C3308="TRY",E3308/$C$1,IF(C3308="EUR",E3308*$E$1,IF(C3308="RUB",E3308/#REF!,IF(C3308="EGP",E3308/$E$2,E3308)))))</f>
        <v>0</v>
      </c>
      <c r="G3308" s="15" t="str">
        <f>VLOOKUP(B3308,SPECIFICATIONF!$C$2:$D$65,2,0)</f>
        <v>GLOBAL RETAIL</v>
      </c>
      <c r="H3308" s="12">
        <f t="shared" si="328"/>
        <v>4</v>
      </c>
      <c r="I3308" s="12">
        <f t="shared" si="329"/>
        <v>2026</v>
      </c>
    </row>
    <row r="3309" spans="1:9" ht="19.5" customHeight="1" x14ac:dyDescent="0.35">
      <c r="A3309" s="41">
        <v>46114</v>
      </c>
      <c r="B3309" s="8" t="s">
        <v>24</v>
      </c>
      <c r="C3309" s="42" t="s">
        <v>11</v>
      </c>
      <c r="D3309" s="43" t="s">
        <v>29</v>
      </c>
      <c r="E3309" s="46">
        <v>44684051</v>
      </c>
      <c r="F3309" s="2">
        <f>IF(C3309="GBP",E3309*$C$3,IF(C3309="TRY",E3309/$C$1,IF(C3309="EUR",E3309*$E$1,IF(C3309="RUB",E3309/#REF!,IF(C3309="EGP",E3309/$E$2,E3309)))))</f>
        <v>1225331.7666157528</v>
      </c>
      <c r="G3309" s="15" t="str">
        <f>VLOOKUP(B3309,SPECIFICATIONF!$C$2:$D$65,2,0)</f>
        <v>GLOBAL RETAIL</v>
      </c>
      <c r="H3309" s="12">
        <f t="shared" si="328"/>
        <v>4</v>
      </c>
      <c r="I3309" s="12">
        <f t="shared" si="329"/>
        <v>2026</v>
      </c>
    </row>
    <row r="3310" spans="1:9" ht="19.5" customHeight="1" x14ac:dyDescent="0.35">
      <c r="A3310" s="41">
        <v>46114</v>
      </c>
      <c r="B3310" s="8" t="s">
        <v>24</v>
      </c>
      <c r="C3310" s="42" t="s">
        <v>33</v>
      </c>
      <c r="D3310" s="43" t="s">
        <v>29</v>
      </c>
      <c r="E3310" s="46">
        <v>0</v>
      </c>
      <c r="F3310" s="2">
        <f>IF(C3310="GBP",E3310*$C$3,IF(C3310="TRY",E3310/$C$1,IF(C3310="EUR",E3310*$E$1,IF(C3310="RUB",E3310/#REF!,IF(C3310="EGP",E3310/$E$2,E3310)))))</f>
        <v>0</v>
      </c>
      <c r="G3310" s="15" t="str">
        <f>VLOOKUP(B3310,SPECIFICATIONF!$C$2:$D$65,2,0)</f>
        <v>GLOBAL RETAIL</v>
      </c>
      <c r="H3310" s="12">
        <f t="shared" si="328"/>
        <v>4</v>
      </c>
      <c r="I3310" s="12">
        <f t="shared" si="329"/>
        <v>2026</v>
      </c>
    </row>
    <row r="3311" spans="1:9" ht="19.5" customHeight="1" x14ac:dyDescent="0.35">
      <c r="A3311" s="41">
        <v>46115</v>
      </c>
      <c r="B3311" s="8" t="s">
        <v>32</v>
      </c>
      <c r="C3311" s="42" t="s">
        <v>11</v>
      </c>
      <c r="D3311" s="43" t="s">
        <v>30</v>
      </c>
      <c r="E3311" s="46">
        <v>1329107.43</v>
      </c>
      <c r="F3311" s="2">
        <f>IF(C3311="GBP",E3311*$C$3,IF(C3311="TRY",E3311/$C$1,IF(C3311="EUR",E3311*$E$1,IF(C3311="RUB",E3311/#REF!,IF(C3311="EGP",E3311/$E$2,E3311)))))</f>
        <v>36446.954087131067</v>
      </c>
      <c r="G3311" s="15" t="str">
        <f>VLOOKUP(B3311,SPECIFICATIONF!$C$2:$D$65,2,0)</f>
        <v>GLOBAL HFT</v>
      </c>
      <c r="H3311" s="12">
        <f t="shared" ref="H3311:H3317" si="330">MONTH(A3311)</f>
        <v>4</v>
      </c>
      <c r="I3311" s="12">
        <f t="shared" ref="I3311:I3317" si="331">YEAR(A3311)</f>
        <v>2026</v>
      </c>
    </row>
    <row r="3312" spans="1:9" ht="19.5" customHeight="1" x14ac:dyDescent="0.35">
      <c r="A3312" s="41">
        <v>46115</v>
      </c>
      <c r="B3312" s="8" t="s">
        <v>32</v>
      </c>
      <c r="C3312" s="42" t="s">
        <v>33</v>
      </c>
      <c r="D3312" s="43" t="s">
        <v>30</v>
      </c>
      <c r="E3312" s="46">
        <v>4515.18</v>
      </c>
      <c r="F3312" s="2">
        <f>IF(C3312="GBP",E3312*$C$3,IF(C3312="TRY",E3312/$C$1,IF(C3312="EUR",E3312*$E$1,IF(C3312="RUB",E3312/#REF!,IF(C3312="EGP",E3312/$E$2,E3312)))))</f>
        <v>4515.18</v>
      </c>
      <c r="G3312" s="15" t="str">
        <f>VLOOKUP(B3312,SPECIFICATIONF!$C$2:$D$65,2,0)</f>
        <v>GLOBAL HFT</v>
      </c>
      <c r="H3312" s="12">
        <f t="shared" si="330"/>
        <v>4</v>
      </c>
      <c r="I3312" s="12">
        <f t="shared" si="331"/>
        <v>2026</v>
      </c>
    </row>
    <row r="3313" spans="1:9" ht="19.5" customHeight="1" x14ac:dyDescent="0.35">
      <c r="A3313" s="41">
        <v>46115</v>
      </c>
      <c r="B3313" s="8" t="s">
        <v>32</v>
      </c>
      <c r="C3313" s="42" t="s">
        <v>11</v>
      </c>
      <c r="D3313" s="43" t="s">
        <v>29</v>
      </c>
      <c r="E3313" s="46">
        <v>4228644907</v>
      </c>
      <c r="F3313" s="2">
        <v>0</v>
      </c>
      <c r="G3313" s="15" t="s">
        <v>24</v>
      </c>
      <c r="H3313" s="12">
        <f t="shared" si="330"/>
        <v>4</v>
      </c>
      <c r="I3313" s="12">
        <f t="shared" si="331"/>
        <v>2026</v>
      </c>
    </row>
    <row r="3314" spans="1:9" ht="19.5" customHeight="1" x14ac:dyDescent="0.35">
      <c r="A3314" s="41">
        <v>46115</v>
      </c>
      <c r="B3314" s="8" t="s">
        <v>32</v>
      </c>
      <c r="C3314" s="42" t="s">
        <v>33</v>
      </c>
      <c r="D3314" s="43" t="s">
        <v>29</v>
      </c>
      <c r="E3314" s="46">
        <v>13894554</v>
      </c>
      <c r="F3314" s="2">
        <v>0</v>
      </c>
      <c r="G3314" s="15" t="s">
        <v>24</v>
      </c>
      <c r="H3314" s="12">
        <f t="shared" si="330"/>
        <v>4</v>
      </c>
      <c r="I3314" s="12">
        <f t="shared" si="331"/>
        <v>2026</v>
      </c>
    </row>
    <row r="3315" spans="1:9" ht="19.5" customHeight="1" x14ac:dyDescent="0.35">
      <c r="A3315" s="41">
        <v>46115</v>
      </c>
      <c r="B3315" s="8" t="s">
        <v>24</v>
      </c>
      <c r="C3315" s="42" t="s">
        <v>11</v>
      </c>
      <c r="D3315" s="43" t="s">
        <v>30</v>
      </c>
      <c r="E3315" s="46">
        <v>0</v>
      </c>
      <c r="F3315" s="2">
        <f>IF(C3315="GBP",E3315*$C$3,IF(C3315="TRY",E3315/$C$1,IF(C3315="EUR",E3315*$E$1,IF(C3315="RUB",E3315/#REF!,IF(C3315="EGP",E3315/$E$2,E3315)))))</f>
        <v>0</v>
      </c>
      <c r="G3315" s="15" t="str">
        <f>VLOOKUP(B3315,SPECIFICATIONF!$C$2:$D$65,2,0)</f>
        <v>GLOBAL RETAIL</v>
      </c>
      <c r="H3315" s="12">
        <f t="shared" si="330"/>
        <v>4</v>
      </c>
      <c r="I3315" s="12">
        <f t="shared" si="331"/>
        <v>2026</v>
      </c>
    </row>
    <row r="3316" spans="1:9" ht="19.5" customHeight="1" x14ac:dyDescent="0.35">
      <c r="A3316" s="41">
        <v>46115</v>
      </c>
      <c r="B3316" s="8" t="s">
        <v>24</v>
      </c>
      <c r="C3316" s="42" t="s">
        <v>33</v>
      </c>
      <c r="D3316" s="43" t="s">
        <v>30</v>
      </c>
      <c r="E3316" s="46">
        <v>0</v>
      </c>
      <c r="F3316" s="2">
        <f>IF(C3316="GBP",E3316*$C$3,IF(C3316="TRY",E3316/$C$1,IF(C3316="EUR",E3316*$E$1,IF(C3316="RUB",E3316/#REF!,IF(C3316="EGP",E3316/$E$2,E3316)))))</f>
        <v>0</v>
      </c>
      <c r="G3316" s="15" t="str">
        <f>VLOOKUP(B3316,SPECIFICATIONF!$C$2:$D$65,2,0)</f>
        <v>GLOBAL RETAIL</v>
      </c>
      <c r="H3316" s="12">
        <f t="shared" si="330"/>
        <v>4</v>
      </c>
      <c r="I3316" s="12">
        <f t="shared" si="331"/>
        <v>2026</v>
      </c>
    </row>
    <row r="3317" spans="1:9" ht="19.5" customHeight="1" x14ac:dyDescent="0.35">
      <c r="A3317" s="41">
        <v>46115</v>
      </c>
      <c r="B3317" s="8" t="s">
        <v>24</v>
      </c>
      <c r="C3317" s="42" t="s">
        <v>11</v>
      </c>
      <c r="D3317" s="43" t="s">
        <v>29</v>
      </c>
      <c r="E3317" s="46">
        <v>31986495</v>
      </c>
      <c r="F3317" s="2">
        <f>IF(C3317="GBP",E3317*$C$3,IF(C3317="TRY",E3317/$C$1,IF(C3317="EUR",E3317*$E$1,IF(C3317="RUB",E3317/#REF!,IF(C3317="EGP",E3317/$E$2,E3317)))))</f>
        <v>877137.76054449368</v>
      </c>
      <c r="G3317" s="15" t="str">
        <f>VLOOKUP(B3317,SPECIFICATIONF!$C$2:$D$65,2,0)</f>
        <v>GLOBAL RETAIL</v>
      </c>
      <c r="H3317" s="12">
        <f t="shared" si="330"/>
        <v>4</v>
      </c>
      <c r="I3317" s="12">
        <f t="shared" si="331"/>
        <v>2026</v>
      </c>
    </row>
    <row r="3318" spans="1:9" ht="19.5" customHeight="1" x14ac:dyDescent="0.35">
      <c r="A3318" s="41">
        <v>46115</v>
      </c>
      <c r="B3318" s="8" t="s">
        <v>24</v>
      </c>
      <c r="C3318" s="42" t="s">
        <v>33</v>
      </c>
      <c r="D3318" s="43" t="s">
        <v>29</v>
      </c>
      <c r="E3318" s="46">
        <v>0</v>
      </c>
      <c r="F3318" s="2">
        <f>IF(C3318="GBP",E3318*$C$3,IF(C3318="TRY",E3318/$C$1,IF(C3318="EUR",E3318*$E$1,IF(C3318="RUB",E3318/#REF!,IF(C3318="EGP",E3318/$E$2,E3318)))))</f>
        <v>0</v>
      </c>
      <c r="G3318" s="15" t="str">
        <f>VLOOKUP(B3318,SPECIFICATIONF!$C$2:$D$65,2,0)</f>
        <v>GLOBAL RETAIL</v>
      </c>
      <c r="H3318" s="12">
        <f>MONTH(A3318)</f>
        <v>4</v>
      </c>
      <c r="I3318" s="12">
        <f>YEAR(A3318)</f>
        <v>2026</v>
      </c>
    </row>
    <row r="3319" spans="1:9" ht="19.5" customHeight="1" x14ac:dyDescent="0.35">
      <c r="A3319" s="41">
        <v>46116</v>
      </c>
      <c r="B3319" s="8" t="s">
        <v>32</v>
      </c>
      <c r="C3319" s="42" t="s">
        <v>11</v>
      </c>
      <c r="D3319" s="43" t="s">
        <v>30</v>
      </c>
      <c r="E3319" s="46">
        <v>977041.9</v>
      </c>
      <c r="F3319" s="2">
        <f>IF(C3319="GBP",E3319*$C$3,IF(C3319="TRY",E3319/$C$1,IF(C3319="EUR",E3319*$E$1,IF(C3319="RUB",E3319/#REF!,IF(C3319="EGP",E3319/$E$2,E3319)))))</f>
        <v>26792.568054866191</v>
      </c>
      <c r="G3319" s="15" t="str">
        <f>VLOOKUP(B3319,SPECIFICATIONF!$C$2:$D$65,2,0)</f>
        <v>GLOBAL HFT</v>
      </c>
      <c r="H3319" s="12">
        <f>MONTH(A3319)</f>
        <v>4</v>
      </c>
      <c r="I3319" s="12">
        <f>YEAR(A3319)</f>
        <v>2026</v>
      </c>
    </row>
    <row r="3320" spans="1:9" ht="19.5" customHeight="1" x14ac:dyDescent="0.35">
      <c r="A3320" s="41">
        <v>46116</v>
      </c>
      <c r="B3320" s="8" t="s">
        <v>32</v>
      </c>
      <c r="C3320" s="42" t="s">
        <v>33</v>
      </c>
      <c r="D3320" s="43" t="s">
        <v>30</v>
      </c>
      <c r="E3320" s="46">
        <v>3032.13</v>
      </c>
      <c r="F3320" s="2">
        <f>IF(C3320="GBP",E3320*$C$3,IF(C3320="TRY",E3320/$C$1,IF(C3320="EUR",E3320*$E$1,IF(C3320="RUB",E3320/#REF!,IF(C3320="EGP",E3320/$E$2,E3320)))))</f>
        <v>3032.13</v>
      </c>
      <c r="G3320" s="15" t="str">
        <f>VLOOKUP(B3320,SPECIFICATIONF!$C$2:$D$65,2,0)</f>
        <v>GLOBAL HFT</v>
      </c>
      <c r="H3320" s="12">
        <f t="shared" ref="H3320:H3342" si="332">MONTH(A3320)</f>
        <v>4</v>
      </c>
      <c r="I3320" s="12">
        <f t="shared" ref="I3320:I3342" si="333">YEAR(A3320)</f>
        <v>2026</v>
      </c>
    </row>
    <row r="3321" spans="1:9" ht="19.5" customHeight="1" x14ac:dyDescent="0.35">
      <c r="A3321" s="41">
        <v>46116</v>
      </c>
      <c r="B3321" s="8" t="s">
        <v>32</v>
      </c>
      <c r="C3321" s="42" t="s">
        <v>11</v>
      </c>
      <c r="D3321" s="43" t="s">
        <v>29</v>
      </c>
      <c r="E3321" s="46">
        <v>3231877194</v>
      </c>
      <c r="F3321" s="2">
        <v>0</v>
      </c>
      <c r="G3321" s="15" t="s">
        <v>24</v>
      </c>
      <c r="H3321" s="12">
        <f t="shared" si="332"/>
        <v>4</v>
      </c>
      <c r="I3321" s="12">
        <f t="shared" si="333"/>
        <v>2026</v>
      </c>
    </row>
    <row r="3322" spans="1:9" ht="19.5" customHeight="1" x14ac:dyDescent="0.35">
      <c r="A3322" s="41">
        <v>46116</v>
      </c>
      <c r="B3322" s="8" t="s">
        <v>32</v>
      </c>
      <c r="C3322" s="42" t="s">
        <v>33</v>
      </c>
      <c r="D3322" s="43" t="s">
        <v>29</v>
      </c>
      <c r="E3322" s="46">
        <v>9264869</v>
      </c>
      <c r="F3322" s="2">
        <v>0</v>
      </c>
      <c r="G3322" s="15" t="s">
        <v>24</v>
      </c>
      <c r="H3322" s="12">
        <f t="shared" si="332"/>
        <v>4</v>
      </c>
      <c r="I3322" s="12">
        <f t="shared" si="333"/>
        <v>2026</v>
      </c>
    </row>
    <row r="3323" spans="1:9" ht="19.5" customHeight="1" x14ac:dyDescent="0.35">
      <c r="A3323" s="41">
        <v>46116</v>
      </c>
      <c r="B3323" s="8" t="s">
        <v>24</v>
      </c>
      <c r="C3323" s="42" t="s">
        <v>11</v>
      </c>
      <c r="D3323" s="43" t="s">
        <v>30</v>
      </c>
      <c r="E3323" s="46">
        <v>0</v>
      </c>
      <c r="F3323" s="2">
        <f>IF(C3323="GBP",E3323*$C$3,IF(C3323="TRY",E3323/$C$1,IF(C3323="EUR",E3323*$E$1,IF(C3323="RUB",E3323/#REF!,IF(C3323="EGP",E3323/$E$2,E3323)))))</f>
        <v>0</v>
      </c>
      <c r="G3323" s="15" t="str">
        <f>VLOOKUP(B3323,SPECIFICATIONF!$C$2:$D$65,2,0)</f>
        <v>GLOBAL RETAIL</v>
      </c>
      <c r="H3323" s="12">
        <f t="shared" si="332"/>
        <v>4</v>
      </c>
      <c r="I3323" s="12">
        <f t="shared" si="333"/>
        <v>2026</v>
      </c>
    </row>
    <row r="3324" spans="1:9" ht="19.5" customHeight="1" x14ac:dyDescent="0.35">
      <c r="A3324" s="41">
        <v>46116</v>
      </c>
      <c r="B3324" s="8" t="s">
        <v>24</v>
      </c>
      <c r="C3324" s="42" t="s">
        <v>33</v>
      </c>
      <c r="D3324" s="43" t="s">
        <v>30</v>
      </c>
      <c r="E3324" s="46">
        <v>0</v>
      </c>
      <c r="F3324" s="2">
        <f>IF(C3324="GBP",E3324*$C$3,IF(C3324="TRY",E3324/$C$1,IF(C3324="EUR",E3324*$E$1,IF(C3324="RUB",E3324/#REF!,IF(C3324="EGP",E3324/$E$2,E3324)))))</f>
        <v>0</v>
      </c>
      <c r="G3324" s="15" t="str">
        <f>VLOOKUP(B3324,SPECIFICATIONF!$C$2:$D$65,2,0)</f>
        <v>GLOBAL RETAIL</v>
      </c>
      <c r="H3324" s="12">
        <f t="shared" si="332"/>
        <v>4</v>
      </c>
      <c r="I3324" s="12">
        <f t="shared" si="333"/>
        <v>2026</v>
      </c>
    </row>
    <row r="3325" spans="1:9" ht="19.5" customHeight="1" x14ac:dyDescent="0.35">
      <c r="A3325" s="41">
        <v>46116</v>
      </c>
      <c r="B3325" s="8" t="s">
        <v>24</v>
      </c>
      <c r="C3325" s="42" t="s">
        <v>11</v>
      </c>
      <c r="D3325" s="43" t="s">
        <v>29</v>
      </c>
      <c r="E3325" s="46">
        <v>43082363</v>
      </c>
      <c r="F3325" s="2">
        <f>IF(C3325="GBP",E3325*$C$3,IF(C3325="TRY",E3325/$C$1,IF(C3325="EUR",E3325*$E$1,IF(C3325="RUB",E3325/#REF!,IF(C3325="EGP",E3325/$E$2,E3325)))))</f>
        <v>1181410.0732445039</v>
      </c>
      <c r="G3325" s="15" t="str">
        <f>VLOOKUP(B3325,SPECIFICATIONF!$C$2:$D$65,2,0)</f>
        <v>GLOBAL RETAIL</v>
      </c>
      <c r="H3325" s="12">
        <f t="shared" si="332"/>
        <v>4</v>
      </c>
      <c r="I3325" s="12">
        <f t="shared" si="333"/>
        <v>2026</v>
      </c>
    </row>
    <row r="3326" spans="1:9" ht="19.5" customHeight="1" x14ac:dyDescent="0.35">
      <c r="A3326" s="41">
        <v>46116</v>
      </c>
      <c r="B3326" s="8" t="s">
        <v>24</v>
      </c>
      <c r="C3326" s="42" t="s">
        <v>33</v>
      </c>
      <c r="D3326" s="43" t="s">
        <v>29</v>
      </c>
      <c r="E3326" s="46">
        <v>5686</v>
      </c>
      <c r="F3326" s="2">
        <f>IF(C3326="GBP",E3326*$C$3,IF(C3326="TRY",E3326/$C$1,IF(C3326="EUR",E3326*$E$1,IF(C3326="RUB",E3326/#REF!,IF(C3326="EGP",E3326/$E$2,E3326)))))</f>
        <v>5686</v>
      </c>
      <c r="G3326" s="15" t="str">
        <f>VLOOKUP(B3326,SPECIFICATIONF!$C$2:$D$65,2,0)</f>
        <v>GLOBAL RETAIL</v>
      </c>
      <c r="H3326" s="12">
        <f t="shared" si="332"/>
        <v>4</v>
      </c>
      <c r="I3326" s="12">
        <f t="shared" si="333"/>
        <v>2026</v>
      </c>
    </row>
    <row r="3327" spans="1:9" ht="19.5" customHeight="1" x14ac:dyDescent="0.35">
      <c r="A3327" s="41">
        <v>46117</v>
      </c>
      <c r="B3327" s="8" t="s">
        <v>32</v>
      </c>
      <c r="C3327" s="42" t="s">
        <v>11</v>
      </c>
      <c r="D3327" s="43" t="s">
        <v>30</v>
      </c>
      <c r="E3327" s="46">
        <v>772514.63</v>
      </c>
      <c r="F3327" s="2">
        <f>IF(C3327="GBP",E3327*$C$3,IF(C3327="TRY",E3327/$C$1,IF(C3327="EUR",E3327*$E$1,IF(C3327="RUB",E3327/#REF!,IF(C3327="EGP",E3327/$E$2,E3327)))))</f>
        <v>21183.995074985807</v>
      </c>
      <c r="G3327" s="15" t="str">
        <f>VLOOKUP(B3327,SPECIFICATIONF!$C$2:$D$65,2,0)</f>
        <v>GLOBAL HFT</v>
      </c>
      <c r="H3327" s="12">
        <f t="shared" si="332"/>
        <v>4</v>
      </c>
      <c r="I3327" s="12">
        <f t="shared" si="333"/>
        <v>2026</v>
      </c>
    </row>
    <row r="3328" spans="1:9" ht="19.5" customHeight="1" x14ac:dyDescent="0.35">
      <c r="A3328" s="41">
        <v>46117</v>
      </c>
      <c r="B3328" s="8" t="s">
        <v>32</v>
      </c>
      <c r="C3328" s="42" t="s">
        <v>33</v>
      </c>
      <c r="D3328" s="43" t="s">
        <v>30</v>
      </c>
      <c r="E3328" s="46">
        <v>2770.65</v>
      </c>
      <c r="F3328" s="2">
        <f>IF(C3328="GBP",E3328*$C$3,IF(C3328="TRY",E3328/$C$1,IF(C3328="EUR",E3328*$E$1,IF(C3328="RUB",E3328/#REF!,IF(C3328="EGP",E3328/$E$2,E3328)))))</f>
        <v>2770.65</v>
      </c>
      <c r="G3328" s="15" t="str">
        <f>VLOOKUP(B3328,SPECIFICATIONF!$C$2:$D$65,2,0)</f>
        <v>GLOBAL HFT</v>
      </c>
      <c r="H3328" s="12">
        <f t="shared" si="332"/>
        <v>4</v>
      </c>
      <c r="I3328" s="12">
        <f t="shared" si="333"/>
        <v>2026</v>
      </c>
    </row>
    <row r="3329" spans="1:9" ht="19.5" customHeight="1" x14ac:dyDescent="0.35">
      <c r="A3329" s="41">
        <v>46117</v>
      </c>
      <c r="B3329" s="8" t="s">
        <v>32</v>
      </c>
      <c r="C3329" s="42" t="s">
        <v>11</v>
      </c>
      <c r="D3329" s="43" t="s">
        <v>29</v>
      </c>
      <c r="E3329" s="46">
        <v>2638550178</v>
      </c>
      <c r="F3329" s="2">
        <v>0</v>
      </c>
      <c r="G3329" s="15" t="s">
        <v>24</v>
      </c>
      <c r="H3329" s="12">
        <f t="shared" si="332"/>
        <v>4</v>
      </c>
      <c r="I3329" s="12">
        <f t="shared" si="333"/>
        <v>2026</v>
      </c>
    </row>
    <row r="3330" spans="1:9" ht="19.5" customHeight="1" x14ac:dyDescent="0.35">
      <c r="A3330" s="41">
        <v>46117</v>
      </c>
      <c r="B3330" s="8" t="s">
        <v>32</v>
      </c>
      <c r="C3330" s="42" t="s">
        <v>33</v>
      </c>
      <c r="D3330" s="43" t="s">
        <v>29</v>
      </c>
      <c r="E3330" s="46">
        <v>8578918</v>
      </c>
      <c r="F3330" s="2">
        <v>0</v>
      </c>
      <c r="G3330" s="15" t="s">
        <v>24</v>
      </c>
      <c r="H3330" s="12">
        <f t="shared" si="332"/>
        <v>4</v>
      </c>
      <c r="I3330" s="12">
        <f t="shared" si="333"/>
        <v>2026</v>
      </c>
    </row>
    <row r="3331" spans="1:9" ht="19.5" customHeight="1" x14ac:dyDescent="0.35">
      <c r="A3331" s="41">
        <v>46117</v>
      </c>
      <c r="B3331" s="8" t="s">
        <v>24</v>
      </c>
      <c r="C3331" s="42" t="s">
        <v>11</v>
      </c>
      <c r="D3331" s="43" t="s">
        <v>30</v>
      </c>
      <c r="E3331" s="46">
        <v>0</v>
      </c>
      <c r="F3331" s="2">
        <f>IF(C3331="GBP",E3331*$C$3,IF(C3331="TRY",E3331/$C$1,IF(C3331="EUR",E3331*$E$1,IF(C3331="RUB",E3331/#REF!,IF(C3331="EGP",E3331/$E$2,E3331)))))</f>
        <v>0</v>
      </c>
      <c r="G3331" s="15" t="str">
        <f>VLOOKUP(B3331,SPECIFICATIONF!$C$2:$D$65,2,0)</f>
        <v>GLOBAL RETAIL</v>
      </c>
      <c r="H3331" s="12">
        <f t="shared" si="332"/>
        <v>4</v>
      </c>
      <c r="I3331" s="12">
        <f t="shared" si="333"/>
        <v>2026</v>
      </c>
    </row>
    <row r="3332" spans="1:9" ht="19.5" customHeight="1" x14ac:dyDescent="0.35">
      <c r="A3332" s="41">
        <v>46117</v>
      </c>
      <c r="B3332" s="8" t="s">
        <v>24</v>
      </c>
      <c r="C3332" s="42" t="s">
        <v>33</v>
      </c>
      <c r="D3332" s="43" t="s">
        <v>30</v>
      </c>
      <c r="E3332" s="46">
        <v>0</v>
      </c>
      <c r="F3332" s="2">
        <f>IF(C3332="GBP",E3332*$C$3,IF(C3332="TRY",E3332/$C$1,IF(C3332="EUR",E3332*$E$1,IF(C3332="RUB",E3332/#REF!,IF(C3332="EGP",E3332/$E$2,E3332)))))</f>
        <v>0</v>
      </c>
      <c r="G3332" s="15" t="str">
        <f>VLOOKUP(B3332,SPECIFICATIONF!$C$2:$D$65,2,0)</f>
        <v>GLOBAL RETAIL</v>
      </c>
      <c r="H3332" s="12">
        <f t="shared" si="332"/>
        <v>4</v>
      </c>
      <c r="I3332" s="12">
        <f t="shared" si="333"/>
        <v>2026</v>
      </c>
    </row>
    <row r="3333" spans="1:9" ht="19.5" customHeight="1" x14ac:dyDescent="0.35">
      <c r="A3333" s="41">
        <v>46117</v>
      </c>
      <c r="B3333" s="8" t="s">
        <v>24</v>
      </c>
      <c r="C3333" s="42" t="s">
        <v>11</v>
      </c>
      <c r="D3333" s="43" t="s">
        <v>29</v>
      </c>
      <c r="E3333" s="46">
        <v>31358299</v>
      </c>
      <c r="F3333" s="2">
        <f>IF(C3333="GBP",E3333*$C$3,IF(C3333="TRY",E3333/$C$1,IF(C3333="EUR",E3333*$E$1,IF(C3333="RUB",E3333/#REF!,IF(C3333="EGP",E3333/$E$2,E3333)))))</f>
        <v>859911.28941588115</v>
      </c>
      <c r="G3333" s="15" t="str">
        <f>VLOOKUP(B3333,SPECIFICATIONF!$C$2:$D$65,2,0)</f>
        <v>GLOBAL RETAIL</v>
      </c>
      <c r="H3333" s="12">
        <f t="shared" si="332"/>
        <v>4</v>
      </c>
      <c r="I3333" s="12">
        <f t="shared" si="333"/>
        <v>2026</v>
      </c>
    </row>
    <row r="3334" spans="1:9" ht="19.5" customHeight="1" x14ac:dyDescent="0.35">
      <c r="A3334" s="41">
        <v>46117</v>
      </c>
      <c r="B3334" s="8" t="s">
        <v>24</v>
      </c>
      <c r="C3334" s="42" t="s">
        <v>33</v>
      </c>
      <c r="D3334" s="43" t="s">
        <v>29</v>
      </c>
      <c r="E3334" s="46">
        <v>0</v>
      </c>
      <c r="F3334" s="2">
        <f>IF(C3334="GBP",E3334*$C$3,IF(C3334="TRY",E3334/$C$1,IF(C3334="EUR",E3334*$E$1,IF(C3334="RUB",E3334/#REF!,IF(C3334="EGP",E3334/$E$2,E3334)))))</f>
        <v>0</v>
      </c>
      <c r="G3334" s="15" t="str">
        <f>VLOOKUP(B3334,SPECIFICATIONF!$C$2:$D$65,2,0)</f>
        <v>GLOBAL RETAIL</v>
      </c>
      <c r="H3334" s="12">
        <f t="shared" si="332"/>
        <v>4</v>
      </c>
      <c r="I3334" s="12">
        <f t="shared" si="333"/>
        <v>2026</v>
      </c>
    </row>
    <row r="3335" spans="1:9" ht="19.5" customHeight="1" x14ac:dyDescent="0.35">
      <c r="A3335" s="41">
        <v>46118</v>
      </c>
      <c r="B3335" s="8" t="s">
        <v>32</v>
      </c>
      <c r="C3335" s="42" t="s">
        <v>11</v>
      </c>
      <c r="D3335" s="43" t="s">
        <v>30</v>
      </c>
      <c r="E3335" s="46">
        <v>1290694.1200000001</v>
      </c>
      <c r="F3335" s="2">
        <f>IF(C3335="GBP",E3335*$C$3,IF(C3335="TRY",E3335/$C$1,IF(C3335="EUR",E3335*$E$1,IF(C3335="RUB",E3335/#REF!,IF(C3335="EGP",E3335/$E$2,E3335)))))</f>
        <v>35393.579382947275</v>
      </c>
      <c r="G3335" s="15" t="str">
        <f>VLOOKUP(B3335,SPECIFICATIONF!$C$2:$D$65,2,0)</f>
        <v>GLOBAL HFT</v>
      </c>
      <c r="H3335" s="12">
        <f t="shared" si="332"/>
        <v>4</v>
      </c>
      <c r="I3335" s="12">
        <f t="shared" si="333"/>
        <v>2026</v>
      </c>
    </row>
    <row r="3336" spans="1:9" ht="19.5" customHeight="1" x14ac:dyDescent="0.35">
      <c r="A3336" s="41">
        <v>46118</v>
      </c>
      <c r="B3336" s="8" t="s">
        <v>32</v>
      </c>
      <c r="C3336" s="42" t="s">
        <v>33</v>
      </c>
      <c r="D3336" s="43" t="s">
        <v>30</v>
      </c>
      <c r="E3336" s="46">
        <v>5326.93</v>
      </c>
      <c r="F3336" s="2">
        <f>IF(C3336="GBP",E3336*$C$3,IF(C3336="TRY",E3336/$C$1,IF(C3336="EUR",E3336*$E$1,IF(C3336="RUB",E3336/#REF!,IF(C3336="EGP",E3336/$E$2,E3336)))))</f>
        <v>5326.93</v>
      </c>
      <c r="G3336" s="15" t="str">
        <f>VLOOKUP(B3336,SPECIFICATIONF!$C$2:$D$65,2,0)</f>
        <v>GLOBAL HFT</v>
      </c>
      <c r="H3336" s="12">
        <f t="shared" si="332"/>
        <v>4</v>
      </c>
      <c r="I3336" s="12">
        <f t="shared" si="333"/>
        <v>2026</v>
      </c>
    </row>
    <row r="3337" spans="1:9" ht="19.5" customHeight="1" x14ac:dyDescent="0.35">
      <c r="A3337" s="41">
        <v>46118</v>
      </c>
      <c r="B3337" s="8" t="s">
        <v>32</v>
      </c>
      <c r="C3337" s="42" t="s">
        <v>11</v>
      </c>
      <c r="D3337" s="43" t="s">
        <v>29</v>
      </c>
      <c r="E3337" s="46">
        <v>4163392949</v>
      </c>
      <c r="F3337" s="2">
        <v>0</v>
      </c>
      <c r="G3337" s="15" t="s">
        <v>24</v>
      </c>
      <c r="H3337" s="12">
        <f t="shared" si="332"/>
        <v>4</v>
      </c>
      <c r="I3337" s="12">
        <f t="shared" si="333"/>
        <v>2026</v>
      </c>
    </row>
    <row r="3338" spans="1:9" ht="19.5" customHeight="1" x14ac:dyDescent="0.35">
      <c r="A3338" s="41">
        <v>46118</v>
      </c>
      <c r="B3338" s="8" t="s">
        <v>32</v>
      </c>
      <c r="C3338" s="42" t="s">
        <v>33</v>
      </c>
      <c r="D3338" s="43" t="s">
        <v>29</v>
      </c>
      <c r="E3338" s="46">
        <v>16777371</v>
      </c>
      <c r="F3338" s="2">
        <v>0</v>
      </c>
      <c r="G3338" s="15" t="s">
        <v>24</v>
      </c>
      <c r="H3338" s="12">
        <f t="shared" si="332"/>
        <v>4</v>
      </c>
      <c r="I3338" s="12">
        <f t="shared" si="333"/>
        <v>2026</v>
      </c>
    </row>
    <row r="3339" spans="1:9" ht="19.5" customHeight="1" x14ac:dyDescent="0.35">
      <c r="A3339" s="41">
        <v>46118</v>
      </c>
      <c r="B3339" s="8" t="s">
        <v>24</v>
      </c>
      <c r="C3339" s="42" t="s">
        <v>11</v>
      </c>
      <c r="D3339" s="43" t="s">
        <v>30</v>
      </c>
      <c r="E3339" s="46">
        <v>0</v>
      </c>
      <c r="F3339" s="2">
        <f>IF(C3339="GBP",E3339*$C$3,IF(C3339="TRY",E3339/$C$1,IF(C3339="EUR",E3339*$E$1,IF(C3339="RUB",E3339/#REF!,IF(C3339="EGP",E3339/$E$2,E3339)))))</f>
        <v>0</v>
      </c>
      <c r="G3339" s="15" t="str">
        <f>VLOOKUP(B3339,SPECIFICATIONF!$C$2:$D$65,2,0)</f>
        <v>GLOBAL RETAIL</v>
      </c>
      <c r="H3339" s="12">
        <f t="shared" si="332"/>
        <v>4</v>
      </c>
      <c r="I3339" s="12">
        <f t="shared" si="333"/>
        <v>2026</v>
      </c>
    </row>
    <row r="3340" spans="1:9" ht="19.5" customHeight="1" x14ac:dyDescent="0.35">
      <c r="A3340" s="41">
        <v>46118</v>
      </c>
      <c r="B3340" s="8" t="s">
        <v>24</v>
      </c>
      <c r="C3340" s="42" t="s">
        <v>33</v>
      </c>
      <c r="D3340" s="43" t="s">
        <v>30</v>
      </c>
      <c r="E3340" s="46">
        <v>0</v>
      </c>
      <c r="F3340" s="2">
        <f>IF(C3340="GBP",E3340*$C$3,IF(C3340="TRY",E3340/$C$1,IF(C3340="EUR",E3340*$E$1,IF(C3340="RUB",E3340/#REF!,IF(C3340="EGP",E3340/$E$2,E3340)))))</f>
        <v>0</v>
      </c>
      <c r="G3340" s="15" t="str">
        <f>VLOOKUP(B3340,SPECIFICATIONF!$C$2:$D$65,2,0)</f>
        <v>GLOBAL RETAIL</v>
      </c>
      <c r="H3340" s="12">
        <f t="shared" si="332"/>
        <v>4</v>
      </c>
      <c r="I3340" s="12">
        <f t="shared" si="333"/>
        <v>2026</v>
      </c>
    </row>
    <row r="3341" spans="1:9" ht="19.5" customHeight="1" x14ac:dyDescent="0.35">
      <c r="A3341" s="41">
        <v>46118</v>
      </c>
      <c r="B3341" s="8" t="s">
        <v>24</v>
      </c>
      <c r="C3341" s="42" t="s">
        <v>11</v>
      </c>
      <c r="D3341" s="43" t="s">
        <v>29</v>
      </c>
      <c r="E3341" s="46">
        <v>42706658</v>
      </c>
      <c r="F3341" s="2">
        <f>IF(C3341="GBP",E3341*$C$3,IF(C3341="TRY",E3341/$C$1,IF(C3341="EUR",E3341*$E$1,IF(C3341="RUB",E3341/#REF!,IF(C3341="EGP",E3341/$E$2,E3341)))))</f>
        <v>1171107.4426397637</v>
      </c>
      <c r="G3341" s="15" t="str">
        <f>VLOOKUP(B3341,SPECIFICATIONF!$C$2:$D$65,2,0)</f>
        <v>GLOBAL RETAIL</v>
      </c>
      <c r="H3341" s="12">
        <f t="shared" si="332"/>
        <v>4</v>
      </c>
      <c r="I3341" s="12">
        <f t="shared" si="333"/>
        <v>2026</v>
      </c>
    </row>
    <row r="3342" spans="1:9" ht="19.5" customHeight="1" x14ac:dyDescent="0.35">
      <c r="A3342" s="41">
        <v>46118</v>
      </c>
      <c r="B3342" s="8" t="s">
        <v>24</v>
      </c>
      <c r="C3342" s="42" t="s">
        <v>33</v>
      </c>
      <c r="D3342" s="43" t="s">
        <v>29</v>
      </c>
      <c r="E3342" s="46">
        <v>0</v>
      </c>
      <c r="F3342" s="2">
        <f>IF(C3342="GBP",E3342*$C$3,IF(C3342="TRY",E3342/$C$1,IF(C3342="EUR",E3342*$E$1,IF(C3342="RUB",E3342/#REF!,IF(C3342="EGP",E3342/$E$2,E3342)))))</f>
        <v>0</v>
      </c>
      <c r="G3342" s="15" t="str">
        <f>VLOOKUP(B3342,SPECIFICATIONF!$C$2:$D$65,2,0)</f>
        <v>GLOBAL RETAIL</v>
      </c>
      <c r="H3342" s="12">
        <f t="shared" si="332"/>
        <v>4</v>
      </c>
      <c r="I3342" s="12">
        <f t="shared" si="333"/>
        <v>2026</v>
      </c>
    </row>
    <row r="3343" spans="1:9" ht="19.5" customHeight="1" x14ac:dyDescent="0.35">
      <c r="A3343" s="41">
        <v>46119</v>
      </c>
      <c r="B3343" s="8" t="s">
        <v>32</v>
      </c>
      <c r="C3343" s="42" t="s">
        <v>11</v>
      </c>
      <c r="D3343" s="43" t="s">
        <v>30</v>
      </c>
      <c r="E3343" s="46">
        <v>939754.12</v>
      </c>
      <c r="F3343" s="2">
        <f>IF(C3343="GBP",E3343*$C$3,IF(C3343="TRY",E3343/$C$1,IF(C3343="EUR",E3343*$E$1,IF(C3343="RUB",E3343/#REF!,IF(C3343="EGP",E3343/$E$2,E3343)))))</f>
        <v>25770.057778423718</v>
      </c>
      <c r="G3343" s="15" t="str">
        <f>VLOOKUP(B3343,SPECIFICATIONF!$C$2:$D$65,2,0)</f>
        <v>GLOBAL HFT</v>
      </c>
      <c r="H3343" s="12">
        <f t="shared" ref="H3343:H3350" si="334">MONTH(A3343)</f>
        <v>4</v>
      </c>
      <c r="I3343" s="12">
        <f t="shared" ref="I3343:I3350" si="335">YEAR(A3343)</f>
        <v>2026</v>
      </c>
    </row>
    <row r="3344" spans="1:9" ht="19.5" customHeight="1" x14ac:dyDescent="0.35">
      <c r="A3344" s="41">
        <v>46119</v>
      </c>
      <c r="B3344" s="8" t="s">
        <v>32</v>
      </c>
      <c r="C3344" s="42" t="s">
        <v>33</v>
      </c>
      <c r="D3344" s="43" t="s">
        <v>30</v>
      </c>
      <c r="E3344" s="46">
        <v>4796.3599999999997</v>
      </c>
      <c r="F3344" s="2">
        <f>IF(C3344="GBP",E3344*$C$3,IF(C3344="TRY",E3344/$C$1,IF(C3344="EUR",E3344*$E$1,IF(C3344="RUB",E3344/#REF!,IF(C3344="EGP",E3344/$E$2,E3344)))))</f>
        <v>4796.3599999999997</v>
      </c>
      <c r="G3344" s="15" t="str">
        <f>VLOOKUP(B3344,SPECIFICATIONF!$C$2:$D$65,2,0)</f>
        <v>GLOBAL HFT</v>
      </c>
      <c r="H3344" s="12">
        <f t="shared" si="334"/>
        <v>4</v>
      </c>
      <c r="I3344" s="12">
        <f t="shared" si="335"/>
        <v>2026</v>
      </c>
    </row>
    <row r="3345" spans="1:9" ht="19.5" customHeight="1" x14ac:dyDescent="0.35">
      <c r="A3345" s="41">
        <v>46119</v>
      </c>
      <c r="B3345" s="8" t="s">
        <v>32</v>
      </c>
      <c r="C3345" s="42" t="s">
        <v>11</v>
      </c>
      <c r="D3345" s="43" t="s">
        <v>29</v>
      </c>
      <c r="E3345" s="46">
        <v>3113130613</v>
      </c>
      <c r="F3345" s="2">
        <v>0</v>
      </c>
      <c r="G3345" s="15" t="s">
        <v>24</v>
      </c>
      <c r="H3345" s="12">
        <f t="shared" si="334"/>
        <v>4</v>
      </c>
      <c r="I3345" s="12">
        <f t="shared" si="335"/>
        <v>2026</v>
      </c>
    </row>
    <row r="3346" spans="1:9" ht="19.5" customHeight="1" x14ac:dyDescent="0.35">
      <c r="A3346" s="41">
        <v>46119</v>
      </c>
      <c r="B3346" s="8" t="s">
        <v>32</v>
      </c>
      <c r="C3346" s="42" t="s">
        <v>33</v>
      </c>
      <c r="D3346" s="43" t="s">
        <v>29</v>
      </c>
      <c r="E3346" s="46">
        <v>14765918</v>
      </c>
      <c r="F3346" s="2">
        <v>0</v>
      </c>
      <c r="G3346" s="15" t="s">
        <v>24</v>
      </c>
      <c r="H3346" s="12">
        <f t="shared" si="334"/>
        <v>4</v>
      </c>
      <c r="I3346" s="12">
        <f t="shared" si="335"/>
        <v>2026</v>
      </c>
    </row>
    <row r="3347" spans="1:9" ht="19.5" customHeight="1" x14ac:dyDescent="0.35">
      <c r="A3347" s="41">
        <v>46119</v>
      </c>
      <c r="B3347" s="8" t="s">
        <v>24</v>
      </c>
      <c r="C3347" s="42" t="s">
        <v>11</v>
      </c>
      <c r="D3347" s="43" t="s">
        <v>30</v>
      </c>
      <c r="F3347" s="2">
        <f>IF(C3347="GBP",E3347*$C$3,IF(C3347="TRY",E3347/$C$1,IF(C3347="EUR",E3347*$E$1,IF(C3347="RUB",E3347/#REF!,IF(C3347="EGP",E3347/$E$2,E3347)))))</f>
        <v>0</v>
      </c>
      <c r="G3347" s="15" t="str">
        <f>VLOOKUP(B3347,SPECIFICATIONF!$C$2:$D$65,2,0)</f>
        <v>GLOBAL RETAIL</v>
      </c>
      <c r="H3347" s="12">
        <f t="shared" si="334"/>
        <v>4</v>
      </c>
      <c r="I3347" s="12">
        <f t="shared" si="335"/>
        <v>2026</v>
      </c>
    </row>
    <row r="3348" spans="1:9" ht="19.5" customHeight="1" x14ac:dyDescent="0.35">
      <c r="A3348" s="41">
        <v>46119</v>
      </c>
      <c r="B3348" s="8" t="s">
        <v>24</v>
      </c>
      <c r="C3348" s="42" t="s">
        <v>33</v>
      </c>
      <c r="D3348" s="43" t="s">
        <v>30</v>
      </c>
      <c r="F3348" s="2">
        <f>IF(C3348="GBP",E3348*$C$3,IF(C3348="TRY",E3348/$C$1,IF(C3348="EUR",E3348*$E$1,IF(C3348="RUB",E3348/#REF!,IF(C3348="EGP",E3348/$E$2,E3348)))))</f>
        <v>0</v>
      </c>
      <c r="G3348" s="15" t="str">
        <f>VLOOKUP(B3348,SPECIFICATIONF!$C$2:$D$65,2,0)</f>
        <v>GLOBAL RETAIL</v>
      </c>
      <c r="H3348" s="12">
        <f t="shared" si="334"/>
        <v>4</v>
      </c>
      <c r="I3348" s="12">
        <f t="shared" si="335"/>
        <v>2026</v>
      </c>
    </row>
    <row r="3349" spans="1:9" ht="19.5" customHeight="1" x14ac:dyDescent="0.35">
      <c r="A3349" s="41">
        <v>46119</v>
      </c>
      <c r="B3349" s="8" t="s">
        <v>24</v>
      </c>
      <c r="C3349" s="42" t="s">
        <v>11</v>
      </c>
      <c r="D3349" s="43" t="s">
        <v>29</v>
      </c>
      <c r="F3349" s="2">
        <f>IF(C3349="GBP",E3349*$C$3,IF(C3349="TRY",E3349/$C$1,IF(C3349="EUR",E3349*$E$1,IF(C3349="RUB",E3349/#REF!,IF(C3349="EGP",E3349/$E$2,E3349)))))</f>
        <v>0</v>
      </c>
      <c r="G3349" s="15" t="str">
        <f>VLOOKUP(B3349,SPECIFICATIONF!$C$2:$D$65,2,0)</f>
        <v>GLOBAL RETAIL</v>
      </c>
      <c r="H3349" s="12">
        <f t="shared" si="334"/>
        <v>4</v>
      </c>
      <c r="I3349" s="12">
        <f t="shared" si="335"/>
        <v>2026</v>
      </c>
    </row>
    <row r="3350" spans="1:9" ht="19.5" customHeight="1" x14ac:dyDescent="0.35">
      <c r="A3350" s="41">
        <v>46119</v>
      </c>
      <c r="B3350" s="8" t="s">
        <v>24</v>
      </c>
      <c r="C3350" s="42" t="s">
        <v>33</v>
      </c>
      <c r="D3350" s="43" t="s">
        <v>29</v>
      </c>
      <c r="F3350" s="2">
        <f>IF(C3350="GBP",E3350*$C$3,IF(C3350="TRY",E3350/$C$1,IF(C3350="EUR",E3350*$E$1,IF(C3350="RUB",E3350/#REF!,IF(C3350="EGP",E3350/$E$2,E3350)))))</f>
        <v>0</v>
      </c>
      <c r="G3350" s="15" t="str">
        <f>VLOOKUP(B3350,SPECIFICATIONF!$C$2:$D$65,2,0)</f>
        <v>GLOBAL RETAIL</v>
      </c>
      <c r="H3350" s="12">
        <f t="shared" si="334"/>
        <v>4</v>
      </c>
      <c r="I3350" s="12">
        <f t="shared" si="335"/>
        <v>2026</v>
      </c>
    </row>
    <row r="3351" spans="1:9" ht="19.5" customHeight="1" x14ac:dyDescent="0.35">
      <c r="A3351" s="41">
        <v>46120</v>
      </c>
      <c r="B3351" s="8" t="s">
        <v>32</v>
      </c>
      <c r="C3351" s="42" t="s">
        <v>11</v>
      </c>
      <c r="D3351" s="43" t="s">
        <v>30</v>
      </c>
      <c r="E3351" s="46">
        <v>1351682.58</v>
      </c>
      <c r="F3351" s="2">
        <f>IF(C3351="GBP",E3351*$C$3,IF(C3351="TRY",E3351/$C$1,IF(C3351="EUR",E3351*$E$1,IF(C3351="RUB",E3351/#REF!,IF(C3351="EGP",E3351/$E$2,E3351)))))</f>
        <v>37066.012740320672</v>
      </c>
      <c r="G3351" s="15" t="str">
        <f>VLOOKUP(B3351,SPECIFICATIONF!$C$2:$D$65,2,0)</f>
        <v>GLOBAL HFT</v>
      </c>
      <c r="H3351" s="12">
        <f t="shared" ref="H3351:H3358" si="336">MONTH(A3351)</f>
        <v>4</v>
      </c>
      <c r="I3351" s="12">
        <f t="shared" ref="I3351:I3358" si="337">YEAR(A3351)</f>
        <v>2026</v>
      </c>
    </row>
    <row r="3352" spans="1:9" ht="19.5" customHeight="1" x14ac:dyDescent="0.35">
      <c r="A3352" s="41">
        <v>46120</v>
      </c>
      <c r="B3352" s="8" t="s">
        <v>32</v>
      </c>
      <c r="C3352" s="42" t="s">
        <v>33</v>
      </c>
      <c r="D3352" s="43" t="s">
        <v>30</v>
      </c>
      <c r="E3352" s="46">
        <v>8322.27</v>
      </c>
      <c r="F3352" s="2">
        <f>IF(C3352="GBP",E3352*$C$3,IF(C3352="TRY",E3352/$C$1,IF(C3352="EUR",E3352*$E$1,IF(C3352="RUB",E3352/#REF!,IF(C3352="EGP",E3352/$E$2,E3352)))))</f>
        <v>8322.27</v>
      </c>
      <c r="G3352" s="15" t="str">
        <f>VLOOKUP(B3352,SPECIFICATIONF!$C$2:$D$65,2,0)</f>
        <v>GLOBAL HFT</v>
      </c>
      <c r="H3352" s="12">
        <f t="shared" si="336"/>
        <v>4</v>
      </c>
      <c r="I3352" s="12">
        <f t="shared" si="337"/>
        <v>2026</v>
      </c>
    </row>
    <row r="3353" spans="1:9" ht="19.5" customHeight="1" x14ac:dyDescent="0.35">
      <c r="A3353" s="41">
        <v>46120</v>
      </c>
      <c r="B3353" s="8" t="s">
        <v>32</v>
      </c>
      <c r="C3353" s="42" t="s">
        <v>11</v>
      </c>
      <c r="D3353" s="43" t="s">
        <v>29</v>
      </c>
      <c r="E3353" s="46">
        <v>4340340774</v>
      </c>
      <c r="F3353" s="2"/>
      <c r="G3353" s="15" t="s">
        <v>24</v>
      </c>
      <c r="H3353" s="12">
        <f t="shared" si="336"/>
        <v>4</v>
      </c>
      <c r="I3353" s="12">
        <f t="shared" si="337"/>
        <v>2026</v>
      </c>
    </row>
    <row r="3354" spans="1:9" ht="19.5" customHeight="1" x14ac:dyDescent="0.35">
      <c r="A3354" s="41">
        <v>46120</v>
      </c>
      <c r="B3354" s="8" t="s">
        <v>32</v>
      </c>
      <c r="C3354" s="42" t="s">
        <v>33</v>
      </c>
      <c r="D3354" s="43" t="s">
        <v>29</v>
      </c>
      <c r="E3354" s="46">
        <v>25700662</v>
      </c>
      <c r="F3354" s="2"/>
      <c r="G3354" s="15" t="s">
        <v>24</v>
      </c>
      <c r="H3354" s="12">
        <f t="shared" si="336"/>
        <v>4</v>
      </c>
      <c r="I3354" s="12">
        <f t="shared" si="337"/>
        <v>2026</v>
      </c>
    </row>
    <row r="3355" spans="1:9" ht="19.5" customHeight="1" x14ac:dyDescent="0.35">
      <c r="A3355" s="41">
        <v>46120</v>
      </c>
      <c r="B3355" s="8" t="s">
        <v>24</v>
      </c>
      <c r="C3355" s="42" t="s">
        <v>11</v>
      </c>
      <c r="D3355" s="43" t="s">
        <v>30</v>
      </c>
      <c r="F3355" s="2"/>
      <c r="G3355" s="15" t="str">
        <f>VLOOKUP(B3355,SPECIFICATIONF!$C$2:$D$65,2,0)</f>
        <v>GLOBAL RETAIL</v>
      </c>
      <c r="H3355" s="12">
        <f t="shared" si="336"/>
        <v>4</v>
      </c>
      <c r="I3355" s="12">
        <f t="shared" si="337"/>
        <v>2026</v>
      </c>
    </row>
    <row r="3356" spans="1:9" ht="19.5" customHeight="1" x14ac:dyDescent="0.35">
      <c r="A3356" s="41">
        <v>46120</v>
      </c>
      <c r="B3356" s="8" t="s">
        <v>24</v>
      </c>
      <c r="C3356" s="42" t="s">
        <v>33</v>
      </c>
      <c r="D3356" s="43" t="s">
        <v>30</v>
      </c>
      <c r="F3356" s="2">
        <f>IF(C3356="GBP",E3356*$C$3,IF(C3356="TRY",E3356/$C$1,IF(C3356="EUR",E3356*$E$1,IF(C3356="RUB",E3356/#REF!,IF(C3356="EGP",E3356/$E$2,E3356)))))</f>
        <v>0</v>
      </c>
      <c r="G3356" s="15" t="str">
        <f>VLOOKUP(B3356,SPECIFICATIONF!$C$2:$D$65,2,0)</f>
        <v>GLOBAL RETAIL</v>
      </c>
      <c r="H3356" s="12">
        <f t="shared" si="336"/>
        <v>4</v>
      </c>
      <c r="I3356" s="12">
        <f t="shared" si="337"/>
        <v>2026</v>
      </c>
    </row>
    <row r="3357" spans="1:9" ht="19.5" customHeight="1" x14ac:dyDescent="0.35">
      <c r="A3357" s="41">
        <v>46120</v>
      </c>
      <c r="B3357" s="8" t="s">
        <v>24</v>
      </c>
      <c r="C3357" s="42" t="s">
        <v>11</v>
      </c>
      <c r="D3357" s="43" t="s">
        <v>29</v>
      </c>
      <c r="F3357" s="2">
        <f>IF(C3357="GBP",E3357*$C$3,IF(C3357="TRY",E3357/$C$1,IF(C3357="EUR",E3357*$E$1,IF(C3357="RUB",E3357/#REF!,IF(C3357="EGP",E3357/$E$2,E3357)))))</f>
        <v>0</v>
      </c>
      <c r="G3357" s="15" t="str">
        <f>VLOOKUP(B3357,SPECIFICATIONF!$C$2:$D$65,2,0)</f>
        <v>GLOBAL RETAIL</v>
      </c>
      <c r="H3357" s="12">
        <f t="shared" si="336"/>
        <v>4</v>
      </c>
      <c r="I3357" s="12">
        <f t="shared" si="337"/>
        <v>2026</v>
      </c>
    </row>
    <row r="3358" spans="1:9" ht="19.5" customHeight="1" x14ac:dyDescent="0.35">
      <c r="A3358" s="41">
        <v>46120</v>
      </c>
      <c r="B3358" s="8" t="s">
        <v>24</v>
      </c>
      <c r="C3358" s="42" t="s">
        <v>33</v>
      </c>
      <c r="D3358" s="43" t="s">
        <v>29</v>
      </c>
      <c r="F3358" s="2">
        <f>IF(C3358="GBP",E3358*$C$3,IF(C3358="TRY",E3358/$C$1,IF(C3358="EUR",E3358*$E$1,IF(C3358="RUB",E3358/#REF!,IF(C3358="EGP",E3358/$E$2,E3358)))))</f>
        <v>0</v>
      </c>
      <c r="G3358" s="15" t="str">
        <f>VLOOKUP(B3358,SPECIFICATIONF!$C$2:$D$65,2,0)</f>
        <v>GLOBAL RETAIL</v>
      </c>
      <c r="H3358" s="12">
        <f t="shared" si="336"/>
        <v>4</v>
      </c>
      <c r="I3358" s="12">
        <f t="shared" si="337"/>
        <v>2026</v>
      </c>
    </row>
    <row r="3359" spans="1:9" ht="19.5" customHeight="1" x14ac:dyDescent="0.35">
      <c r="A3359" s="41">
        <v>46121</v>
      </c>
      <c r="B3359" s="8" t="s">
        <v>32</v>
      </c>
      <c r="C3359" s="42" t="s">
        <v>11</v>
      </c>
      <c r="D3359" s="43" t="s">
        <v>30</v>
      </c>
      <c r="E3359" s="46">
        <v>1157542.99</v>
      </c>
      <c r="F3359" s="2"/>
      <c r="G3359" s="15" t="str">
        <f>VLOOKUP(B3359,SPECIFICATIONF!$C$2:$D$65,2,0)</f>
        <v>GLOBAL HFT</v>
      </c>
      <c r="H3359" s="12">
        <f t="shared" ref="H3359:H3366" si="338">MONTH(A3359)</f>
        <v>4</v>
      </c>
      <c r="I3359" s="12">
        <f t="shared" ref="I3359:I3366" si="339">YEAR(A3359)</f>
        <v>2026</v>
      </c>
    </row>
    <row r="3360" spans="1:9" ht="19.5" customHeight="1" x14ac:dyDescent="0.35">
      <c r="A3360" s="41">
        <v>46121</v>
      </c>
      <c r="B3360" s="8" t="s">
        <v>32</v>
      </c>
      <c r="C3360" s="42" t="s">
        <v>33</v>
      </c>
      <c r="D3360" s="43" t="s">
        <v>30</v>
      </c>
      <c r="E3360" s="46">
        <v>4787.2299999999996</v>
      </c>
      <c r="F3360" s="2">
        <f>IF(C3360="GBP",E3360*$C$3,IF(C3360="TRY",E3360/$C$1,IF(C3360="EUR",E3360*$E$1,IF(C3360="RUB",E3360/#REF!,IF(C3360="EGP",E3360/$E$2,E3360)))))</f>
        <v>4787.2299999999996</v>
      </c>
      <c r="G3360" s="15" t="str">
        <f>VLOOKUP(B3360,SPECIFICATIONF!$C$2:$D$65,2,0)</f>
        <v>GLOBAL HFT</v>
      </c>
      <c r="H3360" s="12">
        <f t="shared" si="338"/>
        <v>4</v>
      </c>
      <c r="I3360" s="12">
        <f t="shared" si="339"/>
        <v>2026</v>
      </c>
    </row>
    <row r="3361" spans="1:9" ht="19.5" customHeight="1" x14ac:dyDescent="0.35">
      <c r="A3361" s="41">
        <v>46121</v>
      </c>
      <c r="B3361" s="8" t="s">
        <v>32</v>
      </c>
      <c r="C3361" s="42" t="s">
        <v>11</v>
      </c>
      <c r="D3361" s="43" t="s">
        <v>29</v>
      </c>
      <c r="E3361" s="46">
        <v>3773187882</v>
      </c>
      <c r="F3361" s="2"/>
      <c r="G3361" s="15" t="s">
        <v>24</v>
      </c>
      <c r="H3361" s="12">
        <f t="shared" si="338"/>
        <v>4</v>
      </c>
      <c r="I3361" s="12">
        <f t="shared" si="339"/>
        <v>2026</v>
      </c>
    </row>
    <row r="3362" spans="1:9" ht="19.5" customHeight="1" x14ac:dyDescent="0.35">
      <c r="A3362" s="41">
        <v>46121</v>
      </c>
      <c r="B3362" s="8" t="s">
        <v>32</v>
      </c>
      <c r="C3362" s="42" t="s">
        <v>33</v>
      </c>
      <c r="D3362" s="43" t="s">
        <v>29</v>
      </c>
      <c r="E3362" s="46">
        <v>15198644</v>
      </c>
      <c r="F3362" s="2"/>
      <c r="G3362" s="15" t="s">
        <v>24</v>
      </c>
      <c r="H3362" s="12">
        <f t="shared" si="338"/>
        <v>4</v>
      </c>
      <c r="I3362" s="12">
        <f t="shared" si="339"/>
        <v>2026</v>
      </c>
    </row>
    <row r="3363" spans="1:9" ht="19.5" customHeight="1" x14ac:dyDescent="0.35">
      <c r="A3363" s="41">
        <v>46121</v>
      </c>
      <c r="B3363" s="8" t="s">
        <v>24</v>
      </c>
      <c r="C3363" s="42" t="s">
        <v>11</v>
      </c>
      <c r="D3363" s="43" t="s">
        <v>30</v>
      </c>
      <c r="F3363" s="2"/>
      <c r="G3363" s="15" t="str">
        <f>VLOOKUP(B3363,SPECIFICATIONF!$C$2:$D$65,2,0)</f>
        <v>GLOBAL RETAIL</v>
      </c>
      <c r="H3363" s="12">
        <f t="shared" si="338"/>
        <v>4</v>
      </c>
      <c r="I3363" s="12">
        <f t="shared" si="339"/>
        <v>2026</v>
      </c>
    </row>
    <row r="3364" spans="1:9" ht="19.5" customHeight="1" x14ac:dyDescent="0.35">
      <c r="A3364" s="41">
        <v>46121</v>
      </c>
      <c r="B3364" s="8" t="s">
        <v>24</v>
      </c>
      <c r="C3364" s="42" t="s">
        <v>33</v>
      </c>
      <c r="D3364" s="43" t="s">
        <v>30</v>
      </c>
      <c r="F3364" s="2"/>
      <c r="G3364" s="15" t="str">
        <f>VLOOKUP(B3364,SPECIFICATIONF!$C$2:$D$65,2,0)</f>
        <v>GLOBAL RETAIL</v>
      </c>
      <c r="H3364" s="12">
        <f t="shared" si="338"/>
        <v>4</v>
      </c>
      <c r="I3364" s="12">
        <f t="shared" si="339"/>
        <v>2026</v>
      </c>
    </row>
    <row r="3365" spans="1:9" ht="19.5" customHeight="1" x14ac:dyDescent="0.35">
      <c r="A3365" s="41">
        <v>46121</v>
      </c>
      <c r="B3365" s="8" t="s">
        <v>24</v>
      </c>
      <c r="C3365" s="42" t="s">
        <v>11</v>
      </c>
      <c r="D3365" s="43" t="s">
        <v>29</v>
      </c>
      <c r="F3365" s="2"/>
      <c r="G3365" s="15" t="str">
        <f>VLOOKUP(B3365,SPECIFICATIONF!$C$2:$D$65,2,0)</f>
        <v>GLOBAL RETAIL</v>
      </c>
      <c r="H3365" s="12">
        <f t="shared" si="338"/>
        <v>4</v>
      </c>
      <c r="I3365" s="12">
        <f t="shared" si="339"/>
        <v>2026</v>
      </c>
    </row>
    <row r="3366" spans="1:9" ht="19.5" customHeight="1" x14ac:dyDescent="0.35">
      <c r="A3366" s="41">
        <v>46121</v>
      </c>
      <c r="B3366" s="8" t="s">
        <v>24</v>
      </c>
      <c r="C3366" s="42" t="s">
        <v>33</v>
      </c>
      <c r="D3366" s="43" t="s">
        <v>29</v>
      </c>
      <c r="F3366" s="2"/>
      <c r="G3366" s="15" t="str">
        <f>VLOOKUP(B3366,SPECIFICATIONF!$C$2:$D$65,2,0)</f>
        <v>GLOBAL RETAIL</v>
      </c>
      <c r="H3366" s="12">
        <f t="shared" si="338"/>
        <v>4</v>
      </c>
      <c r="I3366" s="12">
        <f t="shared" si="339"/>
        <v>2026</v>
      </c>
    </row>
    <row r="3367" spans="1:9" ht="19.5" customHeight="1" x14ac:dyDescent="0.35">
      <c r="A3367" s="41">
        <v>46122</v>
      </c>
      <c r="B3367" s="8" t="s">
        <v>32</v>
      </c>
      <c r="C3367" s="42" t="s">
        <v>11</v>
      </c>
      <c r="D3367" s="43" t="s">
        <v>30</v>
      </c>
      <c r="E3367" s="46">
        <v>1227619.74</v>
      </c>
      <c r="F3367" s="2"/>
      <c r="G3367" s="15" t="str">
        <f>VLOOKUP(B3367,SPECIFICATIONF!$C$2:$D$65,2,0)</f>
        <v>GLOBAL HFT</v>
      </c>
      <c r="H3367" s="12">
        <f t="shared" ref="H3367:H3374" si="340">MONTH(A3367)</f>
        <v>4</v>
      </c>
      <c r="I3367" s="12">
        <f t="shared" ref="I3367:I3374" si="341">YEAR(A3367)</f>
        <v>2026</v>
      </c>
    </row>
    <row r="3368" spans="1:9" ht="19.5" customHeight="1" x14ac:dyDescent="0.35">
      <c r="A3368" s="41">
        <v>46122</v>
      </c>
      <c r="B3368" s="8" t="s">
        <v>32</v>
      </c>
      <c r="C3368" s="42" t="s">
        <v>33</v>
      </c>
      <c r="D3368" s="43" t="s">
        <v>30</v>
      </c>
      <c r="E3368" s="46">
        <v>6406.26</v>
      </c>
      <c r="F3368" s="2"/>
      <c r="G3368" s="15" t="str">
        <f>VLOOKUP(B3368,SPECIFICATIONF!$C$2:$D$65,2,0)</f>
        <v>GLOBAL HFT</v>
      </c>
      <c r="H3368" s="12">
        <f t="shared" si="340"/>
        <v>4</v>
      </c>
      <c r="I3368" s="12">
        <f t="shared" si="341"/>
        <v>2026</v>
      </c>
    </row>
    <row r="3369" spans="1:9" ht="19.5" customHeight="1" x14ac:dyDescent="0.35">
      <c r="A3369" s="41">
        <v>46122</v>
      </c>
      <c r="B3369" s="8" t="s">
        <v>32</v>
      </c>
      <c r="C3369" s="42" t="s">
        <v>11</v>
      </c>
      <c r="D3369" s="43" t="s">
        <v>29</v>
      </c>
      <c r="E3369" s="46">
        <v>4081095314</v>
      </c>
      <c r="F3369" s="2"/>
      <c r="G3369" s="15" t="s">
        <v>24</v>
      </c>
      <c r="H3369" s="12">
        <f t="shared" si="340"/>
        <v>4</v>
      </c>
      <c r="I3369" s="12">
        <f t="shared" si="341"/>
        <v>2026</v>
      </c>
    </row>
    <row r="3370" spans="1:9" ht="19.5" customHeight="1" x14ac:dyDescent="0.35">
      <c r="A3370" s="41">
        <v>46122</v>
      </c>
      <c r="B3370" s="8" t="s">
        <v>32</v>
      </c>
      <c r="C3370" s="42" t="s">
        <v>33</v>
      </c>
      <c r="D3370" s="43" t="s">
        <v>29</v>
      </c>
      <c r="E3370" s="46">
        <v>19172934</v>
      </c>
      <c r="F3370" s="2"/>
      <c r="G3370" s="15" t="s">
        <v>24</v>
      </c>
      <c r="H3370" s="12">
        <f t="shared" si="340"/>
        <v>4</v>
      </c>
      <c r="I3370" s="12">
        <f t="shared" si="341"/>
        <v>2026</v>
      </c>
    </row>
    <row r="3371" spans="1:9" ht="19.5" customHeight="1" x14ac:dyDescent="0.35">
      <c r="A3371" s="41">
        <v>46122</v>
      </c>
      <c r="B3371" s="8" t="s">
        <v>24</v>
      </c>
      <c r="C3371" s="42" t="s">
        <v>11</v>
      </c>
      <c r="D3371" s="43" t="s">
        <v>30</v>
      </c>
      <c r="F3371" s="2"/>
      <c r="G3371" s="15" t="str">
        <f>VLOOKUP(B3371,SPECIFICATIONF!$C$2:$D$65,2,0)</f>
        <v>GLOBAL RETAIL</v>
      </c>
      <c r="H3371" s="12">
        <f t="shared" si="340"/>
        <v>4</v>
      </c>
      <c r="I3371" s="12">
        <f t="shared" si="341"/>
        <v>2026</v>
      </c>
    </row>
    <row r="3372" spans="1:9" ht="19.5" customHeight="1" x14ac:dyDescent="0.35">
      <c r="A3372" s="41">
        <v>46122</v>
      </c>
      <c r="B3372" s="8" t="s">
        <v>24</v>
      </c>
      <c r="C3372" s="42" t="s">
        <v>33</v>
      </c>
      <c r="D3372" s="43" t="s">
        <v>30</v>
      </c>
      <c r="F3372" s="2"/>
      <c r="G3372" s="15" t="str">
        <f>VLOOKUP(B3372,SPECIFICATIONF!$C$2:$D$65,2,0)</f>
        <v>GLOBAL RETAIL</v>
      </c>
      <c r="H3372" s="12">
        <f t="shared" si="340"/>
        <v>4</v>
      </c>
      <c r="I3372" s="12">
        <f t="shared" si="341"/>
        <v>2026</v>
      </c>
    </row>
    <row r="3373" spans="1:9" ht="19.5" customHeight="1" x14ac:dyDescent="0.35">
      <c r="A3373" s="41">
        <v>46122</v>
      </c>
      <c r="B3373" s="8" t="s">
        <v>24</v>
      </c>
      <c r="C3373" s="42" t="s">
        <v>11</v>
      </c>
      <c r="D3373" s="43" t="s">
        <v>29</v>
      </c>
      <c r="F3373" s="2"/>
      <c r="G3373" s="15" t="str">
        <f>VLOOKUP(B3373,SPECIFICATIONF!$C$2:$D$65,2,0)</f>
        <v>GLOBAL RETAIL</v>
      </c>
      <c r="H3373" s="12">
        <f t="shared" si="340"/>
        <v>4</v>
      </c>
      <c r="I3373" s="12">
        <f t="shared" si="341"/>
        <v>2026</v>
      </c>
    </row>
    <row r="3374" spans="1:9" ht="19.5" customHeight="1" x14ac:dyDescent="0.35">
      <c r="A3374" s="41">
        <v>46122</v>
      </c>
      <c r="B3374" s="8" t="s">
        <v>24</v>
      </c>
      <c r="C3374" s="42" t="s">
        <v>33</v>
      </c>
      <c r="D3374" s="43" t="s">
        <v>29</v>
      </c>
      <c r="F3374" s="2"/>
      <c r="G3374" s="15" t="str">
        <f>VLOOKUP(B3374,SPECIFICATIONF!$C$2:$D$65,2,0)</f>
        <v>GLOBAL RETAIL</v>
      </c>
      <c r="H3374" s="12">
        <f t="shared" si="340"/>
        <v>4</v>
      </c>
      <c r="I3374" s="12">
        <f t="shared" si="341"/>
        <v>2026</v>
      </c>
    </row>
    <row r="3375" spans="1:9" ht="19.5" customHeight="1" x14ac:dyDescent="0.35">
      <c r="A3375" s="41">
        <v>46123</v>
      </c>
      <c r="B3375" s="8" t="s">
        <v>32</v>
      </c>
      <c r="C3375" s="42" t="s">
        <v>11</v>
      </c>
      <c r="D3375" s="43" t="s">
        <v>30</v>
      </c>
      <c r="E3375" s="46">
        <v>1010791.34</v>
      </c>
      <c r="F3375" s="2"/>
      <c r="G3375" s="15" t="str">
        <f>VLOOKUP(B3375,SPECIFICATIONF!$C$2:$D$65,2,0)</f>
        <v>GLOBAL HFT</v>
      </c>
      <c r="H3375" s="12">
        <f t="shared" ref="H3375:H3382" si="342">MONTH(A3375)</f>
        <v>4</v>
      </c>
      <c r="I3375" s="12">
        <f t="shared" ref="I3375:I3382" si="343">YEAR(A3375)</f>
        <v>2026</v>
      </c>
    </row>
    <row r="3376" spans="1:9" ht="19.5" customHeight="1" x14ac:dyDescent="0.35">
      <c r="A3376" s="41">
        <v>46123</v>
      </c>
      <c r="B3376" s="8" t="s">
        <v>32</v>
      </c>
      <c r="C3376" s="42" t="s">
        <v>33</v>
      </c>
      <c r="D3376" s="43" t="s">
        <v>30</v>
      </c>
      <c r="E3376" s="46">
        <v>5506.47</v>
      </c>
      <c r="F3376" s="2"/>
      <c r="G3376" s="15" t="str">
        <f>VLOOKUP(B3376,SPECIFICATIONF!$C$2:$D$65,2,0)</f>
        <v>GLOBAL HFT</v>
      </c>
      <c r="H3376" s="12">
        <f t="shared" si="342"/>
        <v>4</v>
      </c>
      <c r="I3376" s="12">
        <f t="shared" si="343"/>
        <v>2026</v>
      </c>
    </row>
    <row r="3377" spans="1:9" ht="19.5" customHeight="1" x14ac:dyDescent="0.35">
      <c r="A3377" s="41">
        <v>46123</v>
      </c>
      <c r="B3377" s="8" t="s">
        <v>32</v>
      </c>
      <c r="C3377" s="42" t="s">
        <v>11</v>
      </c>
      <c r="D3377" s="43" t="s">
        <v>29</v>
      </c>
      <c r="E3377" s="46">
        <v>3452350209</v>
      </c>
      <c r="F3377" s="2"/>
      <c r="G3377" s="15" t="s">
        <v>24</v>
      </c>
      <c r="H3377" s="12">
        <f t="shared" si="342"/>
        <v>4</v>
      </c>
      <c r="I3377" s="12">
        <f t="shared" si="343"/>
        <v>2026</v>
      </c>
    </row>
    <row r="3378" spans="1:9" ht="19.5" customHeight="1" x14ac:dyDescent="0.35">
      <c r="A3378" s="41">
        <v>46123</v>
      </c>
      <c r="B3378" s="8" t="s">
        <v>32</v>
      </c>
      <c r="C3378" s="42" t="s">
        <v>33</v>
      </c>
      <c r="D3378" s="43" t="s">
        <v>29</v>
      </c>
      <c r="E3378" s="46">
        <v>16754266</v>
      </c>
      <c r="F3378" s="2"/>
      <c r="G3378" s="15" t="s">
        <v>24</v>
      </c>
      <c r="H3378" s="12">
        <f t="shared" si="342"/>
        <v>4</v>
      </c>
      <c r="I3378" s="12">
        <f t="shared" si="343"/>
        <v>2026</v>
      </c>
    </row>
    <row r="3379" spans="1:9" ht="19.5" customHeight="1" x14ac:dyDescent="0.35">
      <c r="A3379" s="41">
        <v>46123</v>
      </c>
      <c r="B3379" s="8" t="s">
        <v>24</v>
      </c>
      <c r="C3379" s="42" t="s">
        <v>11</v>
      </c>
      <c r="D3379" s="43" t="s">
        <v>30</v>
      </c>
      <c r="F3379" s="2"/>
      <c r="G3379" s="15" t="str">
        <f>VLOOKUP(B3379,SPECIFICATIONF!$C$2:$D$65,2,0)</f>
        <v>GLOBAL RETAIL</v>
      </c>
      <c r="H3379" s="12">
        <f t="shared" si="342"/>
        <v>4</v>
      </c>
      <c r="I3379" s="12">
        <f t="shared" si="343"/>
        <v>2026</v>
      </c>
    </row>
    <row r="3380" spans="1:9" ht="19.5" customHeight="1" x14ac:dyDescent="0.35">
      <c r="A3380" s="41">
        <v>46123</v>
      </c>
      <c r="B3380" s="8" t="s">
        <v>24</v>
      </c>
      <c r="C3380" s="42" t="s">
        <v>33</v>
      </c>
      <c r="D3380" s="43" t="s">
        <v>30</v>
      </c>
      <c r="F3380" s="2"/>
      <c r="G3380" s="15" t="str">
        <f>VLOOKUP(B3380,SPECIFICATIONF!$C$2:$D$65,2,0)</f>
        <v>GLOBAL RETAIL</v>
      </c>
      <c r="H3380" s="12">
        <f t="shared" si="342"/>
        <v>4</v>
      </c>
      <c r="I3380" s="12">
        <f t="shared" si="343"/>
        <v>2026</v>
      </c>
    </row>
    <row r="3381" spans="1:9" ht="19.5" customHeight="1" x14ac:dyDescent="0.35">
      <c r="A3381" s="41">
        <v>46123</v>
      </c>
      <c r="B3381" s="8" t="s">
        <v>24</v>
      </c>
      <c r="C3381" s="42" t="s">
        <v>11</v>
      </c>
      <c r="D3381" s="43" t="s">
        <v>29</v>
      </c>
      <c r="F3381" s="2"/>
      <c r="G3381" s="15" t="str">
        <f>VLOOKUP(B3381,SPECIFICATIONF!$C$2:$D$65,2,0)</f>
        <v>GLOBAL RETAIL</v>
      </c>
      <c r="H3381" s="12">
        <f t="shared" si="342"/>
        <v>4</v>
      </c>
      <c r="I3381" s="12">
        <f t="shared" si="343"/>
        <v>2026</v>
      </c>
    </row>
    <row r="3382" spans="1:9" ht="19.5" customHeight="1" x14ac:dyDescent="0.35">
      <c r="A3382" s="41">
        <v>46123</v>
      </c>
      <c r="B3382" s="8" t="s">
        <v>24</v>
      </c>
      <c r="C3382" s="42" t="s">
        <v>33</v>
      </c>
      <c r="D3382" s="43" t="s">
        <v>29</v>
      </c>
      <c r="F3382" s="2"/>
      <c r="G3382" s="15" t="str">
        <f>VLOOKUP(B3382,SPECIFICATIONF!$C$2:$D$65,2,0)</f>
        <v>GLOBAL RETAIL</v>
      </c>
      <c r="H3382" s="12">
        <f t="shared" si="342"/>
        <v>4</v>
      </c>
      <c r="I3382" s="12">
        <f t="shared" si="343"/>
        <v>2026</v>
      </c>
    </row>
    <row r="3383" spans="1:9" ht="19.5" customHeight="1" x14ac:dyDescent="0.35">
      <c r="A3383" s="41">
        <v>46124</v>
      </c>
      <c r="B3383" s="8" t="s">
        <v>32</v>
      </c>
      <c r="C3383" s="42" t="s">
        <v>11</v>
      </c>
      <c r="D3383" s="43" t="s">
        <v>30</v>
      </c>
      <c r="E3383" s="46">
        <v>1456529.13</v>
      </c>
      <c r="F3383" s="2"/>
      <c r="G3383" s="15" t="str">
        <f>VLOOKUP(B3383,SPECIFICATIONF!$C$2:$D$65,2,0)</f>
        <v>GLOBAL HFT</v>
      </c>
      <c r="H3383" s="12">
        <f t="shared" ref="H3383:H3398" si="344">MONTH(A3383)</f>
        <v>4</v>
      </c>
      <c r="I3383" s="12">
        <f t="shared" ref="I3383:I3398" si="345">YEAR(A3383)</f>
        <v>2026</v>
      </c>
    </row>
    <row r="3384" spans="1:9" ht="19.5" customHeight="1" x14ac:dyDescent="0.35">
      <c r="A3384" s="41">
        <v>46124</v>
      </c>
      <c r="B3384" s="8" t="s">
        <v>32</v>
      </c>
      <c r="C3384" s="42" t="s">
        <v>33</v>
      </c>
      <c r="D3384" s="43" t="s">
        <v>30</v>
      </c>
      <c r="E3384" s="46">
        <v>7084.06</v>
      </c>
      <c r="F3384" s="2"/>
      <c r="G3384" s="15" t="str">
        <f>VLOOKUP(B3384,SPECIFICATIONF!$C$2:$D$65,2,0)</f>
        <v>GLOBAL HFT</v>
      </c>
      <c r="H3384" s="12">
        <f t="shared" si="344"/>
        <v>4</v>
      </c>
      <c r="I3384" s="12">
        <f t="shared" si="345"/>
        <v>2026</v>
      </c>
    </row>
    <row r="3385" spans="1:9" ht="19.5" customHeight="1" x14ac:dyDescent="0.35">
      <c r="A3385" s="41">
        <v>46124</v>
      </c>
      <c r="B3385" s="8" t="s">
        <v>32</v>
      </c>
      <c r="C3385" s="42" t="s">
        <v>11</v>
      </c>
      <c r="D3385" s="43" t="s">
        <v>29</v>
      </c>
      <c r="E3385" s="46">
        <v>4758547803</v>
      </c>
      <c r="F3385" s="2"/>
      <c r="G3385" s="15" t="s">
        <v>24</v>
      </c>
      <c r="H3385" s="12">
        <f t="shared" si="344"/>
        <v>4</v>
      </c>
      <c r="I3385" s="12">
        <f t="shared" si="345"/>
        <v>2026</v>
      </c>
    </row>
    <row r="3386" spans="1:9" ht="19.5" customHeight="1" x14ac:dyDescent="0.35">
      <c r="A3386" s="41">
        <v>46124</v>
      </c>
      <c r="B3386" s="8" t="s">
        <v>32</v>
      </c>
      <c r="C3386" s="42" t="s">
        <v>33</v>
      </c>
      <c r="D3386" s="43" t="s">
        <v>29</v>
      </c>
      <c r="E3386" s="46">
        <v>20875675</v>
      </c>
      <c r="F3386" s="2"/>
      <c r="G3386" s="15" t="s">
        <v>24</v>
      </c>
      <c r="H3386" s="12">
        <f t="shared" si="344"/>
        <v>4</v>
      </c>
      <c r="I3386" s="12">
        <f t="shared" si="345"/>
        <v>2026</v>
      </c>
    </row>
    <row r="3387" spans="1:9" ht="19.5" customHeight="1" x14ac:dyDescent="0.35">
      <c r="A3387" s="41">
        <v>46124</v>
      </c>
      <c r="B3387" s="8" t="s">
        <v>24</v>
      </c>
      <c r="C3387" s="42" t="s">
        <v>11</v>
      </c>
      <c r="D3387" s="43" t="s">
        <v>30</v>
      </c>
      <c r="F3387" s="2"/>
      <c r="G3387" s="15" t="str">
        <f>VLOOKUP(B3387,SPECIFICATIONF!$C$2:$D$65,2,0)</f>
        <v>GLOBAL RETAIL</v>
      </c>
      <c r="H3387" s="12">
        <f t="shared" si="344"/>
        <v>4</v>
      </c>
      <c r="I3387" s="12">
        <f t="shared" si="345"/>
        <v>2026</v>
      </c>
    </row>
    <row r="3388" spans="1:9" ht="19.5" customHeight="1" x14ac:dyDescent="0.35">
      <c r="A3388" s="41">
        <v>46124</v>
      </c>
      <c r="B3388" s="8" t="s">
        <v>24</v>
      </c>
      <c r="C3388" s="42" t="s">
        <v>33</v>
      </c>
      <c r="D3388" s="43" t="s">
        <v>30</v>
      </c>
      <c r="F3388" s="2"/>
      <c r="G3388" s="15" t="str">
        <f>VLOOKUP(B3388,SPECIFICATIONF!$C$2:$D$65,2,0)</f>
        <v>GLOBAL RETAIL</v>
      </c>
      <c r="H3388" s="12">
        <f t="shared" si="344"/>
        <v>4</v>
      </c>
      <c r="I3388" s="12">
        <f t="shared" si="345"/>
        <v>2026</v>
      </c>
    </row>
    <row r="3389" spans="1:9" ht="19.5" customHeight="1" x14ac:dyDescent="0.35">
      <c r="A3389" s="41">
        <v>46124</v>
      </c>
      <c r="B3389" s="8" t="s">
        <v>24</v>
      </c>
      <c r="C3389" s="42" t="s">
        <v>11</v>
      </c>
      <c r="D3389" s="43" t="s">
        <v>29</v>
      </c>
      <c r="F3389" s="2"/>
      <c r="G3389" s="15" t="str">
        <f>VLOOKUP(B3389,SPECIFICATIONF!$C$2:$D$65,2,0)</f>
        <v>GLOBAL RETAIL</v>
      </c>
      <c r="H3389" s="12">
        <f t="shared" si="344"/>
        <v>4</v>
      </c>
      <c r="I3389" s="12">
        <f t="shared" si="345"/>
        <v>2026</v>
      </c>
    </row>
    <row r="3390" spans="1:9" ht="19.5" customHeight="1" x14ac:dyDescent="0.35">
      <c r="A3390" s="41">
        <v>46124</v>
      </c>
      <c r="B3390" s="8" t="s">
        <v>24</v>
      </c>
      <c r="C3390" s="42" t="s">
        <v>33</v>
      </c>
      <c r="D3390" s="43" t="s">
        <v>29</v>
      </c>
      <c r="F3390" s="2"/>
      <c r="G3390" s="15" t="str">
        <f>VLOOKUP(B3390,SPECIFICATIONF!$C$2:$D$65,2,0)</f>
        <v>GLOBAL RETAIL</v>
      </c>
      <c r="H3390" s="12">
        <f t="shared" si="344"/>
        <v>4</v>
      </c>
      <c r="I3390" s="12">
        <f t="shared" si="345"/>
        <v>2026</v>
      </c>
    </row>
    <row r="3391" spans="1:9" ht="19.5" customHeight="1" x14ac:dyDescent="0.35">
      <c r="A3391" s="41">
        <v>46125</v>
      </c>
      <c r="B3391" s="8" t="s">
        <v>32</v>
      </c>
      <c r="C3391" s="42" t="s">
        <v>11</v>
      </c>
      <c r="D3391" s="43" t="s">
        <v>30</v>
      </c>
      <c r="E3391" s="46">
        <v>1205063.04</v>
      </c>
      <c r="F3391" s="2"/>
      <c r="G3391" s="15" t="str">
        <f>VLOOKUP(B3391,SPECIFICATIONF!$C$2:$D$65,2,0)</f>
        <v>GLOBAL HFT</v>
      </c>
      <c r="H3391" s="12">
        <f t="shared" si="344"/>
        <v>4</v>
      </c>
      <c r="I3391" s="12">
        <f t="shared" si="345"/>
        <v>2026</v>
      </c>
    </row>
    <row r="3392" spans="1:9" ht="19.5" customHeight="1" x14ac:dyDescent="0.35">
      <c r="A3392" s="41">
        <v>46125</v>
      </c>
      <c r="B3392" s="8" t="s">
        <v>32</v>
      </c>
      <c r="C3392" s="42" t="s">
        <v>33</v>
      </c>
      <c r="D3392" s="43" t="s">
        <v>30</v>
      </c>
      <c r="E3392" s="46">
        <v>6480.39</v>
      </c>
      <c r="F3392" s="2"/>
      <c r="G3392" s="15" t="str">
        <f>VLOOKUP(B3392,SPECIFICATIONF!$C$2:$D$65,2,0)</f>
        <v>GLOBAL HFT</v>
      </c>
      <c r="H3392" s="12">
        <f t="shared" si="344"/>
        <v>4</v>
      </c>
      <c r="I3392" s="12">
        <f t="shared" si="345"/>
        <v>2026</v>
      </c>
    </row>
    <row r="3393" spans="1:9" ht="19.5" customHeight="1" x14ac:dyDescent="0.35">
      <c r="A3393" s="41">
        <v>46125</v>
      </c>
      <c r="B3393" s="8" t="s">
        <v>32</v>
      </c>
      <c r="C3393" s="42" t="s">
        <v>11</v>
      </c>
      <c r="D3393" s="43" t="s">
        <v>29</v>
      </c>
      <c r="E3393" s="46">
        <v>3879933282</v>
      </c>
      <c r="F3393" s="2"/>
      <c r="G3393" s="15" t="s">
        <v>24</v>
      </c>
      <c r="H3393" s="12">
        <f t="shared" si="344"/>
        <v>4</v>
      </c>
      <c r="I3393" s="12">
        <f t="shared" si="345"/>
        <v>2026</v>
      </c>
    </row>
    <row r="3394" spans="1:9" ht="19.5" customHeight="1" x14ac:dyDescent="0.35">
      <c r="A3394" s="41">
        <v>46125</v>
      </c>
      <c r="B3394" s="8" t="s">
        <v>32</v>
      </c>
      <c r="C3394" s="42" t="s">
        <v>33</v>
      </c>
      <c r="D3394" s="43" t="s">
        <v>29</v>
      </c>
      <c r="E3394" s="46">
        <v>19057796</v>
      </c>
      <c r="F3394" s="2"/>
      <c r="G3394" s="15" t="s">
        <v>24</v>
      </c>
      <c r="H3394" s="12">
        <f t="shared" si="344"/>
        <v>4</v>
      </c>
      <c r="I3394" s="12">
        <f t="shared" si="345"/>
        <v>2026</v>
      </c>
    </row>
    <row r="3395" spans="1:9" ht="19.5" customHeight="1" x14ac:dyDescent="0.35">
      <c r="A3395" s="41">
        <v>46125</v>
      </c>
      <c r="B3395" s="8" t="s">
        <v>24</v>
      </c>
      <c r="C3395" s="42" t="s">
        <v>11</v>
      </c>
      <c r="D3395" s="43" t="s">
        <v>30</v>
      </c>
      <c r="F3395" s="2"/>
      <c r="G3395" s="15" t="str">
        <f>VLOOKUP(B3395,SPECIFICATIONF!$C$2:$D$65,2,0)</f>
        <v>GLOBAL RETAIL</v>
      </c>
      <c r="H3395" s="12">
        <f t="shared" si="344"/>
        <v>4</v>
      </c>
      <c r="I3395" s="12">
        <f t="shared" si="345"/>
        <v>2026</v>
      </c>
    </row>
    <row r="3396" spans="1:9" ht="19.5" customHeight="1" x14ac:dyDescent="0.35">
      <c r="A3396" s="41">
        <v>46125</v>
      </c>
      <c r="B3396" s="8" t="s">
        <v>24</v>
      </c>
      <c r="C3396" s="42" t="s">
        <v>33</v>
      </c>
      <c r="D3396" s="43" t="s">
        <v>30</v>
      </c>
      <c r="F3396" s="2"/>
      <c r="G3396" s="15" t="str">
        <f>VLOOKUP(B3396,SPECIFICATIONF!$C$2:$D$65,2,0)</f>
        <v>GLOBAL RETAIL</v>
      </c>
      <c r="H3396" s="12">
        <f t="shared" si="344"/>
        <v>4</v>
      </c>
      <c r="I3396" s="12">
        <f t="shared" si="345"/>
        <v>2026</v>
      </c>
    </row>
    <row r="3397" spans="1:9" ht="19.5" customHeight="1" x14ac:dyDescent="0.35">
      <c r="A3397" s="41">
        <v>46125</v>
      </c>
      <c r="B3397" s="8" t="s">
        <v>24</v>
      </c>
      <c r="C3397" s="42" t="s">
        <v>11</v>
      </c>
      <c r="D3397" s="43" t="s">
        <v>29</v>
      </c>
      <c r="F3397" s="2"/>
      <c r="G3397" s="15" t="str">
        <f>VLOOKUP(B3397,SPECIFICATIONF!$C$2:$D$65,2,0)</f>
        <v>GLOBAL RETAIL</v>
      </c>
      <c r="H3397" s="12">
        <f t="shared" si="344"/>
        <v>4</v>
      </c>
      <c r="I3397" s="12">
        <f t="shared" si="345"/>
        <v>2026</v>
      </c>
    </row>
    <row r="3398" spans="1:9" ht="19.5" customHeight="1" x14ac:dyDescent="0.35">
      <c r="A3398" s="41">
        <v>46125</v>
      </c>
      <c r="B3398" s="8" t="s">
        <v>24</v>
      </c>
      <c r="C3398" s="42" t="s">
        <v>33</v>
      </c>
      <c r="D3398" s="43" t="s">
        <v>29</v>
      </c>
      <c r="F3398" s="2"/>
      <c r="G3398" s="15" t="str">
        <f>VLOOKUP(B3398,SPECIFICATIONF!$C$2:$D$65,2,0)</f>
        <v>GLOBAL RETAIL</v>
      </c>
      <c r="H3398" s="12">
        <f t="shared" si="344"/>
        <v>4</v>
      </c>
      <c r="I3398" s="12">
        <f t="shared" si="345"/>
        <v>2026</v>
      </c>
    </row>
    <row r="3399" spans="1:9" ht="19.5" customHeight="1" x14ac:dyDescent="0.35">
      <c r="A3399" s="41">
        <v>46126</v>
      </c>
      <c r="B3399" s="8" t="s">
        <v>32</v>
      </c>
      <c r="C3399" s="42" t="s">
        <v>11</v>
      </c>
      <c r="D3399" s="43" t="s">
        <v>30</v>
      </c>
      <c r="E3399" s="46">
        <v>1644615.02</v>
      </c>
      <c r="F3399" s="2"/>
      <c r="G3399" s="15" t="s">
        <v>32</v>
      </c>
      <c r="H3399" s="12">
        <v>4</v>
      </c>
      <c r="I3399" s="12">
        <v>2026</v>
      </c>
    </row>
    <row r="3400" spans="1:9" ht="19.5" customHeight="1" x14ac:dyDescent="0.35">
      <c r="A3400" s="41">
        <v>46126</v>
      </c>
      <c r="B3400" s="8" t="s">
        <v>32</v>
      </c>
      <c r="C3400" s="42" t="s">
        <v>33</v>
      </c>
      <c r="D3400" s="43" t="s">
        <v>30</v>
      </c>
      <c r="E3400" s="46">
        <v>8831.3700000000008</v>
      </c>
      <c r="F3400" s="2"/>
      <c r="G3400" s="15" t="s">
        <v>32</v>
      </c>
      <c r="H3400" s="12">
        <v>4</v>
      </c>
      <c r="I3400" s="12">
        <v>2026</v>
      </c>
    </row>
    <row r="3401" spans="1:9" ht="19.5" customHeight="1" x14ac:dyDescent="0.35">
      <c r="A3401" s="41">
        <v>46126</v>
      </c>
      <c r="B3401" s="8" t="s">
        <v>32</v>
      </c>
      <c r="C3401" s="42" t="s">
        <v>11</v>
      </c>
      <c r="D3401" s="43" t="s">
        <v>29</v>
      </c>
      <c r="E3401" s="46">
        <v>5022252981</v>
      </c>
      <c r="F3401" s="2"/>
      <c r="G3401" s="15" t="s">
        <v>24</v>
      </c>
      <c r="H3401" s="12">
        <f t="shared" ref="H3401:H3402" si="346">MONTH(A3401)</f>
        <v>4</v>
      </c>
      <c r="I3401" s="12">
        <f t="shared" ref="I3401:I3402" si="347">YEAR(A3401)</f>
        <v>2026</v>
      </c>
    </row>
    <row r="3402" spans="1:9" ht="19.5" customHeight="1" x14ac:dyDescent="0.35">
      <c r="A3402" s="41">
        <v>46126</v>
      </c>
      <c r="B3402" s="8" t="s">
        <v>32</v>
      </c>
      <c r="C3402" s="42" t="s">
        <v>33</v>
      </c>
      <c r="D3402" s="43" t="s">
        <v>29</v>
      </c>
      <c r="E3402" s="46">
        <v>25319421</v>
      </c>
      <c r="F3402" s="2"/>
      <c r="G3402" s="15" t="s">
        <v>24</v>
      </c>
      <c r="H3402" s="12">
        <f t="shared" si="346"/>
        <v>4</v>
      </c>
      <c r="I3402" s="12">
        <f t="shared" si="347"/>
        <v>2026</v>
      </c>
    </row>
    <row r="3403" spans="1:9" ht="19.5" customHeight="1" x14ac:dyDescent="0.35">
      <c r="A3403" s="41">
        <v>46126</v>
      </c>
      <c r="B3403" s="8" t="s">
        <v>24</v>
      </c>
      <c r="C3403" s="42" t="s">
        <v>11</v>
      </c>
      <c r="D3403" s="43" t="s">
        <v>30</v>
      </c>
      <c r="E3403" s="46">
        <v>46320.23</v>
      </c>
      <c r="F3403" s="2"/>
      <c r="G3403" s="15" t="s">
        <v>24</v>
      </c>
      <c r="H3403" s="12">
        <v>4</v>
      </c>
      <c r="I3403" s="12">
        <v>2026</v>
      </c>
    </row>
    <row r="3404" spans="1:9" ht="19.5" customHeight="1" x14ac:dyDescent="0.35">
      <c r="A3404" s="41">
        <v>46126</v>
      </c>
      <c r="B3404" s="8" t="s">
        <v>24</v>
      </c>
      <c r="C3404" s="42" t="s">
        <v>33</v>
      </c>
      <c r="D3404" s="43" t="s">
        <v>30</v>
      </c>
      <c r="E3404" s="46">
        <v>0</v>
      </c>
      <c r="F3404" s="2"/>
      <c r="G3404" s="15" t="s">
        <v>24</v>
      </c>
      <c r="H3404" s="12">
        <v>4</v>
      </c>
      <c r="I3404" s="12">
        <v>2026</v>
      </c>
    </row>
    <row r="3405" spans="1:9" ht="19.5" customHeight="1" x14ac:dyDescent="0.35">
      <c r="A3405" s="41">
        <v>46127</v>
      </c>
      <c r="B3405" s="8" t="s">
        <v>32</v>
      </c>
      <c r="C3405" s="42" t="s">
        <v>11</v>
      </c>
      <c r="D3405" s="43" t="s">
        <v>30</v>
      </c>
      <c r="E3405" s="46">
        <v>2258387.14</v>
      </c>
      <c r="F3405" s="2"/>
      <c r="G3405" s="15" t="s">
        <v>32</v>
      </c>
      <c r="H3405" s="12">
        <v>4</v>
      </c>
      <c r="I3405" s="12">
        <v>2026</v>
      </c>
    </row>
    <row r="3406" spans="1:9" ht="19.5" customHeight="1" x14ac:dyDescent="0.35">
      <c r="A3406" s="41">
        <v>46127</v>
      </c>
      <c r="B3406" s="8" t="s">
        <v>32</v>
      </c>
      <c r="C3406" s="42" t="s">
        <v>33</v>
      </c>
      <c r="D3406" s="43" t="s">
        <v>30</v>
      </c>
      <c r="E3406" s="46">
        <v>9740.44</v>
      </c>
      <c r="F3406" s="2"/>
      <c r="G3406" s="15" t="s">
        <v>32</v>
      </c>
      <c r="H3406" s="12">
        <v>4</v>
      </c>
      <c r="I3406" s="12">
        <v>2026</v>
      </c>
    </row>
    <row r="3407" spans="1:9" ht="19.5" customHeight="1" x14ac:dyDescent="0.35">
      <c r="A3407" s="41">
        <v>46127</v>
      </c>
      <c r="B3407" s="8" t="s">
        <v>32</v>
      </c>
      <c r="C3407" s="42" t="s">
        <v>11</v>
      </c>
      <c r="D3407" s="43" t="s">
        <v>29</v>
      </c>
      <c r="E3407" s="46">
        <v>6610352858</v>
      </c>
      <c r="F3407" s="2"/>
      <c r="G3407" s="15" t="s">
        <v>24</v>
      </c>
      <c r="H3407" s="12">
        <f t="shared" ref="H3407:H3408" si="348">MONTH(A3407)</f>
        <v>4</v>
      </c>
      <c r="I3407" s="12">
        <f t="shared" ref="I3407:I3408" si="349">YEAR(A3407)</f>
        <v>2026</v>
      </c>
    </row>
    <row r="3408" spans="1:9" ht="19.5" customHeight="1" x14ac:dyDescent="0.35">
      <c r="A3408" s="41">
        <v>46127</v>
      </c>
      <c r="B3408" s="8" t="s">
        <v>32</v>
      </c>
      <c r="C3408" s="42" t="s">
        <v>33</v>
      </c>
      <c r="D3408" s="43" t="s">
        <v>29</v>
      </c>
      <c r="E3408" s="46">
        <v>27284073</v>
      </c>
      <c r="F3408" s="2"/>
      <c r="G3408" s="15" t="s">
        <v>24</v>
      </c>
      <c r="H3408" s="12">
        <f t="shared" si="348"/>
        <v>4</v>
      </c>
      <c r="I3408" s="12">
        <f t="shared" si="349"/>
        <v>2026</v>
      </c>
    </row>
    <row r="3409" spans="1:9" ht="19.5" customHeight="1" x14ac:dyDescent="0.35">
      <c r="A3409" s="41">
        <v>46127</v>
      </c>
      <c r="B3409" s="8" t="s">
        <v>24</v>
      </c>
      <c r="C3409" s="42" t="s">
        <v>11</v>
      </c>
      <c r="D3409" s="43" t="s">
        <v>30</v>
      </c>
      <c r="E3409" s="46">
        <v>44959.29</v>
      </c>
      <c r="F3409" s="2"/>
      <c r="G3409" s="15" t="s">
        <v>24</v>
      </c>
      <c r="H3409" s="12">
        <v>4</v>
      </c>
      <c r="I3409" s="12">
        <v>2026</v>
      </c>
    </row>
    <row r="3410" spans="1:9" ht="19.5" customHeight="1" x14ac:dyDescent="0.35">
      <c r="A3410" s="41">
        <v>46127</v>
      </c>
      <c r="B3410" s="8" t="s">
        <v>24</v>
      </c>
      <c r="C3410" s="42" t="s">
        <v>33</v>
      </c>
      <c r="D3410" s="43" t="s">
        <v>30</v>
      </c>
      <c r="F3410" s="2"/>
      <c r="G3410" s="15" t="s">
        <v>24</v>
      </c>
      <c r="H3410" s="12">
        <v>4</v>
      </c>
      <c r="I3410" s="12">
        <v>2026</v>
      </c>
    </row>
    <row r="3411" spans="1:9" ht="19.5" customHeight="1" x14ac:dyDescent="0.35">
      <c r="A3411" s="41">
        <v>46128</v>
      </c>
      <c r="B3411" s="8" t="s">
        <v>32</v>
      </c>
      <c r="C3411" s="42" t="s">
        <v>11</v>
      </c>
      <c r="D3411" s="43" t="s">
        <v>30</v>
      </c>
      <c r="E3411" s="46">
        <v>2895251.69</v>
      </c>
      <c r="F3411" s="2"/>
      <c r="G3411" s="15" t="s">
        <v>32</v>
      </c>
      <c r="H3411" s="12">
        <v>4</v>
      </c>
      <c r="I3411" s="12">
        <v>2026</v>
      </c>
    </row>
    <row r="3412" spans="1:9" ht="19.5" customHeight="1" x14ac:dyDescent="0.35">
      <c r="A3412" s="41">
        <v>46128</v>
      </c>
      <c r="B3412" s="8" t="s">
        <v>32</v>
      </c>
      <c r="C3412" s="42" t="s">
        <v>33</v>
      </c>
      <c r="D3412" s="43" t="s">
        <v>30</v>
      </c>
      <c r="E3412" s="46">
        <v>13018.29</v>
      </c>
      <c r="F3412" s="2"/>
      <c r="G3412" s="15" t="s">
        <v>32</v>
      </c>
      <c r="H3412" s="12">
        <v>4</v>
      </c>
      <c r="I3412" s="12">
        <v>2026</v>
      </c>
    </row>
    <row r="3413" spans="1:9" ht="19.5" customHeight="1" x14ac:dyDescent="0.35">
      <c r="A3413" s="41">
        <v>46128</v>
      </c>
      <c r="B3413" s="8" t="s">
        <v>32</v>
      </c>
      <c r="C3413" s="42" t="s">
        <v>11</v>
      </c>
      <c r="D3413" s="43" t="s">
        <v>29</v>
      </c>
      <c r="E3413" s="46">
        <v>9013278344</v>
      </c>
      <c r="F3413" s="2"/>
      <c r="G3413" s="15" t="s">
        <v>24</v>
      </c>
      <c r="H3413" s="12">
        <f t="shared" ref="H3413:H3414" si="350">MONTH(A3413)</f>
        <v>4</v>
      </c>
      <c r="I3413" s="12">
        <f t="shared" ref="I3413:I3414" si="351">YEAR(A3413)</f>
        <v>2026</v>
      </c>
    </row>
    <row r="3414" spans="1:9" ht="19.5" customHeight="1" x14ac:dyDescent="0.35">
      <c r="A3414" s="41">
        <v>46128</v>
      </c>
      <c r="B3414" s="8" t="s">
        <v>32</v>
      </c>
      <c r="C3414" s="42" t="s">
        <v>33</v>
      </c>
      <c r="D3414" s="43" t="s">
        <v>29</v>
      </c>
      <c r="E3414" s="46">
        <v>38971961</v>
      </c>
      <c r="F3414" s="2"/>
      <c r="G3414" s="15" t="s">
        <v>24</v>
      </c>
      <c r="H3414" s="12">
        <f t="shared" si="350"/>
        <v>4</v>
      </c>
      <c r="I3414" s="12">
        <f t="shared" si="351"/>
        <v>2026</v>
      </c>
    </row>
    <row r="3415" spans="1:9" ht="19.5" customHeight="1" x14ac:dyDescent="0.35">
      <c r="A3415" s="41">
        <v>46128</v>
      </c>
      <c r="B3415" s="8" t="s">
        <v>24</v>
      </c>
      <c r="C3415" s="42" t="s">
        <v>11</v>
      </c>
      <c r="D3415" s="43" t="s">
        <v>30</v>
      </c>
      <c r="E3415" s="46">
        <v>29521.273000000001</v>
      </c>
      <c r="F3415" s="2"/>
      <c r="G3415" s="15" t="s">
        <v>24</v>
      </c>
      <c r="H3415" s="12">
        <v>4</v>
      </c>
      <c r="I3415" s="12">
        <v>2026</v>
      </c>
    </row>
    <row r="3416" spans="1:9" ht="19.5" customHeight="1" x14ac:dyDescent="0.35">
      <c r="A3416" s="41">
        <v>46128</v>
      </c>
      <c r="B3416" s="8" t="s">
        <v>24</v>
      </c>
      <c r="C3416" s="42" t="s">
        <v>33</v>
      </c>
      <c r="D3416" s="43" t="s">
        <v>30</v>
      </c>
      <c r="E3416" s="46">
        <v>29.91</v>
      </c>
      <c r="F3416" s="2"/>
      <c r="G3416" s="15" t="s">
        <v>24</v>
      </c>
      <c r="H3416" s="12">
        <v>4</v>
      </c>
      <c r="I3416" s="12">
        <v>2026</v>
      </c>
    </row>
    <row r="3417" spans="1:9" ht="19.5" customHeight="1" x14ac:dyDescent="0.35">
      <c r="A3417" s="41">
        <v>46129</v>
      </c>
      <c r="B3417" s="8" t="s">
        <v>32</v>
      </c>
      <c r="C3417" s="42" t="s">
        <v>11</v>
      </c>
      <c r="D3417" s="43" t="s">
        <v>30</v>
      </c>
      <c r="E3417" s="46">
        <v>2960809.79</v>
      </c>
      <c r="F3417" s="2"/>
      <c r="G3417" s="15" t="s">
        <v>32</v>
      </c>
      <c r="H3417" s="12">
        <v>4</v>
      </c>
      <c r="I3417" s="12">
        <v>2026</v>
      </c>
    </row>
    <row r="3418" spans="1:9" ht="19.5" customHeight="1" x14ac:dyDescent="0.35">
      <c r="A3418" s="41">
        <v>46129</v>
      </c>
      <c r="B3418" s="8" t="s">
        <v>32</v>
      </c>
      <c r="C3418" s="42" t="s">
        <v>33</v>
      </c>
      <c r="D3418" s="43" t="s">
        <v>30</v>
      </c>
      <c r="E3418" s="46">
        <v>11128.09</v>
      </c>
      <c r="F3418" s="2"/>
      <c r="G3418" s="15" t="s">
        <v>32</v>
      </c>
      <c r="H3418" s="12">
        <v>4</v>
      </c>
      <c r="I3418" s="12">
        <v>2026</v>
      </c>
    </row>
    <row r="3419" spans="1:9" ht="19.5" customHeight="1" x14ac:dyDescent="0.35">
      <c r="A3419" s="41">
        <v>46129</v>
      </c>
      <c r="B3419" s="8" t="s">
        <v>32</v>
      </c>
      <c r="C3419" s="42" t="s">
        <v>11</v>
      </c>
      <c r="D3419" s="43" t="s">
        <v>29</v>
      </c>
      <c r="E3419" s="46">
        <v>9568914899</v>
      </c>
      <c r="F3419" s="2"/>
      <c r="G3419" s="15" t="s">
        <v>24</v>
      </c>
      <c r="H3419" s="12">
        <f t="shared" ref="H3419:H3420" si="352">MONTH(A3419)</f>
        <v>4</v>
      </c>
      <c r="I3419" s="12">
        <f t="shared" ref="I3419:I3420" si="353">YEAR(A3419)</f>
        <v>2026</v>
      </c>
    </row>
    <row r="3420" spans="1:9" ht="19.5" customHeight="1" x14ac:dyDescent="0.35">
      <c r="A3420" s="41">
        <v>46129</v>
      </c>
      <c r="B3420" s="8" t="s">
        <v>32</v>
      </c>
      <c r="C3420" s="42" t="s">
        <v>33</v>
      </c>
      <c r="D3420" s="43" t="s">
        <v>29</v>
      </c>
      <c r="E3420" s="46">
        <v>34905410</v>
      </c>
      <c r="F3420" s="2"/>
      <c r="G3420" s="15" t="s">
        <v>24</v>
      </c>
      <c r="H3420" s="12">
        <f t="shared" si="352"/>
        <v>4</v>
      </c>
      <c r="I3420" s="12">
        <f t="shared" si="353"/>
        <v>2026</v>
      </c>
    </row>
    <row r="3421" spans="1:9" ht="19.5" customHeight="1" x14ac:dyDescent="0.35">
      <c r="A3421" s="41">
        <v>46129</v>
      </c>
      <c r="B3421" s="8" t="s">
        <v>24</v>
      </c>
      <c r="C3421" s="42" t="s">
        <v>11</v>
      </c>
      <c r="D3421" s="43" t="s">
        <v>30</v>
      </c>
      <c r="E3421" s="46">
        <v>96255.46</v>
      </c>
      <c r="F3421" s="2"/>
      <c r="G3421" s="15" t="s">
        <v>24</v>
      </c>
      <c r="H3421" s="12">
        <v>4</v>
      </c>
      <c r="I3421" s="12">
        <v>2026</v>
      </c>
    </row>
    <row r="3422" spans="1:9" ht="19.5" customHeight="1" x14ac:dyDescent="0.35">
      <c r="A3422" s="41">
        <v>46129</v>
      </c>
      <c r="B3422" s="8" t="s">
        <v>24</v>
      </c>
      <c r="C3422" s="42" t="s">
        <v>33</v>
      </c>
      <c r="D3422" s="43" t="s">
        <v>30</v>
      </c>
      <c r="E3422" s="46">
        <v>0</v>
      </c>
      <c r="F3422" s="2"/>
      <c r="G3422" s="15" t="s">
        <v>24</v>
      </c>
      <c r="H3422" s="12">
        <v>4</v>
      </c>
      <c r="I3422" s="12">
        <v>2026</v>
      </c>
    </row>
    <row r="3423" spans="1:9" ht="19.5" customHeight="1" x14ac:dyDescent="0.35">
      <c r="A3423" s="41">
        <v>46130</v>
      </c>
      <c r="B3423" s="8" t="s">
        <v>32</v>
      </c>
      <c r="C3423" s="42" t="s">
        <v>11</v>
      </c>
      <c r="D3423" s="43" t="s">
        <v>30</v>
      </c>
      <c r="E3423" s="46">
        <v>1913887.33</v>
      </c>
      <c r="F3423" s="2"/>
      <c r="G3423" s="15" t="s">
        <v>32</v>
      </c>
      <c r="H3423" s="12">
        <v>4</v>
      </c>
      <c r="I3423" s="12">
        <v>2026</v>
      </c>
    </row>
    <row r="3424" spans="1:9" ht="19.5" customHeight="1" x14ac:dyDescent="0.35">
      <c r="A3424" s="41">
        <v>46130</v>
      </c>
      <c r="B3424" s="8" t="s">
        <v>32</v>
      </c>
      <c r="C3424" s="42" t="s">
        <v>33</v>
      </c>
      <c r="D3424" s="43" t="s">
        <v>30</v>
      </c>
      <c r="E3424" s="46">
        <v>7014.07</v>
      </c>
      <c r="F3424" s="2"/>
      <c r="G3424" s="15" t="s">
        <v>32</v>
      </c>
      <c r="H3424" s="12">
        <v>4</v>
      </c>
      <c r="I3424" s="12">
        <v>2026</v>
      </c>
    </row>
    <row r="3425" spans="1:9" ht="19.5" customHeight="1" x14ac:dyDescent="0.35">
      <c r="A3425" s="41">
        <v>46130</v>
      </c>
      <c r="B3425" s="8" t="s">
        <v>32</v>
      </c>
      <c r="C3425" s="42" t="s">
        <v>11</v>
      </c>
      <c r="D3425" s="43" t="s">
        <v>29</v>
      </c>
      <c r="E3425" s="46">
        <v>6471508134</v>
      </c>
      <c r="F3425" s="2"/>
      <c r="G3425" s="15" t="s">
        <v>24</v>
      </c>
      <c r="H3425" s="12">
        <f t="shared" ref="H3425:H3426" si="354">MONTH(A3425)</f>
        <v>4</v>
      </c>
      <c r="I3425" s="12">
        <f t="shared" ref="I3425:I3426" si="355">YEAR(A3425)</f>
        <v>2026</v>
      </c>
    </row>
    <row r="3426" spans="1:9" ht="19.5" customHeight="1" x14ac:dyDescent="0.35">
      <c r="A3426" s="41">
        <v>46130</v>
      </c>
      <c r="B3426" s="8" t="s">
        <v>32</v>
      </c>
      <c r="C3426" s="42" t="s">
        <v>33</v>
      </c>
      <c r="D3426" s="43" t="s">
        <v>29</v>
      </c>
      <c r="E3426" s="46">
        <v>21939703</v>
      </c>
      <c r="F3426" s="2"/>
      <c r="G3426" s="15" t="s">
        <v>24</v>
      </c>
      <c r="H3426" s="12">
        <f t="shared" si="354"/>
        <v>4</v>
      </c>
      <c r="I3426" s="12">
        <f t="shared" si="355"/>
        <v>2026</v>
      </c>
    </row>
    <row r="3427" spans="1:9" ht="19.5" customHeight="1" x14ac:dyDescent="0.35">
      <c r="A3427" s="41">
        <v>46130</v>
      </c>
      <c r="B3427" s="8" t="s">
        <v>24</v>
      </c>
      <c r="C3427" s="42" t="s">
        <v>11</v>
      </c>
      <c r="D3427" s="43" t="s">
        <v>30</v>
      </c>
      <c r="E3427" s="46">
        <v>53851.81</v>
      </c>
      <c r="F3427" s="2"/>
      <c r="G3427" s="15" t="s">
        <v>24</v>
      </c>
      <c r="H3427" s="12">
        <v>4</v>
      </c>
      <c r="I3427" s="12">
        <v>2026</v>
      </c>
    </row>
    <row r="3428" spans="1:9" ht="19.5" customHeight="1" x14ac:dyDescent="0.35">
      <c r="A3428" s="41">
        <v>46130</v>
      </c>
      <c r="B3428" s="8" t="s">
        <v>24</v>
      </c>
      <c r="C3428" s="42" t="s">
        <v>33</v>
      </c>
      <c r="D3428" s="43" t="s">
        <v>30</v>
      </c>
      <c r="E3428" s="46">
        <v>0</v>
      </c>
      <c r="F3428" s="2"/>
      <c r="G3428" s="15" t="s">
        <v>24</v>
      </c>
      <c r="H3428" s="12">
        <v>4</v>
      </c>
      <c r="I3428" s="12">
        <v>2026</v>
      </c>
    </row>
    <row r="3429" spans="1:9" ht="19.5" customHeight="1" x14ac:dyDescent="0.35">
      <c r="A3429" s="41">
        <v>46131</v>
      </c>
      <c r="B3429" s="8" t="s">
        <v>32</v>
      </c>
      <c r="C3429" s="42" t="s">
        <v>11</v>
      </c>
      <c r="D3429" s="43" t="s">
        <v>30</v>
      </c>
      <c r="E3429" s="46">
        <v>1604823.78</v>
      </c>
      <c r="F3429" s="2"/>
      <c r="G3429" s="15" t="s">
        <v>32</v>
      </c>
      <c r="H3429" s="12">
        <v>4</v>
      </c>
      <c r="I3429" s="12">
        <v>2026</v>
      </c>
    </row>
    <row r="3430" spans="1:9" ht="19.5" customHeight="1" x14ac:dyDescent="0.35">
      <c r="A3430" s="41">
        <v>46131</v>
      </c>
      <c r="B3430" s="8" t="s">
        <v>32</v>
      </c>
      <c r="C3430" s="42" t="s">
        <v>33</v>
      </c>
      <c r="D3430" s="43" t="s">
        <v>30</v>
      </c>
      <c r="E3430" s="46">
        <v>6921.38</v>
      </c>
      <c r="F3430" s="2"/>
      <c r="G3430" s="15" t="s">
        <v>32</v>
      </c>
      <c r="H3430" s="12">
        <v>4</v>
      </c>
      <c r="I3430" s="12">
        <v>2026</v>
      </c>
    </row>
    <row r="3431" spans="1:9" ht="19.5" customHeight="1" x14ac:dyDescent="0.35">
      <c r="A3431" s="41">
        <v>46131</v>
      </c>
      <c r="B3431" s="8" t="s">
        <v>32</v>
      </c>
      <c r="C3431" s="42" t="s">
        <v>11</v>
      </c>
      <c r="D3431" s="43" t="s">
        <v>29</v>
      </c>
      <c r="E3431" s="46">
        <v>5332134029</v>
      </c>
      <c r="F3431" s="2"/>
      <c r="G3431" s="15" t="s">
        <v>24</v>
      </c>
      <c r="H3431" s="12">
        <f t="shared" ref="H3431:H3432" si="356">MONTH(A3431)</f>
        <v>4</v>
      </c>
      <c r="I3431" s="12">
        <f t="shared" ref="I3431:I3432" si="357">YEAR(A3431)</f>
        <v>2026</v>
      </c>
    </row>
    <row r="3432" spans="1:9" ht="19.5" customHeight="1" x14ac:dyDescent="0.35">
      <c r="A3432" s="41">
        <v>46131</v>
      </c>
      <c r="B3432" s="8" t="s">
        <v>32</v>
      </c>
      <c r="C3432" s="42" t="s">
        <v>33</v>
      </c>
      <c r="D3432" s="43" t="s">
        <v>29</v>
      </c>
      <c r="E3432" s="46">
        <v>21587211</v>
      </c>
      <c r="F3432" s="2"/>
      <c r="G3432" s="15" t="s">
        <v>24</v>
      </c>
      <c r="H3432" s="12">
        <f t="shared" si="356"/>
        <v>4</v>
      </c>
      <c r="I3432" s="12">
        <f t="shared" si="357"/>
        <v>2026</v>
      </c>
    </row>
    <row r="3433" spans="1:9" ht="19.5" customHeight="1" x14ac:dyDescent="0.35">
      <c r="A3433" s="41">
        <v>46131</v>
      </c>
      <c r="B3433" s="8" t="s">
        <v>24</v>
      </c>
      <c r="C3433" s="42" t="s">
        <v>11</v>
      </c>
      <c r="D3433" s="43" t="s">
        <v>30</v>
      </c>
      <c r="E3433" s="46">
        <v>32176.32</v>
      </c>
      <c r="F3433" s="2"/>
      <c r="G3433" s="15" t="s">
        <v>24</v>
      </c>
      <c r="H3433" s="12">
        <v>4</v>
      </c>
      <c r="I3433" s="12">
        <v>2026</v>
      </c>
    </row>
    <row r="3434" spans="1:9" ht="19.5" customHeight="1" x14ac:dyDescent="0.35">
      <c r="A3434" s="41">
        <v>46131</v>
      </c>
      <c r="B3434" s="8" t="s">
        <v>24</v>
      </c>
      <c r="C3434" s="42" t="s">
        <v>33</v>
      </c>
      <c r="D3434" s="43" t="s">
        <v>30</v>
      </c>
      <c r="E3434" s="46">
        <v>24.52</v>
      </c>
      <c r="F3434" s="2"/>
      <c r="G3434" s="15" t="s">
        <v>24</v>
      </c>
      <c r="H3434" s="12">
        <v>4</v>
      </c>
      <c r="I3434" s="12">
        <v>2026</v>
      </c>
    </row>
    <row r="3435" spans="1:9" ht="19.5" customHeight="1" x14ac:dyDescent="0.35">
      <c r="A3435" s="41">
        <v>46132</v>
      </c>
      <c r="B3435" s="8" t="s">
        <v>32</v>
      </c>
      <c r="C3435" s="42" t="s">
        <v>11</v>
      </c>
      <c r="D3435" s="43" t="s">
        <v>30</v>
      </c>
      <c r="E3435" s="46">
        <v>1176959.2</v>
      </c>
      <c r="F3435" s="2"/>
      <c r="G3435" s="15" t="s">
        <v>32</v>
      </c>
      <c r="H3435" s="12">
        <v>4</v>
      </c>
      <c r="I3435" s="12">
        <v>2026</v>
      </c>
    </row>
    <row r="3436" spans="1:9" ht="19.5" customHeight="1" x14ac:dyDescent="0.35">
      <c r="A3436" s="41">
        <v>46132</v>
      </c>
      <c r="B3436" s="8" t="s">
        <v>32</v>
      </c>
      <c r="C3436" s="42" t="s">
        <v>33</v>
      </c>
      <c r="D3436" s="43" t="s">
        <v>30</v>
      </c>
      <c r="E3436" s="46">
        <v>5008.32</v>
      </c>
      <c r="F3436" s="2"/>
      <c r="G3436" s="15" t="s">
        <v>32</v>
      </c>
      <c r="H3436" s="12">
        <v>4</v>
      </c>
      <c r="I3436" s="12">
        <v>2026</v>
      </c>
    </row>
    <row r="3437" spans="1:9" ht="19.5" customHeight="1" x14ac:dyDescent="0.35">
      <c r="A3437" s="41">
        <v>46132</v>
      </c>
      <c r="B3437" s="8" t="s">
        <v>32</v>
      </c>
      <c r="C3437" s="42" t="s">
        <v>11</v>
      </c>
      <c r="D3437" s="43" t="s">
        <v>29</v>
      </c>
      <c r="E3437" s="46">
        <v>4049904651</v>
      </c>
      <c r="F3437" s="2"/>
      <c r="G3437" s="15" t="s">
        <v>32</v>
      </c>
      <c r="H3437" s="12">
        <f t="shared" ref="H3437:H3438" si="358">MONTH(A3437)</f>
        <v>4</v>
      </c>
      <c r="I3437" s="12">
        <f t="shared" ref="I3437:I3438" si="359">YEAR(A3437)</f>
        <v>2026</v>
      </c>
    </row>
    <row r="3438" spans="1:9" ht="19.5" customHeight="1" x14ac:dyDescent="0.35">
      <c r="A3438" s="41">
        <v>46132</v>
      </c>
      <c r="B3438" s="8" t="s">
        <v>32</v>
      </c>
      <c r="C3438" s="42" t="s">
        <v>33</v>
      </c>
      <c r="D3438" s="43" t="s">
        <v>29</v>
      </c>
      <c r="E3438" s="46">
        <v>16306089</v>
      </c>
      <c r="F3438" s="2"/>
      <c r="G3438" s="15" t="s">
        <v>32</v>
      </c>
      <c r="H3438" s="12">
        <f t="shared" si="358"/>
        <v>4</v>
      </c>
      <c r="I3438" s="12">
        <f t="shared" si="359"/>
        <v>2026</v>
      </c>
    </row>
    <row r="3439" spans="1:9" ht="19.5" customHeight="1" x14ac:dyDescent="0.35">
      <c r="A3439" s="41">
        <v>46132</v>
      </c>
      <c r="B3439" s="8" t="s">
        <v>24</v>
      </c>
      <c r="C3439" s="42" t="s">
        <v>11</v>
      </c>
      <c r="D3439" s="43" t="s">
        <v>30</v>
      </c>
      <c r="E3439" s="46">
        <v>23755.96</v>
      </c>
      <c r="F3439" s="2"/>
      <c r="G3439" s="15" t="s">
        <v>24</v>
      </c>
      <c r="H3439" s="12">
        <v>4</v>
      </c>
      <c r="I3439" s="12">
        <v>2026</v>
      </c>
    </row>
    <row r="3440" spans="1:9" ht="19.5" customHeight="1" x14ac:dyDescent="0.35">
      <c r="A3440" s="41">
        <v>46132</v>
      </c>
      <c r="B3440" s="8" t="s">
        <v>24</v>
      </c>
      <c r="C3440" s="42" t="s">
        <v>33</v>
      </c>
      <c r="D3440" s="43" t="s">
        <v>30</v>
      </c>
      <c r="E3440" s="46">
        <v>0</v>
      </c>
      <c r="F3440" s="2"/>
      <c r="G3440" s="15" t="s">
        <v>24</v>
      </c>
      <c r="H3440" s="12">
        <v>4</v>
      </c>
      <c r="I3440" s="12">
        <v>2026</v>
      </c>
    </row>
    <row r="3441" spans="1:9" ht="19.5" customHeight="1" x14ac:dyDescent="0.35">
      <c r="A3441" s="41">
        <v>46133</v>
      </c>
      <c r="B3441" s="8" t="s">
        <v>32</v>
      </c>
      <c r="C3441" s="42" t="s">
        <v>11</v>
      </c>
      <c r="D3441" s="43" t="s">
        <v>30</v>
      </c>
      <c r="E3441" s="46">
        <v>927271.2</v>
      </c>
      <c r="F3441" s="2"/>
      <c r="G3441" s="15" t="s">
        <v>32</v>
      </c>
      <c r="H3441" s="12">
        <v>4</v>
      </c>
      <c r="I3441" s="12">
        <v>2026</v>
      </c>
    </row>
    <row r="3442" spans="1:9" ht="19.5" customHeight="1" x14ac:dyDescent="0.35">
      <c r="A3442" s="41">
        <v>46133</v>
      </c>
      <c r="B3442" s="8" t="s">
        <v>32</v>
      </c>
      <c r="C3442" s="42" t="s">
        <v>33</v>
      </c>
      <c r="D3442" s="43" t="s">
        <v>30</v>
      </c>
      <c r="E3442" s="46">
        <v>3944.38</v>
      </c>
      <c r="F3442" s="2"/>
      <c r="G3442" s="15" t="s">
        <v>32</v>
      </c>
      <c r="H3442" s="12">
        <v>4</v>
      </c>
      <c r="I3442" s="12">
        <v>2026</v>
      </c>
    </row>
    <row r="3443" spans="1:9" ht="19.5" customHeight="1" x14ac:dyDescent="0.35">
      <c r="A3443" s="41">
        <v>46133</v>
      </c>
      <c r="B3443" s="8" t="s">
        <v>32</v>
      </c>
      <c r="C3443" s="42" t="s">
        <v>11</v>
      </c>
      <c r="D3443" s="43" t="s">
        <v>29</v>
      </c>
      <c r="E3443" s="46">
        <v>3191198835</v>
      </c>
      <c r="F3443" s="2"/>
      <c r="G3443" s="15" t="s">
        <v>32</v>
      </c>
      <c r="H3443" s="12">
        <f t="shared" ref="H3443:H3444" si="360">MONTH(A3443)</f>
        <v>4</v>
      </c>
      <c r="I3443" s="12">
        <f t="shared" ref="I3443:I3444" si="361">YEAR(A3443)</f>
        <v>2026</v>
      </c>
    </row>
    <row r="3444" spans="1:9" ht="19.5" customHeight="1" x14ac:dyDescent="0.35">
      <c r="A3444" s="41">
        <v>46133</v>
      </c>
      <c r="B3444" s="8" t="s">
        <v>32</v>
      </c>
      <c r="C3444" s="42" t="s">
        <v>33</v>
      </c>
      <c r="D3444" s="43" t="s">
        <v>29</v>
      </c>
      <c r="E3444" s="46">
        <v>13010729</v>
      </c>
      <c r="F3444" s="2"/>
      <c r="G3444" s="15" t="s">
        <v>32</v>
      </c>
      <c r="H3444" s="12">
        <f t="shared" si="360"/>
        <v>4</v>
      </c>
      <c r="I3444" s="12">
        <f t="shared" si="361"/>
        <v>2026</v>
      </c>
    </row>
    <row r="3445" spans="1:9" ht="19.5" customHeight="1" x14ac:dyDescent="0.35">
      <c r="A3445" s="41">
        <v>46133</v>
      </c>
      <c r="B3445" s="8" t="s">
        <v>24</v>
      </c>
      <c r="C3445" s="42" t="s">
        <v>11</v>
      </c>
      <c r="D3445" s="43" t="s">
        <v>30</v>
      </c>
      <c r="E3445" s="46">
        <v>3405.22</v>
      </c>
      <c r="F3445" s="2"/>
      <c r="G3445" s="15" t="s">
        <v>24</v>
      </c>
      <c r="H3445" s="12">
        <v>4</v>
      </c>
      <c r="I3445" s="12">
        <v>2026</v>
      </c>
    </row>
    <row r="3446" spans="1:9" ht="19.5" customHeight="1" x14ac:dyDescent="0.35">
      <c r="A3446" s="41">
        <v>46133</v>
      </c>
      <c r="B3446" s="8" t="s">
        <v>24</v>
      </c>
      <c r="C3446" s="42" t="s">
        <v>33</v>
      </c>
      <c r="D3446" s="43" t="s">
        <v>30</v>
      </c>
      <c r="E3446" s="46">
        <v>0</v>
      </c>
      <c r="F3446" s="2"/>
      <c r="G3446" s="15" t="s">
        <v>24</v>
      </c>
      <c r="H3446" s="12">
        <v>4</v>
      </c>
      <c r="I3446" s="12">
        <v>2026</v>
      </c>
    </row>
    <row r="3447" spans="1:9" ht="19.5" customHeight="1" x14ac:dyDescent="0.35">
      <c r="A3447" s="41">
        <v>46134</v>
      </c>
      <c r="B3447" s="8" t="s">
        <v>32</v>
      </c>
      <c r="C3447" s="42" t="s">
        <v>11</v>
      </c>
      <c r="D3447" s="43" t="s">
        <v>30</v>
      </c>
      <c r="E3447" s="46">
        <v>1187183.8999999999</v>
      </c>
      <c r="F3447" s="2"/>
      <c r="G3447" s="15" t="s">
        <v>32</v>
      </c>
      <c r="H3447" s="12">
        <v>4</v>
      </c>
      <c r="I3447" s="12">
        <v>2026</v>
      </c>
    </row>
    <row r="3448" spans="1:9" ht="19.5" customHeight="1" x14ac:dyDescent="0.35">
      <c r="A3448" s="41">
        <v>46134</v>
      </c>
      <c r="B3448" s="8" t="s">
        <v>32</v>
      </c>
      <c r="C3448" s="42" t="s">
        <v>33</v>
      </c>
      <c r="D3448" s="43" t="s">
        <v>30</v>
      </c>
      <c r="E3448" s="46">
        <v>5360.44</v>
      </c>
      <c r="F3448" s="2"/>
      <c r="G3448" s="15" t="s">
        <v>32</v>
      </c>
      <c r="H3448" s="12">
        <v>4</v>
      </c>
      <c r="I3448" s="12">
        <v>2026</v>
      </c>
    </row>
    <row r="3449" spans="1:9" ht="19.5" customHeight="1" x14ac:dyDescent="0.35">
      <c r="A3449" s="41">
        <v>46134</v>
      </c>
      <c r="B3449" s="8" t="s">
        <v>32</v>
      </c>
      <c r="C3449" s="42" t="s">
        <v>11</v>
      </c>
      <c r="D3449" s="43" t="s">
        <v>29</v>
      </c>
      <c r="E3449" s="46">
        <v>3881132847</v>
      </c>
      <c r="F3449" s="2"/>
      <c r="G3449" s="15" t="s">
        <v>32</v>
      </c>
      <c r="H3449" s="12">
        <f t="shared" ref="H3449:H3450" si="362">MONTH(A3449)</f>
        <v>4</v>
      </c>
      <c r="I3449" s="12">
        <f t="shared" ref="I3449:I3450" si="363">YEAR(A3449)</f>
        <v>2026</v>
      </c>
    </row>
    <row r="3450" spans="1:9" ht="19.5" customHeight="1" x14ac:dyDescent="0.35">
      <c r="A3450" s="41">
        <v>46134</v>
      </c>
      <c r="B3450" s="8" t="s">
        <v>32</v>
      </c>
      <c r="C3450" s="42" t="s">
        <v>33</v>
      </c>
      <c r="D3450" s="43" t="s">
        <v>29</v>
      </c>
      <c r="E3450" s="46">
        <v>17039398</v>
      </c>
      <c r="F3450" s="2"/>
      <c r="G3450" s="15" t="s">
        <v>32</v>
      </c>
      <c r="H3450" s="12">
        <f t="shared" si="362"/>
        <v>4</v>
      </c>
      <c r="I3450" s="12">
        <f t="shared" si="363"/>
        <v>2026</v>
      </c>
    </row>
    <row r="3451" spans="1:9" ht="19.5" customHeight="1" x14ac:dyDescent="0.35">
      <c r="A3451" s="41">
        <v>46134</v>
      </c>
      <c r="B3451" s="8" t="s">
        <v>24</v>
      </c>
      <c r="C3451" s="42" t="s">
        <v>11</v>
      </c>
      <c r="D3451" s="43" t="s">
        <v>30</v>
      </c>
      <c r="E3451" s="46">
        <v>1891.11</v>
      </c>
      <c r="F3451" s="2"/>
      <c r="G3451" s="15" t="s">
        <v>24</v>
      </c>
      <c r="H3451" s="12">
        <v>4</v>
      </c>
      <c r="I3451" s="12">
        <v>2026</v>
      </c>
    </row>
    <row r="3452" spans="1:9" ht="19.5" customHeight="1" x14ac:dyDescent="0.35">
      <c r="A3452" s="41">
        <v>46134</v>
      </c>
      <c r="B3452" s="8" t="s">
        <v>24</v>
      </c>
      <c r="C3452" s="42" t="s">
        <v>33</v>
      </c>
      <c r="D3452" s="43" t="s">
        <v>30</v>
      </c>
      <c r="E3452" s="46">
        <v>0</v>
      </c>
      <c r="F3452" s="2"/>
      <c r="G3452" s="15" t="s">
        <v>24</v>
      </c>
      <c r="H3452" s="12">
        <v>4</v>
      </c>
      <c r="I3452" s="12">
        <v>2026</v>
      </c>
    </row>
    <row r="3453" spans="1:9" ht="19.5" customHeight="1" x14ac:dyDescent="0.35">
      <c r="A3453" s="41">
        <v>46135</v>
      </c>
      <c r="B3453" s="8" t="s">
        <v>32</v>
      </c>
      <c r="C3453" s="42" t="s">
        <v>11</v>
      </c>
      <c r="D3453" s="43" t="s">
        <v>30</v>
      </c>
      <c r="E3453" s="46">
        <v>1518281.04</v>
      </c>
      <c r="F3453" s="2"/>
      <c r="G3453" s="15" t="s">
        <v>32</v>
      </c>
      <c r="H3453" s="12">
        <v>4</v>
      </c>
      <c r="I3453" s="12">
        <v>2026</v>
      </c>
    </row>
    <row r="3454" spans="1:9" ht="19.5" customHeight="1" x14ac:dyDescent="0.35">
      <c r="A3454" s="41">
        <v>46135</v>
      </c>
      <c r="B3454" s="8" t="s">
        <v>32</v>
      </c>
      <c r="C3454" s="42" t="s">
        <v>33</v>
      </c>
      <c r="D3454" s="43" t="s">
        <v>30</v>
      </c>
      <c r="E3454" s="46">
        <v>5446.94</v>
      </c>
      <c r="F3454" s="2"/>
      <c r="G3454" s="15" t="s">
        <v>32</v>
      </c>
      <c r="H3454" s="12">
        <v>4</v>
      </c>
      <c r="I3454" s="12">
        <v>2026</v>
      </c>
    </row>
    <row r="3455" spans="1:9" ht="19.5" customHeight="1" x14ac:dyDescent="0.35">
      <c r="A3455" s="41">
        <v>46135</v>
      </c>
      <c r="B3455" s="8" t="s">
        <v>32</v>
      </c>
      <c r="C3455" s="42" t="s">
        <v>11</v>
      </c>
      <c r="D3455" s="43" t="s">
        <v>29</v>
      </c>
      <c r="E3455" s="46">
        <v>4927935286</v>
      </c>
      <c r="F3455" s="2"/>
      <c r="G3455" s="15" t="s">
        <v>32</v>
      </c>
      <c r="H3455" s="12">
        <f t="shared" ref="H3455:H3456" si="364">MONTH(A3455)</f>
        <v>4</v>
      </c>
      <c r="I3455" s="12">
        <f t="shared" ref="I3455:I3456" si="365">YEAR(A3455)</f>
        <v>2026</v>
      </c>
    </row>
    <row r="3456" spans="1:9" ht="19.5" customHeight="1" x14ac:dyDescent="0.35">
      <c r="A3456" s="41">
        <v>46135</v>
      </c>
      <c r="B3456" s="8" t="s">
        <v>32</v>
      </c>
      <c r="C3456" s="42" t="s">
        <v>33</v>
      </c>
      <c r="D3456" s="43" t="s">
        <v>29</v>
      </c>
      <c r="E3456" s="46">
        <v>16747536</v>
      </c>
      <c r="F3456" s="2"/>
      <c r="G3456" s="15" t="s">
        <v>32</v>
      </c>
      <c r="H3456" s="12">
        <f t="shared" si="364"/>
        <v>4</v>
      </c>
      <c r="I3456" s="12">
        <f t="shared" si="365"/>
        <v>2026</v>
      </c>
    </row>
    <row r="3457" spans="1:9" ht="19.5" customHeight="1" x14ac:dyDescent="0.35">
      <c r="A3457" s="41">
        <v>46135</v>
      </c>
      <c r="B3457" s="8" t="s">
        <v>24</v>
      </c>
      <c r="C3457" s="42" t="s">
        <v>11</v>
      </c>
      <c r="D3457" s="43" t="s">
        <v>30</v>
      </c>
      <c r="E3457" s="46">
        <v>15372.51</v>
      </c>
      <c r="F3457" s="2"/>
      <c r="G3457" s="15" t="s">
        <v>24</v>
      </c>
      <c r="H3457" s="12">
        <v>4</v>
      </c>
      <c r="I3457" s="12">
        <v>2026</v>
      </c>
    </row>
    <row r="3458" spans="1:9" ht="19.5" customHeight="1" x14ac:dyDescent="0.35">
      <c r="A3458" s="41">
        <v>46135</v>
      </c>
      <c r="B3458" s="8" t="s">
        <v>24</v>
      </c>
      <c r="C3458" s="42" t="s">
        <v>33</v>
      </c>
      <c r="D3458" s="43" t="s">
        <v>30</v>
      </c>
      <c r="E3458" s="46">
        <v>0</v>
      </c>
      <c r="F3458" s="2"/>
      <c r="G3458" s="15" t="s">
        <v>24</v>
      </c>
      <c r="H3458" s="12">
        <v>4</v>
      </c>
      <c r="I3458" s="12">
        <v>2026</v>
      </c>
    </row>
    <row r="3459" spans="1:9" ht="19.5" customHeight="1" x14ac:dyDescent="0.35">
      <c r="A3459" s="41">
        <v>46136</v>
      </c>
      <c r="B3459" s="8" t="s">
        <v>32</v>
      </c>
      <c r="C3459" s="42" t="s">
        <v>11</v>
      </c>
      <c r="D3459" s="43" t="s">
        <v>30</v>
      </c>
      <c r="E3459" s="46">
        <v>2116394.84</v>
      </c>
      <c r="F3459" s="2"/>
      <c r="G3459" s="15" t="s">
        <v>32</v>
      </c>
      <c r="H3459" s="12">
        <v>4</v>
      </c>
      <c r="I3459" s="12">
        <v>2026</v>
      </c>
    </row>
    <row r="3460" spans="1:9" ht="19.5" customHeight="1" x14ac:dyDescent="0.35">
      <c r="A3460" s="41">
        <v>46136</v>
      </c>
      <c r="B3460" s="8" t="s">
        <v>32</v>
      </c>
      <c r="C3460" s="42" t="s">
        <v>33</v>
      </c>
      <c r="D3460" s="43" t="s">
        <v>30</v>
      </c>
      <c r="E3460" s="46">
        <v>7541.46</v>
      </c>
      <c r="F3460" s="2"/>
      <c r="G3460" s="15" t="s">
        <v>32</v>
      </c>
      <c r="H3460" s="12">
        <v>4</v>
      </c>
      <c r="I3460" s="12">
        <v>2026</v>
      </c>
    </row>
    <row r="3461" spans="1:9" ht="19.5" customHeight="1" x14ac:dyDescent="0.35">
      <c r="A3461" s="41">
        <v>46136</v>
      </c>
      <c r="B3461" s="8" t="s">
        <v>32</v>
      </c>
      <c r="C3461" s="42" t="s">
        <v>11</v>
      </c>
      <c r="D3461" s="43" t="s">
        <v>29</v>
      </c>
      <c r="E3461" s="46">
        <v>6742197840</v>
      </c>
      <c r="F3461" s="2"/>
      <c r="G3461" s="15" t="s">
        <v>32</v>
      </c>
      <c r="H3461" s="12">
        <f t="shared" ref="H3461:H3462" si="366">MONTH(A3461)</f>
        <v>4</v>
      </c>
      <c r="I3461" s="12">
        <f t="shared" ref="I3461:I3462" si="367">YEAR(A3461)</f>
        <v>2026</v>
      </c>
    </row>
    <row r="3462" spans="1:9" ht="19.5" customHeight="1" x14ac:dyDescent="0.35">
      <c r="A3462" s="41">
        <v>46136</v>
      </c>
      <c r="B3462" s="8" t="s">
        <v>32</v>
      </c>
      <c r="C3462" s="42" t="s">
        <v>33</v>
      </c>
      <c r="D3462" s="43" t="s">
        <v>29</v>
      </c>
      <c r="E3462" s="46">
        <v>22721979</v>
      </c>
      <c r="F3462" s="2"/>
      <c r="G3462" s="15" t="s">
        <v>32</v>
      </c>
      <c r="H3462" s="12">
        <f t="shared" si="366"/>
        <v>4</v>
      </c>
      <c r="I3462" s="12">
        <f t="shared" si="367"/>
        <v>2026</v>
      </c>
    </row>
    <row r="3463" spans="1:9" ht="19.5" customHeight="1" x14ac:dyDescent="0.35">
      <c r="A3463" s="41">
        <v>46136</v>
      </c>
      <c r="B3463" s="8" t="s">
        <v>24</v>
      </c>
      <c r="C3463" s="42" t="s">
        <v>11</v>
      </c>
      <c r="D3463" s="43" t="s">
        <v>30</v>
      </c>
      <c r="E3463" s="46">
        <v>72507.44</v>
      </c>
      <c r="F3463" s="2"/>
      <c r="G3463" s="15" t="s">
        <v>24</v>
      </c>
      <c r="H3463" s="12">
        <v>4</v>
      </c>
      <c r="I3463" s="12">
        <v>2026</v>
      </c>
    </row>
    <row r="3464" spans="1:9" ht="19.5" customHeight="1" x14ac:dyDescent="0.35">
      <c r="A3464" s="41">
        <v>46136</v>
      </c>
      <c r="B3464" s="8" t="s">
        <v>24</v>
      </c>
      <c r="C3464" s="42" t="s">
        <v>33</v>
      </c>
      <c r="D3464" s="43" t="s">
        <v>30</v>
      </c>
      <c r="E3464" s="46">
        <v>2.66</v>
      </c>
      <c r="F3464" s="2"/>
      <c r="G3464" s="15" t="s">
        <v>24</v>
      </c>
      <c r="H3464" s="12">
        <v>4</v>
      </c>
      <c r="I3464" s="12">
        <v>2026</v>
      </c>
    </row>
    <row r="3465" spans="1:9" ht="19.5" customHeight="1" x14ac:dyDescent="0.35">
      <c r="A3465" s="41">
        <v>46137</v>
      </c>
      <c r="B3465" s="8" t="s">
        <v>32</v>
      </c>
      <c r="C3465" s="42" t="s">
        <v>11</v>
      </c>
      <c r="D3465" s="43" t="s">
        <v>30</v>
      </c>
      <c r="E3465" s="46">
        <v>1819143.16</v>
      </c>
      <c r="F3465" s="2"/>
      <c r="G3465" s="15" t="s">
        <v>32</v>
      </c>
      <c r="H3465" s="12">
        <v>4</v>
      </c>
      <c r="I3465" s="12">
        <v>2026</v>
      </c>
    </row>
    <row r="3466" spans="1:9" ht="19.5" customHeight="1" x14ac:dyDescent="0.35">
      <c r="A3466" s="41">
        <v>46137</v>
      </c>
      <c r="B3466" s="8" t="s">
        <v>32</v>
      </c>
      <c r="C3466" s="42" t="s">
        <v>33</v>
      </c>
      <c r="D3466" s="43" t="s">
        <v>30</v>
      </c>
      <c r="E3466" s="46">
        <v>5652.78</v>
      </c>
      <c r="F3466" s="2"/>
      <c r="G3466" s="15" t="s">
        <v>32</v>
      </c>
      <c r="H3466" s="12">
        <v>4</v>
      </c>
      <c r="I3466" s="12">
        <v>2026</v>
      </c>
    </row>
    <row r="3467" spans="1:9" ht="19.5" customHeight="1" x14ac:dyDescent="0.35">
      <c r="A3467" s="41">
        <v>46137</v>
      </c>
      <c r="B3467" s="8" t="s">
        <v>32</v>
      </c>
      <c r="C3467" s="42" t="s">
        <v>11</v>
      </c>
      <c r="D3467" s="43" t="s">
        <v>29</v>
      </c>
      <c r="E3467" s="46">
        <v>6068596218</v>
      </c>
      <c r="F3467" s="2"/>
      <c r="G3467" s="15" t="s">
        <v>32</v>
      </c>
      <c r="H3467" s="12">
        <f t="shared" ref="H3467:H3468" si="368">MONTH(A3467)</f>
        <v>4</v>
      </c>
      <c r="I3467" s="12">
        <f t="shared" ref="I3467:I3468" si="369">YEAR(A3467)</f>
        <v>2026</v>
      </c>
    </row>
    <row r="3468" spans="1:9" ht="19.5" customHeight="1" x14ac:dyDescent="0.35">
      <c r="A3468" s="41">
        <v>46137</v>
      </c>
      <c r="B3468" s="8" t="s">
        <v>32</v>
      </c>
      <c r="C3468" s="42" t="s">
        <v>33</v>
      </c>
      <c r="D3468" s="43" t="s">
        <v>29</v>
      </c>
      <c r="E3468" s="46">
        <v>18146497</v>
      </c>
      <c r="F3468" s="2"/>
      <c r="G3468" s="15" t="s">
        <v>32</v>
      </c>
      <c r="H3468" s="12">
        <f t="shared" si="368"/>
        <v>4</v>
      </c>
      <c r="I3468" s="12">
        <f t="shared" si="369"/>
        <v>2026</v>
      </c>
    </row>
    <row r="3469" spans="1:9" ht="19.5" customHeight="1" x14ac:dyDescent="0.35">
      <c r="A3469" s="41">
        <v>46137</v>
      </c>
      <c r="B3469" s="8" t="s">
        <v>24</v>
      </c>
      <c r="C3469" s="42" t="s">
        <v>11</v>
      </c>
      <c r="D3469" s="43" t="s">
        <v>30</v>
      </c>
      <c r="E3469" s="46">
        <v>58998.69</v>
      </c>
      <c r="F3469" s="2"/>
      <c r="G3469" s="15" t="s">
        <v>24</v>
      </c>
      <c r="H3469" s="12">
        <v>4</v>
      </c>
      <c r="I3469" s="12">
        <v>2026</v>
      </c>
    </row>
    <row r="3470" spans="1:9" ht="19.5" customHeight="1" x14ac:dyDescent="0.35">
      <c r="A3470" s="41">
        <v>46137</v>
      </c>
      <c r="B3470" s="8" t="s">
        <v>24</v>
      </c>
      <c r="C3470" s="42" t="s">
        <v>33</v>
      </c>
      <c r="D3470" s="43" t="s">
        <v>30</v>
      </c>
      <c r="E3470" s="46">
        <v>0</v>
      </c>
      <c r="F3470" s="2"/>
      <c r="G3470" s="15" t="s">
        <v>24</v>
      </c>
      <c r="H3470" s="12">
        <v>4</v>
      </c>
      <c r="I3470" s="12">
        <v>2026</v>
      </c>
    </row>
    <row r="3471" spans="1:9" ht="19.5" customHeight="1" x14ac:dyDescent="0.35">
      <c r="A3471" s="41">
        <v>46138</v>
      </c>
      <c r="B3471" s="8" t="s">
        <v>32</v>
      </c>
      <c r="C3471" s="42" t="s">
        <v>11</v>
      </c>
      <c r="D3471" s="43" t="s">
        <v>30</v>
      </c>
      <c r="E3471" s="46">
        <v>1283497.23</v>
      </c>
      <c r="F3471" s="2"/>
      <c r="G3471" s="15" t="s">
        <v>32</v>
      </c>
      <c r="H3471" s="12">
        <v>4</v>
      </c>
      <c r="I3471" s="12">
        <v>2026</v>
      </c>
    </row>
    <row r="3472" spans="1:9" ht="19.5" customHeight="1" x14ac:dyDescent="0.35">
      <c r="A3472" s="41">
        <v>46138</v>
      </c>
      <c r="B3472" s="8" t="s">
        <v>32</v>
      </c>
      <c r="C3472" s="42" t="s">
        <v>33</v>
      </c>
      <c r="D3472" s="43" t="s">
        <v>30</v>
      </c>
      <c r="E3472" s="46">
        <v>4306.17</v>
      </c>
      <c r="F3472" s="2"/>
      <c r="G3472" s="15" t="s">
        <v>32</v>
      </c>
      <c r="H3472" s="12">
        <v>4</v>
      </c>
      <c r="I3472" s="12">
        <v>2026</v>
      </c>
    </row>
    <row r="3473" spans="1:9" ht="19.5" customHeight="1" x14ac:dyDescent="0.35">
      <c r="A3473" s="41">
        <v>46138</v>
      </c>
      <c r="B3473" s="8" t="s">
        <v>32</v>
      </c>
      <c r="C3473" s="42" t="s">
        <v>11</v>
      </c>
      <c r="D3473" s="43" t="s">
        <v>29</v>
      </c>
      <c r="E3473" s="46">
        <v>4493801605</v>
      </c>
      <c r="F3473" s="2"/>
      <c r="G3473" s="15" t="s">
        <v>32</v>
      </c>
      <c r="H3473" s="12">
        <f t="shared" ref="H3473:H3474" si="370">MONTH(A3473)</f>
        <v>4</v>
      </c>
      <c r="I3473" s="12">
        <f t="shared" ref="I3473:I3474" si="371">YEAR(A3473)</f>
        <v>2026</v>
      </c>
    </row>
    <row r="3474" spans="1:9" ht="19.5" customHeight="1" x14ac:dyDescent="0.35">
      <c r="A3474" s="41">
        <v>46138</v>
      </c>
      <c r="B3474" s="8" t="s">
        <v>32</v>
      </c>
      <c r="C3474" s="42" t="s">
        <v>33</v>
      </c>
      <c r="D3474" s="43" t="s">
        <v>29</v>
      </c>
      <c r="E3474" s="46">
        <v>13947361</v>
      </c>
      <c r="F3474" s="2"/>
      <c r="G3474" s="15" t="s">
        <v>32</v>
      </c>
      <c r="H3474" s="12">
        <f t="shared" si="370"/>
        <v>4</v>
      </c>
      <c r="I3474" s="12">
        <f t="shared" si="371"/>
        <v>2026</v>
      </c>
    </row>
    <row r="3475" spans="1:9" ht="19.5" customHeight="1" x14ac:dyDescent="0.35">
      <c r="A3475" s="41">
        <v>46138</v>
      </c>
      <c r="B3475" s="8" t="s">
        <v>24</v>
      </c>
      <c r="C3475" s="42" t="s">
        <v>11</v>
      </c>
      <c r="D3475" s="43" t="s">
        <v>30</v>
      </c>
      <c r="E3475" s="46">
        <v>45253.17</v>
      </c>
      <c r="F3475" s="2"/>
      <c r="G3475" s="15" t="s">
        <v>24</v>
      </c>
      <c r="H3475" s="12">
        <v>4</v>
      </c>
      <c r="I3475" s="12">
        <v>2026</v>
      </c>
    </row>
    <row r="3476" spans="1:9" ht="19.5" customHeight="1" x14ac:dyDescent="0.35">
      <c r="A3476" s="41">
        <v>46138</v>
      </c>
      <c r="B3476" s="8" t="s">
        <v>24</v>
      </c>
      <c r="C3476" s="42" t="s">
        <v>33</v>
      </c>
      <c r="D3476" s="43" t="s">
        <v>30</v>
      </c>
      <c r="E3476" s="46">
        <v>0</v>
      </c>
      <c r="F3476" s="2"/>
      <c r="G3476" s="15" t="s">
        <v>24</v>
      </c>
      <c r="H3476" s="12">
        <v>4</v>
      </c>
      <c r="I3476" s="12">
        <v>2026</v>
      </c>
    </row>
    <row r="3477" spans="1:9" ht="19.5" customHeight="1" x14ac:dyDescent="0.35">
      <c r="A3477" s="41">
        <v>46139</v>
      </c>
      <c r="B3477" s="8" t="s">
        <v>32</v>
      </c>
      <c r="C3477" s="42" t="s">
        <v>11</v>
      </c>
      <c r="D3477" s="43" t="s">
        <v>30</v>
      </c>
      <c r="E3477" s="46">
        <v>2381211.9</v>
      </c>
      <c r="F3477" s="2"/>
      <c r="G3477" s="15" t="s">
        <v>32</v>
      </c>
      <c r="H3477" s="12">
        <v>4</v>
      </c>
      <c r="I3477" s="12">
        <v>2026</v>
      </c>
    </row>
    <row r="3478" spans="1:9" ht="19.5" customHeight="1" x14ac:dyDescent="0.35">
      <c r="A3478" s="41">
        <v>46139</v>
      </c>
      <c r="B3478" s="8" t="s">
        <v>32</v>
      </c>
      <c r="C3478" s="42" t="s">
        <v>33</v>
      </c>
      <c r="D3478" s="43" t="s">
        <v>30</v>
      </c>
      <c r="E3478" s="46">
        <v>8445.43</v>
      </c>
      <c r="F3478" s="2"/>
      <c r="G3478" s="15" t="s">
        <v>32</v>
      </c>
      <c r="H3478" s="12">
        <v>4</v>
      </c>
      <c r="I3478" s="12">
        <v>2026</v>
      </c>
    </row>
    <row r="3479" spans="1:9" ht="19.5" customHeight="1" x14ac:dyDescent="0.35">
      <c r="A3479" s="41">
        <v>46139</v>
      </c>
      <c r="B3479" s="8" t="s">
        <v>32</v>
      </c>
      <c r="C3479" s="42" t="s">
        <v>11</v>
      </c>
      <c r="D3479" s="43" t="s">
        <v>29</v>
      </c>
      <c r="E3479" s="46">
        <v>7729451940</v>
      </c>
      <c r="F3479" s="2"/>
      <c r="G3479" s="15" t="s">
        <v>32</v>
      </c>
      <c r="H3479" s="12">
        <f t="shared" ref="H3479:H3480" si="372">MONTH(A3479)</f>
        <v>4</v>
      </c>
      <c r="I3479" s="12">
        <f t="shared" ref="I3479:I3480" si="373">YEAR(A3479)</f>
        <v>2026</v>
      </c>
    </row>
    <row r="3480" spans="1:9" ht="19.5" customHeight="1" x14ac:dyDescent="0.35">
      <c r="A3480" s="41">
        <v>46139</v>
      </c>
      <c r="B3480" s="8" t="s">
        <v>32</v>
      </c>
      <c r="C3480" s="42" t="s">
        <v>33</v>
      </c>
      <c r="D3480" s="43" t="s">
        <v>29</v>
      </c>
      <c r="E3480" s="46">
        <v>26602217</v>
      </c>
      <c r="F3480" s="2"/>
      <c r="G3480" s="15" t="s">
        <v>32</v>
      </c>
      <c r="H3480" s="12">
        <f t="shared" si="372"/>
        <v>4</v>
      </c>
      <c r="I3480" s="12">
        <f t="shared" si="373"/>
        <v>2026</v>
      </c>
    </row>
    <row r="3481" spans="1:9" ht="19.5" customHeight="1" x14ac:dyDescent="0.35">
      <c r="A3481" s="41">
        <v>46139</v>
      </c>
      <c r="B3481" s="8" t="s">
        <v>24</v>
      </c>
      <c r="C3481" s="42" t="s">
        <v>11</v>
      </c>
      <c r="D3481" s="43" t="s">
        <v>30</v>
      </c>
      <c r="E3481" s="46">
        <v>68286.559999999998</v>
      </c>
      <c r="F3481" s="2"/>
      <c r="G3481" s="15" t="s">
        <v>24</v>
      </c>
      <c r="H3481" s="12">
        <v>4</v>
      </c>
      <c r="I3481" s="12">
        <v>2026</v>
      </c>
    </row>
    <row r="3482" spans="1:9" ht="19.5" customHeight="1" x14ac:dyDescent="0.35">
      <c r="A3482" s="41">
        <v>46139</v>
      </c>
      <c r="B3482" s="8" t="s">
        <v>24</v>
      </c>
      <c r="C3482" s="42" t="s">
        <v>33</v>
      </c>
      <c r="D3482" s="43" t="s">
        <v>30</v>
      </c>
      <c r="E3482" s="46">
        <v>0</v>
      </c>
      <c r="F3482" s="2"/>
      <c r="G3482" s="15" t="s">
        <v>24</v>
      </c>
      <c r="H3482" s="12">
        <v>4</v>
      </c>
      <c r="I3482" s="12">
        <v>2026</v>
      </c>
    </row>
    <row r="3483" spans="1:9" ht="19.5" customHeight="1" x14ac:dyDescent="0.35">
      <c r="A3483" s="41">
        <v>46140</v>
      </c>
      <c r="B3483" s="8" t="s">
        <v>32</v>
      </c>
      <c r="C3483" s="42" t="s">
        <v>11</v>
      </c>
      <c r="D3483" s="43" t="s">
        <v>30</v>
      </c>
      <c r="E3483" s="46">
        <v>1145200.81</v>
      </c>
      <c r="F3483" s="2"/>
      <c r="G3483" s="15" t="s">
        <v>32</v>
      </c>
      <c r="H3483" s="12">
        <v>4</v>
      </c>
      <c r="I3483" s="12">
        <v>2026</v>
      </c>
    </row>
    <row r="3484" spans="1:9" ht="19.5" customHeight="1" x14ac:dyDescent="0.35">
      <c r="A3484" s="41">
        <v>46140</v>
      </c>
      <c r="B3484" s="8" t="s">
        <v>32</v>
      </c>
      <c r="C3484" s="42" t="s">
        <v>33</v>
      </c>
      <c r="D3484" s="43" t="s">
        <v>30</v>
      </c>
      <c r="E3484" s="46">
        <v>4114.75</v>
      </c>
      <c r="F3484" s="2"/>
      <c r="G3484" s="15" t="s">
        <v>32</v>
      </c>
      <c r="H3484" s="12">
        <v>4</v>
      </c>
      <c r="I3484" s="12">
        <v>2026</v>
      </c>
    </row>
    <row r="3485" spans="1:9" ht="19.5" customHeight="1" x14ac:dyDescent="0.35">
      <c r="A3485" s="41">
        <v>46140</v>
      </c>
      <c r="B3485" s="8" t="s">
        <v>32</v>
      </c>
      <c r="C3485" s="42" t="s">
        <v>11</v>
      </c>
      <c r="D3485" s="43" t="s">
        <v>29</v>
      </c>
      <c r="E3485" s="46">
        <v>4000277525</v>
      </c>
      <c r="F3485" s="2"/>
      <c r="G3485" s="15" t="s">
        <v>32</v>
      </c>
      <c r="H3485" s="12">
        <f t="shared" ref="H3485:H3486" si="374">MONTH(A3485)</f>
        <v>4</v>
      </c>
      <c r="I3485" s="12">
        <f t="shared" ref="I3485:I3486" si="375">YEAR(A3485)</f>
        <v>2026</v>
      </c>
    </row>
    <row r="3486" spans="1:9" ht="19.5" customHeight="1" x14ac:dyDescent="0.35">
      <c r="A3486" s="41">
        <v>46140</v>
      </c>
      <c r="B3486" s="8" t="s">
        <v>32</v>
      </c>
      <c r="C3486" s="42" t="s">
        <v>33</v>
      </c>
      <c r="D3486" s="43" t="s">
        <v>29</v>
      </c>
      <c r="E3486" s="46">
        <v>14143356</v>
      </c>
      <c r="F3486" s="2"/>
      <c r="G3486" s="15" t="s">
        <v>32</v>
      </c>
      <c r="H3486" s="12">
        <f t="shared" si="374"/>
        <v>4</v>
      </c>
      <c r="I3486" s="12">
        <f t="shared" si="375"/>
        <v>2026</v>
      </c>
    </row>
    <row r="3487" spans="1:9" ht="19.5" customHeight="1" x14ac:dyDescent="0.35">
      <c r="A3487" s="41">
        <v>46140</v>
      </c>
      <c r="B3487" s="8" t="s">
        <v>24</v>
      </c>
      <c r="C3487" s="42" t="s">
        <v>11</v>
      </c>
      <c r="D3487" s="43" t="s">
        <v>30</v>
      </c>
      <c r="E3487" s="46">
        <v>14403.07</v>
      </c>
      <c r="F3487" s="2"/>
      <c r="G3487" s="15" t="s">
        <v>24</v>
      </c>
      <c r="H3487" s="12">
        <v>4</v>
      </c>
      <c r="I3487" s="12">
        <v>2026</v>
      </c>
    </row>
    <row r="3488" spans="1:9" ht="19.5" customHeight="1" x14ac:dyDescent="0.35">
      <c r="A3488" s="41">
        <v>46140</v>
      </c>
      <c r="B3488" s="8" t="s">
        <v>24</v>
      </c>
      <c r="C3488" s="42" t="s">
        <v>33</v>
      </c>
      <c r="D3488" s="43" t="s">
        <v>30</v>
      </c>
      <c r="E3488" s="46">
        <v>0.11</v>
      </c>
      <c r="F3488" s="2"/>
      <c r="G3488" s="15" t="s">
        <v>24</v>
      </c>
      <c r="H3488" s="12">
        <v>4</v>
      </c>
      <c r="I3488" s="12">
        <v>2026</v>
      </c>
    </row>
    <row r="3489" spans="1:9" ht="19.5" customHeight="1" x14ac:dyDescent="0.35">
      <c r="A3489" s="41">
        <v>46141</v>
      </c>
      <c r="B3489" s="8" t="s">
        <v>32</v>
      </c>
      <c r="C3489" s="42" t="s">
        <v>11</v>
      </c>
      <c r="D3489" s="43" t="s">
        <v>30</v>
      </c>
      <c r="E3489" s="46">
        <v>1248248.6100000001</v>
      </c>
      <c r="F3489" s="2"/>
      <c r="G3489" s="15" t="s">
        <v>32</v>
      </c>
      <c r="H3489" s="12">
        <v>4</v>
      </c>
      <c r="I3489" s="12">
        <v>2026</v>
      </c>
    </row>
    <row r="3490" spans="1:9" ht="19.5" customHeight="1" x14ac:dyDescent="0.35">
      <c r="A3490" s="41">
        <v>46141</v>
      </c>
      <c r="B3490" s="8" t="s">
        <v>32</v>
      </c>
      <c r="C3490" s="42" t="s">
        <v>33</v>
      </c>
      <c r="D3490" s="43" t="s">
        <v>30</v>
      </c>
      <c r="E3490" s="46">
        <v>5527</v>
      </c>
      <c r="F3490" s="2"/>
      <c r="G3490" s="15" t="s">
        <v>32</v>
      </c>
      <c r="H3490" s="12">
        <v>4</v>
      </c>
      <c r="I3490" s="12">
        <v>2026</v>
      </c>
    </row>
    <row r="3491" spans="1:9" ht="19.5" customHeight="1" x14ac:dyDescent="0.35">
      <c r="A3491" s="41">
        <v>46141</v>
      </c>
      <c r="B3491" s="8" t="s">
        <v>32</v>
      </c>
      <c r="C3491" s="42" t="s">
        <v>11</v>
      </c>
      <c r="D3491" s="43" t="s">
        <v>29</v>
      </c>
      <c r="E3491" s="46">
        <v>4277252818</v>
      </c>
      <c r="F3491" s="2"/>
      <c r="G3491" s="15" t="s">
        <v>32</v>
      </c>
      <c r="H3491" s="12">
        <f t="shared" ref="H3491:H3492" si="376">MONTH(A3491)</f>
        <v>4</v>
      </c>
      <c r="I3491" s="12">
        <f t="shared" ref="I3491:I3492" si="377">YEAR(A3491)</f>
        <v>2026</v>
      </c>
    </row>
    <row r="3492" spans="1:9" ht="19.5" customHeight="1" x14ac:dyDescent="0.35">
      <c r="A3492" s="41">
        <v>46141</v>
      </c>
      <c r="B3492" s="8" t="s">
        <v>32</v>
      </c>
      <c r="C3492" s="42" t="s">
        <v>33</v>
      </c>
      <c r="D3492" s="43" t="s">
        <v>29</v>
      </c>
      <c r="E3492" s="46">
        <v>18440104</v>
      </c>
      <c r="F3492" s="2"/>
      <c r="G3492" s="15" t="s">
        <v>32</v>
      </c>
      <c r="H3492" s="12">
        <f t="shared" si="376"/>
        <v>4</v>
      </c>
      <c r="I3492" s="12">
        <f t="shared" si="377"/>
        <v>2026</v>
      </c>
    </row>
    <row r="3493" spans="1:9" ht="19.5" customHeight="1" x14ac:dyDescent="0.35">
      <c r="A3493" s="41">
        <v>46141</v>
      </c>
      <c r="B3493" s="8" t="s">
        <v>24</v>
      </c>
      <c r="C3493" s="42" t="s">
        <v>11</v>
      </c>
      <c r="D3493" s="43" t="s">
        <v>30</v>
      </c>
      <c r="E3493" s="46">
        <v>11018.06</v>
      </c>
      <c r="F3493" s="2"/>
      <c r="G3493" s="15" t="s">
        <v>24</v>
      </c>
      <c r="H3493" s="12">
        <v>4</v>
      </c>
      <c r="I3493" s="12">
        <v>2026</v>
      </c>
    </row>
    <row r="3494" spans="1:9" ht="19.5" customHeight="1" x14ac:dyDescent="0.35">
      <c r="A3494" s="41">
        <v>46141</v>
      </c>
      <c r="B3494" s="8" t="s">
        <v>24</v>
      </c>
      <c r="C3494" s="42" t="s">
        <v>33</v>
      </c>
      <c r="D3494" s="43" t="s">
        <v>30</v>
      </c>
      <c r="E3494" s="46">
        <v>0.09</v>
      </c>
      <c r="F3494" s="2"/>
      <c r="G3494" s="15" t="s">
        <v>24</v>
      </c>
      <c r="H3494" s="12">
        <v>4</v>
      </c>
      <c r="I3494" s="12">
        <v>2026</v>
      </c>
    </row>
    <row r="3495" spans="1:9" ht="19.5" customHeight="1" x14ac:dyDescent="0.35">
      <c r="A3495" s="41">
        <v>46142</v>
      </c>
      <c r="B3495" s="8" t="s">
        <v>32</v>
      </c>
      <c r="C3495" s="42" t="s">
        <v>11</v>
      </c>
      <c r="D3495" s="43" t="s">
        <v>30</v>
      </c>
      <c r="E3495" s="46">
        <v>893128.32</v>
      </c>
      <c r="F3495" s="2"/>
      <c r="G3495" s="15" t="s">
        <v>32</v>
      </c>
      <c r="H3495" s="12">
        <v>4</v>
      </c>
      <c r="I3495" s="12">
        <v>2026</v>
      </c>
    </row>
    <row r="3496" spans="1:9" ht="19.5" customHeight="1" x14ac:dyDescent="0.35">
      <c r="A3496" s="41">
        <v>46142</v>
      </c>
      <c r="B3496" s="8" t="s">
        <v>32</v>
      </c>
      <c r="C3496" s="42" t="s">
        <v>33</v>
      </c>
      <c r="D3496" s="43" t="s">
        <v>30</v>
      </c>
      <c r="E3496" s="46">
        <v>2948.54</v>
      </c>
      <c r="F3496" s="2"/>
      <c r="G3496" s="15" t="s">
        <v>32</v>
      </c>
      <c r="H3496" s="12">
        <v>4</v>
      </c>
      <c r="I3496" s="12">
        <v>2026</v>
      </c>
    </row>
    <row r="3497" spans="1:9" ht="19.5" customHeight="1" x14ac:dyDescent="0.35">
      <c r="A3497" s="41">
        <v>46142</v>
      </c>
      <c r="B3497" s="8" t="s">
        <v>32</v>
      </c>
      <c r="C3497" s="42" t="s">
        <v>11</v>
      </c>
      <c r="D3497" s="43" t="s">
        <v>29</v>
      </c>
      <c r="E3497" s="46">
        <v>3096880564</v>
      </c>
      <c r="F3497" s="2"/>
      <c r="G3497" s="15" t="s">
        <v>32</v>
      </c>
      <c r="H3497" s="12">
        <f t="shared" ref="H3497:H3498" si="378">MONTH(A3497)</f>
        <v>4</v>
      </c>
      <c r="I3497" s="12">
        <f t="shared" ref="I3497:I3498" si="379">YEAR(A3497)</f>
        <v>2026</v>
      </c>
    </row>
    <row r="3498" spans="1:9" ht="19.5" customHeight="1" x14ac:dyDescent="0.35">
      <c r="A3498" s="41">
        <v>46142</v>
      </c>
      <c r="B3498" s="8" t="s">
        <v>32</v>
      </c>
      <c r="C3498" s="42" t="s">
        <v>33</v>
      </c>
      <c r="D3498" s="43" t="s">
        <v>29</v>
      </c>
      <c r="E3498" s="46">
        <v>10453076</v>
      </c>
      <c r="F3498" s="2"/>
      <c r="G3498" s="15" t="s">
        <v>32</v>
      </c>
      <c r="H3498" s="12">
        <f t="shared" si="378"/>
        <v>4</v>
      </c>
      <c r="I3498" s="12">
        <f t="shared" si="379"/>
        <v>2026</v>
      </c>
    </row>
    <row r="3499" spans="1:9" ht="19.5" customHeight="1" x14ac:dyDescent="0.35">
      <c r="A3499" s="41">
        <v>46142</v>
      </c>
      <c r="B3499" s="8" t="s">
        <v>24</v>
      </c>
      <c r="C3499" s="42" t="s">
        <v>11</v>
      </c>
      <c r="D3499" s="43" t="s">
        <v>30</v>
      </c>
      <c r="E3499" s="46">
        <v>5328.92</v>
      </c>
      <c r="F3499" s="2"/>
      <c r="G3499" s="15" t="s">
        <v>24</v>
      </c>
      <c r="H3499" s="12">
        <v>4</v>
      </c>
      <c r="I3499" s="12">
        <v>2026</v>
      </c>
    </row>
    <row r="3500" spans="1:9" ht="19.5" customHeight="1" x14ac:dyDescent="0.35">
      <c r="A3500" s="41">
        <v>46142</v>
      </c>
      <c r="B3500" s="8" t="s">
        <v>24</v>
      </c>
      <c r="C3500" s="42" t="s">
        <v>33</v>
      </c>
      <c r="D3500" s="43" t="s">
        <v>30</v>
      </c>
      <c r="E3500" s="46" t="s">
        <v>38</v>
      </c>
      <c r="F3500" s="2"/>
      <c r="G3500" s="15" t="s">
        <v>24</v>
      </c>
      <c r="H3500" s="12">
        <v>4</v>
      </c>
      <c r="I3500" s="12">
        <v>2026</v>
      </c>
    </row>
    <row r="3501" spans="1:9" ht="19.5" customHeight="1" x14ac:dyDescent="0.35">
      <c r="A3501" s="41">
        <v>46143</v>
      </c>
      <c r="B3501" s="8" t="s">
        <v>32</v>
      </c>
      <c r="C3501" s="42" t="s">
        <v>33</v>
      </c>
      <c r="D3501" s="43" t="s">
        <v>30</v>
      </c>
      <c r="E3501" s="46">
        <v>3640.88</v>
      </c>
      <c r="F3501" s="2"/>
      <c r="G3501" s="15" t="s">
        <v>32</v>
      </c>
      <c r="H3501" s="12">
        <v>4</v>
      </c>
      <c r="I3501" s="12">
        <v>2026</v>
      </c>
    </row>
    <row r="3502" spans="1:9" ht="19.5" customHeight="1" x14ac:dyDescent="0.35">
      <c r="A3502" s="41">
        <v>46143</v>
      </c>
      <c r="B3502" s="8" t="s">
        <v>32</v>
      </c>
      <c r="C3502" s="42" t="s">
        <v>11</v>
      </c>
      <c r="D3502" s="43" t="s">
        <v>30</v>
      </c>
      <c r="E3502" s="46">
        <v>888487.32</v>
      </c>
      <c r="F3502" s="2"/>
      <c r="G3502" s="15" t="s">
        <v>32</v>
      </c>
      <c r="H3502" s="12">
        <v>4</v>
      </c>
      <c r="I3502" s="12">
        <v>2026</v>
      </c>
    </row>
    <row r="3503" spans="1:9" ht="19.5" customHeight="1" x14ac:dyDescent="0.35">
      <c r="A3503" s="41">
        <v>46143</v>
      </c>
      <c r="B3503" s="8" t="s">
        <v>32</v>
      </c>
      <c r="C3503" s="42" t="s">
        <v>11</v>
      </c>
      <c r="D3503" s="43" t="s">
        <v>29</v>
      </c>
      <c r="E3503" s="46">
        <v>3139557140</v>
      </c>
      <c r="F3503" s="2"/>
      <c r="G3503" s="15" t="s">
        <v>32</v>
      </c>
      <c r="H3503" s="12">
        <f t="shared" ref="H3503:H3504" si="380">MONTH(A3503)</f>
        <v>5</v>
      </c>
      <c r="I3503" s="12">
        <f t="shared" ref="I3503:I3504" si="381">YEAR(A3503)</f>
        <v>2026</v>
      </c>
    </row>
    <row r="3504" spans="1:9" ht="19.5" customHeight="1" x14ac:dyDescent="0.35">
      <c r="A3504" s="41">
        <v>46143</v>
      </c>
      <c r="B3504" s="8" t="s">
        <v>32</v>
      </c>
      <c r="C3504" s="42" t="s">
        <v>33</v>
      </c>
      <c r="D3504" s="43" t="s">
        <v>29</v>
      </c>
      <c r="E3504" s="46">
        <v>12549973</v>
      </c>
      <c r="F3504" s="2"/>
      <c r="G3504" s="15" t="s">
        <v>32</v>
      </c>
      <c r="H3504" s="12">
        <f t="shared" si="380"/>
        <v>5</v>
      </c>
      <c r="I3504" s="12">
        <f t="shared" si="381"/>
        <v>2026</v>
      </c>
    </row>
    <row r="3505" spans="1:9" ht="19.5" customHeight="1" x14ac:dyDescent="0.35">
      <c r="A3505" s="41">
        <v>46143</v>
      </c>
      <c r="B3505" s="8" t="s">
        <v>24</v>
      </c>
      <c r="C3505" s="42" t="s">
        <v>11</v>
      </c>
      <c r="D3505" s="43" t="s">
        <v>30</v>
      </c>
      <c r="E3505" s="46">
        <v>1790.04</v>
      </c>
      <c r="F3505" s="2"/>
      <c r="G3505" s="15" t="s">
        <v>24</v>
      </c>
      <c r="H3505" s="12">
        <v>4</v>
      </c>
      <c r="I3505" s="12">
        <v>2026</v>
      </c>
    </row>
    <row r="3506" spans="1:9" ht="19.5" customHeight="1" x14ac:dyDescent="0.35">
      <c r="A3506" s="41">
        <v>46143</v>
      </c>
      <c r="B3506" s="8" t="s">
        <v>24</v>
      </c>
      <c r="C3506" s="42" t="s">
        <v>33</v>
      </c>
      <c r="D3506" s="43" t="s">
        <v>30</v>
      </c>
      <c r="E3506" s="46" t="s">
        <v>38</v>
      </c>
      <c r="F3506" s="2"/>
      <c r="G3506" s="15" t="s">
        <v>24</v>
      </c>
      <c r="H3506" s="12">
        <v>4</v>
      </c>
      <c r="I3506" s="12">
        <v>2026</v>
      </c>
    </row>
    <row r="3507" spans="1:9" ht="19.5" customHeight="1" x14ac:dyDescent="0.35">
      <c r="A3507" s="41">
        <v>46144</v>
      </c>
      <c r="B3507" s="8" t="s">
        <v>32</v>
      </c>
      <c r="C3507" s="42" t="s">
        <v>33</v>
      </c>
      <c r="D3507" s="43" t="s">
        <v>30</v>
      </c>
      <c r="E3507" s="46">
        <v>3725.69</v>
      </c>
      <c r="F3507" s="2"/>
      <c r="G3507" s="15" t="s">
        <v>32</v>
      </c>
      <c r="H3507" s="12">
        <v>4</v>
      </c>
      <c r="I3507" s="12">
        <v>2026</v>
      </c>
    </row>
    <row r="3508" spans="1:9" ht="19.5" customHeight="1" x14ac:dyDescent="0.35">
      <c r="A3508" s="41">
        <v>46144</v>
      </c>
      <c r="B3508" s="8" t="s">
        <v>32</v>
      </c>
      <c r="C3508" s="42" t="s">
        <v>11</v>
      </c>
      <c r="D3508" s="43" t="s">
        <v>30</v>
      </c>
      <c r="E3508" s="46">
        <v>1183400.43</v>
      </c>
      <c r="F3508" s="2"/>
      <c r="G3508" s="15" t="s">
        <v>32</v>
      </c>
      <c r="H3508" s="12">
        <v>4</v>
      </c>
      <c r="I3508" s="12">
        <v>2026</v>
      </c>
    </row>
    <row r="3509" spans="1:9" ht="19.5" customHeight="1" x14ac:dyDescent="0.35">
      <c r="A3509" s="41">
        <v>46144</v>
      </c>
      <c r="B3509" s="8" t="s">
        <v>32</v>
      </c>
      <c r="C3509" s="42" t="s">
        <v>11</v>
      </c>
      <c r="D3509" s="43" t="s">
        <v>29</v>
      </c>
      <c r="E3509" s="46">
        <v>4055675152</v>
      </c>
      <c r="F3509" s="2"/>
      <c r="G3509" s="15" t="s">
        <v>32</v>
      </c>
      <c r="H3509" s="12">
        <f t="shared" ref="H3509:H3510" si="382">MONTH(A3509)</f>
        <v>5</v>
      </c>
      <c r="I3509" s="12">
        <f t="shared" ref="I3509:I3510" si="383">YEAR(A3509)</f>
        <v>2026</v>
      </c>
    </row>
    <row r="3510" spans="1:9" ht="19.5" customHeight="1" x14ac:dyDescent="0.35">
      <c r="A3510" s="41">
        <v>46144</v>
      </c>
      <c r="B3510" s="8" t="s">
        <v>32</v>
      </c>
      <c r="C3510" s="42" t="s">
        <v>33</v>
      </c>
      <c r="D3510" s="43" t="s">
        <v>29</v>
      </c>
      <c r="E3510" s="46">
        <v>12663918</v>
      </c>
      <c r="F3510" s="2"/>
      <c r="G3510" s="15" t="s">
        <v>32</v>
      </c>
      <c r="H3510" s="12">
        <f t="shared" si="382"/>
        <v>5</v>
      </c>
      <c r="I3510" s="12">
        <f t="shared" si="383"/>
        <v>2026</v>
      </c>
    </row>
    <row r="3511" spans="1:9" ht="19.5" customHeight="1" x14ac:dyDescent="0.35">
      <c r="A3511" s="41">
        <v>46144</v>
      </c>
      <c r="B3511" s="8" t="s">
        <v>24</v>
      </c>
      <c r="C3511" s="42" t="s">
        <v>11</v>
      </c>
      <c r="D3511" s="43" t="s">
        <v>30</v>
      </c>
      <c r="E3511" s="46">
        <v>11908.79</v>
      </c>
      <c r="F3511" s="2"/>
      <c r="G3511" s="15" t="s">
        <v>24</v>
      </c>
      <c r="H3511" s="12">
        <v>4</v>
      </c>
      <c r="I3511" s="12">
        <v>2026</v>
      </c>
    </row>
    <row r="3512" spans="1:9" ht="19.5" customHeight="1" x14ac:dyDescent="0.35">
      <c r="A3512" s="41">
        <v>46144</v>
      </c>
      <c r="B3512" s="8" t="s">
        <v>24</v>
      </c>
      <c r="C3512" s="42" t="s">
        <v>33</v>
      </c>
      <c r="D3512" s="43" t="s">
        <v>30</v>
      </c>
      <c r="E3512" s="46" t="s">
        <v>38</v>
      </c>
      <c r="F3512" s="2"/>
      <c r="G3512" s="15" t="s">
        <v>24</v>
      </c>
      <c r="H3512" s="12">
        <v>4</v>
      </c>
      <c r="I3512" s="12">
        <v>2026</v>
      </c>
    </row>
    <row r="3513" spans="1:9" ht="19.5" customHeight="1" x14ac:dyDescent="0.35">
      <c r="A3513" s="41">
        <v>46145</v>
      </c>
      <c r="B3513" s="8" t="s">
        <v>32</v>
      </c>
      <c r="C3513" s="42" t="s">
        <v>11</v>
      </c>
      <c r="D3513" s="43" t="s">
        <v>30</v>
      </c>
      <c r="E3513" s="46">
        <v>958951.94</v>
      </c>
      <c r="F3513" s="2"/>
      <c r="G3513" s="15" t="s">
        <v>32</v>
      </c>
      <c r="H3513" s="12">
        <v>4</v>
      </c>
      <c r="I3513" s="12">
        <v>2026</v>
      </c>
    </row>
    <row r="3514" spans="1:9" ht="19.5" customHeight="1" x14ac:dyDescent="0.35">
      <c r="A3514" s="41">
        <v>46145</v>
      </c>
      <c r="B3514" s="8" t="s">
        <v>32</v>
      </c>
      <c r="C3514" s="42" t="s">
        <v>33</v>
      </c>
      <c r="D3514" s="43" t="s">
        <v>30</v>
      </c>
      <c r="E3514" s="46">
        <v>3174.61</v>
      </c>
      <c r="F3514" s="2"/>
      <c r="G3514" s="15" t="s">
        <v>32</v>
      </c>
      <c r="H3514" s="12">
        <v>4</v>
      </c>
      <c r="I3514" s="12">
        <v>2026</v>
      </c>
    </row>
    <row r="3515" spans="1:9" ht="19.5" customHeight="1" x14ac:dyDescent="0.35">
      <c r="A3515" s="41">
        <v>46145</v>
      </c>
      <c r="B3515" s="8" t="s">
        <v>32</v>
      </c>
      <c r="C3515" s="42" t="s">
        <v>11</v>
      </c>
      <c r="D3515" s="43" t="s">
        <v>29</v>
      </c>
      <c r="E3515" s="46">
        <v>3275169146</v>
      </c>
      <c r="F3515" s="2"/>
      <c r="G3515" s="15" t="s">
        <v>32</v>
      </c>
      <c r="H3515" s="12">
        <f t="shared" ref="H3515:H3516" si="384">MONTH(A3515)</f>
        <v>5</v>
      </c>
      <c r="I3515" s="12">
        <f t="shared" ref="I3515:I3516" si="385">YEAR(A3515)</f>
        <v>2026</v>
      </c>
    </row>
    <row r="3516" spans="1:9" ht="19.5" customHeight="1" x14ac:dyDescent="0.35">
      <c r="A3516" s="41">
        <v>46145</v>
      </c>
      <c r="B3516" s="8" t="s">
        <v>32</v>
      </c>
      <c r="C3516" s="42" t="s">
        <v>33</v>
      </c>
      <c r="D3516" s="43" t="s">
        <v>29</v>
      </c>
      <c r="E3516" s="46">
        <v>10919960</v>
      </c>
      <c r="F3516" s="2"/>
      <c r="G3516" s="15" t="s">
        <v>32</v>
      </c>
      <c r="H3516" s="12">
        <f t="shared" si="384"/>
        <v>5</v>
      </c>
      <c r="I3516" s="12">
        <f t="shared" si="385"/>
        <v>2026</v>
      </c>
    </row>
    <row r="3517" spans="1:9" ht="19.5" customHeight="1" x14ac:dyDescent="0.35">
      <c r="A3517" s="41">
        <v>46145</v>
      </c>
      <c r="B3517" s="8" t="s">
        <v>24</v>
      </c>
      <c r="C3517" s="42" t="s">
        <v>11</v>
      </c>
      <c r="D3517" s="43" t="s">
        <v>30</v>
      </c>
      <c r="E3517" s="46">
        <v>12098.11</v>
      </c>
      <c r="F3517" s="2"/>
      <c r="G3517" s="15" t="s">
        <v>24</v>
      </c>
      <c r="H3517" s="12">
        <v>4</v>
      </c>
      <c r="I3517" s="12">
        <v>2026</v>
      </c>
    </row>
    <row r="3518" spans="1:9" ht="19.5" customHeight="1" x14ac:dyDescent="0.35">
      <c r="A3518" s="41">
        <v>46145</v>
      </c>
      <c r="B3518" s="8" t="s">
        <v>24</v>
      </c>
      <c r="C3518" s="42" t="s">
        <v>33</v>
      </c>
      <c r="D3518" s="43" t="s">
        <v>30</v>
      </c>
      <c r="E3518" s="46" t="s">
        <v>38</v>
      </c>
      <c r="F3518" s="2"/>
      <c r="G3518" s="15" t="s">
        <v>24</v>
      </c>
      <c r="H3518" s="12">
        <v>4</v>
      </c>
      <c r="I3518" s="12">
        <v>2026</v>
      </c>
    </row>
    <row r="3519" spans="1:9" ht="19.5" customHeight="1" x14ac:dyDescent="0.35">
      <c r="A3519" s="41">
        <v>46146</v>
      </c>
      <c r="B3519" s="8" t="s">
        <v>32</v>
      </c>
      <c r="C3519" s="42" t="s">
        <v>11</v>
      </c>
      <c r="D3519" s="43" t="s">
        <v>30</v>
      </c>
      <c r="E3519" s="46">
        <v>1408264.01</v>
      </c>
      <c r="F3519" s="2"/>
      <c r="G3519" s="15" t="s">
        <v>32</v>
      </c>
      <c r="H3519" s="12">
        <v>4</v>
      </c>
      <c r="I3519" s="12">
        <v>2026</v>
      </c>
    </row>
    <row r="3520" spans="1:9" ht="19.5" customHeight="1" x14ac:dyDescent="0.35">
      <c r="A3520" s="41">
        <v>46146</v>
      </c>
      <c r="B3520" s="8" t="s">
        <v>32</v>
      </c>
      <c r="C3520" s="42" t="s">
        <v>33</v>
      </c>
      <c r="D3520" s="43" t="s">
        <v>30</v>
      </c>
      <c r="E3520" s="46">
        <v>7873.42</v>
      </c>
      <c r="F3520" s="2"/>
      <c r="G3520" s="15" t="s">
        <v>32</v>
      </c>
      <c r="H3520" s="12">
        <v>4</v>
      </c>
      <c r="I3520" s="12">
        <v>2026</v>
      </c>
    </row>
    <row r="3521" spans="1:9" ht="19.5" customHeight="1" x14ac:dyDescent="0.35">
      <c r="A3521" s="41">
        <v>46146</v>
      </c>
      <c r="B3521" s="8" t="s">
        <v>32</v>
      </c>
      <c r="C3521" s="42" t="s">
        <v>11</v>
      </c>
      <c r="D3521" s="43" t="s">
        <v>29</v>
      </c>
      <c r="E3521" s="46">
        <v>4721704137</v>
      </c>
      <c r="F3521" s="2"/>
      <c r="G3521" s="15" t="s">
        <v>32</v>
      </c>
      <c r="H3521" s="12">
        <f t="shared" ref="H3521:H3522" si="386">MONTH(A3521)</f>
        <v>5</v>
      </c>
      <c r="I3521" s="12">
        <f t="shared" ref="I3521:I3522" si="387">YEAR(A3521)</f>
        <v>2026</v>
      </c>
    </row>
    <row r="3522" spans="1:9" ht="19.5" customHeight="1" x14ac:dyDescent="0.35">
      <c r="A3522" s="41">
        <v>46146</v>
      </c>
      <c r="B3522" s="8" t="s">
        <v>32</v>
      </c>
      <c r="C3522" s="42" t="s">
        <v>33</v>
      </c>
      <c r="D3522" s="43" t="s">
        <v>29</v>
      </c>
      <c r="E3522" s="46">
        <v>25934647</v>
      </c>
      <c r="F3522" s="2"/>
      <c r="G3522" s="15" t="s">
        <v>32</v>
      </c>
      <c r="H3522" s="12">
        <f t="shared" si="386"/>
        <v>5</v>
      </c>
      <c r="I3522" s="12">
        <f t="shared" si="387"/>
        <v>2026</v>
      </c>
    </row>
    <row r="3523" spans="1:9" ht="19.5" customHeight="1" x14ac:dyDescent="0.35">
      <c r="A3523" s="41">
        <v>46146</v>
      </c>
      <c r="B3523" s="8" t="s">
        <v>24</v>
      </c>
      <c r="C3523" s="42" t="s">
        <v>11</v>
      </c>
      <c r="D3523" s="43" t="s">
        <v>30</v>
      </c>
      <c r="E3523" s="46">
        <v>8513.18</v>
      </c>
      <c r="F3523" s="2"/>
      <c r="G3523" s="15" t="s">
        <v>24</v>
      </c>
      <c r="H3523" s="12">
        <v>4</v>
      </c>
      <c r="I3523" s="12">
        <v>2026</v>
      </c>
    </row>
    <row r="3524" spans="1:9" ht="19.5" customHeight="1" x14ac:dyDescent="0.35">
      <c r="A3524" s="41">
        <v>46146</v>
      </c>
      <c r="B3524" s="8" t="s">
        <v>24</v>
      </c>
      <c r="C3524" s="42" t="s">
        <v>33</v>
      </c>
      <c r="D3524" s="43" t="s">
        <v>30</v>
      </c>
      <c r="E3524" s="46" t="s">
        <v>38</v>
      </c>
      <c r="F3524" s="2"/>
      <c r="G3524" s="15" t="s">
        <v>24</v>
      </c>
      <c r="H3524" s="12">
        <v>4</v>
      </c>
      <c r="I3524" s="12">
        <v>2026</v>
      </c>
    </row>
    <row r="3525" spans="1:9" ht="19.5" customHeight="1" x14ac:dyDescent="0.35">
      <c r="A3525" s="41">
        <v>46147</v>
      </c>
      <c r="B3525" s="8" t="s">
        <v>32</v>
      </c>
      <c r="C3525" s="42" t="s">
        <v>11</v>
      </c>
      <c r="D3525" s="43" t="s">
        <v>30</v>
      </c>
      <c r="E3525" s="46">
        <v>1274992.74</v>
      </c>
      <c r="F3525" s="2"/>
      <c r="G3525" s="15" t="s">
        <v>32</v>
      </c>
      <c r="H3525" s="12">
        <v>4</v>
      </c>
      <c r="I3525" s="12">
        <v>2026</v>
      </c>
    </row>
    <row r="3526" spans="1:9" ht="19.5" customHeight="1" x14ac:dyDescent="0.35">
      <c r="A3526" s="41">
        <v>46147</v>
      </c>
      <c r="B3526" s="8" t="s">
        <v>32</v>
      </c>
      <c r="C3526" s="42" t="s">
        <v>33</v>
      </c>
      <c r="D3526" s="43" t="s">
        <v>30</v>
      </c>
      <c r="E3526" s="46">
        <v>7098.83</v>
      </c>
      <c r="F3526" s="2"/>
      <c r="G3526" s="15" t="s">
        <v>32</v>
      </c>
      <c r="H3526" s="12">
        <v>4</v>
      </c>
      <c r="I3526" s="12">
        <v>2026</v>
      </c>
    </row>
    <row r="3527" spans="1:9" ht="19.5" customHeight="1" x14ac:dyDescent="0.35">
      <c r="A3527" s="41">
        <v>46147</v>
      </c>
      <c r="B3527" s="8" t="s">
        <v>32</v>
      </c>
      <c r="C3527" s="42" t="s">
        <v>11</v>
      </c>
      <c r="D3527" s="43" t="s">
        <v>29</v>
      </c>
      <c r="E3527" s="46">
        <v>4545794519</v>
      </c>
      <c r="F3527" s="2"/>
      <c r="G3527" s="15" t="s">
        <v>32</v>
      </c>
      <c r="H3527" s="12">
        <f t="shared" ref="H3527:H3528" si="388">MONTH(A3527)</f>
        <v>5</v>
      </c>
      <c r="I3527" s="12">
        <f t="shared" ref="I3527:I3528" si="389">YEAR(A3527)</f>
        <v>2026</v>
      </c>
    </row>
    <row r="3528" spans="1:9" ht="19.5" customHeight="1" x14ac:dyDescent="0.35">
      <c r="A3528" s="41">
        <v>46147</v>
      </c>
      <c r="B3528" s="8" t="s">
        <v>32</v>
      </c>
      <c r="C3528" s="42" t="s">
        <v>33</v>
      </c>
      <c r="D3528" s="43" t="s">
        <v>29</v>
      </c>
      <c r="E3528" s="46">
        <v>24289060</v>
      </c>
      <c r="F3528" s="2"/>
      <c r="G3528" s="15" t="s">
        <v>32</v>
      </c>
      <c r="H3528" s="12">
        <f t="shared" si="388"/>
        <v>5</v>
      </c>
      <c r="I3528" s="12">
        <f t="shared" si="389"/>
        <v>2026</v>
      </c>
    </row>
    <row r="3529" spans="1:9" ht="19.5" customHeight="1" x14ac:dyDescent="0.35">
      <c r="A3529" s="41">
        <v>46147</v>
      </c>
      <c r="B3529" s="8" t="s">
        <v>24</v>
      </c>
      <c r="C3529" s="42" t="s">
        <v>11</v>
      </c>
      <c r="D3529" s="43" t="s">
        <v>30</v>
      </c>
      <c r="E3529" s="46">
        <v>14410.08</v>
      </c>
      <c r="F3529" s="2"/>
      <c r="G3529" s="15" t="s">
        <v>24</v>
      </c>
      <c r="H3529" s="12">
        <v>4</v>
      </c>
      <c r="I3529" s="12">
        <v>2026</v>
      </c>
    </row>
    <row r="3530" spans="1:9" ht="19.5" customHeight="1" x14ac:dyDescent="0.35">
      <c r="A3530" s="41">
        <v>46147</v>
      </c>
      <c r="B3530" s="8" t="s">
        <v>24</v>
      </c>
      <c r="C3530" s="42" t="s">
        <v>33</v>
      </c>
      <c r="D3530" s="43" t="s">
        <v>30</v>
      </c>
      <c r="E3530" s="46" t="s">
        <v>38</v>
      </c>
      <c r="F3530" s="2"/>
      <c r="G3530" s="15" t="s">
        <v>24</v>
      </c>
      <c r="H3530" s="12">
        <v>4</v>
      </c>
      <c r="I3530" s="12">
        <v>2026</v>
      </c>
    </row>
    <row r="3531" spans="1:9" ht="19.5" customHeight="1" x14ac:dyDescent="0.35">
      <c r="A3531" s="41">
        <v>46148</v>
      </c>
      <c r="B3531" s="8" t="s">
        <v>32</v>
      </c>
      <c r="C3531" s="42" t="s">
        <v>11</v>
      </c>
      <c r="D3531" s="43" t="s">
        <v>30</v>
      </c>
      <c r="E3531" s="46">
        <v>1966309.42</v>
      </c>
      <c r="F3531" s="2"/>
      <c r="G3531" s="15" t="s">
        <v>32</v>
      </c>
      <c r="H3531" s="12">
        <v>4</v>
      </c>
      <c r="I3531" s="12">
        <v>2026</v>
      </c>
    </row>
    <row r="3532" spans="1:9" ht="19.5" customHeight="1" x14ac:dyDescent="0.35">
      <c r="A3532" s="41">
        <v>46148</v>
      </c>
      <c r="B3532" s="8" t="s">
        <v>32</v>
      </c>
      <c r="C3532" s="42" t="s">
        <v>33</v>
      </c>
      <c r="D3532" s="43" t="s">
        <v>30</v>
      </c>
      <c r="E3532" s="46">
        <v>11448.08</v>
      </c>
      <c r="F3532" s="2"/>
      <c r="G3532" s="15" t="s">
        <v>32</v>
      </c>
      <c r="H3532" s="12">
        <v>4</v>
      </c>
      <c r="I3532" s="12">
        <v>2026</v>
      </c>
    </row>
    <row r="3533" spans="1:9" ht="19.5" customHeight="1" x14ac:dyDescent="0.35">
      <c r="A3533" s="41">
        <v>46148</v>
      </c>
      <c r="B3533" s="8" t="s">
        <v>32</v>
      </c>
      <c r="C3533" s="42" t="s">
        <v>11</v>
      </c>
      <c r="D3533" s="43" t="s">
        <v>29</v>
      </c>
      <c r="E3533" s="46">
        <v>6885898750</v>
      </c>
      <c r="F3533" s="2"/>
      <c r="G3533" s="15" t="s">
        <v>32</v>
      </c>
      <c r="H3533" s="12">
        <f t="shared" ref="H3533:H3534" si="390">MONTH(A3533)</f>
        <v>5</v>
      </c>
      <c r="I3533" s="12">
        <f t="shared" ref="I3533:I3534" si="391">YEAR(A3533)</f>
        <v>2026</v>
      </c>
    </row>
    <row r="3534" spans="1:9" ht="19.5" customHeight="1" x14ac:dyDescent="0.35">
      <c r="A3534" s="41">
        <v>46148</v>
      </c>
      <c r="B3534" s="8" t="s">
        <v>32</v>
      </c>
      <c r="C3534" s="42" t="s">
        <v>33</v>
      </c>
      <c r="D3534" s="43" t="s">
        <v>29</v>
      </c>
      <c r="E3534" s="46">
        <v>38961279</v>
      </c>
      <c r="F3534" s="2"/>
      <c r="G3534" s="15" t="s">
        <v>32</v>
      </c>
      <c r="H3534" s="12">
        <f t="shared" si="390"/>
        <v>5</v>
      </c>
      <c r="I3534" s="12">
        <f t="shared" si="391"/>
        <v>2026</v>
      </c>
    </row>
    <row r="3535" spans="1:9" ht="19.5" customHeight="1" x14ac:dyDescent="0.35">
      <c r="A3535" s="41">
        <v>46148</v>
      </c>
      <c r="B3535" s="8" t="s">
        <v>24</v>
      </c>
      <c r="C3535" s="42" t="s">
        <v>11</v>
      </c>
      <c r="D3535" s="43" t="s">
        <v>30</v>
      </c>
      <c r="E3535" s="46">
        <v>21601</v>
      </c>
      <c r="F3535" s="2"/>
      <c r="G3535" s="15" t="s">
        <v>24</v>
      </c>
      <c r="H3535" s="12">
        <v>4</v>
      </c>
      <c r="I3535" s="12">
        <v>2026</v>
      </c>
    </row>
    <row r="3536" spans="1:9" ht="19.5" customHeight="1" x14ac:dyDescent="0.35">
      <c r="A3536" s="41">
        <v>46148</v>
      </c>
      <c r="B3536" s="8" t="s">
        <v>24</v>
      </c>
      <c r="C3536" s="42" t="s">
        <v>33</v>
      </c>
      <c r="D3536" s="43" t="s">
        <v>30</v>
      </c>
      <c r="E3536" s="46">
        <v>3.09</v>
      </c>
      <c r="F3536" s="2"/>
      <c r="G3536" s="15" t="s">
        <v>24</v>
      </c>
      <c r="H3536" s="12">
        <v>4</v>
      </c>
      <c r="I3536" s="12">
        <v>2026</v>
      </c>
    </row>
    <row r="3537" spans="1:9" ht="19.5" customHeight="1" x14ac:dyDescent="0.35">
      <c r="A3537" s="41">
        <v>46149</v>
      </c>
      <c r="B3537" s="8" t="s">
        <v>32</v>
      </c>
      <c r="C3537" s="42" t="s">
        <v>11</v>
      </c>
      <c r="D3537" s="43" t="s">
        <v>30</v>
      </c>
      <c r="E3537" s="46">
        <v>1532648.69</v>
      </c>
      <c r="F3537" s="2"/>
      <c r="G3537" s="15" t="s">
        <v>32</v>
      </c>
      <c r="H3537" s="12">
        <v>4</v>
      </c>
      <c r="I3537" s="12">
        <v>2026</v>
      </c>
    </row>
    <row r="3538" spans="1:9" ht="19.5" customHeight="1" x14ac:dyDescent="0.35">
      <c r="A3538" s="41">
        <v>46149</v>
      </c>
      <c r="B3538" s="8" t="s">
        <v>32</v>
      </c>
      <c r="C3538" s="42" t="s">
        <v>33</v>
      </c>
      <c r="D3538" s="43" t="s">
        <v>30</v>
      </c>
      <c r="E3538" s="46">
        <v>6914.39</v>
      </c>
      <c r="F3538" s="2"/>
      <c r="G3538" s="15" t="s">
        <v>32</v>
      </c>
      <c r="H3538" s="12">
        <v>4</v>
      </c>
      <c r="I3538" s="12">
        <v>2026</v>
      </c>
    </row>
    <row r="3539" spans="1:9" ht="19.5" customHeight="1" x14ac:dyDescent="0.35">
      <c r="A3539" s="41">
        <v>46149</v>
      </c>
      <c r="B3539" s="8" t="s">
        <v>32</v>
      </c>
      <c r="C3539" s="42" t="s">
        <v>11</v>
      </c>
      <c r="D3539" s="43" t="s">
        <v>29</v>
      </c>
      <c r="E3539" s="46">
        <v>5322956212</v>
      </c>
      <c r="F3539" s="2"/>
      <c r="G3539" s="15" t="s">
        <v>32</v>
      </c>
      <c r="H3539" s="12">
        <f t="shared" ref="H3539:H3540" si="392">MONTH(A3539)</f>
        <v>5</v>
      </c>
      <c r="I3539" s="12">
        <f t="shared" ref="I3539:I3540" si="393">YEAR(A3539)</f>
        <v>2026</v>
      </c>
    </row>
    <row r="3540" spans="1:9" ht="19.5" customHeight="1" x14ac:dyDescent="0.35">
      <c r="A3540" s="41">
        <v>46149</v>
      </c>
      <c r="B3540" s="8" t="s">
        <v>32</v>
      </c>
      <c r="C3540" s="42" t="s">
        <v>33</v>
      </c>
      <c r="D3540" s="43" t="s">
        <v>29</v>
      </c>
      <c r="E3540" s="46">
        <v>23314797</v>
      </c>
      <c r="F3540" s="2"/>
      <c r="G3540" s="15" t="s">
        <v>32</v>
      </c>
      <c r="H3540" s="12">
        <f t="shared" si="392"/>
        <v>5</v>
      </c>
      <c r="I3540" s="12">
        <f t="shared" si="393"/>
        <v>2026</v>
      </c>
    </row>
    <row r="3541" spans="1:9" ht="19.5" customHeight="1" x14ac:dyDescent="0.35">
      <c r="A3541" s="41">
        <v>46149</v>
      </c>
      <c r="B3541" s="8" t="s">
        <v>24</v>
      </c>
      <c r="C3541" s="42" t="s">
        <v>11</v>
      </c>
      <c r="D3541" s="43" t="s">
        <v>30</v>
      </c>
      <c r="E3541" s="46">
        <v>23429.54</v>
      </c>
      <c r="F3541" s="2"/>
      <c r="G3541" s="15" t="s">
        <v>24</v>
      </c>
      <c r="H3541" s="12">
        <v>4</v>
      </c>
      <c r="I3541" s="12">
        <v>2026</v>
      </c>
    </row>
    <row r="3542" spans="1:9" ht="19.5" customHeight="1" x14ac:dyDescent="0.35">
      <c r="A3542" s="41">
        <v>46149</v>
      </c>
      <c r="B3542" s="8" t="s">
        <v>24</v>
      </c>
      <c r="C3542" s="42" t="s">
        <v>33</v>
      </c>
      <c r="D3542" s="43" t="s">
        <v>30</v>
      </c>
      <c r="E3542" s="46">
        <v>4.8</v>
      </c>
      <c r="F3542" s="2"/>
      <c r="G3542" s="15" t="s">
        <v>24</v>
      </c>
      <c r="H3542" s="12">
        <v>4</v>
      </c>
      <c r="I3542" s="12">
        <v>2026</v>
      </c>
    </row>
    <row r="3543" spans="1:9" ht="19.5" customHeight="1" x14ac:dyDescent="0.35">
      <c r="A3543" s="41">
        <v>46150</v>
      </c>
      <c r="B3543" s="8" t="s">
        <v>32</v>
      </c>
      <c r="C3543" s="42" t="s">
        <v>11</v>
      </c>
      <c r="D3543" s="43" t="s">
        <v>30</v>
      </c>
      <c r="E3543" s="46">
        <v>1577733.66</v>
      </c>
      <c r="F3543" s="2"/>
      <c r="G3543" s="15" t="s">
        <v>32</v>
      </c>
      <c r="H3543" s="12">
        <v>4</v>
      </c>
      <c r="I3543" s="12">
        <v>2026</v>
      </c>
    </row>
    <row r="3544" spans="1:9" ht="19.5" customHeight="1" x14ac:dyDescent="0.35">
      <c r="A3544" s="41">
        <v>46150</v>
      </c>
      <c r="B3544" s="8" t="s">
        <v>32</v>
      </c>
      <c r="C3544" s="42" t="s">
        <v>33</v>
      </c>
      <c r="D3544" s="43" t="s">
        <v>30</v>
      </c>
      <c r="E3544" s="46">
        <v>6177.16</v>
      </c>
      <c r="F3544" s="2"/>
      <c r="G3544" s="15" t="s">
        <v>32</v>
      </c>
      <c r="H3544" s="12">
        <v>4</v>
      </c>
      <c r="I3544" s="12">
        <v>2026</v>
      </c>
    </row>
    <row r="3545" spans="1:9" ht="19.5" customHeight="1" x14ac:dyDescent="0.35">
      <c r="A3545" s="41">
        <v>46150</v>
      </c>
      <c r="B3545" s="8" t="s">
        <v>32</v>
      </c>
      <c r="C3545" s="42" t="s">
        <v>11</v>
      </c>
      <c r="D3545" s="43" t="s">
        <v>29</v>
      </c>
      <c r="E3545" s="46">
        <v>5426812047</v>
      </c>
      <c r="F3545" s="2"/>
      <c r="G3545" s="15" t="s">
        <v>32</v>
      </c>
      <c r="H3545" s="12">
        <f t="shared" ref="H3545:H3546" si="394">MONTH(A3545)</f>
        <v>5</v>
      </c>
      <c r="I3545" s="12">
        <f t="shared" ref="I3545:I3546" si="395">YEAR(A3545)</f>
        <v>2026</v>
      </c>
    </row>
    <row r="3546" spans="1:9" ht="19.5" customHeight="1" x14ac:dyDescent="0.35">
      <c r="A3546" s="41">
        <v>46150</v>
      </c>
      <c r="B3546" s="8" t="s">
        <v>32</v>
      </c>
      <c r="C3546" s="42" t="s">
        <v>33</v>
      </c>
      <c r="D3546" s="43" t="s">
        <v>29</v>
      </c>
      <c r="E3546" s="46">
        <v>21414824</v>
      </c>
      <c r="F3546" s="2"/>
      <c r="G3546" s="15" t="s">
        <v>32</v>
      </c>
      <c r="H3546" s="12">
        <f t="shared" si="394"/>
        <v>5</v>
      </c>
      <c r="I3546" s="12">
        <f t="shared" si="395"/>
        <v>2026</v>
      </c>
    </row>
    <row r="3547" spans="1:9" ht="19.5" customHeight="1" x14ac:dyDescent="0.35">
      <c r="A3547" s="41">
        <v>46150</v>
      </c>
      <c r="B3547" s="8" t="s">
        <v>24</v>
      </c>
      <c r="C3547" s="42" t="s">
        <v>11</v>
      </c>
      <c r="D3547" s="43" t="s">
        <v>30</v>
      </c>
      <c r="E3547" s="46">
        <v>11233.96</v>
      </c>
      <c r="F3547" s="2"/>
      <c r="G3547" s="15" t="s">
        <v>24</v>
      </c>
      <c r="H3547" s="12">
        <v>4</v>
      </c>
      <c r="I3547" s="12">
        <v>2026</v>
      </c>
    </row>
    <row r="3548" spans="1:9" ht="19.5" customHeight="1" x14ac:dyDescent="0.35">
      <c r="A3548" s="41">
        <v>46150</v>
      </c>
      <c r="B3548" s="8" t="s">
        <v>24</v>
      </c>
      <c r="C3548" s="42" t="s">
        <v>33</v>
      </c>
      <c r="D3548" s="43" t="s">
        <v>30</v>
      </c>
      <c r="E3548" s="46">
        <v>0</v>
      </c>
      <c r="F3548" s="2"/>
      <c r="G3548" s="15" t="s">
        <v>24</v>
      </c>
      <c r="H3548" s="12">
        <v>4</v>
      </c>
      <c r="I3548" s="12">
        <v>2026</v>
      </c>
    </row>
    <row r="3549" spans="1:9" ht="19.5" customHeight="1" x14ac:dyDescent="0.35">
      <c r="A3549" s="41">
        <v>46151</v>
      </c>
      <c r="B3549" s="8" t="s">
        <v>32</v>
      </c>
      <c r="C3549" s="42" t="s">
        <v>11</v>
      </c>
      <c r="D3549" s="43" t="s">
        <v>30</v>
      </c>
      <c r="E3549" s="46">
        <v>1462318.5</v>
      </c>
      <c r="F3549" s="2"/>
      <c r="G3549" s="15" t="s">
        <v>32</v>
      </c>
      <c r="H3549" s="12">
        <v>4</v>
      </c>
      <c r="I3549" s="12">
        <v>2026</v>
      </c>
    </row>
    <row r="3550" spans="1:9" ht="19.5" customHeight="1" x14ac:dyDescent="0.35">
      <c r="A3550" s="41">
        <v>46151</v>
      </c>
      <c r="B3550" s="8" t="s">
        <v>32</v>
      </c>
      <c r="C3550" s="42" t="s">
        <v>33</v>
      </c>
      <c r="D3550" s="43" t="s">
        <v>30</v>
      </c>
      <c r="E3550" s="46">
        <v>5220.3100000000004</v>
      </c>
      <c r="F3550" s="2"/>
      <c r="G3550" s="15" t="s">
        <v>32</v>
      </c>
      <c r="H3550" s="12">
        <v>4</v>
      </c>
      <c r="I3550" s="12">
        <v>2026</v>
      </c>
    </row>
    <row r="3551" spans="1:9" ht="19.5" customHeight="1" x14ac:dyDescent="0.35">
      <c r="A3551" s="41">
        <v>46151</v>
      </c>
      <c r="B3551" s="8" t="s">
        <v>32</v>
      </c>
      <c r="C3551" s="42" t="s">
        <v>11</v>
      </c>
      <c r="D3551" s="43" t="s">
        <v>29</v>
      </c>
      <c r="E3551" s="46">
        <v>5132746283</v>
      </c>
      <c r="F3551" s="2"/>
      <c r="G3551" s="15" t="s">
        <v>32</v>
      </c>
      <c r="H3551" s="12">
        <f t="shared" ref="H3551:H3552" si="396">MONTH(A3551)</f>
        <v>5</v>
      </c>
      <c r="I3551" s="12">
        <f t="shared" ref="I3551:I3552" si="397">YEAR(A3551)</f>
        <v>2026</v>
      </c>
    </row>
    <row r="3552" spans="1:9" ht="19.5" customHeight="1" x14ac:dyDescent="0.35">
      <c r="A3552" s="41">
        <v>46151</v>
      </c>
      <c r="B3552" s="8" t="s">
        <v>32</v>
      </c>
      <c r="C3552" s="42" t="s">
        <v>33</v>
      </c>
      <c r="D3552" s="43" t="s">
        <v>29</v>
      </c>
      <c r="E3552" s="46">
        <v>17811363</v>
      </c>
      <c r="F3552" s="2"/>
      <c r="G3552" s="15" t="s">
        <v>32</v>
      </c>
      <c r="H3552" s="12">
        <f t="shared" si="396"/>
        <v>5</v>
      </c>
      <c r="I3552" s="12">
        <f t="shared" si="397"/>
        <v>2026</v>
      </c>
    </row>
    <row r="3553" spans="1:9" ht="19.5" customHeight="1" x14ac:dyDescent="0.35">
      <c r="A3553" s="41">
        <v>46151</v>
      </c>
      <c r="B3553" s="8" t="s">
        <v>24</v>
      </c>
      <c r="C3553" s="42" t="s">
        <v>11</v>
      </c>
      <c r="D3553" s="43" t="s">
        <v>30</v>
      </c>
      <c r="E3553" s="46">
        <v>24168.32</v>
      </c>
      <c r="F3553" s="2"/>
      <c r="G3553" s="15" t="s">
        <v>24</v>
      </c>
      <c r="H3553" s="12">
        <v>4</v>
      </c>
      <c r="I3553" s="12">
        <v>2026</v>
      </c>
    </row>
    <row r="3554" spans="1:9" ht="19.5" customHeight="1" x14ac:dyDescent="0.35">
      <c r="A3554" s="41">
        <v>46151</v>
      </c>
      <c r="B3554" s="8" t="s">
        <v>24</v>
      </c>
      <c r="C3554" s="42" t="s">
        <v>33</v>
      </c>
      <c r="D3554" s="43" t="s">
        <v>30</v>
      </c>
      <c r="E3554" s="46">
        <v>0.59</v>
      </c>
      <c r="F3554" s="2"/>
      <c r="G3554" s="15" t="s">
        <v>24</v>
      </c>
      <c r="H3554" s="12">
        <v>4</v>
      </c>
      <c r="I3554" s="12">
        <v>2026</v>
      </c>
    </row>
    <row r="3555" spans="1:9" ht="18.649999999999999" customHeight="1" x14ac:dyDescent="0.35">
      <c r="A3555" s="41">
        <v>46152</v>
      </c>
      <c r="B3555" s="8" t="s">
        <v>32</v>
      </c>
      <c r="C3555" s="42" t="s">
        <v>11</v>
      </c>
      <c r="D3555" s="43" t="s">
        <v>30</v>
      </c>
      <c r="E3555" s="46">
        <v>1614630.17</v>
      </c>
      <c r="F3555" s="2"/>
      <c r="G3555" s="15" t="s">
        <v>32</v>
      </c>
      <c r="H3555" s="12">
        <v>4</v>
      </c>
      <c r="I3555" s="12">
        <v>2026</v>
      </c>
    </row>
    <row r="3556" spans="1:9" ht="18.649999999999999" customHeight="1" x14ac:dyDescent="0.35">
      <c r="A3556" s="41">
        <v>46152</v>
      </c>
      <c r="B3556" s="8" t="s">
        <v>32</v>
      </c>
      <c r="C3556" s="42" t="s">
        <v>33</v>
      </c>
      <c r="D3556" s="43" t="s">
        <v>30</v>
      </c>
      <c r="E3556" s="46">
        <v>6073.98</v>
      </c>
      <c r="F3556" s="2"/>
      <c r="G3556" s="15" t="s">
        <v>32</v>
      </c>
      <c r="H3556" s="12">
        <v>4</v>
      </c>
      <c r="I3556" s="12">
        <v>2026</v>
      </c>
    </row>
    <row r="3557" spans="1:9" ht="18.649999999999999" customHeight="1" x14ac:dyDescent="0.35">
      <c r="A3557" s="41">
        <v>46152</v>
      </c>
      <c r="B3557" s="8" t="s">
        <v>32</v>
      </c>
      <c r="C3557" s="42" t="s">
        <v>11</v>
      </c>
      <c r="D3557" s="43" t="s">
        <v>29</v>
      </c>
      <c r="E3557" s="46">
        <v>5690470506</v>
      </c>
      <c r="F3557" s="2"/>
      <c r="G3557" s="15" t="s">
        <v>32</v>
      </c>
      <c r="H3557" s="12">
        <f t="shared" ref="H3557:H3558" si="398">MONTH(A3557)</f>
        <v>5</v>
      </c>
      <c r="I3557" s="12">
        <f t="shared" ref="I3557:I3558" si="399">YEAR(A3557)</f>
        <v>2026</v>
      </c>
    </row>
    <row r="3558" spans="1:9" ht="18.649999999999999" customHeight="1" x14ac:dyDescent="0.35">
      <c r="A3558" s="41">
        <v>46152</v>
      </c>
      <c r="B3558" s="8" t="s">
        <v>32</v>
      </c>
      <c r="C3558" s="42" t="s">
        <v>33</v>
      </c>
      <c r="D3558" s="43" t="s">
        <v>29</v>
      </c>
      <c r="E3558" s="46">
        <v>20613117</v>
      </c>
      <c r="F3558" s="2"/>
      <c r="G3558" s="15" t="s">
        <v>32</v>
      </c>
      <c r="H3558" s="12">
        <f t="shared" si="398"/>
        <v>5</v>
      </c>
      <c r="I3558" s="12">
        <f t="shared" si="399"/>
        <v>2026</v>
      </c>
    </row>
    <row r="3559" spans="1:9" ht="18.649999999999999" customHeight="1" x14ac:dyDescent="0.35">
      <c r="A3559" s="41">
        <v>46152</v>
      </c>
      <c r="B3559" s="8" t="s">
        <v>24</v>
      </c>
      <c r="C3559" s="42" t="s">
        <v>11</v>
      </c>
      <c r="D3559" s="43" t="s">
        <v>30</v>
      </c>
      <c r="E3559" s="46">
        <v>21734.75</v>
      </c>
      <c r="F3559" s="2"/>
      <c r="G3559" s="15" t="s">
        <v>24</v>
      </c>
      <c r="H3559" s="12">
        <v>4</v>
      </c>
      <c r="I3559" s="12">
        <v>2026</v>
      </c>
    </row>
    <row r="3560" spans="1:9" ht="18.649999999999999" customHeight="1" x14ac:dyDescent="0.35">
      <c r="A3560" s="41">
        <v>46152</v>
      </c>
      <c r="B3560" s="8" t="s">
        <v>24</v>
      </c>
      <c r="C3560" s="42" t="s">
        <v>33</v>
      </c>
      <c r="D3560" s="43" t="s">
        <v>30</v>
      </c>
      <c r="E3560" s="46">
        <v>6.39</v>
      </c>
      <c r="F3560" s="2"/>
      <c r="G3560" s="15" t="s">
        <v>24</v>
      </c>
      <c r="H3560" s="12">
        <v>4</v>
      </c>
      <c r="I3560" s="12">
        <v>2026</v>
      </c>
    </row>
    <row r="3561" spans="1:9" ht="18.649999999999999" customHeight="1" x14ac:dyDescent="0.35">
      <c r="A3561" s="41">
        <v>46153</v>
      </c>
      <c r="B3561" s="8" t="s">
        <v>32</v>
      </c>
      <c r="C3561" s="42" t="s">
        <v>11</v>
      </c>
      <c r="D3561" s="43" t="s">
        <v>30</v>
      </c>
      <c r="E3561" s="46">
        <v>1300292.42</v>
      </c>
      <c r="F3561" s="2"/>
      <c r="G3561" s="15" t="s">
        <v>32</v>
      </c>
      <c r="H3561" s="12">
        <v>4</v>
      </c>
      <c r="I3561" s="12">
        <v>2026</v>
      </c>
    </row>
    <row r="3562" spans="1:9" ht="18.649999999999999" customHeight="1" x14ac:dyDescent="0.35">
      <c r="A3562" s="41">
        <v>46153</v>
      </c>
      <c r="B3562" s="8" t="s">
        <v>32</v>
      </c>
      <c r="C3562" s="42" t="s">
        <v>33</v>
      </c>
      <c r="D3562" s="43" t="s">
        <v>30</v>
      </c>
      <c r="E3562" s="46">
        <v>5052.3999999999996</v>
      </c>
      <c r="F3562" s="2"/>
      <c r="G3562" s="15" t="s">
        <v>32</v>
      </c>
      <c r="H3562" s="12">
        <v>4</v>
      </c>
      <c r="I3562" s="12">
        <v>2026</v>
      </c>
    </row>
    <row r="3563" spans="1:9" ht="18.649999999999999" customHeight="1" x14ac:dyDescent="0.35">
      <c r="A3563" s="41">
        <v>46153</v>
      </c>
      <c r="B3563" s="8" t="s">
        <v>32</v>
      </c>
      <c r="C3563" s="42" t="s">
        <v>11</v>
      </c>
      <c r="D3563" s="43" t="s">
        <v>29</v>
      </c>
      <c r="E3563" s="46">
        <v>4695236339</v>
      </c>
      <c r="F3563" s="2"/>
      <c r="G3563" s="15" t="s">
        <v>32</v>
      </c>
      <c r="H3563" s="12">
        <f t="shared" ref="H3563:H3564" si="400">MONTH(A3563)</f>
        <v>5</v>
      </c>
      <c r="I3563" s="12">
        <f t="shared" ref="I3563:I3564" si="401">YEAR(A3563)</f>
        <v>2026</v>
      </c>
    </row>
    <row r="3564" spans="1:9" ht="18.649999999999999" customHeight="1" x14ac:dyDescent="0.35">
      <c r="A3564" s="41">
        <v>46153</v>
      </c>
      <c r="B3564" s="8" t="s">
        <v>32</v>
      </c>
      <c r="C3564" s="42" t="s">
        <v>33</v>
      </c>
      <c r="D3564" s="43" t="s">
        <v>29</v>
      </c>
      <c r="E3564" s="46">
        <v>18400835</v>
      </c>
      <c r="F3564" s="2"/>
      <c r="G3564" s="15" t="s">
        <v>32</v>
      </c>
      <c r="H3564" s="12">
        <f t="shared" si="400"/>
        <v>5</v>
      </c>
      <c r="I3564" s="12">
        <f t="shared" si="401"/>
        <v>2026</v>
      </c>
    </row>
    <row r="3565" spans="1:9" ht="18.649999999999999" customHeight="1" x14ac:dyDescent="0.35">
      <c r="A3565" s="41">
        <v>46153</v>
      </c>
      <c r="B3565" s="8" t="s">
        <v>24</v>
      </c>
      <c r="C3565" s="42" t="s">
        <v>11</v>
      </c>
      <c r="D3565" s="43" t="s">
        <v>30</v>
      </c>
      <c r="E3565" s="46">
        <v>40061.32</v>
      </c>
      <c r="F3565" s="2"/>
      <c r="G3565" s="15" t="s">
        <v>24</v>
      </c>
      <c r="H3565" s="12">
        <v>4</v>
      </c>
      <c r="I3565" s="12">
        <v>2026</v>
      </c>
    </row>
    <row r="3566" spans="1:9" ht="18.649999999999999" customHeight="1" x14ac:dyDescent="0.35">
      <c r="A3566" s="41">
        <v>46153</v>
      </c>
      <c r="B3566" s="8" t="s">
        <v>24</v>
      </c>
      <c r="C3566" s="42" t="s">
        <v>33</v>
      </c>
      <c r="D3566" s="43" t="s">
        <v>30</v>
      </c>
      <c r="E3566" s="46">
        <v>1.18</v>
      </c>
      <c r="F3566" s="2"/>
      <c r="G3566" s="15" t="s">
        <v>24</v>
      </c>
      <c r="H3566" s="12">
        <v>4</v>
      </c>
      <c r="I3566" s="12">
        <v>2026</v>
      </c>
    </row>
    <row r="3567" spans="1:9" ht="18.649999999999999" customHeight="1" x14ac:dyDescent="0.35">
      <c r="A3567" s="41">
        <v>46154</v>
      </c>
      <c r="B3567" s="8" t="s">
        <v>32</v>
      </c>
      <c r="C3567" s="42" t="s">
        <v>11</v>
      </c>
      <c r="D3567" s="43" t="s">
        <v>30</v>
      </c>
      <c r="E3567" s="46">
        <v>1256069.8999999999</v>
      </c>
      <c r="F3567" s="2"/>
      <c r="G3567" s="15" t="s">
        <v>32</v>
      </c>
      <c r="H3567" s="12">
        <v>4</v>
      </c>
      <c r="I3567" s="12">
        <v>2026</v>
      </c>
    </row>
    <row r="3568" spans="1:9" ht="18.649999999999999" customHeight="1" x14ac:dyDescent="0.35">
      <c r="A3568" s="41">
        <v>46154</v>
      </c>
      <c r="B3568" s="8" t="s">
        <v>32</v>
      </c>
      <c r="C3568" s="42" t="s">
        <v>33</v>
      </c>
      <c r="D3568" s="43" t="s">
        <v>30</v>
      </c>
      <c r="E3568" s="46">
        <v>4996.45</v>
      </c>
      <c r="F3568" s="2"/>
      <c r="G3568" s="15" t="s">
        <v>32</v>
      </c>
      <c r="H3568" s="12">
        <v>4</v>
      </c>
      <c r="I3568" s="12">
        <v>2026</v>
      </c>
    </row>
    <row r="3569" spans="1:9" ht="18.649999999999999" customHeight="1" x14ac:dyDescent="0.35">
      <c r="A3569" s="41">
        <v>46154</v>
      </c>
      <c r="B3569" s="8" t="s">
        <v>32</v>
      </c>
      <c r="C3569" s="42" t="s">
        <v>11</v>
      </c>
      <c r="D3569" s="43" t="s">
        <v>29</v>
      </c>
      <c r="E3569" s="46">
        <v>4464366523</v>
      </c>
      <c r="F3569" s="2"/>
      <c r="G3569" s="15" t="s">
        <v>32</v>
      </c>
      <c r="H3569" s="12">
        <f t="shared" ref="H3569:H3570" si="402">MONTH(A3569)</f>
        <v>5</v>
      </c>
      <c r="I3569" s="12">
        <f t="shared" ref="I3569:I3570" si="403">YEAR(A3569)</f>
        <v>2026</v>
      </c>
    </row>
    <row r="3570" spans="1:9" ht="18.649999999999999" customHeight="1" x14ac:dyDescent="0.35">
      <c r="A3570" s="41">
        <v>46154</v>
      </c>
      <c r="B3570" s="8" t="s">
        <v>32</v>
      </c>
      <c r="C3570" s="42" t="s">
        <v>33</v>
      </c>
      <c r="D3570" s="43" t="s">
        <v>29</v>
      </c>
      <c r="E3570" s="46">
        <v>16924582</v>
      </c>
      <c r="F3570" s="2"/>
      <c r="G3570" s="15" t="s">
        <v>32</v>
      </c>
      <c r="H3570" s="12">
        <f t="shared" si="402"/>
        <v>5</v>
      </c>
      <c r="I3570" s="12">
        <f t="shared" si="403"/>
        <v>2026</v>
      </c>
    </row>
    <row r="3571" spans="1:9" ht="18.649999999999999" customHeight="1" x14ac:dyDescent="0.35">
      <c r="A3571" s="41">
        <v>46154</v>
      </c>
      <c r="B3571" s="8" t="s">
        <v>24</v>
      </c>
      <c r="C3571" s="42" t="s">
        <v>11</v>
      </c>
      <c r="D3571" s="43" t="s">
        <v>30</v>
      </c>
      <c r="E3571" s="46">
        <v>12128.41</v>
      </c>
      <c r="F3571" s="2"/>
      <c r="G3571" s="15" t="s">
        <v>24</v>
      </c>
      <c r="H3571" s="12">
        <v>4</v>
      </c>
      <c r="I3571" s="12">
        <v>2026</v>
      </c>
    </row>
    <row r="3572" spans="1:9" ht="18.649999999999999" customHeight="1" x14ac:dyDescent="0.35">
      <c r="A3572" s="41">
        <v>46154</v>
      </c>
      <c r="B3572" s="8" t="s">
        <v>24</v>
      </c>
      <c r="C3572" s="42" t="s">
        <v>33</v>
      </c>
      <c r="D3572" s="43" t="s">
        <v>30</v>
      </c>
      <c r="E3572" s="46">
        <v>0</v>
      </c>
      <c r="F3572" s="2"/>
      <c r="G3572" s="15" t="s">
        <v>24</v>
      </c>
      <c r="H3572" s="12">
        <v>4</v>
      </c>
      <c r="I3572" s="12">
        <v>2026</v>
      </c>
    </row>
    <row r="3573" spans="1:9" ht="18.649999999999999" customHeight="1" x14ac:dyDescent="0.35">
      <c r="A3573" s="41">
        <v>46155</v>
      </c>
      <c r="B3573" s="8" t="s">
        <v>32</v>
      </c>
      <c r="C3573" s="42" t="s">
        <v>11</v>
      </c>
      <c r="D3573" s="43" t="s">
        <v>30</v>
      </c>
      <c r="E3573" s="46">
        <v>1242990.22</v>
      </c>
      <c r="F3573" s="2"/>
      <c r="G3573" s="15" t="s">
        <v>32</v>
      </c>
      <c r="H3573" s="12">
        <v>4</v>
      </c>
      <c r="I3573" s="12">
        <v>2026</v>
      </c>
    </row>
    <row r="3574" spans="1:9" ht="18.649999999999999" customHeight="1" x14ac:dyDescent="0.35">
      <c r="A3574" s="41">
        <v>46155</v>
      </c>
      <c r="B3574" s="8" t="s">
        <v>32</v>
      </c>
      <c r="C3574" s="42" t="s">
        <v>33</v>
      </c>
      <c r="D3574" s="43" t="s">
        <v>30</v>
      </c>
      <c r="E3574" s="46">
        <v>5426.06</v>
      </c>
      <c r="F3574" s="2"/>
      <c r="G3574" s="15" t="s">
        <v>32</v>
      </c>
      <c r="H3574" s="12">
        <v>4</v>
      </c>
      <c r="I3574" s="12">
        <v>2026</v>
      </c>
    </row>
    <row r="3575" spans="1:9" ht="18.649999999999999" customHeight="1" x14ac:dyDescent="0.35">
      <c r="A3575" s="41">
        <v>46155</v>
      </c>
      <c r="B3575" s="8" t="s">
        <v>32</v>
      </c>
      <c r="C3575" s="42" t="s">
        <v>11</v>
      </c>
      <c r="D3575" s="43" t="s">
        <v>29</v>
      </c>
      <c r="E3575" s="46">
        <v>4407014739</v>
      </c>
      <c r="F3575" s="2"/>
      <c r="G3575" s="15" t="s">
        <v>32</v>
      </c>
      <c r="H3575" s="12">
        <f t="shared" ref="H3575:H3576" si="404">MONTH(A3575)</f>
        <v>5</v>
      </c>
      <c r="I3575" s="12">
        <f t="shared" ref="I3575:I3576" si="405">YEAR(A3575)</f>
        <v>2026</v>
      </c>
    </row>
    <row r="3576" spans="1:9" ht="18.649999999999999" customHeight="1" x14ac:dyDescent="0.35">
      <c r="A3576" s="41">
        <v>46155</v>
      </c>
      <c r="B3576" s="8" t="s">
        <v>32</v>
      </c>
      <c r="C3576" s="42" t="s">
        <v>33</v>
      </c>
      <c r="D3576" s="43" t="s">
        <v>29</v>
      </c>
      <c r="E3576" s="46">
        <v>18827623</v>
      </c>
      <c r="F3576" s="2"/>
      <c r="G3576" s="15" t="s">
        <v>32</v>
      </c>
      <c r="H3576" s="12">
        <f t="shared" si="404"/>
        <v>5</v>
      </c>
      <c r="I3576" s="12">
        <f t="shared" si="405"/>
        <v>2026</v>
      </c>
    </row>
    <row r="3577" spans="1:9" ht="18.649999999999999" customHeight="1" x14ac:dyDescent="0.35">
      <c r="A3577" s="41">
        <v>46155</v>
      </c>
      <c r="B3577" s="8" t="s">
        <v>24</v>
      </c>
      <c r="C3577" s="42" t="s">
        <v>11</v>
      </c>
      <c r="D3577" s="43" t="s">
        <v>30</v>
      </c>
      <c r="E3577" s="46">
        <v>3611.42</v>
      </c>
      <c r="F3577" s="2"/>
      <c r="G3577" s="15" t="s">
        <v>24</v>
      </c>
      <c r="H3577" s="12">
        <v>4</v>
      </c>
      <c r="I3577" s="12">
        <v>2026</v>
      </c>
    </row>
    <row r="3578" spans="1:9" ht="18.649999999999999" customHeight="1" x14ac:dyDescent="0.35">
      <c r="A3578" s="41">
        <v>46155</v>
      </c>
      <c r="B3578" s="8" t="s">
        <v>24</v>
      </c>
      <c r="C3578" s="42" t="s">
        <v>33</v>
      </c>
      <c r="D3578" s="43" t="s">
        <v>30</v>
      </c>
      <c r="E3578" s="46">
        <v>0</v>
      </c>
      <c r="F3578" s="2"/>
      <c r="G3578" s="15" t="s">
        <v>24</v>
      </c>
      <c r="H3578" s="12">
        <v>4</v>
      </c>
      <c r="I3578" s="12">
        <v>2026</v>
      </c>
    </row>
    <row r="3579" spans="1:9" ht="18.649999999999999" customHeight="1" x14ac:dyDescent="0.35">
      <c r="A3579" s="41">
        <v>46156</v>
      </c>
      <c r="B3579" s="8" t="s">
        <v>32</v>
      </c>
      <c r="C3579" s="42" t="s">
        <v>11</v>
      </c>
      <c r="D3579" s="43" t="s">
        <v>30</v>
      </c>
      <c r="E3579" s="46">
        <v>979555.12</v>
      </c>
      <c r="F3579" s="2"/>
      <c r="G3579" s="15" t="s">
        <v>32</v>
      </c>
      <c r="H3579" s="12">
        <v>4</v>
      </c>
      <c r="I3579" s="12">
        <v>2026</v>
      </c>
    </row>
    <row r="3580" spans="1:9" ht="18.649999999999999" customHeight="1" x14ac:dyDescent="0.35">
      <c r="A3580" s="41">
        <v>46156</v>
      </c>
      <c r="B3580" s="8" t="s">
        <v>32</v>
      </c>
      <c r="C3580" s="42" t="s">
        <v>33</v>
      </c>
      <c r="D3580" s="43" t="s">
        <v>30</v>
      </c>
      <c r="E3580" s="46">
        <v>5038.2</v>
      </c>
      <c r="F3580" s="2"/>
      <c r="G3580" s="15" t="s">
        <v>32</v>
      </c>
      <c r="H3580" s="12">
        <v>4</v>
      </c>
      <c r="I3580" s="12">
        <v>2026</v>
      </c>
    </row>
    <row r="3581" spans="1:9" ht="18.649999999999999" customHeight="1" x14ac:dyDescent="0.35">
      <c r="A3581" s="41">
        <v>46156</v>
      </c>
      <c r="B3581" s="8" t="s">
        <v>32</v>
      </c>
      <c r="C3581" s="42" t="s">
        <v>11</v>
      </c>
      <c r="D3581" s="43" t="s">
        <v>29</v>
      </c>
      <c r="E3581" s="46">
        <v>3621360386</v>
      </c>
      <c r="F3581" s="2"/>
      <c r="G3581" s="15" t="s">
        <v>32</v>
      </c>
      <c r="H3581" s="12">
        <f t="shared" ref="H3581:H3582" si="406">MONTH(A3581)</f>
        <v>5</v>
      </c>
      <c r="I3581" s="12">
        <f t="shared" ref="I3581:I3582" si="407">YEAR(A3581)</f>
        <v>2026</v>
      </c>
    </row>
    <row r="3582" spans="1:9" ht="18.649999999999999" customHeight="1" x14ac:dyDescent="0.35">
      <c r="A3582" s="41">
        <v>46156</v>
      </c>
      <c r="B3582" s="8" t="s">
        <v>32</v>
      </c>
      <c r="C3582" s="42" t="s">
        <v>33</v>
      </c>
      <c r="D3582" s="43" t="s">
        <v>29</v>
      </c>
      <c r="E3582" s="46">
        <v>18420635</v>
      </c>
      <c r="F3582" s="2"/>
      <c r="G3582" s="15" t="s">
        <v>32</v>
      </c>
      <c r="H3582" s="12">
        <f t="shared" si="406"/>
        <v>5</v>
      </c>
      <c r="I3582" s="12">
        <f t="shared" si="407"/>
        <v>2026</v>
      </c>
    </row>
    <row r="3583" spans="1:9" ht="18.649999999999999" customHeight="1" x14ac:dyDescent="0.35">
      <c r="A3583" s="41">
        <v>46156</v>
      </c>
      <c r="B3583" s="8" t="s">
        <v>24</v>
      </c>
      <c r="C3583" s="42" t="s">
        <v>11</v>
      </c>
      <c r="D3583" s="43" t="s">
        <v>30</v>
      </c>
      <c r="E3583" s="46">
        <v>9645.41</v>
      </c>
      <c r="F3583" s="2"/>
      <c r="G3583" s="15" t="s">
        <v>24</v>
      </c>
      <c r="H3583" s="12">
        <v>4</v>
      </c>
      <c r="I3583" s="12">
        <v>2026</v>
      </c>
    </row>
    <row r="3584" spans="1:9" ht="18.649999999999999" customHeight="1" x14ac:dyDescent="0.35">
      <c r="A3584" s="41">
        <v>46156</v>
      </c>
      <c r="B3584" s="8" t="s">
        <v>24</v>
      </c>
      <c r="C3584" s="42" t="s">
        <v>33</v>
      </c>
      <c r="D3584" s="43" t="s">
        <v>30</v>
      </c>
      <c r="E3584" s="46">
        <v>0</v>
      </c>
      <c r="F3584" s="2"/>
      <c r="G3584" s="15" t="s">
        <v>24</v>
      </c>
      <c r="H3584" s="12">
        <v>4</v>
      </c>
      <c r="I3584" s="12">
        <v>2026</v>
      </c>
    </row>
    <row r="3585" spans="1:9" ht="18.649999999999999" customHeight="1" x14ac:dyDescent="0.35">
      <c r="A3585" s="41">
        <v>46157</v>
      </c>
      <c r="B3585" s="8" t="s">
        <v>32</v>
      </c>
      <c r="C3585" s="42" t="s">
        <v>11</v>
      </c>
      <c r="D3585" s="43" t="s">
        <v>30</v>
      </c>
      <c r="E3585" s="46">
        <v>1162570.27</v>
      </c>
      <c r="F3585" s="2"/>
      <c r="G3585" s="15" t="s">
        <v>32</v>
      </c>
      <c r="H3585" s="12">
        <v>4</v>
      </c>
      <c r="I3585" s="12">
        <v>2026</v>
      </c>
    </row>
    <row r="3586" spans="1:9" ht="18.649999999999999" customHeight="1" x14ac:dyDescent="0.35">
      <c r="A3586" s="41">
        <v>46157</v>
      </c>
      <c r="B3586" s="8" t="s">
        <v>32</v>
      </c>
      <c r="C3586" s="42" t="s">
        <v>33</v>
      </c>
      <c r="D3586" s="43" t="s">
        <v>30</v>
      </c>
      <c r="E3586" s="46">
        <v>4231.93</v>
      </c>
      <c r="F3586" s="2"/>
      <c r="G3586" s="15" t="s">
        <v>32</v>
      </c>
      <c r="H3586" s="12">
        <v>4</v>
      </c>
      <c r="I3586" s="12">
        <v>2026</v>
      </c>
    </row>
    <row r="3587" spans="1:9" ht="18.649999999999999" customHeight="1" x14ac:dyDescent="0.35">
      <c r="A3587" s="41">
        <v>46157</v>
      </c>
      <c r="B3587" s="8" t="s">
        <v>32</v>
      </c>
      <c r="C3587" s="42" t="s">
        <v>11</v>
      </c>
      <c r="D3587" s="43" t="s">
        <v>29</v>
      </c>
      <c r="E3587" s="46">
        <v>4151285209</v>
      </c>
      <c r="F3587" s="2"/>
      <c r="G3587" s="15" t="s">
        <v>32</v>
      </c>
      <c r="H3587" s="12">
        <f t="shared" ref="H3587:H3588" si="408">MONTH(A3587)</f>
        <v>5</v>
      </c>
      <c r="I3587" s="12">
        <f t="shared" ref="I3587:I3588" si="409">YEAR(A3587)</f>
        <v>2026</v>
      </c>
    </row>
    <row r="3588" spans="1:9" ht="18.649999999999999" customHeight="1" x14ac:dyDescent="0.35">
      <c r="A3588" s="41">
        <v>46157</v>
      </c>
      <c r="B3588" s="8" t="s">
        <v>32</v>
      </c>
      <c r="C3588" s="42" t="s">
        <v>33</v>
      </c>
      <c r="D3588" s="43" t="s">
        <v>29</v>
      </c>
      <c r="E3588" s="46">
        <v>15276108</v>
      </c>
      <c r="F3588" s="2"/>
      <c r="G3588" s="15" t="s">
        <v>32</v>
      </c>
      <c r="H3588" s="12">
        <f t="shared" si="408"/>
        <v>5</v>
      </c>
      <c r="I3588" s="12">
        <f t="shared" si="409"/>
        <v>2026</v>
      </c>
    </row>
    <row r="3589" spans="1:9" ht="18.649999999999999" customHeight="1" x14ac:dyDescent="0.35">
      <c r="A3589" s="41">
        <v>46157</v>
      </c>
      <c r="B3589" s="8" t="s">
        <v>24</v>
      </c>
      <c r="C3589" s="42" t="s">
        <v>11</v>
      </c>
      <c r="D3589" s="43" t="s">
        <v>30</v>
      </c>
      <c r="E3589" s="46">
        <v>6601.45</v>
      </c>
      <c r="F3589" s="2"/>
      <c r="G3589" s="15" t="s">
        <v>24</v>
      </c>
      <c r="H3589" s="12">
        <v>4</v>
      </c>
      <c r="I3589" s="12">
        <v>2026</v>
      </c>
    </row>
    <row r="3590" spans="1:9" ht="18.649999999999999" customHeight="1" x14ac:dyDescent="0.35">
      <c r="A3590" s="41">
        <v>46157</v>
      </c>
      <c r="B3590" s="8" t="s">
        <v>24</v>
      </c>
      <c r="C3590" s="42" t="s">
        <v>33</v>
      </c>
      <c r="D3590" s="43" t="s">
        <v>30</v>
      </c>
      <c r="E3590" s="46">
        <v>0</v>
      </c>
      <c r="F3590" s="2"/>
      <c r="G3590" s="15" t="s">
        <v>24</v>
      </c>
      <c r="H3590" s="12">
        <v>4</v>
      </c>
      <c r="I3590" s="12">
        <v>2026</v>
      </c>
    </row>
    <row r="3591" spans="1:9" ht="18.649999999999999" customHeight="1" x14ac:dyDescent="0.35">
      <c r="A3591" s="41">
        <v>46158</v>
      </c>
      <c r="B3591" s="8" t="s">
        <v>32</v>
      </c>
      <c r="C3591" s="42" t="s">
        <v>11</v>
      </c>
      <c r="D3591" s="43" t="s">
        <v>30</v>
      </c>
      <c r="E3591" s="46">
        <v>664385.55000000005</v>
      </c>
      <c r="F3591" s="2"/>
      <c r="G3591" s="15" t="s">
        <v>32</v>
      </c>
      <c r="H3591" s="12">
        <v>4</v>
      </c>
      <c r="I3591" s="12">
        <v>2026</v>
      </c>
    </row>
    <row r="3592" spans="1:9" ht="18.649999999999999" customHeight="1" x14ac:dyDescent="0.35">
      <c r="A3592" s="41">
        <v>46158</v>
      </c>
      <c r="B3592" s="8" t="s">
        <v>32</v>
      </c>
      <c r="C3592" s="42" t="s">
        <v>33</v>
      </c>
      <c r="D3592" s="43" t="s">
        <v>30</v>
      </c>
      <c r="E3592" s="46">
        <v>3147.6</v>
      </c>
      <c r="F3592" s="2"/>
      <c r="G3592" s="15" t="s">
        <v>32</v>
      </c>
      <c r="H3592" s="12">
        <v>4</v>
      </c>
      <c r="I3592" s="12">
        <v>2026</v>
      </c>
    </row>
    <row r="3593" spans="1:9" ht="18.649999999999999" customHeight="1" x14ac:dyDescent="0.35">
      <c r="A3593" s="41">
        <v>46158</v>
      </c>
      <c r="B3593" s="8" t="s">
        <v>32</v>
      </c>
      <c r="C3593" s="42" t="s">
        <v>11</v>
      </c>
      <c r="D3593" s="43" t="s">
        <v>29</v>
      </c>
      <c r="E3593" s="46">
        <v>2513934032</v>
      </c>
      <c r="F3593" s="2"/>
      <c r="G3593" s="15" t="s">
        <v>32</v>
      </c>
      <c r="H3593" s="12">
        <f t="shared" ref="H3593:H3594" si="410">MONTH(A3593)</f>
        <v>5</v>
      </c>
      <c r="I3593" s="12">
        <f t="shared" ref="I3593:I3594" si="411">YEAR(A3593)</f>
        <v>2026</v>
      </c>
    </row>
    <row r="3594" spans="1:9" ht="18.649999999999999" customHeight="1" x14ac:dyDescent="0.35">
      <c r="A3594" s="41">
        <v>46158</v>
      </c>
      <c r="B3594" s="8" t="s">
        <v>32</v>
      </c>
      <c r="C3594" s="42" t="s">
        <v>33</v>
      </c>
      <c r="D3594" s="43" t="s">
        <v>29</v>
      </c>
      <c r="E3594" s="46">
        <v>11166914</v>
      </c>
      <c r="F3594" s="2"/>
      <c r="G3594" s="15" t="s">
        <v>32</v>
      </c>
      <c r="H3594" s="12">
        <f t="shared" si="410"/>
        <v>5</v>
      </c>
      <c r="I3594" s="12">
        <f t="shared" si="411"/>
        <v>2026</v>
      </c>
    </row>
    <row r="3595" spans="1:9" ht="18.649999999999999" customHeight="1" x14ac:dyDescent="0.35">
      <c r="A3595" s="41">
        <v>46158</v>
      </c>
      <c r="B3595" s="8" t="s">
        <v>24</v>
      </c>
      <c r="C3595" s="42" t="s">
        <v>11</v>
      </c>
      <c r="D3595" s="43" t="s">
        <v>30</v>
      </c>
      <c r="E3595" s="46">
        <v>4969.93</v>
      </c>
      <c r="F3595" s="2"/>
      <c r="G3595" s="15" t="s">
        <v>24</v>
      </c>
      <c r="H3595" s="12">
        <v>4</v>
      </c>
      <c r="I3595" s="12">
        <v>2026</v>
      </c>
    </row>
    <row r="3596" spans="1:9" ht="18.649999999999999" customHeight="1" x14ac:dyDescent="0.35">
      <c r="A3596" s="41">
        <v>46158</v>
      </c>
      <c r="B3596" s="8" t="s">
        <v>24</v>
      </c>
      <c r="C3596" s="42" t="s">
        <v>33</v>
      </c>
      <c r="D3596" s="43" t="s">
        <v>30</v>
      </c>
      <c r="E3596" s="46">
        <v>0</v>
      </c>
      <c r="F3596" s="2"/>
      <c r="G3596" s="15" t="s">
        <v>24</v>
      </c>
      <c r="H3596" s="12">
        <v>4</v>
      </c>
      <c r="I3596" s="12">
        <v>2026</v>
      </c>
    </row>
    <row r="3597" spans="1:9" ht="18.649999999999999" customHeight="1" x14ac:dyDescent="0.35">
      <c r="A3597" s="41">
        <v>46159</v>
      </c>
      <c r="B3597" s="8" t="s">
        <v>32</v>
      </c>
      <c r="C3597" s="42" t="s">
        <v>11</v>
      </c>
      <c r="D3597" s="43" t="s">
        <v>30</v>
      </c>
      <c r="E3597" s="46">
        <v>676937.59</v>
      </c>
      <c r="F3597" s="2"/>
      <c r="G3597" s="15" t="s">
        <v>32</v>
      </c>
      <c r="H3597" s="12">
        <v>4</v>
      </c>
      <c r="I3597" s="12">
        <v>2026</v>
      </c>
    </row>
    <row r="3598" spans="1:9" ht="18.649999999999999" customHeight="1" x14ac:dyDescent="0.35">
      <c r="A3598" s="41">
        <v>46159</v>
      </c>
      <c r="B3598" s="8" t="s">
        <v>32</v>
      </c>
      <c r="C3598" s="42" t="s">
        <v>33</v>
      </c>
      <c r="D3598" s="43" t="s">
        <v>30</v>
      </c>
      <c r="E3598" s="46">
        <v>2313.67</v>
      </c>
      <c r="F3598" s="2"/>
      <c r="G3598" s="15" t="s">
        <v>32</v>
      </c>
      <c r="H3598" s="12">
        <v>4</v>
      </c>
      <c r="I3598" s="12">
        <v>2026</v>
      </c>
    </row>
    <row r="3599" spans="1:9" ht="18.649999999999999" customHeight="1" x14ac:dyDescent="0.35">
      <c r="A3599" s="41">
        <v>46159</v>
      </c>
      <c r="B3599" s="8" t="s">
        <v>32</v>
      </c>
      <c r="C3599" s="42" t="s">
        <v>11</v>
      </c>
      <c r="D3599" s="43" t="s">
        <v>29</v>
      </c>
      <c r="E3599" s="46">
        <v>2547399870</v>
      </c>
      <c r="F3599" s="2"/>
      <c r="G3599" s="15" t="s">
        <v>32</v>
      </c>
      <c r="H3599" s="12">
        <f t="shared" ref="H3599:H3600" si="412">MONTH(A3599)</f>
        <v>5</v>
      </c>
      <c r="I3599" s="12">
        <f t="shared" ref="I3599:I3600" si="413">YEAR(A3599)</f>
        <v>2026</v>
      </c>
    </row>
    <row r="3600" spans="1:9" ht="18.649999999999999" customHeight="1" x14ac:dyDescent="0.35">
      <c r="A3600" s="41">
        <v>46159</v>
      </c>
      <c r="B3600" s="8" t="s">
        <v>32</v>
      </c>
      <c r="C3600" s="42" t="s">
        <v>33</v>
      </c>
      <c r="D3600" s="43" t="s">
        <v>29</v>
      </c>
      <c r="E3600" s="46">
        <v>7966888</v>
      </c>
      <c r="F3600" s="2"/>
      <c r="G3600" s="15" t="s">
        <v>32</v>
      </c>
      <c r="H3600" s="12">
        <f t="shared" si="412"/>
        <v>5</v>
      </c>
      <c r="I3600" s="12">
        <f t="shared" si="413"/>
        <v>2026</v>
      </c>
    </row>
    <row r="3601" spans="1:9" ht="18.649999999999999" customHeight="1" x14ac:dyDescent="0.35">
      <c r="A3601" s="41">
        <v>46159</v>
      </c>
      <c r="B3601" s="8" t="s">
        <v>24</v>
      </c>
      <c r="C3601" s="42" t="s">
        <v>11</v>
      </c>
      <c r="D3601" s="43" t="s">
        <v>30</v>
      </c>
      <c r="E3601" s="46">
        <v>19859.060000000001</v>
      </c>
      <c r="F3601" s="2"/>
      <c r="G3601" s="15" t="s">
        <v>24</v>
      </c>
      <c r="H3601" s="12">
        <v>4</v>
      </c>
      <c r="I3601" s="12">
        <v>2026</v>
      </c>
    </row>
    <row r="3602" spans="1:9" ht="18.649999999999999" customHeight="1" x14ac:dyDescent="0.35">
      <c r="A3602" s="41">
        <v>46159</v>
      </c>
      <c r="B3602" s="8" t="s">
        <v>24</v>
      </c>
      <c r="C3602" s="42" t="s">
        <v>33</v>
      </c>
      <c r="D3602" s="43" t="s">
        <v>30</v>
      </c>
      <c r="E3602" s="46">
        <v>1.03</v>
      </c>
      <c r="F3602" s="2"/>
      <c r="G3602" s="15" t="s">
        <v>24</v>
      </c>
      <c r="H3602" s="12">
        <v>4</v>
      </c>
      <c r="I3602" s="12">
        <v>2026</v>
      </c>
    </row>
    <row r="3603" spans="1:9" ht="18.649999999999999" customHeight="1" x14ac:dyDescent="0.35">
      <c r="A3603" s="41">
        <v>46160</v>
      </c>
      <c r="B3603" s="8" t="s">
        <v>32</v>
      </c>
      <c r="C3603" s="42" t="s">
        <v>11</v>
      </c>
      <c r="D3603" s="43" t="s">
        <v>30</v>
      </c>
      <c r="E3603" s="46">
        <v>1076793.24</v>
      </c>
      <c r="F3603" s="2"/>
      <c r="G3603" s="15" t="s">
        <v>32</v>
      </c>
      <c r="H3603" s="12">
        <v>4</v>
      </c>
      <c r="I3603" s="12">
        <v>2026</v>
      </c>
    </row>
    <row r="3604" spans="1:9" ht="18.649999999999999" customHeight="1" x14ac:dyDescent="0.35">
      <c r="A3604" s="41">
        <v>46160</v>
      </c>
      <c r="B3604" s="8" t="s">
        <v>32</v>
      </c>
      <c r="C3604" s="42" t="s">
        <v>33</v>
      </c>
      <c r="D3604" s="43" t="s">
        <v>30</v>
      </c>
      <c r="E3604" s="46">
        <v>4511.92</v>
      </c>
      <c r="F3604" s="2"/>
      <c r="G3604" s="15" t="s">
        <v>32</v>
      </c>
      <c r="H3604" s="12">
        <v>4</v>
      </c>
      <c r="I3604" s="12">
        <v>2026</v>
      </c>
    </row>
    <row r="3605" spans="1:9" ht="18.649999999999999" customHeight="1" x14ac:dyDescent="0.35">
      <c r="A3605" s="41">
        <v>46160</v>
      </c>
      <c r="B3605" s="8" t="s">
        <v>32</v>
      </c>
      <c r="C3605" s="42" t="s">
        <v>11</v>
      </c>
      <c r="D3605" s="43" t="s">
        <v>29</v>
      </c>
      <c r="E3605" s="46">
        <v>3788804953</v>
      </c>
      <c r="F3605" s="2"/>
      <c r="G3605" s="15" t="s">
        <v>32</v>
      </c>
      <c r="H3605" s="12">
        <f t="shared" ref="H3605:H3606" si="414">MONTH(A3605)</f>
        <v>5</v>
      </c>
      <c r="I3605" s="12">
        <f t="shared" ref="I3605:I3606" si="415">YEAR(A3605)</f>
        <v>2026</v>
      </c>
    </row>
    <row r="3606" spans="1:9" ht="18.649999999999999" customHeight="1" x14ac:dyDescent="0.35">
      <c r="A3606" s="41">
        <v>46160</v>
      </c>
      <c r="B3606" s="8" t="s">
        <v>32</v>
      </c>
      <c r="C3606" s="42" t="s">
        <v>33</v>
      </c>
      <c r="D3606" s="43" t="s">
        <v>29</v>
      </c>
      <c r="E3606" s="46">
        <v>15380241</v>
      </c>
      <c r="F3606" s="2"/>
      <c r="G3606" s="15" t="s">
        <v>32</v>
      </c>
      <c r="H3606" s="12">
        <f t="shared" si="414"/>
        <v>5</v>
      </c>
      <c r="I3606" s="12">
        <f t="shared" si="415"/>
        <v>2026</v>
      </c>
    </row>
    <row r="3607" spans="1:9" ht="18.649999999999999" customHeight="1" x14ac:dyDescent="0.35">
      <c r="A3607" s="41">
        <v>46160</v>
      </c>
      <c r="B3607" s="8" t="s">
        <v>24</v>
      </c>
      <c r="C3607" s="42" t="s">
        <v>11</v>
      </c>
      <c r="D3607" s="43" t="s">
        <v>30</v>
      </c>
      <c r="E3607" s="46">
        <v>14908.15</v>
      </c>
      <c r="F3607" s="2"/>
      <c r="G3607" s="15" t="s">
        <v>24</v>
      </c>
      <c r="H3607" s="12">
        <v>4</v>
      </c>
      <c r="I3607" s="12">
        <v>2026</v>
      </c>
    </row>
    <row r="3608" spans="1:9" ht="18.649999999999999" customHeight="1" x14ac:dyDescent="0.35">
      <c r="A3608" s="41">
        <v>46160</v>
      </c>
      <c r="B3608" s="8" t="s">
        <v>24</v>
      </c>
      <c r="C3608" s="42" t="s">
        <v>33</v>
      </c>
      <c r="D3608" s="43" t="s">
        <v>30</v>
      </c>
      <c r="E3608" s="46">
        <v>0</v>
      </c>
      <c r="F3608" s="2"/>
      <c r="G3608" s="15" t="s">
        <v>24</v>
      </c>
      <c r="H3608" s="12">
        <v>4</v>
      </c>
      <c r="I3608" s="12">
        <v>2026</v>
      </c>
    </row>
    <row r="3609" spans="1:9" ht="18.649999999999999" customHeight="1" x14ac:dyDescent="0.35">
      <c r="A3609" s="41">
        <v>46161</v>
      </c>
      <c r="B3609" s="8" t="s">
        <v>32</v>
      </c>
      <c r="C3609" s="42" t="s">
        <v>11</v>
      </c>
      <c r="D3609" s="43" t="s">
        <v>30</v>
      </c>
      <c r="E3609" s="46">
        <v>885869.25</v>
      </c>
      <c r="F3609" s="2"/>
      <c r="G3609" s="15" t="s">
        <v>32</v>
      </c>
      <c r="H3609" s="12">
        <v>4</v>
      </c>
      <c r="I3609" s="12">
        <v>2026</v>
      </c>
    </row>
    <row r="3610" spans="1:9" ht="18.649999999999999" customHeight="1" x14ac:dyDescent="0.35">
      <c r="A3610" s="41">
        <v>46161</v>
      </c>
      <c r="B3610" s="8" t="s">
        <v>32</v>
      </c>
      <c r="C3610" s="42" t="s">
        <v>33</v>
      </c>
      <c r="D3610" s="43" t="s">
        <v>30</v>
      </c>
      <c r="E3610" s="46">
        <v>3927.56</v>
      </c>
      <c r="F3610" s="2"/>
      <c r="G3610" s="15" t="s">
        <v>32</v>
      </c>
      <c r="H3610" s="12">
        <v>4</v>
      </c>
      <c r="I3610" s="12">
        <v>2026</v>
      </c>
    </row>
    <row r="3611" spans="1:9" ht="18.649999999999999" customHeight="1" x14ac:dyDescent="0.35">
      <c r="A3611" s="41">
        <v>46161</v>
      </c>
      <c r="B3611" s="8" t="s">
        <v>32</v>
      </c>
      <c r="C3611" s="42" t="s">
        <v>11</v>
      </c>
      <c r="D3611" s="43" t="s">
        <v>29</v>
      </c>
      <c r="E3611" s="46">
        <v>3157051295</v>
      </c>
      <c r="F3611" s="2"/>
      <c r="G3611" s="15" t="s">
        <v>32</v>
      </c>
      <c r="H3611" s="12">
        <f t="shared" ref="H3611:H3612" si="416">MONTH(A3611)</f>
        <v>5</v>
      </c>
      <c r="I3611" s="12">
        <f t="shared" ref="I3611:I3612" si="417">YEAR(A3611)</f>
        <v>2026</v>
      </c>
    </row>
    <row r="3612" spans="1:9" ht="18.649999999999999" customHeight="1" x14ac:dyDescent="0.35">
      <c r="A3612" s="41">
        <v>46161</v>
      </c>
      <c r="B3612" s="8" t="s">
        <v>32</v>
      </c>
      <c r="C3612" s="42" t="s">
        <v>33</v>
      </c>
      <c r="D3612" s="43" t="s">
        <v>29</v>
      </c>
      <c r="E3612" s="46">
        <v>12576358</v>
      </c>
      <c r="F3612" s="2"/>
      <c r="G3612" s="15" t="s">
        <v>32</v>
      </c>
      <c r="H3612" s="12">
        <f t="shared" si="416"/>
        <v>5</v>
      </c>
      <c r="I3612" s="12">
        <f t="shared" si="417"/>
        <v>2026</v>
      </c>
    </row>
    <row r="3613" spans="1:9" ht="18.649999999999999" customHeight="1" x14ac:dyDescent="0.35">
      <c r="A3613" s="41">
        <v>46161</v>
      </c>
      <c r="B3613" s="8" t="s">
        <v>24</v>
      </c>
      <c r="C3613" s="42" t="s">
        <v>11</v>
      </c>
      <c r="D3613" s="43" t="s">
        <v>30</v>
      </c>
      <c r="E3613" s="46">
        <v>21102.44</v>
      </c>
      <c r="F3613" s="2"/>
      <c r="G3613" s="15" t="s">
        <v>24</v>
      </c>
      <c r="H3613" s="12">
        <v>4</v>
      </c>
      <c r="I3613" s="12">
        <v>2026</v>
      </c>
    </row>
    <row r="3614" spans="1:9" ht="18.649999999999999" customHeight="1" x14ac:dyDescent="0.35">
      <c r="A3614" s="41">
        <v>46161</v>
      </c>
      <c r="B3614" s="8" t="s">
        <v>24</v>
      </c>
      <c r="C3614" s="42" t="s">
        <v>33</v>
      </c>
      <c r="D3614" s="43" t="s">
        <v>30</v>
      </c>
      <c r="E3614" s="46">
        <v>0</v>
      </c>
      <c r="F3614" s="2"/>
      <c r="G3614" s="15" t="s">
        <v>24</v>
      </c>
      <c r="H3614" s="12">
        <v>4</v>
      </c>
      <c r="I3614" s="12">
        <v>2026</v>
      </c>
    </row>
    <row r="3615" spans="1:9" ht="18.649999999999999" customHeight="1" x14ac:dyDescent="0.35">
      <c r="A3615" s="41">
        <v>46162</v>
      </c>
      <c r="B3615" s="8" t="s">
        <v>32</v>
      </c>
      <c r="C3615" s="42" t="s">
        <v>11</v>
      </c>
      <c r="D3615" s="43" t="s">
        <v>30</v>
      </c>
      <c r="E3615" s="46">
        <v>1420580.86</v>
      </c>
      <c r="F3615" s="2"/>
      <c r="G3615" s="15" t="s">
        <v>32</v>
      </c>
      <c r="H3615" s="12">
        <v>4</v>
      </c>
      <c r="I3615" s="12">
        <v>2026</v>
      </c>
    </row>
    <row r="3616" spans="1:9" ht="18.649999999999999" customHeight="1" x14ac:dyDescent="0.35">
      <c r="A3616" s="41">
        <v>46162</v>
      </c>
      <c r="B3616" s="8" t="s">
        <v>32</v>
      </c>
      <c r="C3616" s="42" t="s">
        <v>33</v>
      </c>
      <c r="D3616" s="43" t="s">
        <v>30</v>
      </c>
      <c r="E3616" s="46">
        <v>5319.91</v>
      </c>
      <c r="F3616" s="2"/>
      <c r="G3616" s="15" t="s">
        <v>32</v>
      </c>
      <c r="H3616" s="12">
        <v>4</v>
      </c>
      <c r="I3616" s="12">
        <v>2026</v>
      </c>
    </row>
    <row r="3617" spans="1:9" ht="18.649999999999999" customHeight="1" x14ac:dyDescent="0.35">
      <c r="A3617" s="41">
        <v>46162</v>
      </c>
      <c r="B3617" s="8" t="s">
        <v>32</v>
      </c>
      <c r="C3617" s="42" t="s">
        <v>11</v>
      </c>
      <c r="D3617" s="43" t="s">
        <v>29</v>
      </c>
      <c r="E3617" s="46">
        <v>4791370717</v>
      </c>
      <c r="F3617" s="2"/>
      <c r="G3617" s="15" t="s">
        <v>32</v>
      </c>
      <c r="H3617" s="12">
        <f t="shared" ref="H3617:H3618" si="418">MONTH(A3617)</f>
        <v>5</v>
      </c>
      <c r="I3617" s="12">
        <f t="shared" ref="I3617:I3618" si="419">YEAR(A3617)</f>
        <v>2026</v>
      </c>
    </row>
    <row r="3618" spans="1:9" ht="18.649999999999999" customHeight="1" x14ac:dyDescent="0.35">
      <c r="A3618" s="41">
        <v>46162</v>
      </c>
      <c r="B3618" s="8" t="s">
        <v>32</v>
      </c>
      <c r="C3618" s="42" t="s">
        <v>33</v>
      </c>
      <c r="D3618" s="43" t="s">
        <v>29</v>
      </c>
      <c r="E3618" s="46">
        <v>16983031</v>
      </c>
      <c r="F3618" s="2"/>
      <c r="G3618" s="15" t="s">
        <v>32</v>
      </c>
      <c r="H3618" s="12">
        <f t="shared" si="418"/>
        <v>5</v>
      </c>
      <c r="I3618" s="12">
        <f t="shared" si="419"/>
        <v>2026</v>
      </c>
    </row>
    <row r="3619" spans="1:9" ht="18.649999999999999" customHeight="1" x14ac:dyDescent="0.35">
      <c r="A3619" s="41">
        <v>46162</v>
      </c>
      <c r="B3619" s="8" t="s">
        <v>24</v>
      </c>
      <c r="C3619" s="42" t="s">
        <v>11</v>
      </c>
      <c r="D3619" s="43" t="s">
        <v>30</v>
      </c>
      <c r="E3619" s="46">
        <v>219.64</v>
      </c>
      <c r="F3619" s="2"/>
      <c r="G3619" s="15" t="s">
        <v>24</v>
      </c>
      <c r="H3619" s="12">
        <v>4</v>
      </c>
      <c r="I3619" s="12">
        <v>2026</v>
      </c>
    </row>
    <row r="3620" spans="1:9" ht="18.649999999999999" customHeight="1" x14ac:dyDescent="0.35">
      <c r="A3620" s="41">
        <v>46162</v>
      </c>
      <c r="B3620" s="8" t="s">
        <v>24</v>
      </c>
      <c r="C3620" s="42" t="s">
        <v>33</v>
      </c>
      <c r="D3620" s="43" t="s">
        <v>30</v>
      </c>
      <c r="E3620" s="46">
        <v>0</v>
      </c>
      <c r="F3620" s="2"/>
      <c r="G3620" s="15" t="s">
        <v>24</v>
      </c>
      <c r="H3620" s="12">
        <v>4</v>
      </c>
      <c r="I3620" s="12">
        <v>2026</v>
      </c>
    </row>
    <row r="3621" spans="1:9" ht="18.649999999999999" customHeight="1" x14ac:dyDescent="0.35">
      <c r="A3621" s="41">
        <v>46163</v>
      </c>
      <c r="B3621" s="8" t="s">
        <v>32</v>
      </c>
      <c r="C3621" s="42" t="s">
        <v>11</v>
      </c>
      <c r="D3621" s="43" t="s">
        <v>30</v>
      </c>
      <c r="E3621" s="46">
        <v>1727536.86</v>
      </c>
      <c r="F3621" s="2"/>
      <c r="G3621" s="15" t="s">
        <v>32</v>
      </c>
      <c r="H3621" s="12">
        <v>4</v>
      </c>
      <c r="I3621" s="12">
        <v>2026</v>
      </c>
    </row>
    <row r="3622" spans="1:9" ht="18.649999999999999" customHeight="1" x14ac:dyDescent="0.35">
      <c r="A3622" s="41">
        <v>46163</v>
      </c>
      <c r="B3622" s="8" t="s">
        <v>32</v>
      </c>
      <c r="C3622" s="42" t="s">
        <v>33</v>
      </c>
      <c r="D3622" s="43" t="s">
        <v>30</v>
      </c>
      <c r="E3622" s="46">
        <v>5925.69</v>
      </c>
      <c r="F3622" s="2"/>
      <c r="G3622" s="15" t="s">
        <v>32</v>
      </c>
      <c r="H3622" s="12">
        <v>4</v>
      </c>
      <c r="I3622" s="12">
        <v>2026</v>
      </c>
    </row>
    <row r="3623" spans="1:9" ht="18.649999999999999" customHeight="1" x14ac:dyDescent="0.35">
      <c r="A3623" s="41">
        <v>46163</v>
      </c>
      <c r="B3623" s="8" t="s">
        <v>32</v>
      </c>
      <c r="C3623" s="42" t="s">
        <v>11</v>
      </c>
      <c r="D3623" s="43" t="s">
        <v>29</v>
      </c>
      <c r="E3623" s="46">
        <v>5650067602</v>
      </c>
      <c r="F3623" s="2"/>
      <c r="G3623" s="15" t="s">
        <v>32</v>
      </c>
      <c r="H3623" s="12">
        <f t="shared" ref="H3623:H3624" si="420">MONTH(A3623)</f>
        <v>5</v>
      </c>
      <c r="I3623" s="12">
        <f t="shared" ref="I3623:I3624" si="421">YEAR(A3623)</f>
        <v>2026</v>
      </c>
    </row>
    <row r="3624" spans="1:9" ht="18.649999999999999" customHeight="1" x14ac:dyDescent="0.35">
      <c r="A3624" s="41">
        <v>46163</v>
      </c>
      <c r="B3624" s="8" t="s">
        <v>32</v>
      </c>
      <c r="C3624" s="42" t="s">
        <v>33</v>
      </c>
      <c r="D3624" s="43" t="s">
        <v>29</v>
      </c>
      <c r="E3624" s="46">
        <v>18982506</v>
      </c>
      <c r="F3624" s="2"/>
      <c r="G3624" s="15" t="s">
        <v>32</v>
      </c>
      <c r="H3624" s="12">
        <f t="shared" si="420"/>
        <v>5</v>
      </c>
      <c r="I3624" s="12">
        <f t="shared" si="421"/>
        <v>2026</v>
      </c>
    </row>
    <row r="3625" spans="1:9" ht="18.649999999999999" customHeight="1" x14ac:dyDescent="0.35">
      <c r="A3625" s="41">
        <v>46163</v>
      </c>
      <c r="B3625" s="8" t="s">
        <v>24</v>
      </c>
      <c r="C3625" s="42" t="s">
        <v>11</v>
      </c>
      <c r="D3625" s="43" t="s">
        <v>30</v>
      </c>
      <c r="E3625" s="46">
        <v>0</v>
      </c>
      <c r="F3625" s="2"/>
      <c r="G3625" s="15" t="s">
        <v>24</v>
      </c>
      <c r="H3625" s="12">
        <v>4</v>
      </c>
      <c r="I3625" s="12">
        <v>2026</v>
      </c>
    </row>
    <row r="3626" spans="1:9" ht="18.649999999999999" customHeight="1" x14ac:dyDescent="0.35">
      <c r="A3626" s="41">
        <v>46163</v>
      </c>
      <c r="B3626" s="8" t="s">
        <v>24</v>
      </c>
      <c r="C3626" s="42" t="s">
        <v>33</v>
      </c>
      <c r="D3626" s="43" t="s">
        <v>30</v>
      </c>
      <c r="E3626" s="46">
        <v>0</v>
      </c>
      <c r="F3626" s="2"/>
      <c r="G3626" s="15" t="s">
        <v>24</v>
      </c>
      <c r="H3626" s="12">
        <v>4</v>
      </c>
      <c r="I3626" s="12">
        <v>2026</v>
      </c>
    </row>
    <row r="3627" spans="1:9" ht="18.649999999999999" customHeight="1" x14ac:dyDescent="0.35">
      <c r="A3627" s="41">
        <v>46164</v>
      </c>
      <c r="B3627" s="8" t="s">
        <v>32</v>
      </c>
      <c r="C3627" s="42" t="s">
        <v>11</v>
      </c>
      <c r="D3627" s="43" t="s">
        <v>30</v>
      </c>
      <c r="E3627" s="46">
        <v>1484369.67</v>
      </c>
      <c r="F3627" s="2"/>
      <c r="G3627" s="15" t="s">
        <v>32</v>
      </c>
      <c r="H3627" s="12">
        <v>4</v>
      </c>
      <c r="I3627" s="12">
        <v>2026</v>
      </c>
    </row>
    <row r="3628" spans="1:9" ht="18.649999999999999" customHeight="1" x14ac:dyDescent="0.35">
      <c r="A3628" s="41">
        <v>46164</v>
      </c>
      <c r="B3628" s="8" t="s">
        <v>32</v>
      </c>
      <c r="C3628" s="42" t="s">
        <v>33</v>
      </c>
      <c r="D3628" s="43" t="s">
        <v>30</v>
      </c>
      <c r="E3628" s="46">
        <v>6338.96</v>
      </c>
      <c r="F3628" s="2"/>
      <c r="G3628" s="15" t="s">
        <v>32</v>
      </c>
      <c r="H3628" s="12">
        <v>4</v>
      </c>
      <c r="I3628" s="12">
        <v>2026</v>
      </c>
    </row>
    <row r="3629" spans="1:9" ht="18.649999999999999" customHeight="1" x14ac:dyDescent="0.35">
      <c r="A3629" s="41">
        <v>46164</v>
      </c>
      <c r="B3629" s="8" t="s">
        <v>32</v>
      </c>
      <c r="C3629" s="42" t="s">
        <v>11</v>
      </c>
      <c r="D3629" s="43" t="s">
        <v>29</v>
      </c>
      <c r="E3629" s="46">
        <v>5115739619</v>
      </c>
      <c r="F3629" s="2"/>
      <c r="G3629" s="15" t="s">
        <v>32</v>
      </c>
      <c r="H3629" s="12">
        <f t="shared" ref="H3629:H3630" si="422">MONTH(A3629)</f>
        <v>5</v>
      </c>
      <c r="I3629" s="12">
        <f t="shared" ref="I3629:I3630" si="423">YEAR(A3629)</f>
        <v>2026</v>
      </c>
    </row>
    <row r="3630" spans="1:9" ht="18.649999999999999" customHeight="1" x14ac:dyDescent="0.35">
      <c r="A3630" s="41">
        <v>46164</v>
      </c>
      <c r="B3630" s="8" t="s">
        <v>32</v>
      </c>
      <c r="C3630" s="42" t="s">
        <v>33</v>
      </c>
      <c r="D3630" s="43" t="s">
        <v>29</v>
      </c>
      <c r="E3630" s="46">
        <v>21244566</v>
      </c>
      <c r="F3630" s="2"/>
      <c r="G3630" s="15" t="s">
        <v>32</v>
      </c>
      <c r="H3630" s="12">
        <f t="shared" si="422"/>
        <v>5</v>
      </c>
      <c r="I3630" s="12">
        <f t="shared" si="423"/>
        <v>2026</v>
      </c>
    </row>
    <row r="3631" spans="1:9" ht="18.649999999999999" customHeight="1" x14ac:dyDescent="0.35">
      <c r="A3631" s="41">
        <v>46164</v>
      </c>
      <c r="B3631" s="8" t="s">
        <v>24</v>
      </c>
      <c r="C3631" s="42" t="s">
        <v>11</v>
      </c>
      <c r="D3631" s="43" t="s">
        <v>30</v>
      </c>
      <c r="E3631" s="46">
        <v>0</v>
      </c>
      <c r="F3631" s="2"/>
      <c r="G3631" s="15" t="s">
        <v>24</v>
      </c>
      <c r="H3631" s="12">
        <v>4</v>
      </c>
      <c r="I3631" s="12">
        <v>2026</v>
      </c>
    </row>
    <row r="3632" spans="1:9" ht="18.649999999999999" customHeight="1" x14ac:dyDescent="0.35">
      <c r="A3632" s="41">
        <v>46164</v>
      </c>
      <c r="B3632" s="8" t="s">
        <v>24</v>
      </c>
      <c r="C3632" s="42" t="s">
        <v>33</v>
      </c>
      <c r="D3632" s="43" t="s">
        <v>30</v>
      </c>
      <c r="E3632" s="46">
        <v>0</v>
      </c>
      <c r="F3632" s="2"/>
      <c r="G3632" s="15" t="s">
        <v>24</v>
      </c>
      <c r="H3632" s="12">
        <v>4</v>
      </c>
      <c r="I3632" s="12">
        <v>2026</v>
      </c>
    </row>
    <row r="3633" spans="1:9" ht="18.649999999999999" customHeight="1" x14ac:dyDescent="0.35">
      <c r="A3633" s="41">
        <v>46165</v>
      </c>
      <c r="B3633" s="8" t="s">
        <v>32</v>
      </c>
      <c r="C3633" s="42" t="s">
        <v>11</v>
      </c>
      <c r="D3633" s="43" t="s">
        <v>30</v>
      </c>
      <c r="E3633" s="46">
        <v>1294354.8799999999</v>
      </c>
      <c r="F3633" s="2"/>
      <c r="G3633" s="15" t="s">
        <v>32</v>
      </c>
      <c r="H3633" s="12">
        <v>4</v>
      </c>
      <c r="I3633" s="12">
        <v>2026</v>
      </c>
    </row>
    <row r="3634" spans="1:9" ht="18.649999999999999" customHeight="1" x14ac:dyDescent="0.35">
      <c r="A3634" s="41">
        <v>46165</v>
      </c>
      <c r="B3634" s="8" t="s">
        <v>32</v>
      </c>
      <c r="C3634" s="42" t="s">
        <v>33</v>
      </c>
      <c r="D3634" s="43" t="s">
        <v>30</v>
      </c>
      <c r="E3634" s="46">
        <v>5372.55</v>
      </c>
      <c r="F3634" s="2"/>
      <c r="G3634" s="15" t="s">
        <v>32</v>
      </c>
      <c r="H3634" s="12">
        <v>4</v>
      </c>
      <c r="I3634" s="12">
        <v>2026</v>
      </c>
    </row>
    <row r="3635" spans="1:9" ht="18.649999999999999" customHeight="1" x14ac:dyDescent="0.35">
      <c r="A3635" s="41">
        <v>46165</v>
      </c>
      <c r="B3635" s="8" t="s">
        <v>32</v>
      </c>
      <c r="C3635" s="42" t="s">
        <v>11</v>
      </c>
      <c r="D3635" s="43" t="s">
        <v>29</v>
      </c>
      <c r="E3635" s="46">
        <v>4454371099</v>
      </c>
      <c r="F3635" s="2"/>
      <c r="G3635" s="15" t="s">
        <v>32</v>
      </c>
      <c r="H3635" s="12">
        <f t="shared" ref="H3635:H3636" si="424">MONTH(A3635)</f>
        <v>5</v>
      </c>
      <c r="I3635" s="12">
        <f t="shared" ref="I3635:I3636" si="425">YEAR(A3635)</f>
        <v>2026</v>
      </c>
    </row>
    <row r="3636" spans="1:9" ht="18.649999999999999" customHeight="1" x14ac:dyDescent="0.35">
      <c r="A3636" s="41">
        <v>46165</v>
      </c>
      <c r="B3636" s="8" t="s">
        <v>32</v>
      </c>
      <c r="C3636" s="42" t="s">
        <v>33</v>
      </c>
      <c r="D3636" s="43" t="s">
        <v>29</v>
      </c>
      <c r="E3636" s="46">
        <v>17480149</v>
      </c>
      <c r="F3636" s="2"/>
      <c r="G3636" s="15" t="s">
        <v>32</v>
      </c>
      <c r="H3636" s="12">
        <f t="shared" si="424"/>
        <v>5</v>
      </c>
      <c r="I3636" s="12">
        <f t="shared" si="425"/>
        <v>2026</v>
      </c>
    </row>
    <row r="3637" spans="1:9" ht="18.649999999999999" customHeight="1" x14ac:dyDescent="0.35">
      <c r="A3637" s="41">
        <v>46165</v>
      </c>
      <c r="B3637" s="8" t="s">
        <v>24</v>
      </c>
      <c r="C3637" s="42" t="s">
        <v>11</v>
      </c>
      <c r="D3637" s="43" t="s">
        <v>30</v>
      </c>
      <c r="E3637" s="46">
        <v>0</v>
      </c>
      <c r="F3637" s="2"/>
      <c r="G3637" s="15" t="s">
        <v>24</v>
      </c>
      <c r="H3637" s="12">
        <v>4</v>
      </c>
      <c r="I3637" s="12">
        <v>2026</v>
      </c>
    </row>
    <row r="3638" spans="1:9" ht="18.649999999999999" customHeight="1" x14ac:dyDescent="0.35">
      <c r="A3638" s="41">
        <v>46165</v>
      </c>
      <c r="B3638" s="8" t="s">
        <v>24</v>
      </c>
      <c r="C3638" s="42" t="s">
        <v>33</v>
      </c>
      <c r="D3638" s="43" t="s">
        <v>30</v>
      </c>
      <c r="E3638" s="46">
        <v>0</v>
      </c>
      <c r="F3638" s="2"/>
      <c r="G3638" s="15" t="s">
        <v>24</v>
      </c>
      <c r="H3638" s="12">
        <v>4</v>
      </c>
      <c r="I3638" s="12">
        <v>2026</v>
      </c>
    </row>
    <row r="3639" spans="1:9" ht="19.5" customHeight="1" x14ac:dyDescent="0.35">
      <c r="A3639" s="41">
        <v>46166</v>
      </c>
      <c r="B3639" s="8" t="s">
        <v>32</v>
      </c>
      <c r="C3639" s="42" t="s">
        <v>11</v>
      </c>
      <c r="D3639" s="43" t="s">
        <v>30</v>
      </c>
      <c r="E3639" s="46">
        <v>1132580.05</v>
      </c>
      <c r="F3639" s="2"/>
      <c r="G3639" s="15" t="s">
        <v>32</v>
      </c>
    </row>
    <row r="3640" spans="1:9" ht="19.5" customHeight="1" x14ac:dyDescent="0.35">
      <c r="A3640" s="41">
        <v>46166</v>
      </c>
      <c r="B3640" s="8" t="s">
        <v>32</v>
      </c>
      <c r="C3640" s="42" t="s">
        <v>33</v>
      </c>
      <c r="D3640" s="43" t="s">
        <v>30</v>
      </c>
      <c r="E3640" s="46">
        <v>4263.0200000000004</v>
      </c>
      <c r="F3640" s="2"/>
      <c r="G3640" s="15" t="s">
        <v>32</v>
      </c>
    </row>
    <row r="3641" spans="1:9" ht="19.5" customHeight="1" x14ac:dyDescent="0.35">
      <c r="A3641" s="41">
        <v>46166</v>
      </c>
      <c r="B3641" s="8" t="s">
        <v>32</v>
      </c>
      <c r="C3641" s="42" t="s">
        <v>11</v>
      </c>
      <c r="D3641" s="43" t="s">
        <v>29</v>
      </c>
      <c r="E3641" s="46">
        <v>3806343333</v>
      </c>
      <c r="F3641" s="2"/>
      <c r="G3641" s="15" t="s">
        <v>32</v>
      </c>
    </row>
    <row r="3642" spans="1:9" ht="19.5" customHeight="1" x14ac:dyDescent="0.35">
      <c r="A3642" s="41">
        <v>46166</v>
      </c>
      <c r="B3642" s="8" t="s">
        <v>32</v>
      </c>
      <c r="C3642" s="42" t="s">
        <v>33</v>
      </c>
      <c r="D3642" s="43" t="s">
        <v>29</v>
      </c>
      <c r="E3642" s="46">
        <v>14118408</v>
      </c>
      <c r="F3642" s="2"/>
      <c r="G3642" s="15" t="s">
        <v>32</v>
      </c>
    </row>
    <row r="3643" spans="1:9" ht="19.5" customHeight="1" x14ac:dyDescent="0.35">
      <c r="A3643" s="41">
        <v>46166</v>
      </c>
      <c r="B3643" s="8" t="s">
        <v>24</v>
      </c>
      <c r="C3643" s="42" t="s">
        <v>11</v>
      </c>
      <c r="D3643" s="43" t="s">
        <v>30</v>
      </c>
      <c r="E3643" s="46">
        <v>0</v>
      </c>
      <c r="F3643" s="2"/>
      <c r="G3643" s="15" t="s">
        <v>24</v>
      </c>
    </row>
    <row r="3644" spans="1:9" ht="19.5" customHeight="1" x14ac:dyDescent="0.35">
      <c r="A3644" s="41">
        <v>46166</v>
      </c>
      <c r="B3644" s="8" t="s">
        <v>24</v>
      </c>
      <c r="C3644" s="42" t="s">
        <v>33</v>
      </c>
      <c r="D3644" s="43" t="s">
        <v>30</v>
      </c>
      <c r="E3644" s="46">
        <v>0</v>
      </c>
      <c r="F3644" s="2"/>
      <c r="G3644" s="15" t="s">
        <v>24</v>
      </c>
    </row>
    <row r="3645" spans="1:9" ht="19.5" customHeight="1" x14ac:dyDescent="0.35">
      <c r="A3645" s="41">
        <v>46167</v>
      </c>
      <c r="B3645" s="8" t="s">
        <v>32</v>
      </c>
      <c r="C3645" s="42" t="s">
        <v>11</v>
      </c>
      <c r="D3645" s="43" t="s">
        <v>30</v>
      </c>
      <c r="E3645" s="46">
        <v>1248086.19</v>
      </c>
      <c r="F3645" s="2"/>
      <c r="G3645" s="15" t="s">
        <v>32</v>
      </c>
    </row>
    <row r="3646" spans="1:9" ht="19.5" customHeight="1" x14ac:dyDescent="0.35">
      <c r="A3646" s="41">
        <v>46167</v>
      </c>
      <c r="B3646" s="8" t="s">
        <v>32</v>
      </c>
      <c r="C3646" s="42" t="s">
        <v>33</v>
      </c>
      <c r="D3646" s="43" t="s">
        <v>30</v>
      </c>
      <c r="E3646" s="46">
        <v>5080.8100000000004</v>
      </c>
      <c r="F3646" s="2"/>
      <c r="G3646" s="15" t="s">
        <v>32</v>
      </c>
    </row>
    <row r="3647" spans="1:9" ht="19.5" customHeight="1" x14ac:dyDescent="0.35">
      <c r="A3647" s="41">
        <v>46167</v>
      </c>
      <c r="B3647" s="8" t="s">
        <v>32</v>
      </c>
      <c r="C3647" s="42" t="s">
        <v>11</v>
      </c>
      <c r="D3647" s="43" t="s">
        <v>29</v>
      </c>
      <c r="E3647" s="46">
        <v>4309253928</v>
      </c>
      <c r="F3647" s="2"/>
      <c r="G3647" s="15" t="s">
        <v>32</v>
      </c>
    </row>
    <row r="3648" spans="1:9" ht="19.5" customHeight="1" x14ac:dyDescent="0.35">
      <c r="A3648" s="41">
        <v>46167</v>
      </c>
      <c r="B3648" s="8" t="s">
        <v>32</v>
      </c>
      <c r="C3648" s="42" t="s">
        <v>33</v>
      </c>
      <c r="D3648" s="43" t="s">
        <v>29</v>
      </c>
      <c r="E3648" s="46">
        <v>17107936</v>
      </c>
      <c r="F3648" s="2"/>
      <c r="G3648" s="15" t="s">
        <v>32</v>
      </c>
    </row>
    <row r="3649" spans="1:7" ht="19.5" customHeight="1" x14ac:dyDescent="0.35">
      <c r="A3649" s="41">
        <v>46167</v>
      </c>
      <c r="B3649" s="8" t="s">
        <v>24</v>
      </c>
      <c r="C3649" s="42" t="s">
        <v>11</v>
      </c>
      <c r="D3649" s="43" t="s">
        <v>30</v>
      </c>
      <c r="E3649" s="46">
        <v>0</v>
      </c>
      <c r="F3649" s="2"/>
      <c r="G3649" s="15" t="s">
        <v>24</v>
      </c>
    </row>
    <row r="3650" spans="1:7" ht="19.5" customHeight="1" x14ac:dyDescent="0.35">
      <c r="A3650" s="41">
        <v>46167</v>
      </c>
      <c r="B3650" s="8" t="s">
        <v>24</v>
      </c>
      <c r="C3650" s="42" t="s">
        <v>33</v>
      </c>
      <c r="D3650" s="43" t="s">
        <v>30</v>
      </c>
      <c r="E3650" s="46">
        <v>0</v>
      </c>
      <c r="F3650" s="2"/>
      <c r="G3650" s="15" t="s">
        <v>24</v>
      </c>
    </row>
    <row r="3651" spans="1:7" ht="19.5" customHeight="1" x14ac:dyDescent="0.35">
      <c r="A3651" s="41">
        <v>46168</v>
      </c>
      <c r="B3651" s="8" t="s">
        <v>32</v>
      </c>
      <c r="C3651" s="42" t="s">
        <v>11</v>
      </c>
      <c r="D3651" s="43" t="s">
        <v>30</v>
      </c>
      <c r="E3651" s="46">
        <v>1339686.21</v>
      </c>
      <c r="F3651" s="2"/>
      <c r="G3651" s="15" t="s">
        <v>32</v>
      </c>
    </row>
    <row r="3652" spans="1:7" ht="19.5" customHeight="1" x14ac:dyDescent="0.35">
      <c r="A3652" s="41">
        <v>46168</v>
      </c>
      <c r="B3652" s="8" t="s">
        <v>32</v>
      </c>
      <c r="C3652" s="42" t="s">
        <v>33</v>
      </c>
      <c r="D3652" s="43" t="s">
        <v>30</v>
      </c>
      <c r="E3652" s="46">
        <v>6449.96</v>
      </c>
      <c r="F3652" s="2"/>
      <c r="G3652" s="15" t="s">
        <v>32</v>
      </c>
    </row>
    <row r="3653" spans="1:7" ht="19.5" customHeight="1" x14ac:dyDescent="0.35">
      <c r="A3653" s="41">
        <v>46168</v>
      </c>
      <c r="B3653" s="8" t="s">
        <v>32</v>
      </c>
      <c r="C3653" s="42" t="s">
        <v>11</v>
      </c>
      <c r="D3653" s="43" t="s">
        <v>29</v>
      </c>
      <c r="E3653" s="46">
        <v>4591940180</v>
      </c>
      <c r="F3653" s="2"/>
      <c r="G3653" s="15" t="s">
        <v>32</v>
      </c>
    </row>
    <row r="3654" spans="1:7" ht="19.5" customHeight="1" x14ac:dyDescent="0.35">
      <c r="A3654" s="41">
        <v>46168</v>
      </c>
      <c r="B3654" s="8" t="s">
        <v>32</v>
      </c>
      <c r="C3654" s="42" t="s">
        <v>33</v>
      </c>
      <c r="D3654" s="43" t="s">
        <v>29</v>
      </c>
      <c r="E3654" s="46">
        <v>21932597</v>
      </c>
      <c r="F3654" s="2"/>
      <c r="G3654" s="15" t="s">
        <v>32</v>
      </c>
    </row>
    <row r="3655" spans="1:7" ht="19.5" customHeight="1" x14ac:dyDescent="0.35">
      <c r="A3655" s="41">
        <v>46168</v>
      </c>
      <c r="B3655" s="8" t="s">
        <v>24</v>
      </c>
      <c r="C3655" s="42" t="s">
        <v>11</v>
      </c>
      <c r="D3655" s="43" t="s">
        <v>30</v>
      </c>
      <c r="E3655" s="46">
        <v>0</v>
      </c>
      <c r="F3655" s="2"/>
      <c r="G3655" s="15" t="s">
        <v>24</v>
      </c>
    </row>
    <row r="3656" spans="1:7" ht="19.5" customHeight="1" x14ac:dyDescent="0.35">
      <c r="A3656" s="41">
        <v>46168</v>
      </c>
      <c r="B3656" s="8" t="s">
        <v>24</v>
      </c>
      <c r="C3656" s="42" t="s">
        <v>33</v>
      </c>
      <c r="D3656" s="43" t="s">
        <v>30</v>
      </c>
      <c r="E3656" s="46">
        <v>0</v>
      </c>
      <c r="F3656" s="2"/>
      <c r="G3656" s="15" t="s">
        <v>24</v>
      </c>
    </row>
    <row r="3657" spans="1:7" ht="19.5" customHeight="1" x14ac:dyDescent="0.35">
      <c r="A3657" s="41">
        <v>46169</v>
      </c>
      <c r="B3657" s="8" t="s">
        <v>32</v>
      </c>
      <c r="C3657" s="42" t="s">
        <v>11</v>
      </c>
      <c r="D3657" s="43" t="s">
        <v>30</v>
      </c>
      <c r="E3657" s="46">
        <v>807507.01</v>
      </c>
      <c r="F3657" s="2"/>
      <c r="G3657" s="15" t="s">
        <v>32</v>
      </c>
    </row>
    <row r="3658" spans="1:7" ht="19.5" customHeight="1" x14ac:dyDescent="0.35">
      <c r="A3658" s="41">
        <v>46169</v>
      </c>
      <c r="B3658" s="8" t="s">
        <v>32</v>
      </c>
      <c r="C3658" s="42" t="s">
        <v>33</v>
      </c>
      <c r="D3658" s="43" t="s">
        <v>30</v>
      </c>
      <c r="E3658" s="46">
        <v>3569.97</v>
      </c>
      <c r="F3658" s="2"/>
      <c r="G3658" s="15" t="s">
        <v>32</v>
      </c>
    </row>
    <row r="3659" spans="1:7" ht="19.5" customHeight="1" x14ac:dyDescent="0.35">
      <c r="A3659" s="41">
        <v>46169</v>
      </c>
      <c r="B3659" s="8" t="s">
        <v>32</v>
      </c>
      <c r="C3659" s="42" t="s">
        <v>11</v>
      </c>
      <c r="D3659" s="43" t="s">
        <v>29</v>
      </c>
      <c r="E3659" s="46">
        <v>2830784624</v>
      </c>
      <c r="F3659" s="2"/>
      <c r="G3659" s="15" t="s">
        <v>32</v>
      </c>
    </row>
    <row r="3660" spans="1:7" ht="19.5" customHeight="1" x14ac:dyDescent="0.35">
      <c r="A3660" s="41">
        <v>46169</v>
      </c>
      <c r="B3660" s="8" t="s">
        <v>32</v>
      </c>
      <c r="C3660" s="42" t="s">
        <v>33</v>
      </c>
      <c r="D3660" s="43" t="s">
        <v>29</v>
      </c>
      <c r="E3660" s="46">
        <v>11848144</v>
      </c>
      <c r="F3660" s="2"/>
      <c r="G3660" s="15" t="s">
        <v>32</v>
      </c>
    </row>
    <row r="3661" spans="1:7" ht="19.5" customHeight="1" x14ac:dyDescent="0.35">
      <c r="A3661" s="41">
        <v>46169</v>
      </c>
      <c r="B3661" s="8" t="s">
        <v>24</v>
      </c>
      <c r="C3661" s="42" t="s">
        <v>11</v>
      </c>
      <c r="D3661" s="43" t="s">
        <v>30</v>
      </c>
      <c r="E3661" s="46">
        <v>0</v>
      </c>
      <c r="F3661" s="2"/>
      <c r="G3661" s="15" t="s">
        <v>24</v>
      </c>
    </row>
    <row r="3662" spans="1:7" ht="19.5" customHeight="1" x14ac:dyDescent="0.35">
      <c r="A3662" s="41">
        <v>46169</v>
      </c>
      <c r="B3662" s="8" t="s">
        <v>24</v>
      </c>
      <c r="C3662" s="42" t="s">
        <v>33</v>
      </c>
      <c r="D3662" s="43" t="s">
        <v>30</v>
      </c>
      <c r="E3662" s="46">
        <v>0</v>
      </c>
      <c r="F3662" s="2"/>
      <c r="G3662" s="15" t="s">
        <v>24</v>
      </c>
    </row>
    <row r="3663" spans="1:7" ht="19.5" customHeight="1" x14ac:dyDescent="0.35">
      <c r="A3663" s="41">
        <v>46170</v>
      </c>
      <c r="B3663" s="8" t="s">
        <v>32</v>
      </c>
      <c r="C3663" s="42" t="s">
        <v>11</v>
      </c>
      <c r="D3663" s="43" t="s">
        <v>30</v>
      </c>
      <c r="E3663" s="46">
        <v>1143830.8</v>
      </c>
      <c r="F3663" s="2"/>
      <c r="G3663" s="15" t="s">
        <v>32</v>
      </c>
    </row>
    <row r="3664" spans="1:7" ht="19.5" customHeight="1" x14ac:dyDescent="0.35">
      <c r="A3664" s="41">
        <v>46170</v>
      </c>
      <c r="B3664" s="8" t="s">
        <v>32</v>
      </c>
      <c r="C3664" s="42" t="s">
        <v>33</v>
      </c>
      <c r="D3664" s="43" t="s">
        <v>30</v>
      </c>
      <c r="E3664" s="46">
        <v>5473.09</v>
      </c>
      <c r="F3664" s="2"/>
      <c r="G3664" s="15" t="s">
        <v>32</v>
      </c>
    </row>
    <row r="3665" spans="1:7" ht="19.5" customHeight="1" x14ac:dyDescent="0.35">
      <c r="A3665" s="41">
        <v>46170</v>
      </c>
      <c r="B3665" s="8" t="s">
        <v>32</v>
      </c>
      <c r="C3665" s="42" t="s">
        <v>11</v>
      </c>
      <c r="D3665" s="43" t="s">
        <v>29</v>
      </c>
      <c r="E3665" s="46">
        <v>3866637166</v>
      </c>
      <c r="F3665" s="2"/>
      <c r="G3665" s="15" t="s">
        <v>32</v>
      </c>
    </row>
    <row r="3666" spans="1:7" ht="19.5" customHeight="1" x14ac:dyDescent="0.35">
      <c r="A3666" s="41">
        <v>46170</v>
      </c>
      <c r="B3666" s="8" t="s">
        <v>32</v>
      </c>
      <c r="C3666" s="42" t="s">
        <v>33</v>
      </c>
      <c r="D3666" s="43" t="s">
        <v>29</v>
      </c>
      <c r="E3666" s="46">
        <v>17872050</v>
      </c>
      <c r="F3666" s="2"/>
      <c r="G3666" s="15" t="s">
        <v>32</v>
      </c>
    </row>
    <row r="3667" spans="1:7" ht="19.5" customHeight="1" x14ac:dyDescent="0.35">
      <c r="A3667" s="41">
        <v>46170</v>
      </c>
      <c r="B3667" s="8" t="s">
        <v>24</v>
      </c>
      <c r="C3667" s="42" t="s">
        <v>11</v>
      </c>
      <c r="D3667" s="43" t="s">
        <v>30</v>
      </c>
      <c r="E3667" s="46">
        <v>0</v>
      </c>
      <c r="F3667" s="2"/>
      <c r="G3667" s="15" t="s">
        <v>24</v>
      </c>
    </row>
    <row r="3668" spans="1:7" ht="19.5" customHeight="1" x14ac:dyDescent="0.35">
      <c r="A3668" s="41">
        <v>46170</v>
      </c>
      <c r="B3668" s="8" t="s">
        <v>24</v>
      </c>
      <c r="C3668" s="42" t="s">
        <v>33</v>
      </c>
      <c r="D3668" s="43" t="s">
        <v>30</v>
      </c>
      <c r="E3668" s="46">
        <v>0</v>
      </c>
      <c r="F3668" s="2"/>
      <c r="G3668" s="15" t="s">
        <v>24</v>
      </c>
    </row>
    <row r="3669" spans="1:7" ht="19.5" customHeight="1" x14ac:dyDescent="0.35">
      <c r="A3669" s="41">
        <v>46171</v>
      </c>
      <c r="B3669" s="8" t="s">
        <v>32</v>
      </c>
      <c r="C3669" s="42" t="s">
        <v>11</v>
      </c>
      <c r="D3669" s="43" t="s">
        <v>30</v>
      </c>
      <c r="E3669" s="46">
        <v>1012427.03</v>
      </c>
      <c r="F3669" s="2"/>
      <c r="G3669" s="15" t="s">
        <v>32</v>
      </c>
    </row>
    <row r="3670" spans="1:7" ht="19.5" customHeight="1" x14ac:dyDescent="0.35">
      <c r="A3670" s="41">
        <v>46171</v>
      </c>
      <c r="B3670" s="8" t="s">
        <v>32</v>
      </c>
      <c r="C3670" s="42" t="s">
        <v>33</v>
      </c>
      <c r="D3670" s="43" t="s">
        <v>30</v>
      </c>
      <c r="E3670" s="46">
        <v>5713.5</v>
      </c>
      <c r="F3670" s="2"/>
      <c r="G3670" s="15" t="s">
        <v>32</v>
      </c>
    </row>
    <row r="3671" spans="1:7" ht="19.5" customHeight="1" x14ac:dyDescent="0.35">
      <c r="A3671" s="41">
        <v>46171</v>
      </c>
      <c r="B3671" s="8" t="s">
        <v>32</v>
      </c>
      <c r="C3671" s="42" t="s">
        <v>11</v>
      </c>
      <c r="D3671" s="43" t="s">
        <v>29</v>
      </c>
      <c r="E3671" s="46">
        <v>3468208929</v>
      </c>
      <c r="F3671" s="2"/>
      <c r="G3671" s="15" t="s">
        <v>32</v>
      </c>
    </row>
    <row r="3672" spans="1:7" ht="19.5" customHeight="1" x14ac:dyDescent="0.35">
      <c r="A3672" s="41">
        <v>46171</v>
      </c>
      <c r="B3672" s="8" t="s">
        <v>32</v>
      </c>
      <c r="C3672" s="42" t="s">
        <v>33</v>
      </c>
      <c r="D3672" s="43" t="s">
        <v>29</v>
      </c>
      <c r="E3672" s="46">
        <v>18600212</v>
      </c>
      <c r="F3672" s="2"/>
      <c r="G3672" s="15" t="s">
        <v>32</v>
      </c>
    </row>
    <row r="3673" spans="1:7" ht="19.5" customHeight="1" x14ac:dyDescent="0.35">
      <c r="A3673" s="41">
        <v>46171</v>
      </c>
      <c r="B3673" s="8" t="s">
        <v>24</v>
      </c>
      <c r="C3673" s="42" t="s">
        <v>11</v>
      </c>
      <c r="D3673" s="43" t="s">
        <v>30</v>
      </c>
      <c r="E3673" s="46">
        <v>0</v>
      </c>
      <c r="F3673" s="2"/>
      <c r="G3673" s="15" t="s">
        <v>24</v>
      </c>
    </row>
    <row r="3674" spans="1:7" ht="19.5" customHeight="1" x14ac:dyDescent="0.35">
      <c r="A3674" s="41">
        <v>46171</v>
      </c>
      <c r="B3674" s="8" t="s">
        <v>24</v>
      </c>
      <c r="C3674" s="42" t="s">
        <v>33</v>
      </c>
      <c r="D3674" s="43" t="s">
        <v>30</v>
      </c>
      <c r="E3674" s="46">
        <v>0</v>
      </c>
      <c r="F3674" s="2"/>
      <c r="G3674" s="15" t="s">
        <v>24</v>
      </c>
    </row>
    <row r="3675" spans="1:7" ht="19.5" customHeight="1" x14ac:dyDescent="0.35">
      <c r="A3675" s="41">
        <v>46172</v>
      </c>
      <c r="B3675" s="8" t="s">
        <v>32</v>
      </c>
      <c r="C3675" s="42" t="s">
        <v>11</v>
      </c>
      <c r="D3675" s="43" t="s">
        <v>30</v>
      </c>
      <c r="E3675" s="46">
        <v>1280187.4099999999</v>
      </c>
      <c r="F3675" s="2"/>
      <c r="G3675" s="15" t="s">
        <v>32</v>
      </c>
    </row>
    <row r="3676" spans="1:7" ht="19.5" customHeight="1" x14ac:dyDescent="0.35">
      <c r="A3676" s="41">
        <v>46172</v>
      </c>
      <c r="B3676" s="8" t="s">
        <v>32</v>
      </c>
      <c r="C3676" s="42" t="s">
        <v>33</v>
      </c>
      <c r="D3676" s="43" t="s">
        <v>30</v>
      </c>
      <c r="E3676" s="46">
        <v>5860.15</v>
      </c>
      <c r="F3676" s="2"/>
      <c r="G3676" s="15" t="s">
        <v>32</v>
      </c>
    </row>
    <row r="3677" spans="1:7" ht="19.5" customHeight="1" x14ac:dyDescent="0.35">
      <c r="A3677" s="41">
        <v>46172</v>
      </c>
      <c r="B3677" s="8" t="s">
        <v>32</v>
      </c>
      <c r="C3677" s="42" t="s">
        <v>11</v>
      </c>
      <c r="D3677" s="43" t="s">
        <v>29</v>
      </c>
      <c r="E3677" s="46">
        <v>4393208581</v>
      </c>
      <c r="F3677" s="2"/>
      <c r="G3677" s="15" t="s">
        <v>32</v>
      </c>
    </row>
    <row r="3678" spans="1:7" ht="19.5" customHeight="1" x14ac:dyDescent="0.35">
      <c r="A3678" s="41">
        <v>46172</v>
      </c>
      <c r="B3678" s="8" t="s">
        <v>32</v>
      </c>
      <c r="C3678" s="42" t="s">
        <v>33</v>
      </c>
      <c r="D3678" s="43" t="s">
        <v>29</v>
      </c>
      <c r="E3678" s="46">
        <v>18961426</v>
      </c>
      <c r="F3678" s="2"/>
      <c r="G3678" s="15" t="s">
        <v>32</v>
      </c>
    </row>
    <row r="3679" spans="1:7" ht="19.5" customHeight="1" x14ac:dyDescent="0.35">
      <c r="A3679" s="41">
        <v>46172</v>
      </c>
      <c r="B3679" s="8" t="s">
        <v>24</v>
      </c>
      <c r="C3679" s="42" t="s">
        <v>11</v>
      </c>
      <c r="D3679" s="43" t="s">
        <v>30</v>
      </c>
      <c r="E3679" s="46">
        <v>0</v>
      </c>
      <c r="F3679" s="2"/>
      <c r="G3679" s="15" t="s">
        <v>24</v>
      </c>
    </row>
    <row r="3680" spans="1:7" ht="19.5" customHeight="1" x14ac:dyDescent="0.35">
      <c r="A3680" s="41">
        <v>46172</v>
      </c>
      <c r="B3680" s="8" t="s">
        <v>24</v>
      </c>
      <c r="C3680" s="42" t="s">
        <v>33</v>
      </c>
      <c r="D3680" s="43" t="s">
        <v>30</v>
      </c>
      <c r="E3680" s="46">
        <v>0</v>
      </c>
      <c r="F3680" s="2"/>
      <c r="G3680" s="15" t="s">
        <v>24</v>
      </c>
    </row>
    <row r="3681" spans="1:7" ht="19.5" customHeight="1" x14ac:dyDescent="0.35">
      <c r="A3681" s="41">
        <v>46173</v>
      </c>
      <c r="B3681" s="8" t="s">
        <v>32</v>
      </c>
      <c r="C3681" s="42" t="s">
        <v>11</v>
      </c>
      <c r="D3681" s="43" t="s">
        <v>30</v>
      </c>
      <c r="E3681" s="46">
        <v>1148850.6100000001</v>
      </c>
      <c r="F3681" s="2"/>
      <c r="G3681" s="15" t="s">
        <v>32</v>
      </c>
    </row>
    <row r="3682" spans="1:7" ht="19.5" customHeight="1" x14ac:dyDescent="0.35">
      <c r="A3682" s="41">
        <v>46173</v>
      </c>
      <c r="B3682" s="8" t="s">
        <v>32</v>
      </c>
      <c r="C3682" s="42" t="s">
        <v>33</v>
      </c>
      <c r="D3682" s="43" t="s">
        <v>30</v>
      </c>
      <c r="E3682" s="46">
        <v>4520.92</v>
      </c>
      <c r="F3682" s="2"/>
      <c r="G3682" s="15" t="s">
        <v>32</v>
      </c>
    </row>
    <row r="3683" spans="1:7" ht="19.5" customHeight="1" x14ac:dyDescent="0.35">
      <c r="A3683" s="41">
        <v>46173</v>
      </c>
      <c r="B3683" s="8" t="s">
        <v>32</v>
      </c>
      <c r="C3683" s="42" t="s">
        <v>11</v>
      </c>
      <c r="D3683" s="43" t="s">
        <v>29</v>
      </c>
      <c r="E3683" s="46">
        <v>3867573674</v>
      </c>
      <c r="F3683" s="2"/>
      <c r="G3683" s="15" t="s">
        <v>32</v>
      </c>
    </row>
    <row r="3684" spans="1:7" ht="19.5" customHeight="1" x14ac:dyDescent="0.35">
      <c r="A3684" s="41">
        <v>46173</v>
      </c>
      <c r="B3684" s="8" t="s">
        <v>32</v>
      </c>
      <c r="C3684" s="42" t="s">
        <v>33</v>
      </c>
      <c r="D3684" s="43" t="s">
        <v>29</v>
      </c>
      <c r="E3684" s="46">
        <v>14815598</v>
      </c>
      <c r="F3684" s="2"/>
      <c r="G3684" s="15" t="s">
        <v>32</v>
      </c>
    </row>
    <row r="3685" spans="1:7" ht="19.5" customHeight="1" x14ac:dyDescent="0.35">
      <c r="A3685" s="41">
        <v>46173</v>
      </c>
      <c r="B3685" s="8" t="s">
        <v>24</v>
      </c>
      <c r="C3685" s="42" t="s">
        <v>11</v>
      </c>
      <c r="D3685" s="43" t="s">
        <v>30</v>
      </c>
      <c r="E3685" s="46">
        <v>0</v>
      </c>
      <c r="F3685" s="2"/>
      <c r="G3685" s="15" t="s">
        <v>24</v>
      </c>
    </row>
    <row r="3686" spans="1:7" ht="19.5" customHeight="1" x14ac:dyDescent="0.35">
      <c r="A3686" s="41">
        <v>46173</v>
      </c>
      <c r="B3686" s="8" t="s">
        <v>24</v>
      </c>
      <c r="C3686" s="42" t="s">
        <v>33</v>
      </c>
      <c r="D3686" s="43" t="s">
        <v>30</v>
      </c>
      <c r="E3686" s="46">
        <v>0</v>
      </c>
      <c r="F3686" s="2"/>
      <c r="G3686" s="15" t="s">
        <v>24</v>
      </c>
    </row>
    <row r="3687" spans="1:7" ht="19.5" customHeight="1" x14ac:dyDescent="0.35">
      <c r="A3687" s="41">
        <v>46174</v>
      </c>
      <c r="B3687" s="8" t="s">
        <v>32</v>
      </c>
      <c r="C3687" s="42" t="s">
        <v>11</v>
      </c>
      <c r="D3687" s="43" t="s">
        <v>30</v>
      </c>
      <c r="E3687" s="46">
        <v>2124864.73</v>
      </c>
      <c r="F3687" s="2"/>
      <c r="G3687" s="15" t="s">
        <v>32</v>
      </c>
    </row>
    <row r="3688" spans="1:7" ht="19.5" customHeight="1" x14ac:dyDescent="0.35">
      <c r="A3688" s="41">
        <v>46174</v>
      </c>
      <c r="B3688" s="8" t="s">
        <v>32</v>
      </c>
      <c r="C3688" s="42" t="s">
        <v>33</v>
      </c>
      <c r="D3688" s="43" t="s">
        <v>30</v>
      </c>
      <c r="E3688" s="46">
        <v>8107.73</v>
      </c>
      <c r="F3688" s="2"/>
      <c r="G3688" s="15" t="s">
        <v>32</v>
      </c>
    </row>
    <row r="3689" spans="1:7" ht="19.5" customHeight="1" x14ac:dyDescent="0.35">
      <c r="A3689" s="41">
        <v>46174</v>
      </c>
      <c r="B3689" s="8" t="s">
        <v>32</v>
      </c>
      <c r="C3689" s="42" t="s">
        <v>11</v>
      </c>
      <c r="D3689" s="43" t="s">
        <v>29</v>
      </c>
      <c r="E3689" s="46">
        <v>6659834369</v>
      </c>
      <c r="F3689" s="2"/>
      <c r="G3689" s="15" t="s">
        <v>32</v>
      </c>
    </row>
    <row r="3690" spans="1:7" ht="19.5" customHeight="1" x14ac:dyDescent="0.35">
      <c r="A3690" s="41">
        <v>46174</v>
      </c>
      <c r="B3690" s="8" t="s">
        <v>32</v>
      </c>
      <c r="C3690" s="42" t="s">
        <v>33</v>
      </c>
      <c r="D3690" s="43" t="s">
        <v>29</v>
      </c>
      <c r="E3690" s="46">
        <v>26018953</v>
      </c>
      <c r="F3690" s="2"/>
      <c r="G3690" s="15" t="s">
        <v>32</v>
      </c>
    </row>
    <row r="3691" spans="1:7" ht="19.5" customHeight="1" x14ac:dyDescent="0.35">
      <c r="A3691" s="41">
        <v>46174</v>
      </c>
      <c r="B3691" s="8" t="s">
        <v>24</v>
      </c>
      <c r="C3691" s="42" t="s">
        <v>11</v>
      </c>
      <c r="D3691" s="43" t="s">
        <v>30</v>
      </c>
      <c r="E3691" s="46">
        <v>0</v>
      </c>
      <c r="F3691" s="2"/>
      <c r="G3691" s="15" t="s">
        <v>24</v>
      </c>
    </row>
    <row r="3692" spans="1:7" ht="19.5" customHeight="1" x14ac:dyDescent="0.35">
      <c r="A3692" s="41">
        <v>46174</v>
      </c>
      <c r="B3692" s="8" t="s">
        <v>24</v>
      </c>
      <c r="C3692" s="42" t="s">
        <v>33</v>
      </c>
      <c r="D3692" s="43" t="s">
        <v>30</v>
      </c>
      <c r="E3692" s="46">
        <v>0</v>
      </c>
      <c r="F3692" s="2"/>
      <c r="G3692" s="15" t="s">
        <v>24</v>
      </c>
    </row>
    <row r="3693" spans="1:7" ht="19.5" customHeight="1" x14ac:dyDescent="0.35">
      <c r="A3693" s="41">
        <v>46175</v>
      </c>
      <c r="B3693" s="8" t="s">
        <v>32</v>
      </c>
      <c r="C3693" s="42" t="s">
        <v>11</v>
      </c>
      <c r="D3693" s="43" t="s">
        <v>30</v>
      </c>
      <c r="E3693" s="46">
        <v>1897452.98</v>
      </c>
      <c r="F3693" s="2"/>
      <c r="G3693" s="15" t="s">
        <v>32</v>
      </c>
    </row>
    <row r="3694" spans="1:7" ht="19.5" customHeight="1" x14ac:dyDescent="0.35">
      <c r="A3694" s="41">
        <v>46175</v>
      </c>
      <c r="B3694" s="8" t="s">
        <v>32</v>
      </c>
      <c r="C3694" s="42" t="s">
        <v>33</v>
      </c>
      <c r="D3694" s="43" t="s">
        <v>30</v>
      </c>
      <c r="E3694" s="46">
        <v>10082.24</v>
      </c>
      <c r="F3694" s="2"/>
      <c r="G3694" s="15" t="s">
        <v>32</v>
      </c>
    </row>
    <row r="3695" spans="1:7" ht="19.5" customHeight="1" x14ac:dyDescent="0.35">
      <c r="A3695" s="41">
        <v>46175</v>
      </c>
      <c r="B3695" s="8" t="s">
        <v>32</v>
      </c>
      <c r="C3695" s="42" t="s">
        <v>11</v>
      </c>
      <c r="D3695" s="43" t="s">
        <v>29</v>
      </c>
      <c r="E3695" s="46">
        <v>6101527724</v>
      </c>
      <c r="F3695" s="2"/>
      <c r="G3695" s="15" t="s">
        <v>32</v>
      </c>
    </row>
    <row r="3696" spans="1:7" ht="19.5" customHeight="1" x14ac:dyDescent="0.35">
      <c r="A3696" s="41">
        <v>46175</v>
      </c>
      <c r="B3696" s="8" t="s">
        <v>32</v>
      </c>
      <c r="C3696" s="42" t="s">
        <v>33</v>
      </c>
      <c r="D3696" s="43" t="s">
        <v>29</v>
      </c>
      <c r="E3696" s="46">
        <v>32185640</v>
      </c>
      <c r="F3696" s="2"/>
      <c r="G3696" s="15" t="s">
        <v>32</v>
      </c>
    </row>
    <row r="3697" spans="1:7" ht="19.5" customHeight="1" x14ac:dyDescent="0.35">
      <c r="A3697" s="41">
        <v>46175</v>
      </c>
      <c r="B3697" s="8" t="s">
        <v>24</v>
      </c>
      <c r="C3697" s="42" t="s">
        <v>11</v>
      </c>
      <c r="D3697" s="43" t="s">
        <v>30</v>
      </c>
      <c r="E3697" s="46">
        <v>9203.2999999999993</v>
      </c>
      <c r="F3697" s="2"/>
      <c r="G3697" s="15" t="s">
        <v>24</v>
      </c>
    </row>
    <row r="3698" spans="1:7" ht="19.5" customHeight="1" x14ac:dyDescent="0.35">
      <c r="A3698" s="41">
        <v>46175</v>
      </c>
      <c r="B3698" s="8" t="s">
        <v>24</v>
      </c>
      <c r="C3698" s="42" t="s">
        <v>33</v>
      </c>
      <c r="D3698" s="43" t="s">
        <v>30</v>
      </c>
      <c r="E3698" s="46">
        <v>0</v>
      </c>
      <c r="F3698" s="2"/>
      <c r="G3698" s="15" t="s">
        <v>24</v>
      </c>
    </row>
    <row r="3699" spans="1:7" ht="19.5" customHeight="1" x14ac:dyDescent="0.35">
      <c r="A3699" s="41">
        <v>46176</v>
      </c>
      <c r="B3699" s="8" t="s">
        <v>32</v>
      </c>
      <c r="C3699" s="42" t="s">
        <v>11</v>
      </c>
      <c r="D3699" s="43" t="s">
        <v>30</v>
      </c>
      <c r="E3699" s="46">
        <v>1512187.73</v>
      </c>
      <c r="F3699" s="2"/>
      <c r="G3699" s="15" t="s">
        <v>32</v>
      </c>
    </row>
    <row r="3700" spans="1:7" ht="19.5" customHeight="1" x14ac:dyDescent="0.35">
      <c r="A3700" s="41">
        <v>46176</v>
      </c>
      <c r="B3700" s="8" t="s">
        <v>32</v>
      </c>
      <c r="C3700" s="42" t="s">
        <v>33</v>
      </c>
      <c r="D3700" s="43" t="s">
        <v>30</v>
      </c>
      <c r="E3700" s="46">
        <v>9113.19</v>
      </c>
      <c r="F3700" s="2"/>
      <c r="G3700" s="15" t="s">
        <v>32</v>
      </c>
    </row>
    <row r="3701" spans="1:7" ht="19.5" customHeight="1" x14ac:dyDescent="0.35">
      <c r="A3701" s="41">
        <v>46176</v>
      </c>
      <c r="B3701" s="8" t="s">
        <v>32</v>
      </c>
      <c r="C3701" s="42" t="s">
        <v>11</v>
      </c>
      <c r="D3701" s="43" t="s">
        <v>29</v>
      </c>
      <c r="E3701" s="46">
        <v>5022825189</v>
      </c>
      <c r="F3701" s="2"/>
      <c r="G3701" s="15" t="s">
        <v>32</v>
      </c>
    </row>
    <row r="3702" spans="1:7" ht="19.5" customHeight="1" x14ac:dyDescent="0.35">
      <c r="A3702" s="41">
        <v>46176</v>
      </c>
      <c r="B3702" s="8" t="s">
        <v>32</v>
      </c>
      <c r="C3702" s="42" t="s">
        <v>33</v>
      </c>
      <c r="D3702" s="43" t="s">
        <v>29</v>
      </c>
      <c r="E3702" s="46">
        <v>29953337</v>
      </c>
      <c r="F3702" s="2"/>
      <c r="G3702" s="15" t="s">
        <v>32</v>
      </c>
    </row>
    <row r="3703" spans="1:7" ht="19.5" customHeight="1" x14ac:dyDescent="0.35">
      <c r="A3703" s="41">
        <v>46176</v>
      </c>
      <c r="B3703" s="8" t="s">
        <v>24</v>
      </c>
      <c r="C3703" s="42" t="s">
        <v>11</v>
      </c>
      <c r="D3703" s="43" t="s">
        <v>30</v>
      </c>
      <c r="E3703" s="46">
        <v>5783.05</v>
      </c>
      <c r="F3703" s="2"/>
      <c r="G3703" s="15" t="s">
        <v>24</v>
      </c>
    </row>
    <row r="3704" spans="1:7" ht="19.5" customHeight="1" x14ac:dyDescent="0.35">
      <c r="A3704" s="41">
        <v>46176</v>
      </c>
      <c r="B3704" s="8" t="s">
        <v>24</v>
      </c>
      <c r="C3704" s="42" t="s">
        <v>33</v>
      </c>
      <c r="D3704" s="43" t="s">
        <v>30</v>
      </c>
      <c r="E3704" s="46">
        <v>64.06</v>
      </c>
      <c r="F3704" s="2"/>
      <c r="G3704" s="15" t="s">
        <v>24</v>
      </c>
    </row>
    <row r="3705" spans="1:7" ht="19.5" customHeight="1" x14ac:dyDescent="0.35">
      <c r="A3705" s="41">
        <v>46177</v>
      </c>
      <c r="B3705" s="8" t="s">
        <v>32</v>
      </c>
      <c r="C3705" s="42" t="s">
        <v>11</v>
      </c>
      <c r="D3705" s="43" t="s">
        <v>30</v>
      </c>
      <c r="E3705" s="46">
        <v>1806358.1</v>
      </c>
      <c r="F3705" s="2"/>
      <c r="G3705" s="15" t="s">
        <v>32</v>
      </c>
    </row>
    <row r="3706" spans="1:7" ht="19.5" customHeight="1" x14ac:dyDescent="0.35">
      <c r="A3706" s="41">
        <v>46177</v>
      </c>
      <c r="B3706" s="8" t="s">
        <v>32</v>
      </c>
      <c r="C3706" s="42" t="s">
        <v>33</v>
      </c>
      <c r="D3706" s="43" t="s">
        <v>30</v>
      </c>
      <c r="E3706" s="46">
        <v>9817.58</v>
      </c>
      <c r="F3706" s="2"/>
      <c r="G3706" s="15" t="s">
        <v>32</v>
      </c>
    </row>
    <row r="3707" spans="1:7" ht="19.5" customHeight="1" x14ac:dyDescent="0.35">
      <c r="A3707" s="41">
        <v>46177</v>
      </c>
      <c r="B3707" s="8" t="s">
        <v>32</v>
      </c>
      <c r="C3707" s="42" t="s">
        <v>11</v>
      </c>
      <c r="D3707" s="43" t="s">
        <v>29</v>
      </c>
      <c r="E3707" s="46">
        <v>5793501569</v>
      </c>
      <c r="F3707" s="2"/>
      <c r="G3707" s="15" t="s">
        <v>32</v>
      </c>
    </row>
    <row r="3708" spans="1:7" ht="19.5" customHeight="1" x14ac:dyDescent="0.35">
      <c r="A3708" s="41">
        <v>46177</v>
      </c>
      <c r="B3708" s="8" t="s">
        <v>32</v>
      </c>
      <c r="C3708" s="42" t="s">
        <v>33</v>
      </c>
      <c r="D3708" s="43" t="s">
        <v>29</v>
      </c>
      <c r="E3708" s="46">
        <v>31563848</v>
      </c>
      <c r="F3708" s="2"/>
      <c r="G3708" s="15" t="s">
        <v>32</v>
      </c>
    </row>
    <row r="3709" spans="1:7" ht="19.5" customHeight="1" x14ac:dyDescent="0.35">
      <c r="A3709" s="41">
        <v>46177</v>
      </c>
      <c r="B3709" s="8" t="s">
        <v>24</v>
      </c>
      <c r="C3709" s="42" t="s">
        <v>11</v>
      </c>
      <c r="D3709" s="43" t="s">
        <v>30</v>
      </c>
      <c r="E3709" s="46">
        <v>17441.27</v>
      </c>
      <c r="F3709" s="2"/>
      <c r="G3709" s="15" t="s">
        <v>24</v>
      </c>
    </row>
    <row r="3710" spans="1:7" ht="19.5" customHeight="1" x14ac:dyDescent="0.35">
      <c r="A3710" s="41">
        <v>46177</v>
      </c>
      <c r="B3710" s="8" t="s">
        <v>24</v>
      </c>
      <c r="C3710" s="42" t="s">
        <v>33</v>
      </c>
      <c r="D3710" s="43" t="s">
        <v>30</v>
      </c>
      <c r="E3710" s="46">
        <v>47.05</v>
      </c>
      <c r="F3710" s="2"/>
      <c r="G3710" s="15" t="s">
        <v>24</v>
      </c>
    </row>
    <row r="3711" spans="1:7" ht="19.5" customHeight="1" x14ac:dyDescent="0.35">
      <c r="A3711" s="41">
        <v>46178</v>
      </c>
      <c r="B3711" s="8" t="s">
        <v>32</v>
      </c>
      <c r="C3711" s="42" t="s">
        <v>11</v>
      </c>
      <c r="D3711" s="43" t="s">
        <v>30</v>
      </c>
      <c r="E3711" s="46">
        <v>1728355.49</v>
      </c>
      <c r="F3711" s="2"/>
      <c r="G3711" s="15" t="s">
        <v>32</v>
      </c>
    </row>
    <row r="3712" spans="1:7" ht="19.5" customHeight="1" x14ac:dyDescent="0.35">
      <c r="A3712" s="41">
        <v>46178</v>
      </c>
      <c r="B3712" s="8" t="s">
        <v>32</v>
      </c>
      <c r="C3712" s="42" t="s">
        <v>33</v>
      </c>
      <c r="D3712" s="43" t="s">
        <v>30</v>
      </c>
      <c r="E3712" s="46">
        <v>9656.58</v>
      </c>
      <c r="F3712" s="2"/>
      <c r="G3712" s="15" t="s">
        <v>32</v>
      </c>
    </row>
    <row r="3713" spans="1:7" ht="19.5" customHeight="1" x14ac:dyDescent="0.35">
      <c r="A3713" s="41">
        <v>46178</v>
      </c>
      <c r="B3713" s="8" t="s">
        <v>32</v>
      </c>
      <c r="C3713" s="42" t="s">
        <v>11</v>
      </c>
      <c r="D3713" s="43" t="s">
        <v>29</v>
      </c>
      <c r="E3713" s="46">
        <v>5693069782</v>
      </c>
      <c r="F3713" s="2"/>
      <c r="G3713" s="15" t="s">
        <v>32</v>
      </c>
    </row>
    <row r="3714" spans="1:7" ht="19.5" customHeight="1" x14ac:dyDescent="0.35">
      <c r="A3714" s="41">
        <v>46178</v>
      </c>
      <c r="B3714" s="8" t="s">
        <v>32</v>
      </c>
      <c r="C3714" s="42" t="s">
        <v>33</v>
      </c>
      <c r="D3714" s="43" t="s">
        <v>29</v>
      </c>
      <c r="E3714" s="46">
        <v>31531603</v>
      </c>
      <c r="F3714" s="2"/>
      <c r="G3714" s="15" t="s">
        <v>32</v>
      </c>
    </row>
    <row r="3715" spans="1:7" ht="19.5" customHeight="1" x14ac:dyDescent="0.35">
      <c r="A3715" s="41">
        <v>46178</v>
      </c>
      <c r="B3715" s="8" t="s">
        <v>24</v>
      </c>
      <c r="C3715" s="42" t="s">
        <v>11</v>
      </c>
      <c r="D3715" s="43" t="s">
        <v>30</v>
      </c>
      <c r="E3715" s="46">
        <v>8842.69</v>
      </c>
      <c r="F3715" s="2"/>
      <c r="G3715" s="15" t="s">
        <v>24</v>
      </c>
    </row>
    <row r="3716" spans="1:7" ht="19.5" customHeight="1" x14ac:dyDescent="0.35">
      <c r="A3716" s="41">
        <v>46178</v>
      </c>
      <c r="B3716" s="8" t="s">
        <v>24</v>
      </c>
      <c r="C3716" s="42" t="s">
        <v>33</v>
      </c>
      <c r="D3716" s="43" t="s">
        <v>30</v>
      </c>
      <c r="E3716" s="46">
        <v>27.27</v>
      </c>
      <c r="F3716" s="2"/>
      <c r="G3716" s="15" t="s">
        <v>24</v>
      </c>
    </row>
    <row r="3717" spans="1:7" ht="19.5" customHeight="1" x14ac:dyDescent="0.35">
      <c r="A3717" s="41">
        <v>46179</v>
      </c>
      <c r="B3717" s="8" t="s">
        <v>32</v>
      </c>
      <c r="C3717" s="42" t="s">
        <v>11</v>
      </c>
      <c r="D3717" s="43" t="s">
        <v>30</v>
      </c>
      <c r="E3717" s="46">
        <v>1312644.54</v>
      </c>
      <c r="F3717" s="2"/>
      <c r="G3717" s="15" t="s">
        <v>32</v>
      </c>
    </row>
    <row r="3718" spans="1:7" ht="19.5" customHeight="1" x14ac:dyDescent="0.35">
      <c r="A3718" s="41">
        <v>46179</v>
      </c>
      <c r="B3718" s="8" t="s">
        <v>32</v>
      </c>
      <c r="C3718" s="42" t="s">
        <v>33</v>
      </c>
      <c r="D3718" s="43" t="s">
        <v>30</v>
      </c>
      <c r="E3718" s="46">
        <v>7040.11</v>
      </c>
      <c r="F3718" s="2"/>
      <c r="G3718" s="15" t="s">
        <v>32</v>
      </c>
    </row>
    <row r="3719" spans="1:7" ht="19.5" customHeight="1" x14ac:dyDescent="0.35">
      <c r="A3719" s="41">
        <v>46179</v>
      </c>
      <c r="B3719" s="8" t="s">
        <v>32</v>
      </c>
      <c r="C3719" s="42" t="s">
        <v>11</v>
      </c>
      <c r="D3719" s="43" t="s">
        <v>29</v>
      </c>
      <c r="E3719" s="46">
        <v>4163252462</v>
      </c>
      <c r="F3719" s="2"/>
      <c r="G3719" s="15" t="s">
        <v>32</v>
      </c>
    </row>
    <row r="3720" spans="1:7" ht="19.5" customHeight="1" x14ac:dyDescent="0.35">
      <c r="A3720" s="41">
        <v>46179</v>
      </c>
      <c r="B3720" s="8" t="s">
        <v>32</v>
      </c>
      <c r="C3720" s="42" t="s">
        <v>33</v>
      </c>
      <c r="D3720" s="43" t="s">
        <v>29</v>
      </c>
      <c r="E3720" s="46">
        <v>21799640</v>
      </c>
      <c r="F3720" s="2"/>
      <c r="G3720" s="15" t="s">
        <v>32</v>
      </c>
    </row>
    <row r="3721" spans="1:7" ht="19.5" customHeight="1" x14ac:dyDescent="0.35">
      <c r="A3721" s="41">
        <v>46179</v>
      </c>
      <c r="B3721" s="8" t="s">
        <v>24</v>
      </c>
      <c r="C3721" s="42" t="s">
        <v>11</v>
      </c>
      <c r="D3721" s="43" t="s">
        <v>30</v>
      </c>
      <c r="E3721" s="46">
        <v>18328.330000000002</v>
      </c>
      <c r="F3721" s="2"/>
      <c r="G3721" s="15" t="s">
        <v>24</v>
      </c>
    </row>
    <row r="3722" spans="1:7" ht="19.5" customHeight="1" x14ac:dyDescent="0.35">
      <c r="A3722" s="41">
        <v>46179</v>
      </c>
      <c r="B3722" s="8" t="s">
        <v>24</v>
      </c>
      <c r="C3722" s="42" t="s">
        <v>33</v>
      </c>
      <c r="D3722" s="43" t="s">
        <v>30</v>
      </c>
      <c r="E3722" s="46">
        <v>24.63</v>
      </c>
      <c r="F3722" s="2"/>
      <c r="G3722" s="15" t="s">
        <v>24</v>
      </c>
    </row>
    <row r="3723" spans="1:7" ht="19.5" customHeight="1" x14ac:dyDescent="0.35">
      <c r="A3723" s="41">
        <v>46180</v>
      </c>
      <c r="B3723" s="8" t="s">
        <v>32</v>
      </c>
      <c r="C3723" s="42" t="s">
        <v>11</v>
      </c>
      <c r="D3723" s="43" t="s">
        <v>30</v>
      </c>
      <c r="E3723" s="46">
        <v>1762533.83</v>
      </c>
      <c r="F3723" s="2"/>
      <c r="G3723" s="15" t="s">
        <v>32</v>
      </c>
    </row>
    <row r="3724" spans="1:7" ht="19.5" customHeight="1" x14ac:dyDescent="0.35">
      <c r="A3724" s="41">
        <v>46180</v>
      </c>
      <c r="B3724" s="8" t="s">
        <v>32</v>
      </c>
      <c r="C3724" s="42" t="s">
        <v>33</v>
      </c>
      <c r="D3724" s="43" t="s">
        <v>30</v>
      </c>
      <c r="E3724" s="46">
        <v>7204.63</v>
      </c>
      <c r="F3724" s="2"/>
      <c r="G3724" s="15" t="s">
        <v>32</v>
      </c>
    </row>
    <row r="3725" spans="1:7" ht="19.5" customHeight="1" x14ac:dyDescent="0.35">
      <c r="A3725" s="41">
        <v>46180</v>
      </c>
      <c r="B3725" s="8" t="s">
        <v>32</v>
      </c>
      <c r="C3725" s="42" t="s">
        <v>11</v>
      </c>
      <c r="D3725" s="43" t="s">
        <v>29</v>
      </c>
      <c r="E3725" s="46">
        <v>5453635324</v>
      </c>
      <c r="F3725" s="2"/>
      <c r="G3725" s="15" t="s">
        <v>32</v>
      </c>
    </row>
    <row r="3726" spans="1:7" ht="19.5" customHeight="1" x14ac:dyDescent="0.35">
      <c r="A3726" s="41">
        <v>46180</v>
      </c>
      <c r="B3726" s="8" t="s">
        <v>32</v>
      </c>
      <c r="C3726" s="42" t="s">
        <v>33</v>
      </c>
      <c r="D3726" s="43" t="s">
        <v>29</v>
      </c>
      <c r="E3726" s="46">
        <v>23021297</v>
      </c>
      <c r="F3726" s="2"/>
      <c r="G3726" s="15" t="s">
        <v>32</v>
      </c>
    </row>
    <row r="3727" spans="1:7" ht="19.5" customHeight="1" x14ac:dyDescent="0.35">
      <c r="A3727" s="41">
        <v>46180</v>
      </c>
      <c r="B3727" s="8" t="s">
        <v>24</v>
      </c>
      <c r="C3727" s="42" t="s">
        <v>11</v>
      </c>
      <c r="D3727" s="43" t="s">
        <v>30</v>
      </c>
      <c r="E3727" s="46">
        <v>50606.44</v>
      </c>
      <c r="F3727" s="2"/>
      <c r="G3727" s="15" t="s">
        <v>24</v>
      </c>
    </row>
    <row r="3728" spans="1:7" ht="19.5" customHeight="1" x14ac:dyDescent="0.35">
      <c r="A3728" s="41">
        <v>46180</v>
      </c>
      <c r="B3728" s="8" t="s">
        <v>24</v>
      </c>
      <c r="C3728" s="42" t="s">
        <v>33</v>
      </c>
      <c r="D3728" s="43" t="s">
        <v>30</v>
      </c>
      <c r="E3728" s="46">
        <v>27.11</v>
      </c>
      <c r="F3728" s="2"/>
      <c r="G3728" s="15" t="s">
        <v>24</v>
      </c>
    </row>
    <row r="3729" spans="1:7" ht="19.5" customHeight="1" x14ac:dyDescent="0.35">
      <c r="A3729" s="41">
        <v>46181</v>
      </c>
      <c r="B3729" s="8" t="s">
        <v>32</v>
      </c>
      <c r="C3729" s="42" t="s">
        <v>11</v>
      </c>
      <c r="D3729" s="43" t="s">
        <v>30</v>
      </c>
      <c r="E3729" s="46">
        <v>1816329.96</v>
      </c>
      <c r="F3729" s="2"/>
      <c r="G3729" s="15" t="s">
        <v>32</v>
      </c>
    </row>
    <row r="3730" spans="1:7" ht="19.5" customHeight="1" x14ac:dyDescent="0.35">
      <c r="A3730" s="41">
        <v>46181</v>
      </c>
      <c r="B3730" s="8" t="s">
        <v>32</v>
      </c>
      <c r="C3730" s="42" t="s">
        <v>33</v>
      </c>
      <c r="D3730" s="43" t="s">
        <v>30</v>
      </c>
      <c r="E3730" s="46">
        <v>8162.67</v>
      </c>
      <c r="F3730" s="2"/>
      <c r="G3730" s="15" t="s">
        <v>32</v>
      </c>
    </row>
    <row r="3731" spans="1:7" ht="19.5" customHeight="1" x14ac:dyDescent="0.35">
      <c r="A3731" s="41">
        <v>46181</v>
      </c>
      <c r="B3731" s="8" t="s">
        <v>32</v>
      </c>
      <c r="C3731" s="42" t="s">
        <v>11</v>
      </c>
      <c r="D3731" s="43" t="s">
        <v>29</v>
      </c>
      <c r="E3731" s="46">
        <v>5869966645</v>
      </c>
      <c r="F3731" s="2"/>
      <c r="G3731" s="15" t="s">
        <v>32</v>
      </c>
    </row>
    <row r="3732" spans="1:7" ht="19.5" customHeight="1" x14ac:dyDescent="0.35">
      <c r="A3732" s="41">
        <v>46181</v>
      </c>
      <c r="B3732" s="8" t="s">
        <v>32</v>
      </c>
      <c r="C3732" s="42" t="s">
        <v>33</v>
      </c>
      <c r="D3732" s="43" t="s">
        <v>29</v>
      </c>
      <c r="E3732" s="46">
        <v>26047092</v>
      </c>
      <c r="F3732" s="2"/>
      <c r="G3732" s="15" t="s">
        <v>32</v>
      </c>
    </row>
    <row r="3733" spans="1:7" ht="19.5" customHeight="1" x14ac:dyDescent="0.35">
      <c r="A3733" s="41">
        <v>46181</v>
      </c>
      <c r="B3733" s="8" t="s">
        <v>24</v>
      </c>
      <c r="C3733" s="42" t="s">
        <v>11</v>
      </c>
      <c r="D3733" s="43" t="s">
        <v>30</v>
      </c>
      <c r="E3733" s="46">
        <v>24374.38</v>
      </c>
      <c r="F3733" s="2"/>
      <c r="G3733" s="15" t="s">
        <v>24</v>
      </c>
    </row>
    <row r="3734" spans="1:7" ht="19.5" customHeight="1" x14ac:dyDescent="0.35">
      <c r="A3734" s="41">
        <v>46181</v>
      </c>
      <c r="B3734" s="8" t="s">
        <v>24</v>
      </c>
      <c r="C3734" s="42" t="s">
        <v>33</v>
      </c>
      <c r="D3734" s="43" t="s">
        <v>30</v>
      </c>
      <c r="E3734" s="46">
        <v>15.3</v>
      </c>
      <c r="F3734" s="2"/>
      <c r="G3734" s="15" t="s">
        <v>24</v>
      </c>
    </row>
    <row r="3735" spans="1:7" ht="19.5" customHeight="1" x14ac:dyDescent="0.35">
      <c r="A3735" s="41">
        <v>46182</v>
      </c>
      <c r="B3735" s="8" t="s">
        <v>32</v>
      </c>
      <c r="C3735" s="42" t="s">
        <v>11</v>
      </c>
      <c r="D3735" s="43" t="s">
        <v>30</v>
      </c>
      <c r="E3735" s="46">
        <v>1414552.65</v>
      </c>
      <c r="F3735" s="2"/>
      <c r="G3735" s="15" t="s">
        <v>32</v>
      </c>
    </row>
    <row r="3736" spans="1:7" ht="19.5" customHeight="1" x14ac:dyDescent="0.35">
      <c r="A3736" s="41">
        <v>46182</v>
      </c>
      <c r="B3736" s="8" t="s">
        <v>32</v>
      </c>
      <c r="C3736" s="42" t="s">
        <v>33</v>
      </c>
      <c r="D3736" s="43" t="s">
        <v>30</v>
      </c>
      <c r="E3736" s="46">
        <v>6552.16</v>
      </c>
      <c r="F3736" s="2"/>
      <c r="G3736" s="15" t="s">
        <v>32</v>
      </c>
    </row>
    <row r="3737" spans="1:7" ht="19.5" customHeight="1" x14ac:dyDescent="0.35">
      <c r="A3737" s="41">
        <v>46182</v>
      </c>
      <c r="B3737" s="8" t="s">
        <v>32</v>
      </c>
      <c r="C3737" s="42" t="s">
        <v>11</v>
      </c>
      <c r="D3737" s="43" t="s">
        <v>29</v>
      </c>
      <c r="E3737" s="46">
        <v>4547427289</v>
      </c>
      <c r="F3737" s="2"/>
      <c r="G3737" s="15" t="s">
        <v>32</v>
      </c>
    </row>
    <row r="3738" spans="1:7" ht="19.5" customHeight="1" x14ac:dyDescent="0.35">
      <c r="A3738" s="41">
        <v>46182</v>
      </c>
      <c r="B3738" s="8" t="s">
        <v>32</v>
      </c>
      <c r="C3738" s="42" t="s">
        <v>33</v>
      </c>
      <c r="D3738" s="43" t="s">
        <v>29</v>
      </c>
      <c r="E3738" s="46">
        <v>20417467</v>
      </c>
      <c r="F3738" s="2"/>
      <c r="G3738" s="15" t="s">
        <v>32</v>
      </c>
    </row>
    <row r="3739" spans="1:7" ht="19.5" customHeight="1" x14ac:dyDescent="0.35">
      <c r="A3739" s="41">
        <v>46182</v>
      </c>
      <c r="B3739" s="8" t="s">
        <v>24</v>
      </c>
      <c r="C3739" s="42" t="s">
        <v>11</v>
      </c>
      <c r="D3739" s="43" t="s">
        <v>30</v>
      </c>
      <c r="E3739" s="46">
        <v>123803.66</v>
      </c>
      <c r="F3739" s="2"/>
      <c r="G3739" s="15" t="s">
        <v>24</v>
      </c>
    </row>
    <row r="3740" spans="1:7" ht="19.5" customHeight="1" x14ac:dyDescent="0.35">
      <c r="A3740" s="41">
        <v>46182</v>
      </c>
      <c r="B3740" s="8" t="s">
        <v>24</v>
      </c>
      <c r="C3740" s="42" t="s">
        <v>33</v>
      </c>
      <c r="D3740" s="43" t="s">
        <v>30</v>
      </c>
      <c r="E3740" s="46">
        <v>58.46</v>
      </c>
      <c r="F3740" s="2"/>
      <c r="G3740" s="15" t="s">
        <v>24</v>
      </c>
    </row>
    <row r="3741" spans="1:7" ht="19.5" customHeight="1" x14ac:dyDescent="0.35">
      <c r="A3741" s="41">
        <v>46183</v>
      </c>
      <c r="B3741" s="8" t="s">
        <v>32</v>
      </c>
      <c r="C3741" s="42" t="s">
        <v>11</v>
      </c>
      <c r="D3741" s="43" t="s">
        <v>30</v>
      </c>
      <c r="E3741" s="46">
        <v>919932.69</v>
      </c>
      <c r="F3741" s="2"/>
      <c r="G3741" s="15" t="s">
        <v>32</v>
      </c>
    </row>
    <row r="3742" spans="1:7" ht="19.5" customHeight="1" x14ac:dyDescent="0.35">
      <c r="A3742" s="41">
        <v>46183</v>
      </c>
      <c r="B3742" s="8" t="s">
        <v>32</v>
      </c>
      <c r="C3742" s="42" t="s">
        <v>33</v>
      </c>
      <c r="D3742" s="43" t="s">
        <v>30</v>
      </c>
      <c r="E3742" s="46">
        <v>3993.38</v>
      </c>
      <c r="F3742" s="2"/>
      <c r="G3742" s="15" t="s">
        <v>32</v>
      </c>
    </row>
    <row r="3743" spans="1:7" ht="19.5" customHeight="1" x14ac:dyDescent="0.35">
      <c r="A3743" s="41">
        <v>46183</v>
      </c>
      <c r="B3743" s="8" t="s">
        <v>32</v>
      </c>
      <c r="C3743" s="42" t="s">
        <v>11</v>
      </c>
      <c r="D3743" s="43" t="s">
        <v>29</v>
      </c>
      <c r="E3743" s="46">
        <v>3182125792</v>
      </c>
      <c r="F3743" s="2"/>
      <c r="G3743" s="15" t="s">
        <v>32</v>
      </c>
    </row>
    <row r="3744" spans="1:7" ht="19.5" customHeight="1" x14ac:dyDescent="0.35">
      <c r="A3744" s="41">
        <v>46183</v>
      </c>
      <c r="B3744" s="8" t="s">
        <v>32</v>
      </c>
      <c r="C3744" s="42" t="s">
        <v>33</v>
      </c>
      <c r="D3744" s="43" t="s">
        <v>29</v>
      </c>
      <c r="E3744" s="46">
        <v>13523114</v>
      </c>
      <c r="F3744" s="2"/>
      <c r="G3744" s="15" t="s">
        <v>32</v>
      </c>
    </row>
    <row r="3745" spans="1:7" ht="19.5" customHeight="1" x14ac:dyDescent="0.35">
      <c r="A3745" s="41">
        <v>46183</v>
      </c>
      <c r="B3745" s="8" t="s">
        <v>24</v>
      </c>
      <c r="C3745" s="42" t="s">
        <v>11</v>
      </c>
      <c r="D3745" s="43" t="s">
        <v>30</v>
      </c>
      <c r="E3745" s="46">
        <v>5637.01</v>
      </c>
      <c r="F3745" s="2"/>
      <c r="G3745" s="15" t="s">
        <v>24</v>
      </c>
    </row>
    <row r="3746" spans="1:7" ht="19.5" customHeight="1" x14ac:dyDescent="0.35">
      <c r="A3746" s="41">
        <v>46183</v>
      </c>
      <c r="B3746" s="8" t="s">
        <v>24</v>
      </c>
      <c r="C3746" s="42" t="s">
        <v>33</v>
      </c>
      <c r="D3746" s="43" t="s">
        <v>30</v>
      </c>
      <c r="E3746" s="46">
        <v>60.74</v>
      </c>
      <c r="F3746" s="2"/>
      <c r="G3746" s="15" t="s">
        <v>24</v>
      </c>
    </row>
    <row r="3747" spans="1:7" ht="19.5" customHeight="1" x14ac:dyDescent="0.35">
      <c r="A3747" s="41">
        <v>46184</v>
      </c>
      <c r="B3747" s="8" t="s">
        <v>32</v>
      </c>
      <c r="C3747" s="42" t="s">
        <v>11</v>
      </c>
      <c r="D3747" s="43" t="s">
        <v>30</v>
      </c>
      <c r="E3747" s="46">
        <v>1197272.07</v>
      </c>
      <c r="F3747" s="2"/>
      <c r="G3747" s="15" t="s">
        <v>32</v>
      </c>
    </row>
    <row r="3748" spans="1:7" ht="19.5" customHeight="1" x14ac:dyDescent="0.35">
      <c r="A3748" s="41">
        <v>46184</v>
      </c>
      <c r="B3748" s="8" t="s">
        <v>32</v>
      </c>
      <c r="C3748" s="42" t="s">
        <v>33</v>
      </c>
      <c r="D3748" s="43" t="s">
        <v>30</v>
      </c>
      <c r="E3748" s="46">
        <v>5658.09</v>
      </c>
      <c r="F3748" s="2"/>
      <c r="G3748" s="15" t="s">
        <v>32</v>
      </c>
    </row>
    <row r="3749" spans="1:7" ht="19.5" customHeight="1" x14ac:dyDescent="0.35">
      <c r="A3749" s="41">
        <v>46184</v>
      </c>
      <c r="B3749" s="8" t="s">
        <v>32</v>
      </c>
      <c r="C3749" s="42" t="s">
        <v>11</v>
      </c>
      <c r="D3749" s="43" t="s">
        <v>29</v>
      </c>
      <c r="E3749" s="46">
        <v>3889418069</v>
      </c>
      <c r="F3749" s="2"/>
      <c r="G3749" s="15" t="s">
        <v>32</v>
      </c>
    </row>
    <row r="3750" spans="1:7" ht="19.5" customHeight="1" x14ac:dyDescent="0.35">
      <c r="A3750" s="41">
        <v>46184</v>
      </c>
      <c r="B3750" s="8" t="s">
        <v>32</v>
      </c>
      <c r="C3750" s="42" t="s">
        <v>33</v>
      </c>
      <c r="D3750" s="43" t="s">
        <v>29</v>
      </c>
      <c r="E3750" s="46">
        <v>18518912</v>
      </c>
      <c r="F3750" s="2"/>
      <c r="G3750" s="15" t="s">
        <v>32</v>
      </c>
    </row>
    <row r="3751" spans="1:7" ht="19.5" customHeight="1" x14ac:dyDescent="0.35">
      <c r="A3751" s="41">
        <v>46184</v>
      </c>
      <c r="B3751" s="8" t="s">
        <v>24</v>
      </c>
      <c r="C3751" s="42" t="s">
        <v>11</v>
      </c>
      <c r="D3751" s="43" t="s">
        <v>30</v>
      </c>
      <c r="E3751" s="46">
        <v>1738.53</v>
      </c>
      <c r="F3751" s="2"/>
      <c r="G3751" s="15" t="s">
        <v>24</v>
      </c>
    </row>
    <row r="3752" spans="1:7" ht="19.5" customHeight="1" x14ac:dyDescent="0.35">
      <c r="A3752" s="41">
        <v>46184</v>
      </c>
      <c r="B3752" s="8" t="s">
        <v>24</v>
      </c>
      <c r="C3752" s="42" t="s">
        <v>33</v>
      </c>
      <c r="D3752" s="43" t="s">
        <v>30</v>
      </c>
      <c r="E3752" s="46">
        <v>43.67</v>
      </c>
      <c r="F3752" s="2"/>
      <c r="G3752" s="15" t="s">
        <v>24</v>
      </c>
    </row>
    <row r="3753" spans="1:7" ht="19.5" customHeight="1" x14ac:dyDescent="0.35">
      <c r="A3753" s="41">
        <v>46185</v>
      </c>
      <c r="B3753" s="8" t="s">
        <v>32</v>
      </c>
      <c r="C3753" s="42" t="s">
        <v>11</v>
      </c>
      <c r="D3753" s="43" t="s">
        <v>30</v>
      </c>
      <c r="E3753" s="46">
        <v>1058827.96</v>
      </c>
      <c r="F3753" s="2"/>
      <c r="G3753" s="15" t="s">
        <v>32</v>
      </c>
    </row>
    <row r="3754" spans="1:7" ht="19.5" customHeight="1" x14ac:dyDescent="0.35">
      <c r="A3754" s="41">
        <v>46185</v>
      </c>
      <c r="B3754" s="8" t="s">
        <v>32</v>
      </c>
      <c r="C3754" s="42" t="s">
        <v>33</v>
      </c>
      <c r="D3754" s="43" t="s">
        <v>30</v>
      </c>
      <c r="E3754" s="46">
        <v>4532.91</v>
      </c>
      <c r="F3754" s="2"/>
      <c r="G3754" s="15" t="s">
        <v>32</v>
      </c>
    </row>
    <row r="3755" spans="1:7" ht="19.5" customHeight="1" x14ac:dyDescent="0.35">
      <c r="A3755" s="41">
        <v>46185</v>
      </c>
      <c r="B3755" s="8" t="s">
        <v>32</v>
      </c>
      <c r="C3755" s="42" t="s">
        <v>11</v>
      </c>
      <c r="D3755" s="43" t="s">
        <v>29</v>
      </c>
      <c r="E3755" s="46">
        <v>3527591355</v>
      </c>
      <c r="F3755" s="2"/>
      <c r="G3755" s="15" t="s">
        <v>32</v>
      </c>
    </row>
    <row r="3756" spans="1:7" ht="19.5" customHeight="1" x14ac:dyDescent="0.35">
      <c r="A3756" s="41">
        <v>46185</v>
      </c>
      <c r="B3756" s="8" t="s">
        <v>32</v>
      </c>
      <c r="C3756" s="42" t="s">
        <v>33</v>
      </c>
      <c r="D3756" s="43" t="s">
        <v>29</v>
      </c>
      <c r="E3756" s="46">
        <v>15249720</v>
      </c>
      <c r="F3756" s="2"/>
      <c r="G3756" s="15" t="s">
        <v>32</v>
      </c>
    </row>
    <row r="3757" spans="1:7" ht="19.5" customHeight="1" x14ac:dyDescent="0.35">
      <c r="A3757" s="41">
        <v>46185</v>
      </c>
      <c r="B3757" s="8" t="s">
        <v>24</v>
      </c>
      <c r="C3757" s="42" t="s">
        <v>11</v>
      </c>
      <c r="D3757" s="43" t="s">
        <v>30</v>
      </c>
      <c r="E3757" s="46">
        <v>8246.1</v>
      </c>
      <c r="F3757" s="2"/>
      <c r="G3757" s="15" t="s">
        <v>24</v>
      </c>
    </row>
    <row r="3758" spans="1:7" ht="19.5" customHeight="1" x14ac:dyDescent="0.35">
      <c r="A3758" s="41">
        <v>46185</v>
      </c>
      <c r="B3758" s="8" t="s">
        <v>24</v>
      </c>
      <c r="C3758" s="42" t="s">
        <v>33</v>
      </c>
      <c r="D3758" s="43" t="s">
        <v>30</v>
      </c>
      <c r="E3758" s="46">
        <v>74.63</v>
      </c>
      <c r="F3758" s="2"/>
      <c r="G3758" s="15" t="s">
        <v>24</v>
      </c>
    </row>
    <row r="3759" spans="1:7" ht="19.5" customHeight="1" x14ac:dyDescent="0.35">
      <c r="A3759" s="41">
        <v>46186</v>
      </c>
      <c r="B3759" s="8" t="s">
        <v>32</v>
      </c>
      <c r="C3759" s="42" t="s">
        <v>11</v>
      </c>
      <c r="D3759" s="43" t="s">
        <v>30</v>
      </c>
      <c r="E3759" s="46">
        <v>904414.39</v>
      </c>
      <c r="F3759" s="2"/>
      <c r="G3759" s="15" t="s">
        <v>32</v>
      </c>
    </row>
    <row r="3760" spans="1:7" ht="19.5" customHeight="1" x14ac:dyDescent="0.35">
      <c r="A3760" s="41">
        <v>46186</v>
      </c>
      <c r="B3760" s="8" t="s">
        <v>32</v>
      </c>
      <c r="C3760" s="42" t="s">
        <v>33</v>
      </c>
      <c r="D3760" s="43" t="s">
        <v>30</v>
      </c>
      <c r="E3760" s="46">
        <v>4203.71</v>
      </c>
      <c r="F3760" s="2"/>
      <c r="G3760" s="15" t="s">
        <v>32</v>
      </c>
    </row>
    <row r="3761" spans="1:7" ht="19.5" customHeight="1" x14ac:dyDescent="0.35">
      <c r="A3761" s="41">
        <v>46186</v>
      </c>
      <c r="B3761" s="8" t="s">
        <v>32</v>
      </c>
      <c r="C3761" s="42" t="s">
        <v>11</v>
      </c>
      <c r="D3761" s="43" t="s">
        <v>29</v>
      </c>
      <c r="E3761" s="46">
        <v>3086310273</v>
      </c>
      <c r="F3761" s="2"/>
      <c r="G3761" s="15" t="s">
        <v>32</v>
      </c>
    </row>
    <row r="3762" spans="1:7" ht="19.5" customHeight="1" x14ac:dyDescent="0.35">
      <c r="A3762" s="41">
        <v>46186</v>
      </c>
      <c r="B3762" s="8" t="s">
        <v>32</v>
      </c>
      <c r="C3762" s="42" t="s">
        <v>33</v>
      </c>
      <c r="D3762" s="43" t="s">
        <v>29</v>
      </c>
      <c r="E3762" s="46">
        <v>14755807</v>
      </c>
      <c r="F3762" s="2"/>
      <c r="G3762" s="15" t="s">
        <v>32</v>
      </c>
    </row>
    <row r="3763" spans="1:7" ht="19.5" customHeight="1" x14ac:dyDescent="0.35">
      <c r="A3763" s="41">
        <v>46186</v>
      </c>
      <c r="B3763" s="8" t="s">
        <v>24</v>
      </c>
      <c r="C3763" s="42" t="s">
        <v>11</v>
      </c>
      <c r="D3763" s="43" t="s">
        <v>30</v>
      </c>
      <c r="E3763" s="46">
        <v>5725.16</v>
      </c>
      <c r="F3763" s="2"/>
      <c r="G3763" s="15" t="s">
        <v>24</v>
      </c>
    </row>
    <row r="3764" spans="1:7" ht="19.5" customHeight="1" x14ac:dyDescent="0.35">
      <c r="A3764" s="41">
        <v>46186</v>
      </c>
      <c r="B3764" s="8" t="s">
        <v>24</v>
      </c>
      <c r="C3764" s="42" t="s">
        <v>33</v>
      </c>
      <c r="D3764" s="43" t="s">
        <v>30</v>
      </c>
      <c r="E3764" s="46">
        <v>67.91</v>
      </c>
      <c r="F3764" s="2"/>
      <c r="G3764" s="15" t="s">
        <v>24</v>
      </c>
    </row>
    <row r="3765" spans="1:7" ht="19.5" customHeight="1" x14ac:dyDescent="0.35">
      <c r="A3765" s="41">
        <v>46187</v>
      </c>
      <c r="B3765" s="8" t="s">
        <v>32</v>
      </c>
      <c r="C3765" s="42" t="s">
        <v>11</v>
      </c>
      <c r="D3765" s="43" t="s">
        <v>30</v>
      </c>
      <c r="E3765" s="46">
        <v>1044683.66</v>
      </c>
      <c r="F3765" s="2"/>
      <c r="G3765" s="15" t="s">
        <v>32</v>
      </c>
    </row>
    <row r="3766" spans="1:7" ht="19.5" customHeight="1" x14ac:dyDescent="0.35">
      <c r="A3766" s="41">
        <v>46187</v>
      </c>
      <c r="B3766" s="8" t="s">
        <v>32</v>
      </c>
      <c r="C3766" s="42" t="s">
        <v>33</v>
      </c>
      <c r="D3766" s="43" t="s">
        <v>30</v>
      </c>
      <c r="E3766" s="46">
        <v>3831.58</v>
      </c>
      <c r="F3766" s="2"/>
      <c r="G3766" s="15" t="s">
        <v>32</v>
      </c>
    </row>
    <row r="3767" spans="1:7" ht="19.5" customHeight="1" x14ac:dyDescent="0.35">
      <c r="A3767" s="41">
        <v>46187</v>
      </c>
      <c r="B3767" s="8" t="s">
        <v>32</v>
      </c>
      <c r="C3767" s="42" t="s">
        <v>11</v>
      </c>
      <c r="D3767" s="43" t="s">
        <v>29</v>
      </c>
      <c r="E3767" s="46">
        <v>3443135948</v>
      </c>
      <c r="F3767" s="2"/>
      <c r="G3767" s="15" t="s">
        <v>32</v>
      </c>
    </row>
    <row r="3768" spans="1:7" ht="19.5" customHeight="1" x14ac:dyDescent="0.35">
      <c r="A3768" s="41">
        <v>46187</v>
      </c>
      <c r="B3768" s="8" t="s">
        <v>32</v>
      </c>
      <c r="C3768" s="42" t="s">
        <v>33</v>
      </c>
      <c r="D3768" s="43" t="s">
        <v>29</v>
      </c>
      <c r="E3768" s="46">
        <v>12725456</v>
      </c>
      <c r="F3768" s="2"/>
      <c r="G3768" s="15" t="s">
        <v>32</v>
      </c>
    </row>
    <row r="3769" spans="1:7" ht="19.5" customHeight="1" x14ac:dyDescent="0.35">
      <c r="A3769" s="41">
        <v>46187</v>
      </c>
      <c r="B3769" s="8" t="s">
        <v>24</v>
      </c>
      <c r="C3769" s="42" t="s">
        <v>11</v>
      </c>
      <c r="D3769" s="43" t="s">
        <v>30</v>
      </c>
      <c r="E3769" s="46">
        <v>22000.22</v>
      </c>
      <c r="F3769" s="2"/>
      <c r="G3769" s="15" t="s">
        <v>24</v>
      </c>
    </row>
    <row r="3770" spans="1:7" ht="19.5" customHeight="1" x14ac:dyDescent="0.35">
      <c r="A3770" s="41">
        <v>46187</v>
      </c>
      <c r="B3770" s="8" t="s">
        <v>24</v>
      </c>
      <c r="C3770" s="42" t="s">
        <v>33</v>
      </c>
      <c r="D3770" s="43" t="s">
        <v>30</v>
      </c>
      <c r="E3770" s="46">
        <v>52.74</v>
      </c>
      <c r="F3770" s="2"/>
      <c r="G3770" s="15" t="s">
        <v>24</v>
      </c>
    </row>
    <row r="3771" spans="1:7" ht="19.5" customHeight="1" x14ac:dyDescent="0.35">
      <c r="A3771" s="41">
        <v>46188</v>
      </c>
      <c r="B3771" s="8" t="s">
        <v>32</v>
      </c>
      <c r="C3771" s="42" t="s">
        <v>11</v>
      </c>
      <c r="D3771" s="43" t="s">
        <v>30</v>
      </c>
      <c r="E3771" s="46">
        <v>1476179.42</v>
      </c>
      <c r="F3771" s="2"/>
      <c r="G3771" s="15" t="s">
        <v>32</v>
      </c>
    </row>
    <row r="3772" spans="1:7" ht="19.5" customHeight="1" x14ac:dyDescent="0.35">
      <c r="A3772" s="41">
        <v>46188</v>
      </c>
      <c r="B3772" s="8" t="s">
        <v>32</v>
      </c>
      <c r="C3772" s="42" t="s">
        <v>33</v>
      </c>
      <c r="D3772" s="43" t="s">
        <v>30</v>
      </c>
      <c r="E3772" s="46">
        <v>7498.31</v>
      </c>
      <c r="F3772" s="2"/>
      <c r="G3772" s="15" t="s">
        <v>32</v>
      </c>
    </row>
    <row r="3773" spans="1:7" ht="19.5" customHeight="1" x14ac:dyDescent="0.35">
      <c r="A3773" s="41">
        <v>46188</v>
      </c>
      <c r="B3773" s="8" t="s">
        <v>32</v>
      </c>
      <c r="C3773" s="42" t="s">
        <v>11</v>
      </c>
      <c r="D3773" s="43" t="s">
        <v>29</v>
      </c>
      <c r="E3773" s="46">
        <v>4968652786</v>
      </c>
      <c r="F3773" s="2"/>
      <c r="G3773" s="15" t="s">
        <v>32</v>
      </c>
    </row>
    <row r="3774" spans="1:7" ht="19.5" customHeight="1" x14ac:dyDescent="0.35">
      <c r="A3774" s="41">
        <v>46188</v>
      </c>
      <c r="B3774" s="8" t="s">
        <v>32</v>
      </c>
      <c r="C3774" s="42" t="s">
        <v>33</v>
      </c>
      <c r="D3774" s="43" t="s">
        <v>29</v>
      </c>
      <c r="E3774" s="46">
        <v>25753943</v>
      </c>
      <c r="F3774" s="2"/>
      <c r="G3774" s="15" t="s">
        <v>32</v>
      </c>
    </row>
    <row r="3775" spans="1:7" ht="19.5" customHeight="1" x14ac:dyDescent="0.35">
      <c r="A3775" s="41">
        <v>46188</v>
      </c>
      <c r="B3775" s="8" t="s">
        <v>24</v>
      </c>
      <c r="C3775" s="42" t="s">
        <v>11</v>
      </c>
      <c r="D3775" s="43" t="s">
        <v>30</v>
      </c>
      <c r="E3775" s="46">
        <v>4211.05</v>
      </c>
      <c r="F3775" s="2"/>
      <c r="G3775" s="15" t="s">
        <v>24</v>
      </c>
    </row>
    <row r="3776" spans="1:7" ht="19.5" customHeight="1" x14ac:dyDescent="0.35">
      <c r="A3776" s="41">
        <v>46188</v>
      </c>
      <c r="B3776" s="8" t="s">
        <v>24</v>
      </c>
      <c r="C3776" s="42" t="s">
        <v>33</v>
      </c>
      <c r="D3776" s="43" t="s">
        <v>30</v>
      </c>
      <c r="E3776" s="46">
        <v>58.33</v>
      </c>
      <c r="F3776" s="2"/>
      <c r="G3776" s="15" t="s">
        <v>24</v>
      </c>
    </row>
    <row r="3777" spans="1:7" ht="19.5" customHeight="1" x14ac:dyDescent="0.35">
      <c r="A3777" s="41">
        <v>46189</v>
      </c>
      <c r="B3777" s="8" t="s">
        <v>32</v>
      </c>
      <c r="C3777" s="42" t="s">
        <v>11</v>
      </c>
      <c r="D3777" s="43" t="s">
        <v>30</v>
      </c>
      <c r="E3777" s="46">
        <v>1160007.6100000001</v>
      </c>
      <c r="F3777" s="2"/>
      <c r="G3777" s="15" t="s">
        <v>32</v>
      </c>
    </row>
    <row r="3778" spans="1:7" ht="19.5" customHeight="1" x14ac:dyDescent="0.35">
      <c r="A3778" s="41">
        <v>46189</v>
      </c>
      <c r="B3778" s="8" t="s">
        <v>32</v>
      </c>
      <c r="C3778" s="42" t="s">
        <v>33</v>
      </c>
      <c r="D3778" s="43" t="s">
        <v>30</v>
      </c>
      <c r="E3778" s="46">
        <v>5065.08</v>
      </c>
      <c r="F3778" s="2"/>
      <c r="G3778" s="15" t="s">
        <v>32</v>
      </c>
    </row>
    <row r="3779" spans="1:7" ht="19.5" customHeight="1" x14ac:dyDescent="0.35">
      <c r="A3779" s="41">
        <v>46189</v>
      </c>
      <c r="B3779" s="8" t="s">
        <v>32</v>
      </c>
      <c r="C3779" s="42" t="s">
        <v>11</v>
      </c>
      <c r="D3779" s="43" t="s">
        <v>29</v>
      </c>
      <c r="E3779" s="46">
        <v>3934691580</v>
      </c>
      <c r="F3779" s="2"/>
      <c r="G3779" s="15" t="s">
        <v>32</v>
      </c>
    </row>
    <row r="3780" spans="1:7" ht="19.5" customHeight="1" x14ac:dyDescent="0.35">
      <c r="A3780" s="41">
        <v>46189</v>
      </c>
      <c r="B3780" s="8" t="s">
        <v>32</v>
      </c>
      <c r="C3780" s="42" t="s">
        <v>33</v>
      </c>
      <c r="D3780" s="43" t="s">
        <v>29</v>
      </c>
      <c r="E3780" s="46">
        <v>17386281</v>
      </c>
      <c r="F3780" s="2"/>
      <c r="G3780" s="15" t="s">
        <v>32</v>
      </c>
    </row>
    <row r="3781" spans="1:7" ht="19.5" customHeight="1" x14ac:dyDescent="0.35">
      <c r="A3781" s="41">
        <v>46189</v>
      </c>
      <c r="B3781" s="8" t="s">
        <v>24</v>
      </c>
      <c r="C3781" s="42" t="s">
        <v>11</v>
      </c>
      <c r="D3781" s="43" t="s">
        <v>30</v>
      </c>
      <c r="E3781" s="46">
        <v>3522.48</v>
      </c>
      <c r="F3781" s="2"/>
      <c r="G3781" s="15" t="s">
        <v>24</v>
      </c>
    </row>
    <row r="3782" spans="1:7" ht="19.5" customHeight="1" x14ac:dyDescent="0.35">
      <c r="A3782" s="41">
        <v>46189</v>
      </c>
      <c r="B3782" s="8" t="s">
        <v>24</v>
      </c>
      <c r="C3782" s="42" t="s">
        <v>33</v>
      </c>
      <c r="D3782" s="43" t="s">
        <v>30</v>
      </c>
      <c r="E3782" s="46">
        <v>60.26</v>
      </c>
      <c r="F3782" s="2"/>
      <c r="G3782" s="15" t="s">
        <v>24</v>
      </c>
    </row>
    <row r="3783" spans="1:7" ht="19.5" customHeight="1" x14ac:dyDescent="0.35">
      <c r="A3783" s="41">
        <v>46190</v>
      </c>
      <c r="B3783" s="8" t="s">
        <v>32</v>
      </c>
      <c r="C3783" s="42" t="s">
        <v>11</v>
      </c>
      <c r="D3783" s="43" t="s">
        <v>30</v>
      </c>
      <c r="E3783" s="46">
        <v>1158193.3400000001</v>
      </c>
      <c r="F3783" s="2"/>
      <c r="G3783" s="15" t="s">
        <v>32</v>
      </c>
    </row>
    <row r="3784" spans="1:7" ht="19.5" customHeight="1" x14ac:dyDescent="0.35">
      <c r="A3784" s="41">
        <v>46190</v>
      </c>
      <c r="B3784" s="8" t="s">
        <v>32</v>
      </c>
      <c r="C3784" s="42" t="s">
        <v>33</v>
      </c>
      <c r="D3784" s="43" t="s">
        <v>30</v>
      </c>
      <c r="E3784" s="46">
        <v>5760.4</v>
      </c>
      <c r="F3784" s="2"/>
      <c r="G3784" s="15" t="s">
        <v>32</v>
      </c>
    </row>
    <row r="3785" spans="1:7" ht="19.5" customHeight="1" x14ac:dyDescent="0.35">
      <c r="A3785" s="41">
        <v>46190</v>
      </c>
      <c r="B3785" s="8" t="s">
        <v>32</v>
      </c>
      <c r="C3785" s="42" t="s">
        <v>11</v>
      </c>
      <c r="D3785" s="43" t="s">
        <v>29</v>
      </c>
      <c r="E3785" s="46">
        <v>3973393352</v>
      </c>
      <c r="F3785" s="2"/>
      <c r="G3785" s="15" t="s">
        <v>32</v>
      </c>
    </row>
    <row r="3786" spans="1:7" ht="19.5" customHeight="1" x14ac:dyDescent="0.35">
      <c r="A3786" s="41">
        <v>46190</v>
      </c>
      <c r="B3786" s="8" t="s">
        <v>32</v>
      </c>
      <c r="C3786" s="42" t="s">
        <v>33</v>
      </c>
      <c r="D3786" s="43" t="s">
        <v>29</v>
      </c>
      <c r="E3786" s="46">
        <v>19380179</v>
      </c>
      <c r="F3786" s="2"/>
      <c r="G3786" s="15" t="s">
        <v>32</v>
      </c>
    </row>
    <row r="3787" spans="1:7" ht="19.5" customHeight="1" x14ac:dyDescent="0.35">
      <c r="A3787" s="41">
        <v>46190</v>
      </c>
      <c r="B3787" s="8" t="s">
        <v>24</v>
      </c>
      <c r="C3787" s="42" t="s">
        <v>11</v>
      </c>
      <c r="D3787" s="43" t="s">
        <v>30</v>
      </c>
      <c r="E3787" s="46">
        <v>13215.7</v>
      </c>
      <c r="F3787" s="2"/>
      <c r="G3787" s="15" t="s">
        <v>24</v>
      </c>
    </row>
    <row r="3788" spans="1:7" ht="19.5" customHeight="1" x14ac:dyDescent="0.35">
      <c r="A3788" s="41">
        <v>46190</v>
      </c>
      <c r="B3788" s="8" t="s">
        <v>24</v>
      </c>
      <c r="C3788" s="42" t="s">
        <v>33</v>
      </c>
      <c r="D3788" s="43" t="s">
        <v>30</v>
      </c>
      <c r="E3788" s="46">
        <v>56.62</v>
      </c>
      <c r="F3788" s="2"/>
      <c r="G3788" s="15" t="s">
        <v>24</v>
      </c>
    </row>
    <row r="3789" spans="1:7" ht="19.5" customHeight="1" x14ac:dyDescent="0.35">
      <c r="A3789" s="41">
        <v>46191</v>
      </c>
      <c r="B3789" s="8" t="s">
        <v>32</v>
      </c>
      <c r="C3789" s="42" t="s">
        <v>11</v>
      </c>
      <c r="D3789" s="43" t="s">
        <v>30</v>
      </c>
      <c r="E3789" s="46">
        <v>932430.66</v>
      </c>
      <c r="F3789" s="2"/>
      <c r="G3789" s="15" t="s">
        <v>32</v>
      </c>
    </row>
    <row r="3790" spans="1:7" ht="19.5" customHeight="1" x14ac:dyDescent="0.35">
      <c r="A3790" s="41">
        <v>46191</v>
      </c>
      <c r="B3790" s="8" t="s">
        <v>32</v>
      </c>
      <c r="C3790" s="42" t="s">
        <v>33</v>
      </c>
      <c r="D3790" s="43" t="s">
        <v>30</v>
      </c>
      <c r="E3790" s="46">
        <v>4604.7</v>
      </c>
      <c r="F3790" s="2"/>
      <c r="G3790" s="15" t="s">
        <v>32</v>
      </c>
    </row>
    <row r="3791" spans="1:7" ht="19.5" customHeight="1" x14ac:dyDescent="0.35">
      <c r="A3791" s="41">
        <v>46191</v>
      </c>
      <c r="B3791" s="8" t="s">
        <v>32</v>
      </c>
      <c r="C3791" s="42" t="s">
        <v>11</v>
      </c>
      <c r="D3791" s="43" t="s">
        <v>29</v>
      </c>
      <c r="E3791" s="46">
        <v>3221523074</v>
      </c>
      <c r="F3791" s="2"/>
      <c r="G3791" s="15" t="s">
        <v>32</v>
      </c>
    </row>
    <row r="3792" spans="1:7" ht="19.5" customHeight="1" x14ac:dyDescent="0.35">
      <c r="A3792" s="41">
        <v>46191</v>
      </c>
      <c r="B3792" s="8" t="s">
        <v>32</v>
      </c>
      <c r="C3792" s="42" t="s">
        <v>33</v>
      </c>
      <c r="D3792" s="43" t="s">
        <v>29</v>
      </c>
      <c r="E3792" s="46">
        <v>15745967</v>
      </c>
      <c r="F3792" s="2"/>
      <c r="G3792" s="15" t="s">
        <v>32</v>
      </c>
    </row>
    <row r="3793" spans="1:7" ht="19.5" customHeight="1" x14ac:dyDescent="0.35">
      <c r="A3793" s="41">
        <v>46191</v>
      </c>
      <c r="B3793" s="8" t="s">
        <v>24</v>
      </c>
      <c r="C3793" s="42" t="s">
        <v>11</v>
      </c>
      <c r="D3793" s="43" t="s">
        <v>30</v>
      </c>
      <c r="E3793" s="46">
        <v>14303.79</v>
      </c>
      <c r="F3793" s="2"/>
      <c r="G3793" s="15" t="s">
        <v>24</v>
      </c>
    </row>
    <row r="3794" spans="1:7" ht="19.5" customHeight="1" x14ac:dyDescent="0.35">
      <c r="A3794" s="41">
        <v>46191</v>
      </c>
      <c r="B3794" s="8" t="s">
        <v>24</v>
      </c>
      <c r="C3794" s="42" t="s">
        <v>33</v>
      </c>
      <c r="D3794" s="43" t="s">
        <v>30</v>
      </c>
      <c r="E3794" s="46">
        <v>61.47</v>
      </c>
      <c r="F3794" s="2"/>
      <c r="G3794" s="15" t="s">
        <v>24</v>
      </c>
    </row>
    <row r="3795" spans="1:7" ht="19.5" customHeight="1" x14ac:dyDescent="0.35">
      <c r="A3795" s="41">
        <v>46192</v>
      </c>
      <c r="B3795" s="8" t="s">
        <v>32</v>
      </c>
      <c r="C3795" s="42" t="s">
        <v>11</v>
      </c>
      <c r="D3795" s="43" t="s">
        <v>30</v>
      </c>
      <c r="E3795" s="46">
        <v>856058.22</v>
      </c>
      <c r="F3795" s="2"/>
      <c r="G3795" s="15" t="s">
        <v>32</v>
      </c>
    </row>
    <row r="3796" spans="1:7" ht="19.5" customHeight="1" x14ac:dyDescent="0.35">
      <c r="A3796" s="41">
        <v>46192</v>
      </c>
      <c r="B3796" s="8" t="s">
        <v>32</v>
      </c>
      <c r="C3796" s="42" t="s">
        <v>33</v>
      </c>
      <c r="D3796" s="43" t="s">
        <v>30</v>
      </c>
      <c r="E3796" s="46">
        <v>3831.41</v>
      </c>
      <c r="F3796" s="2"/>
      <c r="G3796" s="15" t="s">
        <v>32</v>
      </c>
    </row>
    <row r="3797" spans="1:7" ht="19.5" customHeight="1" x14ac:dyDescent="0.35">
      <c r="A3797" s="41">
        <v>46192</v>
      </c>
      <c r="B3797" s="8" t="s">
        <v>32</v>
      </c>
      <c r="C3797" s="42" t="s">
        <v>11</v>
      </c>
      <c r="D3797" s="43" t="s">
        <v>29</v>
      </c>
      <c r="E3797" s="46">
        <v>3040133210</v>
      </c>
      <c r="F3797" s="2"/>
      <c r="G3797" s="15" t="s">
        <v>32</v>
      </c>
    </row>
    <row r="3798" spans="1:7" ht="19.5" customHeight="1" x14ac:dyDescent="0.35">
      <c r="A3798" s="41">
        <v>46192</v>
      </c>
      <c r="B3798" s="8" t="s">
        <v>32</v>
      </c>
      <c r="C3798" s="42" t="s">
        <v>33</v>
      </c>
      <c r="D3798" s="43" t="s">
        <v>29</v>
      </c>
      <c r="E3798" s="46">
        <v>13136419</v>
      </c>
      <c r="F3798" s="2"/>
      <c r="G3798" s="15" t="s">
        <v>32</v>
      </c>
    </row>
    <row r="3799" spans="1:7" ht="19.5" customHeight="1" x14ac:dyDescent="0.35">
      <c r="A3799" s="41">
        <v>46192</v>
      </c>
      <c r="B3799" s="8" t="s">
        <v>24</v>
      </c>
      <c r="C3799" s="42" t="s">
        <v>11</v>
      </c>
      <c r="D3799" s="43" t="s">
        <v>30</v>
      </c>
      <c r="E3799" s="46">
        <v>10161.780000000001</v>
      </c>
      <c r="F3799" s="2"/>
      <c r="G3799" s="15" t="s">
        <v>24</v>
      </c>
    </row>
    <row r="3800" spans="1:7" ht="19.5" customHeight="1" x14ac:dyDescent="0.35">
      <c r="A3800" s="41">
        <v>46192</v>
      </c>
      <c r="B3800" s="8" t="s">
        <v>24</v>
      </c>
      <c r="C3800" s="42" t="s">
        <v>33</v>
      </c>
      <c r="D3800" s="43" t="s">
        <v>30</v>
      </c>
      <c r="E3800" s="46">
        <v>199.81</v>
      </c>
      <c r="F3800" s="2"/>
      <c r="G3800" s="15" t="s">
        <v>24</v>
      </c>
    </row>
    <row r="3801" spans="1:7" ht="19.5" customHeight="1" x14ac:dyDescent="0.35">
      <c r="A3801" s="41">
        <v>46193</v>
      </c>
      <c r="B3801" s="8" t="s">
        <v>32</v>
      </c>
      <c r="C3801" s="42" t="s">
        <v>11</v>
      </c>
      <c r="D3801" s="43" t="s">
        <v>30</v>
      </c>
      <c r="E3801" s="46">
        <v>820808.12</v>
      </c>
      <c r="F3801" s="2"/>
      <c r="G3801" s="15" t="s">
        <v>32</v>
      </c>
    </row>
    <row r="3802" spans="1:7" ht="19.5" customHeight="1" x14ac:dyDescent="0.35">
      <c r="A3802" s="41">
        <v>46193</v>
      </c>
      <c r="B3802" s="8" t="s">
        <v>32</v>
      </c>
      <c r="C3802" s="42" t="s">
        <v>33</v>
      </c>
      <c r="D3802" s="43" t="s">
        <v>30</v>
      </c>
      <c r="E3802" s="46">
        <v>3667.83</v>
      </c>
      <c r="F3802" s="2"/>
      <c r="G3802" s="15" t="s">
        <v>32</v>
      </c>
    </row>
    <row r="3803" spans="1:7" ht="19.5" customHeight="1" x14ac:dyDescent="0.35">
      <c r="A3803" s="41">
        <v>46193</v>
      </c>
      <c r="B3803" s="8" t="s">
        <v>32</v>
      </c>
      <c r="C3803" s="42" t="s">
        <v>11</v>
      </c>
      <c r="D3803" s="43" t="s">
        <v>29</v>
      </c>
      <c r="E3803" s="46">
        <v>2943365132</v>
      </c>
      <c r="F3803" s="2"/>
      <c r="G3803" s="15" t="s">
        <v>32</v>
      </c>
    </row>
    <row r="3804" spans="1:7" ht="19.5" customHeight="1" x14ac:dyDescent="0.35">
      <c r="A3804" s="41">
        <v>46193</v>
      </c>
      <c r="B3804" s="8" t="s">
        <v>32</v>
      </c>
      <c r="C3804" s="42" t="s">
        <v>33</v>
      </c>
      <c r="D3804" s="43" t="s">
        <v>29</v>
      </c>
      <c r="E3804" s="46">
        <v>12663207</v>
      </c>
      <c r="F3804" s="2"/>
      <c r="G3804" s="15" t="s">
        <v>32</v>
      </c>
    </row>
    <row r="3805" spans="1:7" ht="19.5" customHeight="1" x14ac:dyDescent="0.35">
      <c r="A3805" s="41">
        <v>46193</v>
      </c>
      <c r="B3805" s="8" t="s">
        <v>24</v>
      </c>
      <c r="C3805" s="42" t="s">
        <v>11</v>
      </c>
      <c r="D3805" s="43" t="s">
        <v>30</v>
      </c>
      <c r="E3805" s="46">
        <v>1772.57</v>
      </c>
      <c r="F3805" s="2"/>
      <c r="G3805" s="15" t="s">
        <v>24</v>
      </c>
    </row>
    <row r="3806" spans="1:7" ht="19.5" customHeight="1" x14ac:dyDescent="0.35">
      <c r="A3806" s="41">
        <v>46193</v>
      </c>
      <c r="B3806" s="8" t="s">
        <v>24</v>
      </c>
      <c r="C3806" s="42" t="s">
        <v>33</v>
      </c>
      <c r="D3806" s="43" t="s">
        <v>30</v>
      </c>
      <c r="E3806" s="46">
        <v>114.73</v>
      </c>
      <c r="F3806" s="2"/>
      <c r="G3806" s="15" t="s">
        <v>24</v>
      </c>
    </row>
    <row r="3807" spans="1:7" ht="19.5" customHeight="1" x14ac:dyDescent="0.35">
      <c r="A3807" s="41">
        <v>46194</v>
      </c>
      <c r="B3807" s="8" t="s">
        <v>32</v>
      </c>
      <c r="C3807" s="42" t="s">
        <v>11</v>
      </c>
      <c r="D3807" s="43" t="s">
        <v>30</v>
      </c>
      <c r="E3807" s="46">
        <v>743994.99</v>
      </c>
      <c r="F3807" s="2"/>
      <c r="G3807" s="15" t="s">
        <v>32</v>
      </c>
    </row>
    <row r="3808" spans="1:7" ht="19.5" customHeight="1" x14ac:dyDescent="0.35">
      <c r="A3808" s="41">
        <v>46194</v>
      </c>
      <c r="B3808" s="8" t="s">
        <v>32</v>
      </c>
      <c r="C3808" s="42" t="s">
        <v>33</v>
      </c>
      <c r="D3808" s="43" t="s">
        <v>30</v>
      </c>
      <c r="E3808" s="46">
        <v>3282.79</v>
      </c>
      <c r="F3808" s="2"/>
      <c r="G3808" s="15" t="s">
        <v>32</v>
      </c>
    </row>
    <row r="3809" spans="1:7" ht="19.5" customHeight="1" x14ac:dyDescent="0.35">
      <c r="A3809" s="41">
        <v>46194</v>
      </c>
      <c r="B3809" s="8" t="s">
        <v>32</v>
      </c>
      <c r="C3809" s="42" t="s">
        <v>11</v>
      </c>
      <c r="D3809" s="43" t="s">
        <v>29</v>
      </c>
      <c r="E3809" s="46">
        <v>2585319226</v>
      </c>
      <c r="F3809" s="2"/>
      <c r="G3809" s="15" t="s">
        <v>32</v>
      </c>
    </row>
    <row r="3810" spans="1:7" ht="19.5" customHeight="1" x14ac:dyDescent="0.35">
      <c r="A3810" s="41">
        <v>46194</v>
      </c>
      <c r="B3810" s="8" t="s">
        <v>32</v>
      </c>
      <c r="C3810" s="42" t="s">
        <v>33</v>
      </c>
      <c r="D3810" s="43" t="s">
        <v>29</v>
      </c>
      <c r="E3810" s="46">
        <v>11413400</v>
      </c>
      <c r="F3810" s="2"/>
      <c r="G3810" s="15" t="s">
        <v>32</v>
      </c>
    </row>
    <row r="3811" spans="1:7" ht="19.5" customHeight="1" x14ac:dyDescent="0.35">
      <c r="A3811" s="41">
        <v>46194</v>
      </c>
      <c r="B3811" s="8" t="s">
        <v>24</v>
      </c>
      <c r="C3811" s="42" t="s">
        <v>11</v>
      </c>
      <c r="D3811" s="43" t="s">
        <v>30</v>
      </c>
      <c r="E3811" s="46">
        <v>741.53</v>
      </c>
      <c r="F3811" s="2"/>
      <c r="G3811" s="15" t="s">
        <v>24</v>
      </c>
    </row>
    <row r="3812" spans="1:7" ht="19.5" customHeight="1" x14ac:dyDescent="0.35">
      <c r="A3812" s="41">
        <v>46194</v>
      </c>
      <c r="B3812" s="8" t="s">
        <v>24</v>
      </c>
      <c r="C3812" s="42" t="s">
        <v>33</v>
      </c>
      <c r="D3812" s="43" t="s">
        <v>30</v>
      </c>
      <c r="E3812" s="46">
        <v>113.73</v>
      </c>
      <c r="F3812" s="2"/>
      <c r="G3812" s="15" t="s">
        <v>24</v>
      </c>
    </row>
    <row r="3813" spans="1:7" ht="19.5" customHeight="1" x14ac:dyDescent="0.35">
      <c r="A3813" s="41">
        <v>46195</v>
      </c>
      <c r="B3813" s="8" t="s">
        <v>32</v>
      </c>
      <c r="C3813" s="42" t="s">
        <v>11</v>
      </c>
      <c r="D3813" s="43" t="s">
        <v>30</v>
      </c>
      <c r="E3813" s="46">
        <v>1044325.47</v>
      </c>
      <c r="F3813" s="2"/>
      <c r="G3813" s="15" t="s">
        <v>32</v>
      </c>
    </row>
    <row r="3814" spans="1:7" ht="19.5" customHeight="1" x14ac:dyDescent="0.35">
      <c r="A3814" s="41">
        <v>46195</v>
      </c>
      <c r="B3814" s="8" t="s">
        <v>32</v>
      </c>
      <c r="C3814" s="42" t="s">
        <v>33</v>
      </c>
      <c r="D3814" s="43" t="s">
        <v>30</v>
      </c>
      <c r="E3814" s="46">
        <v>4709.4799999999996</v>
      </c>
      <c r="F3814" s="2"/>
      <c r="G3814" s="15" t="s">
        <v>32</v>
      </c>
    </row>
    <row r="3815" spans="1:7" ht="19.5" customHeight="1" x14ac:dyDescent="0.35">
      <c r="A3815" s="41">
        <v>46195</v>
      </c>
      <c r="B3815" s="8" t="s">
        <v>32</v>
      </c>
      <c r="C3815" s="42" t="s">
        <v>11</v>
      </c>
      <c r="D3815" s="43" t="s">
        <v>29</v>
      </c>
      <c r="E3815" s="46">
        <v>3524852632</v>
      </c>
      <c r="F3815" s="2"/>
      <c r="G3815" s="15" t="s">
        <v>32</v>
      </c>
    </row>
    <row r="3816" spans="1:7" ht="19.5" customHeight="1" x14ac:dyDescent="0.35">
      <c r="A3816" s="41">
        <v>46195</v>
      </c>
      <c r="B3816" s="8" t="s">
        <v>32</v>
      </c>
      <c r="C3816" s="42" t="s">
        <v>33</v>
      </c>
      <c r="D3816" s="43" t="s">
        <v>29</v>
      </c>
      <c r="E3816" s="46">
        <v>15702581</v>
      </c>
      <c r="F3816" s="2"/>
      <c r="G3816" s="15" t="s">
        <v>32</v>
      </c>
    </row>
    <row r="3817" spans="1:7" ht="19.5" customHeight="1" x14ac:dyDescent="0.35">
      <c r="A3817" s="41">
        <v>46195</v>
      </c>
      <c r="B3817" s="8" t="s">
        <v>24</v>
      </c>
      <c r="C3817" s="42" t="s">
        <v>11</v>
      </c>
      <c r="D3817" s="43" t="s">
        <v>30</v>
      </c>
      <c r="E3817" s="46">
        <v>12145.74</v>
      </c>
      <c r="F3817" s="2"/>
      <c r="G3817" s="15" t="s">
        <v>24</v>
      </c>
    </row>
    <row r="3818" spans="1:7" ht="19.5" customHeight="1" x14ac:dyDescent="0.35">
      <c r="A3818" s="41">
        <v>46195</v>
      </c>
      <c r="B3818" s="8" t="s">
        <v>24</v>
      </c>
      <c r="C3818" s="42" t="s">
        <v>33</v>
      </c>
      <c r="D3818" s="43" t="s">
        <v>30</v>
      </c>
      <c r="E3818" s="46">
        <v>178.7</v>
      </c>
      <c r="F3818" s="2"/>
      <c r="G3818" s="15" t="s">
        <v>24</v>
      </c>
    </row>
    <row r="3819" spans="1:7" ht="19.5" customHeight="1" x14ac:dyDescent="0.35">
      <c r="A3819" s="41">
        <v>46196</v>
      </c>
      <c r="B3819" s="8" t="s">
        <v>32</v>
      </c>
      <c r="C3819" s="42" t="s">
        <v>11</v>
      </c>
      <c r="D3819" s="43" t="s">
        <v>30</v>
      </c>
      <c r="E3819" s="46">
        <v>906867.6</v>
      </c>
      <c r="F3819" s="2"/>
      <c r="G3819" s="15" t="s">
        <v>32</v>
      </c>
    </row>
    <row r="3820" spans="1:7" ht="19.5" customHeight="1" x14ac:dyDescent="0.35">
      <c r="A3820" s="41">
        <v>46196</v>
      </c>
      <c r="B3820" s="8" t="s">
        <v>32</v>
      </c>
      <c r="C3820" s="42" t="s">
        <v>33</v>
      </c>
      <c r="D3820" s="43" t="s">
        <v>30</v>
      </c>
      <c r="E3820" s="46">
        <v>4014.35</v>
      </c>
      <c r="F3820" s="2"/>
      <c r="G3820" s="15" t="s">
        <v>32</v>
      </c>
    </row>
    <row r="3821" spans="1:7" ht="19.5" customHeight="1" x14ac:dyDescent="0.35">
      <c r="A3821" s="41">
        <v>46196</v>
      </c>
      <c r="B3821" s="8" t="s">
        <v>32</v>
      </c>
      <c r="C3821" s="42" t="s">
        <v>11</v>
      </c>
      <c r="D3821" s="43" t="s">
        <v>29</v>
      </c>
      <c r="E3821" s="46">
        <v>3020596385</v>
      </c>
      <c r="F3821" s="2"/>
      <c r="G3821" s="15" t="s">
        <v>32</v>
      </c>
    </row>
    <row r="3822" spans="1:7" ht="19.5" customHeight="1" x14ac:dyDescent="0.35">
      <c r="A3822" s="41">
        <v>46196</v>
      </c>
      <c r="B3822" s="8" t="s">
        <v>32</v>
      </c>
      <c r="C3822" s="42" t="s">
        <v>33</v>
      </c>
      <c r="D3822" s="43" t="s">
        <v>29</v>
      </c>
      <c r="E3822" s="46">
        <v>13142754</v>
      </c>
      <c r="F3822" s="2"/>
      <c r="G3822" s="15" t="s">
        <v>32</v>
      </c>
    </row>
    <row r="3823" spans="1:7" ht="19.5" customHeight="1" x14ac:dyDescent="0.35">
      <c r="A3823" s="41">
        <v>46196</v>
      </c>
      <c r="B3823" s="8" t="s">
        <v>24</v>
      </c>
      <c r="C3823" s="42" t="s">
        <v>11</v>
      </c>
      <c r="D3823" s="43" t="s">
        <v>30</v>
      </c>
      <c r="E3823" s="46">
        <v>4233.2700000000004</v>
      </c>
      <c r="F3823" s="2"/>
      <c r="G3823" s="15" t="s">
        <v>24</v>
      </c>
    </row>
    <row r="3824" spans="1:7" ht="19.5" customHeight="1" x14ac:dyDescent="0.35">
      <c r="A3824" s="41">
        <v>46196</v>
      </c>
      <c r="B3824" s="8" t="s">
        <v>24</v>
      </c>
      <c r="C3824" s="42" t="s">
        <v>33</v>
      </c>
      <c r="D3824" s="43" t="s">
        <v>30</v>
      </c>
      <c r="E3824" s="46">
        <v>138.02000000000001</v>
      </c>
      <c r="F3824" s="2"/>
      <c r="G3824" s="15" t="s">
        <v>24</v>
      </c>
    </row>
    <row r="3825" spans="1:7" ht="19.5" customHeight="1" x14ac:dyDescent="0.35">
      <c r="A3825" s="41">
        <v>46197</v>
      </c>
      <c r="B3825" s="8" t="s">
        <v>32</v>
      </c>
      <c r="C3825" s="42" t="s">
        <v>11</v>
      </c>
      <c r="D3825" s="43" t="s">
        <v>30</v>
      </c>
      <c r="E3825" s="46">
        <v>984448.49</v>
      </c>
      <c r="F3825" s="2"/>
      <c r="G3825" s="15" t="s">
        <v>32</v>
      </c>
    </row>
    <row r="3826" spans="1:7" ht="19.5" customHeight="1" x14ac:dyDescent="0.35">
      <c r="A3826" s="41">
        <v>46197</v>
      </c>
      <c r="B3826" s="8" t="s">
        <v>32</v>
      </c>
      <c r="C3826" s="42" t="s">
        <v>33</v>
      </c>
      <c r="D3826" s="43" t="s">
        <v>30</v>
      </c>
      <c r="E3826" s="46">
        <v>4852.09</v>
      </c>
      <c r="F3826" s="2"/>
      <c r="G3826" s="15" t="s">
        <v>32</v>
      </c>
    </row>
    <row r="3827" spans="1:7" ht="19.5" customHeight="1" x14ac:dyDescent="0.35">
      <c r="A3827" s="41">
        <v>46197</v>
      </c>
      <c r="B3827" s="8" t="s">
        <v>32</v>
      </c>
      <c r="C3827" s="42" t="s">
        <v>11</v>
      </c>
      <c r="D3827" s="43" t="s">
        <v>29</v>
      </c>
      <c r="E3827" s="46">
        <v>3382375847</v>
      </c>
      <c r="F3827" s="2"/>
      <c r="G3827" s="15" t="s">
        <v>32</v>
      </c>
    </row>
    <row r="3828" spans="1:7" ht="19.5" customHeight="1" x14ac:dyDescent="0.35">
      <c r="A3828" s="41">
        <v>46197</v>
      </c>
      <c r="B3828" s="8" t="s">
        <v>32</v>
      </c>
      <c r="C3828" s="42" t="s">
        <v>33</v>
      </c>
      <c r="D3828" s="43" t="s">
        <v>29</v>
      </c>
      <c r="E3828" s="46">
        <v>15771533</v>
      </c>
      <c r="F3828" s="2"/>
      <c r="G3828" s="15" t="s">
        <v>32</v>
      </c>
    </row>
    <row r="3829" spans="1:7" ht="19.5" customHeight="1" x14ac:dyDescent="0.35">
      <c r="A3829" s="41">
        <v>46197</v>
      </c>
      <c r="B3829" s="8" t="s">
        <v>24</v>
      </c>
      <c r="C3829" s="42" t="s">
        <v>11</v>
      </c>
      <c r="D3829" s="43" t="s">
        <v>30</v>
      </c>
      <c r="E3829" s="46">
        <v>1941.33</v>
      </c>
      <c r="F3829" s="2"/>
      <c r="G3829" s="15" t="s">
        <v>24</v>
      </c>
    </row>
    <row r="3830" spans="1:7" ht="19.5" customHeight="1" x14ac:dyDescent="0.35">
      <c r="A3830" s="41">
        <v>46197</v>
      </c>
      <c r="B3830" s="8" t="s">
        <v>24</v>
      </c>
      <c r="C3830" s="42" t="s">
        <v>33</v>
      </c>
      <c r="D3830" s="43" t="s">
        <v>30</v>
      </c>
      <c r="E3830" s="46">
        <v>207.65</v>
      </c>
      <c r="F3830" s="2"/>
      <c r="G3830" s="15" t="s">
        <v>24</v>
      </c>
    </row>
    <row r="3831" spans="1:7" ht="19.5" customHeight="1" x14ac:dyDescent="0.35">
      <c r="A3831" s="41">
        <v>46198</v>
      </c>
      <c r="B3831" s="8" t="s">
        <v>32</v>
      </c>
      <c r="C3831" s="42" t="s">
        <v>11</v>
      </c>
      <c r="D3831" s="43" t="s">
        <v>30</v>
      </c>
      <c r="E3831" s="46">
        <v>894766.11</v>
      </c>
      <c r="F3831" s="2"/>
      <c r="G3831" s="15" t="s">
        <v>32</v>
      </c>
    </row>
    <row r="3832" spans="1:7" ht="19.5" customHeight="1" x14ac:dyDescent="0.35">
      <c r="A3832" s="41">
        <v>46198</v>
      </c>
      <c r="B3832" s="8" t="s">
        <v>32</v>
      </c>
      <c r="C3832" s="42" t="s">
        <v>33</v>
      </c>
      <c r="D3832" s="43" t="s">
        <v>30</v>
      </c>
      <c r="E3832" s="46">
        <v>5169.8500000000004</v>
      </c>
      <c r="F3832" s="2"/>
      <c r="G3832" s="15" t="s">
        <v>32</v>
      </c>
    </row>
    <row r="3833" spans="1:7" ht="19.5" customHeight="1" x14ac:dyDescent="0.35">
      <c r="A3833" s="41">
        <v>46198</v>
      </c>
      <c r="B3833" s="8" t="s">
        <v>32</v>
      </c>
      <c r="C3833" s="42" t="s">
        <v>11</v>
      </c>
      <c r="D3833" s="43" t="s">
        <v>29</v>
      </c>
      <c r="E3833" s="46">
        <v>3137808252</v>
      </c>
      <c r="F3833" s="2"/>
      <c r="G3833" s="15" t="s">
        <v>32</v>
      </c>
    </row>
    <row r="3834" spans="1:7" ht="19.5" customHeight="1" x14ac:dyDescent="0.35">
      <c r="A3834" s="41">
        <v>46198</v>
      </c>
      <c r="B3834" s="8" t="s">
        <v>32</v>
      </c>
      <c r="C3834" s="42" t="s">
        <v>33</v>
      </c>
      <c r="D3834" s="43" t="s">
        <v>29</v>
      </c>
      <c r="E3834" s="46">
        <v>16626354</v>
      </c>
      <c r="F3834" s="2"/>
      <c r="G3834" s="15" t="s">
        <v>32</v>
      </c>
    </row>
    <row r="3835" spans="1:7" ht="19.5" customHeight="1" x14ac:dyDescent="0.35">
      <c r="A3835" s="41">
        <v>46198</v>
      </c>
      <c r="B3835" s="8" t="s">
        <v>24</v>
      </c>
      <c r="C3835" s="42" t="s">
        <v>11</v>
      </c>
      <c r="D3835" s="43" t="s">
        <v>30</v>
      </c>
      <c r="E3835" s="46">
        <v>6201.3</v>
      </c>
      <c r="F3835" s="2"/>
      <c r="G3835" s="15" t="s">
        <v>24</v>
      </c>
    </row>
    <row r="3836" spans="1:7" ht="19.5" customHeight="1" x14ac:dyDescent="0.35">
      <c r="A3836" s="41">
        <v>46198</v>
      </c>
      <c r="B3836" s="8" t="s">
        <v>24</v>
      </c>
      <c r="C3836" s="42" t="s">
        <v>33</v>
      </c>
      <c r="D3836" s="43" t="s">
        <v>30</v>
      </c>
      <c r="E3836" s="46">
        <v>256.54000000000002</v>
      </c>
      <c r="F3836" s="2"/>
      <c r="G3836" s="15" t="s">
        <v>24</v>
      </c>
    </row>
    <row r="3837" spans="1:7" ht="19.5" customHeight="1" x14ac:dyDescent="0.35">
      <c r="A3837" s="41">
        <v>46199</v>
      </c>
      <c r="B3837" s="8" t="s">
        <v>32</v>
      </c>
      <c r="C3837" s="42" t="s">
        <v>11</v>
      </c>
      <c r="D3837" s="43" t="s">
        <v>30</v>
      </c>
      <c r="E3837" s="46">
        <v>925330.34</v>
      </c>
      <c r="F3837" s="2"/>
      <c r="G3837" s="15" t="s">
        <v>32</v>
      </c>
    </row>
    <row r="3838" spans="1:7" ht="19.5" customHeight="1" x14ac:dyDescent="0.35">
      <c r="A3838" s="41">
        <v>46199</v>
      </c>
      <c r="B3838" s="8" t="s">
        <v>32</v>
      </c>
      <c r="C3838" s="42" t="s">
        <v>33</v>
      </c>
      <c r="D3838" s="43" t="s">
        <v>30</v>
      </c>
      <c r="E3838" s="46">
        <v>4420.62</v>
      </c>
      <c r="F3838" s="2"/>
      <c r="G3838" s="15" t="s">
        <v>32</v>
      </c>
    </row>
    <row r="3839" spans="1:7" ht="19.5" customHeight="1" x14ac:dyDescent="0.35">
      <c r="A3839" s="41">
        <v>46199</v>
      </c>
      <c r="B3839" s="8" t="s">
        <v>32</v>
      </c>
      <c r="C3839" s="42" t="s">
        <v>11</v>
      </c>
      <c r="D3839" s="43" t="s">
        <v>29</v>
      </c>
      <c r="E3839" s="46">
        <v>3280714126</v>
      </c>
      <c r="F3839" s="2"/>
      <c r="G3839" s="15" t="s">
        <v>32</v>
      </c>
    </row>
    <row r="3840" spans="1:7" ht="19.5" customHeight="1" x14ac:dyDescent="0.35">
      <c r="A3840" s="41">
        <v>46199</v>
      </c>
      <c r="B3840" s="8" t="s">
        <v>32</v>
      </c>
      <c r="C3840" s="42" t="s">
        <v>33</v>
      </c>
      <c r="D3840" s="43" t="s">
        <v>29</v>
      </c>
      <c r="E3840" s="46">
        <v>15195038</v>
      </c>
      <c r="F3840" s="2"/>
      <c r="G3840" s="15" t="s">
        <v>32</v>
      </c>
    </row>
    <row r="3841" spans="1:7" ht="19.5" customHeight="1" x14ac:dyDescent="0.35">
      <c r="A3841" s="41">
        <v>46199</v>
      </c>
      <c r="B3841" s="8" t="s">
        <v>24</v>
      </c>
      <c r="C3841" s="42" t="s">
        <v>11</v>
      </c>
      <c r="D3841" s="43" t="s">
        <v>30</v>
      </c>
      <c r="E3841" s="46">
        <v>6518.44</v>
      </c>
      <c r="F3841" s="2"/>
      <c r="G3841" s="15" t="s">
        <v>24</v>
      </c>
    </row>
    <row r="3842" spans="1:7" ht="19.5" customHeight="1" x14ac:dyDescent="0.35">
      <c r="A3842" s="41">
        <v>46199</v>
      </c>
      <c r="B3842" s="8" t="s">
        <v>24</v>
      </c>
      <c r="C3842" s="42" t="s">
        <v>33</v>
      </c>
      <c r="D3842" s="43" t="s">
        <v>30</v>
      </c>
      <c r="E3842" s="46">
        <v>190.8</v>
      </c>
      <c r="F3842" s="2"/>
      <c r="G3842" s="15" t="s">
        <v>24</v>
      </c>
    </row>
    <row r="3843" spans="1:7" ht="19.5" customHeight="1" x14ac:dyDescent="0.35">
      <c r="A3843" s="41">
        <v>46200</v>
      </c>
      <c r="B3843" s="8" t="s">
        <v>32</v>
      </c>
      <c r="C3843" s="42" t="s">
        <v>11</v>
      </c>
      <c r="D3843" s="43" t="s">
        <v>30</v>
      </c>
      <c r="E3843" s="46">
        <v>779801.88</v>
      </c>
      <c r="F3843" s="2"/>
      <c r="G3843" s="15" t="s">
        <v>32</v>
      </c>
    </row>
    <row r="3844" spans="1:7" ht="19.5" customHeight="1" x14ac:dyDescent="0.35">
      <c r="A3844" s="41">
        <v>46200</v>
      </c>
      <c r="B3844" s="8" t="s">
        <v>32</v>
      </c>
      <c r="C3844" s="42" t="s">
        <v>33</v>
      </c>
      <c r="D3844" s="43" t="s">
        <v>30</v>
      </c>
      <c r="E3844" s="46">
        <v>3187.25</v>
      </c>
      <c r="F3844" s="2"/>
      <c r="G3844" s="15" t="s">
        <v>32</v>
      </c>
    </row>
    <row r="3845" spans="1:7" ht="19.5" customHeight="1" x14ac:dyDescent="0.35">
      <c r="A3845" s="41">
        <v>46200</v>
      </c>
      <c r="B3845" s="8" t="s">
        <v>32</v>
      </c>
      <c r="C3845" s="42" t="s">
        <v>11</v>
      </c>
      <c r="D3845" s="43" t="s">
        <v>29</v>
      </c>
      <c r="E3845" s="46">
        <v>2779952229</v>
      </c>
      <c r="F3845" s="2"/>
      <c r="G3845" s="15" t="s">
        <v>32</v>
      </c>
    </row>
    <row r="3846" spans="1:7" ht="19.5" customHeight="1" x14ac:dyDescent="0.35">
      <c r="A3846" s="41">
        <v>46200</v>
      </c>
      <c r="B3846" s="8" t="s">
        <v>32</v>
      </c>
      <c r="C3846" s="42" t="s">
        <v>33</v>
      </c>
      <c r="D3846" s="43" t="s">
        <v>29</v>
      </c>
      <c r="E3846" s="46">
        <v>11094184</v>
      </c>
      <c r="F3846" s="2"/>
      <c r="G3846" s="15" t="s">
        <v>32</v>
      </c>
    </row>
    <row r="3847" spans="1:7" ht="19.5" customHeight="1" x14ac:dyDescent="0.35">
      <c r="A3847" s="41">
        <v>46200</v>
      </c>
      <c r="B3847" s="8" t="s">
        <v>24</v>
      </c>
      <c r="C3847" s="42" t="s">
        <v>11</v>
      </c>
      <c r="D3847" s="43" t="s">
        <v>30</v>
      </c>
      <c r="E3847" s="46">
        <v>18847.7</v>
      </c>
      <c r="F3847" s="2"/>
      <c r="G3847" s="15" t="s">
        <v>24</v>
      </c>
    </row>
    <row r="3848" spans="1:7" ht="19.5" customHeight="1" x14ac:dyDescent="0.35">
      <c r="A3848" s="41">
        <v>46200</v>
      </c>
      <c r="B3848" s="8" t="s">
        <v>24</v>
      </c>
      <c r="C3848" s="42" t="s">
        <v>33</v>
      </c>
      <c r="D3848" s="43" t="s">
        <v>30</v>
      </c>
      <c r="E3848" s="46">
        <v>97.36</v>
      </c>
      <c r="F3848" s="2"/>
      <c r="G3848" s="15" t="s">
        <v>24</v>
      </c>
    </row>
    <row r="3849" spans="1:7" ht="19.5" customHeight="1" x14ac:dyDescent="0.35">
      <c r="A3849" s="41">
        <v>46201</v>
      </c>
      <c r="B3849" s="8" t="s">
        <v>32</v>
      </c>
      <c r="C3849" s="42" t="s">
        <v>11</v>
      </c>
      <c r="D3849" s="43" t="s">
        <v>30</v>
      </c>
      <c r="E3849" s="46">
        <v>786085.35</v>
      </c>
      <c r="F3849" s="2"/>
      <c r="G3849" s="15" t="s">
        <v>32</v>
      </c>
    </row>
    <row r="3850" spans="1:7" ht="19.5" customHeight="1" x14ac:dyDescent="0.35">
      <c r="A3850" s="41">
        <v>46201</v>
      </c>
      <c r="B3850" s="8" t="s">
        <v>32</v>
      </c>
      <c r="C3850" s="42" t="s">
        <v>33</v>
      </c>
      <c r="D3850" s="43" t="s">
        <v>30</v>
      </c>
      <c r="E3850" s="46">
        <v>2734.68</v>
      </c>
      <c r="F3850" s="2"/>
      <c r="G3850" s="15" t="s">
        <v>32</v>
      </c>
    </row>
    <row r="3851" spans="1:7" ht="19.5" customHeight="1" x14ac:dyDescent="0.35">
      <c r="A3851" s="41">
        <v>46201</v>
      </c>
      <c r="B3851" s="8" t="s">
        <v>32</v>
      </c>
      <c r="C3851" s="42" t="s">
        <v>11</v>
      </c>
      <c r="D3851" s="43" t="s">
        <v>29</v>
      </c>
      <c r="E3851" s="46">
        <v>2755022800</v>
      </c>
      <c r="F3851" s="2"/>
      <c r="G3851" s="15" t="s">
        <v>32</v>
      </c>
    </row>
    <row r="3852" spans="1:7" ht="19.5" customHeight="1" x14ac:dyDescent="0.35">
      <c r="A3852" s="41">
        <v>46201</v>
      </c>
      <c r="B3852" s="8" t="s">
        <v>32</v>
      </c>
      <c r="C3852" s="42" t="s">
        <v>33</v>
      </c>
      <c r="D3852" s="43" t="s">
        <v>29</v>
      </c>
      <c r="E3852" s="46">
        <v>9796124</v>
      </c>
      <c r="F3852" s="2"/>
      <c r="G3852" s="15" t="s">
        <v>32</v>
      </c>
    </row>
    <row r="3853" spans="1:7" ht="19.5" customHeight="1" x14ac:dyDescent="0.35">
      <c r="A3853" s="41">
        <v>46201</v>
      </c>
      <c r="B3853" s="8" t="s">
        <v>24</v>
      </c>
      <c r="C3853" s="42" t="s">
        <v>11</v>
      </c>
      <c r="D3853" s="43" t="s">
        <v>30</v>
      </c>
      <c r="E3853" s="46">
        <v>18510.46</v>
      </c>
      <c r="F3853" s="2"/>
      <c r="G3853" s="15" t="s">
        <v>24</v>
      </c>
    </row>
    <row r="3854" spans="1:7" ht="19.5" customHeight="1" x14ac:dyDescent="0.35">
      <c r="A3854" s="41">
        <v>46201</v>
      </c>
      <c r="B3854" s="8" t="s">
        <v>24</v>
      </c>
      <c r="C3854" s="42" t="s">
        <v>33</v>
      </c>
      <c r="D3854" s="43" t="s">
        <v>30</v>
      </c>
      <c r="E3854" s="46">
        <v>69.06</v>
      </c>
      <c r="F3854" s="2"/>
      <c r="G3854" s="15" t="s">
        <v>24</v>
      </c>
    </row>
    <row r="3855" spans="1:7" ht="19.5" customHeight="1" x14ac:dyDescent="0.35">
      <c r="A3855" s="41">
        <v>46202</v>
      </c>
      <c r="B3855" s="8" t="s">
        <v>32</v>
      </c>
      <c r="C3855" s="42" t="s">
        <v>11</v>
      </c>
      <c r="D3855" s="43" t="s">
        <v>30</v>
      </c>
      <c r="E3855" s="46">
        <v>807367.79</v>
      </c>
      <c r="F3855" s="2"/>
      <c r="G3855" s="15" t="s">
        <v>32</v>
      </c>
    </row>
    <row r="3856" spans="1:7" ht="19.5" customHeight="1" x14ac:dyDescent="0.35">
      <c r="A3856" s="41">
        <v>46202</v>
      </c>
      <c r="B3856" s="8" t="s">
        <v>32</v>
      </c>
      <c r="C3856" s="42" t="s">
        <v>33</v>
      </c>
      <c r="D3856" s="43" t="s">
        <v>30</v>
      </c>
      <c r="E3856" s="46">
        <v>3920.01</v>
      </c>
      <c r="F3856" s="2"/>
      <c r="G3856" s="15" t="s">
        <v>32</v>
      </c>
    </row>
    <row r="3857" spans="1:7" ht="19.5" customHeight="1" x14ac:dyDescent="0.35">
      <c r="A3857" s="41">
        <v>46202</v>
      </c>
      <c r="B3857" s="8" t="s">
        <v>32</v>
      </c>
      <c r="C3857" s="42" t="s">
        <v>11</v>
      </c>
      <c r="D3857" s="43" t="s">
        <v>29</v>
      </c>
      <c r="E3857" s="46">
        <v>2762062742</v>
      </c>
      <c r="F3857" s="2"/>
      <c r="G3857" s="15" t="s">
        <v>32</v>
      </c>
    </row>
    <row r="3858" spans="1:7" ht="19.5" customHeight="1" x14ac:dyDescent="0.35">
      <c r="A3858" s="41">
        <v>46202</v>
      </c>
      <c r="B3858" s="8" t="s">
        <v>32</v>
      </c>
      <c r="C3858" s="42" t="s">
        <v>33</v>
      </c>
      <c r="D3858" s="43" t="s">
        <v>29</v>
      </c>
      <c r="E3858" s="46">
        <v>13862694</v>
      </c>
      <c r="F3858" s="2"/>
      <c r="G3858" s="15" t="s">
        <v>32</v>
      </c>
    </row>
    <row r="3859" spans="1:7" ht="19.5" customHeight="1" x14ac:dyDescent="0.35">
      <c r="A3859" s="41">
        <v>46202</v>
      </c>
      <c r="B3859" s="8" t="s">
        <v>24</v>
      </c>
      <c r="C3859" s="42" t="s">
        <v>11</v>
      </c>
      <c r="D3859" s="43" t="s">
        <v>30</v>
      </c>
      <c r="E3859" s="46">
        <v>3446.63</v>
      </c>
      <c r="F3859" s="2"/>
      <c r="G3859" s="15" t="s">
        <v>24</v>
      </c>
    </row>
    <row r="3860" spans="1:7" ht="19.5" customHeight="1" x14ac:dyDescent="0.35">
      <c r="A3860" s="41">
        <v>46202</v>
      </c>
      <c r="B3860" s="8" t="s">
        <v>24</v>
      </c>
      <c r="C3860" s="42" t="s">
        <v>33</v>
      </c>
      <c r="D3860" s="43" t="s">
        <v>30</v>
      </c>
      <c r="E3860" s="46">
        <v>148.57</v>
      </c>
      <c r="F3860" s="2"/>
      <c r="G3860" s="15" t="s">
        <v>24</v>
      </c>
    </row>
  </sheetData>
  <sheetProtection sort="0" autoFilter="0"/>
  <autoFilter ref="A5:I3854" xr:uid="{00000000-0001-0000-0100-000000000000}"/>
  <sortState xmlns:xlrd2="http://schemas.microsoft.com/office/spreadsheetml/2017/richdata2" ref="A16:I151">
    <sortCondition ref="A16:A151"/>
    <sortCondition ref="B16:B151"/>
    <sortCondition ref="D16:D151"/>
  </sortState>
  <dataConsolidate/>
  <customSheetViews>
    <customSheetView guid="{5D8D7F1A-A109-4F6C-9307-9E510219E5CE}" scale="75" showPageBreaks="1" fitToPage="1" printArea="1" hiddenColumns="1" showRuler="0">
      <pane xSplit="4" ySplit="5" topLeftCell="E55" activePane="bottomRight" state="frozen"/>
      <selection pane="bottomRight" activeCell="A67" sqref="A67"/>
      <pageMargins left="0.21" right="0.19" top="0.6692913385826772" bottom="0.27559055118110237" header="0.27559055118110237" footer="0.27559055118110237"/>
      <printOptions gridLines="1"/>
      <pageSetup paperSize="9" scale="50" fitToHeight="7" orientation="landscape" r:id="rId1"/>
      <headerFooter alignWithMargins="0">
        <oddHeader>&amp;C&amp;"Times New Roman CE,Regular"&amp;48DENIZ  LEASING &amp; FACTORING KREDILER&amp;R&amp;"Times New Roman CE,Regular"&amp;D</oddHeader>
        <oddFooter>&amp;R&amp;"Times New Roman CE,Kalın"&amp;7DENIZ LEASING FINANSMAN 287/09</oddFooter>
      </headerFooter>
    </customSheetView>
  </customSheetViews>
  <phoneticPr fontId="0" type="noConversion"/>
  <printOptions gridLines="1"/>
  <pageMargins left="0.19685039370078741" right="0.19685039370078741" top="0.6692913385826772" bottom="0.27559055118110237" header="0.27559055118110237" footer="0.27559055118110237"/>
  <pageSetup paperSize="9" scale="60" fitToHeight="7" orientation="landscape" r:id="rId2"/>
  <headerFooter alignWithMargins="0">
    <oddHeader>&amp;R&amp;"Times New Roman CE,Regular"&amp;D</oddHeader>
    <oddFooter>Page &amp;P&amp;R&amp;F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4339E-4816-47D5-A9FF-5FE1693F2F78}">
  <dimension ref="B1:V1111"/>
  <sheetViews>
    <sheetView topLeftCell="F1" zoomScale="110" zoomScaleNormal="110" workbookViewId="0">
      <selection activeCell="M25" sqref="M25"/>
    </sheetView>
  </sheetViews>
  <sheetFormatPr defaultColWidth="8.81640625" defaultRowHeight="13" x14ac:dyDescent="0.3"/>
  <cols>
    <col min="1" max="1" width="3" style="23" bestFit="1" customWidth="1"/>
    <col min="2" max="2" width="8.453125" style="23" bestFit="1" customWidth="1"/>
    <col min="3" max="3" width="11.81640625" style="23" bestFit="1" customWidth="1"/>
    <col min="4" max="4" width="18.81640625" style="23" bestFit="1" customWidth="1"/>
    <col min="5" max="5" width="20.81640625" style="23" bestFit="1" customWidth="1"/>
    <col min="6" max="7" width="17.453125" style="23" bestFit="1" customWidth="1"/>
    <col min="8" max="8" width="18.81640625" style="23" bestFit="1" customWidth="1"/>
    <col min="9" max="9" width="20.81640625" style="23" bestFit="1" customWidth="1"/>
    <col min="10" max="10" width="18.81640625" style="23" customWidth="1"/>
    <col min="11" max="11" width="4.1796875" style="23" bestFit="1" customWidth="1"/>
    <col min="12" max="12" width="5" style="23" bestFit="1" customWidth="1"/>
    <col min="13" max="14" width="16.453125" style="23" bestFit="1" customWidth="1"/>
    <col min="15" max="15" width="11.81640625" style="23" bestFit="1" customWidth="1"/>
    <col min="16" max="16" width="12.81640625" style="23" bestFit="1" customWidth="1"/>
    <col min="17" max="17" width="13.81640625" style="23" bestFit="1" customWidth="1"/>
    <col min="18" max="19" width="16.453125" style="23" bestFit="1" customWidth="1"/>
    <col min="20" max="20" width="15.54296875" style="23" bestFit="1" customWidth="1"/>
    <col min="21" max="16384" width="8.81640625" style="23"/>
  </cols>
  <sheetData>
    <row r="1" spans="2:22" s="1" customFormat="1" ht="15.65" customHeight="1" x14ac:dyDescent="0.35">
      <c r="D1" s="82" t="s">
        <v>29</v>
      </c>
      <c r="E1" s="83"/>
      <c r="F1" s="83"/>
      <c r="G1" s="83"/>
      <c r="H1" s="83"/>
      <c r="I1" s="83"/>
      <c r="M1" s="81" t="s">
        <v>30</v>
      </c>
      <c r="N1" s="81"/>
      <c r="O1" s="81"/>
      <c r="P1" s="81"/>
      <c r="Q1" s="81"/>
      <c r="R1" s="81"/>
    </row>
    <row r="2" spans="2:22" s="1" customFormat="1" ht="15.5" x14ac:dyDescent="0.35">
      <c r="D2" s="81" t="s">
        <v>32</v>
      </c>
      <c r="E2" s="81"/>
      <c r="F2" s="81" t="s">
        <v>24</v>
      </c>
      <c r="G2" s="81"/>
      <c r="H2" s="81" t="s">
        <v>31</v>
      </c>
      <c r="I2" s="81"/>
      <c r="M2" s="81" t="s">
        <v>32</v>
      </c>
      <c r="N2" s="81"/>
      <c r="O2" s="81" t="s">
        <v>24</v>
      </c>
      <c r="P2" s="81"/>
      <c r="Q2" s="81" t="s">
        <v>31</v>
      </c>
      <c r="R2" s="81"/>
    </row>
    <row r="3" spans="2:22" s="1" customFormat="1" ht="15.65" customHeight="1" x14ac:dyDescent="0.35">
      <c r="B3" s="38" t="s">
        <v>34</v>
      </c>
      <c r="C3" s="38" t="s">
        <v>35</v>
      </c>
      <c r="D3" s="36" t="s">
        <v>33</v>
      </c>
      <c r="E3" s="36" t="s">
        <v>11</v>
      </c>
      <c r="F3" s="36" t="s">
        <v>33</v>
      </c>
      <c r="G3" s="36" t="s">
        <v>11</v>
      </c>
      <c r="H3" s="36" t="s">
        <v>33</v>
      </c>
      <c r="I3" s="36" t="s">
        <v>11</v>
      </c>
      <c r="K3" s="38" t="s">
        <v>34</v>
      </c>
      <c r="L3" s="38" t="s">
        <v>35</v>
      </c>
      <c r="M3" s="36" t="s">
        <v>33</v>
      </c>
      <c r="N3" s="36" t="s">
        <v>11</v>
      </c>
      <c r="O3" s="36" t="s">
        <v>33</v>
      </c>
      <c r="P3" s="36" t="s">
        <v>11</v>
      </c>
      <c r="Q3" s="36" t="s">
        <v>33</v>
      </c>
      <c r="R3" s="36" t="s">
        <v>11</v>
      </c>
    </row>
    <row r="4" spans="2:22" s="1" customFormat="1" ht="15.65" customHeight="1" x14ac:dyDescent="0.35">
      <c r="B4" s="35">
        <v>8</v>
      </c>
      <c r="C4" s="35">
        <v>2024</v>
      </c>
      <c r="D4" s="37">
        <f>+SUMIFS('TREASURY FILE'!E:E,'TREASURY FILE'!H:H,'TOPLAM month'!B4,'TREASURY FILE'!I:I,'TOPLAM month'!C4,'TREASURY FILE'!B:B,"GLOBAL HFT",'TREASURY FILE'!C:C,"USDT",'TREASURY FILE'!D:D,"TURNOVER")</f>
        <v>0</v>
      </c>
      <c r="E4" s="37">
        <f>+SUMIFS('TREASURY FILE'!E:E,'TREASURY FILE'!H:H,'TOPLAM month'!B4,'TREASURY FILE'!I:I,'TOPLAM month'!C4,'TREASURY FILE'!B:B,"GLOBAL HFT",'TREASURY FILE'!C:C,"TRY",'TREASURY FILE'!D:D,"TURNOVER")</f>
        <v>0</v>
      </c>
      <c r="F4" s="37">
        <f>+SUMIFS('TREASURY FILE'!E:E,'TREASURY FILE'!H:H,'TOPLAM month'!B4,'TREASURY FILE'!I:I,'TOPLAM month'!C4,'TREASURY FILE'!B:B,"GLOBAL RETAIL",'TREASURY FILE'!C:C,"USDT",'TREASURY FILE'!D:D,"TURNOVER")</f>
        <v>0</v>
      </c>
      <c r="G4" s="37">
        <f>+SUMIFS('TREASURY FILE'!E:E,'TREASURY FILE'!H:H,'TOPLAM month'!B4,'TREASURY FILE'!I:I,'TOPLAM month'!C4,'TREASURY FILE'!B:B,"GLOBAL RETAIL",'TREASURY FILE'!C:C,"TRY",'TREASURY FILE'!D:D,"TURNOVER")</f>
        <v>0</v>
      </c>
      <c r="H4" s="37">
        <f t="shared" ref="H4:H18" si="0">+D4+F4</f>
        <v>0</v>
      </c>
      <c r="I4" s="37">
        <f t="shared" ref="I4:I8" si="1">+E4+G4</f>
        <v>0</v>
      </c>
      <c r="K4" s="35">
        <f t="shared" ref="K4:K21" si="2">+B4</f>
        <v>8</v>
      </c>
      <c r="L4" s="35">
        <f t="shared" ref="L4:L25" si="3">+C4</f>
        <v>2024</v>
      </c>
      <c r="M4" s="37">
        <f>+SUMIFS('TREASURY FILE'!E:E,'TREASURY FILE'!H:H,'TOPLAM month'!B4,'TREASURY FILE'!I:I,'TOPLAM month'!C4,'TREASURY FILE'!B:B,"GLOBAL HFT",'TREASURY FILE'!C:C,"USDT",'TREASURY FILE'!D:D,"INCOME")</f>
        <v>3180.9828299999999</v>
      </c>
      <c r="N4" s="37">
        <f>+SUMIFS('TREASURY FILE'!E:E,'TREASURY FILE'!H:H,'TOPLAM month'!B4,'TREASURY FILE'!I:I,'TOPLAM month'!C4,'TREASURY FILE'!B:B,"GLOBAL HFT",'TREASURY FILE'!C:C,"TRY",'TREASURY FILE'!D:D,"INCOME")</f>
        <v>5232270.2300000004</v>
      </c>
      <c r="O4" s="37">
        <f>+SUMIFS('TREASURY FILE'!E:E,'TREASURY FILE'!H:H,'TOPLAM month'!B4,'TREASURY FILE'!I:I,'TOPLAM month'!C4,'TREASURY FILE'!B:B,"GLOBAL RETAIL",'TREASURY FILE'!C:C,"USDT",'TREASURY FILE'!D:D,"INCOME")</f>
        <v>0</v>
      </c>
      <c r="P4" s="37">
        <f>+SUMIFS('TREASURY FILE'!E:E,'TREASURY FILE'!H:H,'TOPLAM month'!B4,'TREASURY FILE'!I:I,'TOPLAM month'!C4,'TREASURY FILE'!B:B,"GLOBAL RETAIL",'TREASURY FILE'!C:C,"TRY",'TREASURY FILE'!D:D,"INCOME")</f>
        <v>0</v>
      </c>
      <c r="Q4" s="40">
        <f t="shared" ref="Q4:Q6" si="4">+M4+O4</f>
        <v>3180.9828299999999</v>
      </c>
      <c r="R4" s="40">
        <f t="shared" ref="R4:R6" si="5">+N4+P4</f>
        <v>5232270.2300000004</v>
      </c>
    </row>
    <row r="5" spans="2:22" s="1" customFormat="1" ht="15.5" x14ac:dyDescent="0.35">
      <c r="B5" s="35">
        <v>9</v>
      </c>
      <c r="C5" s="35">
        <v>2024</v>
      </c>
      <c r="D5" s="37">
        <f>+SUMIFS('TREASURY FILE'!E:E,'TREASURY FILE'!H:H,'TOPLAM month'!B5,'TREASURY FILE'!I:I,'TOPLAM month'!C5,'TREASURY FILE'!B:B,"GLOBAL HFT",'TREASURY FILE'!C:C,"USDT",'TREASURY FILE'!D:D,"TURNOVER")</f>
        <v>0</v>
      </c>
      <c r="E5" s="37">
        <f>+SUMIFS('TREASURY FILE'!E:E,'TREASURY FILE'!H:H,'TOPLAM month'!B5,'TREASURY FILE'!I:I,'TOPLAM month'!C5,'TREASURY FILE'!B:B,"GLOBAL HFT",'TREASURY FILE'!C:C,"TRY",'TREASURY FILE'!D:D,"TURNOVER")</f>
        <v>0</v>
      </c>
      <c r="F5" s="37">
        <f>+SUMIFS('TREASURY FILE'!E:E,'TREASURY FILE'!H:H,'TOPLAM month'!B5,'TREASURY FILE'!I:I,'TOPLAM month'!C5,'TREASURY FILE'!B:B,"GLOBAL RETAIL",'TREASURY FILE'!C:C,"USDT",'TREASURY FILE'!D:D,"TURNOVER")</f>
        <v>0</v>
      </c>
      <c r="G5" s="37">
        <f>+SUMIFS('TREASURY FILE'!E:E,'TREASURY FILE'!H:H,'TOPLAM month'!B5,'TREASURY FILE'!I:I,'TOPLAM month'!C5,'TREASURY FILE'!B:B,"GLOBAL RETAIL",'TREASURY FILE'!C:C,"TRY",'TREASURY FILE'!D:D,"TURNOVER")</f>
        <v>0</v>
      </c>
      <c r="H5" s="37">
        <f t="shared" si="0"/>
        <v>0</v>
      </c>
      <c r="I5" s="37">
        <f t="shared" si="1"/>
        <v>0</v>
      </c>
      <c r="K5" s="35">
        <f t="shared" si="2"/>
        <v>9</v>
      </c>
      <c r="L5" s="35">
        <f t="shared" si="3"/>
        <v>2024</v>
      </c>
      <c r="M5" s="37">
        <f>+SUMIFS('TREASURY FILE'!E:E,'TREASURY FILE'!H:H,'TOPLAM month'!B5,'TREASURY FILE'!I:I,'TOPLAM month'!C5,'TREASURY FILE'!B:B,"GLOBAL HFT",'TREASURY FILE'!C:C,"USDT",'TREASURY FILE'!D:D,"INCOME")</f>
        <v>58060.886761000002</v>
      </c>
      <c r="N5" s="37">
        <f>+SUMIFS('TREASURY FILE'!E:E,'TREASURY FILE'!H:H,'TOPLAM month'!B5,'TREASURY FILE'!I:I,'TOPLAM month'!C5,'TREASURY FILE'!B:B,"GLOBAL HFT",'TREASURY FILE'!C:C,"TRY",'TREASURY FILE'!D:D,"INCOME")</f>
        <v>13446390.899999999</v>
      </c>
      <c r="O5" s="37">
        <f>+SUMIFS('TREASURY FILE'!E:E,'TREASURY FILE'!H:H,'TOPLAM month'!B5,'TREASURY FILE'!I:I,'TOPLAM month'!C5,'TREASURY FILE'!B:B,"GLOBAL RETAIL",'TREASURY FILE'!C:C,"USDT",'TREASURY FILE'!D:D,"INCOME")</f>
        <v>0</v>
      </c>
      <c r="P5" s="37">
        <f>+SUMIFS('TREASURY FILE'!E:E,'TREASURY FILE'!H:H,'TOPLAM month'!B5,'TREASURY FILE'!I:I,'TOPLAM month'!C5,'TREASURY FILE'!B:B,"GLOBAL RETAIL",'TREASURY FILE'!C:C,"TRY",'TREASURY FILE'!D:D,"INCOME")</f>
        <v>0</v>
      </c>
      <c r="Q5" s="40">
        <f t="shared" si="4"/>
        <v>58060.886761000002</v>
      </c>
      <c r="R5" s="40">
        <f t="shared" si="5"/>
        <v>13446390.899999999</v>
      </c>
    </row>
    <row r="6" spans="2:22" s="1" customFormat="1" ht="15.5" x14ac:dyDescent="0.35">
      <c r="B6" s="35">
        <v>10</v>
      </c>
      <c r="C6" s="35">
        <v>2024</v>
      </c>
      <c r="D6" s="37">
        <f>+SUMIFS('TREASURY FILE'!E:E,'TREASURY FILE'!H:H,'TOPLAM month'!B6,'TREASURY FILE'!I:I,'TOPLAM month'!C6,'TREASURY FILE'!B:B,"GLOBAL HFT",'TREASURY FILE'!C:C,"USDT",'TREASURY FILE'!D:D,"TURNOVER")</f>
        <v>0</v>
      </c>
      <c r="E6" s="37">
        <f>+SUMIFS('TREASURY FILE'!E:E,'TREASURY FILE'!H:H,'TOPLAM month'!B6,'TREASURY FILE'!I:I,'TOPLAM month'!C6,'TREASURY FILE'!B:B,"GLOBAL HFT",'TREASURY FILE'!C:C,"TRY",'TREASURY FILE'!D:D,"TURNOVER")</f>
        <v>0</v>
      </c>
      <c r="F6" s="37">
        <f>+SUMIFS('TREASURY FILE'!E:E,'TREASURY FILE'!H:H,'TOPLAM month'!B6,'TREASURY FILE'!I:I,'TOPLAM month'!C6,'TREASURY FILE'!B:B,"GLOBAL RETAIL",'TREASURY FILE'!C:C,"USDT",'TREASURY FILE'!D:D,"TURNOVER")</f>
        <v>0</v>
      </c>
      <c r="G6" s="37">
        <f>+SUMIFS('TREASURY FILE'!E:E,'TREASURY FILE'!H:H,'TOPLAM month'!B6,'TREASURY FILE'!I:I,'TOPLAM month'!C6,'TREASURY FILE'!B:B,"GLOBAL RETAIL",'TREASURY FILE'!C:C,"TRY",'TREASURY FILE'!D:D,"TURNOVER")</f>
        <v>0</v>
      </c>
      <c r="H6" s="37">
        <f t="shared" si="0"/>
        <v>0</v>
      </c>
      <c r="I6" s="37">
        <f t="shared" si="1"/>
        <v>0</v>
      </c>
      <c r="K6" s="35">
        <f t="shared" si="2"/>
        <v>10</v>
      </c>
      <c r="L6" s="35">
        <f t="shared" si="3"/>
        <v>2024</v>
      </c>
      <c r="M6" s="37">
        <f>+SUMIFS('TREASURY FILE'!E:E,'TREASURY FILE'!H:H,'TOPLAM month'!B6,'TREASURY FILE'!I:I,'TOPLAM month'!C6,'TREASURY FILE'!B:B,"GLOBAL HFT",'TREASURY FILE'!C:C,"USDT",'TREASURY FILE'!D:D,"INCOME")</f>
        <v>93537.549434</v>
      </c>
      <c r="N6" s="37">
        <f>+SUMIFS('TREASURY FILE'!E:E,'TREASURY FILE'!H:H,'TOPLAM month'!B6,'TREASURY FILE'!I:I,'TOPLAM month'!C6,'TREASURY FILE'!B:B,"GLOBAL HFT",'TREASURY FILE'!C:C,"TRY",'TREASURY FILE'!D:D,"INCOME")</f>
        <v>22568914.199999999</v>
      </c>
      <c r="O6" s="37">
        <f>+SUMIFS('TREASURY FILE'!E:E,'TREASURY FILE'!H:H,'TOPLAM month'!B6,'TREASURY FILE'!I:I,'TOPLAM month'!C6,'TREASURY FILE'!B:B,"GLOBAL RETAIL",'TREASURY FILE'!C:C,"USDT",'TREASURY FILE'!D:D,"INCOME")</f>
        <v>0</v>
      </c>
      <c r="P6" s="37">
        <f>+SUMIFS('TREASURY FILE'!E:E,'TREASURY FILE'!H:H,'TOPLAM month'!B6,'TREASURY FILE'!I:I,'TOPLAM month'!C6,'TREASURY FILE'!B:B,"GLOBAL RETAIL",'TREASURY FILE'!C:C,"TRY",'TREASURY FILE'!D:D,"INCOME")</f>
        <v>0</v>
      </c>
      <c r="Q6" s="40">
        <f t="shared" si="4"/>
        <v>93537.549434</v>
      </c>
      <c r="R6" s="40">
        <f t="shared" si="5"/>
        <v>22568914.199999999</v>
      </c>
    </row>
    <row r="7" spans="2:22" s="1" customFormat="1" ht="15.5" x14ac:dyDescent="0.35">
      <c r="B7" s="35">
        <v>11</v>
      </c>
      <c r="C7" s="35">
        <v>2024</v>
      </c>
      <c r="D7" s="37">
        <f>+SUMIFS('TREASURY FILE'!E:E,'TREASURY FILE'!H:H,'TOPLAM month'!B7,'TREASURY FILE'!I:I,'TOPLAM month'!C7,'TREASURY FILE'!B:B,"GLOBAL HFT",'TREASURY FILE'!C:C,"USDT",'TREASURY FILE'!D:D,"TURNOVER")</f>
        <v>0</v>
      </c>
      <c r="E7" s="37">
        <f>+SUMIFS('TREASURY FILE'!E:E,'TREASURY FILE'!H:H,'TOPLAM month'!B7,'TREASURY FILE'!I:I,'TOPLAM month'!C7,'TREASURY FILE'!B:B,"GLOBAL HFT",'TREASURY FILE'!C:C,"TRY",'TREASURY FILE'!D:D,"TURNOVER")</f>
        <v>0</v>
      </c>
      <c r="F7" s="37">
        <f>+SUMIFS('TREASURY FILE'!E:E,'TREASURY FILE'!H:H,'TOPLAM month'!B7,'TREASURY FILE'!I:I,'TOPLAM month'!C7,'TREASURY FILE'!B:B,"GLOBAL RETAIL",'TREASURY FILE'!C:C,"USDT",'TREASURY FILE'!D:D,"TURNOVER")</f>
        <v>0</v>
      </c>
      <c r="G7" s="37">
        <f>+SUMIFS('TREASURY FILE'!E:E,'TREASURY FILE'!H:H,'TOPLAM month'!B7,'TREASURY FILE'!I:I,'TOPLAM month'!C7,'TREASURY FILE'!B:B,"GLOBAL RETAIL",'TREASURY FILE'!C:C,"TRY",'TREASURY FILE'!D:D,"TURNOVER")</f>
        <v>0</v>
      </c>
      <c r="H7" s="37">
        <f t="shared" si="0"/>
        <v>0</v>
      </c>
      <c r="I7" s="48">
        <f t="shared" si="1"/>
        <v>0</v>
      </c>
      <c r="K7" s="35">
        <f t="shared" si="2"/>
        <v>11</v>
      </c>
      <c r="L7" s="35">
        <f t="shared" si="3"/>
        <v>2024</v>
      </c>
      <c r="M7" s="37">
        <f>+SUMIFS('TREASURY FILE'!E:E,'TREASURY FILE'!H:H,'TOPLAM month'!B7,'TREASURY FILE'!I:I,'TOPLAM month'!C7,'TREASURY FILE'!B:B,"GLOBAL HFT",'TREASURY FILE'!C:C,"USDT",'TREASURY FILE'!D:D,"INCOME")</f>
        <v>392588.993594</v>
      </c>
      <c r="N7" s="37">
        <f>+SUMIFS('TREASURY FILE'!E:E,'TREASURY FILE'!H:H,'TOPLAM month'!B7,'TREASURY FILE'!I:I,'TOPLAM month'!C7,'TREASURY FILE'!B:B,"GLOBAL HFT",'TREASURY FILE'!C:C,"TRY",'TREASURY FILE'!D:D,"INCOME")</f>
        <v>78810004.367091998</v>
      </c>
      <c r="O7" s="37">
        <f>+SUMIFS('TREASURY FILE'!E:E,'TREASURY FILE'!H:H,'TOPLAM month'!B7,'TREASURY FILE'!I:I,'TOPLAM month'!C7,'TREASURY FILE'!B:B,"GLOBAL RETAIL",'TREASURY FILE'!C:C,"USDT",'TREASURY FILE'!D:D,"INCOME")</f>
        <v>0</v>
      </c>
      <c r="P7" s="37">
        <f>+SUMIFS('TREASURY FILE'!E:E,'TREASURY FILE'!H:H,'TOPLAM month'!B7,'TREASURY FILE'!I:I,'TOPLAM month'!C7,'TREASURY FILE'!B:B,"GLOBAL RETAIL",'TREASURY FILE'!C:C,"TRY",'TREASURY FILE'!D:D,"INCOME")</f>
        <v>0</v>
      </c>
      <c r="Q7" s="40">
        <f t="shared" ref="Q7:Q8" si="6">+M7+O7</f>
        <v>392588.993594</v>
      </c>
      <c r="R7" s="49">
        <f t="shared" ref="R7:R8" si="7">+N7+P7</f>
        <v>78810004.367091998</v>
      </c>
    </row>
    <row r="8" spans="2:22" s="1" customFormat="1" ht="15.5" x14ac:dyDescent="0.35">
      <c r="B8" s="35">
        <v>12</v>
      </c>
      <c r="C8" s="35">
        <v>2024</v>
      </c>
      <c r="D8" s="37">
        <f>+SUMIFS('TREASURY FILE'!E:E,'TREASURY FILE'!H:H,'TOPLAM month'!B8,'TREASURY FILE'!I:I,'TOPLAM month'!C8,'TREASURY FILE'!B:B,"GLOBAL HFT",'TREASURY FILE'!C:C,"USDT",'TREASURY FILE'!D:D,"TURNOVER")</f>
        <v>0</v>
      </c>
      <c r="E8" s="37">
        <f>+SUMIFS('TREASURY FILE'!E:E,'TREASURY FILE'!H:H,'TOPLAM month'!B8,'TREASURY FILE'!I:I,'TOPLAM month'!C8,'TREASURY FILE'!B:B,"GLOBAL HFT",'TREASURY FILE'!C:C,"TRY",'TREASURY FILE'!D:D,"TURNOVER")</f>
        <v>0</v>
      </c>
      <c r="F8" s="37">
        <f>+SUMIFS('TREASURY FILE'!E:E,'TREASURY FILE'!H:H,'TOPLAM month'!B8,'TREASURY FILE'!I:I,'TOPLAM month'!C8,'TREASURY FILE'!B:B,"GLOBAL RETAIL",'TREASURY FILE'!C:C,"USDT",'TREASURY FILE'!D:D,"TURNOVER")</f>
        <v>0</v>
      </c>
      <c r="G8" s="37">
        <f>+SUMIFS('TREASURY FILE'!E:E,'TREASURY FILE'!H:H,'TOPLAM month'!B8,'TREASURY FILE'!I:I,'TOPLAM month'!C8,'TREASURY FILE'!B:B,"GLOBAL RETAIL",'TREASURY FILE'!C:C,"TRY",'TREASURY FILE'!D:D,"TURNOVER")</f>
        <v>0</v>
      </c>
      <c r="H8" s="37">
        <f t="shared" si="0"/>
        <v>0</v>
      </c>
      <c r="I8" s="48">
        <f t="shared" si="1"/>
        <v>0</v>
      </c>
      <c r="K8" s="35">
        <f t="shared" si="2"/>
        <v>12</v>
      </c>
      <c r="L8" s="35">
        <f t="shared" si="3"/>
        <v>2024</v>
      </c>
      <c r="M8" s="37">
        <f>+SUMIFS('TREASURY FILE'!E:E,'TREASURY FILE'!H:H,'TOPLAM month'!B8,'TREASURY FILE'!I:I,'TOPLAM month'!C8,'TREASURY FILE'!B:B,"GLOBAL HFT",'TREASURY FILE'!C:C,"USDT",'TREASURY FILE'!D:D,"INCOME")</f>
        <v>400382.73315599997</v>
      </c>
      <c r="N8" s="37">
        <f>+SUMIFS('TREASURY FILE'!E:E,'TREASURY FILE'!H:H,'TOPLAM month'!B8,'TREASURY FILE'!I:I,'TOPLAM month'!C8,'TREASURY FILE'!B:B,"GLOBAL HFT",'TREASURY FILE'!C:C,"TRY",'TREASURY FILE'!D:D,"INCOME")</f>
        <v>77362782.342767999</v>
      </c>
      <c r="O8" s="37">
        <f>+SUMIFS('TREASURY FILE'!E:E,'TREASURY FILE'!H:H,'TOPLAM month'!B8,'TREASURY FILE'!I:I,'TOPLAM month'!C8,'TREASURY FILE'!B:B,"GLOBAL RETAIL",'TREASURY FILE'!C:C,"USDT",'TREASURY FILE'!D:D,"INCOME")</f>
        <v>0</v>
      </c>
      <c r="P8" s="37">
        <f>+SUMIFS('TREASURY FILE'!E:E,'TREASURY FILE'!H:H,'TOPLAM month'!B8,'TREASURY FILE'!I:I,'TOPLAM month'!C8,'TREASURY FILE'!B:B,"GLOBAL RETAIL",'TREASURY FILE'!C:C,"TRY",'TREASURY FILE'!D:D,"INCOME")</f>
        <v>0</v>
      </c>
      <c r="Q8" s="40">
        <f t="shared" si="6"/>
        <v>400382.73315599997</v>
      </c>
      <c r="R8" s="49">
        <f t="shared" si="7"/>
        <v>77362782.342767999</v>
      </c>
      <c r="S8" s="67"/>
      <c r="T8" s="67"/>
    </row>
    <row r="9" spans="2:22" x14ac:dyDescent="0.3">
      <c r="B9" s="35">
        <v>1</v>
      </c>
      <c r="C9" s="35">
        <v>2025</v>
      </c>
      <c r="D9" s="37">
        <f>+SUMIFS('TREASURY FILE'!E:E,'TREASURY FILE'!H:H,'TOPLAM month'!B9,'TREASURY FILE'!I:I,'TOPLAM month'!C9,'TREASURY FILE'!B:B,"GLOBAL HFT",'TREASURY FILE'!C:C,"USDT",'TREASURY FILE'!D:D,"TURNOVER")</f>
        <v>0</v>
      </c>
      <c r="E9" s="37">
        <f>+SUMIFS('TREASURY FILE'!E:E,'TREASURY FILE'!H:H,'TOPLAM month'!B9,'TREASURY FILE'!I:I,'TOPLAM month'!C9,'TREASURY FILE'!B:B,"GLOBAL HFT",'TREASURY FILE'!C:C,"TRY",'TREASURY FILE'!D:D,"TURNOVER")</f>
        <v>0</v>
      </c>
      <c r="F9" s="37">
        <f>+SUMIFS('TREASURY FILE'!E:E,'TREASURY FILE'!H:H,'TOPLAM month'!B9,'TREASURY FILE'!I:I,'TOPLAM month'!C9,'TREASURY FILE'!B:B,"GLOBAL RETAIL",'TREASURY FILE'!C:C,"USDT",'TREASURY FILE'!D:D,"TURNOVER")</f>
        <v>0</v>
      </c>
      <c r="G9" s="37">
        <f>+SUMIFS('TREASURY FILE'!E:E,'TREASURY FILE'!H:H,'TOPLAM month'!B9,'TREASURY FILE'!I:I,'TOPLAM month'!C9,'TREASURY FILE'!B:B,"GLOBAL RETAIL",'TREASURY FILE'!C:C,"TRY",'TREASURY FILE'!D:D,"TURNOVER")</f>
        <v>0</v>
      </c>
      <c r="H9" s="37">
        <f t="shared" si="0"/>
        <v>0</v>
      </c>
      <c r="I9" s="48">
        <f>+E9+G9</f>
        <v>0</v>
      </c>
      <c r="K9" s="35">
        <f t="shared" si="2"/>
        <v>1</v>
      </c>
      <c r="L9" s="35">
        <f t="shared" si="3"/>
        <v>2025</v>
      </c>
      <c r="M9" s="37">
        <f>+SUMIFS('TREASURY FILE'!E:E,'TREASURY FILE'!H:H,'TOPLAM month'!B9,'TREASURY FILE'!I:I,'TOPLAM month'!C9,'TREASURY FILE'!B:B,"GLOBAL HFT",'TREASURY FILE'!C:C,"USDT",'TREASURY FILE'!D:D,"INCOME")</f>
        <v>374606.29000000004</v>
      </c>
      <c r="N9" s="37">
        <f>+SUMIFS('TREASURY FILE'!E:E,'TREASURY FILE'!H:H,'TOPLAM month'!B9,'TREASURY FILE'!I:I,'TOPLAM month'!C9,'TREASURY FILE'!B:B,"GLOBAL HFT",'TREASURY FILE'!C:C,"TRY",'TREASURY FILE'!D:D,"INCOME")</f>
        <v>65554389.68</v>
      </c>
      <c r="O9" s="37">
        <f>+SUMIFS('TREASURY FILE'!E:E,'TREASURY FILE'!H:H,'TOPLAM month'!B9,'TREASURY FILE'!I:I,'TOPLAM month'!C9,'TREASURY FILE'!B:B,"GLOBAL RETAIL",'TREASURY FILE'!C:C,"USDT",'TREASURY FILE'!D:D,"INCOME")</f>
        <v>0</v>
      </c>
      <c r="P9" s="37">
        <f>+SUMIFS('TREASURY FILE'!E:E,'TREASURY FILE'!H:H,'TOPLAM month'!B9,'TREASURY FILE'!I:I,'TOPLAM month'!C9,'TREASURY FILE'!B:B,"GLOBAL RETAIL",'TREASURY FILE'!C:C,"TRY",'TREASURY FILE'!D:D,"INCOME")</f>
        <v>0</v>
      </c>
      <c r="Q9" s="40">
        <f>+M9+O9</f>
        <v>374606.29000000004</v>
      </c>
      <c r="R9" s="49">
        <f>+N9+P9</f>
        <v>65554389.68</v>
      </c>
      <c r="S9" s="45"/>
      <c r="T9" s="39"/>
      <c r="V9" s="39"/>
    </row>
    <row r="10" spans="2:22" x14ac:dyDescent="0.3">
      <c r="B10" s="35">
        <v>2</v>
      </c>
      <c r="C10" s="35">
        <v>2025</v>
      </c>
      <c r="D10" s="37">
        <f>+SUMIFS('TREASURY FILE'!E:E,'TREASURY FILE'!H:H,'TOPLAM month'!B10,'TREASURY FILE'!I:I,'TOPLAM month'!C10,'TREASURY FILE'!B:B,"GLOBAL HFT",'TREASURY FILE'!C:C,"USDT",'TREASURY FILE'!D:D,"TURNOVER")</f>
        <v>59953167</v>
      </c>
      <c r="E10" s="37">
        <f>+SUMIFS('TREASURY FILE'!E:E,'TREASURY FILE'!H:H,'TOPLAM month'!B10,'TREASURY FILE'!I:I,'TOPLAM month'!C10,'TREASURY FILE'!B:B,"GLOBAL HFT",'TREASURY FILE'!C:C,"TRY",'TREASURY FILE'!D:D,"TURNOVER")</f>
        <v>9636402720</v>
      </c>
      <c r="F10" s="37">
        <f>+SUMIFS('TREASURY FILE'!E:E,'TREASURY FILE'!H:H,'TOPLAM month'!B10,'TREASURY FILE'!I:I,'TOPLAM month'!C10,'TREASURY FILE'!B:B,"GLOBAL RETAIL",'TREASURY FILE'!C:C,"USDT",'TREASURY FILE'!D:D,"TURNOVER")</f>
        <v>338512</v>
      </c>
      <c r="G10" s="37">
        <f>+SUMIFS('TREASURY FILE'!E:E,'TREASURY FILE'!H:H,'TOPLAM month'!B10,'TREASURY FILE'!I:I,'TOPLAM month'!C10,'TREASURY FILE'!B:B,"GLOBAL RETAIL",'TREASURY FILE'!C:C,"TRY",'TREASURY FILE'!D:D,"TURNOVER")</f>
        <v>0</v>
      </c>
      <c r="H10" s="37">
        <f t="shared" si="0"/>
        <v>60291679</v>
      </c>
      <c r="I10" s="48">
        <f>+E10+G10</f>
        <v>9636402720</v>
      </c>
      <c r="J10" s="45"/>
      <c r="K10" s="35">
        <f t="shared" si="2"/>
        <v>2</v>
      </c>
      <c r="L10" s="35">
        <f t="shared" si="3"/>
        <v>2025</v>
      </c>
      <c r="M10" s="37">
        <f>+SUMIFS('TREASURY FILE'!E:E,'TREASURY FILE'!H:H,'TOPLAM month'!B10,'TREASURY FILE'!I:I,'TOPLAM month'!C10,'TREASURY FILE'!B:B,"GLOBAL HFT",'TREASURY FILE'!C:C,"USDT",'TREASURY FILE'!D:D,"INCOME")</f>
        <v>308710.53999999998</v>
      </c>
      <c r="N10" s="37">
        <f>+SUMIFS('TREASURY FILE'!E:E,'TREASURY FILE'!H:H,'TOPLAM month'!B10,'TREASURY FILE'!I:I,'TOPLAM month'!C10,'TREASURY FILE'!B:B,"GLOBAL HFT",'TREASURY FILE'!C:C,"TRY",'TREASURY FILE'!D:D,"INCOME")</f>
        <v>54412705.680000007</v>
      </c>
      <c r="O10" s="37">
        <f>+SUMIFS('TREASURY FILE'!E:E,'TREASURY FILE'!H:H,'TOPLAM month'!B10,'TREASURY FILE'!I:I,'TOPLAM month'!C10,'TREASURY FILE'!B:B,"GLOBAL RETAIL",'TREASURY FILE'!C:C,"USDT",'TREASURY FILE'!D:D,"INCOME")</f>
        <v>584.89</v>
      </c>
      <c r="P10" s="37">
        <f>+SUMIFS('TREASURY FILE'!E:E,'TREASURY FILE'!H:H,'TOPLAM month'!B10,'TREASURY FILE'!I:I,'TOPLAM month'!C10,'TREASURY FILE'!B:B,"GLOBAL RETAIL",'TREASURY FILE'!C:C,"TRY",'TREASURY FILE'!D:D,"INCOME")</f>
        <v>13.45</v>
      </c>
      <c r="Q10" s="40">
        <f t="shared" ref="Q10:Q14" si="8">+M10+O10</f>
        <v>309295.43</v>
      </c>
      <c r="R10" s="49">
        <f t="shared" ref="R10:R14" si="9">+N10+P10</f>
        <v>54412719.13000001</v>
      </c>
      <c r="S10" s="45"/>
      <c r="T10" s="39"/>
      <c r="V10" s="61"/>
    </row>
    <row r="11" spans="2:22" x14ac:dyDescent="0.3">
      <c r="B11" s="35">
        <v>3</v>
      </c>
      <c r="C11" s="35">
        <v>2025</v>
      </c>
      <c r="D11" s="37">
        <f>+SUMIFS('TREASURY FILE'!E:E,'TREASURY FILE'!H:H,'TOPLAM month'!B11,'TREASURY FILE'!I:I,'TOPLAM month'!C11,'TREASURY FILE'!B:B,"GLOBAL HFT",'TREASURY FILE'!C:C,"USDT",'TREASURY FILE'!D:D,"TURNOVER")</f>
        <v>1115322900</v>
      </c>
      <c r="E11" s="37">
        <f>+SUMIFS('TREASURY FILE'!E:E,'TREASURY FILE'!H:H,'TOPLAM month'!B11,'TREASURY FILE'!I:I,'TOPLAM month'!C11,'TREASURY FILE'!B:B,"GLOBAL HFT",'TREASURY FILE'!C:C,"TRY",'TREASURY FILE'!D:D,"TURNOVER")</f>
        <v>212485931273</v>
      </c>
      <c r="F11" s="37">
        <f>+SUMIFS('TREASURY FILE'!E:E,'TREASURY FILE'!H:H,'TOPLAM month'!B11,'TREASURY FILE'!I:I,'TOPLAM month'!C11,'TREASURY FILE'!B:B,"GLOBAL RETAIL",'TREASURY FILE'!C:C,"USDT",'TREASURY FILE'!D:D,"TURNOVER")</f>
        <v>1271682</v>
      </c>
      <c r="G11" s="37">
        <f>+SUMIFS('TREASURY FILE'!E:E,'TREASURY FILE'!H:H,'TOPLAM month'!B11,'TREASURY FILE'!I:I,'TOPLAM month'!C11,'TREASURY FILE'!B:B,"GLOBAL RETAIL",'TREASURY FILE'!C:C,"TRY",'TREASURY FILE'!D:D,"TURNOVER")</f>
        <v>1027</v>
      </c>
      <c r="H11" s="37">
        <f t="shared" si="0"/>
        <v>1116594582</v>
      </c>
      <c r="I11" s="48">
        <f t="shared" ref="I11:I18" si="10">+E11+G11</f>
        <v>212485932300</v>
      </c>
      <c r="J11" s="45"/>
      <c r="K11" s="35">
        <f t="shared" si="2"/>
        <v>3</v>
      </c>
      <c r="L11" s="35">
        <f t="shared" si="3"/>
        <v>2025</v>
      </c>
      <c r="M11" s="37">
        <f>+SUMIFS('TREASURY FILE'!E:E,'TREASURY FILE'!H:H,'TOPLAM month'!B11,'TREASURY FILE'!I:I,'TOPLAM month'!C11,'TREASURY FILE'!B:B,"GLOBAL HFT",'TREASURY FILE'!C:C,"USDT",'TREASURY FILE'!D:D,"INCOME")</f>
        <v>283136.55999999988</v>
      </c>
      <c r="N11" s="37">
        <f>+SUMIFS('TREASURY FILE'!E:E,'TREASURY FILE'!H:H,'TOPLAM month'!B11,'TREASURY FILE'!I:I,'TOPLAM month'!C11,'TREASURY FILE'!B:B,"GLOBAL HFT",'TREASURY FILE'!C:C,"TRY",'TREASURY FILE'!D:D,"INCOME")</f>
        <v>52999287.82</v>
      </c>
      <c r="O11" s="37">
        <f>+SUMIFS('TREASURY FILE'!E:E,'TREASURY FILE'!H:H,'TOPLAM month'!B11,'TREASURY FILE'!I:I,'TOPLAM month'!C11,'TREASURY FILE'!B:B,"GLOBAL RETAIL",'TREASURY FILE'!C:C,"USDT",'TREASURY FILE'!D:D,"INCOME")</f>
        <v>1199.4199999999998</v>
      </c>
      <c r="P11" s="37">
        <f>+SUMIFS('TREASURY FILE'!E:E,'TREASURY FILE'!H:H,'TOPLAM month'!B11,'TREASURY FILE'!I:I,'TOPLAM month'!C11,'TREASURY FILE'!B:B,"GLOBAL RETAIL",'TREASURY FILE'!C:C,"TRY",'TREASURY FILE'!D:D,"INCOME")</f>
        <v>1.23</v>
      </c>
      <c r="Q11" s="40">
        <f t="shared" si="8"/>
        <v>284335.97999999986</v>
      </c>
      <c r="R11" s="49">
        <f t="shared" si="9"/>
        <v>52999289.049999997</v>
      </c>
      <c r="S11" s="45"/>
      <c r="T11" s="39"/>
      <c r="V11" s="61"/>
    </row>
    <row r="12" spans="2:22" x14ac:dyDescent="0.3">
      <c r="B12" s="35">
        <v>4</v>
      </c>
      <c r="C12" s="35">
        <v>2025</v>
      </c>
      <c r="D12" s="37">
        <f>+SUMIFS('TREASURY FILE'!E:E,'TREASURY FILE'!H:H,'TOPLAM month'!B12,'TREASURY FILE'!I:I,'TOPLAM month'!C12,'TREASURY FILE'!B:B,"GLOBAL HFT",'TREASURY FILE'!C:C,"USDT",'TREASURY FILE'!D:D,"TURNOVER")</f>
        <v>1201126430</v>
      </c>
      <c r="E12" s="37">
        <f>+SUMIFS('TREASURY FILE'!E:E,'TREASURY FILE'!H:H,'TOPLAM month'!B12,'TREASURY FILE'!I:I,'TOPLAM month'!C12,'TREASURY FILE'!B:B,"GLOBAL HFT",'TREASURY FILE'!C:C,"TRY",'TREASURY FILE'!D:D,"TURNOVER")</f>
        <v>231436224040</v>
      </c>
      <c r="F12" s="37">
        <f>+SUMIFS('TREASURY FILE'!E:E,'TREASURY FILE'!H:H,'TOPLAM month'!B12,'TREASURY FILE'!I:I,'TOPLAM month'!C12,'TREASURY FILE'!B:B,"GLOBAL RETAIL",'TREASURY FILE'!C:C,"USDT",'TREASURY FILE'!D:D,"TURNOVER")</f>
        <v>371369</v>
      </c>
      <c r="G12" s="37">
        <f>+SUMIFS('TREASURY FILE'!E:E,'TREASURY FILE'!H:H,'TOPLAM month'!B12,'TREASURY FILE'!I:I,'TOPLAM month'!C12,'TREASURY FILE'!B:B,"GLOBAL RETAIL",'TREASURY FILE'!C:C,"TRY",'TREASURY FILE'!D:D,"TURNOVER")</f>
        <v>11484</v>
      </c>
      <c r="H12" s="37">
        <f t="shared" si="0"/>
        <v>1201497799</v>
      </c>
      <c r="I12" s="48">
        <f t="shared" si="10"/>
        <v>231436235524</v>
      </c>
      <c r="J12" s="45"/>
      <c r="K12" s="35">
        <f t="shared" si="2"/>
        <v>4</v>
      </c>
      <c r="L12" s="35">
        <f t="shared" si="3"/>
        <v>2025</v>
      </c>
      <c r="M12" s="37">
        <f>+SUMIFS('TREASURY FILE'!E:E,'TREASURY FILE'!H:H,'TOPLAM month'!B12,'TREASURY FILE'!I:I,'TOPLAM month'!C12,'TREASURY FILE'!B:B,"GLOBAL HFT",'TREASURY FILE'!C:C,"USDT",'TREASURY FILE'!D:D,"INCOME")</f>
        <v>340815.18999999994</v>
      </c>
      <c r="N12" s="37">
        <f>+SUMIFS('TREASURY FILE'!E:E,'TREASURY FILE'!H:H,'TOPLAM month'!B12,'TREASURY FILE'!I:I,'TOPLAM month'!C12,'TREASURY FILE'!B:B,"GLOBAL HFT",'TREASURY FILE'!C:C,"TRY",'TREASURY FILE'!D:D,"INCOME")</f>
        <v>59620733.750000007</v>
      </c>
      <c r="O12" s="37">
        <f>+SUMIFS('TREASURY FILE'!E:E,'TREASURY FILE'!H:H,'TOPLAM month'!B12,'TREASURY FILE'!I:I,'TOPLAM month'!C12,'TREASURY FILE'!B:B,"GLOBAL RETAIL",'TREASURY FILE'!C:C,"USDT",'TREASURY FILE'!D:D,"INCOME")</f>
        <v>334.53</v>
      </c>
      <c r="P12" s="37">
        <f>+SUMIFS('TREASURY FILE'!E:E,'TREASURY FILE'!H:H,'TOPLAM month'!B12,'TREASURY FILE'!I:I,'TOPLAM month'!C12,'TREASURY FILE'!B:B,"GLOBAL RETAIL",'TREASURY FILE'!C:C,"TRY",'TREASURY FILE'!D:D,"INCOME")</f>
        <v>13.639999999999999</v>
      </c>
      <c r="Q12" s="40">
        <f t="shared" si="8"/>
        <v>341149.72</v>
      </c>
      <c r="R12" s="49">
        <f t="shared" si="9"/>
        <v>59620747.390000008</v>
      </c>
      <c r="S12" s="45"/>
      <c r="T12" s="39"/>
      <c r="V12" s="61"/>
    </row>
    <row r="13" spans="2:22" x14ac:dyDescent="0.3">
      <c r="B13" s="35">
        <v>5</v>
      </c>
      <c r="C13" s="35">
        <v>2025</v>
      </c>
      <c r="D13" s="37">
        <f>+SUMIFS('TREASURY FILE'!E:E,'TREASURY FILE'!H:H,'TOPLAM month'!B13,'TREASURY FILE'!I:I,'TOPLAM month'!C13,'TREASURY FILE'!B:B,"GLOBAL HFT",'TREASURY FILE'!C:C,"USDT",'TREASURY FILE'!D:D,"TURNOVER")</f>
        <v>1480678013</v>
      </c>
      <c r="E13" s="37">
        <f>+SUMIFS('TREASURY FILE'!E:E,'TREASURY FILE'!H:H,'TOPLAM month'!B13,'TREASURY FILE'!I:I,'TOPLAM month'!C13,'TREASURY FILE'!B:B,"GLOBAL HFT",'TREASURY FILE'!C:C,"TRY",'TREASURY FILE'!D:D,"TURNOVER")</f>
        <v>249408851546</v>
      </c>
      <c r="F13" s="37">
        <f>+SUMIFS('TREASURY FILE'!E:E,'TREASURY FILE'!H:H,'TOPLAM month'!B13,'TREASURY FILE'!I:I,'TOPLAM month'!C13,'TREASURY FILE'!B:B,"GLOBAL RETAIL",'TREASURY FILE'!C:C,"USDT",'TREASURY FILE'!D:D,"TURNOVER")</f>
        <v>391875</v>
      </c>
      <c r="G13" s="37">
        <f>+SUMIFS('TREASURY FILE'!E:E,'TREASURY FILE'!H:H,'TOPLAM month'!B13,'TREASURY FILE'!I:I,'TOPLAM month'!C13,'TREASURY FILE'!B:B,"GLOBAL RETAIL",'TREASURY FILE'!C:C,"TRY",'TREASURY FILE'!D:D,"TURNOVER")</f>
        <v>57082</v>
      </c>
      <c r="H13" s="37">
        <f t="shared" si="0"/>
        <v>1481069888</v>
      </c>
      <c r="I13" s="48">
        <f t="shared" si="10"/>
        <v>249408908628</v>
      </c>
      <c r="J13" s="45"/>
      <c r="K13" s="35">
        <f t="shared" si="2"/>
        <v>5</v>
      </c>
      <c r="L13" s="35">
        <f t="shared" si="3"/>
        <v>2025</v>
      </c>
      <c r="M13" s="37">
        <f>+SUMIFS('TREASURY FILE'!E:E,'TREASURY FILE'!H:H,'TOPLAM month'!B13,'TREASURY FILE'!I:I,'TOPLAM month'!C13,'TREASURY FILE'!B:B,"GLOBAL HFT",'TREASURY FILE'!C:C,"USDT",'TREASURY FILE'!D:D,"INCOME")</f>
        <v>419515.61</v>
      </c>
      <c r="N13" s="37">
        <f>+SUMIFS('TREASURY FILE'!E:E,'TREASURY FILE'!H:H,'TOPLAM month'!B13,'TREASURY FILE'!I:I,'TOPLAM month'!C13,'TREASURY FILE'!B:B,"GLOBAL HFT",'TREASURY FILE'!C:C,"TRY",'TREASURY FILE'!D:D,"INCOME")</f>
        <v>65058432.540000021</v>
      </c>
      <c r="O13" s="37">
        <f>+SUMIFS('TREASURY FILE'!E:E,'TREASURY FILE'!H:H,'TOPLAM month'!B13,'TREASURY FILE'!I:I,'TOPLAM month'!C13,'TREASURY FILE'!B:B,"GLOBAL RETAIL",'TREASURY FILE'!C:C,"USDT",'TREASURY FILE'!D:D,"INCOME")</f>
        <v>518.07000000000005</v>
      </c>
      <c r="P13" s="37">
        <f>+SUMIFS('TREASURY FILE'!E:E,'TREASURY FILE'!H:H,'TOPLAM month'!B13,'TREASURY FILE'!I:I,'TOPLAM month'!C13,'TREASURY FILE'!B:B,"GLOBAL RETAIL",'TREASURY FILE'!C:C,"TRY",'TREASURY FILE'!D:D,"INCOME")</f>
        <v>68.5</v>
      </c>
      <c r="Q13" s="40">
        <f t="shared" si="8"/>
        <v>420033.68</v>
      </c>
      <c r="R13" s="49">
        <f t="shared" si="9"/>
        <v>65058501.040000021</v>
      </c>
      <c r="S13" s="45"/>
      <c r="T13" s="39"/>
      <c r="V13" s="61"/>
    </row>
    <row r="14" spans="2:22" x14ac:dyDescent="0.3">
      <c r="B14" s="35">
        <v>6</v>
      </c>
      <c r="C14" s="35">
        <v>2025</v>
      </c>
      <c r="D14" s="37">
        <f>+SUMIFS('TREASURY FILE'!E:E,'TREASURY FILE'!H:H,'TOPLAM month'!B14,'TREASURY FILE'!I:I,'TOPLAM month'!C14,'TREASURY FILE'!B:B,"GLOBAL HFT",'TREASURY FILE'!C:C,"USDT",'TREASURY FILE'!D:D,"TURNOVER")</f>
        <v>893882884</v>
      </c>
      <c r="E14" s="40">
        <f>+SUMIFS('TREASURY FILE'!E:E,'TREASURY FILE'!H:H,'TOPLAM month'!B14,'TREASURY FILE'!I:I,'TOPLAM month'!C14,'TREASURY FILE'!B:B,"GLOBAL HFT",'TREASURY FILE'!C:C,"TRY",'TREASURY FILE'!D:D,"TURNOVER")</f>
        <v>136062691783</v>
      </c>
      <c r="F14" s="37">
        <f>+SUMIFS('TREASURY FILE'!E:E,'TREASURY FILE'!H:H,'TOPLAM month'!B14,'TREASURY FILE'!I:I,'TOPLAM month'!C14,'TREASURY FILE'!B:B,"GLOBAL RETAIL",'TREASURY FILE'!C:C,"USDT",'TREASURY FILE'!D:D,"TURNOVER")</f>
        <v>1099</v>
      </c>
      <c r="G14" s="40">
        <f>+SUMIFS('TREASURY FILE'!E:E,'TREASURY FILE'!H:H,'TOPLAM month'!B14,'TREASURY FILE'!I:I,'TOPLAM month'!C14,'TREASURY FILE'!B:B,"GLOBAL RETAIL",'TREASURY FILE'!C:C,"TRY",'TREASURY FILE'!D:D,"TURNOVER")</f>
        <v>5806</v>
      </c>
      <c r="H14" s="37">
        <f t="shared" si="0"/>
        <v>893883983</v>
      </c>
      <c r="I14" s="48">
        <f t="shared" si="10"/>
        <v>136062697589</v>
      </c>
      <c r="J14" s="45"/>
      <c r="K14" s="35">
        <f t="shared" si="2"/>
        <v>6</v>
      </c>
      <c r="L14" s="35">
        <f t="shared" si="3"/>
        <v>2025</v>
      </c>
      <c r="M14" s="37">
        <f>+SUMIFS('TREASURY FILE'!E:E,'TREASURY FILE'!H:H,'TOPLAM month'!B14,'TREASURY FILE'!I:I,'TOPLAM month'!C14,'TREASURY FILE'!B:B,"GLOBAL HFT",'TREASURY FILE'!C:C,"USDT",'TREASURY FILE'!D:D,"INCOME")</f>
        <v>268741.42</v>
      </c>
      <c r="N14" s="40">
        <f>+SUMIFS('TREASURY FILE'!E:E,'TREASURY FILE'!H:H,'TOPLAM month'!B14,'TREASURY FILE'!I:I,'TOPLAM month'!C14,'TREASURY FILE'!B:B,"GLOBAL HFT",'TREASURY FILE'!C:C,"TRY",'TREASURY FILE'!D:D,"INCOME")</f>
        <v>34974628.999999993</v>
      </c>
      <c r="O14" s="37">
        <f>+SUMIFS('TREASURY FILE'!E:E,'TREASURY FILE'!H:H,'TOPLAM month'!B14,'TREASURY FILE'!I:I,'TOPLAM month'!C14,'TREASURY FILE'!B:B,"GLOBAL RETAIL",'TREASURY FILE'!C:C,"USDT",'TREASURY FILE'!D:D,"INCOME")</f>
        <v>1.27</v>
      </c>
      <c r="P14" s="40">
        <f>+SUMIFS('TREASURY FILE'!E:E,'TREASURY FILE'!H:H,'TOPLAM month'!B14,'TREASURY FILE'!I:I,'TOPLAM month'!C14,'TREASURY FILE'!B:B,"GLOBAL RETAIL",'TREASURY FILE'!C:C,"TRY",'TREASURY FILE'!D:D,"INCOME")</f>
        <v>6.57</v>
      </c>
      <c r="Q14" s="40">
        <f t="shared" si="8"/>
        <v>268742.69</v>
      </c>
      <c r="R14" s="49">
        <f t="shared" si="9"/>
        <v>34974635.569999993</v>
      </c>
      <c r="S14" s="45"/>
      <c r="T14" s="39"/>
      <c r="V14" s="61"/>
    </row>
    <row r="15" spans="2:22" x14ac:dyDescent="0.3">
      <c r="B15" s="35">
        <v>7</v>
      </c>
      <c r="C15" s="35">
        <v>2025</v>
      </c>
      <c r="D15" s="37">
        <f>+SUMIFS('TREASURY FILE'!E:E,'TREASURY FILE'!H:H,'TOPLAM month'!B15,'TREASURY FILE'!I:I,'TOPLAM month'!C15,'TREASURY FILE'!B:B,"GLOBAL HFT",'TREASURY FILE'!C:C,"USDT",'TREASURY FILE'!D:D,"TURNOVER")</f>
        <v>1834677460</v>
      </c>
      <c r="E15" s="40">
        <f>+SUMIFS('TREASURY FILE'!E:E,'TREASURY FILE'!H:H,'TOPLAM month'!B15,'TREASURY FILE'!I:I,'TOPLAM month'!C15,'TREASURY FILE'!B:B,"GLOBAL HFT",'TREASURY FILE'!C:C,"TRY",'TREASURY FILE'!D:D,"TURNOVER")</f>
        <v>274134705959</v>
      </c>
      <c r="F15" s="37">
        <f>+SUMIFS('TREASURY FILE'!E:E,'TREASURY FILE'!H:H,'TOPLAM month'!B15,'TREASURY FILE'!I:I,'TOPLAM month'!C15,'TREASURY FILE'!B:B,"GLOBAL RETAIL",'TREASURY FILE'!C:C,"USDT",'TREASURY FILE'!D:D,"TURNOVER")</f>
        <v>215150</v>
      </c>
      <c r="G15" s="40">
        <f>+SUMIFS('TREASURY FILE'!E:E,'TREASURY FILE'!H:H,'TOPLAM month'!B15,'TREASURY FILE'!I:I,'TOPLAM month'!C15,'TREASURY FILE'!B:B,"GLOBAL RETAIL",'TREASURY FILE'!C:C,"TRY",'TREASURY FILE'!D:D,"TURNOVER")</f>
        <v>4485346</v>
      </c>
      <c r="H15" s="37">
        <f t="shared" si="0"/>
        <v>1834892610</v>
      </c>
      <c r="I15" s="48">
        <f t="shared" si="10"/>
        <v>274139191305</v>
      </c>
      <c r="J15" s="45"/>
      <c r="K15" s="35">
        <f t="shared" si="2"/>
        <v>7</v>
      </c>
      <c r="L15" s="35">
        <f t="shared" si="3"/>
        <v>2025</v>
      </c>
      <c r="M15" s="37">
        <f>+SUMIFS('TREASURY FILE'!E:E,'TREASURY FILE'!H:H,'TOPLAM month'!B15,'TREASURY FILE'!I:I,'TOPLAM month'!C15,'TREASURY FILE'!B:B,"GLOBAL HFT",'TREASURY FILE'!C:C,"USDT",'TREASURY FILE'!D:D,"INCOME")</f>
        <v>511425.57999999996</v>
      </c>
      <c r="N15" s="40">
        <f>+SUMIFS('TREASURY FILE'!E:E,'TREASURY FILE'!H:H,'TOPLAM month'!B15,'TREASURY FILE'!I:I,'TOPLAM month'!C15,'TREASURY FILE'!B:B,"GLOBAL HFT",'TREASURY FILE'!C:C,"TRY",'TREASURY FILE'!D:D,"INCOME")</f>
        <v>73507074.600000009</v>
      </c>
      <c r="O15" s="37">
        <f>+SUMIFS('TREASURY FILE'!E:E,'TREASURY FILE'!H:H,'TOPLAM month'!B15,'TREASURY FILE'!I:I,'TOPLAM month'!C15,'TREASURY FILE'!B:B,"GLOBAL RETAIL",'TREASURY FILE'!C:C,"USDT",'TREASURY FILE'!D:D,"INCOME")</f>
        <v>215.14</v>
      </c>
      <c r="P15" s="40">
        <f>+SUMIFS('TREASURY FILE'!E:E,'TREASURY FILE'!H:H,'TOPLAM month'!B15,'TREASURY FILE'!I:I,'TOPLAM month'!C15,'TREASURY FILE'!B:B,"GLOBAL RETAIL",'TREASURY FILE'!C:C,"TRY",'TREASURY FILE'!D:D,"INCOME")</f>
        <v>5166.37</v>
      </c>
      <c r="Q15" s="40">
        <f t="shared" ref="Q15" si="11">+M15+O15</f>
        <v>511640.72</v>
      </c>
      <c r="R15" s="49">
        <f t="shared" ref="R15" si="12">+N15+P15</f>
        <v>73512240.970000014</v>
      </c>
      <c r="S15" s="45"/>
      <c r="T15" s="39"/>
      <c r="V15" s="61"/>
    </row>
    <row r="16" spans="2:22" x14ac:dyDescent="0.3">
      <c r="B16" s="35">
        <v>8</v>
      </c>
      <c r="C16" s="35">
        <v>2025</v>
      </c>
      <c r="D16" s="37">
        <f>+SUMIFS('TREASURY FILE'!E:E,'TREASURY FILE'!H:H,'TOPLAM month'!B16,'TREASURY FILE'!I:I,'TOPLAM month'!C16,'TREASURY FILE'!B:B,"GLOBAL HFT",'TREASURY FILE'!C:C,"USDT",'TREASURY FILE'!D:D,"TURNOVER")</f>
        <v>1448787785</v>
      </c>
      <c r="E16" s="40">
        <f>+SUMIFS('TREASURY FILE'!E:E,'TREASURY FILE'!H:H,'TOPLAM month'!B16,'TREASURY FILE'!I:I,'TOPLAM month'!C16,'TREASURY FILE'!B:B,"GLOBAL HFT",'TREASURY FILE'!C:C,"TRY",'TREASURY FILE'!D:D,"TURNOVER")</f>
        <v>239078668073</v>
      </c>
      <c r="F16" s="37">
        <f>+SUMIFS('TREASURY FILE'!E:E,'TREASURY FILE'!H:H,'TOPLAM month'!B16,'TREASURY FILE'!I:I,'TOPLAM month'!C16,'TREASURY FILE'!B:B,"GLOBAL RETAIL",'TREASURY FILE'!C:C,"USDT",'TREASURY FILE'!D:D,"TURNOVER")</f>
        <v>14300</v>
      </c>
      <c r="G16" s="40">
        <f>+SUMIFS('TREASURY FILE'!E:E,'TREASURY FILE'!H:H,'TOPLAM month'!B16,'TREASURY FILE'!I:I,'TOPLAM month'!C16,'TREASURY FILE'!B:B,"GLOBAL RETAIL",'TREASURY FILE'!C:C,"TRY",'TREASURY FILE'!D:D,"TURNOVER")</f>
        <v>15080098</v>
      </c>
      <c r="H16" s="37">
        <f t="shared" si="0"/>
        <v>1448802085</v>
      </c>
      <c r="I16" s="48">
        <f t="shared" si="10"/>
        <v>239093748171</v>
      </c>
      <c r="J16" s="45"/>
      <c r="K16" s="35">
        <f t="shared" si="2"/>
        <v>8</v>
      </c>
      <c r="L16" s="35">
        <f t="shared" si="3"/>
        <v>2025</v>
      </c>
      <c r="M16" s="37">
        <f>+SUMIFS('TREASURY FILE'!E:E,'TREASURY FILE'!H:H,'TOPLAM month'!B16,'TREASURY FILE'!I:I,'TOPLAM month'!C16,'TREASURY FILE'!B:B,"GLOBAL HFT",'TREASURY FILE'!C:C,"USDT",'TREASURY FILE'!D:D,"INCOME")</f>
        <v>406818.87999999995</v>
      </c>
      <c r="N16" s="66">
        <f>+SUMIFS('TREASURY FILE'!E:E,'TREASURY FILE'!H:H,'TOPLAM month'!B16,'TREASURY FILE'!I:I,'TOPLAM month'!C16,'TREASURY FILE'!B:B,"GLOBAL HFT",'TREASURY FILE'!C:C,"TRY",'TREASURY FILE'!D:D,"INCOME")</f>
        <v>62603831.579999991</v>
      </c>
      <c r="O16" s="37">
        <f>+SUMIFS('TREASURY FILE'!E:E,'TREASURY FILE'!H:H,'TOPLAM month'!B16,'TREASURY FILE'!I:I,'TOPLAM month'!C16,'TREASURY FILE'!B:B,"GLOBAL RETAIL",'TREASURY FILE'!C:C,"USDT",'TREASURY FILE'!D:D,"INCOME")</f>
        <v>13.959999999999997</v>
      </c>
      <c r="P16" s="40">
        <f>+SUMIFS('TREASURY FILE'!E:E,'TREASURY FILE'!H:H,'TOPLAM month'!B16,'TREASURY FILE'!I:I,'TOPLAM month'!C16,'TREASURY FILE'!B:B,"GLOBAL RETAIL",'TREASURY FILE'!C:C,"TRY",'TREASURY FILE'!D:D,"INCOME")</f>
        <v>15427.28</v>
      </c>
      <c r="Q16" s="40">
        <f t="shared" ref="Q16" si="13">+M16+O16</f>
        <v>406832.83999999997</v>
      </c>
      <c r="R16" s="49">
        <f t="shared" ref="R16" si="14">+N16+P16</f>
        <v>62619258.859999992</v>
      </c>
      <c r="S16" s="45"/>
      <c r="T16" s="39"/>
      <c r="V16" s="61"/>
    </row>
    <row r="17" spans="2:22" x14ac:dyDescent="0.3">
      <c r="B17" s="35">
        <v>9</v>
      </c>
      <c r="C17" s="35">
        <v>2025</v>
      </c>
      <c r="D17" s="37">
        <f>+SUMIFS('TREASURY FILE'!E:E,'TREASURY FILE'!H:H,'TOPLAM month'!B17,'TREASURY FILE'!I:I,'TOPLAM month'!C17,'TREASURY FILE'!B:B,"GLOBAL HFT",'TREASURY FILE'!C:C,"USDT",'TREASURY FILE'!D:D,"TURNOVER")</f>
        <v>1073443833</v>
      </c>
      <c r="E17" s="40">
        <f>+SUMIFS('TREASURY FILE'!E:E,'TREASURY FILE'!H:H,'TOPLAM month'!B17,'TREASURY FILE'!I:I,'TOPLAM month'!C17,'TREASURY FILE'!B:B,"GLOBAL HFT",'TREASURY FILE'!C:C,"TRY",'TREASURY FILE'!D:D,"TURNOVER")</f>
        <v>186756366469</v>
      </c>
      <c r="F17" s="37">
        <f>+SUMIFS('TREASURY FILE'!E:E,'TREASURY FILE'!H:H,'TOPLAM month'!B17,'TREASURY FILE'!I:I,'TOPLAM month'!C17,'TREASURY FILE'!B:B,"GLOBAL RETAIL",'TREASURY FILE'!C:C,"USDT",'TREASURY FILE'!D:D,"TURNOVER")</f>
        <v>445652</v>
      </c>
      <c r="G17" s="40">
        <f>+SUMIFS('TREASURY FILE'!E:E,'TREASURY FILE'!H:H,'TOPLAM month'!B17,'TREASURY FILE'!I:I,'TOPLAM month'!C17,'TREASURY FILE'!B:B,"GLOBAL RETAIL",'TREASURY FILE'!C:C,"TRY",'TREASURY FILE'!D:D,"TURNOVER")</f>
        <v>115428048</v>
      </c>
      <c r="H17" s="37">
        <f t="shared" si="0"/>
        <v>1073889485</v>
      </c>
      <c r="I17" s="48">
        <f t="shared" si="10"/>
        <v>186871794517</v>
      </c>
      <c r="J17" s="45"/>
      <c r="K17" s="35">
        <f t="shared" si="2"/>
        <v>9</v>
      </c>
      <c r="L17" s="35">
        <f t="shared" si="3"/>
        <v>2025</v>
      </c>
      <c r="M17" s="37">
        <f>+SUMIFS('TREASURY FILE'!E:E,'TREASURY FILE'!H:H,'TOPLAM month'!B17,'TREASURY FILE'!I:I,'TOPLAM month'!C17,'TREASURY FILE'!B:B,"GLOBAL HFT",'TREASURY FILE'!C:C,"USDT",'TREASURY FILE'!D:D,"INCOME")</f>
        <v>308905.98547744274</v>
      </c>
      <c r="N17" s="40">
        <f>+SUMIFS('TREASURY FILE'!E:E,'TREASURY FILE'!H:H,'TOPLAM month'!B17,'TREASURY FILE'!I:I,'TOPLAM month'!C17,'TREASURY FILE'!B:B,"GLOBAL HFT",'TREASURY FILE'!C:C,"TRY",'TREASURY FILE'!D:D,"INCOME")</f>
        <v>48276205.109999999</v>
      </c>
      <c r="O17" s="37">
        <f>+SUMIFS('TREASURY FILE'!E:E,'TREASURY FILE'!H:H,'TOPLAM month'!B17,'TREASURY FILE'!I:I,'TOPLAM month'!C17,'TREASURY FILE'!B:B,"GLOBAL RETAIL",'TREASURY FILE'!C:C,"USDT",'TREASURY FILE'!D:D,"INCOME")</f>
        <v>0</v>
      </c>
      <c r="P17" s="40">
        <f>+SUMIFS('TREASURY FILE'!E:E,'TREASURY FILE'!H:H,'TOPLAM month'!B17,'TREASURY FILE'!I:I,'TOPLAM month'!C17,'TREASURY FILE'!B:B,"GLOBAL RETAIL",'TREASURY FILE'!C:C,"TRY",'TREASURY FILE'!D:D,"INCOME")</f>
        <v>0.1</v>
      </c>
      <c r="Q17" s="40">
        <f t="shared" ref="Q17" si="15">+M17+O17</f>
        <v>308905.98547744274</v>
      </c>
      <c r="R17" s="49">
        <f t="shared" ref="R17" si="16">+N17+P17</f>
        <v>48276205.210000001</v>
      </c>
      <c r="S17" s="45"/>
      <c r="T17" s="39"/>
      <c r="V17" s="61"/>
    </row>
    <row r="18" spans="2:22" x14ac:dyDescent="0.3">
      <c r="B18" s="35">
        <v>10</v>
      </c>
      <c r="C18" s="35">
        <v>2025</v>
      </c>
      <c r="D18" s="37">
        <f>+SUMIFS('TREASURY FILE'!E:E,'TREASURY FILE'!H:H,'TOPLAM month'!B18,'TREASURY FILE'!I:I,'TOPLAM month'!C18,'TREASURY FILE'!B:B,"GLOBAL HFT",'TREASURY FILE'!C:C,"USDT",'TREASURY FILE'!D:D,"TURNOVER")</f>
        <v>1198325207</v>
      </c>
      <c r="E18" s="40">
        <f>+SUMIFS('TREASURY FILE'!E:E,'TREASURY FILE'!H:H,'TOPLAM month'!B18,'TREASURY FILE'!I:I,'TOPLAM month'!C18,'TREASURY FILE'!B:B,"GLOBAL HFT",'TREASURY FILE'!C:C,"TRY",'TREASURY FILE'!D:D,"TURNOVER")</f>
        <v>229170749441</v>
      </c>
      <c r="F18" s="37">
        <f>+SUMIFS('TREASURY FILE'!E:E,'TREASURY FILE'!H:H,'TOPLAM month'!B18,'TREASURY FILE'!I:I,'TOPLAM month'!C18,'TREASURY FILE'!B:B,"GLOBAL RETAIL",'TREASURY FILE'!C:C,"USDT",'TREASURY FILE'!D:D,"TURNOVER")</f>
        <v>302438</v>
      </c>
      <c r="G18" s="40">
        <f>+SUMIFS('TREASURY FILE'!E:E,'TREASURY FILE'!H:H,'TOPLAM month'!B18,'TREASURY FILE'!I:I,'TOPLAM month'!C18,'TREASURY FILE'!B:B,"GLOBAL RETAIL",'TREASURY FILE'!C:C,"TRY",'TREASURY FILE'!D:D,"TURNOVER")</f>
        <v>122196808</v>
      </c>
      <c r="H18" s="37">
        <f t="shared" si="0"/>
        <v>1198627645</v>
      </c>
      <c r="I18" s="48">
        <f t="shared" si="10"/>
        <v>229292946249</v>
      </c>
      <c r="J18" s="45"/>
      <c r="K18" s="35">
        <f t="shared" si="2"/>
        <v>10</v>
      </c>
      <c r="L18" s="35">
        <f t="shared" si="3"/>
        <v>2025</v>
      </c>
      <c r="M18" s="37">
        <f>+SUMIFS('TREASURY FILE'!E:E,'TREASURY FILE'!H:H,'TOPLAM month'!B18,'TREASURY FILE'!I:I,'TOPLAM month'!C18,'TREASURY FILE'!B:B,"GLOBAL HFT",'TREASURY FILE'!C:C,"USDT",'TREASURY FILE'!D:D,"INCOME")</f>
        <v>353879.70000000007</v>
      </c>
      <c r="N18" s="40">
        <f>+SUMIFS('TREASURY FILE'!E:E,'TREASURY FILE'!H:H,'TOPLAM month'!B18,'TREASURY FILE'!I:I,'TOPLAM month'!C18,'TREASURY FILE'!B:B,"GLOBAL HFT",'TREASURY FILE'!C:C,"TRY",'TREASURY FILE'!D:D,"INCOME")</f>
        <v>61509881.499999985</v>
      </c>
      <c r="O18" s="37">
        <f>+SUMIFS('TREASURY FILE'!E:E,'TREASURY FILE'!H:H,'TOPLAM month'!B18,'TREASURY FILE'!I:I,'TOPLAM month'!C18,'TREASURY FILE'!B:B,"GLOBAL RETAIL",'TREASURY FILE'!C:C,"USDT",'TREASURY FILE'!D:D,"INCOME")</f>
        <v>0.01</v>
      </c>
      <c r="P18" s="40">
        <f>+SUMIFS('TREASURY FILE'!E:E,'TREASURY FILE'!H:H,'TOPLAM month'!B18,'TREASURY FILE'!I:I,'TOPLAM month'!C18,'TREASURY FILE'!B:B,"GLOBAL RETAIL",'TREASURY FILE'!C:C,"TRY",'TREASURY FILE'!D:D,"INCOME")</f>
        <v>0.17</v>
      </c>
      <c r="Q18" s="40">
        <f t="shared" ref="Q18" si="17">+M18+O18</f>
        <v>353879.71000000008</v>
      </c>
      <c r="R18" s="49">
        <f t="shared" ref="R18" si="18">+N18+P18</f>
        <v>61509881.669999987</v>
      </c>
      <c r="S18" s="45"/>
      <c r="T18" s="39"/>
      <c r="V18" s="61"/>
    </row>
    <row r="19" spans="2:22" x14ac:dyDescent="0.3">
      <c r="B19" s="35">
        <v>11</v>
      </c>
      <c r="C19" s="35">
        <v>2025</v>
      </c>
      <c r="D19" s="37">
        <f>+SUMIFS('TREASURY FILE'!E:E,'TREASURY FILE'!H:H,'TOPLAM month'!B19,'TREASURY FILE'!I:I,'TOPLAM month'!C19,'TREASURY FILE'!B:B,"GLOBAL HFT",'TREASURY FILE'!C:C,"USDT",'TREASURY FILE'!D:D,"TURNOVER")</f>
        <v>1105170756</v>
      </c>
      <c r="E19" s="40">
        <f>+SUMIFS('TREASURY FILE'!E:E,'TREASURY FILE'!H:H,'TOPLAM month'!B19,'TREASURY FILE'!I:I,'TOPLAM month'!C19,'TREASURY FILE'!B:B,"GLOBAL HFT",'TREASURY FILE'!C:C,"TRY",'TREASURY FILE'!D:D,"TURNOVER")</f>
        <v>219636257247</v>
      </c>
      <c r="F19" s="37">
        <f>+SUMIFS('TREASURY FILE'!E:E,'TREASURY FILE'!H:H,'TOPLAM month'!B19,'TREASURY FILE'!I:I,'TOPLAM month'!C19,'TREASURY FILE'!B:B,"GLOBAL RETAIL",'TREASURY FILE'!C:C,"USDT",'TREASURY FILE'!D:D,"TURNOVER")</f>
        <v>52101</v>
      </c>
      <c r="G19" s="40">
        <f>+SUMIFS('TREASURY FILE'!E:E,'TREASURY FILE'!H:H,'TOPLAM month'!B19,'TREASURY FILE'!I:I,'TOPLAM month'!C19,'TREASURY FILE'!B:B,"GLOBAL RETAIL",'TREASURY FILE'!C:C,"TRY",'TREASURY FILE'!D:D,"TURNOVER")</f>
        <v>315474130</v>
      </c>
      <c r="H19" s="37">
        <f t="shared" ref="H19" si="19">+D19+F19</f>
        <v>1105222857</v>
      </c>
      <c r="I19" s="48">
        <f t="shared" ref="I19" si="20">+E19+G19</f>
        <v>219951731377</v>
      </c>
      <c r="J19" s="60"/>
      <c r="K19" s="35">
        <f t="shared" si="2"/>
        <v>11</v>
      </c>
      <c r="L19" s="35">
        <f t="shared" si="3"/>
        <v>2025</v>
      </c>
      <c r="M19" s="37">
        <f>+SUMIFS('TREASURY FILE'!E:E,'TREASURY FILE'!H:H,'TOPLAM month'!B19,'TREASURY FILE'!I:I,'TOPLAM month'!C19,'TREASURY FILE'!B:B,"GLOBAL HFT",'TREASURY FILE'!C:C,"USDT",'TREASURY FILE'!D:D,"INCOME")</f>
        <v>327980.19</v>
      </c>
      <c r="N19" s="40">
        <f>+SUMIFS('TREASURY FILE'!E:E,'TREASURY FILE'!H:H,'TOPLAM month'!B19,'TREASURY FILE'!I:I,'TOPLAM month'!C19,'TREASURY FILE'!B:B,"GLOBAL HFT",'TREASURY FILE'!C:C,"TRY",'TREASURY FILE'!D:D,"INCOME")</f>
        <v>59779428.45000001</v>
      </c>
      <c r="O19" s="37">
        <f>+SUMIFS('TREASURY FILE'!E:E,'TREASURY FILE'!H:H,'TOPLAM month'!B19,'TREASURY FILE'!I:I,'TOPLAM month'!C19,'TREASURY FILE'!B:B,"GLOBAL RETAIL",'TREASURY FILE'!C:C,"USDT",'TREASURY FILE'!D:D,"INCOME")</f>
        <v>0</v>
      </c>
      <c r="P19" s="40">
        <f>+SUMIFS('TREASURY FILE'!E:E,'TREASURY FILE'!H:H,'TOPLAM month'!B19,'TREASURY FILE'!I:I,'TOPLAM month'!C19,'TREASURY FILE'!B:B,"GLOBAL RETAIL",'TREASURY FILE'!C:C,"TRY",'TREASURY FILE'!D:D,"INCOME")</f>
        <v>0</v>
      </c>
      <c r="Q19" s="40">
        <f t="shared" ref="Q19" si="21">+M19+O19</f>
        <v>327980.19</v>
      </c>
      <c r="R19" s="49">
        <f t="shared" ref="R19" si="22">+N19+P19</f>
        <v>59779428.45000001</v>
      </c>
    </row>
    <row r="20" spans="2:22" x14ac:dyDescent="0.3">
      <c r="B20" s="35">
        <v>12</v>
      </c>
      <c r="C20" s="35">
        <v>2025</v>
      </c>
      <c r="D20" s="37">
        <f>+SUMIFS('TREASURY FILE'!E:E,'TREASURY FILE'!H:H,'TOPLAM month'!B20,'TREASURY FILE'!I:I,'TOPLAM month'!C20,'TREASURY FILE'!B:B,"GLOBAL HFT",'TREASURY FILE'!C:C,"USDT",'TREASURY FILE'!D:D,"TURNOVER")</f>
        <v>585643179</v>
      </c>
      <c r="E20" s="40">
        <f>+SUMIFS('TREASURY FILE'!E:E,'TREASURY FILE'!H:H,'TOPLAM month'!B20,'TREASURY FILE'!I:I,'TOPLAM month'!C20,'TREASURY FILE'!B:B,"GLOBAL HFT",'TREASURY FILE'!C:C,"TRY",'TREASURY FILE'!D:D,"TURNOVER")</f>
        <v>136315485141</v>
      </c>
      <c r="F20" s="37">
        <f>+SUMIFS('TREASURY FILE'!E:E,'TREASURY FILE'!H:H,'TOPLAM month'!B20,'TREASURY FILE'!I:I,'TOPLAM month'!C20,'TREASURY FILE'!B:B,"GLOBAL RETAIL",'TREASURY FILE'!C:C,"USDT",'TREASURY FILE'!D:D,"TURNOVER")</f>
        <v>220065</v>
      </c>
      <c r="G20" s="40">
        <f>+SUMIFS('TREASURY FILE'!E:E,'TREASURY FILE'!H:H,'TOPLAM month'!B20,'TREASURY FILE'!I:I,'TOPLAM month'!C20,'TREASURY FILE'!B:B,"GLOBAL RETAIL",'TREASURY FILE'!C:C,"TRY",'TREASURY FILE'!D:D,"TURNOVER")</f>
        <v>441120606</v>
      </c>
      <c r="H20" s="37">
        <f t="shared" ref="H20" si="23">+D20+F20</f>
        <v>585863244</v>
      </c>
      <c r="I20" s="48">
        <f t="shared" ref="I20" si="24">+E20+G20</f>
        <v>136756605747</v>
      </c>
      <c r="J20" s="60"/>
      <c r="K20" s="35">
        <f t="shared" si="2"/>
        <v>12</v>
      </c>
      <c r="L20" s="35">
        <f t="shared" si="3"/>
        <v>2025</v>
      </c>
      <c r="M20" s="37">
        <f>+SUMIFS('TREASURY FILE'!E:E,'TREASURY FILE'!H:H,'TOPLAM month'!B20,'TREASURY FILE'!I:I,'TOPLAM month'!C20,'TREASURY FILE'!B:B,"GLOBAL HFT",'TREASURY FILE'!C:C,"USDT",'TREASURY FILE'!D:D,"INCOME")</f>
        <v>178022.7</v>
      </c>
      <c r="N20" s="40">
        <f>+SUMIFS('TREASURY FILE'!E:E,'TREASURY FILE'!H:H,'TOPLAM month'!B20,'TREASURY FILE'!I:I,'TOPLAM month'!C20,'TREASURY FILE'!B:B,"GLOBAL HFT",'TREASURY FILE'!C:C,"TRY",'TREASURY FILE'!D:D,"INCOME")</f>
        <v>37561263.980000019</v>
      </c>
      <c r="O20" s="37">
        <f>+SUMIFS('TREASURY FILE'!E:E,'TREASURY FILE'!H:H,'TOPLAM month'!B20,'TREASURY FILE'!I:I,'TOPLAM month'!C20,'TREASURY FILE'!B:B,"GLOBAL RETAIL",'TREASURY FILE'!C:C,"USDT",'TREASURY FILE'!D:D,"INCOME")</f>
        <v>0</v>
      </c>
      <c r="P20" s="40">
        <f>+SUMIFS('TREASURY FILE'!E:E,'TREASURY FILE'!H:H,'TOPLAM month'!B20,'TREASURY FILE'!I:I,'TOPLAM month'!C20,'TREASURY FILE'!B:B,"GLOBAL RETAIL",'TREASURY FILE'!C:C,"TRY",'TREASURY FILE'!D:D,"INCOME")</f>
        <v>0</v>
      </c>
      <c r="Q20" s="40">
        <f t="shared" ref="Q20" si="25">+M20+O20</f>
        <v>178022.7</v>
      </c>
      <c r="R20" s="49">
        <f t="shared" ref="R20" si="26">+N20+P20</f>
        <v>37561263.980000019</v>
      </c>
    </row>
    <row r="21" spans="2:22" x14ac:dyDescent="0.3">
      <c r="B21" s="35">
        <v>1</v>
      </c>
      <c r="C21" s="35">
        <v>2026</v>
      </c>
      <c r="D21" s="37">
        <f>+SUMIFS('TREASURY FILE'!E:E,'TREASURY FILE'!H:H,'TOPLAM month'!B21,'TREASURY FILE'!I:I,'TOPLAM month'!C21,'TREASURY FILE'!B:B,"GLOBAL HFT",'TREASURY FILE'!C:C,"USDT",'TREASURY FILE'!D:D,"TURNOVER")</f>
        <v>716126534</v>
      </c>
      <c r="E21" s="40">
        <f>+SUMIFS('TREASURY FILE'!E:E,'TREASURY FILE'!H:H,'TOPLAM month'!B21,'TREASURY FILE'!I:I,'TOPLAM month'!C21,'TREASURY FILE'!B:B,"GLOBAL HFT",'TREASURY FILE'!C:C,"TRY",'TREASURY FILE'!D:D,"TURNOVER")</f>
        <v>161674902351</v>
      </c>
      <c r="F21" s="37">
        <f>+SUMIFS('TREASURY FILE'!E:E,'TREASURY FILE'!H:H,'TOPLAM month'!B21,'TREASURY FILE'!I:I,'TOPLAM month'!C21,'TREASURY FILE'!B:B,"GLOBAL RETAIL",'TREASURY FILE'!C:C,"USDT",'TREASURY FILE'!D:D,"TURNOVER")</f>
        <v>44739</v>
      </c>
      <c r="G21" s="40">
        <f>+SUMIFS('TREASURY FILE'!E:E,'TREASURY FILE'!H:H,'TOPLAM month'!B21,'TREASURY FILE'!I:I,'TOPLAM month'!C21,'TREASURY FILE'!B:B,"GLOBAL RETAIL",'TREASURY FILE'!C:C,"TRY",'TREASURY FILE'!D:D,"TURNOVER")</f>
        <v>639382692</v>
      </c>
      <c r="H21" s="37">
        <f t="shared" ref="H21" si="27">+D21+F21</f>
        <v>716171273</v>
      </c>
      <c r="I21" s="48">
        <f t="shared" ref="I21" si="28">+E21+G21</f>
        <v>162314285043</v>
      </c>
      <c r="K21" s="35">
        <f t="shared" si="2"/>
        <v>1</v>
      </c>
      <c r="L21" s="35">
        <f t="shared" si="3"/>
        <v>2026</v>
      </c>
      <c r="M21" s="37">
        <f>+SUMIFS('TREASURY FILE'!E:E,'TREASURY FILE'!H:H,'TOPLAM month'!B21,'TREASURY FILE'!I:I,'TOPLAM month'!C21,'TREASURY FILE'!B:B,"GLOBAL HFT",'TREASURY FILE'!C:C,"USDT",'TREASURY FILE'!D:D,"INCOME")</f>
        <v>229660.65000000002</v>
      </c>
      <c r="N21" s="40">
        <f>+SUMIFS('TREASURY FILE'!E:E,'TREASURY FILE'!H:H,'TOPLAM month'!B21,'TREASURY FILE'!I:I,'TOPLAM month'!C21,'TREASURY FILE'!B:B,"GLOBAL HFT",'TREASURY FILE'!C:C,"TRY",'TREASURY FILE'!D:D,"INCOME")</f>
        <v>46191663.70000001</v>
      </c>
      <c r="O21" s="37">
        <f>+SUMIFS('TREASURY FILE'!E:E,'TREASURY FILE'!H:H,'TOPLAM month'!B21,'TREASURY FILE'!I:I,'TOPLAM month'!C21,'TREASURY FILE'!B:B,"GLOBAL RETAIL",'TREASURY FILE'!C:C,"USDT",'TREASURY FILE'!D:D,"INCOME")</f>
        <v>0</v>
      </c>
      <c r="P21" s="40">
        <f>+SUMIFS('TREASURY FILE'!E:E,'TREASURY FILE'!H:H,'TOPLAM month'!B21,'TREASURY FILE'!I:I,'TOPLAM month'!C21,'TREASURY FILE'!B:B,"GLOBAL RETAIL",'TREASURY FILE'!C:C,"TRY",'TREASURY FILE'!D:D,"INCOME")</f>
        <v>0</v>
      </c>
      <c r="Q21" s="40">
        <f t="shared" ref="Q21" si="29">+M21+O21</f>
        <v>229660.65000000002</v>
      </c>
      <c r="R21" s="49">
        <f t="shared" ref="R21" si="30">+N21+P21</f>
        <v>46191663.70000001</v>
      </c>
    </row>
    <row r="22" spans="2:22" x14ac:dyDescent="0.3">
      <c r="B22" s="35">
        <v>2</v>
      </c>
      <c r="C22" s="35">
        <v>2026</v>
      </c>
      <c r="D22" s="37">
        <f>+SUMIFS('TREASURY FILE'!E:E,'TREASURY FILE'!H:H,'TOPLAM month'!B22,'TREASURY FILE'!I:I,'TOPLAM month'!C22,'TREASURY FILE'!B:B,"GLOBAL HFT",'TREASURY FILE'!C:C,"USDT",'TREASURY FILE'!D:D,"TURNOVER")</f>
        <v>541008570.66903293</v>
      </c>
      <c r="E22" s="40">
        <f>+SUMIFS('TREASURY FILE'!E:E,'TREASURY FILE'!H:H,'TOPLAM month'!B22,'TREASURY FILE'!I:I,'TOPLAM month'!C22,'TREASURY FILE'!B:B,"GLOBAL HFT",'TREASURY FILE'!C:C,"TRY",'TREASURY FILE'!D:D,"TURNOVER")</f>
        <v>112704292197.29524</v>
      </c>
      <c r="F22" s="37">
        <f>+SUMIFS('TREASURY FILE'!E:E,'TREASURY FILE'!H:H,'TOPLAM month'!B22,'TREASURY FILE'!I:I,'TOPLAM month'!C22,'TREASURY FILE'!B:B,"GLOBAL RETAIL",'TREASURY FILE'!C:C,"USDT",'TREASURY FILE'!D:D,"TURNOVER")</f>
        <v>20721</v>
      </c>
      <c r="G22" s="40">
        <f>+SUMIFS('TREASURY FILE'!E:E,'TREASURY FILE'!H:H,'TOPLAM month'!B22,'TREASURY FILE'!I:I,'TOPLAM month'!C22,'TREASURY FILE'!B:B,"GLOBAL RETAIL",'TREASURY FILE'!C:C,"TRY",'TREASURY FILE'!D:D,"TURNOVER")</f>
        <v>697807206</v>
      </c>
      <c r="H22" s="37">
        <f t="shared" ref="H22" si="31">+D22+F22</f>
        <v>541029291.66903293</v>
      </c>
      <c r="I22" s="48">
        <f t="shared" ref="I22" si="32">+E22+G22</f>
        <v>113402099403.29524</v>
      </c>
      <c r="K22" s="35">
        <f>+B22</f>
        <v>2</v>
      </c>
      <c r="L22" s="35">
        <f t="shared" si="3"/>
        <v>2026</v>
      </c>
      <c r="M22" s="37">
        <f>+SUMIFS('TREASURY FILE'!E:E,'TREASURY FILE'!H:H,'TOPLAM month'!B22,'TREASURY FILE'!I:I,'TOPLAM month'!C22,'TREASURY FILE'!B:B,"GLOBAL HFT",'TREASURY FILE'!C:C,"USDT",'TREASURY FILE'!D:D,"INCOME")</f>
        <v>175605.14539519954</v>
      </c>
      <c r="N22" s="40">
        <f>+SUMIFS('TREASURY FILE'!E:E,'TREASURY FILE'!H:H,'TOPLAM month'!B22,'TREASURY FILE'!I:I,'TOPLAM month'!C22,'TREASURY FILE'!B:B,"GLOBAL HFT",'TREASURY FILE'!C:C,"TRY",'TREASURY FILE'!D:D,"INCOME")</f>
        <v>32900718.269154444</v>
      </c>
      <c r="O22" s="37">
        <f>+SUMIFS('TREASURY FILE'!E:E,'TREASURY FILE'!H:H,'TOPLAM month'!B22,'TREASURY FILE'!I:I,'TOPLAM month'!C22,'TREASURY FILE'!B:B,"GLOBAL RETAIL",'TREASURY FILE'!C:C,"USDT",'TREASURY FILE'!D:D,"INCOME")</f>
        <v>0</v>
      </c>
      <c r="P22" s="40">
        <f>+SUMIFS('TREASURY FILE'!E:E,'TREASURY FILE'!H:H,'TOPLAM month'!B22,'TREASURY FILE'!I:I,'TOPLAM month'!C22,'TREASURY FILE'!B:B,"GLOBAL RETAIL",'TREASURY FILE'!C:C,"TRY",'TREASURY FILE'!D:D,"INCOME")</f>
        <v>0</v>
      </c>
      <c r="Q22" s="40">
        <f t="shared" ref="Q22" si="33">+M22+O22</f>
        <v>175605.14539519954</v>
      </c>
      <c r="R22" s="49">
        <f t="shared" ref="R22" si="34">+N22+P22</f>
        <v>32900718.269154444</v>
      </c>
    </row>
    <row r="23" spans="2:22" x14ac:dyDescent="0.3">
      <c r="B23" s="35">
        <v>3</v>
      </c>
      <c r="C23" s="35">
        <v>2026</v>
      </c>
      <c r="D23" s="37">
        <f>+SUMIFS('TREASURY FILE'!E:E,'TREASURY FILE'!H:H,'TOPLAM month'!B23,'TREASURY FILE'!I:I,'TOPLAM month'!C23,'TREASURY FILE'!B:B,"GLOBAL HFT",'TREASURY FILE'!C:C,"USDT",'TREASURY FILE'!D:D,"TURNOVER")</f>
        <v>474877442</v>
      </c>
      <c r="E23" s="40">
        <f>+SUMIFS('TREASURY FILE'!E:E,'TREASURY FILE'!H:H,'TOPLAM month'!B23,'TREASURY FILE'!I:I,'TOPLAM month'!C23,'TREASURY FILE'!B:B,"GLOBAL HFT",'TREASURY FILE'!C:C,"TRY",'TREASURY FILE'!D:D,"TURNOVER")</f>
        <v>114161246843</v>
      </c>
      <c r="F23" s="37">
        <f>+SUMIFS('TREASURY FILE'!E:E,'TREASURY FILE'!H:H,'TOPLAM month'!B23,'TREASURY FILE'!I:I,'TOPLAM month'!C23,'TREASURY FILE'!B:B,"GLOBAL RETAIL",'TREASURY FILE'!C:C,"USDT",'TREASURY FILE'!D:D,"TURNOVER")</f>
        <v>7525</v>
      </c>
      <c r="G23" s="40">
        <f>+SUMIFS('TREASURY FILE'!E:E,'TREASURY FILE'!H:H,'TOPLAM month'!B23,'TREASURY FILE'!I:I,'TOPLAM month'!C23,'TREASURY FILE'!B:B,"GLOBAL RETAIL",'TREASURY FILE'!C:C,"TRY",'TREASURY FILE'!D:D,"TURNOVER")</f>
        <v>598622375</v>
      </c>
      <c r="H23" s="37">
        <f t="shared" ref="H23" si="35">+D23+F23</f>
        <v>474884967</v>
      </c>
      <c r="I23" s="48">
        <f t="shared" ref="I23" si="36">+E23+G23</f>
        <v>114759869218</v>
      </c>
      <c r="K23" s="35">
        <f>+B23</f>
        <v>3</v>
      </c>
      <c r="L23" s="35">
        <f t="shared" si="3"/>
        <v>2026</v>
      </c>
      <c r="M23" s="37">
        <f>+SUMIFS('TREASURY FILE'!E:E,'TREASURY FILE'!H:H,'TOPLAM month'!B23,'TREASURY FILE'!I:I,'TOPLAM month'!C23,'TREASURY FILE'!B:B,"GLOBAL HFT",'TREASURY FILE'!C:C,"USDT",'TREASURY FILE'!D:D,"INCOME")</f>
        <v>153591.88999999998</v>
      </c>
      <c r="N23" s="40">
        <f>+SUMIFS('TREASURY FILE'!E:E,'TREASURY FILE'!H:H,'TOPLAM month'!B23,'TREASURY FILE'!I:I,'TOPLAM month'!C23,'TREASURY FILE'!B:B,"GLOBAL HFT",'TREASURY FILE'!C:C,"TRY",'TREASURY FILE'!D:D,"INCOME")</f>
        <v>33679722.56000001</v>
      </c>
      <c r="O23" s="37">
        <f>+SUMIFS('TREASURY FILE'!E:E,'TREASURY FILE'!H:H,'TOPLAM month'!B23,'TREASURY FILE'!I:I,'TOPLAM month'!C23,'TREASURY FILE'!B:B,"GLOBAL RETAIL",'TREASURY FILE'!C:C,"USDT",'TREASURY FILE'!D:D,"INCOME")</f>
        <v>0</v>
      </c>
      <c r="P23" s="40">
        <f>+SUMIFS('TREASURY FILE'!E:E,'TREASURY FILE'!H:H,'TOPLAM month'!B23,'TREASURY FILE'!I:I,'TOPLAM month'!C23,'TREASURY FILE'!B:B,"GLOBAL RETAIL",'TREASURY FILE'!C:C,"TRY",'TREASURY FILE'!D:D,"INCOME")</f>
        <v>0</v>
      </c>
      <c r="Q23" s="40">
        <f t="shared" ref="Q23" si="37">+M23+O23</f>
        <v>153591.88999999998</v>
      </c>
      <c r="R23" s="49">
        <f t="shared" ref="R23" si="38">+N23+P23</f>
        <v>33679722.56000001</v>
      </c>
    </row>
    <row r="24" spans="2:22" x14ac:dyDescent="0.3">
      <c r="B24" s="35">
        <v>4</v>
      </c>
      <c r="C24" s="35">
        <v>2026</v>
      </c>
      <c r="D24" s="37">
        <f>+SUMIFS('TREASURY FILE'!E:E,'TREASURY FILE'!H:H,'TOPLAM month'!B24,'TREASURY FILE'!I:I,'TOPLAM month'!C24,'TREASURY FILE'!B:B,"GLOBAL HFT",'TREASURY FILE'!C:C,"USDT",'TREASURY FILE'!D:D,"TURNOVER")</f>
        <v>571747144</v>
      </c>
      <c r="E24" s="40">
        <f>+SUMIFS('TREASURY FILE'!E:E,'TREASURY FILE'!H:H,'TOPLAM month'!B24,'TREASURY FILE'!I:I,'TOPLAM month'!C24,'TREASURY FILE'!B:B,"GLOBAL HFT",'TREASURY FILE'!C:C,"TRY",'TREASURY FILE'!D:D,"TURNOVER")</f>
        <v>144038621617</v>
      </c>
      <c r="F24" s="37">
        <f>+SUMIFS('TREASURY FILE'!E:E,'TREASURY FILE'!H:H,'TOPLAM month'!B24,'TREASURY FILE'!I:I,'TOPLAM month'!C24,'TREASURY FILE'!B:B,"GLOBAL RETAIL",'TREASURY FILE'!C:C,"USDT",'TREASURY FILE'!D:D,"TURNOVER")</f>
        <v>5686</v>
      </c>
      <c r="G24" s="40">
        <f>+SUMIFS('TREASURY FILE'!E:E,'TREASURY FILE'!H:H,'TOPLAM month'!B24,'TREASURY FILE'!I:I,'TOPLAM month'!C24,'TREASURY FILE'!B:B,"GLOBAL RETAIL",'TREASURY FILE'!C:C,"TRY",'TREASURY FILE'!D:D,"TURNOVER")</f>
        <v>238619302</v>
      </c>
      <c r="H24" s="37">
        <f t="shared" ref="H24" si="39">+D24+F24</f>
        <v>571752830</v>
      </c>
      <c r="I24" s="48">
        <f t="shared" ref="I24" si="40">+E24+G24</f>
        <v>144277240919</v>
      </c>
      <c r="K24" s="35">
        <f>+B24</f>
        <v>4</v>
      </c>
      <c r="L24" s="35">
        <f t="shared" si="3"/>
        <v>2026</v>
      </c>
      <c r="M24" s="37">
        <v>185491.64</v>
      </c>
      <c r="N24" s="40">
        <v>43177383.140000001</v>
      </c>
      <c r="O24" s="78">
        <v>57.29</v>
      </c>
      <c r="P24" s="79">
        <v>623305.09</v>
      </c>
      <c r="Q24" s="80">
        <f>M24+O24</f>
        <v>185548.93000000002</v>
      </c>
      <c r="R24" s="37">
        <f>N24+P24</f>
        <v>43800688.230000004</v>
      </c>
    </row>
    <row r="25" spans="2:22" x14ac:dyDescent="0.3">
      <c r="B25" s="35">
        <v>5</v>
      </c>
      <c r="C25" s="35">
        <v>2026</v>
      </c>
      <c r="D25" s="37">
        <v>553359745</v>
      </c>
      <c r="E25" s="40">
        <v>132688736690</v>
      </c>
      <c r="F25" s="37"/>
      <c r="G25" s="40"/>
      <c r="H25" s="37"/>
      <c r="I25" s="48"/>
      <c r="K25" s="35">
        <f>+B25</f>
        <v>5</v>
      </c>
      <c r="L25" s="35">
        <f t="shared" si="3"/>
        <v>2026</v>
      </c>
      <c r="M25" s="37"/>
      <c r="N25" s="40"/>
      <c r="O25" s="78"/>
      <c r="P25" s="79"/>
      <c r="Q25" s="80"/>
      <c r="R25" s="37"/>
    </row>
    <row r="26" spans="2:22" x14ac:dyDescent="0.3">
      <c r="B26" s="35"/>
      <c r="C26" s="35"/>
      <c r="E26" s="45"/>
      <c r="F26" s="45"/>
      <c r="K26" s="35"/>
      <c r="L26" s="35"/>
    </row>
    <row r="27" spans="2:22" x14ac:dyDescent="0.3">
      <c r="B27" s="35"/>
      <c r="C27" s="35"/>
      <c r="E27" s="45"/>
      <c r="F27" s="45"/>
      <c r="G27" s="62"/>
      <c r="H27" s="45"/>
      <c r="I27" s="45"/>
      <c r="J27" s="39"/>
      <c r="K27" s="35"/>
      <c r="L27" s="35"/>
    </row>
    <row r="28" spans="2:22" x14ac:dyDescent="0.3">
      <c r="B28" s="35"/>
      <c r="C28" s="35"/>
      <c r="E28" s="45"/>
      <c r="F28" s="45"/>
      <c r="G28" s="62"/>
      <c r="H28" s="45"/>
      <c r="J28" s="39"/>
      <c r="K28" s="35"/>
      <c r="L28" s="35"/>
    </row>
    <row r="29" spans="2:22" x14ac:dyDescent="0.3">
      <c r="B29" s="35"/>
      <c r="C29" s="35"/>
      <c r="E29" s="45"/>
      <c r="F29" s="45"/>
      <c r="J29" s="63"/>
      <c r="K29" s="35"/>
      <c r="L29" s="35"/>
    </row>
    <row r="30" spans="2:22" x14ac:dyDescent="0.3">
      <c r="B30" s="35"/>
      <c r="C30" s="35"/>
      <c r="E30" s="45"/>
      <c r="F30" s="45"/>
      <c r="I30" s="45"/>
      <c r="K30" s="35"/>
      <c r="L30" s="35"/>
    </row>
    <row r="31" spans="2:22" x14ac:dyDescent="0.3">
      <c r="B31" s="35"/>
      <c r="C31" s="35"/>
      <c r="E31" s="45"/>
      <c r="F31" s="45"/>
      <c r="H31" s="45"/>
      <c r="I31" s="45"/>
      <c r="J31" s="39"/>
      <c r="K31" s="35"/>
      <c r="L31" s="35"/>
    </row>
    <row r="32" spans="2:22" x14ac:dyDescent="0.3">
      <c r="B32" s="35"/>
      <c r="C32" s="35"/>
      <c r="E32" s="45"/>
      <c r="H32" s="45"/>
      <c r="I32" s="45"/>
      <c r="J32" s="39"/>
      <c r="K32" s="35"/>
      <c r="L32" s="35"/>
    </row>
    <row r="33" spans="2:13" x14ac:dyDescent="0.3">
      <c r="B33" s="35"/>
      <c r="C33" s="35"/>
      <c r="E33" s="45"/>
      <c r="J33" s="63"/>
      <c r="K33" s="35"/>
      <c r="L33" s="35"/>
    </row>
    <row r="34" spans="2:13" x14ac:dyDescent="0.3">
      <c r="B34" s="35"/>
      <c r="C34" s="35"/>
      <c r="E34" s="45"/>
      <c r="K34" s="35"/>
      <c r="L34" s="35"/>
    </row>
    <row r="35" spans="2:13" x14ac:dyDescent="0.3">
      <c r="B35" s="35"/>
      <c r="C35" s="35"/>
      <c r="E35" s="45"/>
      <c r="H35" s="45"/>
      <c r="I35" s="45"/>
      <c r="J35" s="39"/>
      <c r="K35" s="35"/>
      <c r="L35" s="35"/>
    </row>
    <row r="36" spans="2:13" x14ac:dyDescent="0.3">
      <c r="B36" s="35"/>
      <c r="C36" s="35"/>
      <c r="E36" s="45"/>
      <c r="H36" s="45"/>
      <c r="I36" s="45"/>
      <c r="J36" s="39"/>
      <c r="K36" s="35"/>
      <c r="L36" s="35"/>
    </row>
    <row r="37" spans="2:13" x14ac:dyDescent="0.3">
      <c r="B37" s="35"/>
      <c r="C37" s="35"/>
      <c r="E37" s="45"/>
      <c r="J37" s="63"/>
      <c r="K37" s="35"/>
      <c r="L37" s="35"/>
    </row>
    <row r="38" spans="2:13" x14ac:dyDescent="0.3">
      <c r="B38" s="35"/>
      <c r="C38" s="35"/>
      <c r="E38" s="45"/>
      <c r="K38" s="35"/>
      <c r="L38" s="35"/>
    </row>
    <row r="39" spans="2:13" x14ac:dyDescent="0.3">
      <c r="B39" s="35"/>
      <c r="C39" s="35"/>
      <c r="E39" s="45"/>
      <c r="K39" s="35"/>
      <c r="L39" s="35"/>
    </row>
    <row r="40" spans="2:13" x14ac:dyDescent="0.3">
      <c r="B40" s="35"/>
      <c r="C40" s="35"/>
      <c r="E40" s="45"/>
      <c r="K40" s="35"/>
      <c r="L40" s="35"/>
    </row>
    <row r="41" spans="2:13" x14ac:dyDescent="0.3">
      <c r="B41" s="35"/>
      <c r="C41" s="35"/>
      <c r="E41" s="45"/>
      <c r="K41" s="35"/>
      <c r="L41" s="35"/>
    </row>
    <row r="42" spans="2:13" x14ac:dyDescent="0.3">
      <c r="B42" s="35"/>
      <c r="C42" s="35"/>
      <c r="E42" s="45"/>
      <c r="K42" s="35"/>
      <c r="L42" s="35"/>
    </row>
    <row r="43" spans="2:13" x14ac:dyDescent="0.3">
      <c r="B43" s="35"/>
      <c r="C43" s="35"/>
      <c r="E43" s="45"/>
      <c r="K43" s="35"/>
      <c r="L43" s="35"/>
    </row>
    <row r="44" spans="2:13" x14ac:dyDescent="0.3">
      <c r="B44" s="35"/>
      <c r="C44" s="35"/>
      <c r="E44" s="45"/>
      <c r="K44" s="35"/>
      <c r="L44" s="35"/>
    </row>
    <row r="45" spans="2:13" x14ac:dyDescent="0.3">
      <c r="B45" s="35"/>
      <c r="C45" s="35"/>
      <c r="E45" s="45"/>
      <c r="K45" s="35"/>
      <c r="L45" s="35"/>
      <c r="M45" s="45"/>
    </row>
    <row r="46" spans="2:13" x14ac:dyDescent="0.3">
      <c r="B46" s="35"/>
      <c r="C46" s="35"/>
      <c r="E46" s="45"/>
      <c r="J46" s="45"/>
      <c r="K46" s="35"/>
      <c r="L46" s="35"/>
    </row>
    <row r="47" spans="2:13" x14ac:dyDescent="0.3">
      <c r="B47" s="35"/>
      <c r="C47" s="35"/>
      <c r="J47" s="45"/>
      <c r="K47" s="35"/>
      <c r="L47" s="35"/>
    </row>
    <row r="48" spans="2:13" x14ac:dyDescent="0.3">
      <c r="B48" s="35"/>
      <c r="C48" s="35"/>
      <c r="H48" s="45"/>
      <c r="J48" s="44"/>
      <c r="K48" s="35"/>
      <c r="L48" s="35"/>
      <c r="M48" s="39"/>
    </row>
    <row r="49" spans="2:13" x14ac:dyDescent="0.3">
      <c r="B49" s="35"/>
      <c r="C49" s="35"/>
      <c r="K49" s="35"/>
      <c r="L49" s="35"/>
      <c r="M49" s="65"/>
    </row>
    <row r="50" spans="2:13" x14ac:dyDescent="0.3">
      <c r="B50" s="35"/>
      <c r="C50" s="35"/>
      <c r="K50" s="35"/>
      <c r="L50" s="35"/>
    </row>
    <row r="51" spans="2:13" x14ac:dyDescent="0.3">
      <c r="B51" s="35"/>
      <c r="C51" s="35"/>
      <c r="H51" s="64"/>
      <c r="K51" s="35"/>
      <c r="L51" s="35"/>
    </row>
    <row r="52" spans="2:13" x14ac:dyDescent="0.3">
      <c r="B52" s="35"/>
      <c r="C52" s="35"/>
      <c r="H52" s="45"/>
      <c r="K52" s="35"/>
      <c r="L52" s="35"/>
    </row>
    <row r="53" spans="2:13" x14ac:dyDescent="0.3">
      <c r="B53" s="35"/>
      <c r="C53" s="35"/>
      <c r="H53" s="45"/>
      <c r="K53" s="35"/>
      <c r="L53" s="35"/>
    </row>
    <row r="54" spans="2:13" x14ac:dyDescent="0.3">
      <c r="B54" s="35"/>
      <c r="C54" s="35"/>
      <c r="K54" s="35"/>
      <c r="L54" s="35"/>
    </row>
    <row r="55" spans="2:13" x14ac:dyDescent="0.3">
      <c r="B55" s="35"/>
      <c r="C55" s="35"/>
      <c r="K55" s="35"/>
      <c r="L55" s="35"/>
    </row>
    <row r="56" spans="2:13" x14ac:dyDescent="0.3">
      <c r="B56" s="35"/>
      <c r="C56" s="35"/>
      <c r="K56" s="35"/>
      <c r="L56" s="35"/>
    </row>
    <row r="57" spans="2:13" x14ac:dyDescent="0.3">
      <c r="B57" s="35"/>
      <c r="C57" s="35"/>
      <c r="K57" s="35"/>
      <c r="L57" s="35"/>
    </row>
    <row r="58" spans="2:13" x14ac:dyDescent="0.3">
      <c r="B58" s="35"/>
      <c r="C58" s="35"/>
      <c r="K58" s="35"/>
      <c r="L58" s="35"/>
    </row>
    <row r="59" spans="2:13" x14ac:dyDescent="0.3">
      <c r="B59" s="35"/>
      <c r="C59" s="35"/>
    </row>
    <row r="60" spans="2:13" x14ac:dyDescent="0.3">
      <c r="B60" s="35"/>
      <c r="C60" s="35"/>
    </row>
    <row r="61" spans="2:13" x14ac:dyDescent="0.3">
      <c r="B61" s="35"/>
      <c r="C61" s="35"/>
    </row>
    <row r="62" spans="2:13" x14ac:dyDescent="0.3">
      <c r="B62" s="35"/>
      <c r="C62" s="35"/>
    </row>
    <row r="63" spans="2:13" x14ac:dyDescent="0.3">
      <c r="B63" s="35"/>
      <c r="C63" s="35"/>
    </row>
    <row r="64" spans="2:13" x14ac:dyDescent="0.3">
      <c r="B64" s="35"/>
      <c r="C64" s="35"/>
    </row>
    <row r="65" spans="2:3" x14ac:dyDescent="0.3">
      <c r="B65" s="35"/>
      <c r="C65" s="35"/>
    </row>
    <row r="66" spans="2:3" x14ac:dyDescent="0.3">
      <c r="B66" s="35"/>
      <c r="C66" s="35"/>
    </row>
    <row r="67" spans="2:3" x14ac:dyDescent="0.3">
      <c r="B67" s="35"/>
      <c r="C67" s="35"/>
    </row>
    <row r="68" spans="2:3" x14ac:dyDescent="0.3">
      <c r="B68" s="35"/>
      <c r="C68" s="35"/>
    </row>
    <row r="69" spans="2:3" x14ac:dyDescent="0.3">
      <c r="B69" s="35"/>
      <c r="C69" s="35"/>
    </row>
    <row r="70" spans="2:3" x14ac:dyDescent="0.3">
      <c r="B70" s="35"/>
      <c r="C70" s="35"/>
    </row>
    <row r="71" spans="2:3" x14ac:dyDescent="0.3">
      <c r="B71" s="35"/>
      <c r="C71" s="35"/>
    </row>
    <row r="72" spans="2:3" x14ac:dyDescent="0.3">
      <c r="B72" s="35"/>
      <c r="C72" s="35"/>
    </row>
    <row r="73" spans="2:3" x14ac:dyDescent="0.3">
      <c r="B73" s="35"/>
      <c r="C73" s="35"/>
    </row>
    <row r="74" spans="2:3" x14ac:dyDescent="0.3">
      <c r="B74" s="35"/>
      <c r="C74" s="35"/>
    </row>
    <row r="75" spans="2:3" x14ac:dyDescent="0.3">
      <c r="B75" s="35"/>
      <c r="C75" s="35"/>
    </row>
    <row r="76" spans="2:3" x14ac:dyDescent="0.3">
      <c r="B76" s="35"/>
      <c r="C76" s="35"/>
    </row>
    <row r="77" spans="2:3" x14ac:dyDescent="0.3">
      <c r="B77" s="35"/>
      <c r="C77" s="35"/>
    </row>
    <row r="78" spans="2:3" x14ac:dyDescent="0.3">
      <c r="B78" s="35"/>
      <c r="C78" s="35"/>
    </row>
    <row r="79" spans="2:3" x14ac:dyDescent="0.3">
      <c r="B79" s="35"/>
      <c r="C79" s="35"/>
    </row>
    <row r="80" spans="2:3" x14ac:dyDescent="0.3">
      <c r="B80" s="35"/>
      <c r="C80" s="35"/>
    </row>
    <row r="81" spans="2:3" x14ac:dyDescent="0.3">
      <c r="B81" s="35"/>
      <c r="C81" s="35"/>
    </row>
    <row r="82" spans="2:3" x14ac:dyDescent="0.3">
      <c r="B82" s="35"/>
      <c r="C82" s="35"/>
    </row>
    <row r="83" spans="2:3" x14ac:dyDescent="0.3">
      <c r="B83" s="35"/>
      <c r="C83" s="35"/>
    </row>
    <row r="84" spans="2:3" x14ac:dyDescent="0.3">
      <c r="B84" s="35"/>
      <c r="C84" s="35"/>
    </row>
    <row r="85" spans="2:3" x14ac:dyDescent="0.3">
      <c r="B85" s="35"/>
      <c r="C85" s="35"/>
    </row>
    <row r="86" spans="2:3" x14ac:dyDescent="0.3">
      <c r="B86" s="35"/>
      <c r="C86" s="35"/>
    </row>
    <row r="87" spans="2:3" x14ac:dyDescent="0.3">
      <c r="B87" s="35"/>
      <c r="C87" s="35"/>
    </row>
    <row r="88" spans="2:3" x14ac:dyDescent="0.3">
      <c r="B88" s="35"/>
      <c r="C88" s="35"/>
    </row>
    <row r="89" spans="2:3" x14ac:dyDescent="0.3">
      <c r="B89" s="35"/>
      <c r="C89" s="35"/>
    </row>
    <row r="90" spans="2:3" x14ac:dyDescent="0.3">
      <c r="B90" s="35"/>
      <c r="C90" s="35"/>
    </row>
    <row r="91" spans="2:3" x14ac:dyDescent="0.3">
      <c r="B91" s="35"/>
      <c r="C91" s="35"/>
    </row>
    <row r="92" spans="2:3" x14ac:dyDescent="0.3">
      <c r="B92" s="35"/>
      <c r="C92" s="35"/>
    </row>
    <row r="93" spans="2:3" x14ac:dyDescent="0.3">
      <c r="B93" s="35"/>
      <c r="C93" s="35"/>
    </row>
    <row r="94" spans="2:3" x14ac:dyDescent="0.3">
      <c r="B94" s="35"/>
      <c r="C94" s="35"/>
    </row>
    <row r="95" spans="2:3" x14ac:dyDescent="0.3">
      <c r="B95" s="35"/>
      <c r="C95" s="35"/>
    </row>
    <row r="96" spans="2:3" x14ac:dyDescent="0.3">
      <c r="B96" s="35"/>
      <c r="C96" s="35"/>
    </row>
    <row r="97" spans="2:3" x14ac:dyDescent="0.3">
      <c r="B97" s="35"/>
      <c r="C97" s="35"/>
    </row>
    <row r="98" spans="2:3" x14ac:dyDescent="0.3">
      <c r="B98" s="35"/>
      <c r="C98" s="35"/>
    </row>
    <row r="99" spans="2:3" x14ac:dyDescent="0.3">
      <c r="B99" s="35"/>
      <c r="C99" s="35"/>
    </row>
    <row r="100" spans="2:3" x14ac:dyDescent="0.3">
      <c r="B100" s="35"/>
      <c r="C100" s="35"/>
    </row>
    <row r="101" spans="2:3" x14ac:dyDescent="0.3">
      <c r="B101" s="35"/>
      <c r="C101" s="35"/>
    </row>
    <row r="102" spans="2:3" x14ac:dyDescent="0.3">
      <c r="B102" s="35"/>
      <c r="C102" s="35"/>
    </row>
    <row r="103" spans="2:3" x14ac:dyDescent="0.3">
      <c r="B103" s="35"/>
      <c r="C103" s="35"/>
    </row>
    <row r="104" spans="2:3" x14ac:dyDescent="0.3">
      <c r="B104" s="35"/>
      <c r="C104" s="35"/>
    </row>
    <row r="105" spans="2:3" x14ac:dyDescent="0.3">
      <c r="B105" s="35"/>
      <c r="C105" s="35"/>
    </row>
    <row r="106" spans="2:3" x14ac:dyDescent="0.3">
      <c r="B106" s="35"/>
      <c r="C106" s="35"/>
    </row>
    <row r="107" spans="2:3" x14ac:dyDescent="0.3">
      <c r="B107" s="35"/>
      <c r="C107" s="35"/>
    </row>
    <row r="108" spans="2:3" x14ac:dyDescent="0.3">
      <c r="B108" s="35"/>
      <c r="C108" s="35"/>
    </row>
    <row r="109" spans="2:3" x14ac:dyDescent="0.3">
      <c r="B109" s="35"/>
      <c r="C109" s="35"/>
    </row>
    <row r="110" spans="2:3" x14ac:dyDescent="0.3">
      <c r="B110" s="35"/>
      <c r="C110" s="35"/>
    </row>
    <row r="111" spans="2:3" x14ac:dyDescent="0.3">
      <c r="B111" s="35"/>
      <c r="C111" s="35"/>
    </row>
    <row r="112" spans="2:3" x14ac:dyDescent="0.3">
      <c r="B112" s="35"/>
      <c r="C112" s="35"/>
    </row>
    <row r="113" spans="2:3" x14ac:dyDescent="0.3">
      <c r="B113" s="35"/>
      <c r="C113" s="35"/>
    </row>
    <row r="114" spans="2:3" x14ac:dyDescent="0.3">
      <c r="B114" s="35"/>
      <c r="C114" s="35"/>
    </row>
    <row r="115" spans="2:3" x14ac:dyDescent="0.3">
      <c r="B115" s="35"/>
      <c r="C115" s="35"/>
    </row>
    <row r="116" spans="2:3" x14ac:dyDescent="0.3">
      <c r="B116" s="35"/>
      <c r="C116" s="35"/>
    </row>
    <row r="117" spans="2:3" x14ac:dyDescent="0.3">
      <c r="B117" s="35"/>
      <c r="C117" s="35"/>
    </row>
    <row r="118" spans="2:3" x14ac:dyDescent="0.3">
      <c r="B118" s="35"/>
      <c r="C118" s="35"/>
    </row>
    <row r="119" spans="2:3" x14ac:dyDescent="0.3">
      <c r="B119" s="35"/>
      <c r="C119" s="35"/>
    </row>
    <row r="120" spans="2:3" x14ac:dyDescent="0.3">
      <c r="B120" s="35"/>
      <c r="C120" s="35"/>
    </row>
    <row r="121" spans="2:3" x14ac:dyDescent="0.3">
      <c r="B121" s="35"/>
      <c r="C121" s="35"/>
    </row>
    <row r="122" spans="2:3" x14ac:dyDescent="0.3">
      <c r="B122" s="35"/>
      <c r="C122" s="35"/>
    </row>
    <row r="123" spans="2:3" x14ac:dyDescent="0.3">
      <c r="B123" s="35"/>
      <c r="C123" s="35"/>
    </row>
    <row r="124" spans="2:3" x14ac:dyDescent="0.3">
      <c r="B124" s="35"/>
      <c r="C124" s="35"/>
    </row>
    <row r="125" spans="2:3" x14ac:dyDescent="0.3">
      <c r="B125" s="35"/>
      <c r="C125" s="35"/>
    </row>
    <row r="126" spans="2:3" x14ac:dyDescent="0.3">
      <c r="B126" s="35"/>
      <c r="C126" s="35"/>
    </row>
    <row r="127" spans="2:3" x14ac:dyDescent="0.3">
      <c r="B127" s="35"/>
      <c r="C127" s="35"/>
    </row>
    <row r="128" spans="2:3" x14ac:dyDescent="0.3">
      <c r="B128" s="35"/>
      <c r="C128" s="35"/>
    </row>
    <row r="129" spans="2:3" x14ac:dyDescent="0.3">
      <c r="B129" s="35"/>
      <c r="C129" s="35"/>
    </row>
    <row r="130" spans="2:3" x14ac:dyDescent="0.3">
      <c r="B130" s="35"/>
      <c r="C130" s="35"/>
    </row>
    <row r="131" spans="2:3" x14ac:dyDescent="0.3">
      <c r="B131" s="35"/>
      <c r="C131" s="35"/>
    </row>
    <row r="132" spans="2:3" x14ac:dyDescent="0.3">
      <c r="B132" s="35"/>
      <c r="C132" s="35"/>
    </row>
    <row r="133" spans="2:3" x14ac:dyDescent="0.3">
      <c r="B133" s="35"/>
      <c r="C133" s="35"/>
    </row>
    <row r="134" spans="2:3" x14ac:dyDescent="0.3">
      <c r="B134" s="35"/>
      <c r="C134" s="35"/>
    </row>
    <row r="135" spans="2:3" x14ac:dyDescent="0.3">
      <c r="B135" s="35"/>
      <c r="C135" s="35"/>
    </row>
    <row r="136" spans="2:3" x14ac:dyDescent="0.3">
      <c r="B136" s="35"/>
      <c r="C136" s="35"/>
    </row>
    <row r="137" spans="2:3" x14ac:dyDescent="0.3">
      <c r="B137" s="35"/>
      <c r="C137" s="35"/>
    </row>
    <row r="138" spans="2:3" x14ac:dyDescent="0.3">
      <c r="B138" s="35"/>
      <c r="C138" s="35"/>
    </row>
    <row r="139" spans="2:3" x14ac:dyDescent="0.3">
      <c r="B139" s="35"/>
      <c r="C139" s="35"/>
    </row>
    <row r="140" spans="2:3" x14ac:dyDescent="0.3">
      <c r="B140" s="35"/>
      <c r="C140" s="35"/>
    </row>
    <row r="141" spans="2:3" x14ac:dyDescent="0.3">
      <c r="B141" s="35"/>
      <c r="C141" s="35"/>
    </row>
    <row r="142" spans="2:3" x14ac:dyDescent="0.3">
      <c r="B142" s="35"/>
      <c r="C142" s="35"/>
    </row>
    <row r="143" spans="2:3" x14ac:dyDescent="0.3">
      <c r="B143" s="35"/>
      <c r="C143" s="35"/>
    </row>
    <row r="144" spans="2:3" x14ac:dyDescent="0.3">
      <c r="B144" s="35"/>
      <c r="C144" s="35"/>
    </row>
    <row r="145" spans="2:3" x14ac:dyDescent="0.3">
      <c r="B145" s="35"/>
      <c r="C145" s="35"/>
    </row>
    <row r="146" spans="2:3" x14ac:dyDescent="0.3">
      <c r="B146" s="35"/>
      <c r="C146" s="35"/>
    </row>
    <row r="147" spans="2:3" x14ac:dyDescent="0.3">
      <c r="B147" s="35"/>
      <c r="C147" s="35"/>
    </row>
    <row r="148" spans="2:3" x14ac:dyDescent="0.3">
      <c r="B148" s="35"/>
      <c r="C148" s="35"/>
    </row>
    <row r="149" spans="2:3" x14ac:dyDescent="0.3">
      <c r="B149" s="35"/>
      <c r="C149" s="35"/>
    </row>
    <row r="150" spans="2:3" x14ac:dyDescent="0.3">
      <c r="B150" s="35"/>
      <c r="C150" s="35"/>
    </row>
    <row r="151" spans="2:3" x14ac:dyDescent="0.3">
      <c r="B151" s="35"/>
      <c r="C151" s="35"/>
    </row>
    <row r="152" spans="2:3" x14ac:dyDescent="0.3">
      <c r="B152" s="35"/>
      <c r="C152" s="35"/>
    </row>
    <row r="153" spans="2:3" x14ac:dyDescent="0.3">
      <c r="B153" s="35"/>
      <c r="C153" s="35"/>
    </row>
    <row r="154" spans="2:3" x14ac:dyDescent="0.3">
      <c r="B154" s="35"/>
      <c r="C154" s="35"/>
    </row>
    <row r="155" spans="2:3" x14ac:dyDescent="0.3">
      <c r="B155" s="35"/>
      <c r="C155" s="35"/>
    </row>
    <row r="156" spans="2:3" x14ac:dyDescent="0.3">
      <c r="B156" s="35"/>
      <c r="C156" s="35"/>
    </row>
    <row r="157" spans="2:3" x14ac:dyDescent="0.3">
      <c r="B157" s="35"/>
      <c r="C157" s="35"/>
    </row>
    <row r="158" spans="2:3" x14ac:dyDescent="0.3">
      <c r="B158" s="35"/>
      <c r="C158" s="35"/>
    </row>
    <row r="159" spans="2:3" x14ac:dyDescent="0.3">
      <c r="B159" s="35"/>
      <c r="C159" s="35"/>
    </row>
    <row r="160" spans="2:3" x14ac:dyDescent="0.3">
      <c r="B160" s="35"/>
      <c r="C160" s="35"/>
    </row>
    <row r="161" spans="2:3" x14ac:dyDescent="0.3">
      <c r="B161" s="35"/>
      <c r="C161" s="35"/>
    </row>
    <row r="162" spans="2:3" x14ac:dyDescent="0.3">
      <c r="B162" s="35"/>
      <c r="C162" s="35"/>
    </row>
    <row r="163" spans="2:3" x14ac:dyDescent="0.3">
      <c r="B163" s="35"/>
      <c r="C163" s="35"/>
    </row>
    <row r="164" spans="2:3" x14ac:dyDescent="0.3">
      <c r="B164" s="35"/>
      <c r="C164" s="35"/>
    </row>
    <row r="165" spans="2:3" x14ac:dyDescent="0.3">
      <c r="B165" s="35"/>
      <c r="C165" s="35"/>
    </row>
    <row r="166" spans="2:3" x14ac:dyDescent="0.3">
      <c r="B166" s="35"/>
      <c r="C166" s="35"/>
    </row>
    <row r="167" spans="2:3" x14ac:dyDescent="0.3">
      <c r="B167" s="35"/>
      <c r="C167" s="35"/>
    </row>
    <row r="168" spans="2:3" x14ac:dyDescent="0.3">
      <c r="B168" s="35"/>
      <c r="C168" s="35"/>
    </row>
    <row r="169" spans="2:3" x14ac:dyDescent="0.3">
      <c r="B169" s="35"/>
      <c r="C169" s="35"/>
    </row>
    <row r="170" spans="2:3" x14ac:dyDescent="0.3">
      <c r="B170" s="35"/>
      <c r="C170" s="35"/>
    </row>
    <row r="171" spans="2:3" x14ac:dyDescent="0.3">
      <c r="B171" s="35"/>
      <c r="C171" s="35"/>
    </row>
    <row r="172" spans="2:3" x14ac:dyDescent="0.3">
      <c r="B172" s="35"/>
      <c r="C172" s="35"/>
    </row>
    <row r="173" spans="2:3" x14ac:dyDescent="0.3">
      <c r="B173" s="35"/>
      <c r="C173" s="35"/>
    </row>
    <row r="174" spans="2:3" x14ac:dyDescent="0.3">
      <c r="B174" s="35"/>
      <c r="C174" s="35"/>
    </row>
    <row r="175" spans="2:3" x14ac:dyDescent="0.3">
      <c r="B175" s="35"/>
      <c r="C175" s="35"/>
    </row>
    <row r="176" spans="2:3" x14ac:dyDescent="0.3">
      <c r="B176" s="35"/>
      <c r="C176" s="35"/>
    </row>
    <row r="177" spans="2:3" x14ac:dyDescent="0.3">
      <c r="B177" s="35"/>
      <c r="C177" s="35"/>
    </row>
    <row r="178" spans="2:3" x14ac:dyDescent="0.3">
      <c r="B178" s="35"/>
      <c r="C178" s="35"/>
    </row>
    <row r="179" spans="2:3" x14ac:dyDescent="0.3">
      <c r="B179" s="35"/>
      <c r="C179" s="35"/>
    </row>
    <row r="180" spans="2:3" x14ac:dyDescent="0.3">
      <c r="B180" s="35"/>
      <c r="C180" s="35"/>
    </row>
    <row r="181" spans="2:3" x14ac:dyDescent="0.3">
      <c r="B181" s="35"/>
      <c r="C181" s="35"/>
    </row>
    <row r="182" spans="2:3" x14ac:dyDescent="0.3">
      <c r="B182" s="35"/>
      <c r="C182" s="35"/>
    </row>
    <row r="183" spans="2:3" x14ac:dyDescent="0.3">
      <c r="B183" s="35"/>
      <c r="C183" s="35"/>
    </row>
    <row r="184" spans="2:3" x14ac:dyDescent="0.3">
      <c r="B184" s="35"/>
      <c r="C184" s="35"/>
    </row>
    <row r="185" spans="2:3" x14ac:dyDescent="0.3">
      <c r="B185" s="35"/>
      <c r="C185" s="35"/>
    </row>
    <row r="186" spans="2:3" x14ac:dyDescent="0.3">
      <c r="B186" s="35"/>
      <c r="C186" s="35"/>
    </row>
    <row r="187" spans="2:3" x14ac:dyDescent="0.3">
      <c r="B187" s="35"/>
      <c r="C187" s="35"/>
    </row>
    <row r="188" spans="2:3" x14ac:dyDescent="0.3">
      <c r="B188" s="35"/>
      <c r="C188" s="35"/>
    </row>
    <row r="189" spans="2:3" x14ac:dyDescent="0.3">
      <c r="B189" s="35"/>
      <c r="C189" s="35"/>
    </row>
    <row r="190" spans="2:3" x14ac:dyDescent="0.3">
      <c r="B190" s="35"/>
      <c r="C190" s="35"/>
    </row>
    <row r="191" spans="2:3" x14ac:dyDescent="0.3">
      <c r="B191" s="35"/>
      <c r="C191" s="35"/>
    </row>
    <row r="192" spans="2:3" x14ac:dyDescent="0.3">
      <c r="B192" s="35"/>
      <c r="C192" s="35"/>
    </row>
    <row r="193" spans="2:3" x14ac:dyDescent="0.3">
      <c r="B193" s="35"/>
      <c r="C193" s="35"/>
    </row>
    <row r="194" spans="2:3" x14ac:dyDescent="0.3">
      <c r="B194" s="35"/>
      <c r="C194" s="35"/>
    </row>
    <row r="195" spans="2:3" x14ac:dyDescent="0.3">
      <c r="B195" s="35"/>
      <c r="C195" s="35"/>
    </row>
    <row r="196" spans="2:3" x14ac:dyDescent="0.3">
      <c r="B196" s="35"/>
      <c r="C196" s="35"/>
    </row>
    <row r="197" spans="2:3" x14ac:dyDescent="0.3">
      <c r="B197" s="35"/>
      <c r="C197" s="35"/>
    </row>
    <row r="198" spans="2:3" x14ac:dyDescent="0.3">
      <c r="B198" s="35"/>
      <c r="C198" s="35"/>
    </row>
    <row r="199" spans="2:3" x14ac:dyDescent="0.3">
      <c r="B199" s="35"/>
      <c r="C199" s="35"/>
    </row>
    <row r="200" spans="2:3" x14ac:dyDescent="0.3">
      <c r="B200" s="35"/>
      <c r="C200" s="35"/>
    </row>
    <row r="201" spans="2:3" x14ac:dyDescent="0.3">
      <c r="B201" s="35"/>
      <c r="C201" s="35"/>
    </row>
    <row r="202" spans="2:3" x14ac:dyDescent="0.3">
      <c r="B202" s="35"/>
      <c r="C202" s="35"/>
    </row>
    <row r="203" spans="2:3" x14ac:dyDescent="0.3">
      <c r="B203" s="35"/>
      <c r="C203" s="35"/>
    </row>
    <row r="204" spans="2:3" x14ac:dyDescent="0.3">
      <c r="B204" s="35"/>
      <c r="C204" s="35"/>
    </row>
    <row r="205" spans="2:3" x14ac:dyDescent="0.3">
      <c r="B205" s="35"/>
      <c r="C205" s="35"/>
    </row>
    <row r="206" spans="2:3" x14ac:dyDescent="0.3">
      <c r="B206" s="35"/>
      <c r="C206" s="35"/>
    </row>
    <row r="207" spans="2:3" x14ac:dyDescent="0.3">
      <c r="B207" s="35"/>
      <c r="C207" s="35"/>
    </row>
    <row r="208" spans="2:3" x14ac:dyDescent="0.3">
      <c r="B208" s="35"/>
      <c r="C208" s="35"/>
    </row>
    <row r="209" spans="2:3" x14ac:dyDescent="0.3">
      <c r="B209" s="35"/>
      <c r="C209" s="35"/>
    </row>
    <row r="210" spans="2:3" x14ac:dyDescent="0.3">
      <c r="B210" s="35"/>
      <c r="C210" s="35"/>
    </row>
    <row r="211" spans="2:3" x14ac:dyDescent="0.3">
      <c r="B211" s="35"/>
      <c r="C211" s="35"/>
    </row>
    <row r="212" spans="2:3" x14ac:dyDescent="0.3">
      <c r="B212" s="35"/>
      <c r="C212" s="35"/>
    </row>
    <row r="213" spans="2:3" x14ac:dyDescent="0.3">
      <c r="B213" s="35"/>
      <c r="C213" s="35"/>
    </row>
    <row r="214" spans="2:3" x14ac:dyDescent="0.3">
      <c r="B214" s="35"/>
      <c r="C214" s="35"/>
    </row>
    <row r="215" spans="2:3" x14ac:dyDescent="0.3">
      <c r="B215" s="35"/>
      <c r="C215" s="35"/>
    </row>
    <row r="216" spans="2:3" x14ac:dyDescent="0.3">
      <c r="B216" s="35"/>
      <c r="C216" s="35"/>
    </row>
    <row r="217" spans="2:3" x14ac:dyDescent="0.3">
      <c r="B217" s="35"/>
      <c r="C217" s="35"/>
    </row>
    <row r="218" spans="2:3" x14ac:dyDescent="0.3">
      <c r="B218" s="35"/>
      <c r="C218" s="35"/>
    </row>
    <row r="219" spans="2:3" x14ac:dyDescent="0.3">
      <c r="B219" s="35"/>
      <c r="C219" s="35"/>
    </row>
    <row r="220" spans="2:3" x14ac:dyDescent="0.3">
      <c r="B220" s="35"/>
      <c r="C220" s="35"/>
    </row>
    <row r="221" spans="2:3" x14ac:dyDescent="0.3">
      <c r="B221" s="35"/>
      <c r="C221" s="35"/>
    </row>
    <row r="222" spans="2:3" x14ac:dyDescent="0.3">
      <c r="B222" s="35"/>
      <c r="C222" s="35"/>
    </row>
    <row r="223" spans="2:3" x14ac:dyDescent="0.3">
      <c r="B223" s="35"/>
      <c r="C223" s="35"/>
    </row>
    <row r="224" spans="2:3" x14ac:dyDescent="0.3">
      <c r="B224" s="35"/>
      <c r="C224" s="35"/>
    </row>
    <row r="225" spans="2:3" x14ac:dyDescent="0.3">
      <c r="B225" s="35"/>
      <c r="C225" s="35"/>
    </row>
    <row r="226" spans="2:3" x14ac:dyDescent="0.3">
      <c r="B226" s="35"/>
      <c r="C226" s="35"/>
    </row>
    <row r="227" spans="2:3" x14ac:dyDescent="0.3">
      <c r="B227" s="35"/>
      <c r="C227" s="35"/>
    </row>
    <row r="228" spans="2:3" x14ac:dyDescent="0.3">
      <c r="B228" s="35"/>
      <c r="C228" s="35"/>
    </row>
    <row r="229" spans="2:3" x14ac:dyDescent="0.3">
      <c r="B229" s="35"/>
      <c r="C229" s="35"/>
    </row>
    <row r="230" spans="2:3" x14ac:dyDescent="0.3">
      <c r="B230" s="35"/>
      <c r="C230" s="35"/>
    </row>
    <row r="231" spans="2:3" x14ac:dyDescent="0.3">
      <c r="B231" s="35"/>
      <c r="C231" s="35"/>
    </row>
    <row r="232" spans="2:3" x14ac:dyDescent="0.3">
      <c r="B232" s="35"/>
      <c r="C232" s="35"/>
    </row>
    <row r="233" spans="2:3" x14ac:dyDescent="0.3">
      <c r="B233" s="35"/>
      <c r="C233" s="35"/>
    </row>
    <row r="234" spans="2:3" x14ac:dyDescent="0.3">
      <c r="B234" s="35"/>
      <c r="C234" s="35"/>
    </row>
    <row r="235" spans="2:3" x14ac:dyDescent="0.3">
      <c r="B235" s="35"/>
      <c r="C235" s="35"/>
    </row>
    <row r="236" spans="2:3" x14ac:dyDescent="0.3">
      <c r="B236" s="35"/>
      <c r="C236" s="35"/>
    </row>
    <row r="237" spans="2:3" x14ac:dyDescent="0.3">
      <c r="B237" s="35"/>
      <c r="C237" s="35"/>
    </row>
    <row r="238" spans="2:3" x14ac:dyDescent="0.3">
      <c r="B238" s="35"/>
      <c r="C238" s="35"/>
    </row>
    <row r="239" spans="2:3" x14ac:dyDescent="0.3">
      <c r="B239" s="35"/>
      <c r="C239" s="35"/>
    </row>
    <row r="240" spans="2:3" x14ac:dyDescent="0.3">
      <c r="B240" s="35"/>
      <c r="C240" s="35"/>
    </row>
    <row r="241" spans="2:3" x14ac:dyDescent="0.3">
      <c r="B241" s="35"/>
      <c r="C241" s="35"/>
    </row>
    <row r="242" spans="2:3" x14ac:dyDescent="0.3">
      <c r="B242" s="35"/>
      <c r="C242" s="35"/>
    </row>
    <row r="243" spans="2:3" x14ac:dyDescent="0.3">
      <c r="B243" s="35"/>
      <c r="C243" s="35"/>
    </row>
    <row r="244" spans="2:3" x14ac:dyDescent="0.3">
      <c r="B244" s="35"/>
      <c r="C244" s="35"/>
    </row>
    <row r="245" spans="2:3" x14ac:dyDescent="0.3">
      <c r="B245" s="35"/>
      <c r="C245" s="35"/>
    </row>
    <row r="246" spans="2:3" x14ac:dyDescent="0.3">
      <c r="B246" s="35"/>
      <c r="C246" s="35"/>
    </row>
    <row r="247" spans="2:3" x14ac:dyDescent="0.3">
      <c r="B247" s="35"/>
      <c r="C247" s="35"/>
    </row>
    <row r="248" spans="2:3" x14ac:dyDescent="0.3">
      <c r="B248" s="35"/>
      <c r="C248" s="35"/>
    </row>
    <row r="249" spans="2:3" x14ac:dyDescent="0.3">
      <c r="B249" s="35"/>
      <c r="C249" s="35"/>
    </row>
    <row r="250" spans="2:3" x14ac:dyDescent="0.3">
      <c r="B250" s="35"/>
      <c r="C250" s="35"/>
    </row>
    <row r="251" spans="2:3" x14ac:dyDescent="0.3">
      <c r="B251" s="35"/>
      <c r="C251" s="35"/>
    </row>
    <row r="252" spans="2:3" x14ac:dyDescent="0.3">
      <c r="B252" s="35"/>
      <c r="C252" s="35"/>
    </row>
    <row r="253" spans="2:3" x14ac:dyDescent="0.3">
      <c r="B253" s="35"/>
      <c r="C253" s="35"/>
    </row>
    <row r="254" spans="2:3" x14ac:dyDescent="0.3">
      <c r="B254" s="35"/>
      <c r="C254" s="35"/>
    </row>
    <row r="255" spans="2:3" x14ac:dyDescent="0.3">
      <c r="B255" s="35"/>
      <c r="C255" s="35"/>
    </row>
    <row r="256" spans="2:3" x14ac:dyDescent="0.3">
      <c r="B256" s="35"/>
      <c r="C256" s="35"/>
    </row>
    <row r="257" spans="2:3" x14ac:dyDescent="0.3">
      <c r="B257" s="35"/>
      <c r="C257" s="35"/>
    </row>
    <row r="258" spans="2:3" x14ac:dyDescent="0.3">
      <c r="B258" s="35"/>
      <c r="C258" s="35"/>
    </row>
    <row r="259" spans="2:3" x14ac:dyDescent="0.3">
      <c r="B259" s="35"/>
      <c r="C259" s="35"/>
    </row>
    <row r="260" spans="2:3" x14ac:dyDescent="0.3">
      <c r="B260" s="35"/>
      <c r="C260" s="35"/>
    </row>
    <row r="261" spans="2:3" x14ac:dyDescent="0.3">
      <c r="B261" s="35"/>
      <c r="C261" s="35"/>
    </row>
    <row r="262" spans="2:3" x14ac:dyDescent="0.3">
      <c r="B262" s="35"/>
      <c r="C262" s="35"/>
    </row>
    <row r="263" spans="2:3" x14ac:dyDescent="0.3">
      <c r="B263" s="35"/>
      <c r="C263" s="35"/>
    </row>
    <row r="264" spans="2:3" x14ac:dyDescent="0.3">
      <c r="B264" s="35"/>
      <c r="C264" s="35"/>
    </row>
    <row r="265" spans="2:3" x14ac:dyDescent="0.3">
      <c r="B265" s="35"/>
      <c r="C265" s="35"/>
    </row>
    <row r="266" spans="2:3" x14ac:dyDescent="0.3">
      <c r="B266" s="35"/>
      <c r="C266" s="35"/>
    </row>
    <row r="267" spans="2:3" x14ac:dyDescent="0.3">
      <c r="B267" s="35"/>
      <c r="C267" s="35"/>
    </row>
    <row r="268" spans="2:3" x14ac:dyDescent="0.3">
      <c r="B268" s="35"/>
      <c r="C268" s="35"/>
    </row>
    <row r="269" spans="2:3" x14ac:dyDescent="0.3">
      <c r="B269" s="35"/>
      <c r="C269" s="35"/>
    </row>
    <row r="270" spans="2:3" x14ac:dyDescent="0.3">
      <c r="B270" s="35"/>
      <c r="C270" s="35"/>
    </row>
    <row r="271" spans="2:3" x14ac:dyDescent="0.3">
      <c r="B271" s="35"/>
      <c r="C271" s="35"/>
    </row>
    <row r="272" spans="2:3" x14ac:dyDescent="0.3">
      <c r="B272" s="35"/>
      <c r="C272" s="35"/>
    </row>
    <row r="273" spans="2:3" x14ac:dyDescent="0.3">
      <c r="B273" s="35"/>
      <c r="C273" s="35"/>
    </row>
    <row r="274" spans="2:3" x14ac:dyDescent="0.3">
      <c r="B274" s="35"/>
      <c r="C274" s="35"/>
    </row>
    <row r="275" spans="2:3" x14ac:dyDescent="0.3">
      <c r="B275" s="35"/>
      <c r="C275" s="35"/>
    </row>
    <row r="276" spans="2:3" x14ac:dyDescent="0.3">
      <c r="B276" s="35"/>
      <c r="C276" s="35"/>
    </row>
    <row r="277" spans="2:3" x14ac:dyDescent="0.3">
      <c r="B277" s="35"/>
      <c r="C277" s="35"/>
    </row>
    <row r="278" spans="2:3" x14ac:dyDescent="0.3">
      <c r="B278" s="35"/>
      <c r="C278" s="35"/>
    </row>
    <row r="279" spans="2:3" x14ac:dyDescent="0.3">
      <c r="B279" s="35"/>
      <c r="C279" s="35"/>
    </row>
    <row r="280" spans="2:3" x14ac:dyDescent="0.3">
      <c r="B280" s="35"/>
      <c r="C280" s="35"/>
    </row>
    <row r="281" spans="2:3" x14ac:dyDescent="0.3">
      <c r="B281" s="35"/>
      <c r="C281" s="35"/>
    </row>
    <row r="282" spans="2:3" x14ac:dyDescent="0.3">
      <c r="B282" s="35"/>
      <c r="C282" s="35"/>
    </row>
    <row r="283" spans="2:3" x14ac:dyDescent="0.3">
      <c r="B283" s="35"/>
      <c r="C283" s="35"/>
    </row>
    <row r="284" spans="2:3" x14ac:dyDescent="0.3">
      <c r="B284" s="35"/>
      <c r="C284" s="35"/>
    </row>
    <row r="285" spans="2:3" x14ac:dyDescent="0.3">
      <c r="B285" s="35"/>
      <c r="C285" s="35"/>
    </row>
    <row r="286" spans="2:3" x14ac:dyDescent="0.3">
      <c r="B286" s="35"/>
      <c r="C286" s="35"/>
    </row>
    <row r="287" spans="2:3" x14ac:dyDescent="0.3">
      <c r="B287" s="35"/>
      <c r="C287" s="35"/>
    </row>
    <row r="288" spans="2:3" x14ac:dyDescent="0.3">
      <c r="B288" s="35"/>
      <c r="C288" s="35"/>
    </row>
    <row r="289" spans="2:3" x14ac:dyDescent="0.3">
      <c r="B289" s="35"/>
      <c r="C289" s="35"/>
    </row>
    <row r="290" spans="2:3" x14ac:dyDescent="0.3">
      <c r="B290" s="35"/>
      <c r="C290" s="35"/>
    </row>
    <row r="291" spans="2:3" x14ac:dyDescent="0.3">
      <c r="B291" s="35"/>
      <c r="C291" s="35"/>
    </row>
    <row r="292" spans="2:3" x14ac:dyDescent="0.3">
      <c r="B292" s="35"/>
      <c r="C292" s="35"/>
    </row>
    <row r="293" spans="2:3" x14ac:dyDescent="0.3">
      <c r="B293" s="35"/>
      <c r="C293" s="35"/>
    </row>
    <row r="294" spans="2:3" x14ac:dyDescent="0.3">
      <c r="B294" s="35"/>
      <c r="C294" s="35"/>
    </row>
    <row r="295" spans="2:3" x14ac:dyDescent="0.3">
      <c r="B295" s="35"/>
      <c r="C295" s="35"/>
    </row>
    <row r="296" spans="2:3" x14ac:dyDescent="0.3">
      <c r="B296" s="35"/>
      <c r="C296" s="35"/>
    </row>
    <row r="297" spans="2:3" x14ac:dyDescent="0.3">
      <c r="B297" s="35"/>
      <c r="C297" s="35"/>
    </row>
    <row r="298" spans="2:3" x14ac:dyDescent="0.3">
      <c r="B298" s="35"/>
      <c r="C298" s="35"/>
    </row>
    <row r="299" spans="2:3" x14ac:dyDescent="0.3">
      <c r="B299" s="35"/>
      <c r="C299" s="35"/>
    </row>
    <row r="300" spans="2:3" x14ac:dyDescent="0.3">
      <c r="B300" s="35"/>
      <c r="C300" s="35"/>
    </row>
    <row r="301" spans="2:3" x14ac:dyDescent="0.3">
      <c r="B301" s="35"/>
      <c r="C301" s="35"/>
    </row>
    <row r="302" spans="2:3" x14ac:dyDescent="0.3">
      <c r="B302" s="35"/>
      <c r="C302" s="35"/>
    </row>
    <row r="303" spans="2:3" x14ac:dyDescent="0.3">
      <c r="B303" s="35"/>
      <c r="C303" s="35"/>
    </row>
    <row r="304" spans="2:3" x14ac:dyDescent="0.3">
      <c r="B304" s="35"/>
      <c r="C304" s="35"/>
    </row>
    <row r="305" spans="2:3" x14ac:dyDescent="0.3">
      <c r="B305" s="35"/>
      <c r="C305" s="35"/>
    </row>
    <row r="306" spans="2:3" x14ac:dyDescent="0.3">
      <c r="B306" s="35"/>
      <c r="C306" s="35"/>
    </row>
    <row r="307" spans="2:3" x14ac:dyDescent="0.3">
      <c r="B307" s="35"/>
      <c r="C307" s="35"/>
    </row>
    <row r="308" spans="2:3" x14ac:dyDescent="0.3">
      <c r="B308" s="35"/>
      <c r="C308" s="35"/>
    </row>
    <row r="309" spans="2:3" x14ac:dyDescent="0.3">
      <c r="B309" s="35"/>
      <c r="C309" s="35"/>
    </row>
    <row r="310" spans="2:3" x14ac:dyDescent="0.3">
      <c r="B310" s="35"/>
      <c r="C310" s="35"/>
    </row>
    <row r="311" spans="2:3" x14ac:dyDescent="0.3">
      <c r="B311" s="35"/>
      <c r="C311" s="35"/>
    </row>
    <row r="312" spans="2:3" x14ac:dyDescent="0.3">
      <c r="B312" s="35"/>
      <c r="C312" s="35"/>
    </row>
    <row r="313" spans="2:3" x14ac:dyDescent="0.3">
      <c r="B313" s="35"/>
      <c r="C313" s="35"/>
    </row>
    <row r="314" spans="2:3" x14ac:dyDescent="0.3">
      <c r="B314" s="35"/>
      <c r="C314" s="35"/>
    </row>
    <row r="315" spans="2:3" x14ac:dyDescent="0.3">
      <c r="B315" s="35"/>
      <c r="C315" s="35"/>
    </row>
    <row r="316" spans="2:3" x14ac:dyDescent="0.3">
      <c r="B316" s="35"/>
      <c r="C316" s="35"/>
    </row>
    <row r="317" spans="2:3" x14ac:dyDescent="0.3">
      <c r="B317" s="35"/>
      <c r="C317" s="35"/>
    </row>
    <row r="318" spans="2:3" x14ac:dyDescent="0.3">
      <c r="B318" s="35"/>
      <c r="C318" s="35"/>
    </row>
    <row r="319" spans="2:3" x14ac:dyDescent="0.3">
      <c r="B319" s="35"/>
      <c r="C319" s="35"/>
    </row>
    <row r="320" spans="2:3" x14ac:dyDescent="0.3">
      <c r="B320" s="35"/>
      <c r="C320" s="35"/>
    </row>
    <row r="321" spans="2:3" x14ac:dyDescent="0.3">
      <c r="B321" s="35"/>
      <c r="C321" s="35"/>
    </row>
    <row r="322" spans="2:3" x14ac:dyDescent="0.3">
      <c r="B322" s="35"/>
      <c r="C322" s="35"/>
    </row>
    <row r="323" spans="2:3" x14ac:dyDescent="0.3">
      <c r="B323" s="35"/>
      <c r="C323" s="35"/>
    </row>
    <row r="324" spans="2:3" x14ac:dyDescent="0.3">
      <c r="B324" s="35"/>
      <c r="C324" s="35"/>
    </row>
    <row r="325" spans="2:3" x14ac:dyDescent="0.3">
      <c r="B325" s="35"/>
      <c r="C325" s="35"/>
    </row>
    <row r="326" spans="2:3" x14ac:dyDescent="0.3">
      <c r="B326" s="35"/>
      <c r="C326" s="35"/>
    </row>
    <row r="327" spans="2:3" x14ac:dyDescent="0.3">
      <c r="B327" s="35"/>
      <c r="C327" s="35"/>
    </row>
    <row r="328" spans="2:3" x14ac:dyDescent="0.3">
      <c r="B328" s="35"/>
      <c r="C328" s="35"/>
    </row>
    <row r="329" spans="2:3" x14ac:dyDescent="0.3">
      <c r="B329" s="35"/>
      <c r="C329" s="35"/>
    </row>
    <row r="330" spans="2:3" x14ac:dyDescent="0.3">
      <c r="B330" s="35"/>
      <c r="C330" s="35"/>
    </row>
    <row r="331" spans="2:3" x14ac:dyDescent="0.3">
      <c r="B331" s="35"/>
      <c r="C331" s="35"/>
    </row>
    <row r="332" spans="2:3" x14ac:dyDescent="0.3">
      <c r="B332" s="35"/>
      <c r="C332" s="35"/>
    </row>
    <row r="333" spans="2:3" x14ac:dyDescent="0.3">
      <c r="B333" s="35"/>
      <c r="C333" s="35"/>
    </row>
    <row r="334" spans="2:3" x14ac:dyDescent="0.3">
      <c r="B334" s="35"/>
      <c r="C334" s="35"/>
    </row>
    <row r="335" spans="2:3" x14ac:dyDescent="0.3">
      <c r="B335" s="35"/>
      <c r="C335" s="35"/>
    </row>
    <row r="336" spans="2:3" x14ac:dyDescent="0.3">
      <c r="B336" s="35"/>
      <c r="C336" s="35"/>
    </row>
    <row r="337" spans="2:3" x14ac:dyDescent="0.3">
      <c r="B337" s="35"/>
      <c r="C337" s="35"/>
    </row>
    <row r="338" spans="2:3" x14ac:dyDescent="0.3">
      <c r="B338" s="35"/>
      <c r="C338" s="35"/>
    </row>
    <row r="339" spans="2:3" x14ac:dyDescent="0.3">
      <c r="B339" s="35"/>
      <c r="C339" s="35"/>
    </row>
    <row r="340" spans="2:3" x14ac:dyDescent="0.3">
      <c r="B340" s="35"/>
      <c r="C340" s="35"/>
    </row>
    <row r="341" spans="2:3" x14ac:dyDescent="0.3">
      <c r="B341" s="35"/>
      <c r="C341" s="35"/>
    </row>
    <row r="342" spans="2:3" x14ac:dyDescent="0.3">
      <c r="B342" s="35"/>
      <c r="C342" s="35"/>
    </row>
    <row r="343" spans="2:3" x14ac:dyDescent="0.3">
      <c r="B343" s="35"/>
      <c r="C343" s="35"/>
    </row>
    <row r="344" spans="2:3" x14ac:dyDescent="0.3">
      <c r="B344" s="35"/>
      <c r="C344" s="35"/>
    </row>
    <row r="345" spans="2:3" x14ac:dyDescent="0.3">
      <c r="B345" s="35"/>
      <c r="C345" s="35"/>
    </row>
    <row r="346" spans="2:3" x14ac:dyDescent="0.3">
      <c r="B346" s="35"/>
      <c r="C346" s="35"/>
    </row>
    <row r="347" spans="2:3" x14ac:dyDescent="0.3">
      <c r="B347" s="35"/>
      <c r="C347" s="35"/>
    </row>
    <row r="348" spans="2:3" x14ac:dyDescent="0.3">
      <c r="B348" s="35"/>
      <c r="C348" s="35"/>
    </row>
    <row r="349" spans="2:3" x14ac:dyDescent="0.3">
      <c r="B349" s="35"/>
      <c r="C349" s="35"/>
    </row>
    <row r="350" spans="2:3" x14ac:dyDescent="0.3">
      <c r="B350" s="35"/>
      <c r="C350" s="35"/>
    </row>
    <row r="351" spans="2:3" x14ac:dyDescent="0.3">
      <c r="B351" s="35"/>
      <c r="C351" s="35"/>
    </row>
    <row r="352" spans="2:3" x14ac:dyDescent="0.3">
      <c r="B352" s="35"/>
      <c r="C352" s="35"/>
    </row>
    <row r="353" spans="2:3" x14ac:dyDescent="0.3">
      <c r="B353" s="35"/>
      <c r="C353" s="35"/>
    </row>
    <row r="354" spans="2:3" x14ac:dyDescent="0.3">
      <c r="B354" s="35"/>
      <c r="C354" s="35"/>
    </row>
    <row r="355" spans="2:3" x14ac:dyDescent="0.3">
      <c r="B355" s="35"/>
      <c r="C355" s="35"/>
    </row>
    <row r="356" spans="2:3" x14ac:dyDescent="0.3">
      <c r="B356" s="35"/>
      <c r="C356" s="35"/>
    </row>
    <row r="357" spans="2:3" x14ac:dyDescent="0.3">
      <c r="B357" s="35"/>
      <c r="C357" s="35"/>
    </row>
    <row r="358" spans="2:3" x14ac:dyDescent="0.3">
      <c r="B358" s="35"/>
      <c r="C358" s="35"/>
    </row>
    <row r="359" spans="2:3" x14ac:dyDescent="0.3">
      <c r="B359" s="35"/>
      <c r="C359" s="35"/>
    </row>
    <row r="360" spans="2:3" x14ac:dyDescent="0.3">
      <c r="B360" s="35"/>
      <c r="C360" s="35"/>
    </row>
    <row r="361" spans="2:3" x14ac:dyDescent="0.3">
      <c r="B361" s="35"/>
      <c r="C361" s="35"/>
    </row>
    <row r="362" spans="2:3" x14ac:dyDescent="0.3">
      <c r="B362" s="35"/>
      <c r="C362" s="35"/>
    </row>
    <row r="363" spans="2:3" x14ac:dyDescent="0.3">
      <c r="B363" s="35"/>
      <c r="C363" s="35"/>
    </row>
    <row r="364" spans="2:3" x14ac:dyDescent="0.3">
      <c r="B364" s="35"/>
      <c r="C364" s="35"/>
    </row>
    <row r="365" spans="2:3" x14ac:dyDescent="0.3">
      <c r="B365" s="35"/>
      <c r="C365" s="35"/>
    </row>
    <row r="366" spans="2:3" x14ac:dyDescent="0.3">
      <c r="B366" s="35"/>
      <c r="C366" s="35"/>
    </row>
    <row r="367" spans="2:3" x14ac:dyDescent="0.3">
      <c r="B367" s="35"/>
      <c r="C367" s="35"/>
    </row>
    <row r="368" spans="2:3" x14ac:dyDescent="0.3">
      <c r="B368" s="35"/>
      <c r="C368" s="35"/>
    </row>
    <row r="369" spans="2:3" x14ac:dyDescent="0.3">
      <c r="B369" s="35"/>
      <c r="C369" s="35"/>
    </row>
    <row r="370" spans="2:3" x14ac:dyDescent="0.3">
      <c r="B370" s="35"/>
      <c r="C370" s="35"/>
    </row>
    <row r="371" spans="2:3" x14ac:dyDescent="0.3">
      <c r="B371" s="35"/>
      <c r="C371" s="35"/>
    </row>
    <row r="372" spans="2:3" x14ac:dyDescent="0.3">
      <c r="B372" s="35"/>
      <c r="C372" s="35"/>
    </row>
    <row r="373" spans="2:3" x14ac:dyDescent="0.3">
      <c r="B373" s="35"/>
      <c r="C373" s="35"/>
    </row>
    <row r="374" spans="2:3" x14ac:dyDescent="0.3">
      <c r="B374" s="35"/>
      <c r="C374" s="35"/>
    </row>
    <row r="375" spans="2:3" x14ac:dyDescent="0.3">
      <c r="B375" s="35"/>
      <c r="C375" s="35"/>
    </row>
    <row r="376" spans="2:3" x14ac:dyDescent="0.3">
      <c r="B376" s="35"/>
      <c r="C376" s="35"/>
    </row>
    <row r="377" spans="2:3" x14ac:dyDescent="0.3">
      <c r="B377" s="35"/>
      <c r="C377" s="35"/>
    </row>
    <row r="378" spans="2:3" x14ac:dyDescent="0.3">
      <c r="B378" s="35"/>
      <c r="C378" s="35"/>
    </row>
    <row r="379" spans="2:3" x14ac:dyDescent="0.3">
      <c r="B379" s="35"/>
      <c r="C379" s="35"/>
    </row>
    <row r="380" spans="2:3" x14ac:dyDescent="0.3">
      <c r="B380" s="35"/>
      <c r="C380" s="35"/>
    </row>
    <row r="381" spans="2:3" x14ac:dyDescent="0.3">
      <c r="B381" s="35"/>
      <c r="C381" s="35"/>
    </row>
    <row r="382" spans="2:3" x14ac:dyDescent="0.3">
      <c r="B382" s="35"/>
      <c r="C382" s="35"/>
    </row>
    <row r="383" spans="2:3" x14ac:dyDescent="0.3">
      <c r="B383" s="35"/>
      <c r="C383" s="35"/>
    </row>
    <row r="384" spans="2:3" x14ac:dyDescent="0.3">
      <c r="B384" s="35"/>
      <c r="C384" s="35"/>
    </row>
    <row r="385" spans="2:3" x14ac:dyDescent="0.3">
      <c r="B385" s="35"/>
      <c r="C385" s="35"/>
    </row>
    <row r="386" spans="2:3" x14ac:dyDescent="0.3">
      <c r="B386" s="35"/>
      <c r="C386" s="35"/>
    </row>
    <row r="387" spans="2:3" x14ac:dyDescent="0.3">
      <c r="B387" s="35"/>
      <c r="C387" s="35"/>
    </row>
    <row r="388" spans="2:3" x14ac:dyDescent="0.3">
      <c r="B388" s="35"/>
      <c r="C388" s="35"/>
    </row>
    <row r="389" spans="2:3" x14ac:dyDescent="0.3">
      <c r="B389" s="35"/>
      <c r="C389" s="35"/>
    </row>
    <row r="390" spans="2:3" x14ac:dyDescent="0.3">
      <c r="B390" s="35"/>
      <c r="C390" s="35"/>
    </row>
    <row r="391" spans="2:3" x14ac:dyDescent="0.3">
      <c r="B391" s="35"/>
      <c r="C391" s="35"/>
    </row>
    <row r="392" spans="2:3" x14ac:dyDescent="0.3">
      <c r="B392" s="35"/>
      <c r="C392" s="35"/>
    </row>
    <row r="393" spans="2:3" x14ac:dyDescent="0.3">
      <c r="B393" s="35"/>
      <c r="C393" s="35"/>
    </row>
    <row r="394" spans="2:3" x14ac:dyDescent="0.3">
      <c r="B394" s="35"/>
      <c r="C394" s="35"/>
    </row>
    <row r="395" spans="2:3" x14ac:dyDescent="0.3">
      <c r="B395" s="35"/>
      <c r="C395" s="35"/>
    </row>
    <row r="396" spans="2:3" x14ac:dyDescent="0.3">
      <c r="B396" s="35"/>
      <c r="C396" s="35"/>
    </row>
    <row r="397" spans="2:3" x14ac:dyDescent="0.3">
      <c r="B397" s="35"/>
      <c r="C397" s="35"/>
    </row>
    <row r="398" spans="2:3" x14ac:dyDescent="0.3">
      <c r="B398" s="35"/>
      <c r="C398" s="35"/>
    </row>
    <row r="399" spans="2:3" x14ac:dyDescent="0.3">
      <c r="B399" s="35"/>
      <c r="C399" s="35"/>
    </row>
    <row r="400" spans="2:3" x14ac:dyDescent="0.3">
      <c r="B400" s="35"/>
      <c r="C400" s="35"/>
    </row>
    <row r="401" spans="2:3" x14ac:dyDescent="0.3">
      <c r="B401" s="35"/>
      <c r="C401" s="35"/>
    </row>
    <row r="402" spans="2:3" x14ac:dyDescent="0.3">
      <c r="B402" s="35"/>
      <c r="C402" s="35"/>
    </row>
    <row r="403" spans="2:3" x14ac:dyDescent="0.3">
      <c r="B403" s="35"/>
      <c r="C403" s="35"/>
    </row>
    <row r="404" spans="2:3" x14ac:dyDescent="0.3">
      <c r="B404" s="35"/>
      <c r="C404" s="35"/>
    </row>
    <row r="405" spans="2:3" x14ac:dyDescent="0.3">
      <c r="B405" s="35"/>
      <c r="C405" s="35"/>
    </row>
    <row r="406" spans="2:3" x14ac:dyDescent="0.3">
      <c r="B406" s="35"/>
      <c r="C406" s="35"/>
    </row>
    <row r="407" spans="2:3" x14ac:dyDescent="0.3">
      <c r="B407" s="35"/>
      <c r="C407" s="35"/>
    </row>
    <row r="408" spans="2:3" x14ac:dyDescent="0.3">
      <c r="B408" s="35"/>
      <c r="C408" s="35"/>
    </row>
    <row r="409" spans="2:3" x14ac:dyDescent="0.3">
      <c r="B409" s="35"/>
      <c r="C409" s="35"/>
    </row>
    <row r="410" spans="2:3" x14ac:dyDescent="0.3">
      <c r="B410" s="35"/>
      <c r="C410" s="35"/>
    </row>
    <row r="411" spans="2:3" x14ac:dyDescent="0.3">
      <c r="B411" s="35"/>
      <c r="C411" s="35"/>
    </row>
    <row r="412" spans="2:3" x14ac:dyDescent="0.3">
      <c r="B412" s="35"/>
      <c r="C412" s="35"/>
    </row>
    <row r="413" spans="2:3" x14ac:dyDescent="0.3">
      <c r="B413" s="35"/>
      <c r="C413" s="35"/>
    </row>
    <row r="414" spans="2:3" x14ac:dyDescent="0.3">
      <c r="B414" s="35"/>
      <c r="C414" s="35"/>
    </row>
    <row r="415" spans="2:3" x14ac:dyDescent="0.3">
      <c r="B415" s="35"/>
      <c r="C415" s="35"/>
    </row>
    <row r="416" spans="2:3" x14ac:dyDescent="0.3">
      <c r="B416" s="35"/>
      <c r="C416" s="35"/>
    </row>
    <row r="417" spans="2:3" x14ac:dyDescent="0.3">
      <c r="B417" s="35"/>
      <c r="C417" s="35"/>
    </row>
    <row r="418" spans="2:3" x14ac:dyDescent="0.3">
      <c r="B418" s="35"/>
      <c r="C418" s="35"/>
    </row>
    <row r="419" spans="2:3" x14ac:dyDescent="0.3">
      <c r="B419" s="35"/>
      <c r="C419" s="35"/>
    </row>
    <row r="420" spans="2:3" x14ac:dyDescent="0.3">
      <c r="B420" s="35"/>
      <c r="C420" s="35"/>
    </row>
    <row r="421" spans="2:3" x14ac:dyDescent="0.3">
      <c r="B421" s="35"/>
      <c r="C421" s="35"/>
    </row>
    <row r="422" spans="2:3" x14ac:dyDescent="0.3">
      <c r="B422" s="35"/>
      <c r="C422" s="35"/>
    </row>
    <row r="423" spans="2:3" x14ac:dyDescent="0.3">
      <c r="B423" s="35"/>
      <c r="C423" s="35"/>
    </row>
    <row r="424" spans="2:3" x14ac:dyDescent="0.3">
      <c r="B424" s="35"/>
      <c r="C424" s="35"/>
    </row>
    <row r="425" spans="2:3" x14ac:dyDescent="0.3">
      <c r="B425" s="35"/>
      <c r="C425" s="35"/>
    </row>
    <row r="426" spans="2:3" x14ac:dyDescent="0.3">
      <c r="B426" s="35"/>
      <c r="C426" s="35"/>
    </row>
    <row r="427" spans="2:3" x14ac:dyDescent="0.3">
      <c r="B427" s="35"/>
      <c r="C427" s="35"/>
    </row>
    <row r="428" spans="2:3" x14ac:dyDescent="0.3">
      <c r="B428" s="35"/>
      <c r="C428" s="35"/>
    </row>
    <row r="429" spans="2:3" x14ac:dyDescent="0.3">
      <c r="B429" s="35"/>
      <c r="C429" s="35"/>
    </row>
    <row r="430" spans="2:3" x14ac:dyDescent="0.3">
      <c r="B430" s="35"/>
      <c r="C430" s="35"/>
    </row>
    <row r="431" spans="2:3" x14ac:dyDescent="0.3">
      <c r="B431" s="35"/>
      <c r="C431" s="35"/>
    </row>
    <row r="432" spans="2:3" x14ac:dyDescent="0.3">
      <c r="B432" s="35"/>
      <c r="C432" s="35"/>
    </row>
    <row r="433" spans="2:3" x14ac:dyDescent="0.3">
      <c r="B433" s="35"/>
      <c r="C433" s="35"/>
    </row>
    <row r="434" spans="2:3" x14ac:dyDescent="0.3">
      <c r="B434" s="35"/>
      <c r="C434" s="35"/>
    </row>
    <row r="435" spans="2:3" x14ac:dyDescent="0.3">
      <c r="B435" s="35"/>
      <c r="C435" s="35"/>
    </row>
    <row r="436" spans="2:3" x14ac:dyDescent="0.3">
      <c r="B436" s="35"/>
      <c r="C436" s="35"/>
    </row>
    <row r="437" spans="2:3" x14ac:dyDescent="0.3">
      <c r="B437" s="35"/>
      <c r="C437" s="35"/>
    </row>
    <row r="438" spans="2:3" x14ac:dyDescent="0.3">
      <c r="B438" s="35"/>
      <c r="C438" s="35"/>
    </row>
    <row r="439" spans="2:3" x14ac:dyDescent="0.3">
      <c r="B439" s="35"/>
      <c r="C439" s="35"/>
    </row>
    <row r="440" spans="2:3" x14ac:dyDescent="0.3">
      <c r="B440" s="35"/>
      <c r="C440" s="35"/>
    </row>
    <row r="441" spans="2:3" x14ac:dyDescent="0.3">
      <c r="B441" s="35"/>
      <c r="C441" s="35"/>
    </row>
    <row r="442" spans="2:3" x14ac:dyDescent="0.3">
      <c r="B442" s="35"/>
      <c r="C442" s="35"/>
    </row>
    <row r="443" spans="2:3" x14ac:dyDescent="0.3">
      <c r="B443" s="35"/>
      <c r="C443" s="35"/>
    </row>
    <row r="444" spans="2:3" x14ac:dyDescent="0.3">
      <c r="B444" s="35"/>
      <c r="C444" s="35"/>
    </row>
    <row r="445" spans="2:3" x14ac:dyDescent="0.3">
      <c r="B445" s="35"/>
      <c r="C445" s="35"/>
    </row>
    <row r="446" spans="2:3" x14ac:dyDescent="0.3">
      <c r="B446" s="35"/>
      <c r="C446" s="35"/>
    </row>
    <row r="447" spans="2:3" x14ac:dyDescent="0.3">
      <c r="B447" s="35"/>
      <c r="C447" s="35"/>
    </row>
    <row r="448" spans="2:3" x14ac:dyDescent="0.3">
      <c r="B448" s="35"/>
      <c r="C448" s="35"/>
    </row>
    <row r="449" spans="2:3" x14ac:dyDescent="0.3">
      <c r="B449" s="35"/>
      <c r="C449" s="35"/>
    </row>
    <row r="450" spans="2:3" x14ac:dyDescent="0.3">
      <c r="B450" s="35"/>
      <c r="C450" s="35"/>
    </row>
    <row r="451" spans="2:3" x14ac:dyDescent="0.3">
      <c r="B451" s="35"/>
      <c r="C451" s="35"/>
    </row>
    <row r="452" spans="2:3" x14ac:dyDescent="0.3">
      <c r="B452" s="35"/>
      <c r="C452" s="35"/>
    </row>
    <row r="453" spans="2:3" x14ac:dyDescent="0.3">
      <c r="B453" s="35"/>
      <c r="C453" s="35"/>
    </row>
    <row r="454" spans="2:3" x14ac:dyDescent="0.3">
      <c r="B454" s="35"/>
      <c r="C454" s="35"/>
    </row>
    <row r="455" spans="2:3" x14ac:dyDescent="0.3">
      <c r="B455" s="35"/>
      <c r="C455" s="35"/>
    </row>
    <row r="456" spans="2:3" x14ac:dyDescent="0.3">
      <c r="B456" s="35"/>
      <c r="C456" s="35"/>
    </row>
    <row r="457" spans="2:3" x14ac:dyDescent="0.3">
      <c r="B457" s="35"/>
      <c r="C457" s="35"/>
    </row>
    <row r="458" spans="2:3" x14ac:dyDescent="0.3">
      <c r="B458" s="35"/>
      <c r="C458" s="35"/>
    </row>
    <row r="459" spans="2:3" x14ac:dyDescent="0.3">
      <c r="B459" s="35"/>
      <c r="C459" s="35"/>
    </row>
    <row r="460" spans="2:3" x14ac:dyDescent="0.3">
      <c r="B460" s="35"/>
      <c r="C460" s="35"/>
    </row>
    <row r="461" spans="2:3" x14ac:dyDescent="0.3">
      <c r="B461" s="35"/>
      <c r="C461" s="35"/>
    </row>
    <row r="462" spans="2:3" x14ac:dyDescent="0.3">
      <c r="B462" s="35"/>
      <c r="C462" s="35"/>
    </row>
    <row r="463" spans="2:3" x14ac:dyDescent="0.3">
      <c r="B463" s="35"/>
      <c r="C463" s="35"/>
    </row>
    <row r="464" spans="2:3" x14ac:dyDescent="0.3">
      <c r="B464" s="35"/>
      <c r="C464" s="35"/>
    </row>
    <row r="465" spans="2:3" x14ac:dyDescent="0.3">
      <c r="B465" s="35"/>
      <c r="C465" s="35"/>
    </row>
    <row r="466" spans="2:3" x14ac:dyDescent="0.3">
      <c r="B466" s="35"/>
      <c r="C466" s="35"/>
    </row>
    <row r="467" spans="2:3" x14ac:dyDescent="0.3">
      <c r="B467" s="35"/>
      <c r="C467" s="35"/>
    </row>
    <row r="468" spans="2:3" x14ac:dyDescent="0.3">
      <c r="B468" s="35"/>
      <c r="C468" s="35"/>
    </row>
    <row r="469" spans="2:3" x14ac:dyDescent="0.3">
      <c r="B469" s="35"/>
      <c r="C469" s="35"/>
    </row>
    <row r="470" spans="2:3" x14ac:dyDescent="0.3">
      <c r="B470" s="35"/>
      <c r="C470" s="35"/>
    </row>
    <row r="471" spans="2:3" x14ac:dyDescent="0.3">
      <c r="B471" s="35"/>
      <c r="C471" s="35"/>
    </row>
    <row r="472" spans="2:3" x14ac:dyDescent="0.3">
      <c r="B472" s="35"/>
      <c r="C472" s="35"/>
    </row>
    <row r="473" spans="2:3" x14ac:dyDescent="0.3">
      <c r="B473" s="35"/>
      <c r="C473" s="35"/>
    </row>
    <row r="474" spans="2:3" x14ac:dyDescent="0.3">
      <c r="B474" s="35"/>
      <c r="C474" s="35"/>
    </row>
    <row r="475" spans="2:3" x14ac:dyDescent="0.3">
      <c r="B475" s="35"/>
      <c r="C475" s="35"/>
    </row>
    <row r="476" spans="2:3" x14ac:dyDescent="0.3">
      <c r="B476" s="35"/>
      <c r="C476" s="35"/>
    </row>
    <row r="477" spans="2:3" x14ac:dyDescent="0.3">
      <c r="B477" s="35"/>
      <c r="C477" s="35"/>
    </row>
    <row r="478" spans="2:3" x14ac:dyDescent="0.3">
      <c r="B478" s="35"/>
      <c r="C478" s="35"/>
    </row>
    <row r="479" spans="2:3" x14ac:dyDescent="0.3">
      <c r="B479" s="35"/>
      <c r="C479" s="35"/>
    </row>
    <row r="480" spans="2:3" x14ac:dyDescent="0.3">
      <c r="B480" s="35"/>
      <c r="C480" s="35"/>
    </row>
    <row r="481" spans="2:3" x14ac:dyDescent="0.3">
      <c r="B481" s="35"/>
      <c r="C481" s="35"/>
    </row>
    <row r="482" spans="2:3" x14ac:dyDescent="0.3">
      <c r="B482" s="35"/>
      <c r="C482" s="35"/>
    </row>
    <row r="483" spans="2:3" x14ac:dyDescent="0.3">
      <c r="B483" s="35"/>
      <c r="C483" s="35"/>
    </row>
    <row r="484" spans="2:3" x14ac:dyDescent="0.3">
      <c r="B484" s="35"/>
      <c r="C484" s="35"/>
    </row>
    <row r="485" spans="2:3" x14ac:dyDescent="0.3">
      <c r="B485" s="35"/>
      <c r="C485" s="35"/>
    </row>
    <row r="486" spans="2:3" x14ac:dyDescent="0.3">
      <c r="B486" s="35"/>
      <c r="C486" s="35"/>
    </row>
    <row r="487" spans="2:3" x14ac:dyDescent="0.3">
      <c r="B487" s="35"/>
      <c r="C487" s="35"/>
    </row>
    <row r="488" spans="2:3" x14ac:dyDescent="0.3">
      <c r="B488" s="35"/>
      <c r="C488" s="35"/>
    </row>
    <row r="489" spans="2:3" x14ac:dyDescent="0.3">
      <c r="B489" s="35"/>
      <c r="C489" s="35"/>
    </row>
    <row r="490" spans="2:3" x14ac:dyDescent="0.3">
      <c r="B490" s="35"/>
      <c r="C490" s="35"/>
    </row>
    <row r="491" spans="2:3" x14ac:dyDescent="0.3">
      <c r="B491" s="35"/>
      <c r="C491" s="35"/>
    </row>
    <row r="492" spans="2:3" x14ac:dyDescent="0.3">
      <c r="B492" s="35"/>
      <c r="C492" s="35"/>
    </row>
    <row r="493" spans="2:3" x14ac:dyDescent="0.3">
      <c r="B493" s="35"/>
      <c r="C493" s="35"/>
    </row>
    <row r="494" spans="2:3" x14ac:dyDescent="0.3">
      <c r="B494" s="35"/>
      <c r="C494" s="35"/>
    </row>
    <row r="495" spans="2:3" x14ac:dyDescent="0.3">
      <c r="B495" s="35"/>
      <c r="C495" s="35"/>
    </row>
    <row r="496" spans="2:3" x14ac:dyDescent="0.3">
      <c r="B496" s="35"/>
      <c r="C496" s="35"/>
    </row>
    <row r="497" spans="2:3" x14ac:dyDescent="0.3">
      <c r="B497" s="35"/>
      <c r="C497" s="35"/>
    </row>
    <row r="498" spans="2:3" x14ac:dyDescent="0.3">
      <c r="B498" s="35"/>
      <c r="C498" s="35"/>
    </row>
    <row r="499" spans="2:3" x14ac:dyDescent="0.3">
      <c r="B499" s="35"/>
      <c r="C499" s="35"/>
    </row>
    <row r="500" spans="2:3" x14ac:dyDescent="0.3">
      <c r="B500" s="35"/>
      <c r="C500" s="35"/>
    </row>
    <row r="501" spans="2:3" x14ac:dyDescent="0.3">
      <c r="B501" s="35"/>
      <c r="C501" s="35"/>
    </row>
    <row r="502" spans="2:3" x14ac:dyDescent="0.3">
      <c r="B502" s="35"/>
      <c r="C502" s="35"/>
    </row>
    <row r="503" spans="2:3" x14ac:dyDescent="0.3">
      <c r="B503" s="35"/>
      <c r="C503" s="35"/>
    </row>
    <row r="504" spans="2:3" x14ac:dyDescent="0.3">
      <c r="B504" s="35"/>
      <c r="C504" s="35"/>
    </row>
    <row r="505" spans="2:3" x14ac:dyDescent="0.3">
      <c r="B505" s="35"/>
      <c r="C505" s="35"/>
    </row>
    <row r="506" spans="2:3" x14ac:dyDescent="0.3">
      <c r="B506" s="35"/>
      <c r="C506" s="35"/>
    </row>
    <row r="507" spans="2:3" x14ac:dyDescent="0.3">
      <c r="B507" s="35"/>
      <c r="C507" s="35"/>
    </row>
    <row r="508" spans="2:3" x14ac:dyDescent="0.3">
      <c r="B508" s="35"/>
      <c r="C508" s="35"/>
    </row>
    <row r="509" spans="2:3" x14ac:dyDescent="0.3">
      <c r="B509" s="35"/>
      <c r="C509" s="35"/>
    </row>
    <row r="510" spans="2:3" x14ac:dyDescent="0.3">
      <c r="B510" s="35"/>
      <c r="C510" s="35"/>
    </row>
    <row r="511" spans="2:3" x14ac:dyDescent="0.3">
      <c r="B511" s="35"/>
      <c r="C511" s="35"/>
    </row>
    <row r="512" spans="2:3" x14ac:dyDescent="0.3">
      <c r="B512" s="35"/>
      <c r="C512" s="35"/>
    </row>
    <row r="513" spans="2:3" x14ac:dyDescent="0.3">
      <c r="B513" s="35"/>
      <c r="C513" s="35"/>
    </row>
    <row r="514" spans="2:3" x14ac:dyDescent="0.3">
      <c r="B514" s="35"/>
      <c r="C514" s="35"/>
    </row>
    <row r="515" spans="2:3" x14ac:dyDescent="0.3">
      <c r="B515" s="35"/>
      <c r="C515" s="35"/>
    </row>
    <row r="516" spans="2:3" x14ac:dyDescent="0.3">
      <c r="B516" s="35"/>
      <c r="C516" s="35"/>
    </row>
    <row r="517" spans="2:3" x14ac:dyDescent="0.3">
      <c r="B517" s="35"/>
      <c r="C517" s="35"/>
    </row>
    <row r="518" spans="2:3" x14ac:dyDescent="0.3">
      <c r="B518" s="35"/>
      <c r="C518" s="35"/>
    </row>
    <row r="519" spans="2:3" x14ac:dyDescent="0.3">
      <c r="B519" s="35"/>
      <c r="C519" s="35"/>
    </row>
    <row r="520" spans="2:3" x14ac:dyDescent="0.3">
      <c r="B520" s="35"/>
      <c r="C520" s="35"/>
    </row>
    <row r="521" spans="2:3" x14ac:dyDescent="0.3">
      <c r="B521" s="35"/>
      <c r="C521" s="35"/>
    </row>
    <row r="522" spans="2:3" x14ac:dyDescent="0.3">
      <c r="B522" s="35"/>
      <c r="C522" s="35"/>
    </row>
    <row r="523" spans="2:3" x14ac:dyDescent="0.3">
      <c r="B523" s="35"/>
      <c r="C523" s="35"/>
    </row>
    <row r="524" spans="2:3" x14ac:dyDescent="0.3">
      <c r="B524" s="35"/>
      <c r="C524" s="35"/>
    </row>
    <row r="525" spans="2:3" x14ac:dyDescent="0.3">
      <c r="B525" s="35"/>
      <c r="C525" s="35"/>
    </row>
    <row r="526" spans="2:3" x14ac:dyDescent="0.3">
      <c r="B526" s="35"/>
      <c r="C526" s="35"/>
    </row>
    <row r="527" spans="2:3" x14ac:dyDescent="0.3">
      <c r="B527" s="35"/>
      <c r="C527" s="35"/>
    </row>
    <row r="528" spans="2:3" x14ac:dyDescent="0.3">
      <c r="B528" s="35"/>
      <c r="C528" s="35"/>
    </row>
    <row r="529" spans="2:3" x14ac:dyDescent="0.3">
      <c r="B529" s="35"/>
      <c r="C529" s="35"/>
    </row>
    <row r="530" spans="2:3" x14ac:dyDescent="0.3">
      <c r="B530" s="35"/>
      <c r="C530" s="35"/>
    </row>
    <row r="531" spans="2:3" x14ac:dyDescent="0.3">
      <c r="B531" s="35"/>
      <c r="C531" s="35"/>
    </row>
    <row r="532" spans="2:3" x14ac:dyDescent="0.3">
      <c r="B532" s="35"/>
      <c r="C532" s="35"/>
    </row>
    <row r="533" spans="2:3" x14ac:dyDescent="0.3">
      <c r="B533" s="35"/>
      <c r="C533" s="35"/>
    </row>
    <row r="534" spans="2:3" x14ac:dyDescent="0.3">
      <c r="B534" s="35"/>
      <c r="C534" s="35"/>
    </row>
    <row r="535" spans="2:3" x14ac:dyDescent="0.3">
      <c r="B535" s="35"/>
      <c r="C535" s="35"/>
    </row>
    <row r="536" spans="2:3" x14ac:dyDescent="0.3">
      <c r="B536" s="35"/>
      <c r="C536" s="35"/>
    </row>
    <row r="537" spans="2:3" x14ac:dyDescent="0.3">
      <c r="B537" s="35"/>
      <c r="C537" s="35"/>
    </row>
    <row r="538" spans="2:3" x14ac:dyDescent="0.3">
      <c r="B538" s="35"/>
      <c r="C538" s="35"/>
    </row>
    <row r="539" spans="2:3" x14ac:dyDescent="0.3">
      <c r="B539" s="35"/>
      <c r="C539" s="35"/>
    </row>
    <row r="540" spans="2:3" x14ac:dyDescent="0.3">
      <c r="B540" s="35"/>
      <c r="C540" s="35"/>
    </row>
    <row r="541" spans="2:3" x14ac:dyDescent="0.3">
      <c r="B541" s="35"/>
      <c r="C541" s="35"/>
    </row>
    <row r="542" spans="2:3" x14ac:dyDescent="0.3">
      <c r="B542" s="35"/>
      <c r="C542" s="35"/>
    </row>
    <row r="543" spans="2:3" x14ac:dyDescent="0.3">
      <c r="B543" s="35"/>
      <c r="C543" s="35"/>
    </row>
    <row r="544" spans="2:3" x14ac:dyDescent="0.3">
      <c r="B544" s="35"/>
      <c r="C544" s="35"/>
    </row>
    <row r="545" spans="2:3" x14ac:dyDescent="0.3">
      <c r="B545" s="35"/>
      <c r="C545" s="35"/>
    </row>
    <row r="546" spans="2:3" x14ac:dyDescent="0.3">
      <c r="B546" s="35"/>
      <c r="C546" s="35"/>
    </row>
    <row r="547" spans="2:3" x14ac:dyDescent="0.3">
      <c r="B547" s="35"/>
      <c r="C547" s="35"/>
    </row>
    <row r="548" spans="2:3" x14ac:dyDescent="0.3">
      <c r="B548" s="35"/>
      <c r="C548" s="35"/>
    </row>
    <row r="549" spans="2:3" x14ac:dyDescent="0.3">
      <c r="B549" s="35"/>
      <c r="C549" s="35"/>
    </row>
    <row r="550" spans="2:3" x14ac:dyDescent="0.3">
      <c r="B550" s="35"/>
      <c r="C550" s="35"/>
    </row>
    <row r="551" spans="2:3" x14ac:dyDescent="0.3">
      <c r="B551" s="35"/>
      <c r="C551" s="35"/>
    </row>
    <row r="552" spans="2:3" x14ac:dyDescent="0.3">
      <c r="B552" s="35"/>
      <c r="C552" s="35"/>
    </row>
    <row r="553" spans="2:3" x14ac:dyDescent="0.3">
      <c r="B553" s="35"/>
      <c r="C553" s="35"/>
    </row>
    <row r="554" spans="2:3" x14ac:dyDescent="0.3">
      <c r="B554" s="35"/>
      <c r="C554" s="35"/>
    </row>
    <row r="555" spans="2:3" x14ac:dyDescent="0.3">
      <c r="B555" s="35"/>
      <c r="C555" s="35"/>
    </row>
    <row r="556" spans="2:3" x14ac:dyDescent="0.3">
      <c r="B556" s="35"/>
      <c r="C556" s="35"/>
    </row>
    <row r="557" spans="2:3" x14ac:dyDescent="0.3">
      <c r="B557" s="35"/>
      <c r="C557" s="35"/>
    </row>
    <row r="558" spans="2:3" x14ac:dyDescent="0.3">
      <c r="B558" s="35"/>
      <c r="C558" s="35"/>
    </row>
    <row r="559" spans="2:3" x14ac:dyDescent="0.3">
      <c r="B559" s="35"/>
      <c r="C559" s="35"/>
    </row>
    <row r="560" spans="2:3" x14ac:dyDescent="0.3">
      <c r="B560" s="35"/>
      <c r="C560" s="35"/>
    </row>
    <row r="561" spans="2:3" x14ac:dyDescent="0.3">
      <c r="B561" s="35"/>
      <c r="C561" s="35"/>
    </row>
    <row r="562" spans="2:3" x14ac:dyDescent="0.3">
      <c r="B562" s="35"/>
      <c r="C562" s="35"/>
    </row>
    <row r="563" spans="2:3" x14ac:dyDescent="0.3">
      <c r="B563" s="35"/>
      <c r="C563" s="35"/>
    </row>
    <row r="564" spans="2:3" x14ac:dyDescent="0.3">
      <c r="B564" s="35"/>
      <c r="C564" s="35"/>
    </row>
    <row r="565" spans="2:3" x14ac:dyDescent="0.3">
      <c r="B565" s="35"/>
      <c r="C565" s="35"/>
    </row>
    <row r="566" spans="2:3" x14ac:dyDescent="0.3">
      <c r="B566" s="35"/>
      <c r="C566" s="35"/>
    </row>
    <row r="567" spans="2:3" x14ac:dyDescent="0.3">
      <c r="B567" s="35"/>
      <c r="C567" s="35"/>
    </row>
    <row r="568" spans="2:3" x14ac:dyDescent="0.3">
      <c r="B568" s="35"/>
      <c r="C568" s="35"/>
    </row>
    <row r="569" spans="2:3" x14ac:dyDescent="0.3">
      <c r="B569" s="35"/>
      <c r="C569" s="35"/>
    </row>
    <row r="570" spans="2:3" x14ac:dyDescent="0.3">
      <c r="B570" s="35"/>
      <c r="C570" s="35"/>
    </row>
    <row r="571" spans="2:3" x14ac:dyDescent="0.3">
      <c r="B571" s="35"/>
      <c r="C571" s="35"/>
    </row>
    <row r="572" spans="2:3" x14ac:dyDescent="0.3">
      <c r="B572" s="35"/>
      <c r="C572" s="35"/>
    </row>
    <row r="573" spans="2:3" x14ac:dyDescent="0.3">
      <c r="B573" s="35"/>
      <c r="C573" s="35"/>
    </row>
    <row r="574" spans="2:3" x14ac:dyDescent="0.3">
      <c r="B574" s="35"/>
      <c r="C574" s="35"/>
    </row>
    <row r="575" spans="2:3" x14ac:dyDescent="0.3">
      <c r="B575" s="35"/>
      <c r="C575" s="35"/>
    </row>
    <row r="576" spans="2:3" x14ac:dyDescent="0.3">
      <c r="B576" s="35"/>
      <c r="C576" s="35"/>
    </row>
    <row r="577" spans="2:3" x14ac:dyDescent="0.3">
      <c r="B577" s="35"/>
      <c r="C577" s="35"/>
    </row>
    <row r="578" spans="2:3" x14ac:dyDescent="0.3">
      <c r="B578" s="35"/>
      <c r="C578" s="35"/>
    </row>
    <row r="579" spans="2:3" x14ac:dyDescent="0.3">
      <c r="B579" s="35"/>
      <c r="C579" s="35"/>
    </row>
    <row r="580" spans="2:3" x14ac:dyDescent="0.3">
      <c r="B580" s="35"/>
      <c r="C580" s="35"/>
    </row>
    <row r="581" spans="2:3" x14ac:dyDescent="0.3">
      <c r="B581" s="35"/>
      <c r="C581" s="35"/>
    </row>
    <row r="582" spans="2:3" x14ac:dyDescent="0.3">
      <c r="B582" s="35"/>
      <c r="C582" s="35"/>
    </row>
    <row r="583" spans="2:3" x14ac:dyDescent="0.3">
      <c r="B583" s="35"/>
      <c r="C583" s="35"/>
    </row>
    <row r="584" spans="2:3" x14ac:dyDescent="0.3">
      <c r="B584" s="35"/>
      <c r="C584" s="35"/>
    </row>
    <row r="585" spans="2:3" x14ac:dyDescent="0.3">
      <c r="B585" s="35"/>
      <c r="C585" s="35"/>
    </row>
    <row r="586" spans="2:3" x14ac:dyDescent="0.3">
      <c r="B586" s="35"/>
      <c r="C586" s="35"/>
    </row>
    <row r="587" spans="2:3" x14ac:dyDescent="0.3">
      <c r="B587" s="35"/>
      <c r="C587" s="35"/>
    </row>
    <row r="588" spans="2:3" x14ac:dyDescent="0.3">
      <c r="B588" s="35"/>
      <c r="C588" s="35"/>
    </row>
    <row r="589" spans="2:3" x14ac:dyDescent="0.3">
      <c r="B589" s="35"/>
      <c r="C589" s="35"/>
    </row>
    <row r="590" spans="2:3" x14ac:dyDescent="0.3">
      <c r="B590" s="35"/>
      <c r="C590" s="35"/>
    </row>
    <row r="591" spans="2:3" x14ac:dyDescent="0.3">
      <c r="B591" s="35"/>
      <c r="C591" s="35"/>
    </row>
    <row r="592" spans="2:3" x14ac:dyDescent="0.3">
      <c r="B592" s="35"/>
      <c r="C592" s="35"/>
    </row>
    <row r="593" spans="2:3" x14ac:dyDescent="0.3">
      <c r="B593" s="35"/>
      <c r="C593" s="35"/>
    </row>
    <row r="594" spans="2:3" x14ac:dyDescent="0.3">
      <c r="B594" s="35"/>
      <c r="C594" s="35"/>
    </row>
    <row r="595" spans="2:3" x14ac:dyDescent="0.3">
      <c r="B595" s="35"/>
      <c r="C595" s="35"/>
    </row>
    <row r="596" spans="2:3" x14ac:dyDescent="0.3">
      <c r="B596" s="35"/>
      <c r="C596" s="35"/>
    </row>
    <row r="597" spans="2:3" x14ac:dyDescent="0.3">
      <c r="B597" s="35"/>
      <c r="C597" s="35"/>
    </row>
    <row r="598" spans="2:3" x14ac:dyDescent="0.3">
      <c r="B598" s="35"/>
      <c r="C598" s="35"/>
    </row>
    <row r="599" spans="2:3" x14ac:dyDescent="0.3">
      <c r="B599" s="35"/>
      <c r="C599" s="35"/>
    </row>
    <row r="600" spans="2:3" x14ac:dyDescent="0.3">
      <c r="B600" s="35"/>
      <c r="C600" s="35"/>
    </row>
    <row r="601" spans="2:3" x14ac:dyDescent="0.3">
      <c r="B601" s="35"/>
      <c r="C601" s="35"/>
    </row>
    <row r="602" spans="2:3" x14ac:dyDescent="0.3">
      <c r="B602" s="35"/>
      <c r="C602" s="35"/>
    </row>
    <row r="603" spans="2:3" x14ac:dyDescent="0.3">
      <c r="B603" s="35"/>
      <c r="C603" s="35"/>
    </row>
    <row r="604" spans="2:3" x14ac:dyDescent="0.3">
      <c r="B604" s="35"/>
      <c r="C604" s="35"/>
    </row>
    <row r="605" spans="2:3" x14ac:dyDescent="0.3">
      <c r="B605" s="35"/>
      <c r="C605" s="35"/>
    </row>
    <row r="606" spans="2:3" x14ac:dyDescent="0.3">
      <c r="B606" s="35"/>
      <c r="C606" s="35"/>
    </row>
    <row r="607" spans="2:3" x14ac:dyDescent="0.3">
      <c r="B607" s="35"/>
      <c r="C607" s="35"/>
    </row>
    <row r="608" spans="2:3" x14ac:dyDescent="0.3">
      <c r="B608" s="35"/>
      <c r="C608" s="35"/>
    </row>
    <row r="609" spans="2:3" x14ac:dyDescent="0.3">
      <c r="B609" s="35"/>
      <c r="C609" s="35"/>
    </row>
    <row r="610" spans="2:3" x14ac:dyDescent="0.3">
      <c r="B610" s="35"/>
      <c r="C610" s="35"/>
    </row>
    <row r="611" spans="2:3" x14ac:dyDescent="0.3">
      <c r="B611" s="35"/>
      <c r="C611" s="35"/>
    </row>
    <row r="612" spans="2:3" x14ac:dyDescent="0.3">
      <c r="B612" s="35"/>
      <c r="C612" s="35"/>
    </row>
    <row r="613" spans="2:3" x14ac:dyDescent="0.3">
      <c r="B613" s="35"/>
      <c r="C613" s="35"/>
    </row>
    <row r="614" spans="2:3" x14ac:dyDescent="0.3">
      <c r="B614" s="35"/>
      <c r="C614" s="35"/>
    </row>
    <row r="615" spans="2:3" x14ac:dyDescent="0.3">
      <c r="B615" s="35"/>
      <c r="C615" s="35"/>
    </row>
    <row r="616" spans="2:3" x14ac:dyDescent="0.3">
      <c r="B616" s="35"/>
      <c r="C616" s="35"/>
    </row>
    <row r="617" spans="2:3" x14ac:dyDescent="0.3">
      <c r="B617" s="35"/>
      <c r="C617" s="35"/>
    </row>
    <row r="618" spans="2:3" x14ac:dyDescent="0.3">
      <c r="B618" s="35"/>
      <c r="C618" s="35"/>
    </row>
    <row r="619" spans="2:3" x14ac:dyDescent="0.3">
      <c r="B619" s="35"/>
      <c r="C619" s="35"/>
    </row>
    <row r="620" spans="2:3" x14ac:dyDescent="0.3">
      <c r="B620" s="35"/>
      <c r="C620" s="35"/>
    </row>
    <row r="621" spans="2:3" x14ac:dyDescent="0.3">
      <c r="B621" s="35"/>
      <c r="C621" s="35"/>
    </row>
    <row r="622" spans="2:3" x14ac:dyDescent="0.3">
      <c r="B622" s="35"/>
      <c r="C622" s="35"/>
    </row>
    <row r="623" spans="2:3" x14ac:dyDescent="0.3">
      <c r="B623" s="35"/>
      <c r="C623" s="35"/>
    </row>
    <row r="624" spans="2:3" x14ac:dyDescent="0.3">
      <c r="B624" s="35"/>
      <c r="C624" s="35"/>
    </row>
    <row r="625" spans="2:3" x14ac:dyDescent="0.3">
      <c r="B625" s="35"/>
      <c r="C625" s="35"/>
    </row>
    <row r="626" spans="2:3" x14ac:dyDescent="0.3">
      <c r="B626" s="35"/>
      <c r="C626" s="35"/>
    </row>
    <row r="627" spans="2:3" x14ac:dyDescent="0.3">
      <c r="B627" s="35"/>
      <c r="C627" s="35"/>
    </row>
    <row r="628" spans="2:3" x14ac:dyDescent="0.3">
      <c r="B628" s="35"/>
      <c r="C628" s="35"/>
    </row>
    <row r="629" spans="2:3" x14ac:dyDescent="0.3">
      <c r="B629" s="35"/>
      <c r="C629" s="35"/>
    </row>
    <row r="630" spans="2:3" x14ac:dyDescent="0.3">
      <c r="B630" s="35"/>
      <c r="C630" s="35"/>
    </row>
    <row r="631" spans="2:3" x14ac:dyDescent="0.3">
      <c r="B631" s="35"/>
      <c r="C631" s="35"/>
    </row>
    <row r="632" spans="2:3" x14ac:dyDescent="0.3">
      <c r="B632" s="35"/>
      <c r="C632" s="35"/>
    </row>
    <row r="633" spans="2:3" x14ac:dyDescent="0.3">
      <c r="B633" s="35"/>
      <c r="C633" s="35"/>
    </row>
    <row r="634" spans="2:3" x14ac:dyDescent="0.3">
      <c r="B634" s="35"/>
      <c r="C634" s="35"/>
    </row>
    <row r="635" spans="2:3" x14ac:dyDescent="0.3">
      <c r="B635" s="35"/>
      <c r="C635" s="35"/>
    </row>
    <row r="636" spans="2:3" x14ac:dyDescent="0.3">
      <c r="B636" s="35"/>
      <c r="C636" s="35"/>
    </row>
    <row r="637" spans="2:3" x14ac:dyDescent="0.3">
      <c r="B637" s="35"/>
      <c r="C637" s="35"/>
    </row>
    <row r="638" spans="2:3" x14ac:dyDescent="0.3">
      <c r="B638" s="35"/>
      <c r="C638" s="35"/>
    </row>
    <row r="639" spans="2:3" x14ac:dyDescent="0.3">
      <c r="B639" s="35"/>
      <c r="C639" s="35"/>
    </row>
    <row r="640" spans="2:3" x14ac:dyDescent="0.3">
      <c r="B640" s="35"/>
      <c r="C640" s="35"/>
    </row>
    <row r="641" spans="2:3" x14ac:dyDescent="0.3">
      <c r="B641" s="35"/>
      <c r="C641" s="35"/>
    </row>
    <row r="642" spans="2:3" x14ac:dyDescent="0.3">
      <c r="B642" s="35"/>
      <c r="C642" s="35"/>
    </row>
    <row r="643" spans="2:3" x14ac:dyDescent="0.3">
      <c r="B643" s="35"/>
      <c r="C643" s="35"/>
    </row>
    <row r="644" spans="2:3" x14ac:dyDescent="0.3">
      <c r="B644" s="35"/>
      <c r="C644" s="35"/>
    </row>
    <row r="645" spans="2:3" x14ac:dyDescent="0.3">
      <c r="B645" s="35"/>
      <c r="C645" s="35"/>
    </row>
    <row r="646" spans="2:3" x14ac:dyDescent="0.3">
      <c r="B646" s="35"/>
      <c r="C646" s="35"/>
    </row>
    <row r="647" spans="2:3" x14ac:dyDescent="0.3">
      <c r="B647" s="35"/>
      <c r="C647" s="35"/>
    </row>
    <row r="648" spans="2:3" x14ac:dyDescent="0.3">
      <c r="B648" s="35"/>
      <c r="C648" s="35"/>
    </row>
    <row r="649" spans="2:3" x14ac:dyDescent="0.3">
      <c r="B649" s="35"/>
      <c r="C649" s="35"/>
    </row>
    <row r="650" spans="2:3" x14ac:dyDescent="0.3">
      <c r="B650" s="35"/>
      <c r="C650" s="35"/>
    </row>
    <row r="651" spans="2:3" x14ac:dyDescent="0.3">
      <c r="B651" s="35"/>
    </row>
    <row r="652" spans="2:3" x14ac:dyDescent="0.3">
      <c r="B652" s="35"/>
    </row>
    <row r="653" spans="2:3" x14ac:dyDescent="0.3">
      <c r="B653" s="35"/>
    </row>
    <row r="654" spans="2:3" x14ac:dyDescent="0.3">
      <c r="B654" s="35"/>
    </row>
    <row r="655" spans="2:3" x14ac:dyDescent="0.3">
      <c r="B655" s="35"/>
    </row>
    <row r="656" spans="2:3" x14ac:dyDescent="0.3">
      <c r="B656" s="35"/>
    </row>
    <row r="657" spans="2:2" x14ac:dyDescent="0.3">
      <c r="B657" s="35"/>
    </row>
    <row r="658" spans="2:2" x14ac:dyDescent="0.3">
      <c r="B658" s="35"/>
    </row>
    <row r="659" spans="2:2" x14ac:dyDescent="0.3">
      <c r="B659" s="35"/>
    </row>
    <row r="660" spans="2:2" x14ac:dyDescent="0.3">
      <c r="B660" s="35"/>
    </row>
    <row r="661" spans="2:2" x14ac:dyDescent="0.3">
      <c r="B661" s="35"/>
    </row>
    <row r="662" spans="2:2" x14ac:dyDescent="0.3">
      <c r="B662" s="35"/>
    </row>
    <row r="663" spans="2:2" x14ac:dyDescent="0.3">
      <c r="B663" s="35"/>
    </row>
    <row r="664" spans="2:2" x14ac:dyDescent="0.3">
      <c r="B664" s="35"/>
    </row>
    <row r="665" spans="2:2" x14ac:dyDescent="0.3">
      <c r="B665" s="35"/>
    </row>
    <row r="666" spans="2:2" x14ac:dyDescent="0.3">
      <c r="B666" s="35"/>
    </row>
    <row r="667" spans="2:2" x14ac:dyDescent="0.3">
      <c r="B667" s="35"/>
    </row>
    <row r="668" spans="2:2" x14ac:dyDescent="0.3">
      <c r="B668" s="35"/>
    </row>
    <row r="669" spans="2:2" x14ac:dyDescent="0.3">
      <c r="B669" s="35"/>
    </row>
    <row r="670" spans="2:2" x14ac:dyDescent="0.3">
      <c r="B670" s="35"/>
    </row>
    <row r="671" spans="2:2" x14ac:dyDescent="0.3">
      <c r="B671" s="35"/>
    </row>
    <row r="672" spans="2:2" x14ac:dyDescent="0.3">
      <c r="B672" s="35"/>
    </row>
    <row r="673" spans="2:2" x14ac:dyDescent="0.3">
      <c r="B673" s="35"/>
    </row>
    <row r="674" spans="2:2" x14ac:dyDescent="0.3">
      <c r="B674" s="35"/>
    </row>
    <row r="675" spans="2:2" x14ac:dyDescent="0.3">
      <c r="B675" s="35"/>
    </row>
    <row r="676" spans="2:2" x14ac:dyDescent="0.3">
      <c r="B676" s="35"/>
    </row>
    <row r="677" spans="2:2" x14ac:dyDescent="0.3">
      <c r="B677" s="35"/>
    </row>
    <row r="678" spans="2:2" x14ac:dyDescent="0.3">
      <c r="B678" s="35"/>
    </row>
    <row r="679" spans="2:2" x14ac:dyDescent="0.3">
      <c r="B679" s="35"/>
    </row>
    <row r="680" spans="2:2" x14ac:dyDescent="0.3">
      <c r="B680" s="35"/>
    </row>
    <row r="681" spans="2:2" x14ac:dyDescent="0.3">
      <c r="B681" s="35"/>
    </row>
    <row r="682" spans="2:2" x14ac:dyDescent="0.3">
      <c r="B682" s="35"/>
    </row>
    <row r="683" spans="2:2" x14ac:dyDescent="0.3">
      <c r="B683" s="35"/>
    </row>
    <row r="684" spans="2:2" x14ac:dyDescent="0.3">
      <c r="B684" s="35"/>
    </row>
    <row r="685" spans="2:2" x14ac:dyDescent="0.3">
      <c r="B685" s="35"/>
    </row>
    <row r="686" spans="2:2" x14ac:dyDescent="0.3">
      <c r="B686" s="35"/>
    </row>
    <row r="687" spans="2:2" x14ac:dyDescent="0.3">
      <c r="B687" s="35"/>
    </row>
    <row r="688" spans="2:2" x14ac:dyDescent="0.3">
      <c r="B688" s="35"/>
    </row>
    <row r="689" spans="2:2" x14ac:dyDescent="0.3">
      <c r="B689" s="35"/>
    </row>
    <row r="690" spans="2:2" x14ac:dyDescent="0.3">
      <c r="B690" s="35"/>
    </row>
    <row r="691" spans="2:2" x14ac:dyDescent="0.3">
      <c r="B691" s="35"/>
    </row>
    <row r="692" spans="2:2" x14ac:dyDescent="0.3">
      <c r="B692" s="35"/>
    </row>
    <row r="693" spans="2:2" x14ac:dyDescent="0.3">
      <c r="B693" s="35"/>
    </row>
    <row r="694" spans="2:2" x14ac:dyDescent="0.3">
      <c r="B694" s="35"/>
    </row>
    <row r="695" spans="2:2" x14ac:dyDescent="0.3">
      <c r="B695" s="35"/>
    </row>
    <row r="696" spans="2:2" x14ac:dyDescent="0.3">
      <c r="B696" s="35"/>
    </row>
    <row r="697" spans="2:2" x14ac:dyDescent="0.3">
      <c r="B697" s="35"/>
    </row>
    <row r="698" spans="2:2" x14ac:dyDescent="0.3">
      <c r="B698" s="35"/>
    </row>
    <row r="699" spans="2:2" x14ac:dyDescent="0.3">
      <c r="B699" s="35"/>
    </row>
    <row r="700" spans="2:2" x14ac:dyDescent="0.3">
      <c r="B700" s="35"/>
    </row>
    <row r="701" spans="2:2" x14ac:dyDescent="0.3">
      <c r="B701" s="35"/>
    </row>
    <row r="702" spans="2:2" x14ac:dyDescent="0.3">
      <c r="B702" s="35"/>
    </row>
    <row r="703" spans="2:2" x14ac:dyDescent="0.3">
      <c r="B703" s="35"/>
    </row>
    <row r="704" spans="2:2" x14ac:dyDescent="0.3">
      <c r="B704" s="35"/>
    </row>
    <row r="705" spans="2:2" x14ac:dyDescent="0.3">
      <c r="B705" s="35"/>
    </row>
    <row r="706" spans="2:2" x14ac:dyDescent="0.3">
      <c r="B706" s="35"/>
    </row>
    <row r="707" spans="2:2" x14ac:dyDescent="0.3">
      <c r="B707" s="35"/>
    </row>
    <row r="708" spans="2:2" x14ac:dyDescent="0.3">
      <c r="B708" s="35"/>
    </row>
    <row r="709" spans="2:2" x14ac:dyDescent="0.3">
      <c r="B709" s="35"/>
    </row>
    <row r="710" spans="2:2" x14ac:dyDescent="0.3">
      <c r="B710" s="35"/>
    </row>
    <row r="711" spans="2:2" x14ac:dyDescent="0.3">
      <c r="B711" s="35"/>
    </row>
    <row r="712" spans="2:2" x14ac:dyDescent="0.3">
      <c r="B712" s="35"/>
    </row>
    <row r="713" spans="2:2" x14ac:dyDescent="0.3">
      <c r="B713" s="35"/>
    </row>
    <row r="714" spans="2:2" x14ac:dyDescent="0.3">
      <c r="B714" s="35"/>
    </row>
    <row r="715" spans="2:2" x14ac:dyDescent="0.3">
      <c r="B715" s="35"/>
    </row>
    <row r="716" spans="2:2" x14ac:dyDescent="0.3">
      <c r="B716" s="35"/>
    </row>
    <row r="717" spans="2:2" x14ac:dyDescent="0.3">
      <c r="B717" s="35"/>
    </row>
    <row r="718" spans="2:2" x14ac:dyDescent="0.3">
      <c r="B718" s="35"/>
    </row>
    <row r="719" spans="2:2" x14ac:dyDescent="0.3">
      <c r="B719" s="35"/>
    </row>
    <row r="720" spans="2:2" x14ac:dyDescent="0.3">
      <c r="B720" s="35"/>
    </row>
    <row r="721" spans="2:2" x14ac:dyDescent="0.3">
      <c r="B721" s="35"/>
    </row>
    <row r="722" spans="2:2" x14ac:dyDescent="0.3">
      <c r="B722" s="35"/>
    </row>
    <row r="723" spans="2:2" x14ac:dyDescent="0.3">
      <c r="B723" s="35"/>
    </row>
    <row r="724" spans="2:2" x14ac:dyDescent="0.3">
      <c r="B724" s="35"/>
    </row>
    <row r="725" spans="2:2" x14ac:dyDescent="0.3">
      <c r="B725" s="35"/>
    </row>
    <row r="726" spans="2:2" x14ac:dyDescent="0.3">
      <c r="B726" s="35"/>
    </row>
    <row r="727" spans="2:2" x14ac:dyDescent="0.3">
      <c r="B727" s="35"/>
    </row>
    <row r="728" spans="2:2" x14ac:dyDescent="0.3">
      <c r="B728" s="35"/>
    </row>
    <row r="729" spans="2:2" x14ac:dyDescent="0.3">
      <c r="B729" s="35"/>
    </row>
    <row r="730" spans="2:2" x14ac:dyDescent="0.3">
      <c r="B730" s="35"/>
    </row>
    <row r="731" spans="2:2" x14ac:dyDescent="0.3">
      <c r="B731" s="35"/>
    </row>
    <row r="732" spans="2:2" x14ac:dyDescent="0.3">
      <c r="B732" s="35"/>
    </row>
    <row r="733" spans="2:2" x14ac:dyDescent="0.3">
      <c r="B733" s="35"/>
    </row>
    <row r="734" spans="2:2" x14ac:dyDescent="0.3">
      <c r="B734" s="35"/>
    </row>
    <row r="735" spans="2:2" x14ac:dyDescent="0.3">
      <c r="B735" s="35"/>
    </row>
    <row r="736" spans="2:2" x14ac:dyDescent="0.3">
      <c r="B736" s="35"/>
    </row>
    <row r="737" spans="2:2" x14ac:dyDescent="0.3">
      <c r="B737" s="35"/>
    </row>
    <row r="738" spans="2:2" x14ac:dyDescent="0.3">
      <c r="B738" s="35"/>
    </row>
    <row r="739" spans="2:2" x14ac:dyDescent="0.3">
      <c r="B739" s="35"/>
    </row>
    <row r="740" spans="2:2" x14ac:dyDescent="0.3">
      <c r="B740" s="35"/>
    </row>
    <row r="741" spans="2:2" x14ac:dyDescent="0.3">
      <c r="B741" s="35"/>
    </row>
    <row r="742" spans="2:2" x14ac:dyDescent="0.3">
      <c r="B742" s="35"/>
    </row>
    <row r="743" spans="2:2" x14ac:dyDescent="0.3">
      <c r="B743" s="35"/>
    </row>
    <row r="744" spans="2:2" x14ac:dyDescent="0.3">
      <c r="B744" s="35"/>
    </row>
    <row r="745" spans="2:2" x14ac:dyDescent="0.3">
      <c r="B745" s="35"/>
    </row>
    <row r="746" spans="2:2" x14ac:dyDescent="0.3">
      <c r="B746" s="35"/>
    </row>
    <row r="747" spans="2:2" x14ac:dyDescent="0.3">
      <c r="B747" s="35"/>
    </row>
    <row r="748" spans="2:2" x14ac:dyDescent="0.3">
      <c r="B748" s="35"/>
    </row>
    <row r="749" spans="2:2" x14ac:dyDescent="0.3">
      <c r="B749" s="35"/>
    </row>
    <row r="750" spans="2:2" x14ac:dyDescent="0.3">
      <c r="B750" s="35"/>
    </row>
    <row r="751" spans="2:2" x14ac:dyDescent="0.3">
      <c r="B751" s="35"/>
    </row>
    <row r="752" spans="2:2" x14ac:dyDescent="0.3">
      <c r="B752" s="35"/>
    </row>
    <row r="753" spans="2:2" x14ac:dyDescent="0.3">
      <c r="B753" s="35"/>
    </row>
    <row r="754" spans="2:2" x14ac:dyDescent="0.3">
      <c r="B754" s="35"/>
    </row>
    <row r="755" spans="2:2" x14ac:dyDescent="0.3">
      <c r="B755" s="35"/>
    </row>
    <row r="756" spans="2:2" x14ac:dyDescent="0.3">
      <c r="B756" s="35"/>
    </row>
    <row r="757" spans="2:2" x14ac:dyDescent="0.3">
      <c r="B757" s="35"/>
    </row>
    <row r="758" spans="2:2" x14ac:dyDescent="0.3">
      <c r="B758" s="35"/>
    </row>
    <row r="759" spans="2:2" x14ac:dyDescent="0.3">
      <c r="B759" s="35"/>
    </row>
    <row r="760" spans="2:2" x14ac:dyDescent="0.3">
      <c r="B760" s="35"/>
    </row>
    <row r="761" spans="2:2" x14ac:dyDescent="0.3">
      <c r="B761" s="35"/>
    </row>
    <row r="762" spans="2:2" x14ac:dyDescent="0.3">
      <c r="B762" s="35"/>
    </row>
    <row r="763" spans="2:2" x14ac:dyDescent="0.3">
      <c r="B763" s="35"/>
    </row>
    <row r="764" spans="2:2" x14ac:dyDescent="0.3">
      <c r="B764" s="35"/>
    </row>
    <row r="765" spans="2:2" x14ac:dyDescent="0.3">
      <c r="B765" s="35"/>
    </row>
    <row r="766" spans="2:2" x14ac:dyDescent="0.3">
      <c r="B766" s="35"/>
    </row>
    <row r="767" spans="2:2" x14ac:dyDescent="0.3">
      <c r="B767" s="35"/>
    </row>
    <row r="768" spans="2:2" x14ac:dyDescent="0.3">
      <c r="B768" s="35"/>
    </row>
    <row r="769" spans="2:2" x14ac:dyDescent="0.3">
      <c r="B769" s="35"/>
    </row>
    <row r="770" spans="2:2" x14ac:dyDescent="0.3">
      <c r="B770" s="35"/>
    </row>
    <row r="771" spans="2:2" x14ac:dyDescent="0.3">
      <c r="B771" s="35"/>
    </row>
    <row r="772" spans="2:2" x14ac:dyDescent="0.3">
      <c r="B772" s="35"/>
    </row>
    <row r="773" spans="2:2" x14ac:dyDescent="0.3">
      <c r="B773" s="35"/>
    </row>
    <row r="774" spans="2:2" x14ac:dyDescent="0.3">
      <c r="B774" s="35"/>
    </row>
    <row r="775" spans="2:2" x14ac:dyDescent="0.3">
      <c r="B775" s="35"/>
    </row>
    <row r="776" spans="2:2" x14ac:dyDescent="0.3">
      <c r="B776" s="35"/>
    </row>
    <row r="777" spans="2:2" x14ac:dyDescent="0.3">
      <c r="B777" s="35"/>
    </row>
    <row r="778" spans="2:2" x14ac:dyDescent="0.3">
      <c r="B778" s="35"/>
    </row>
    <row r="779" spans="2:2" x14ac:dyDescent="0.3">
      <c r="B779" s="35"/>
    </row>
    <row r="780" spans="2:2" x14ac:dyDescent="0.3">
      <c r="B780" s="35"/>
    </row>
    <row r="781" spans="2:2" x14ac:dyDescent="0.3">
      <c r="B781" s="35"/>
    </row>
    <row r="782" spans="2:2" x14ac:dyDescent="0.3">
      <c r="B782" s="35"/>
    </row>
    <row r="783" spans="2:2" x14ac:dyDescent="0.3">
      <c r="B783" s="35"/>
    </row>
    <row r="784" spans="2:2" x14ac:dyDescent="0.3">
      <c r="B784" s="35"/>
    </row>
    <row r="785" spans="2:2" x14ac:dyDescent="0.3">
      <c r="B785" s="35"/>
    </row>
    <row r="786" spans="2:2" x14ac:dyDescent="0.3">
      <c r="B786" s="35"/>
    </row>
    <row r="787" spans="2:2" x14ac:dyDescent="0.3">
      <c r="B787" s="35"/>
    </row>
    <row r="788" spans="2:2" x14ac:dyDescent="0.3">
      <c r="B788" s="35"/>
    </row>
    <row r="789" spans="2:2" x14ac:dyDescent="0.3">
      <c r="B789" s="35"/>
    </row>
    <row r="790" spans="2:2" x14ac:dyDescent="0.3">
      <c r="B790" s="35"/>
    </row>
    <row r="791" spans="2:2" x14ac:dyDescent="0.3">
      <c r="B791" s="35"/>
    </row>
    <row r="792" spans="2:2" x14ac:dyDescent="0.3">
      <c r="B792" s="35"/>
    </row>
    <row r="793" spans="2:2" x14ac:dyDescent="0.3">
      <c r="B793" s="35"/>
    </row>
    <row r="794" spans="2:2" x14ac:dyDescent="0.3">
      <c r="B794" s="35"/>
    </row>
    <row r="795" spans="2:2" x14ac:dyDescent="0.3">
      <c r="B795" s="35"/>
    </row>
    <row r="796" spans="2:2" x14ac:dyDescent="0.3">
      <c r="B796" s="35"/>
    </row>
    <row r="797" spans="2:2" x14ac:dyDescent="0.3">
      <c r="B797" s="35"/>
    </row>
    <row r="798" spans="2:2" x14ac:dyDescent="0.3">
      <c r="B798" s="35"/>
    </row>
    <row r="799" spans="2:2" x14ac:dyDescent="0.3">
      <c r="B799" s="35"/>
    </row>
    <row r="800" spans="2:2" x14ac:dyDescent="0.3">
      <c r="B800" s="35"/>
    </row>
    <row r="801" spans="2:2" x14ac:dyDescent="0.3">
      <c r="B801" s="35"/>
    </row>
    <row r="802" spans="2:2" x14ac:dyDescent="0.3">
      <c r="B802" s="35"/>
    </row>
    <row r="803" spans="2:2" x14ac:dyDescent="0.3">
      <c r="B803" s="35"/>
    </row>
    <row r="804" spans="2:2" x14ac:dyDescent="0.3">
      <c r="B804" s="35"/>
    </row>
    <row r="805" spans="2:2" x14ac:dyDescent="0.3">
      <c r="B805" s="35"/>
    </row>
    <row r="806" spans="2:2" x14ac:dyDescent="0.3">
      <c r="B806" s="35"/>
    </row>
    <row r="807" spans="2:2" x14ac:dyDescent="0.3">
      <c r="B807" s="35"/>
    </row>
    <row r="808" spans="2:2" x14ac:dyDescent="0.3">
      <c r="B808" s="35"/>
    </row>
    <row r="809" spans="2:2" x14ac:dyDescent="0.3">
      <c r="B809" s="35"/>
    </row>
    <row r="810" spans="2:2" x14ac:dyDescent="0.3">
      <c r="B810" s="35"/>
    </row>
    <row r="811" spans="2:2" x14ac:dyDescent="0.3">
      <c r="B811" s="35"/>
    </row>
    <row r="812" spans="2:2" x14ac:dyDescent="0.3">
      <c r="B812" s="35"/>
    </row>
    <row r="813" spans="2:2" x14ac:dyDescent="0.3">
      <c r="B813" s="35"/>
    </row>
    <row r="814" spans="2:2" x14ac:dyDescent="0.3">
      <c r="B814" s="35"/>
    </row>
    <row r="815" spans="2:2" x14ac:dyDescent="0.3">
      <c r="B815" s="35"/>
    </row>
    <row r="816" spans="2:2" x14ac:dyDescent="0.3">
      <c r="B816" s="35"/>
    </row>
    <row r="817" spans="2:2" x14ac:dyDescent="0.3">
      <c r="B817" s="35"/>
    </row>
    <row r="818" spans="2:2" x14ac:dyDescent="0.3">
      <c r="B818" s="35"/>
    </row>
    <row r="819" spans="2:2" x14ac:dyDescent="0.3">
      <c r="B819" s="35"/>
    </row>
    <row r="820" spans="2:2" x14ac:dyDescent="0.3">
      <c r="B820" s="35"/>
    </row>
    <row r="821" spans="2:2" x14ac:dyDescent="0.3">
      <c r="B821" s="35"/>
    </row>
    <row r="822" spans="2:2" x14ac:dyDescent="0.3">
      <c r="B822" s="35"/>
    </row>
    <row r="823" spans="2:2" x14ac:dyDescent="0.3">
      <c r="B823" s="35"/>
    </row>
    <row r="824" spans="2:2" x14ac:dyDescent="0.3">
      <c r="B824" s="35"/>
    </row>
    <row r="825" spans="2:2" x14ac:dyDescent="0.3">
      <c r="B825" s="35"/>
    </row>
    <row r="826" spans="2:2" x14ac:dyDescent="0.3">
      <c r="B826" s="35"/>
    </row>
    <row r="827" spans="2:2" x14ac:dyDescent="0.3">
      <c r="B827" s="35"/>
    </row>
    <row r="828" spans="2:2" x14ac:dyDescent="0.3">
      <c r="B828" s="35"/>
    </row>
    <row r="829" spans="2:2" x14ac:dyDescent="0.3">
      <c r="B829" s="35"/>
    </row>
    <row r="830" spans="2:2" x14ac:dyDescent="0.3">
      <c r="B830" s="35"/>
    </row>
    <row r="831" spans="2:2" x14ac:dyDescent="0.3">
      <c r="B831" s="35"/>
    </row>
    <row r="832" spans="2:2" x14ac:dyDescent="0.3">
      <c r="B832" s="35"/>
    </row>
    <row r="833" spans="2:2" x14ac:dyDescent="0.3">
      <c r="B833" s="35"/>
    </row>
    <row r="834" spans="2:2" x14ac:dyDescent="0.3">
      <c r="B834" s="35"/>
    </row>
    <row r="835" spans="2:2" x14ac:dyDescent="0.3">
      <c r="B835" s="35"/>
    </row>
    <row r="836" spans="2:2" x14ac:dyDescent="0.3">
      <c r="B836" s="35"/>
    </row>
    <row r="837" spans="2:2" x14ac:dyDescent="0.3">
      <c r="B837" s="35"/>
    </row>
    <row r="838" spans="2:2" x14ac:dyDescent="0.3">
      <c r="B838" s="35"/>
    </row>
    <row r="839" spans="2:2" x14ac:dyDescent="0.3">
      <c r="B839" s="35"/>
    </row>
    <row r="840" spans="2:2" x14ac:dyDescent="0.3">
      <c r="B840" s="35"/>
    </row>
    <row r="841" spans="2:2" x14ac:dyDescent="0.3">
      <c r="B841" s="35"/>
    </row>
    <row r="842" spans="2:2" x14ac:dyDescent="0.3">
      <c r="B842" s="35"/>
    </row>
    <row r="843" spans="2:2" x14ac:dyDescent="0.3">
      <c r="B843" s="35"/>
    </row>
    <row r="844" spans="2:2" x14ac:dyDescent="0.3">
      <c r="B844" s="35"/>
    </row>
    <row r="845" spans="2:2" x14ac:dyDescent="0.3">
      <c r="B845" s="35"/>
    </row>
    <row r="846" spans="2:2" x14ac:dyDescent="0.3">
      <c r="B846" s="35"/>
    </row>
    <row r="847" spans="2:2" x14ac:dyDescent="0.3">
      <c r="B847" s="35"/>
    </row>
    <row r="848" spans="2:2" x14ac:dyDescent="0.3">
      <c r="B848" s="35"/>
    </row>
    <row r="849" spans="2:2" x14ac:dyDescent="0.3">
      <c r="B849" s="35"/>
    </row>
    <row r="850" spans="2:2" x14ac:dyDescent="0.3">
      <c r="B850" s="35"/>
    </row>
    <row r="851" spans="2:2" x14ac:dyDescent="0.3">
      <c r="B851" s="35"/>
    </row>
    <row r="852" spans="2:2" x14ac:dyDescent="0.3">
      <c r="B852" s="35"/>
    </row>
    <row r="853" spans="2:2" x14ac:dyDescent="0.3">
      <c r="B853" s="35"/>
    </row>
    <row r="854" spans="2:2" x14ac:dyDescent="0.3">
      <c r="B854" s="35"/>
    </row>
    <row r="855" spans="2:2" x14ac:dyDescent="0.3">
      <c r="B855" s="35"/>
    </row>
    <row r="856" spans="2:2" x14ac:dyDescent="0.3">
      <c r="B856" s="35"/>
    </row>
    <row r="857" spans="2:2" x14ac:dyDescent="0.3">
      <c r="B857" s="35"/>
    </row>
    <row r="858" spans="2:2" x14ac:dyDescent="0.3">
      <c r="B858" s="35"/>
    </row>
    <row r="859" spans="2:2" x14ac:dyDescent="0.3">
      <c r="B859" s="35"/>
    </row>
    <row r="860" spans="2:2" x14ac:dyDescent="0.3">
      <c r="B860" s="35"/>
    </row>
    <row r="861" spans="2:2" x14ac:dyDescent="0.3">
      <c r="B861" s="35"/>
    </row>
    <row r="862" spans="2:2" x14ac:dyDescent="0.3">
      <c r="B862" s="35"/>
    </row>
    <row r="863" spans="2:2" x14ac:dyDescent="0.3">
      <c r="B863" s="35"/>
    </row>
    <row r="864" spans="2:2" x14ac:dyDescent="0.3">
      <c r="B864" s="35"/>
    </row>
    <row r="865" spans="2:2" x14ac:dyDescent="0.3">
      <c r="B865" s="35"/>
    </row>
    <row r="866" spans="2:2" x14ac:dyDescent="0.3">
      <c r="B866" s="35"/>
    </row>
    <row r="867" spans="2:2" x14ac:dyDescent="0.3">
      <c r="B867" s="35"/>
    </row>
    <row r="868" spans="2:2" x14ac:dyDescent="0.3">
      <c r="B868" s="35"/>
    </row>
    <row r="869" spans="2:2" x14ac:dyDescent="0.3">
      <c r="B869" s="35"/>
    </row>
    <row r="870" spans="2:2" x14ac:dyDescent="0.3">
      <c r="B870" s="35"/>
    </row>
    <row r="871" spans="2:2" x14ac:dyDescent="0.3">
      <c r="B871" s="35"/>
    </row>
    <row r="872" spans="2:2" x14ac:dyDescent="0.3">
      <c r="B872" s="35"/>
    </row>
    <row r="873" spans="2:2" x14ac:dyDescent="0.3">
      <c r="B873" s="35"/>
    </row>
    <row r="874" spans="2:2" x14ac:dyDescent="0.3">
      <c r="B874" s="35"/>
    </row>
    <row r="875" spans="2:2" x14ac:dyDescent="0.3">
      <c r="B875" s="35"/>
    </row>
    <row r="876" spans="2:2" x14ac:dyDescent="0.3">
      <c r="B876" s="35"/>
    </row>
    <row r="877" spans="2:2" x14ac:dyDescent="0.3">
      <c r="B877" s="35"/>
    </row>
    <row r="878" spans="2:2" x14ac:dyDescent="0.3">
      <c r="B878" s="35"/>
    </row>
    <row r="879" spans="2:2" x14ac:dyDescent="0.3">
      <c r="B879" s="35"/>
    </row>
    <row r="880" spans="2:2" x14ac:dyDescent="0.3">
      <c r="B880" s="35"/>
    </row>
    <row r="881" spans="2:2" x14ac:dyDescent="0.3">
      <c r="B881" s="35"/>
    </row>
    <row r="882" spans="2:2" x14ac:dyDescent="0.3">
      <c r="B882" s="35"/>
    </row>
    <row r="883" spans="2:2" x14ac:dyDescent="0.3">
      <c r="B883" s="35"/>
    </row>
    <row r="884" spans="2:2" x14ac:dyDescent="0.3">
      <c r="B884" s="35"/>
    </row>
    <row r="885" spans="2:2" x14ac:dyDescent="0.3">
      <c r="B885" s="35"/>
    </row>
    <row r="886" spans="2:2" x14ac:dyDescent="0.3">
      <c r="B886" s="35"/>
    </row>
    <row r="887" spans="2:2" x14ac:dyDescent="0.3">
      <c r="B887" s="35"/>
    </row>
    <row r="888" spans="2:2" x14ac:dyDescent="0.3">
      <c r="B888" s="35"/>
    </row>
    <row r="889" spans="2:2" x14ac:dyDescent="0.3">
      <c r="B889" s="35"/>
    </row>
    <row r="890" spans="2:2" x14ac:dyDescent="0.3">
      <c r="B890" s="35"/>
    </row>
    <row r="891" spans="2:2" x14ac:dyDescent="0.3">
      <c r="B891" s="35"/>
    </row>
    <row r="892" spans="2:2" x14ac:dyDescent="0.3">
      <c r="B892" s="35"/>
    </row>
    <row r="893" spans="2:2" x14ac:dyDescent="0.3">
      <c r="B893" s="35"/>
    </row>
    <row r="894" spans="2:2" x14ac:dyDescent="0.3">
      <c r="B894" s="35"/>
    </row>
    <row r="895" spans="2:2" x14ac:dyDescent="0.3">
      <c r="B895" s="35"/>
    </row>
    <row r="896" spans="2:2" x14ac:dyDescent="0.3">
      <c r="B896" s="35"/>
    </row>
    <row r="897" spans="2:2" x14ac:dyDescent="0.3">
      <c r="B897" s="35"/>
    </row>
    <row r="898" spans="2:2" x14ac:dyDescent="0.3">
      <c r="B898" s="35"/>
    </row>
    <row r="899" spans="2:2" x14ac:dyDescent="0.3">
      <c r="B899" s="35"/>
    </row>
    <row r="900" spans="2:2" x14ac:dyDescent="0.3">
      <c r="B900" s="35"/>
    </row>
    <row r="901" spans="2:2" x14ac:dyDescent="0.3">
      <c r="B901" s="35"/>
    </row>
    <row r="902" spans="2:2" x14ac:dyDescent="0.3">
      <c r="B902" s="35"/>
    </row>
    <row r="903" spans="2:2" x14ac:dyDescent="0.3">
      <c r="B903" s="35"/>
    </row>
    <row r="904" spans="2:2" x14ac:dyDescent="0.3">
      <c r="B904" s="35"/>
    </row>
    <row r="905" spans="2:2" x14ac:dyDescent="0.3">
      <c r="B905" s="35"/>
    </row>
    <row r="906" spans="2:2" x14ac:dyDescent="0.3">
      <c r="B906" s="35"/>
    </row>
    <row r="907" spans="2:2" x14ac:dyDescent="0.3">
      <c r="B907" s="35"/>
    </row>
    <row r="908" spans="2:2" x14ac:dyDescent="0.3">
      <c r="B908" s="35"/>
    </row>
    <row r="909" spans="2:2" x14ac:dyDescent="0.3">
      <c r="B909" s="35"/>
    </row>
    <row r="910" spans="2:2" x14ac:dyDescent="0.3">
      <c r="B910" s="35"/>
    </row>
    <row r="911" spans="2:2" x14ac:dyDescent="0.3">
      <c r="B911" s="35"/>
    </row>
    <row r="912" spans="2:2" x14ac:dyDescent="0.3">
      <c r="B912" s="35"/>
    </row>
    <row r="913" spans="2:2" x14ac:dyDescent="0.3">
      <c r="B913" s="35"/>
    </row>
    <row r="914" spans="2:2" x14ac:dyDescent="0.3">
      <c r="B914" s="35"/>
    </row>
    <row r="915" spans="2:2" x14ac:dyDescent="0.3">
      <c r="B915" s="35"/>
    </row>
    <row r="916" spans="2:2" x14ac:dyDescent="0.3">
      <c r="B916" s="35"/>
    </row>
    <row r="917" spans="2:2" x14ac:dyDescent="0.3">
      <c r="B917" s="35"/>
    </row>
    <row r="918" spans="2:2" x14ac:dyDescent="0.3">
      <c r="B918" s="35"/>
    </row>
    <row r="919" spans="2:2" x14ac:dyDescent="0.3">
      <c r="B919" s="35"/>
    </row>
    <row r="920" spans="2:2" x14ac:dyDescent="0.3">
      <c r="B920" s="35"/>
    </row>
    <row r="921" spans="2:2" x14ac:dyDescent="0.3">
      <c r="B921" s="35"/>
    </row>
    <row r="922" spans="2:2" x14ac:dyDescent="0.3">
      <c r="B922" s="35"/>
    </row>
    <row r="923" spans="2:2" x14ac:dyDescent="0.3">
      <c r="B923" s="35"/>
    </row>
    <row r="924" spans="2:2" x14ac:dyDescent="0.3">
      <c r="B924" s="35"/>
    </row>
    <row r="925" spans="2:2" x14ac:dyDescent="0.3">
      <c r="B925" s="35"/>
    </row>
    <row r="926" spans="2:2" x14ac:dyDescent="0.3">
      <c r="B926" s="35"/>
    </row>
    <row r="927" spans="2:2" x14ac:dyDescent="0.3">
      <c r="B927" s="35"/>
    </row>
    <row r="928" spans="2:2" x14ac:dyDescent="0.3">
      <c r="B928" s="35"/>
    </row>
    <row r="929" spans="2:2" x14ac:dyDescent="0.3">
      <c r="B929" s="35"/>
    </row>
    <row r="930" spans="2:2" x14ac:dyDescent="0.3">
      <c r="B930" s="35"/>
    </row>
    <row r="931" spans="2:2" x14ac:dyDescent="0.3">
      <c r="B931" s="35"/>
    </row>
    <row r="932" spans="2:2" x14ac:dyDescent="0.3">
      <c r="B932" s="35"/>
    </row>
    <row r="933" spans="2:2" x14ac:dyDescent="0.3">
      <c r="B933" s="35"/>
    </row>
    <row r="934" spans="2:2" x14ac:dyDescent="0.3">
      <c r="B934" s="35"/>
    </row>
    <row r="935" spans="2:2" x14ac:dyDescent="0.3">
      <c r="B935" s="35"/>
    </row>
    <row r="936" spans="2:2" x14ac:dyDescent="0.3">
      <c r="B936" s="35"/>
    </row>
    <row r="937" spans="2:2" x14ac:dyDescent="0.3">
      <c r="B937" s="35"/>
    </row>
    <row r="938" spans="2:2" x14ac:dyDescent="0.3">
      <c r="B938" s="35"/>
    </row>
    <row r="939" spans="2:2" x14ac:dyDescent="0.3">
      <c r="B939" s="35"/>
    </row>
    <row r="940" spans="2:2" x14ac:dyDescent="0.3">
      <c r="B940" s="35"/>
    </row>
    <row r="941" spans="2:2" x14ac:dyDescent="0.3">
      <c r="B941" s="35"/>
    </row>
    <row r="942" spans="2:2" x14ac:dyDescent="0.3">
      <c r="B942" s="35"/>
    </row>
    <row r="943" spans="2:2" x14ac:dyDescent="0.3">
      <c r="B943" s="35"/>
    </row>
    <row r="944" spans="2:2" x14ac:dyDescent="0.3">
      <c r="B944" s="35"/>
    </row>
    <row r="945" spans="2:2" x14ac:dyDescent="0.3">
      <c r="B945" s="35"/>
    </row>
    <row r="946" spans="2:2" x14ac:dyDescent="0.3">
      <c r="B946" s="35"/>
    </row>
    <row r="947" spans="2:2" x14ac:dyDescent="0.3">
      <c r="B947" s="35"/>
    </row>
    <row r="948" spans="2:2" x14ac:dyDescent="0.3">
      <c r="B948" s="35"/>
    </row>
    <row r="949" spans="2:2" x14ac:dyDescent="0.3">
      <c r="B949" s="35"/>
    </row>
    <row r="950" spans="2:2" x14ac:dyDescent="0.3">
      <c r="B950" s="35"/>
    </row>
    <row r="951" spans="2:2" x14ac:dyDescent="0.3">
      <c r="B951" s="35"/>
    </row>
    <row r="952" spans="2:2" x14ac:dyDescent="0.3">
      <c r="B952" s="35"/>
    </row>
    <row r="953" spans="2:2" x14ac:dyDescent="0.3">
      <c r="B953" s="35"/>
    </row>
    <row r="954" spans="2:2" x14ac:dyDescent="0.3">
      <c r="B954" s="35"/>
    </row>
    <row r="955" spans="2:2" x14ac:dyDescent="0.3">
      <c r="B955" s="35"/>
    </row>
    <row r="956" spans="2:2" x14ac:dyDescent="0.3">
      <c r="B956" s="35"/>
    </row>
    <row r="957" spans="2:2" x14ac:dyDescent="0.3">
      <c r="B957" s="35"/>
    </row>
    <row r="958" spans="2:2" x14ac:dyDescent="0.3">
      <c r="B958" s="35"/>
    </row>
    <row r="959" spans="2:2" x14ac:dyDescent="0.3">
      <c r="B959" s="35"/>
    </row>
    <row r="960" spans="2:2" x14ac:dyDescent="0.3">
      <c r="B960" s="35"/>
    </row>
    <row r="961" spans="2:2" x14ac:dyDescent="0.3">
      <c r="B961" s="35"/>
    </row>
    <row r="962" spans="2:2" x14ac:dyDescent="0.3">
      <c r="B962" s="35"/>
    </row>
    <row r="963" spans="2:2" x14ac:dyDescent="0.3">
      <c r="B963" s="35"/>
    </row>
    <row r="964" spans="2:2" x14ac:dyDescent="0.3">
      <c r="B964" s="35"/>
    </row>
    <row r="965" spans="2:2" x14ac:dyDescent="0.3">
      <c r="B965" s="35"/>
    </row>
    <row r="966" spans="2:2" x14ac:dyDescent="0.3">
      <c r="B966" s="35"/>
    </row>
    <row r="967" spans="2:2" x14ac:dyDescent="0.3">
      <c r="B967" s="35"/>
    </row>
    <row r="968" spans="2:2" x14ac:dyDescent="0.3">
      <c r="B968" s="35"/>
    </row>
    <row r="969" spans="2:2" x14ac:dyDescent="0.3">
      <c r="B969" s="35"/>
    </row>
    <row r="970" spans="2:2" x14ac:dyDescent="0.3">
      <c r="B970" s="35"/>
    </row>
    <row r="971" spans="2:2" x14ac:dyDescent="0.3">
      <c r="B971" s="35"/>
    </row>
    <row r="972" spans="2:2" x14ac:dyDescent="0.3">
      <c r="B972" s="35"/>
    </row>
    <row r="973" spans="2:2" x14ac:dyDescent="0.3">
      <c r="B973" s="35"/>
    </row>
    <row r="974" spans="2:2" x14ac:dyDescent="0.3">
      <c r="B974" s="35"/>
    </row>
    <row r="975" spans="2:2" x14ac:dyDescent="0.3">
      <c r="B975" s="35"/>
    </row>
    <row r="976" spans="2:2" x14ac:dyDescent="0.3">
      <c r="B976" s="35"/>
    </row>
    <row r="977" spans="2:2" x14ac:dyDescent="0.3">
      <c r="B977" s="35"/>
    </row>
    <row r="978" spans="2:2" x14ac:dyDescent="0.3">
      <c r="B978" s="35"/>
    </row>
    <row r="979" spans="2:2" x14ac:dyDescent="0.3">
      <c r="B979" s="35"/>
    </row>
    <row r="980" spans="2:2" x14ac:dyDescent="0.3">
      <c r="B980" s="35"/>
    </row>
    <row r="981" spans="2:2" x14ac:dyDescent="0.3">
      <c r="B981" s="35"/>
    </row>
    <row r="982" spans="2:2" x14ac:dyDescent="0.3">
      <c r="B982" s="35"/>
    </row>
    <row r="983" spans="2:2" x14ac:dyDescent="0.3">
      <c r="B983" s="35"/>
    </row>
    <row r="984" spans="2:2" x14ac:dyDescent="0.3">
      <c r="B984" s="35"/>
    </row>
    <row r="985" spans="2:2" x14ac:dyDescent="0.3">
      <c r="B985" s="35"/>
    </row>
    <row r="986" spans="2:2" x14ac:dyDescent="0.3">
      <c r="B986" s="35"/>
    </row>
    <row r="987" spans="2:2" x14ac:dyDescent="0.3">
      <c r="B987" s="35"/>
    </row>
    <row r="988" spans="2:2" x14ac:dyDescent="0.3">
      <c r="B988" s="35"/>
    </row>
    <row r="989" spans="2:2" x14ac:dyDescent="0.3">
      <c r="B989" s="35"/>
    </row>
    <row r="990" spans="2:2" x14ac:dyDescent="0.3">
      <c r="B990" s="35"/>
    </row>
    <row r="991" spans="2:2" x14ac:dyDescent="0.3">
      <c r="B991" s="35"/>
    </row>
    <row r="992" spans="2:2" x14ac:dyDescent="0.3">
      <c r="B992" s="35"/>
    </row>
    <row r="993" spans="2:2" x14ac:dyDescent="0.3">
      <c r="B993" s="35"/>
    </row>
    <row r="994" spans="2:2" x14ac:dyDescent="0.3">
      <c r="B994" s="35"/>
    </row>
    <row r="995" spans="2:2" x14ac:dyDescent="0.3">
      <c r="B995" s="35"/>
    </row>
    <row r="996" spans="2:2" x14ac:dyDescent="0.3">
      <c r="B996" s="35"/>
    </row>
    <row r="997" spans="2:2" x14ac:dyDescent="0.3">
      <c r="B997" s="35"/>
    </row>
    <row r="998" spans="2:2" x14ac:dyDescent="0.3">
      <c r="B998" s="35"/>
    </row>
    <row r="999" spans="2:2" x14ac:dyDescent="0.3">
      <c r="B999" s="35"/>
    </row>
    <row r="1000" spans="2:2" x14ac:dyDescent="0.3">
      <c r="B1000" s="35"/>
    </row>
    <row r="1001" spans="2:2" x14ac:dyDescent="0.3">
      <c r="B1001" s="35"/>
    </row>
    <row r="1002" spans="2:2" x14ac:dyDescent="0.3">
      <c r="B1002" s="35"/>
    </row>
    <row r="1003" spans="2:2" x14ac:dyDescent="0.3">
      <c r="B1003" s="35"/>
    </row>
    <row r="1004" spans="2:2" x14ac:dyDescent="0.3">
      <c r="B1004" s="35"/>
    </row>
    <row r="1005" spans="2:2" x14ac:dyDescent="0.3">
      <c r="B1005" s="35"/>
    </row>
    <row r="1006" spans="2:2" x14ac:dyDescent="0.3">
      <c r="B1006" s="35"/>
    </row>
    <row r="1007" spans="2:2" x14ac:dyDescent="0.3">
      <c r="B1007" s="35"/>
    </row>
    <row r="1008" spans="2:2" x14ac:dyDescent="0.3">
      <c r="B1008" s="35"/>
    </row>
    <row r="1009" spans="2:2" x14ac:dyDescent="0.3">
      <c r="B1009" s="35"/>
    </row>
    <row r="1010" spans="2:2" x14ac:dyDescent="0.3">
      <c r="B1010" s="35"/>
    </row>
    <row r="1011" spans="2:2" x14ac:dyDescent="0.3">
      <c r="B1011" s="35"/>
    </row>
    <row r="1012" spans="2:2" x14ac:dyDescent="0.3">
      <c r="B1012" s="35"/>
    </row>
    <row r="1013" spans="2:2" x14ac:dyDescent="0.3">
      <c r="B1013" s="35"/>
    </row>
    <row r="1014" spans="2:2" x14ac:dyDescent="0.3">
      <c r="B1014" s="35"/>
    </row>
    <row r="1015" spans="2:2" x14ac:dyDescent="0.3">
      <c r="B1015" s="35"/>
    </row>
    <row r="1016" spans="2:2" x14ac:dyDescent="0.3">
      <c r="B1016" s="35"/>
    </row>
    <row r="1017" spans="2:2" x14ac:dyDescent="0.3">
      <c r="B1017" s="35"/>
    </row>
    <row r="1018" spans="2:2" x14ac:dyDescent="0.3">
      <c r="B1018" s="35"/>
    </row>
    <row r="1019" spans="2:2" x14ac:dyDescent="0.3">
      <c r="B1019" s="35"/>
    </row>
    <row r="1020" spans="2:2" x14ac:dyDescent="0.3">
      <c r="B1020" s="35"/>
    </row>
    <row r="1021" spans="2:2" x14ac:dyDescent="0.3">
      <c r="B1021" s="35"/>
    </row>
    <row r="1022" spans="2:2" x14ac:dyDescent="0.3">
      <c r="B1022" s="35"/>
    </row>
    <row r="1023" spans="2:2" x14ac:dyDescent="0.3">
      <c r="B1023" s="35"/>
    </row>
    <row r="1024" spans="2:2" x14ac:dyDescent="0.3">
      <c r="B1024" s="35"/>
    </row>
    <row r="1025" spans="2:2" x14ac:dyDescent="0.3">
      <c r="B1025" s="35"/>
    </row>
    <row r="1026" spans="2:2" x14ac:dyDescent="0.3">
      <c r="B1026" s="35"/>
    </row>
    <row r="1027" spans="2:2" x14ac:dyDescent="0.3">
      <c r="B1027" s="35"/>
    </row>
    <row r="1028" spans="2:2" x14ac:dyDescent="0.3">
      <c r="B1028" s="35"/>
    </row>
    <row r="1029" spans="2:2" x14ac:dyDescent="0.3">
      <c r="B1029" s="35"/>
    </row>
    <row r="1030" spans="2:2" x14ac:dyDescent="0.3">
      <c r="B1030" s="35"/>
    </row>
    <row r="1031" spans="2:2" x14ac:dyDescent="0.3">
      <c r="B1031" s="35"/>
    </row>
    <row r="1032" spans="2:2" x14ac:dyDescent="0.3">
      <c r="B1032" s="35"/>
    </row>
    <row r="1033" spans="2:2" x14ac:dyDescent="0.3">
      <c r="B1033" s="35"/>
    </row>
    <row r="1034" spans="2:2" x14ac:dyDescent="0.3">
      <c r="B1034" s="35"/>
    </row>
    <row r="1035" spans="2:2" x14ac:dyDescent="0.3">
      <c r="B1035" s="35"/>
    </row>
    <row r="1036" spans="2:2" x14ac:dyDescent="0.3">
      <c r="B1036" s="35"/>
    </row>
    <row r="1037" spans="2:2" x14ac:dyDescent="0.3">
      <c r="B1037" s="35"/>
    </row>
    <row r="1038" spans="2:2" x14ac:dyDescent="0.3">
      <c r="B1038" s="35"/>
    </row>
    <row r="1039" spans="2:2" x14ac:dyDescent="0.3">
      <c r="B1039" s="35"/>
    </row>
    <row r="1040" spans="2:2" x14ac:dyDescent="0.3">
      <c r="B1040" s="35"/>
    </row>
    <row r="1041" spans="2:2" x14ac:dyDescent="0.3">
      <c r="B1041" s="35"/>
    </row>
    <row r="1042" spans="2:2" x14ac:dyDescent="0.3">
      <c r="B1042" s="35"/>
    </row>
    <row r="1043" spans="2:2" x14ac:dyDescent="0.3">
      <c r="B1043" s="35"/>
    </row>
    <row r="1044" spans="2:2" x14ac:dyDescent="0.3">
      <c r="B1044" s="35"/>
    </row>
    <row r="1045" spans="2:2" x14ac:dyDescent="0.3">
      <c r="B1045" s="35"/>
    </row>
    <row r="1046" spans="2:2" x14ac:dyDescent="0.3">
      <c r="B1046" s="35"/>
    </row>
    <row r="1047" spans="2:2" x14ac:dyDescent="0.3">
      <c r="B1047" s="35"/>
    </row>
    <row r="1048" spans="2:2" x14ac:dyDescent="0.3">
      <c r="B1048" s="35"/>
    </row>
    <row r="1049" spans="2:2" x14ac:dyDescent="0.3">
      <c r="B1049" s="35"/>
    </row>
    <row r="1050" spans="2:2" x14ac:dyDescent="0.3">
      <c r="B1050" s="35"/>
    </row>
    <row r="1051" spans="2:2" x14ac:dyDescent="0.3">
      <c r="B1051" s="35"/>
    </row>
    <row r="1052" spans="2:2" x14ac:dyDescent="0.3">
      <c r="B1052" s="35"/>
    </row>
    <row r="1053" spans="2:2" x14ac:dyDescent="0.3">
      <c r="B1053" s="35"/>
    </row>
    <row r="1054" spans="2:2" x14ac:dyDescent="0.3">
      <c r="B1054" s="35"/>
    </row>
    <row r="1055" spans="2:2" x14ac:dyDescent="0.3">
      <c r="B1055" s="35"/>
    </row>
    <row r="1056" spans="2:2" x14ac:dyDescent="0.3">
      <c r="B1056" s="35"/>
    </row>
    <row r="1057" spans="2:2" x14ac:dyDescent="0.3">
      <c r="B1057" s="35"/>
    </row>
    <row r="1058" spans="2:2" x14ac:dyDescent="0.3">
      <c r="B1058" s="35"/>
    </row>
    <row r="1059" spans="2:2" x14ac:dyDescent="0.3">
      <c r="B1059" s="35"/>
    </row>
    <row r="1060" spans="2:2" x14ac:dyDescent="0.3">
      <c r="B1060" s="35"/>
    </row>
    <row r="1061" spans="2:2" x14ac:dyDescent="0.3">
      <c r="B1061" s="35"/>
    </row>
    <row r="1062" spans="2:2" x14ac:dyDescent="0.3">
      <c r="B1062" s="35"/>
    </row>
    <row r="1063" spans="2:2" x14ac:dyDescent="0.3">
      <c r="B1063" s="35"/>
    </row>
    <row r="1064" spans="2:2" x14ac:dyDescent="0.3">
      <c r="B1064" s="35"/>
    </row>
    <row r="1065" spans="2:2" x14ac:dyDescent="0.3">
      <c r="B1065" s="35"/>
    </row>
    <row r="1066" spans="2:2" x14ac:dyDescent="0.3">
      <c r="B1066" s="35"/>
    </row>
    <row r="1067" spans="2:2" x14ac:dyDescent="0.3">
      <c r="B1067" s="35"/>
    </row>
    <row r="1068" spans="2:2" x14ac:dyDescent="0.3">
      <c r="B1068" s="35"/>
    </row>
    <row r="1069" spans="2:2" x14ac:dyDescent="0.3">
      <c r="B1069" s="35"/>
    </row>
    <row r="1070" spans="2:2" x14ac:dyDescent="0.3">
      <c r="B1070" s="35"/>
    </row>
    <row r="1071" spans="2:2" x14ac:dyDescent="0.3">
      <c r="B1071" s="35"/>
    </row>
    <row r="1072" spans="2:2" x14ac:dyDescent="0.3">
      <c r="B1072" s="35"/>
    </row>
    <row r="1073" spans="2:2" x14ac:dyDescent="0.3">
      <c r="B1073" s="35"/>
    </row>
    <row r="1074" spans="2:2" x14ac:dyDescent="0.3">
      <c r="B1074" s="35"/>
    </row>
    <row r="1075" spans="2:2" x14ac:dyDescent="0.3">
      <c r="B1075" s="35"/>
    </row>
    <row r="1076" spans="2:2" x14ac:dyDescent="0.3">
      <c r="B1076" s="35"/>
    </row>
    <row r="1077" spans="2:2" x14ac:dyDescent="0.3">
      <c r="B1077" s="35"/>
    </row>
    <row r="1078" spans="2:2" x14ac:dyDescent="0.3">
      <c r="B1078" s="35"/>
    </row>
    <row r="1079" spans="2:2" x14ac:dyDescent="0.3">
      <c r="B1079" s="35"/>
    </row>
    <row r="1080" spans="2:2" x14ac:dyDescent="0.3">
      <c r="B1080" s="35"/>
    </row>
    <row r="1081" spans="2:2" x14ac:dyDescent="0.3">
      <c r="B1081" s="35"/>
    </row>
    <row r="1082" spans="2:2" x14ac:dyDescent="0.3">
      <c r="B1082" s="35"/>
    </row>
    <row r="1083" spans="2:2" x14ac:dyDescent="0.3">
      <c r="B1083" s="35"/>
    </row>
    <row r="1084" spans="2:2" x14ac:dyDescent="0.3">
      <c r="B1084" s="35"/>
    </row>
    <row r="1085" spans="2:2" x14ac:dyDescent="0.3">
      <c r="B1085" s="35"/>
    </row>
    <row r="1086" spans="2:2" x14ac:dyDescent="0.3">
      <c r="B1086" s="35"/>
    </row>
    <row r="1087" spans="2:2" x14ac:dyDescent="0.3">
      <c r="B1087" s="35"/>
    </row>
    <row r="1088" spans="2:2" x14ac:dyDescent="0.3">
      <c r="B1088" s="35"/>
    </row>
    <row r="1089" spans="2:2" x14ac:dyDescent="0.3">
      <c r="B1089" s="35"/>
    </row>
    <row r="1090" spans="2:2" x14ac:dyDescent="0.3">
      <c r="B1090" s="35"/>
    </row>
    <row r="1091" spans="2:2" x14ac:dyDescent="0.3">
      <c r="B1091" s="35"/>
    </row>
    <row r="1092" spans="2:2" x14ac:dyDescent="0.3">
      <c r="B1092" s="35"/>
    </row>
    <row r="1093" spans="2:2" x14ac:dyDescent="0.3">
      <c r="B1093" s="35"/>
    </row>
    <row r="1094" spans="2:2" x14ac:dyDescent="0.3">
      <c r="B1094" s="35"/>
    </row>
    <row r="1095" spans="2:2" x14ac:dyDescent="0.3">
      <c r="B1095" s="35"/>
    </row>
    <row r="1096" spans="2:2" x14ac:dyDescent="0.3">
      <c r="B1096" s="35"/>
    </row>
    <row r="1097" spans="2:2" x14ac:dyDescent="0.3">
      <c r="B1097" s="35"/>
    </row>
    <row r="1098" spans="2:2" x14ac:dyDescent="0.3">
      <c r="B1098" s="35"/>
    </row>
    <row r="1099" spans="2:2" x14ac:dyDescent="0.3">
      <c r="B1099" s="35"/>
    </row>
    <row r="1100" spans="2:2" x14ac:dyDescent="0.3">
      <c r="B1100" s="35"/>
    </row>
    <row r="1101" spans="2:2" x14ac:dyDescent="0.3">
      <c r="B1101" s="35"/>
    </row>
    <row r="1102" spans="2:2" x14ac:dyDescent="0.3">
      <c r="B1102" s="35"/>
    </row>
    <row r="1103" spans="2:2" x14ac:dyDescent="0.3">
      <c r="B1103" s="35"/>
    </row>
    <row r="1104" spans="2:2" x14ac:dyDescent="0.3">
      <c r="B1104" s="35"/>
    </row>
    <row r="1105" spans="2:2" x14ac:dyDescent="0.3">
      <c r="B1105" s="35"/>
    </row>
    <row r="1106" spans="2:2" x14ac:dyDescent="0.3">
      <c r="B1106" s="35"/>
    </row>
    <row r="1107" spans="2:2" x14ac:dyDescent="0.3">
      <c r="B1107" s="35"/>
    </row>
    <row r="1108" spans="2:2" x14ac:dyDescent="0.3">
      <c r="B1108" s="35"/>
    </row>
    <row r="1109" spans="2:2" x14ac:dyDescent="0.3">
      <c r="B1109" s="35"/>
    </row>
    <row r="1110" spans="2:2" x14ac:dyDescent="0.3">
      <c r="B1110" s="35"/>
    </row>
    <row r="1111" spans="2:2" x14ac:dyDescent="0.3">
      <c r="B1111" s="35"/>
    </row>
  </sheetData>
  <mergeCells count="8">
    <mergeCell ref="Q2:R2"/>
    <mergeCell ref="M1:R1"/>
    <mergeCell ref="D2:E2"/>
    <mergeCell ref="F2:G2"/>
    <mergeCell ref="M2:N2"/>
    <mergeCell ref="O2:P2"/>
    <mergeCell ref="H2:I2"/>
    <mergeCell ref="D1:I1"/>
  </mergeCells>
  <phoneticPr fontId="1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51B44-866A-4DFB-9E63-43560EA4AB24}">
  <dimension ref="A3:K874"/>
  <sheetViews>
    <sheetView workbookViewId="0">
      <pane ySplit="4" topLeftCell="A5" activePane="bottomLeft" state="frozen"/>
      <selection pane="bottomLeft" activeCell="B15" sqref="B15"/>
    </sheetView>
  </sheetViews>
  <sheetFormatPr defaultColWidth="8.81640625" defaultRowHeight="13" x14ac:dyDescent="0.3"/>
  <cols>
    <col min="1" max="1" width="24.1796875" style="30" bestFit="1" customWidth="1"/>
    <col min="2" max="2" width="17.81640625" style="23" bestFit="1" customWidth="1"/>
    <col min="3" max="3" width="16.453125" style="23" bestFit="1" customWidth="1"/>
    <col min="4" max="4" width="12.81640625" style="23" bestFit="1" customWidth="1"/>
    <col min="5" max="5" width="16.453125" style="32" bestFit="1" customWidth="1"/>
    <col min="6" max="6" width="3.453125" style="23" customWidth="1"/>
    <col min="7" max="7" width="12.81640625" style="23" bestFit="1" customWidth="1"/>
    <col min="8" max="8" width="13.453125" style="23" customWidth="1"/>
    <col min="9" max="9" width="9.81640625" style="23" customWidth="1"/>
    <col min="10" max="10" width="15.453125" style="32" bestFit="1" customWidth="1"/>
    <col min="11" max="11" width="7.1796875" style="33" bestFit="1" customWidth="1"/>
    <col min="12" max="16384" width="8.81640625" style="23"/>
  </cols>
  <sheetData>
    <row r="3" spans="1:11" ht="15" x14ac:dyDescent="0.3">
      <c r="B3" s="84" t="s">
        <v>29</v>
      </c>
      <c r="C3" s="84"/>
      <c r="D3" s="84"/>
      <c r="E3" s="25"/>
      <c r="G3" s="84" t="s">
        <v>30</v>
      </c>
      <c r="H3" s="84"/>
      <c r="I3" s="84"/>
    </row>
    <row r="4" spans="1:11" s="26" customFormat="1" ht="31" x14ac:dyDescent="0.25">
      <c r="A4" s="29"/>
      <c r="B4" s="27" t="s">
        <v>25</v>
      </c>
      <c r="C4" s="27" t="s">
        <v>32</v>
      </c>
      <c r="D4" s="27" t="s">
        <v>24</v>
      </c>
      <c r="E4" s="7" t="s">
        <v>31</v>
      </c>
      <c r="G4" s="27" t="s">
        <v>25</v>
      </c>
      <c r="H4" s="27" t="s">
        <v>32</v>
      </c>
      <c r="I4" s="27" t="s">
        <v>24</v>
      </c>
      <c r="J4" s="7" t="s">
        <v>31</v>
      </c>
      <c r="K4" s="34"/>
    </row>
    <row r="5" spans="1:11" x14ac:dyDescent="0.3">
      <c r="A5" s="30">
        <v>45658</v>
      </c>
      <c r="B5" s="24" cm="1">
        <f t="array" ref="B5">SUMPRODUCT(('TREASURY FILE'!B6:B4905=$B$4)*('TREASURY FILE'!D6:D4905="TURNOVER")*('TREASURY FILE'!A6:A4905=A5)*('TREASURY FILE'!F6:F4905))</f>
        <v>0</v>
      </c>
      <c r="C5" s="24" cm="1">
        <f t="array" ref="C5">SUMPRODUCT(('TREASURY FILE'!B6:B4905=$C$4)*('TREASURY FILE'!D6:D4905="TURNOVER")*('TREASURY FILE'!A6:A4905=A5)*('TREASURY FILE'!F6:F4905))</f>
        <v>0</v>
      </c>
      <c r="D5" s="24" cm="1">
        <f t="array" ref="D5">SUMPRODUCT(('TREASURY FILE'!B6:B4905=$D$4)*('TREASURY FILE'!D6:D4905="TURNOVER")*('TREASURY FILE'!A6:A4905=A5)*('TREASURY FILE'!F6:F4905))</f>
        <v>0</v>
      </c>
      <c r="E5" s="31">
        <f t="shared" ref="E5:E63" si="0">SUM(B5:D5)</f>
        <v>0</v>
      </c>
      <c r="G5" s="24" cm="1">
        <f t="array" ref="G5">SUMPRODUCT(('TREASURY FILE'!B6:B4905=$G$4)*('TREASURY FILE'!D6:D4905="INCOME")*('TREASURY FILE'!A6:A4905=A5)*('TREASURY FILE'!F6:F4905))</f>
        <v>0</v>
      </c>
      <c r="H5" s="24" cm="1">
        <f t="array" ref="H5">SUMPRODUCT(('TREASURY FILE'!B6:B4905=$H$4)*('TREASURY FILE'!D6:D4905="INCOME")*('TREASURY FILE'!A6:A4905=A5)*('TREASURY FILE'!F6:F4905))</f>
        <v>36992.48196493258</v>
      </c>
      <c r="I5" s="24" cm="1">
        <f t="array" ref="I5">SUMPRODUCT(('TREASURY FILE'!D6:D4905=$I$4)*('TREASURY FILE'!F6:F4905="INCOME")*('TREASURY FILE'!C6:C4905=C5)*('TREASURY FILE'!H6:H4905))</f>
        <v>0</v>
      </c>
      <c r="J5" s="31">
        <f t="shared" ref="J5:J63" si="1">SUM(G5:I5)</f>
        <v>36992.48196493258</v>
      </c>
      <c r="K5" s="33" t="e">
        <f>+J5/E5</f>
        <v>#DIV/0!</v>
      </c>
    </row>
    <row r="6" spans="1:11" x14ac:dyDescent="0.3">
      <c r="A6" s="30">
        <v>45659</v>
      </c>
      <c r="B6" s="24" cm="1">
        <f t="array" ref="B6">SUMPRODUCT(('TREASURY FILE'!B7:B4906=$B$4)*('TREASURY FILE'!D7:D4906="TURNOVER")*('TREASURY FILE'!A7:A4906=A6)*('TREASURY FILE'!F7:F4906))</f>
        <v>0</v>
      </c>
      <c r="C6" s="24" cm="1">
        <f t="array" ref="C6">SUMPRODUCT(('TREASURY FILE'!B7:B4906=$C$4)*('TREASURY FILE'!D7:D4906="TURNOVER")*('TREASURY FILE'!A7:A4906=A6)*('TREASURY FILE'!F7:F4906))</f>
        <v>0</v>
      </c>
      <c r="D6" s="24" cm="1">
        <f t="array" ref="D6">SUMPRODUCT(('TREASURY FILE'!B7:B4906=$D$4)*('TREASURY FILE'!D7:D4906="TURNOVER")*('TREASURY FILE'!A7:A4906=A6)*('TREASURY FILE'!F7:F4906))</f>
        <v>0</v>
      </c>
      <c r="E6" s="31">
        <f t="shared" si="0"/>
        <v>0</v>
      </c>
      <c r="G6" s="24" cm="1">
        <f t="array" ref="G6">SUMPRODUCT(('TREASURY FILE'!B7:B4906=$G$4)*('TREASURY FILE'!D7:D4906="INCOME")*('TREASURY FILE'!A7:A4906=A6)*('TREASURY FILE'!F7:F4906))</f>
        <v>0</v>
      </c>
      <c r="H6" s="24" cm="1">
        <f t="array" ref="H6">SUMPRODUCT(('TREASURY FILE'!B7:B4906=$H$4)*('TREASURY FILE'!D7:D4906="INCOME")*('TREASURY FILE'!A7:A4906=A6)*('TREASURY FILE'!F7:F4906))</f>
        <v>52128.758441545622</v>
      </c>
      <c r="I6" s="24" cm="1">
        <f t="array" ref="I6">SUMPRODUCT(('TREASURY FILE'!D8:D4906=$I$4)*('TREASURY FILE'!F8:F4906="INCOME")*('TREASURY FILE'!C8:C4906=C6)*('TREASURY FILE'!H8:H4906))</f>
        <v>0</v>
      </c>
      <c r="J6" s="31">
        <f t="shared" si="1"/>
        <v>52128.758441545622</v>
      </c>
      <c r="K6" s="33" t="e">
        <f t="shared" ref="K6:K69" si="2">+J6/E6</f>
        <v>#DIV/0!</v>
      </c>
    </row>
    <row r="7" spans="1:11" x14ac:dyDescent="0.3">
      <c r="A7" s="30">
        <v>45660</v>
      </c>
      <c r="B7" s="24" cm="1">
        <f t="array" ref="B7">SUMPRODUCT(('TREASURY FILE'!B8:B4907=$B$4)*('TREASURY FILE'!D8:D4907="TURNOVER")*('TREASURY FILE'!A8:A4907=A7)*('TREASURY FILE'!F8:F4907))</f>
        <v>0</v>
      </c>
      <c r="C7" s="24" cm="1">
        <f t="array" ref="C7">SUMPRODUCT(('TREASURY FILE'!B8:B4907=$C$4)*('TREASURY FILE'!D8:D4907="TURNOVER")*('TREASURY FILE'!A8:A4907=A7)*('TREASURY FILE'!F8:F4907))</f>
        <v>0</v>
      </c>
      <c r="D7" s="24" cm="1">
        <f t="array" ref="D7">SUMPRODUCT(('TREASURY FILE'!B8:B4907=$D$4)*('TREASURY FILE'!D8:D4907="TURNOVER")*('TREASURY FILE'!A8:A4907=A7)*('TREASURY FILE'!F8:F4907))</f>
        <v>0</v>
      </c>
      <c r="E7" s="31">
        <f t="shared" si="0"/>
        <v>0</v>
      </c>
      <c r="G7" s="24" cm="1">
        <f t="array" ref="G7">SUMPRODUCT(('TREASURY FILE'!B8:B4907=$G$4)*('TREASURY FILE'!D8:D4907="INCOME")*('TREASURY FILE'!A8:A4907=A7)*('TREASURY FILE'!F8:F4907))</f>
        <v>0</v>
      </c>
      <c r="H7" s="24" cm="1">
        <f t="array" ref="H7">SUMPRODUCT(('TREASURY FILE'!B8:B4907=$H$4)*('TREASURY FILE'!D8:D4907="INCOME")*('TREASURY FILE'!A8:A4907=A7)*('TREASURY FILE'!F8:F4907))</f>
        <v>57123.728301007213</v>
      </c>
      <c r="I7" s="24" cm="1">
        <f t="array" ref="I7">SUMPRODUCT(('TREASURY FILE'!D10:D4907=$I$4)*('TREASURY FILE'!F10:F4907="INCOME")*('TREASURY FILE'!C10:C4907=C7)*('TREASURY FILE'!H10:H4907))</f>
        <v>0</v>
      </c>
      <c r="J7" s="31">
        <f t="shared" si="1"/>
        <v>57123.728301007213</v>
      </c>
      <c r="K7" s="33" t="e">
        <f t="shared" si="2"/>
        <v>#DIV/0!</v>
      </c>
    </row>
    <row r="8" spans="1:11" x14ac:dyDescent="0.3">
      <c r="A8" s="30">
        <v>45661</v>
      </c>
      <c r="B8" s="24" cm="1">
        <f t="array" ref="B8">SUMPRODUCT(('TREASURY FILE'!B9:B4908=$B$4)*('TREASURY FILE'!D9:D4908="TURNOVER")*('TREASURY FILE'!A9:A4908=A8)*('TREASURY FILE'!F9:F4908))</f>
        <v>0</v>
      </c>
      <c r="C8" s="24" cm="1">
        <f t="array" ref="C8">SUMPRODUCT(('TREASURY FILE'!B9:B4908=$C$4)*('TREASURY FILE'!D9:D4908="TURNOVER")*('TREASURY FILE'!A9:A4908=A8)*('TREASURY FILE'!F9:F4908))</f>
        <v>0</v>
      </c>
      <c r="D8" s="24" cm="1">
        <f t="array" ref="D8">SUMPRODUCT(('TREASURY FILE'!B9:B4908=$D$4)*('TREASURY FILE'!D9:D4908="TURNOVER")*('TREASURY FILE'!A9:A4908=A8)*('TREASURY FILE'!F9:F4908))</f>
        <v>0</v>
      </c>
      <c r="E8" s="31">
        <f t="shared" si="0"/>
        <v>0</v>
      </c>
      <c r="G8" s="24" cm="1">
        <f t="array" ref="G8">SUMPRODUCT(('TREASURY FILE'!B9:B4908=$G$4)*('TREASURY FILE'!D9:D4908="INCOME")*('TREASURY FILE'!A9:A4908=A8)*('TREASURY FILE'!F9:F4908))</f>
        <v>0</v>
      </c>
      <c r="H8" s="24" cm="1">
        <f t="array" ref="H8">SUMPRODUCT(('TREASURY FILE'!B9:B4908=$H$4)*('TREASURY FILE'!D9:D4908="INCOME")*('TREASURY FILE'!A9:A4908=A8)*('TREASURY FILE'!F9:F4908))</f>
        <v>39135.456803429952</v>
      </c>
      <c r="I8" s="24" cm="1">
        <f t="array" ref="I8">SUMPRODUCT(('TREASURY FILE'!D14:D4908=$I$4)*('TREASURY FILE'!F14:F4908="INCOME")*('TREASURY FILE'!C14:C4908=C8)*('TREASURY FILE'!H14:H4908))</f>
        <v>0</v>
      </c>
      <c r="J8" s="31">
        <f t="shared" si="1"/>
        <v>39135.456803429952</v>
      </c>
      <c r="K8" s="33" t="e">
        <f t="shared" si="2"/>
        <v>#DIV/0!</v>
      </c>
    </row>
    <row r="9" spans="1:11" x14ac:dyDescent="0.3">
      <c r="A9" s="30">
        <v>45662</v>
      </c>
      <c r="B9" s="24" cm="1">
        <f t="array" ref="B9">SUMPRODUCT(('TREASURY FILE'!B10:B4909=$B$4)*('TREASURY FILE'!D10:D4909="TURNOVER")*('TREASURY FILE'!A10:A4909=A9)*('TREASURY FILE'!F10:F4909))</f>
        <v>0</v>
      </c>
      <c r="C9" s="24" cm="1">
        <f t="array" ref="C9">SUMPRODUCT(('TREASURY FILE'!B10:B4909=$C$4)*('TREASURY FILE'!D10:D4909="TURNOVER")*('TREASURY FILE'!A10:A4909=A9)*('TREASURY FILE'!F10:F4909))</f>
        <v>0</v>
      </c>
      <c r="D9" s="24" cm="1">
        <f t="array" ref="D9">SUMPRODUCT(('TREASURY FILE'!B10:B4909=$D$4)*('TREASURY FILE'!D10:D4909="TURNOVER")*('TREASURY FILE'!A10:A4909=A9)*('TREASURY FILE'!F10:F4909))</f>
        <v>0</v>
      </c>
      <c r="E9" s="31">
        <f t="shared" si="0"/>
        <v>0</v>
      </c>
      <c r="G9" s="24" cm="1">
        <f t="array" ref="G9">SUMPRODUCT(('TREASURY FILE'!B10:B4909=$G$4)*('TREASURY FILE'!D10:D4909="INCOME")*('TREASURY FILE'!A10:A4909=A9)*('TREASURY FILE'!F10:F4909))</f>
        <v>0</v>
      </c>
      <c r="H9" s="24" cm="1">
        <f t="array" ref="H9">SUMPRODUCT(('TREASURY FILE'!B10:B4909=$H$4)*('TREASURY FILE'!D10:D4909="INCOME")*('TREASURY FILE'!A10:A4909=A9)*('TREASURY FILE'!F10:F4909))</f>
        <v>40359.407950113666</v>
      </c>
      <c r="I9" s="24" cm="1">
        <f t="array" ref="I9">SUMPRODUCT(('TREASURY FILE'!D15:D4909=$I$4)*('TREASURY FILE'!F15:F4909="INCOME")*('TREASURY FILE'!C15:C4909=C9)*('TREASURY FILE'!H15:H4909))</f>
        <v>0</v>
      </c>
      <c r="J9" s="31">
        <f t="shared" si="1"/>
        <v>40359.407950113666</v>
      </c>
      <c r="K9" s="33" t="e">
        <f t="shared" si="2"/>
        <v>#DIV/0!</v>
      </c>
    </row>
    <row r="10" spans="1:11" x14ac:dyDescent="0.3">
      <c r="A10" s="30">
        <v>45663</v>
      </c>
      <c r="B10" s="24" cm="1">
        <f t="array" ref="B10">SUMPRODUCT(('TREASURY FILE'!B11:B4910=$B$4)*('TREASURY FILE'!D11:D4910="TURNOVER")*('TREASURY FILE'!A11:A4910=A10)*('TREASURY FILE'!F11:F4910))</f>
        <v>0</v>
      </c>
      <c r="C10" s="24" cm="1">
        <f t="array" ref="C10">SUMPRODUCT(('TREASURY FILE'!B11:B4910=$C$4)*('TREASURY FILE'!D11:D4910="TURNOVER")*('TREASURY FILE'!A11:A4910=A10)*('TREASURY FILE'!F11:F4910))</f>
        <v>0</v>
      </c>
      <c r="D10" s="24" cm="1">
        <f t="array" ref="D10">SUMPRODUCT(('TREASURY FILE'!B11:B4910=$D$4)*('TREASURY FILE'!D11:D4910="TURNOVER")*('TREASURY FILE'!A11:A4910=A10)*('TREASURY FILE'!F11:F4910))</f>
        <v>0</v>
      </c>
      <c r="E10" s="31">
        <f t="shared" si="0"/>
        <v>0</v>
      </c>
      <c r="G10" s="24" cm="1">
        <f t="array" ref="G10">SUMPRODUCT(('TREASURY FILE'!B11:B4910=$G$4)*('TREASURY FILE'!D11:D4910="INCOME")*('TREASURY FILE'!A11:A4910=A10)*('TREASURY FILE'!F11:F4910))</f>
        <v>0</v>
      </c>
      <c r="H10" s="24" cm="1">
        <f t="array" ref="H10">SUMPRODUCT(('TREASURY FILE'!B11:B4910=$H$4)*('TREASURY FILE'!D11:D4910="INCOME")*('TREASURY FILE'!A11:A4910=A10)*('TREASURY FILE'!F11:F4910))</f>
        <v>48684.041270083275</v>
      </c>
      <c r="I10" s="24" cm="1">
        <f t="array" ref="I10">SUMPRODUCT(('TREASURY FILE'!D16:D4910=$I$4)*('TREASURY FILE'!F16:F4910="INCOME")*('TREASURY FILE'!C16:C4910=C10)*('TREASURY FILE'!H16:H4910))</f>
        <v>0</v>
      </c>
      <c r="J10" s="31">
        <f t="shared" si="1"/>
        <v>48684.041270083275</v>
      </c>
      <c r="K10" s="33" t="e">
        <f t="shared" si="2"/>
        <v>#DIV/0!</v>
      </c>
    </row>
    <row r="11" spans="1:11" x14ac:dyDescent="0.3">
      <c r="A11" s="30">
        <v>45664</v>
      </c>
      <c r="B11" s="24" cm="1">
        <f t="array" ref="B11">SUMPRODUCT(('TREASURY FILE'!B12:B4911=$B$4)*('TREASURY FILE'!D12:D4911="TURNOVER")*('TREASURY FILE'!A12:A4911=A11)*('TREASURY FILE'!F12:F4911))</f>
        <v>0</v>
      </c>
      <c r="C11" s="24" cm="1">
        <f t="array" ref="C11">SUMPRODUCT(('TREASURY FILE'!B12:B4911=$C$4)*('TREASURY FILE'!D12:D4911="TURNOVER")*('TREASURY FILE'!A12:A4911=A11)*('TREASURY FILE'!F12:F4911))</f>
        <v>0</v>
      </c>
      <c r="D11" s="24" cm="1">
        <f t="array" ref="D11">SUMPRODUCT(('TREASURY FILE'!B12:B4911=$D$4)*('TREASURY FILE'!D12:D4911="TURNOVER")*('TREASURY FILE'!A12:A4911=A11)*('TREASURY FILE'!F12:F4911))</f>
        <v>0</v>
      </c>
      <c r="E11" s="31">
        <f t="shared" si="0"/>
        <v>0</v>
      </c>
      <c r="G11" s="24" cm="1">
        <f t="array" ref="G11">SUMPRODUCT(('TREASURY FILE'!B12:B4911=$G$4)*('TREASURY FILE'!D12:D4911="INCOME")*('TREASURY FILE'!A12:A4911=A11)*('TREASURY FILE'!F12:F4911))</f>
        <v>0</v>
      </c>
      <c r="H11" s="24" cm="1">
        <f t="array" ref="H11">SUMPRODUCT(('TREASURY FILE'!B12:B4911=$H$4)*('TREASURY FILE'!D12:D4911="INCOME")*('TREASURY FILE'!A12:A4911=A11)*('TREASURY FILE'!F12:F4911))</f>
        <v>49557.435357982169</v>
      </c>
      <c r="I11" s="24" cm="1">
        <f t="array" ref="I11">SUMPRODUCT(('TREASURY FILE'!D16:D4911=$I$4)*('TREASURY FILE'!F16:F4911="INCOME")*('TREASURY FILE'!C16:C4911=C11)*('TREASURY FILE'!H16:H4911))</f>
        <v>0</v>
      </c>
      <c r="J11" s="31">
        <f t="shared" si="1"/>
        <v>49557.435357982169</v>
      </c>
      <c r="K11" s="33" t="e">
        <f t="shared" si="2"/>
        <v>#DIV/0!</v>
      </c>
    </row>
    <row r="12" spans="1:11" x14ac:dyDescent="0.3">
      <c r="A12" s="30">
        <v>45665</v>
      </c>
      <c r="B12" s="24" cm="1">
        <f t="array" ref="B12">SUMPRODUCT(('TREASURY FILE'!B13:B4912=$B$4)*('TREASURY FILE'!D13:D4912="TURNOVER")*('TREASURY FILE'!A13:A4912=A12)*('TREASURY FILE'!F13:F4912))</f>
        <v>0</v>
      </c>
      <c r="C12" s="24" cm="1">
        <f t="array" ref="C12">SUMPRODUCT(('TREASURY FILE'!B13:B4912=$C$4)*('TREASURY FILE'!D13:D4912="TURNOVER")*('TREASURY FILE'!A13:A4912=A12)*('TREASURY FILE'!F13:F4912))</f>
        <v>0</v>
      </c>
      <c r="D12" s="24" cm="1">
        <f t="array" ref="D12">SUMPRODUCT(('TREASURY FILE'!B13:B4912=$D$4)*('TREASURY FILE'!D13:D4912="TURNOVER")*('TREASURY FILE'!A13:A4912=A12)*('TREASURY FILE'!F13:F4912))</f>
        <v>0</v>
      </c>
      <c r="E12" s="31">
        <f t="shared" si="0"/>
        <v>0</v>
      </c>
      <c r="G12" s="24" cm="1">
        <f t="array" ref="G12">SUMPRODUCT(('TREASURY FILE'!B13:B4912=$G$4)*('TREASURY FILE'!D13:D4912="INCOME")*('TREASURY FILE'!A13:A4912=A12)*('TREASURY FILE'!F13:F4912))</f>
        <v>0</v>
      </c>
      <c r="H12" s="24" cm="1">
        <f t="array" ref="H12">SUMPRODUCT(('TREASURY FILE'!B13:B4912=$H$4)*('TREASURY FILE'!D13:D4912="INCOME")*('TREASURY FILE'!A13:A4912=A12)*('TREASURY FILE'!F13:F4912))</f>
        <v>37822.992104264413</v>
      </c>
      <c r="I12" s="24" cm="1">
        <f t="array" ref="I12">SUMPRODUCT(('TREASURY FILE'!D16:D4912=$I$4)*('TREASURY FILE'!F16:F4912="INCOME")*('TREASURY FILE'!C16:C4912=C12)*('TREASURY FILE'!H16:H4912))</f>
        <v>0</v>
      </c>
      <c r="J12" s="31">
        <f t="shared" si="1"/>
        <v>37822.992104264413</v>
      </c>
      <c r="K12" s="33" t="e">
        <f t="shared" si="2"/>
        <v>#DIV/0!</v>
      </c>
    </row>
    <row r="13" spans="1:11" x14ac:dyDescent="0.3">
      <c r="A13" s="30">
        <v>45666</v>
      </c>
      <c r="B13" s="24" cm="1">
        <f t="array" ref="B13">SUMPRODUCT(('TREASURY FILE'!B14:B4913=$B$4)*('TREASURY FILE'!D14:D4913="TURNOVER")*('TREASURY FILE'!A14:A4913=A13)*('TREASURY FILE'!F14:F4913))</f>
        <v>0</v>
      </c>
      <c r="C13" s="24" cm="1">
        <f t="array" ref="C13">SUMPRODUCT(('TREASURY FILE'!B14:B4913=$C$4)*('TREASURY FILE'!D14:D4913="TURNOVER")*('TREASURY FILE'!A14:A4913=A13)*('TREASURY FILE'!F14:F4913))</f>
        <v>0</v>
      </c>
      <c r="D13" s="24" cm="1">
        <f t="array" ref="D13">SUMPRODUCT(('TREASURY FILE'!B14:B4913=$D$4)*('TREASURY FILE'!D14:D4913="TURNOVER")*('TREASURY FILE'!A14:A4913=A13)*('TREASURY FILE'!F14:F4913))</f>
        <v>0</v>
      </c>
      <c r="E13" s="31">
        <f t="shared" si="0"/>
        <v>0</v>
      </c>
      <c r="G13" s="24" cm="1">
        <f t="array" ref="G13">SUMPRODUCT(('TREASURY FILE'!B14:B4913=$G$4)*('TREASURY FILE'!D14:D4913="INCOME")*('TREASURY FILE'!A14:A4913=A13)*('TREASURY FILE'!F14:F4913))</f>
        <v>0</v>
      </c>
      <c r="H13" s="24" cm="1">
        <f t="array" ref="H13">SUMPRODUCT(('TREASURY FILE'!B14:B4913=$H$4)*('TREASURY FILE'!D14:D4913="INCOME")*('TREASURY FILE'!A14:A4913=A13)*('TREASURY FILE'!F14:F4913))</f>
        <v>28484.314311855407</v>
      </c>
      <c r="I13" s="24" cm="1">
        <f t="array" ref="I13">SUMPRODUCT(('TREASURY FILE'!D16:D4913=$I$4)*('TREASURY FILE'!F16:F4913="INCOME")*('TREASURY FILE'!C16:C4913=C13)*('TREASURY FILE'!H16:H4913))</f>
        <v>0</v>
      </c>
      <c r="J13" s="31">
        <f t="shared" si="1"/>
        <v>28484.314311855407</v>
      </c>
      <c r="K13" s="33" t="e">
        <f t="shared" si="2"/>
        <v>#DIV/0!</v>
      </c>
    </row>
    <row r="14" spans="1:11" x14ac:dyDescent="0.3">
      <c r="A14" s="30">
        <v>45667</v>
      </c>
      <c r="B14" s="24" cm="1">
        <f t="array" ref="B14">SUMPRODUCT(('TREASURY FILE'!B15:B4914=$B$4)*('TREASURY FILE'!D15:D4914="TURNOVER")*('TREASURY FILE'!A15:A4914=A14)*('TREASURY FILE'!F15:F4914))</f>
        <v>0</v>
      </c>
      <c r="C14" s="24" cm="1">
        <f t="array" ref="C14">SUMPRODUCT(('TREASURY FILE'!B15:B4914=$C$4)*('TREASURY FILE'!D15:D4914="TURNOVER")*('TREASURY FILE'!A15:A4914=A14)*('TREASURY FILE'!F15:F4914))</f>
        <v>0</v>
      </c>
      <c r="D14" s="24" cm="1">
        <f t="array" ref="D14">SUMPRODUCT(('TREASURY FILE'!B15:B4914=$D$4)*('TREASURY FILE'!D15:D4914="TURNOVER")*('TREASURY FILE'!A15:A4914=A14)*('TREASURY FILE'!F15:F4914))</f>
        <v>0</v>
      </c>
      <c r="E14" s="31">
        <f t="shared" si="0"/>
        <v>0</v>
      </c>
      <c r="G14" s="24" cm="1">
        <f t="array" ref="G14">SUMPRODUCT(('TREASURY FILE'!B15:B4914=$G$4)*('TREASURY FILE'!D15:D4914="INCOME")*('TREASURY FILE'!A15:A4914=A14)*('TREASURY FILE'!F15:F4914))</f>
        <v>0</v>
      </c>
      <c r="H14" s="24" cm="1">
        <f t="array" ref="H14">SUMPRODUCT(('TREASURY FILE'!B15:B4914=$H$4)*('TREASURY FILE'!D15:D4914="INCOME")*('TREASURY FILE'!A15:A4914=A14)*('TREASURY FILE'!F15:F4914))</f>
        <v>28142.602947686803</v>
      </c>
      <c r="I14" s="24" cm="1">
        <f t="array" ref="I14">SUMPRODUCT(('TREASURY FILE'!D16:D4914=$I$4)*('TREASURY FILE'!F16:F4914="INCOME")*('TREASURY FILE'!C16:C4914=C14)*('TREASURY FILE'!H16:H4914))</f>
        <v>0</v>
      </c>
      <c r="J14" s="31">
        <f t="shared" si="1"/>
        <v>28142.602947686803</v>
      </c>
      <c r="K14" s="33" t="e">
        <f t="shared" si="2"/>
        <v>#DIV/0!</v>
      </c>
    </row>
    <row r="15" spans="1:11" x14ac:dyDescent="0.3">
      <c r="A15" s="30">
        <v>45668</v>
      </c>
      <c r="B15" s="24" cm="1">
        <f t="array" ref="B15">SUMPRODUCT(('TREASURY FILE'!B16:B4915=$B$4)*('TREASURY FILE'!D16:D4915="TURNOVER")*('TREASURY FILE'!A16:A4915=A15)*('TREASURY FILE'!F16:F4915))</f>
        <v>0</v>
      </c>
      <c r="C15" s="24" cm="1">
        <f t="array" ref="C15">SUMPRODUCT(('TREASURY FILE'!B16:B4915=$C$4)*('TREASURY FILE'!D16:D4915="TURNOVER")*('TREASURY FILE'!A16:A4915=A15)*('TREASURY FILE'!F16:F4915))</f>
        <v>0</v>
      </c>
      <c r="D15" s="24" cm="1">
        <f t="array" ref="D15">SUMPRODUCT(('TREASURY FILE'!B16:B4915=$D$4)*('TREASURY FILE'!D16:D4915="TURNOVER")*('TREASURY FILE'!A16:A4915=A15)*('TREASURY FILE'!F16:F4915))</f>
        <v>0</v>
      </c>
      <c r="E15" s="31">
        <f t="shared" si="0"/>
        <v>0</v>
      </c>
      <c r="G15" s="24" cm="1">
        <f t="array" ref="G15">SUMPRODUCT(('TREASURY FILE'!B16:B4915=$G$4)*('TREASURY FILE'!D16:D4915="INCOME")*('TREASURY FILE'!A16:A4915=A15)*('TREASURY FILE'!F16:F4915))</f>
        <v>0</v>
      </c>
      <c r="H15" s="24" cm="1">
        <f t="array" ref="H15">SUMPRODUCT(('TREASURY FILE'!B16:B4915=$H$4)*('TREASURY FILE'!D16:D4915="INCOME")*('TREASURY FILE'!A16:A4915=A15)*('TREASURY FILE'!F16:F4915))</f>
        <v>19865.840989362954</v>
      </c>
      <c r="I15" s="24" cm="1">
        <f t="array" ref="I15">SUMPRODUCT(('TREASURY FILE'!D16:D4915=$I$4)*('TREASURY FILE'!F16:F4915="INCOME")*('TREASURY FILE'!C16:C4915=C15)*('TREASURY FILE'!H16:H4915))</f>
        <v>0</v>
      </c>
      <c r="J15" s="31">
        <f t="shared" si="1"/>
        <v>19865.840989362954</v>
      </c>
      <c r="K15" s="33" t="e">
        <f t="shared" si="2"/>
        <v>#DIV/0!</v>
      </c>
    </row>
    <row r="16" spans="1:11" x14ac:dyDescent="0.3">
      <c r="A16" s="30">
        <v>45669</v>
      </c>
      <c r="B16" s="24" cm="1">
        <f t="array" ref="B16">SUMPRODUCT(('TREASURY FILE'!B16:B4916=$B$4)*('TREASURY FILE'!D16:D4916="TURNOVER")*('TREASURY FILE'!A16:A4916=A16)*('TREASURY FILE'!F16:F4916))</f>
        <v>0</v>
      </c>
      <c r="C16" s="24" cm="1">
        <f t="array" ref="C16">SUMPRODUCT(('TREASURY FILE'!B16:B4916=$C$4)*('TREASURY FILE'!D16:D4916="TURNOVER")*('TREASURY FILE'!A16:A4916=A16)*('TREASURY FILE'!F16:F4916))</f>
        <v>0</v>
      </c>
      <c r="D16" s="24" cm="1">
        <f t="array" ref="D16">SUMPRODUCT(('TREASURY FILE'!B16:B4916=$D$4)*('TREASURY FILE'!D16:D4916="TURNOVER")*('TREASURY FILE'!A16:A4916=A16)*('TREASURY FILE'!F16:F4916))</f>
        <v>0</v>
      </c>
      <c r="E16" s="31">
        <f t="shared" si="0"/>
        <v>0</v>
      </c>
      <c r="G16" s="24" cm="1">
        <f t="array" ref="G16">SUMPRODUCT(('TREASURY FILE'!B16:B4916=$G$4)*('TREASURY FILE'!D16:D4916="INCOME")*('TREASURY FILE'!A16:A4916=A16)*('TREASURY FILE'!F16:F4916))</f>
        <v>0</v>
      </c>
      <c r="H16" s="24" cm="1">
        <f t="array" ref="H16">SUMPRODUCT(('TREASURY FILE'!B16:B4916=$H$4)*('TREASURY FILE'!D16:D4916="INCOME")*('TREASURY FILE'!A16:A4916=A16)*('TREASURY FILE'!F16:F4916))</f>
        <v>24494.300942251743</v>
      </c>
      <c r="I16" s="24" cm="1">
        <f t="array" ref="I16">SUMPRODUCT(('TREASURY FILE'!D16:D4916=$I$4)*('TREASURY FILE'!F16:F4916="INCOME")*('TREASURY FILE'!C16:C4916=C16)*('TREASURY FILE'!H16:H4916))</f>
        <v>0</v>
      </c>
      <c r="J16" s="31">
        <f t="shared" si="1"/>
        <v>24494.300942251743</v>
      </c>
      <c r="K16" s="33" t="e">
        <f t="shared" si="2"/>
        <v>#DIV/0!</v>
      </c>
    </row>
    <row r="17" spans="1:11" x14ac:dyDescent="0.3">
      <c r="A17" s="30">
        <v>45670</v>
      </c>
      <c r="B17" s="24" cm="1">
        <f t="array" ref="B17">SUMPRODUCT(('TREASURY FILE'!B16:B4917=$B$4)*('TREASURY FILE'!D16:D4917="TURNOVER")*('TREASURY FILE'!A16:A4917=A17)*('TREASURY FILE'!F16:F4917))</f>
        <v>0</v>
      </c>
      <c r="C17" s="24" cm="1">
        <f t="array" ref="C17">SUMPRODUCT(('TREASURY FILE'!B16:B4917=$C$4)*('TREASURY FILE'!D16:D4917="TURNOVER")*('TREASURY FILE'!A16:A4917=A17)*('TREASURY FILE'!F16:F4917))</f>
        <v>0</v>
      </c>
      <c r="D17" s="24" cm="1">
        <f t="array" ref="D17">SUMPRODUCT(('TREASURY FILE'!B16:B4917=$D$4)*('TREASURY FILE'!D16:D4917="TURNOVER")*('TREASURY FILE'!A16:A4917=A17)*('TREASURY FILE'!F16:F4917))</f>
        <v>0</v>
      </c>
      <c r="E17" s="31">
        <f t="shared" si="0"/>
        <v>0</v>
      </c>
      <c r="G17" s="24" cm="1">
        <f t="array" ref="G17">SUMPRODUCT(('TREASURY FILE'!B16:B4917=$G$4)*('TREASURY FILE'!D16:D4917="INCOME")*('TREASURY FILE'!A16:A4917=A17)*('TREASURY FILE'!F16:F4917))</f>
        <v>0</v>
      </c>
      <c r="H17" s="24" cm="1">
        <f t="array" ref="H17">SUMPRODUCT(('TREASURY FILE'!B16:B4917=$H$4)*('TREASURY FILE'!D16:D4917="INCOME")*('TREASURY FILE'!A16:A4917=A17)*('TREASURY FILE'!F16:F4917))</f>
        <v>41260.693678980111</v>
      </c>
      <c r="I17" s="24" cm="1">
        <f t="array" ref="I17">SUMPRODUCT(('TREASURY FILE'!D16:D4917=$I$4)*('TREASURY FILE'!F16:F4917="INCOME")*('TREASURY FILE'!C16:C4917=C17)*('TREASURY FILE'!H16:H4917))</f>
        <v>0</v>
      </c>
      <c r="J17" s="31">
        <f t="shared" si="1"/>
        <v>41260.693678980111</v>
      </c>
      <c r="K17" s="33" t="e">
        <f t="shared" si="2"/>
        <v>#DIV/0!</v>
      </c>
    </row>
    <row r="18" spans="1:11" x14ac:dyDescent="0.3">
      <c r="A18" s="30">
        <v>45671</v>
      </c>
      <c r="B18" s="24" cm="1">
        <f t="array" ref="B18">SUMPRODUCT(('TREASURY FILE'!B16:B4918=$B$4)*('TREASURY FILE'!D16:D4918="TURNOVER")*('TREASURY FILE'!A16:A4918=A18)*('TREASURY FILE'!F16:F4918))</f>
        <v>0</v>
      </c>
      <c r="C18" s="24" cm="1">
        <f t="array" ref="C18">SUMPRODUCT(('TREASURY FILE'!B16:B4918=$C$4)*('TREASURY FILE'!D16:D4918="TURNOVER")*('TREASURY FILE'!A16:A4918=A18)*('TREASURY FILE'!F16:F4918))</f>
        <v>0</v>
      </c>
      <c r="D18" s="24" cm="1">
        <f t="array" ref="D18">SUMPRODUCT(('TREASURY FILE'!B16:B4918=$D$4)*('TREASURY FILE'!D16:D4918="TURNOVER")*('TREASURY FILE'!A16:A4918=A18)*('TREASURY FILE'!F16:F4918))</f>
        <v>0</v>
      </c>
      <c r="E18" s="31">
        <f t="shared" si="0"/>
        <v>0</v>
      </c>
      <c r="G18" s="24" cm="1">
        <f t="array" ref="G18">SUMPRODUCT(('TREASURY FILE'!B16:B4918=$G$4)*('TREASURY FILE'!D16:D4918="INCOME")*('TREASURY FILE'!A16:A4918=A18)*('TREASURY FILE'!F16:F4918))</f>
        <v>0</v>
      </c>
      <c r="H18" s="24" cm="1">
        <f t="array" ref="H18">SUMPRODUCT(('TREASURY FILE'!B16:B4918=$H$4)*('TREASURY FILE'!D16:D4918="INCOME")*('TREASURY FILE'!A16:A4918=A18)*('TREASURY FILE'!F16:F4918))</f>
        <v>36323.816514153928</v>
      </c>
      <c r="I18" s="24" cm="1">
        <f t="array" ref="I18">SUMPRODUCT(('TREASURY FILE'!D16:D4918=$I$4)*('TREASURY FILE'!F16:F4918="INCOME")*('TREASURY FILE'!C16:C4918=C18)*('TREASURY FILE'!H16:H4918))</f>
        <v>0</v>
      </c>
      <c r="J18" s="31">
        <f t="shared" si="1"/>
        <v>36323.816514153928</v>
      </c>
      <c r="K18" s="33" t="e">
        <f t="shared" si="2"/>
        <v>#DIV/0!</v>
      </c>
    </row>
    <row r="19" spans="1:11" x14ac:dyDescent="0.3">
      <c r="A19" s="30">
        <v>45672</v>
      </c>
      <c r="B19" s="24" cm="1">
        <f t="array" ref="B19">SUMPRODUCT(('TREASURY FILE'!B16:B4919=$B$4)*('TREASURY FILE'!D16:D4919="TURNOVER")*('TREASURY FILE'!A16:A4919=A19)*('TREASURY FILE'!F16:F4919))</f>
        <v>0</v>
      </c>
      <c r="C19" s="24" cm="1">
        <f t="array" ref="C19">SUMPRODUCT(('TREASURY FILE'!B16:B4919=$C$4)*('TREASURY FILE'!D16:D4919="TURNOVER")*('TREASURY FILE'!A16:A4919=A19)*('TREASURY FILE'!F16:F4919))</f>
        <v>0</v>
      </c>
      <c r="D19" s="24" cm="1">
        <f t="array" ref="D19">SUMPRODUCT(('TREASURY FILE'!B16:B4919=$D$4)*('TREASURY FILE'!D16:D4919="TURNOVER")*('TREASURY FILE'!A16:A4919=A19)*('TREASURY FILE'!F16:F4919))</f>
        <v>0</v>
      </c>
      <c r="E19" s="31">
        <f t="shared" si="0"/>
        <v>0</v>
      </c>
      <c r="G19" s="24" cm="1">
        <f t="array" ref="G19">SUMPRODUCT(('TREASURY FILE'!B16:B4919=$G$4)*('TREASURY FILE'!D16:D4919="INCOME")*('TREASURY FILE'!A16:A4919=A19)*('TREASURY FILE'!F16:F4919))</f>
        <v>0</v>
      </c>
      <c r="H19" s="24" cm="1">
        <f t="array" ref="H19">SUMPRODUCT(('TREASURY FILE'!B16:B4919=$H$4)*('TREASURY FILE'!D16:D4919="INCOME")*('TREASURY FILE'!A16:A4919=A19)*('TREASURY FILE'!F16:F4919))</f>
        <v>72754.889994488156</v>
      </c>
      <c r="I19" s="24" cm="1">
        <f t="array" ref="I19">SUMPRODUCT(('TREASURY FILE'!D16:D4919=$I$4)*('TREASURY FILE'!F16:F4919="INCOME")*('TREASURY FILE'!C16:C4919=C19)*('TREASURY FILE'!H16:H4919))</f>
        <v>0</v>
      </c>
      <c r="J19" s="31">
        <f t="shared" si="1"/>
        <v>72754.889994488156</v>
      </c>
      <c r="K19" s="33" t="e">
        <f t="shared" si="2"/>
        <v>#DIV/0!</v>
      </c>
    </row>
    <row r="20" spans="1:11" x14ac:dyDescent="0.3">
      <c r="A20" s="30">
        <v>45673</v>
      </c>
      <c r="B20" s="24" cm="1">
        <f t="array" ref="B20">SUMPRODUCT(('TREASURY FILE'!B16:B4920=$B$4)*('TREASURY FILE'!D16:D4920="TURNOVER")*('TREASURY FILE'!A16:A4920=A20)*('TREASURY FILE'!F16:F4920))</f>
        <v>0</v>
      </c>
      <c r="C20" s="24" cm="1">
        <f t="array" ref="C20">SUMPRODUCT(('TREASURY FILE'!B16:B4920=$C$4)*('TREASURY FILE'!D16:D4920="TURNOVER")*('TREASURY FILE'!A16:A4920=A20)*('TREASURY FILE'!F16:F4920))</f>
        <v>0</v>
      </c>
      <c r="D20" s="24" cm="1">
        <f t="array" ref="D20">SUMPRODUCT(('TREASURY FILE'!B16:B4920=$D$4)*('TREASURY FILE'!D16:D4920="TURNOVER")*('TREASURY FILE'!A16:A4920=A20)*('TREASURY FILE'!F16:F4920))</f>
        <v>0</v>
      </c>
      <c r="E20" s="31">
        <f t="shared" si="0"/>
        <v>0</v>
      </c>
      <c r="G20" s="24" cm="1">
        <f t="array" ref="G20">SUMPRODUCT(('TREASURY FILE'!B16:B4920=$G$4)*('TREASURY FILE'!D16:D4920="INCOME")*('TREASURY FILE'!A16:A4920=A20)*('TREASURY FILE'!F16:F4920))</f>
        <v>0</v>
      </c>
      <c r="H20" s="24" cm="1">
        <f t="array" ref="H20">SUMPRODUCT(('TREASURY FILE'!B16:B4920=$H$4)*('TREASURY FILE'!D16:D4920="INCOME")*('TREASURY FILE'!A16:A4920=A20)*('TREASURY FILE'!F16:F4920))</f>
        <v>88476.050725589506</v>
      </c>
      <c r="I20" s="24" cm="1">
        <f t="array" ref="I20">SUMPRODUCT(('TREASURY FILE'!D16:D4920=$I$4)*('TREASURY FILE'!F16:F4920="INCOME")*('TREASURY FILE'!C16:C4920=C20)*('TREASURY FILE'!H16:H4920))</f>
        <v>0</v>
      </c>
      <c r="J20" s="31">
        <f t="shared" si="1"/>
        <v>88476.050725589506</v>
      </c>
      <c r="K20" s="33" t="e">
        <f t="shared" si="2"/>
        <v>#DIV/0!</v>
      </c>
    </row>
    <row r="21" spans="1:11" x14ac:dyDescent="0.3">
      <c r="A21" s="30">
        <v>45674</v>
      </c>
      <c r="B21" s="24" cm="1">
        <f t="array" ref="B21">SUMPRODUCT(('TREASURY FILE'!B16:B4921=$B$4)*('TREASURY FILE'!D16:D4921="TURNOVER")*('TREASURY FILE'!A16:A4921=A21)*('TREASURY FILE'!F16:F4921))</f>
        <v>0</v>
      </c>
      <c r="C21" s="24" cm="1">
        <f t="array" ref="C21">SUMPRODUCT(('TREASURY FILE'!B16:B4921=$C$4)*('TREASURY FILE'!D16:D4921="TURNOVER")*('TREASURY FILE'!A16:A4921=A21)*('TREASURY FILE'!F16:F4921))</f>
        <v>0</v>
      </c>
      <c r="D21" s="24" cm="1">
        <f t="array" ref="D21">SUMPRODUCT(('TREASURY FILE'!B16:B4921=$D$4)*('TREASURY FILE'!D16:D4921="TURNOVER")*('TREASURY FILE'!A16:A4921=A21)*('TREASURY FILE'!F16:F4921))</f>
        <v>0</v>
      </c>
      <c r="E21" s="31">
        <f t="shared" si="0"/>
        <v>0</v>
      </c>
      <c r="G21" s="24" cm="1">
        <f t="array" ref="G21">SUMPRODUCT(('TREASURY FILE'!B16:B4921=$G$4)*('TREASURY FILE'!D16:D4921="INCOME")*('TREASURY FILE'!A16:A4921=A21)*('TREASURY FILE'!F16:F4921))</f>
        <v>0</v>
      </c>
      <c r="H21" s="24" cm="1">
        <f t="array" ref="H21">SUMPRODUCT(('TREASURY FILE'!B16:B4921=$H$4)*('TREASURY FILE'!D16:D4921="INCOME")*('TREASURY FILE'!A16:A4921=A21)*('TREASURY FILE'!F16:F4921))</f>
        <v>121078.27110190336</v>
      </c>
      <c r="I21" s="24" cm="1">
        <f t="array" ref="I21">SUMPRODUCT(('TREASURY FILE'!D16:D4921=$I$4)*('TREASURY FILE'!F16:F4921="INCOME")*('TREASURY FILE'!C16:C4921=C21)*('TREASURY FILE'!H16:H4921))</f>
        <v>0</v>
      </c>
      <c r="J21" s="31">
        <f t="shared" si="1"/>
        <v>121078.27110190336</v>
      </c>
      <c r="K21" s="33" t="e">
        <f t="shared" si="2"/>
        <v>#DIV/0!</v>
      </c>
    </row>
    <row r="22" spans="1:11" x14ac:dyDescent="0.3">
      <c r="A22" s="30">
        <v>45675</v>
      </c>
      <c r="B22" s="24" cm="1">
        <f t="array" ref="B22">SUMPRODUCT(('TREASURY FILE'!B16:B4922=$B$4)*('TREASURY FILE'!D16:D4922="TURNOVER")*('TREASURY FILE'!A16:A4922=A22)*('TREASURY FILE'!F16:F4922))</f>
        <v>0</v>
      </c>
      <c r="C22" s="24" cm="1">
        <f t="array" ref="C22">SUMPRODUCT(('TREASURY FILE'!B16:B4922=$C$4)*('TREASURY FILE'!D16:D4922="TURNOVER")*('TREASURY FILE'!A16:A4922=A22)*('TREASURY FILE'!F16:F4922))</f>
        <v>0</v>
      </c>
      <c r="D22" s="24" cm="1">
        <f t="array" ref="D22">SUMPRODUCT(('TREASURY FILE'!B16:B4922=$D$4)*('TREASURY FILE'!D16:D4922="TURNOVER")*('TREASURY FILE'!A16:A4922=A22)*('TREASURY FILE'!F16:F4922))</f>
        <v>0</v>
      </c>
      <c r="E22" s="31">
        <f t="shared" si="0"/>
        <v>0</v>
      </c>
      <c r="G22" s="24" cm="1">
        <f t="array" ref="G22">SUMPRODUCT(('TREASURY FILE'!B16:B4922=$G$4)*('TREASURY FILE'!D16:D4922="INCOME")*('TREASURY FILE'!A16:A4922=A22)*('TREASURY FILE'!F16:F4922))</f>
        <v>0</v>
      </c>
      <c r="H22" s="24" cm="1">
        <f t="array" ref="H22">SUMPRODUCT(('TREASURY FILE'!B16:B4922=$H$4)*('TREASURY FILE'!D16:D4922="INCOME")*('TREASURY FILE'!A16:A4922=A22)*('TREASURY FILE'!F16:F4922))</f>
        <v>115917.57941530537</v>
      </c>
      <c r="I22" s="24" cm="1">
        <f t="array" ref="I22">SUMPRODUCT(('TREASURY FILE'!D16:D4922=$I$4)*('TREASURY FILE'!F16:F4922="INCOME")*('TREASURY FILE'!C16:C4922=C22)*('TREASURY FILE'!H16:H4922))</f>
        <v>0</v>
      </c>
      <c r="J22" s="31">
        <f t="shared" si="1"/>
        <v>115917.57941530537</v>
      </c>
      <c r="K22" s="33" t="e">
        <f t="shared" si="2"/>
        <v>#DIV/0!</v>
      </c>
    </row>
    <row r="23" spans="1:11" x14ac:dyDescent="0.3">
      <c r="A23" s="30">
        <v>45676</v>
      </c>
      <c r="B23" s="24" cm="1">
        <f t="array" ref="B23">SUMPRODUCT(('TREASURY FILE'!B16:B4923=$B$4)*('TREASURY FILE'!D16:D4923="TURNOVER")*('TREASURY FILE'!A16:A4923=A23)*('TREASURY FILE'!F16:F4923))</f>
        <v>0</v>
      </c>
      <c r="C23" s="24" cm="1">
        <f t="array" ref="C23">SUMPRODUCT(('TREASURY FILE'!B16:B4923=$C$4)*('TREASURY FILE'!D16:D4923="TURNOVER")*('TREASURY FILE'!A16:A4923=A23)*('TREASURY FILE'!F16:F4923))</f>
        <v>0</v>
      </c>
      <c r="D23" s="24" cm="1">
        <f t="array" ref="D23">SUMPRODUCT(('TREASURY FILE'!B16:B4923=$D$4)*('TREASURY FILE'!D16:D4923="TURNOVER")*('TREASURY FILE'!A16:A4923=A23)*('TREASURY FILE'!F16:F4923))</f>
        <v>0</v>
      </c>
      <c r="E23" s="31">
        <f t="shared" si="0"/>
        <v>0</v>
      </c>
      <c r="G23" s="24" cm="1">
        <f t="array" ref="G23">SUMPRODUCT(('TREASURY FILE'!B16:B4923=$G$4)*('TREASURY FILE'!D16:D4923="INCOME")*('TREASURY FILE'!A16:A4923=A23)*('TREASURY FILE'!F16:F4923))</f>
        <v>0</v>
      </c>
      <c r="H23" s="24" cm="1">
        <f t="array" ref="H23">SUMPRODUCT(('TREASURY FILE'!B16:B4923=$H$4)*('TREASURY FILE'!D16:D4923="INCOME")*('TREASURY FILE'!A16:A4923=A23)*('TREASURY FILE'!F16:F4923))</f>
        <v>92455.026940814816</v>
      </c>
      <c r="I23" s="24" cm="1">
        <f t="array" ref="I23">SUMPRODUCT(('TREASURY FILE'!D16:D4923=$I$4)*('TREASURY FILE'!F16:F4923="INCOME")*('TREASURY FILE'!C16:C4923=C23)*('TREASURY FILE'!H16:H4923))</f>
        <v>0</v>
      </c>
      <c r="J23" s="31">
        <f t="shared" si="1"/>
        <v>92455.026940814816</v>
      </c>
      <c r="K23" s="33" t="e">
        <f t="shared" si="2"/>
        <v>#DIV/0!</v>
      </c>
    </row>
    <row r="24" spans="1:11" x14ac:dyDescent="0.3">
      <c r="A24" s="30">
        <v>45677</v>
      </c>
      <c r="B24" s="24" cm="1">
        <f t="array" ref="B24">SUMPRODUCT(('TREASURY FILE'!B16:B4924=$B$4)*('TREASURY FILE'!D16:D4924="TURNOVER")*('TREASURY FILE'!A16:A4924=A24)*('TREASURY FILE'!F16:F4924))</f>
        <v>0</v>
      </c>
      <c r="C24" s="24" cm="1">
        <f t="array" ref="C24">SUMPRODUCT(('TREASURY FILE'!B16:B4924=$C$4)*('TREASURY FILE'!D16:D4924="TURNOVER")*('TREASURY FILE'!A16:A4924=A24)*('TREASURY FILE'!F16:F4924))</f>
        <v>0</v>
      </c>
      <c r="D24" s="24" cm="1">
        <f t="array" ref="D24">SUMPRODUCT(('TREASURY FILE'!B16:B4924=$D$4)*('TREASURY FILE'!D16:D4924="TURNOVER")*('TREASURY FILE'!A16:A4924=A24)*('TREASURY FILE'!F16:F4924))</f>
        <v>0</v>
      </c>
      <c r="E24" s="31">
        <f t="shared" si="0"/>
        <v>0</v>
      </c>
      <c r="G24" s="24" cm="1">
        <f t="array" ref="G24">SUMPRODUCT(('TREASURY FILE'!B16:B4924=$G$4)*('TREASURY FILE'!D16:D4924="INCOME")*('TREASURY FILE'!A16:A4924=A24)*('TREASURY FILE'!F16:F4924))</f>
        <v>0</v>
      </c>
      <c r="H24" s="24" cm="1">
        <f t="array" ref="H24">SUMPRODUCT(('TREASURY FILE'!B16:B4924=$H$4)*('TREASURY FILE'!D16:D4924="INCOME")*('TREASURY FILE'!A16:A4924=A24)*('TREASURY FILE'!F16:F4924))</f>
        <v>151655.22777217146</v>
      </c>
      <c r="I24" s="24" cm="1">
        <f t="array" ref="I24">SUMPRODUCT(('TREASURY FILE'!D16:D4924=$I$4)*('TREASURY FILE'!F16:F4924="INCOME")*('TREASURY FILE'!C16:C4924=C24)*('TREASURY FILE'!H16:H4924))</f>
        <v>0</v>
      </c>
      <c r="J24" s="31">
        <f t="shared" si="1"/>
        <v>151655.22777217146</v>
      </c>
      <c r="K24" s="33" t="e">
        <f t="shared" si="2"/>
        <v>#DIV/0!</v>
      </c>
    </row>
    <row r="25" spans="1:11" x14ac:dyDescent="0.3">
      <c r="A25" s="30">
        <v>45678</v>
      </c>
      <c r="B25" s="24" cm="1">
        <f t="array" ref="B25">SUMPRODUCT(('TREASURY FILE'!B16:B4925=$B$4)*('TREASURY FILE'!D16:D4925="TURNOVER")*('TREASURY FILE'!A16:A4925=A25)*('TREASURY FILE'!F16:F4925))</f>
        <v>0</v>
      </c>
      <c r="C25" s="24" cm="1">
        <f t="array" ref="C25">SUMPRODUCT(('TREASURY FILE'!B16:B4925=$C$4)*('TREASURY FILE'!D16:D4925="TURNOVER")*('TREASURY FILE'!A16:A4925=A25)*('TREASURY FILE'!F16:F4925))</f>
        <v>0</v>
      </c>
      <c r="D25" s="24" cm="1">
        <f t="array" ref="D25">SUMPRODUCT(('TREASURY FILE'!B16:B4925=$D$4)*('TREASURY FILE'!D16:D4925="TURNOVER")*('TREASURY FILE'!A16:A4925=A25)*('TREASURY FILE'!F16:F4925))</f>
        <v>0</v>
      </c>
      <c r="E25" s="31">
        <f t="shared" si="0"/>
        <v>0</v>
      </c>
      <c r="G25" s="24" cm="1">
        <f t="array" ref="G25">SUMPRODUCT(('TREASURY FILE'!B16:B4925=$G$4)*('TREASURY FILE'!D16:D4925="INCOME")*('TREASURY FILE'!A16:A4925=A25)*('TREASURY FILE'!F16:F4925))</f>
        <v>0</v>
      </c>
      <c r="H25" s="24" cm="1">
        <f t="array" ref="H25">SUMPRODUCT(('TREASURY FILE'!B16:B4925=$H$4)*('TREASURY FILE'!D16:D4925="INCOME")*('TREASURY FILE'!A16:A4925=A25)*('TREASURY FILE'!F16:F4925))</f>
        <v>87234.056709509168</v>
      </c>
      <c r="I25" s="24" cm="1">
        <f t="array" ref="I25">SUMPRODUCT(('TREASURY FILE'!D16:D4925=$I$4)*('TREASURY FILE'!F16:F4925="INCOME")*('TREASURY FILE'!C16:C4925=C25)*('TREASURY FILE'!H16:H4925))</f>
        <v>0</v>
      </c>
      <c r="J25" s="31">
        <f t="shared" si="1"/>
        <v>87234.056709509168</v>
      </c>
      <c r="K25" s="33" t="e">
        <f t="shared" si="2"/>
        <v>#DIV/0!</v>
      </c>
    </row>
    <row r="26" spans="1:11" x14ac:dyDescent="0.3">
      <c r="A26" s="30">
        <v>45679</v>
      </c>
      <c r="B26" s="24" cm="1">
        <f t="array" ref="B26">SUMPRODUCT(('TREASURY FILE'!B16:B4926=$B$4)*('TREASURY FILE'!D16:D4926="TURNOVER")*('TREASURY FILE'!A16:A4926=A26)*('TREASURY FILE'!F16:F4926))</f>
        <v>0</v>
      </c>
      <c r="C26" s="24" cm="1">
        <f t="array" ref="C26">SUMPRODUCT(('TREASURY FILE'!B16:B4926=$C$4)*('TREASURY FILE'!D16:D4926="TURNOVER")*('TREASURY FILE'!A16:A4926=A26)*('TREASURY FILE'!F16:F4926))</f>
        <v>0</v>
      </c>
      <c r="D26" s="24" cm="1">
        <f t="array" ref="D26">SUMPRODUCT(('TREASURY FILE'!B16:B4926=$D$4)*('TREASURY FILE'!D16:D4926="TURNOVER")*('TREASURY FILE'!A16:A4926=A26)*('TREASURY FILE'!F16:F4926))</f>
        <v>0</v>
      </c>
      <c r="E26" s="31">
        <f t="shared" si="0"/>
        <v>0</v>
      </c>
      <c r="G26" s="24" cm="1">
        <f t="array" ref="G26">SUMPRODUCT(('TREASURY FILE'!B16:B4926=$G$4)*('TREASURY FILE'!D16:D4926="INCOME")*('TREASURY FILE'!A16:A4926=A26)*('TREASURY FILE'!F16:F4926))</f>
        <v>0</v>
      </c>
      <c r="H26" s="24" cm="1">
        <f t="array" ref="H26">SUMPRODUCT(('TREASURY FILE'!B16:B4926=$H$4)*('TREASURY FILE'!D16:D4926="INCOME")*('TREASURY FILE'!A16:A4926=A26)*('TREASURY FILE'!F16:F4926))</f>
        <v>59670.204729165358</v>
      </c>
      <c r="I26" s="24" cm="1">
        <f t="array" ref="I26">SUMPRODUCT(('TREASURY FILE'!D16:D4926=$I$4)*('TREASURY FILE'!F16:F4926="INCOME")*('TREASURY FILE'!C16:C4926=C26)*('TREASURY FILE'!H16:H4926))</f>
        <v>0</v>
      </c>
      <c r="J26" s="31">
        <f t="shared" si="1"/>
        <v>59670.204729165358</v>
      </c>
      <c r="K26" s="33" t="e">
        <f t="shared" si="2"/>
        <v>#DIV/0!</v>
      </c>
    </row>
    <row r="27" spans="1:11" x14ac:dyDescent="0.3">
      <c r="A27" s="30">
        <v>45680</v>
      </c>
      <c r="B27" s="24" cm="1">
        <f t="array" ref="B27">SUMPRODUCT(('TREASURY FILE'!B16:B4927=$B$4)*('TREASURY FILE'!D16:D4927="TURNOVER")*('TREASURY FILE'!A16:A4927=A27)*('TREASURY FILE'!F16:F4927))</f>
        <v>0</v>
      </c>
      <c r="C27" s="24" cm="1">
        <f t="array" ref="C27">SUMPRODUCT(('TREASURY FILE'!B16:B4927=$C$4)*('TREASURY FILE'!D16:D4927="TURNOVER")*('TREASURY FILE'!A16:A4927=A27)*('TREASURY FILE'!F16:F4927))</f>
        <v>0</v>
      </c>
      <c r="D27" s="24" cm="1">
        <f t="array" ref="D27">SUMPRODUCT(('TREASURY FILE'!B16:B4927=$D$4)*('TREASURY FILE'!D16:D4927="TURNOVER")*('TREASURY FILE'!A16:A4927=A27)*('TREASURY FILE'!F16:F4927))</f>
        <v>0</v>
      </c>
      <c r="E27" s="31">
        <f t="shared" si="0"/>
        <v>0</v>
      </c>
      <c r="G27" s="24" cm="1">
        <f t="array" ref="G27">SUMPRODUCT(('TREASURY FILE'!B16:B4927=$G$4)*('TREASURY FILE'!D16:D4927="INCOME")*('TREASURY FILE'!A16:A4927=A27)*('TREASURY FILE'!F16:F4927))</f>
        <v>0</v>
      </c>
      <c r="H27" s="24" cm="1">
        <f t="array" ref="H27">SUMPRODUCT(('TREASURY FILE'!B16:B4927=$H$4)*('TREASURY FILE'!D16:D4927="INCOME")*('TREASURY FILE'!A16:A4927=A27)*('TREASURY FILE'!F16:F4927))</f>
        <v>77038.042821380484</v>
      </c>
      <c r="I27" s="24" cm="1">
        <f t="array" ref="I27">SUMPRODUCT(('TREASURY FILE'!D16:D4927=$I$4)*('TREASURY FILE'!F16:F4927="INCOME")*('TREASURY FILE'!C16:C4927=C27)*('TREASURY FILE'!H16:H4927))</f>
        <v>0</v>
      </c>
      <c r="J27" s="31">
        <f t="shared" si="1"/>
        <v>77038.042821380484</v>
      </c>
      <c r="K27" s="33" t="e">
        <f t="shared" si="2"/>
        <v>#DIV/0!</v>
      </c>
    </row>
    <row r="28" spans="1:11" x14ac:dyDescent="0.3">
      <c r="A28" s="30">
        <v>45681</v>
      </c>
      <c r="B28" s="24" cm="1">
        <f t="array" ref="B28">SUMPRODUCT(('TREASURY FILE'!B16:B4928=$B$4)*('TREASURY FILE'!D16:D4928="TURNOVER")*('TREASURY FILE'!A16:A4928=A28)*('TREASURY FILE'!F16:F4928))</f>
        <v>0</v>
      </c>
      <c r="C28" s="24" cm="1">
        <f t="array" ref="C28">SUMPRODUCT(('TREASURY FILE'!B16:B4928=$C$4)*('TREASURY FILE'!D16:D4928="TURNOVER")*('TREASURY FILE'!A16:A4928=A28)*('TREASURY FILE'!F16:F4928))</f>
        <v>0</v>
      </c>
      <c r="D28" s="24" cm="1">
        <f t="array" ref="D28">SUMPRODUCT(('TREASURY FILE'!B16:B4928=$D$4)*('TREASURY FILE'!D16:D4928="TURNOVER")*('TREASURY FILE'!A16:A4928=A28)*('TREASURY FILE'!F16:F4928))</f>
        <v>0</v>
      </c>
      <c r="E28" s="31">
        <f t="shared" si="0"/>
        <v>0</v>
      </c>
      <c r="G28" s="24" cm="1">
        <f t="array" ref="G28">SUMPRODUCT(('TREASURY FILE'!B16:B4928=$G$4)*('TREASURY FILE'!D16:D4928="INCOME")*('TREASURY FILE'!A16:A4928=A28)*('TREASURY FILE'!F16:F4928))</f>
        <v>0</v>
      </c>
      <c r="H28" s="24" cm="1">
        <f t="array" ref="H28">SUMPRODUCT(('TREASURY FILE'!B16:B4928=$H$4)*('TREASURY FILE'!D16:D4928="INCOME")*('TREASURY FILE'!A16:A4928=A28)*('TREASURY FILE'!F16:F4928))</f>
        <v>106870.19327677976</v>
      </c>
      <c r="I28" s="24" cm="1">
        <f t="array" ref="I28">SUMPRODUCT(('TREASURY FILE'!D16:D4928=$I$4)*('TREASURY FILE'!F16:F4928="INCOME")*('TREASURY FILE'!C16:C4928=C28)*('TREASURY FILE'!H16:H4928))</f>
        <v>0</v>
      </c>
      <c r="J28" s="31">
        <f t="shared" si="1"/>
        <v>106870.19327677976</v>
      </c>
      <c r="K28" s="33" t="e">
        <f t="shared" si="2"/>
        <v>#DIV/0!</v>
      </c>
    </row>
    <row r="29" spans="1:11" x14ac:dyDescent="0.3">
      <c r="A29" s="30">
        <v>45682</v>
      </c>
      <c r="B29" s="24" cm="1">
        <f t="array" ref="B29">SUMPRODUCT(('TREASURY FILE'!B16:B4929=$B$4)*('TREASURY FILE'!D16:D4929="TURNOVER")*('TREASURY FILE'!A16:A4929=A29)*('TREASURY FILE'!F16:F4929))</f>
        <v>0</v>
      </c>
      <c r="C29" s="24" cm="1">
        <f t="array" ref="C29">SUMPRODUCT(('TREASURY FILE'!B16:B4929=$C$4)*('TREASURY FILE'!D16:D4929="TURNOVER")*('TREASURY FILE'!A16:A4929=A29)*('TREASURY FILE'!F16:F4929))</f>
        <v>0</v>
      </c>
      <c r="D29" s="24" cm="1">
        <f t="array" ref="D29">SUMPRODUCT(('TREASURY FILE'!B16:B4929=$D$4)*('TREASURY FILE'!D16:D4929="TURNOVER")*('TREASURY FILE'!A16:A4929=A29)*('TREASURY FILE'!F16:F4929))</f>
        <v>0</v>
      </c>
      <c r="E29" s="31">
        <f t="shared" si="0"/>
        <v>0</v>
      </c>
      <c r="G29" s="24" cm="1">
        <f t="array" ref="G29">SUMPRODUCT(('TREASURY FILE'!B16:B4929=$G$4)*('TREASURY FILE'!D16:D4929="INCOME")*('TREASURY FILE'!A16:A4929=A29)*('TREASURY FILE'!F16:F4929))</f>
        <v>0</v>
      </c>
      <c r="H29" s="24" cm="1">
        <f t="array" ref="H29">SUMPRODUCT(('TREASURY FILE'!B16:B4929=$H$4)*('TREASURY FILE'!D16:D4929="INCOME")*('TREASURY FILE'!A16:A4929=A29)*('TREASURY FILE'!F16:F4929))</f>
        <v>72795.842060608396</v>
      </c>
      <c r="I29" s="24" cm="1">
        <f t="array" ref="I29">SUMPRODUCT(('TREASURY FILE'!D16:D4929=$I$4)*('TREASURY FILE'!F16:F4929="INCOME")*('TREASURY FILE'!C16:C4929=C29)*('TREASURY FILE'!H16:H4929))</f>
        <v>0</v>
      </c>
      <c r="J29" s="31">
        <f t="shared" si="1"/>
        <v>72795.842060608396</v>
      </c>
      <c r="K29" s="33" t="e">
        <f t="shared" si="2"/>
        <v>#DIV/0!</v>
      </c>
    </row>
    <row r="30" spans="1:11" x14ac:dyDescent="0.3">
      <c r="A30" s="30">
        <v>45683</v>
      </c>
      <c r="B30" s="24" cm="1">
        <f t="array" ref="B30">SUMPRODUCT(('TREASURY FILE'!B16:B4930=$B$4)*('TREASURY FILE'!D16:D4930="TURNOVER")*('TREASURY FILE'!A16:A4930=A30)*('TREASURY FILE'!F16:F4930))</f>
        <v>0</v>
      </c>
      <c r="C30" s="24" cm="1">
        <f t="array" ref="C30">SUMPRODUCT(('TREASURY FILE'!B16:B4930=$C$4)*('TREASURY FILE'!D16:D4930="TURNOVER")*('TREASURY FILE'!A16:A4930=A30)*('TREASURY FILE'!F16:F4930))</f>
        <v>0</v>
      </c>
      <c r="D30" s="24" cm="1">
        <f t="array" ref="D30">SUMPRODUCT(('TREASURY FILE'!B16:B4930=$D$4)*('TREASURY FILE'!D16:D4930="TURNOVER")*('TREASURY FILE'!A16:A4930=A30)*('TREASURY FILE'!F16:F4930))</f>
        <v>0</v>
      </c>
      <c r="E30" s="31">
        <f t="shared" si="0"/>
        <v>0</v>
      </c>
      <c r="G30" s="24" cm="1">
        <f t="array" ref="G30">SUMPRODUCT(('TREASURY FILE'!B16:B4930=$G$4)*('TREASURY FILE'!D16:D4930="INCOME")*('TREASURY FILE'!A16:A4930=A30)*('TREASURY FILE'!F16:F4930))</f>
        <v>0</v>
      </c>
      <c r="H30" s="24" cm="1">
        <f t="array" ref="H30">SUMPRODUCT(('TREASURY FILE'!B16:B4930=$H$4)*('TREASURY FILE'!D16:D4930="INCOME")*('TREASURY FILE'!A16:A4930=A30)*('TREASURY FILE'!F16:F4930))</f>
        <v>116445.86194176087</v>
      </c>
      <c r="I30" s="24" cm="1">
        <f t="array" ref="I30">SUMPRODUCT(('TREASURY FILE'!D16:D4930=$I$4)*('TREASURY FILE'!F16:F4930="INCOME")*('TREASURY FILE'!C16:C4930=C30)*('TREASURY FILE'!H16:H4930))</f>
        <v>0</v>
      </c>
      <c r="J30" s="31">
        <f t="shared" si="1"/>
        <v>116445.86194176087</v>
      </c>
      <c r="K30" s="33" t="e">
        <f t="shared" si="2"/>
        <v>#DIV/0!</v>
      </c>
    </row>
    <row r="31" spans="1:11" x14ac:dyDescent="0.3">
      <c r="A31" s="30">
        <v>45684</v>
      </c>
      <c r="B31" s="24" cm="1">
        <f t="array" ref="B31">SUMPRODUCT(('TREASURY FILE'!B16:B4931=$B$4)*('TREASURY FILE'!D16:D4931="TURNOVER")*('TREASURY FILE'!A16:A4931=A31)*('TREASURY FILE'!F16:F4931))</f>
        <v>0</v>
      </c>
      <c r="C31" s="24" cm="1">
        <f t="array" ref="C31">SUMPRODUCT(('TREASURY FILE'!B16:B4931=$C$4)*('TREASURY FILE'!D16:D4931="TURNOVER")*('TREASURY FILE'!A16:A4931=A31)*('TREASURY FILE'!F16:F4931))</f>
        <v>0</v>
      </c>
      <c r="D31" s="24" cm="1">
        <f t="array" ref="D31">SUMPRODUCT(('TREASURY FILE'!B16:B4931=$D$4)*('TREASURY FILE'!D16:D4931="TURNOVER")*('TREASURY FILE'!A16:A4931=A31)*('TREASURY FILE'!F16:F4931))</f>
        <v>0</v>
      </c>
      <c r="E31" s="31">
        <f t="shared" si="0"/>
        <v>0</v>
      </c>
      <c r="G31" s="24" cm="1">
        <f t="array" ref="G31">SUMPRODUCT(('TREASURY FILE'!B16:B4931=$G$4)*('TREASURY FILE'!D16:D4931="INCOME")*('TREASURY FILE'!A16:A4931=A31)*('TREASURY FILE'!F16:F4931))</f>
        <v>0</v>
      </c>
      <c r="H31" s="24" cm="1">
        <f t="array" ref="H31">SUMPRODUCT(('TREASURY FILE'!B16:B4931=$H$4)*('TREASURY FILE'!D16:D4931="INCOME")*('TREASURY FILE'!A16:A4931=A31)*('TREASURY FILE'!F16:F4931))</f>
        <v>115499.24765494186</v>
      </c>
      <c r="I31" s="24" cm="1">
        <f t="array" ref="I31">SUMPRODUCT(('TREASURY FILE'!D16:D4931=$I$4)*('TREASURY FILE'!F16:F4931="INCOME")*('TREASURY FILE'!C16:C4931=C31)*('TREASURY FILE'!H16:H4931))</f>
        <v>0</v>
      </c>
      <c r="J31" s="31">
        <f t="shared" si="1"/>
        <v>115499.24765494186</v>
      </c>
      <c r="K31" s="33" t="e">
        <f t="shared" si="2"/>
        <v>#DIV/0!</v>
      </c>
    </row>
    <row r="32" spans="1:11" x14ac:dyDescent="0.3">
      <c r="A32" s="30">
        <v>45685</v>
      </c>
      <c r="B32" s="24" cm="1">
        <f t="array" ref="B32">SUMPRODUCT(('TREASURY FILE'!B16:B4932=$B$4)*('TREASURY FILE'!D16:D4932="TURNOVER")*('TREASURY FILE'!A16:A4932=A32)*('TREASURY FILE'!F16:F4932))</f>
        <v>0</v>
      </c>
      <c r="C32" s="24" cm="1">
        <f t="array" ref="C32">SUMPRODUCT(('TREASURY FILE'!B16:B4932=$C$4)*('TREASURY FILE'!D16:D4932="TURNOVER")*('TREASURY FILE'!A16:A4932=A32)*('TREASURY FILE'!F16:F4932))</f>
        <v>0</v>
      </c>
      <c r="D32" s="24" cm="1">
        <f t="array" ref="D32">SUMPRODUCT(('TREASURY FILE'!B16:B4932=$D$4)*('TREASURY FILE'!D16:D4932="TURNOVER")*('TREASURY FILE'!A16:A4932=A32)*('TREASURY FILE'!F16:F4932))</f>
        <v>0</v>
      </c>
      <c r="E32" s="31">
        <f t="shared" si="0"/>
        <v>0</v>
      </c>
      <c r="G32" s="24" cm="1">
        <f t="array" ref="G32">SUMPRODUCT(('TREASURY FILE'!B16:B4932=$G$4)*('TREASURY FILE'!D16:D4932="INCOME")*('TREASURY FILE'!A16:A4932=A32)*('TREASURY FILE'!F16:F4932))</f>
        <v>0</v>
      </c>
      <c r="H32" s="24" cm="1">
        <f t="array" ref="H32">SUMPRODUCT(('TREASURY FILE'!B16:B4932=$H$4)*('TREASURY FILE'!D16:D4932="INCOME")*('TREASURY FILE'!A16:A4932=A32)*('TREASURY FILE'!F16:F4932))</f>
        <v>97785.599761756544</v>
      </c>
      <c r="I32" s="24" cm="1">
        <f t="array" ref="I32">SUMPRODUCT(('TREASURY FILE'!D16:D4932=$I$4)*('TREASURY FILE'!F16:F4932="INCOME")*('TREASURY FILE'!C16:C4932=C32)*('TREASURY FILE'!H16:H4932))</f>
        <v>0</v>
      </c>
      <c r="J32" s="31">
        <f t="shared" si="1"/>
        <v>97785.599761756544</v>
      </c>
      <c r="K32" s="33" t="e">
        <f t="shared" si="2"/>
        <v>#DIV/0!</v>
      </c>
    </row>
    <row r="33" spans="1:11" x14ac:dyDescent="0.3">
      <c r="A33" s="30">
        <v>45686</v>
      </c>
      <c r="B33" s="24" cm="1">
        <f t="array" ref="B33">SUMPRODUCT(('TREASURY FILE'!B16:B4933=$B$4)*('TREASURY FILE'!D16:D4933="TURNOVER")*('TREASURY FILE'!A16:A4933=A33)*('TREASURY FILE'!F16:F4933))</f>
        <v>0</v>
      </c>
      <c r="C33" s="24" cm="1">
        <f t="array" ref="C33">SUMPRODUCT(('TREASURY FILE'!B16:B4933=$C$4)*('TREASURY FILE'!D16:D4933="TURNOVER")*('TREASURY FILE'!A16:A4933=A33)*('TREASURY FILE'!F16:F4933))</f>
        <v>0</v>
      </c>
      <c r="D33" s="24" cm="1">
        <f t="array" ref="D33">SUMPRODUCT(('TREASURY FILE'!B16:B4933=$D$4)*('TREASURY FILE'!D16:D4933="TURNOVER")*('TREASURY FILE'!A16:A4933=A33)*('TREASURY FILE'!F16:F4933))</f>
        <v>0</v>
      </c>
      <c r="E33" s="31">
        <f t="shared" si="0"/>
        <v>0</v>
      </c>
      <c r="G33" s="24" cm="1">
        <f t="array" ref="G33">SUMPRODUCT(('TREASURY FILE'!B16:B4933=$G$4)*('TREASURY FILE'!D16:D4933="INCOME")*('TREASURY FILE'!A16:A4933=A33)*('TREASURY FILE'!F16:F4933))</f>
        <v>0</v>
      </c>
      <c r="H33" s="24" cm="1">
        <f t="array" ref="H33">SUMPRODUCT(('TREASURY FILE'!B16:B4933=$H$4)*('TREASURY FILE'!D16:D4933="INCOME")*('TREASURY FILE'!A16:A4933=A33)*('TREASURY FILE'!F16:F4933))</f>
        <v>91569.592732889272</v>
      </c>
      <c r="I33" s="24" cm="1">
        <f t="array" ref="I33">SUMPRODUCT(('TREASURY FILE'!D16:D4933=$I$4)*('TREASURY FILE'!F16:F4933="INCOME")*('TREASURY FILE'!C16:C4933=C33)*('TREASURY FILE'!H16:H4933))</f>
        <v>0</v>
      </c>
      <c r="J33" s="31">
        <f t="shared" si="1"/>
        <v>91569.592732889272</v>
      </c>
      <c r="K33" s="33" t="e">
        <f t="shared" si="2"/>
        <v>#DIV/0!</v>
      </c>
    </row>
    <row r="34" spans="1:11" x14ac:dyDescent="0.3">
      <c r="A34" s="30">
        <v>45687</v>
      </c>
      <c r="B34" s="24" cm="1">
        <f t="array" ref="B34">SUMPRODUCT(('TREASURY FILE'!B16:B4934=$B$4)*('TREASURY FILE'!D16:D4934="TURNOVER")*('TREASURY FILE'!A16:A4934=A34)*('TREASURY FILE'!F16:F4934))</f>
        <v>0</v>
      </c>
      <c r="C34" s="24" cm="1">
        <f t="array" ref="C34">SUMPRODUCT(('TREASURY FILE'!B16:B4934=$C$4)*('TREASURY FILE'!D16:D4934="TURNOVER")*('TREASURY FILE'!A16:A4934=A34)*('TREASURY FILE'!F16:F4934))</f>
        <v>0</v>
      </c>
      <c r="D34" s="24" cm="1">
        <f t="array" ref="D34">SUMPRODUCT(('TREASURY FILE'!B16:B4934=$D$4)*('TREASURY FILE'!D16:D4934="TURNOVER")*('TREASURY FILE'!A16:A4934=A34)*('TREASURY FILE'!F16:F4934))</f>
        <v>0</v>
      </c>
      <c r="E34" s="31">
        <f t="shared" si="0"/>
        <v>0</v>
      </c>
      <c r="G34" s="24" cm="1">
        <f t="array" ref="G34">SUMPRODUCT(('TREASURY FILE'!B16:B4934=$G$4)*('TREASURY FILE'!D16:D4934="INCOME")*('TREASURY FILE'!A16:A4934=A34)*('TREASURY FILE'!F16:F4934))</f>
        <v>0</v>
      </c>
      <c r="H34" s="24" cm="1">
        <f t="array" ref="H34">SUMPRODUCT(('TREASURY FILE'!B16:B4934=$H$4)*('TREASURY FILE'!D16:D4934="INCOME")*('TREASURY FILE'!A16:A4934=A34)*('TREASURY FILE'!F16:F4934))</f>
        <v>84585.987925707974</v>
      </c>
      <c r="I34" s="24" cm="1">
        <f t="array" ref="I34">SUMPRODUCT(('TREASURY FILE'!D16:D4934=$I$4)*('TREASURY FILE'!F16:F4934="INCOME")*('TREASURY FILE'!C16:C4934=C34)*('TREASURY FILE'!H16:H4934))</f>
        <v>0</v>
      </c>
      <c r="J34" s="31">
        <f t="shared" si="1"/>
        <v>84585.987925707974</v>
      </c>
      <c r="K34" s="33" t="e">
        <f t="shared" si="2"/>
        <v>#DIV/0!</v>
      </c>
    </row>
    <row r="35" spans="1:11" x14ac:dyDescent="0.3">
      <c r="A35" s="30">
        <v>45688</v>
      </c>
      <c r="B35" s="24" cm="1">
        <f t="array" ref="B35">SUMPRODUCT(('TREASURY FILE'!B16:B4935=$B$4)*('TREASURY FILE'!D16:D4935="TURNOVER")*('TREASURY FILE'!A16:A4935=A35)*('TREASURY FILE'!F16:F4935))</f>
        <v>0</v>
      </c>
      <c r="C35" s="24" cm="1">
        <f t="array" ref="C35">SUMPRODUCT(('TREASURY FILE'!B16:B4935=$C$4)*('TREASURY FILE'!D16:D4935="TURNOVER")*('TREASURY FILE'!A16:A4935=A35)*('TREASURY FILE'!F16:F4935))</f>
        <v>0</v>
      </c>
      <c r="D35" s="24" cm="1">
        <f t="array" ref="D35">SUMPRODUCT(('TREASURY FILE'!B16:B4935=$D$4)*('TREASURY FILE'!D16:D4935="TURNOVER")*('TREASURY FILE'!A16:A4935=A35)*('TREASURY FILE'!F16:F4935))</f>
        <v>0</v>
      </c>
      <c r="E35" s="31">
        <f t="shared" si="0"/>
        <v>0</v>
      </c>
      <c r="G35" s="24" cm="1">
        <f t="array" ref="G35">SUMPRODUCT(('TREASURY FILE'!B16:B4935=$G$4)*('TREASURY FILE'!D16:D4935="INCOME")*('TREASURY FILE'!A16:A4935=A35)*('TREASURY FILE'!F16:F4935))</f>
        <v>0</v>
      </c>
      <c r="H35" s="24" cm="1">
        <f t="array" ref="H35">SUMPRODUCT(('TREASURY FILE'!B16:B4935=$H$4)*('TREASURY FILE'!D16:D4935="INCOME")*('TREASURY FILE'!A16:A4935=A35)*('TREASURY FILE'!F16:F4935))</f>
        <v>80039.608409626264</v>
      </c>
      <c r="I35" s="24" cm="1">
        <f t="array" ref="I35">SUMPRODUCT(('TREASURY FILE'!D16:D4935=$I$4)*('TREASURY FILE'!F16:F4935="INCOME")*('TREASURY FILE'!C16:C4935=C35)*('TREASURY FILE'!H16:H4935))</f>
        <v>0</v>
      </c>
      <c r="J35" s="31">
        <f t="shared" si="1"/>
        <v>80039.608409626264</v>
      </c>
      <c r="K35" s="33" t="e">
        <f t="shared" si="2"/>
        <v>#DIV/0!</v>
      </c>
    </row>
    <row r="36" spans="1:11" x14ac:dyDescent="0.3">
      <c r="A36" s="30">
        <v>45689</v>
      </c>
      <c r="B36" s="24" cm="1">
        <f t="array" ref="B36">SUMPRODUCT(('TREASURY FILE'!B16:B4936=$B$4)*('TREASURY FILE'!D16:D4936="TURNOVER")*('TREASURY FILE'!A16:A4936=A36)*('TREASURY FILE'!F16:F4936))</f>
        <v>0</v>
      </c>
      <c r="C36" s="24" cm="1">
        <f t="array" ref="C36">SUMPRODUCT(('TREASURY FILE'!B16:B4936=$C$4)*('TREASURY FILE'!D16:D4936="TURNOVER")*('TREASURY FILE'!A16:A4936=A36)*('TREASURY FILE'!F16:F4936))</f>
        <v>0</v>
      </c>
      <c r="D36" s="24" cm="1">
        <f t="array" ref="D36">SUMPRODUCT(('TREASURY FILE'!B16:B4936=$D$4)*('TREASURY FILE'!D16:D4936="TURNOVER")*('TREASURY FILE'!A16:A4936=A36)*('TREASURY FILE'!F16:F4936))</f>
        <v>0</v>
      </c>
      <c r="E36" s="31">
        <f t="shared" si="0"/>
        <v>0</v>
      </c>
      <c r="G36" s="24" cm="1">
        <f t="array" ref="G36">SUMPRODUCT(('TREASURY FILE'!B16:B4936=$G$4)*('TREASURY FILE'!D16:D4936="INCOME")*('TREASURY FILE'!A16:A4936=A36)*('TREASURY FILE'!F16:F4936))</f>
        <v>0</v>
      </c>
      <c r="H36" s="24" cm="1">
        <f t="array" ref="H36">SUMPRODUCT(('TREASURY FILE'!B16:B4936=$H$4)*('TREASURY FILE'!D16:D4936="INCOME")*('TREASURY FILE'!A16:A4936=A36)*('TREASURY FILE'!F16:F4936))</f>
        <v>73583.21843825496</v>
      </c>
      <c r="I36" s="24" cm="1">
        <f t="array" ref="I36">SUMPRODUCT(('TREASURY FILE'!D16:D4936=$I$4)*('TREASURY FILE'!F16:F4936="INCOME")*('TREASURY FILE'!C16:C4936=C36)*('TREASURY FILE'!H16:H4936))</f>
        <v>0</v>
      </c>
      <c r="J36" s="31">
        <f t="shared" si="1"/>
        <v>73583.21843825496</v>
      </c>
      <c r="K36" s="33" t="e">
        <f t="shared" si="2"/>
        <v>#DIV/0!</v>
      </c>
    </row>
    <row r="37" spans="1:11" x14ac:dyDescent="0.3">
      <c r="A37" s="30">
        <v>45690</v>
      </c>
      <c r="B37" s="24" cm="1">
        <f t="array" ref="B37">SUMPRODUCT(('TREASURY FILE'!B16:B4937=$B$4)*('TREASURY FILE'!D16:D4937="TURNOVER")*('TREASURY FILE'!A16:A4937=A37)*('TREASURY FILE'!F16:F4937))</f>
        <v>0</v>
      </c>
      <c r="C37" s="24" cm="1">
        <f t="array" ref="C37">SUMPRODUCT(('TREASURY FILE'!B16:B4937=$C$4)*('TREASURY FILE'!D16:D4937="TURNOVER")*('TREASURY FILE'!A16:A4937=A37)*('TREASURY FILE'!F16:F4937))</f>
        <v>0</v>
      </c>
      <c r="D37" s="24" cm="1">
        <f t="array" ref="D37">SUMPRODUCT(('TREASURY FILE'!B16:B4937=$D$4)*('TREASURY FILE'!D16:D4937="TURNOVER")*('TREASURY FILE'!A16:A4937=A37)*('TREASURY FILE'!F16:F4937))</f>
        <v>0</v>
      </c>
      <c r="E37" s="31">
        <f t="shared" si="0"/>
        <v>0</v>
      </c>
      <c r="G37" s="24" cm="1">
        <f t="array" ref="G37">SUMPRODUCT(('TREASURY FILE'!B16:B4937=$G$4)*('TREASURY FILE'!D16:D4937="INCOME")*('TREASURY FILE'!A16:A4937=A37)*('TREASURY FILE'!F16:F4937))</f>
        <v>0</v>
      </c>
      <c r="H37" s="24" cm="1">
        <f t="array" ref="H37">SUMPRODUCT(('TREASURY FILE'!B16:B4937=$H$4)*('TREASURY FILE'!D16:D4937="INCOME")*('TREASURY FILE'!A16:A4937=A37)*('TREASURY FILE'!F16:F4937))</f>
        <v>125136.7617851531</v>
      </c>
      <c r="I37" s="24" cm="1">
        <f t="array" ref="I37">SUMPRODUCT(('TREASURY FILE'!D16:D4937=$I$4)*('TREASURY FILE'!F16:F4937="INCOME")*('TREASURY FILE'!C16:C4937=C37)*('TREASURY FILE'!H16:H4937))</f>
        <v>0</v>
      </c>
      <c r="J37" s="31">
        <f t="shared" si="1"/>
        <v>125136.7617851531</v>
      </c>
      <c r="K37" s="33" t="e">
        <f t="shared" si="2"/>
        <v>#DIV/0!</v>
      </c>
    </row>
    <row r="38" spans="1:11" x14ac:dyDescent="0.3">
      <c r="A38" s="30">
        <v>45691</v>
      </c>
      <c r="B38" s="24" cm="1">
        <f t="array" ref="B38">SUMPRODUCT(('TREASURY FILE'!B16:B4938=$B$4)*('TREASURY FILE'!D16:D4938="TURNOVER")*('TREASURY FILE'!A16:A4938=A38)*('TREASURY FILE'!F16:F4938))</f>
        <v>0</v>
      </c>
      <c r="C38" s="24" cm="1">
        <f t="array" ref="C38">SUMPRODUCT(('TREASURY FILE'!B16:B4938=$C$4)*('TREASURY FILE'!D16:D4938="TURNOVER")*('TREASURY FILE'!A16:A4938=A38)*('TREASURY FILE'!F16:F4938))</f>
        <v>0</v>
      </c>
      <c r="D38" s="24" cm="1">
        <f t="array" ref="D38">SUMPRODUCT(('TREASURY FILE'!B16:B4938=$D$4)*('TREASURY FILE'!D16:D4938="TURNOVER")*('TREASURY FILE'!A16:A4938=A38)*('TREASURY FILE'!F16:F4938))</f>
        <v>0</v>
      </c>
      <c r="E38" s="31">
        <f t="shared" si="0"/>
        <v>0</v>
      </c>
      <c r="G38" s="24" cm="1">
        <f t="array" ref="G38">SUMPRODUCT(('TREASURY FILE'!B16:B4938=$G$4)*('TREASURY FILE'!D16:D4938="INCOME")*('TREASURY FILE'!A16:A4938=A38)*('TREASURY FILE'!F16:F4938))</f>
        <v>0</v>
      </c>
      <c r="H38" s="24" cm="1">
        <f t="array" ref="H38">SUMPRODUCT(('TREASURY FILE'!B16:B4938=$H$4)*('TREASURY FILE'!D16:D4938="INCOME")*('TREASURY FILE'!A16:A4938=A38)*('TREASURY FILE'!F16:F4938))</f>
        <v>186610.69239134667</v>
      </c>
      <c r="I38" s="24" cm="1">
        <f t="array" ref="I38">SUMPRODUCT(('TREASURY FILE'!D16:D4938=$I$4)*('TREASURY FILE'!F16:F4938="INCOME")*('TREASURY FILE'!C16:C4938=C38)*('TREASURY FILE'!H16:H4938))</f>
        <v>0</v>
      </c>
      <c r="J38" s="31">
        <f t="shared" si="1"/>
        <v>186610.69239134667</v>
      </c>
      <c r="K38" s="33" t="e">
        <f t="shared" si="2"/>
        <v>#DIV/0!</v>
      </c>
    </row>
    <row r="39" spans="1:11" x14ac:dyDescent="0.3">
      <c r="A39" s="30">
        <v>45692</v>
      </c>
      <c r="B39" s="24" cm="1">
        <f t="array" ref="B39">SUMPRODUCT(('TREASURY FILE'!B16:B4939=$B$4)*('TREASURY FILE'!D16:D4939="TURNOVER")*('TREASURY FILE'!A16:A4939=A39)*('TREASURY FILE'!F16:F4939))</f>
        <v>0</v>
      </c>
      <c r="C39" s="24" cm="1">
        <f t="array" ref="C39">SUMPRODUCT(('TREASURY FILE'!B16:B4939=$C$4)*('TREASURY FILE'!D16:D4939="TURNOVER")*('TREASURY FILE'!A16:A4939=A39)*('TREASURY FILE'!F16:F4939))</f>
        <v>0</v>
      </c>
      <c r="D39" s="24" cm="1">
        <f t="array" ref="D39">SUMPRODUCT(('TREASURY FILE'!B16:B4939=$D$4)*('TREASURY FILE'!D16:D4939="TURNOVER")*('TREASURY FILE'!A16:A4939=A39)*('TREASURY FILE'!F16:F4939))</f>
        <v>0</v>
      </c>
      <c r="E39" s="31">
        <f t="shared" si="0"/>
        <v>0</v>
      </c>
      <c r="G39" s="24" cm="1">
        <f t="array" ref="G39">SUMPRODUCT(('TREASURY FILE'!B16:B4939=$G$4)*('TREASURY FILE'!D16:D4939="INCOME")*('TREASURY FILE'!A16:A4939=A39)*('TREASURY FILE'!F16:F4939))</f>
        <v>0</v>
      </c>
      <c r="H39" s="24" cm="1">
        <f t="array" ref="H39">SUMPRODUCT(('TREASURY FILE'!B16:B4939=$H$4)*('TREASURY FILE'!D16:D4939="INCOME")*('TREASURY FILE'!A16:A4939=A39)*('TREASURY FILE'!F16:F4939))</f>
        <v>89736.420165437696</v>
      </c>
      <c r="I39" s="24" cm="1">
        <f t="array" ref="I39">SUMPRODUCT(('TREASURY FILE'!D16:D4939=$I$4)*('TREASURY FILE'!F16:F4939="INCOME")*('TREASURY FILE'!C16:C4939=C39)*('TREASURY FILE'!H16:H4939))</f>
        <v>0</v>
      </c>
      <c r="J39" s="31">
        <f t="shared" si="1"/>
        <v>89736.420165437696</v>
      </c>
      <c r="K39" s="33" t="e">
        <f t="shared" si="2"/>
        <v>#DIV/0!</v>
      </c>
    </row>
    <row r="40" spans="1:11" x14ac:dyDescent="0.3">
      <c r="A40" s="30">
        <v>45693</v>
      </c>
      <c r="B40" s="24" cm="1">
        <f t="array" ref="B40">SUMPRODUCT(('TREASURY FILE'!B16:B4940=$B$4)*('TREASURY FILE'!D16:D4940="TURNOVER")*('TREASURY FILE'!A16:A4940=A40)*('TREASURY FILE'!F16:F4940))</f>
        <v>0</v>
      </c>
      <c r="C40" s="24" cm="1">
        <f t="array" ref="C40">SUMPRODUCT(('TREASURY FILE'!B16:B4940=$C$4)*('TREASURY FILE'!D16:D4940="TURNOVER")*('TREASURY FILE'!A16:A4940=A40)*('TREASURY FILE'!F16:F4940))</f>
        <v>0</v>
      </c>
      <c r="D40" s="24" cm="1">
        <f t="array" ref="D40">SUMPRODUCT(('TREASURY FILE'!B16:B4940=$D$4)*('TREASURY FILE'!D16:D4940="TURNOVER")*('TREASURY FILE'!A16:A4940=A40)*('TREASURY FILE'!F16:F4940))</f>
        <v>0</v>
      </c>
      <c r="E40" s="31">
        <f t="shared" si="0"/>
        <v>0</v>
      </c>
      <c r="G40" s="24" cm="1">
        <f t="array" ref="G40">SUMPRODUCT(('TREASURY FILE'!B16:B4940=$G$4)*('TREASURY FILE'!D16:D4940="INCOME")*('TREASURY FILE'!A16:A4940=A40)*('TREASURY FILE'!F16:F4940))</f>
        <v>0</v>
      </c>
      <c r="H40" s="24" cm="1">
        <f t="array" ref="H40">SUMPRODUCT(('TREASURY FILE'!B16:B4940=$H$4)*('TREASURY FILE'!D16:D4940="INCOME")*('TREASURY FILE'!A16:A4940=A40)*('TREASURY FILE'!F16:F4940))</f>
        <v>69617.858890692645</v>
      </c>
      <c r="I40" s="24" cm="1">
        <f t="array" ref="I40">SUMPRODUCT(('TREASURY FILE'!D16:D4940=$I$4)*('TREASURY FILE'!F16:F4940="INCOME")*('TREASURY FILE'!C16:C4940=C40)*('TREASURY FILE'!H16:H4940))</f>
        <v>0</v>
      </c>
      <c r="J40" s="31">
        <f t="shared" si="1"/>
        <v>69617.858890692645</v>
      </c>
      <c r="K40" s="33" t="e">
        <f t="shared" si="2"/>
        <v>#DIV/0!</v>
      </c>
    </row>
    <row r="41" spans="1:11" x14ac:dyDescent="0.3">
      <c r="A41" s="30">
        <v>45694</v>
      </c>
      <c r="B41" s="24" cm="1">
        <f t="array" ref="B41">SUMPRODUCT(('TREASURY FILE'!B16:B4941=$B$4)*('TREASURY FILE'!D16:D4941="TURNOVER")*('TREASURY FILE'!A16:A4941=A41)*('TREASURY FILE'!F16:F4941))</f>
        <v>0</v>
      </c>
      <c r="C41" s="24" cm="1">
        <f t="array" ref="C41">SUMPRODUCT(('TREASURY FILE'!B16:B4941=$C$4)*('TREASURY FILE'!D16:D4941="TURNOVER")*('TREASURY FILE'!A16:A4941=A41)*('TREASURY FILE'!F16:F4941))</f>
        <v>0</v>
      </c>
      <c r="D41" s="24" cm="1">
        <f t="array" ref="D41">SUMPRODUCT(('TREASURY FILE'!B16:B4941=$D$4)*('TREASURY FILE'!D16:D4941="TURNOVER")*('TREASURY FILE'!A16:A4941=A41)*('TREASURY FILE'!F16:F4941))</f>
        <v>0</v>
      </c>
      <c r="E41" s="31">
        <f t="shared" si="0"/>
        <v>0</v>
      </c>
      <c r="G41" s="24" cm="1">
        <f t="array" ref="G41">SUMPRODUCT(('TREASURY FILE'!B16:B4941=$G$4)*('TREASURY FILE'!D16:D4941="INCOME")*('TREASURY FILE'!A16:A4941=A41)*('TREASURY FILE'!F16:F4941))</f>
        <v>0</v>
      </c>
      <c r="H41" s="24" cm="1">
        <f t="array" ref="H41">SUMPRODUCT(('TREASURY FILE'!B16:B4941=$H$4)*('TREASURY FILE'!D16:D4941="INCOME")*('TREASURY FILE'!A16:A4941=A41)*('TREASURY FILE'!F16:F4941))</f>
        <v>45471.391724029185</v>
      </c>
      <c r="I41" s="24" cm="1">
        <f t="array" ref="I41">SUMPRODUCT(('TREASURY FILE'!D16:D4941=$I$4)*('TREASURY FILE'!F16:F4941="INCOME")*('TREASURY FILE'!C16:C4941=C41)*('TREASURY FILE'!H16:H4941))</f>
        <v>0</v>
      </c>
      <c r="J41" s="31">
        <f t="shared" si="1"/>
        <v>45471.391724029185</v>
      </c>
      <c r="K41" s="33" t="e">
        <f t="shared" si="2"/>
        <v>#DIV/0!</v>
      </c>
    </row>
    <row r="42" spans="1:11" x14ac:dyDescent="0.3">
      <c r="A42" s="30">
        <v>45695</v>
      </c>
      <c r="B42" s="24" cm="1">
        <f t="array" ref="B42">SUMPRODUCT(('TREASURY FILE'!B16:B4942=$B$4)*('TREASURY FILE'!D16:D4942="TURNOVER")*('TREASURY FILE'!A16:A4942=A42)*('TREASURY FILE'!F16:F4942))</f>
        <v>0</v>
      </c>
      <c r="C42" s="24" cm="1">
        <f t="array" ref="C42">SUMPRODUCT(('TREASURY FILE'!B16:B4942=$C$4)*('TREASURY FILE'!D16:D4942="TURNOVER")*('TREASURY FILE'!A16:A4942=A42)*('TREASURY FILE'!F16:F4942))</f>
        <v>0</v>
      </c>
      <c r="D42" s="24" cm="1">
        <f t="array" ref="D42">SUMPRODUCT(('TREASURY FILE'!B16:B4942=$D$4)*('TREASURY FILE'!D16:D4942="TURNOVER")*('TREASURY FILE'!A16:A4942=A42)*('TREASURY FILE'!F16:F4942))</f>
        <v>0</v>
      </c>
      <c r="E42" s="31">
        <f t="shared" si="0"/>
        <v>0</v>
      </c>
      <c r="G42" s="24" cm="1">
        <f t="array" ref="G42">SUMPRODUCT(('TREASURY FILE'!B16:B4942=$G$4)*('TREASURY FILE'!D16:D4942="INCOME")*('TREASURY FILE'!A16:A4942=A42)*('TREASURY FILE'!F16:F4942))</f>
        <v>0</v>
      </c>
      <c r="H42" s="24" cm="1">
        <f t="array" ref="H42">SUMPRODUCT(('TREASURY FILE'!B16:B4942=$H$4)*('TREASURY FILE'!D16:D4942="INCOME")*('TREASURY FILE'!A16:A4942=A42)*('TREASURY FILE'!F16:F4942))</f>
        <v>48628.215106603515</v>
      </c>
      <c r="I42" s="24" cm="1">
        <f t="array" ref="I42">SUMPRODUCT(('TREASURY FILE'!D16:D4942=$I$4)*('TREASURY FILE'!F16:F4942="INCOME")*('TREASURY FILE'!C16:C4942=C42)*('TREASURY FILE'!H16:H4942))</f>
        <v>0</v>
      </c>
      <c r="J42" s="31">
        <f t="shared" si="1"/>
        <v>48628.215106603515</v>
      </c>
      <c r="K42" s="33" t="e">
        <f t="shared" si="2"/>
        <v>#DIV/0!</v>
      </c>
    </row>
    <row r="43" spans="1:11" x14ac:dyDescent="0.3">
      <c r="A43" s="30">
        <v>45696</v>
      </c>
      <c r="B43" s="24" cm="1">
        <f t="array" ref="B43">SUMPRODUCT(('TREASURY FILE'!B16:B4943=$B$4)*('TREASURY FILE'!D16:D4943="TURNOVER")*('TREASURY FILE'!A16:A4943=A43)*('TREASURY FILE'!F16:F4943))</f>
        <v>0</v>
      </c>
      <c r="C43" s="24" cm="1">
        <f t="array" ref="C43">SUMPRODUCT(('TREASURY FILE'!B16:B4943=$C$4)*('TREASURY FILE'!D16:D4943="TURNOVER")*('TREASURY FILE'!A16:A4943=A43)*('TREASURY FILE'!F16:F4943))</f>
        <v>0</v>
      </c>
      <c r="D43" s="24" cm="1">
        <f t="array" ref="D43">SUMPRODUCT(('TREASURY FILE'!B16:B4943=$D$4)*('TREASURY FILE'!D16:D4943="TURNOVER")*('TREASURY FILE'!A16:A4943=A43)*('TREASURY FILE'!F16:F4943))</f>
        <v>0</v>
      </c>
      <c r="E43" s="31">
        <f t="shared" si="0"/>
        <v>0</v>
      </c>
      <c r="G43" s="24" cm="1">
        <f t="array" ref="G43">SUMPRODUCT(('TREASURY FILE'!B16:B4943=$G$4)*('TREASURY FILE'!D16:D4943="INCOME")*('TREASURY FILE'!A16:A4943=A43)*('TREASURY FILE'!F16:F4943))</f>
        <v>0</v>
      </c>
      <c r="H43" s="24" cm="1">
        <f t="array" ref="H43">SUMPRODUCT(('TREASURY FILE'!B16:B4943=$H$4)*('TREASURY FILE'!D16:D4943="INCOME")*('TREASURY FILE'!A16:A4943=A43)*('TREASURY FILE'!F16:F4943))</f>
        <v>37555.078199161428</v>
      </c>
      <c r="I43" s="24" cm="1">
        <f t="array" ref="I43">SUMPRODUCT(('TREASURY FILE'!D16:D4943=$I$4)*('TREASURY FILE'!F16:F4943="INCOME")*('TREASURY FILE'!C16:C4943=C43)*('TREASURY FILE'!H16:H4943))</f>
        <v>0</v>
      </c>
      <c r="J43" s="31">
        <f t="shared" si="1"/>
        <v>37555.078199161428</v>
      </c>
      <c r="K43" s="33" t="e">
        <f t="shared" si="2"/>
        <v>#DIV/0!</v>
      </c>
    </row>
    <row r="44" spans="1:11" x14ac:dyDescent="0.3">
      <c r="A44" s="30">
        <v>45697</v>
      </c>
      <c r="B44" s="24" cm="1">
        <f t="array" ref="B44">SUMPRODUCT(('TREASURY FILE'!B16:B4944=$B$4)*('TREASURY FILE'!D16:D4944="TURNOVER")*('TREASURY FILE'!A16:A4944=A44)*('TREASURY FILE'!F16:F4944))</f>
        <v>0</v>
      </c>
      <c r="C44" s="24" cm="1">
        <f t="array" ref="C44">SUMPRODUCT(('TREASURY FILE'!B16:B4944=$C$4)*('TREASURY FILE'!D16:D4944="TURNOVER")*('TREASURY FILE'!A16:A4944=A44)*('TREASURY FILE'!F16:F4944))</f>
        <v>0</v>
      </c>
      <c r="D44" s="24" cm="1">
        <f t="array" ref="D44">SUMPRODUCT(('TREASURY FILE'!B16:B4944=$D$4)*('TREASURY FILE'!D16:D4944="TURNOVER")*('TREASURY FILE'!A16:A4944=A44)*('TREASURY FILE'!F16:F4944))</f>
        <v>0</v>
      </c>
      <c r="E44" s="31">
        <f t="shared" si="0"/>
        <v>0</v>
      </c>
      <c r="G44" s="24" cm="1">
        <f t="array" ref="G44">SUMPRODUCT(('TREASURY FILE'!B16:B4944=$G$4)*('TREASURY FILE'!D16:D4944="INCOME")*('TREASURY FILE'!A16:A4944=A44)*('TREASURY FILE'!F16:F4944))</f>
        <v>0</v>
      </c>
      <c r="H44" s="24" cm="1">
        <f t="array" ref="H44">SUMPRODUCT(('TREASURY FILE'!B16:B4944=$H$4)*('TREASURY FILE'!D16:D4944="INCOME")*('TREASURY FILE'!A16:A4944=A44)*('TREASURY FILE'!F16:F4944))</f>
        <v>51581.905278759637</v>
      </c>
      <c r="I44" s="24" cm="1">
        <f t="array" ref="I44">SUMPRODUCT(('TREASURY FILE'!D16:D4944=$I$4)*('TREASURY FILE'!F16:F4944="INCOME")*('TREASURY FILE'!C16:C4944=C44)*('TREASURY FILE'!H16:H4944))</f>
        <v>0</v>
      </c>
      <c r="J44" s="31">
        <f t="shared" si="1"/>
        <v>51581.905278759637</v>
      </c>
      <c r="K44" s="33" t="e">
        <f t="shared" si="2"/>
        <v>#DIV/0!</v>
      </c>
    </row>
    <row r="45" spans="1:11" x14ac:dyDescent="0.3">
      <c r="A45" s="30">
        <v>45698</v>
      </c>
      <c r="B45" s="24" cm="1">
        <f t="array" ref="B45">SUMPRODUCT(('TREASURY FILE'!B16:B4945=$B$4)*('TREASURY FILE'!D16:D4945="TURNOVER")*('TREASURY FILE'!A16:A4945=A45)*('TREASURY FILE'!F16:F4945))</f>
        <v>0</v>
      </c>
      <c r="C45" s="24" cm="1">
        <f t="array" ref="C45">SUMPRODUCT(('TREASURY FILE'!B16:B4945=$C$4)*('TREASURY FILE'!D16:D4945="TURNOVER")*('TREASURY FILE'!A16:A4945=A45)*('TREASURY FILE'!F16:F4945))</f>
        <v>0</v>
      </c>
      <c r="D45" s="24" cm="1">
        <f t="array" ref="D45">SUMPRODUCT(('TREASURY FILE'!B16:B4945=$D$4)*('TREASURY FILE'!D16:D4945="TURNOVER")*('TREASURY FILE'!A16:A4945=A45)*('TREASURY FILE'!F16:F4945))</f>
        <v>0</v>
      </c>
      <c r="E45" s="31">
        <f t="shared" si="0"/>
        <v>0</v>
      </c>
      <c r="G45" s="24" cm="1">
        <f t="array" ref="G45">SUMPRODUCT(('TREASURY FILE'!B16:B4945=$G$4)*('TREASURY FILE'!D16:D4945="INCOME")*('TREASURY FILE'!A16:A4945=A45)*('TREASURY FILE'!F16:F4945))</f>
        <v>0</v>
      </c>
      <c r="H45" s="24" cm="1">
        <f t="array" ref="H45">SUMPRODUCT(('TREASURY FILE'!B16:B4945=$H$4)*('TREASURY FILE'!D16:D4945="INCOME")*('TREASURY FILE'!A16:A4945=A45)*('TREASURY FILE'!F16:F4945))</f>
        <v>53753.761290211121</v>
      </c>
      <c r="I45" s="24" cm="1">
        <f t="array" ref="I45">SUMPRODUCT(('TREASURY FILE'!D16:D4945=$I$4)*('TREASURY FILE'!F16:F4945="INCOME")*('TREASURY FILE'!C16:C4945=C45)*('TREASURY FILE'!H16:H4945))</f>
        <v>0</v>
      </c>
      <c r="J45" s="31">
        <f t="shared" si="1"/>
        <v>53753.761290211121</v>
      </c>
      <c r="K45" s="33" t="e">
        <f t="shared" si="2"/>
        <v>#DIV/0!</v>
      </c>
    </row>
    <row r="46" spans="1:11" x14ac:dyDescent="0.3">
      <c r="A46" s="30">
        <v>45699</v>
      </c>
      <c r="B46" s="24" cm="1">
        <f t="array" ref="B46">SUMPRODUCT(('TREASURY FILE'!B16:B4946=$B$4)*('TREASURY FILE'!D16:D4946="TURNOVER")*('TREASURY FILE'!A16:A4946=A46)*('TREASURY FILE'!F16:F4946))</f>
        <v>0</v>
      </c>
      <c r="C46" s="24" cm="1">
        <f t="array" ref="C46">SUMPRODUCT(('TREASURY FILE'!B16:B4946=$C$4)*('TREASURY FILE'!D16:D4946="TURNOVER")*('TREASURY FILE'!A16:A4946=A46)*('TREASURY FILE'!F16:F4946))</f>
        <v>0</v>
      </c>
      <c r="D46" s="24" cm="1">
        <f t="array" ref="D46">SUMPRODUCT(('TREASURY FILE'!B16:B4946=$D$4)*('TREASURY FILE'!D16:D4946="TURNOVER")*('TREASURY FILE'!A16:A4946=A46)*('TREASURY FILE'!F16:F4946))</f>
        <v>0</v>
      </c>
      <c r="E46" s="31">
        <f t="shared" si="0"/>
        <v>0</v>
      </c>
      <c r="G46" s="24" cm="1">
        <f t="array" ref="G46">SUMPRODUCT(('TREASURY FILE'!B16:B4946=$G$4)*('TREASURY FILE'!D16:D4946="INCOME")*('TREASURY FILE'!A16:A4946=A46)*('TREASURY FILE'!F16:F4946))</f>
        <v>0</v>
      </c>
      <c r="H46" s="24" cm="1">
        <f t="array" ref="H46">SUMPRODUCT(('TREASURY FILE'!B16:B4946=$H$4)*('TREASURY FILE'!D16:D4946="INCOME")*('TREASURY FILE'!A16:A4946=A46)*('TREASURY FILE'!F16:F4946))</f>
        <v>52200.961499661338</v>
      </c>
      <c r="I46" s="24" cm="1">
        <f t="array" ref="I46">SUMPRODUCT(('TREASURY FILE'!D16:D4946=$I$4)*('TREASURY FILE'!F16:F4946="INCOME")*('TREASURY FILE'!C16:C4946=C46)*('TREASURY FILE'!H16:H4946))</f>
        <v>0</v>
      </c>
      <c r="J46" s="31">
        <f t="shared" si="1"/>
        <v>52200.961499661338</v>
      </c>
      <c r="K46" s="33" t="e">
        <f t="shared" si="2"/>
        <v>#DIV/0!</v>
      </c>
    </row>
    <row r="47" spans="1:11" x14ac:dyDescent="0.3">
      <c r="A47" s="30">
        <v>45700</v>
      </c>
      <c r="B47" s="24" cm="1">
        <f t="array" ref="B47">SUMPRODUCT(('TREASURY FILE'!B16:B4947=$B$4)*('TREASURY FILE'!D16:D4947="TURNOVER")*('TREASURY FILE'!A16:A4947=A47)*('TREASURY FILE'!F16:F4947))</f>
        <v>0</v>
      </c>
      <c r="C47" s="24" cm="1">
        <f t="array" ref="C47">SUMPRODUCT(('TREASURY FILE'!B16:B4947=$C$4)*('TREASURY FILE'!D16:D4947="TURNOVER")*('TREASURY FILE'!A16:A4947=A47)*('TREASURY FILE'!F16:F4947))</f>
        <v>0</v>
      </c>
      <c r="D47" s="24" cm="1">
        <f t="array" ref="D47">SUMPRODUCT(('TREASURY FILE'!B16:B4947=$D$4)*('TREASURY FILE'!D16:D4947="TURNOVER")*('TREASURY FILE'!A16:A4947=A47)*('TREASURY FILE'!F16:F4947))</f>
        <v>0</v>
      </c>
      <c r="E47" s="31">
        <f t="shared" si="0"/>
        <v>0</v>
      </c>
      <c r="G47" s="24" cm="1">
        <f t="array" ref="G47">SUMPRODUCT(('TREASURY FILE'!B16:B4947=$G$4)*('TREASURY FILE'!D16:D4947="INCOME")*('TREASURY FILE'!A16:A4947=A47)*('TREASURY FILE'!F16:F4947))</f>
        <v>0</v>
      </c>
      <c r="H47" s="24" cm="1">
        <f t="array" ref="H47">SUMPRODUCT(('TREASURY FILE'!B16:B4947=$H$4)*('TREASURY FILE'!D16:D4947="INCOME")*('TREASURY FILE'!A16:A4947=A47)*('TREASURY FILE'!F16:F4947))</f>
        <v>61558.681014481626</v>
      </c>
      <c r="I47" s="24" cm="1">
        <f t="array" ref="I47">SUMPRODUCT(('TREASURY FILE'!D16:D4947=$I$4)*('TREASURY FILE'!F16:F4947="INCOME")*('TREASURY FILE'!C16:C4947=C47)*('TREASURY FILE'!H16:H4947))</f>
        <v>0</v>
      </c>
      <c r="J47" s="31">
        <f t="shared" si="1"/>
        <v>61558.681014481626</v>
      </c>
      <c r="K47" s="33" t="e">
        <f t="shared" si="2"/>
        <v>#DIV/0!</v>
      </c>
    </row>
    <row r="48" spans="1:11" x14ac:dyDescent="0.3">
      <c r="A48" s="30">
        <v>45701</v>
      </c>
      <c r="B48" s="24" cm="1">
        <f t="array" ref="B48">SUMPRODUCT(('TREASURY FILE'!B16:B4948=$B$4)*('TREASURY FILE'!D16:D4948="TURNOVER")*('TREASURY FILE'!A16:A4948=A48)*('TREASURY FILE'!F16:F4948))</f>
        <v>0</v>
      </c>
      <c r="C48" s="24" cm="1">
        <f t="array" ref="C48">SUMPRODUCT(('TREASURY FILE'!B16:B4948=$C$4)*('TREASURY FILE'!D16:D4948="TURNOVER")*('TREASURY FILE'!A16:A4948=A48)*('TREASURY FILE'!F16:F4948))</f>
        <v>0</v>
      </c>
      <c r="D48" s="24" cm="1">
        <f t="array" ref="D48">SUMPRODUCT(('TREASURY FILE'!B16:B4948=$D$4)*('TREASURY FILE'!D16:D4948="TURNOVER")*('TREASURY FILE'!A16:A4948=A48)*('TREASURY FILE'!F16:F4948))</f>
        <v>0</v>
      </c>
      <c r="E48" s="31">
        <f t="shared" si="0"/>
        <v>0</v>
      </c>
      <c r="G48" s="24" cm="1">
        <f t="array" ref="G48">SUMPRODUCT(('TREASURY FILE'!B16:B4948=$G$4)*('TREASURY FILE'!D16:D4948="INCOME")*('TREASURY FILE'!A16:A4948=A48)*('TREASURY FILE'!F16:F4948))</f>
        <v>0</v>
      </c>
      <c r="H48" s="24" cm="1">
        <f t="array" ref="H48">SUMPRODUCT(('TREASURY FILE'!B16:B4948=$H$4)*('TREASURY FILE'!D16:D4948="INCOME")*('TREASURY FILE'!A16:A4948=A48)*('TREASURY FILE'!F16:F4948))</f>
        <v>53265.715877850875</v>
      </c>
      <c r="I48" s="24" cm="1">
        <f t="array" ref="I48">SUMPRODUCT(('TREASURY FILE'!D16:D4948=$I$4)*('TREASURY FILE'!F16:F4948="INCOME")*('TREASURY FILE'!C16:C4948=C48)*('TREASURY FILE'!H16:H4948))</f>
        <v>0</v>
      </c>
      <c r="J48" s="31">
        <f t="shared" si="1"/>
        <v>53265.715877850875</v>
      </c>
      <c r="K48" s="33" t="e">
        <f t="shared" si="2"/>
        <v>#DIV/0!</v>
      </c>
    </row>
    <row r="49" spans="1:11" x14ac:dyDescent="0.3">
      <c r="A49" s="30">
        <v>45702</v>
      </c>
      <c r="B49" s="24" cm="1">
        <f t="array" ref="B49">SUMPRODUCT(('TREASURY FILE'!B16:B4949=$B$4)*('TREASURY FILE'!D16:D4949="TURNOVER")*('TREASURY FILE'!A16:A4949=A49)*('TREASURY FILE'!F16:F4949))</f>
        <v>0</v>
      </c>
      <c r="C49" s="24" cm="1">
        <f t="array" ref="C49">SUMPRODUCT(('TREASURY FILE'!B16:B4949=$C$4)*('TREASURY FILE'!D16:D4949="TURNOVER")*('TREASURY FILE'!A16:A4949=A49)*('TREASURY FILE'!F16:F4949))</f>
        <v>0</v>
      </c>
      <c r="D49" s="24" cm="1">
        <f t="array" ref="D49">SUMPRODUCT(('TREASURY FILE'!B16:B4949=$D$4)*('TREASURY FILE'!D16:D4949="TURNOVER")*('TREASURY FILE'!A16:A4949=A49)*('TREASURY FILE'!F16:F4949))</f>
        <v>0</v>
      </c>
      <c r="E49" s="31">
        <f t="shared" si="0"/>
        <v>0</v>
      </c>
      <c r="G49" s="24" cm="1">
        <f t="array" ref="G49">SUMPRODUCT(('TREASURY FILE'!B16:B4949=$G$4)*('TREASURY FILE'!D16:D4949="INCOME")*('TREASURY FILE'!A16:A4949=A49)*('TREASURY FILE'!F16:F4949))</f>
        <v>0</v>
      </c>
      <c r="H49" s="24" cm="1">
        <f t="array" ref="H49">SUMPRODUCT(('TREASURY FILE'!B16:B4949=$H$4)*('TREASURY FILE'!D16:D4949="INCOME")*('TREASURY FILE'!A16:A4949=A49)*('TREASURY FILE'!F16:F4949))</f>
        <v>88541.812712021041</v>
      </c>
      <c r="I49" s="24" cm="1">
        <f t="array" ref="I49">SUMPRODUCT(('TREASURY FILE'!D16:D4949=$I$4)*('TREASURY FILE'!F16:F4949="INCOME")*('TREASURY FILE'!C16:C4949=C49)*('TREASURY FILE'!H16:H4949))</f>
        <v>0</v>
      </c>
      <c r="J49" s="31">
        <f t="shared" si="1"/>
        <v>88541.812712021041</v>
      </c>
      <c r="K49" s="33" t="e">
        <f t="shared" si="2"/>
        <v>#DIV/0!</v>
      </c>
    </row>
    <row r="50" spans="1:11" x14ac:dyDescent="0.3">
      <c r="A50" s="30">
        <v>45703</v>
      </c>
      <c r="B50" s="24" cm="1">
        <f t="array" ref="B50">SUMPRODUCT(('TREASURY FILE'!B16:B4950=$B$4)*('TREASURY FILE'!D16:D4950="TURNOVER")*('TREASURY FILE'!A16:A4950=A50)*('TREASURY FILE'!F16:F4950))</f>
        <v>0</v>
      </c>
      <c r="C50" s="24" cm="1">
        <f t="array" ref="C50">SUMPRODUCT(('TREASURY FILE'!B16:B4950=$C$4)*('TREASURY FILE'!D16:D4950="TURNOVER")*('TREASURY FILE'!A16:A4950=A50)*('TREASURY FILE'!F16:F4950))</f>
        <v>0</v>
      </c>
      <c r="D50" s="24" cm="1">
        <f t="array" ref="D50">SUMPRODUCT(('TREASURY FILE'!B16:B4950=$D$4)*('TREASURY FILE'!D16:D4950="TURNOVER")*('TREASURY FILE'!A16:A4950=A50)*('TREASURY FILE'!F16:F4950))</f>
        <v>0</v>
      </c>
      <c r="E50" s="31">
        <f t="shared" si="0"/>
        <v>0</v>
      </c>
      <c r="G50" s="24" cm="1">
        <f t="array" ref="G50">SUMPRODUCT(('TREASURY FILE'!B16:B4950=$G$4)*('TREASURY FILE'!D16:D4950="INCOME")*('TREASURY FILE'!A16:A4950=A50)*('TREASURY FILE'!F16:F4950))</f>
        <v>0</v>
      </c>
      <c r="H50" s="24" cm="1">
        <f t="array" ref="H50">SUMPRODUCT(('TREASURY FILE'!B16:B4950=$H$4)*('TREASURY FILE'!D16:D4950="INCOME")*('TREASURY FILE'!A16:A4950=A50)*('TREASURY FILE'!F16:F4950))</f>
        <v>64517.11933120172</v>
      </c>
      <c r="I50" s="24" cm="1">
        <f t="array" ref="I50">SUMPRODUCT(('TREASURY FILE'!D16:D4950=$I$4)*('TREASURY FILE'!F16:F4950="INCOME")*('TREASURY FILE'!C16:C4950=C50)*('TREASURY FILE'!H16:H4950))</f>
        <v>0</v>
      </c>
      <c r="J50" s="31">
        <f t="shared" si="1"/>
        <v>64517.11933120172</v>
      </c>
      <c r="K50" s="33" t="e">
        <f t="shared" si="2"/>
        <v>#DIV/0!</v>
      </c>
    </row>
    <row r="51" spans="1:11" x14ac:dyDescent="0.3">
      <c r="A51" s="30">
        <v>45704</v>
      </c>
      <c r="B51" s="24" cm="1">
        <f t="array" ref="B51">SUMPRODUCT(('TREASURY FILE'!B16:B4951=$B$4)*('TREASURY FILE'!D16:D4951="TURNOVER")*('TREASURY FILE'!A16:A4951=A51)*('TREASURY FILE'!F16:F4951))</f>
        <v>0</v>
      </c>
      <c r="C51" s="24" cm="1">
        <f t="array" ref="C51">SUMPRODUCT(('TREASURY FILE'!B16:B4951=$C$4)*('TREASURY FILE'!D16:D4951="TURNOVER")*('TREASURY FILE'!A16:A4951=A51)*('TREASURY FILE'!F16:F4951))</f>
        <v>0</v>
      </c>
      <c r="D51" s="24" cm="1">
        <f t="array" ref="D51">SUMPRODUCT(('TREASURY FILE'!B16:B4951=$D$4)*('TREASURY FILE'!D16:D4951="TURNOVER")*('TREASURY FILE'!A16:A4951=A51)*('TREASURY FILE'!F16:F4951))</f>
        <v>0</v>
      </c>
      <c r="E51" s="31">
        <f t="shared" si="0"/>
        <v>0</v>
      </c>
      <c r="G51" s="24" cm="1">
        <f t="array" ref="G51">SUMPRODUCT(('TREASURY FILE'!B16:B4951=$G$4)*('TREASURY FILE'!D16:D4951="INCOME")*('TREASURY FILE'!A16:A4951=A51)*('TREASURY FILE'!F16:F4951))</f>
        <v>0</v>
      </c>
      <c r="H51" s="24" cm="1">
        <f t="array" ref="H51">SUMPRODUCT(('TREASURY FILE'!B16:B4951=$H$4)*('TREASURY FILE'!D16:D4951="INCOME")*('TREASURY FILE'!A16:A4951=A51)*('TREASURY FILE'!F16:F4951))</f>
        <v>55239.423796045179</v>
      </c>
      <c r="I51" s="24" cm="1">
        <f t="array" ref="I51">SUMPRODUCT(('TREASURY FILE'!D16:D4951=$I$4)*('TREASURY FILE'!F16:F4951="INCOME")*('TREASURY FILE'!C16:C4951=C51)*('TREASURY FILE'!H16:H4951))</f>
        <v>0</v>
      </c>
      <c r="J51" s="31">
        <f t="shared" si="1"/>
        <v>55239.423796045179</v>
      </c>
      <c r="K51" s="33" t="e">
        <f t="shared" si="2"/>
        <v>#DIV/0!</v>
      </c>
    </row>
    <row r="52" spans="1:11" x14ac:dyDescent="0.3">
      <c r="A52" s="30">
        <v>45705</v>
      </c>
      <c r="B52" s="24" cm="1">
        <f t="array" ref="B52">SUMPRODUCT(('TREASURY FILE'!B16:B4952=$B$4)*('TREASURY FILE'!D16:D4952="TURNOVER")*('TREASURY FILE'!A16:A4952=A52)*('TREASURY FILE'!F16:F4952))</f>
        <v>0</v>
      </c>
      <c r="C52" s="24" cm="1">
        <f t="array" ref="C52">SUMPRODUCT(('TREASURY FILE'!B16:B4952=$C$4)*('TREASURY FILE'!D16:D4952="TURNOVER")*('TREASURY FILE'!A16:A4952=A52)*('TREASURY FILE'!F16:F4952))</f>
        <v>0</v>
      </c>
      <c r="D52" s="24" cm="1">
        <f t="array" ref="D52">SUMPRODUCT(('TREASURY FILE'!B16:B4952=$D$4)*('TREASURY FILE'!D16:D4952="TURNOVER")*('TREASURY FILE'!A16:A4952=A52)*('TREASURY FILE'!F16:F4952))</f>
        <v>0</v>
      </c>
      <c r="E52" s="31">
        <f t="shared" si="0"/>
        <v>0</v>
      </c>
      <c r="G52" s="24" cm="1">
        <f t="array" ref="G52">SUMPRODUCT(('TREASURY FILE'!B16:B4952=$G$4)*('TREASURY FILE'!D16:D4952="INCOME")*('TREASURY FILE'!A16:A4952=A52)*('TREASURY FILE'!F16:F4952))</f>
        <v>0</v>
      </c>
      <c r="H52" s="24" cm="1">
        <f t="array" ref="H52">SUMPRODUCT(('TREASURY FILE'!B16:B4952=$H$4)*('TREASURY FILE'!D16:D4952="INCOME")*('TREASURY FILE'!A16:A4952=A52)*('TREASURY FILE'!F16:F4952))</f>
        <v>58081.37395514836</v>
      </c>
      <c r="I52" s="24" cm="1">
        <f t="array" ref="I52">SUMPRODUCT(('TREASURY FILE'!D16:D4952=$I$4)*('TREASURY FILE'!F16:F4952="INCOME")*('TREASURY FILE'!C16:C4952=C52)*('TREASURY FILE'!H16:H4952))</f>
        <v>0</v>
      </c>
      <c r="J52" s="31">
        <f t="shared" si="1"/>
        <v>58081.37395514836</v>
      </c>
      <c r="K52" s="33" t="e">
        <f t="shared" si="2"/>
        <v>#DIV/0!</v>
      </c>
    </row>
    <row r="53" spans="1:11" x14ac:dyDescent="0.3">
      <c r="A53" s="30">
        <v>45706</v>
      </c>
      <c r="B53" s="24" cm="1">
        <f t="array" ref="B53">SUMPRODUCT(('TREASURY FILE'!B16:B4953=$B$4)*('TREASURY FILE'!D16:D4953="TURNOVER")*('TREASURY FILE'!A16:A4953=A53)*('TREASURY FILE'!F16:F4953))</f>
        <v>0</v>
      </c>
      <c r="C53" s="24" cm="1">
        <f t="array" ref="C53">SUMPRODUCT(('TREASURY FILE'!B16:B4953=$C$4)*('TREASURY FILE'!D16:D4953="TURNOVER")*('TREASURY FILE'!A16:A4953=A53)*('TREASURY FILE'!F16:F4953))</f>
        <v>0</v>
      </c>
      <c r="D53" s="24" cm="1">
        <f t="array" ref="D53">SUMPRODUCT(('TREASURY FILE'!B16:B4953=$D$4)*('TREASURY FILE'!D16:D4953="TURNOVER")*('TREASURY FILE'!A16:A4953=A53)*('TREASURY FILE'!F16:F4953))</f>
        <v>0</v>
      </c>
      <c r="E53" s="31">
        <f t="shared" si="0"/>
        <v>0</v>
      </c>
      <c r="G53" s="24" cm="1">
        <f t="array" ref="G53">SUMPRODUCT(('TREASURY FILE'!B16:B4953=$G$4)*('TREASURY FILE'!D16:D4953="INCOME")*('TREASURY FILE'!A16:A4953=A53)*('TREASURY FILE'!F16:F4953))</f>
        <v>0</v>
      </c>
      <c r="H53" s="24" cm="1">
        <f t="array" ref="H53">SUMPRODUCT(('TREASURY FILE'!B16:B4953=$H$4)*('TREASURY FILE'!D16:D4953="INCOME")*('TREASURY FILE'!A16:A4953=A53)*('TREASURY FILE'!F16:F4953))</f>
        <v>42639.18112913354</v>
      </c>
      <c r="I53" s="24" cm="1">
        <f t="array" ref="I53">SUMPRODUCT(('TREASURY FILE'!D16:D4953=$I$4)*('TREASURY FILE'!F16:F4953="INCOME")*('TREASURY FILE'!C16:C4953=C53)*('TREASURY FILE'!H16:H4953))</f>
        <v>0</v>
      </c>
      <c r="J53" s="31">
        <f t="shared" si="1"/>
        <v>42639.18112913354</v>
      </c>
      <c r="K53" s="33" t="e">
        <f t="shared" si="2"/>
        <v>#DIV/0!</v>
      </c>
    </row>
    <row r="54" spans="1:11" x14ac:dyDescent="0.3">
      <c r="A54" s="30">
        <v>45707</v>
      </c>
      <c r="B54" s="24" cm="1">
        <f t="array" ref="B54">SUMPRODUCT(('TREASURY FILE'!B16:B4954=$B$4)*('TREASURY FILE'!D16:D4954="TURNOVER")*('TREASURY FILE'!A16:A4954=A54)*('TREASURY FILE'!F16:F4954))</f>
        <v>0</v>
      </c>
      <c r="C54" s="24" cm="1">
        <f t="array" ref="C54">SUMPRODUCT(('TREASURY FILE'!B16:B4954=$C$4)*('TREASURY FILE'!D16:D4954="TURNOVER")*('TREASURY FILE'!A16:A4954=A54)*('TREASURY FILE'!F16:F4954))</f>
        <v>0</v>
      </c>
      <c r="D54" s="24" cm="1">
        <f t="array" ref="D54">SUMPRODUCT(('TREASURY FILE'!B16:B4954=$D$4)*('TREASURY FILE'!D16:D4954="TURNOVER")*('TREASURY FILE'!A16:A4954=A54)*('TREASURY FILE'!F16:F4954))</f>
        <v>0</v>
      </c>
      <c r="E54" s="31">
        <f t="shared" si="0"/>
        <v>0</v>
      </c>
      <c r="G54" s="24" cm="1">
        <f t="array" ref="G54">SUMPRODUCT(('TREASURY FILE'!B16:B4954=$G$4)*('TREASURY FILE'!D16:D4954="INCOME")*('TREASURY FILE'!A16:A4954=A54)*('TREASURY FILE'!F16:F4954))</f>
        <v>0</v>
      </c>
      <c r="H54" s="24" cm="1">
        <f t="array" ref="H54">SUMPRODUCT(('TREASURY FILE'!B16:B4954=$H$4)*('TREASURY FILE'!D16:D4954="INCOME")*('TREASURY FILE'!A16:A4954=A54)*('TREASURY FILE'!F16:F4954))</f>
        <v>32718.419323550945</v>
      </c>
      <c r="I54" s="24" cm="1">
        <f t="array" ref="I54">SUMPRODUCT(('TREASURY FILE'!D16:D4954=$I$4)*('TREASURY FILE'!F16:F4954="INCOME")*('TREASURY FILE'!C16:C4954=C54)*('TREASURY FILE'!H16:H4954))</f>
        <v>0</v>
      </c>
      <c r="J54" s="31">
        <f t="shared" si="1"/>
        <v>32718.419323550945</v>
      </c>
      <c r="K54" s="33" t="e">
        <f t="shared" si="2"/>
        <v>#DIV/0!</v>
      </c>
    </row>
    <row r="55" spans="1:11" x14ac:dyDescent="0.3">
      <c r="A55" s="30">
        <v>45708</v>
      </c>
      <c r="B55" s="24" cm="1">
        <f t="array" ref="B55">SUMPRODUCT(('TREASURY FILE'!B16:B4955=$B$4)*('TREASURY FILE'!D16:D4955="TURNOVER")*('TREASURY FILE'!A16:A4955=A55)*('TREASURY FILE'!F16:F4955))</f>
        <v>0</v>
      </c>
      <c r="C55" s="24" cm="1">
        <f t="array" ref="C55">SUMPRODUCT(('TREASURY FILE'!B16:B4955=$C$4)*('TREASURY FILE'!D16:D4955="TURNOVER")*('TREASURY FILE'!A16:A4955=A55)*('TREASURY FILE'!F16:F4955))</f>
        <v>0</v>
      </c>
      <c r="D55" s="24" cm="1">
        <f t="array" ref="D55">SUMPRODUCT(('TREASURY FILE'!B16:B4955=$D$4)*('TREASURY FILE'!D16:D4955="TURNOVER")*('TREASURY FILE'!A16:A4955=A55)*('TREASURY FILE'!F16:F4955))</f>
        <v>0</v>
      </c>
      <c r="E55" s="31">
        <f t="shared" si="0"/>
        <v>0</v>
      </c>
      <c r="G55" s="24" cm="1">
        <f t="array" ref="G55">SUMPRODUCT(('TREASURY FILE'!B16:B4955=$G$4)*('TREASURY FILE'!D16:D4955="INCOME")*('TREASURY FILE'!A16:A4955=A55)*('TREASURY FILE'!F16:F4955))</f>
        <v>0</v>
      </c>
      <c r="H55" s="24" cm="1">
        <f t="array" ref="H55">SUMPRODUCT(('TREASURY FILE'!B16:B4955=$H$4)*('TREASURY FILE'!D16:D4955="INCOME")*('TREASURY FILE'!A16:A4955=A55)*('TREASURY FILE'!F16:F4955))</f>
        <v>35865.927365885218</v>
      </c>
      <c r="I55" s="24" cm="1">
        <f t="array" ref="I55">SUMPRODUCT(('TREASURY FILE'!D16:D4955=$I$4)*('TREASURY FILE'!F16:F4955="INCOME")*('TREASURY FILE'!C16:C4955=C55)*('TREASURY FILE'!H16:H4955))</f>
        <v>0</v>
      </c>
      <c r="J55" s="31">
        <f t="shared" si="1"/>
        <v>35865.927365885218</v>
      </c>
      <c r="K55" s="33" t="e">
        <f t="shared" si="2"/>
        <v>#DIV/0!</v>
      </c>
    </row>
    <row r="56" spans="1:11" x14ac:dyDescent="0.3">
      <c r="A56" s="30">
        <v>45709</v>
      </c>
      <c r="B56" s="24" cm="1">
        <f t="array" ref="B56">SUMPRODUCT(('TREASURY FILE'!B16:B4956=$B$4)*('TREASURY FILE'!D16:D4956="TURNOVER")*('TREASURY FILE'!A16:A4956=A56)*('TREASURY FILE'!F16:F4956))</f>
        <v>0</v>
      </c>
      <c r="C56" s="24" cm="1">
        <f t="array" ref="C56">SUMPRODUCT(('TREASURY FILE'!B16:B4956=$C$4)*('TREASURY FILE'!D16:D4956="TURNOVER")*('TREASURY FILE'!A16:A4956=A56)*('TREASURY FILE'!F16:F4956))</f>
        <v>0</v>
      </c>
      <c r="D56" s="24" cm="1">
        <f t="array" ref="D56">SUMPRODUCT(('TREASURY FILE'!B16:B4956=$D$4)*('TREASURY FILE'!D16:D4956="TURNOVER")*('TREASURY FILE'!A16:A4956=A56)*('TREASURY FILE'!F16:F4956))</f>
        <v>0</v>
      </c>
      <c r="E56" s="31">
        <f t="shared" si="0"/>
        <v>0</v>
      </c>
      <c r="G56" s="24" cm="1">
        <f t="array" ref="G56">SUMPRODUCT(('TREASURY FILE'!B16:B4956=$G$4)*('TREASURY FILE'!D16:D4956="INCOME")*('TREASURY FILE'!A16:A4956=A56)*('TREASURY FILE'!F16:F4956))</f>
        <v>0</v>
      </c>
      <c r="H56" s="24" cm="1">
        <f t="array" ref="H56">SUMPRODUCT(('TREASURY FILE'!B16:B4956=$H$4)*('TREASURY FILE'!D16:D4956="INCOME")*('TREASURY FILE'!A16:A4956=A56)*('TREASURY FILE'!F16:F4956))</f>
        <v>56930.454756340681</v>
      </c>
      <c r="I56" s="24" cm="1">
        <f t="array" ref="I56">SUMPRODUCT(('TREASURY FILE'!D16:D4956=$I$4)*('TREASURY FILE'!F16:F4956="INCOME")*('TREASURY FILE'!C16:C4956=C56)*('TREASURY FILE'!H16:H4956))</f>
        <v>0</v>
      </c>
      <c r="J56" s="31">
        <f t="shared" si="1"/>
        <v>56930.454756340681</v>
      </c>
      <c r="K56" s="33" t="e">
        <f t="shared" si="2"/>
        <v>#DIV/0!</v>
      </c>
    </row>
    <row r="57" spans="1:11" x14ac:dyDescent="0.3">
      <c r="A57" s="30">
        <v>45710</v>
      </c>
      <c r="B57" s="24" cm="1">
        <f t="array" ref="B57">SUMPRODUCT(('TREASURY FILE'!B16:B4957=$B$4)*('TREASURY FILE'!D16:D4957="TURNOVER")*('TREASURY FILE'!A16:A4957=A57)*('TREASURY FILE'!F16:F4957))</f>
        <v>0</v>
      </c>
      <c r="C57" s="24" cm="1">
        <f t="array" ref="C57">SUMPRODUCT(('TREASURY FILE'!B16:B4957=$C$4)*('TREASURY FILE'!D16:D4957="TURNOVER")*('TREASURY FILE'!A16:A4957=A57)*('TREASURY FILE'!F16:F4957))</f>
        <v>0</v>
      </c>
      <c r="D57" s="24" cm="1">
        <f t="array" ref="D57">SUMPRODUCT(('TREASURY FILE'!B16:B4957=$D$4)*('TREASURY FILE'!D16:D4957="TURNOVER")*('TREASURY FILE'!A16:A4957=A57)*('TREASURY FILE'!F16:F4957))</f>
        <v>0</v>
      </c>
      <c r="E57" s="31">
        <f t="shared" si="0"/>
        <v>0</v>
      </c>
      <c r="G57" s="24" cm="1">
        <f t="array" ref="G57">SUMPRODUCT(('TREASURY FILE'!B16:B4957=$G$4)*('TREASURY FILE'!D16:D4957="INCOME")*('TREASURY FILE'!A16:A4957=A57)*('TREASURY FILE'!F16:F4957))</f>
        <v>0</v>
      </c>
      <c r="H57" s="24" cm="1">
        <f t="array" ref="H57">SUMPRODUCT(('TREASURY FILE'!B16:B4957=$H$4)*('TREASURY FILE'!D16:D4957="INCOME")*('TREASURY FILE'!A16:A4957=A57)*('TREASURY FILE'!F16:F4957))</f>
        <v>45055.145997521038</v>
      </c>
      <c r="I57" s="24" cm="1">
        <f t="array" ref="I57">SUMPRODUCT(('TREASURY FILE'!D16:D4957=$I$4)*('TREASURY FILE'!F16:F4957="INCOME")*('TREASURY FILE'!C16:C4957=C57)*('TREASURY FILE'!H16:H4957))</f>
        <v>0</v>
      </c>
      <c r="J57" s="31">
        <f t="shared" si="1"/>
        <v>45055.145997521038</v>
      </c>
      <c r="K57" s="33" t="e">
        <f t="shared" si="2"/>
        <v>#DIV/0!</v>
      </c>
    </row>
    <row r="58" spans="1:11" x14ac:dyDescent="0.3">
      <c r="A58" s="30">
        <v>45711</v>
      </c>
      <c r="B58" s="24" cm="1">
        <f t="array" ref="B58">SUMPRODUCT(('TREASURY FILE'!B16:B4958=$B$4)*('TREASURY FILE'!D16:D4958="TURNOVER")*('TREASURY FILE'!A16:A4958=A58)*('TREASURY FILE'!F16:F4958))</f>
        <v>0</v>
      </c>
      <c r="C58" s="24" cm="1">
        <f t="array" ref="C58">SUMPRODUCT(('TREASURY FILE'!B16:B4958=$C$4)*('TREASURY FILE'!D16:D4958="TURNOVER")*('TREASURY FILE'!A16:A4958=A58)*('TREASURY FILE'!F16:F4958))</f>
        <v>0</v>
      </c>
      <c r="D58" s="24" cm="1">
        <f t="array" ref="D58">SUMPRODUCT(('TREASURY FILE'!B16:B4958=$D$4)*('TREASURY FILE'!D16:D4958="TURNOVER")*('TREASURY FILE'!A16:A4958=A58)*('TREASURY FILE'!F16:F4958))</f>
        <v>0</v>
      </c>
      <c r="E58" s="31">
        <f t="shared" si="0"/>
        <v>0</v>
      </c>
      <c r="G58" s="24" cm="1">
        <f t="array" ref="G58">SUMPRODUCT(('TREASURY FILE'!B16:B4958=$G$4)*('TREASURY FILE'!D16:D4958="INCOME")*('TREASURY FILE'!A16:A4958=A58)*('TREASURY FILE'!F16:F4958))</f>
        <v>0</v>
      </c>
      <c r="H58" s="24" cm="1">
        <f t="array" ref="H58">SUMPRODUCT(('TREASURY FILE'!B16:B4958=$H$4)*('TREASURY FILE'!D16:D4958="INCOME")*('TREASURY FILE'!A16:A4958=A58)*('TREASURY FILE'!F16:F4958))</f>
        <v>61637.286828384094</v>
      </c>
      <c r="I58" s="24" cm="1">
        <f t="array" ref="I58">SUMPRODUCT(('TREASURY FILE'!D16:D4958=$I$4)*('TREASURY FILE'!F16:F4958="INCOME")*('TREASURY FILE'!C16:C4958=C58)*('TREASURY FILE'!H16:H4958))</f>
        <v>0</v>
      </c>
      <c r="J58" s="31">
        <f t="shared" si="1"/>
        <v>61637.286828384094</v>
      </c>
      <c r="K58" s="33" t="e">
        <f t="shared" si="2"/>
        <v>#DIV/0!</v>
      </c>
    </row>
    <row r="59" spans="1:11" x14ac:dyDescent="0.3">
      <c r="A59" s="30">
        <v>45712</v>
      </c>
      <c r="B59" s="24" cm="1">
        <f t="array" ref="B59">SUMPRODUCT(('TREASURY FILE'!B16:B4959=$B$4)*('TREASURY FILE'!D16:D4959="TURNOVER")*('TREASURY FILE'!A16:A4959=A59)*('TREASURY FILE'!F16:F4959))</f>
        <v>0</v>
      </c>
      <c r="C59" s="24" cm="1">
        <f t="array" ref="C59">SUMPRODUCT(('TREASURY FILE'!B16:B4959=$C$4)*('TREASURY FILE'!D16:D4959="TURNOVER")*('TREASURY FILE'!A16:A4959=A59)*('TREASURY FILE'!F16:F4959))</f>
        <v>0</v>
      </c>
      <c r="D59" s="24" cm="1">
        <f t="array" ref="D59">SUMPRODUCT(('TREASURY FILE'!B16:B4959=$D$4)*('TREASURY FILE'!D16:D4959="TURNOVER")*('TREASURY FILE'!A16:A4959=A59)*('TREASURY FILE'!F16:F4959))</f>
        <v>0</v>
      </c>
      <c r="E59" s="31">
        <f t="shared" si="0"/>
        <v>0</v>
      </c>
      <c r="G59" s="24" cm="1">
        <f t="array" ref="G59">SUMPRODUCT(('TREASURY FILE'!B16:B4959=$G$4)*('TREASURY FILE'!D16:D4959="INCOME")*('TREASURY FILE'!A16:A4959=A59)*('TREASURY FILE'!F16:F4959))</f>
        <v>0</v>
      </c>
      <c r="H59" s="24" cm="1">
        <f t="array" ref="H59">SUMPRODUCT(('TREASURY FILE'!B16:B4959=$H$4)*('TREASURY FILE'!D16:D4959="INCOME")*('TREASURY FILE'!A16:A4959=A59)*('TREASURY FILE'!F16:F4959))</f>
        <v>43503.804391845755</v>
      </c>
      <c r="I59" s="24" cm="1">
        <f t="array" ref="I59">SUMPRODUCT(('TREASURY FILE'!D16:D4959=$I$4)*('TREASURY FILE'!F16:F4959="INCOME")*('TREASURY FILE'!C16:C4959=C59)*('TREASURY FILE'!H16:H4959))</f>
        <v>0</v>
      </c>
      <c r="J59" s="31">
        <f t="shared" si="1"/>
        <v>43503.804391845755</v>
      </c>
      <c r="K59" s="33" t="e">
        <f t="shared" si="2"/>
        <v>#DIV/0!</v>
      </c>
    </row>
    <row r="60" spans="1:11" x14ac:dyDescent="0.3">
      <c r="A60" s="30">
        <v>45713</v>
      </c>
      <c r="B60" s="24" cm="1">
        <f t="array" ref="B60">SUMPRODUCT(('TREASURY FILE'!B16:B4960=$B$4)*('TREASURY FILE'!D16:D4960="TURNOVER")*('TREASURY FILE'!A16:A4960=A60)*('TREASURY FILE'!F16:F4960))</f>
        <v>0</v>
      </c>
      <c r="C60" s="24" cm="1">
        <f t="array" ref="C60">SUMPRODUCT(('TREASURY FILE'!B16:B4960=$C$4)*('TREASURY FILE'!D16:D4960="TURNOVER")*('TREASURY FILE'!A16:A4960=A60)*('TREASURY FILE'!F16:F4960))</f>
        <v>0</v>
      </c>
      <c r="D60" s="24" cm="1">
        <f t="array" ref="D60">SUMPRODUCT(('TREASURY FILE'!B16:B4960=$D$4)*('TREASURY FILE'!D16:D4960="TURNOVER")*('TREASURY FILE'!A16:A4960=A60)*('TREASURY FILE'!F16:F4960))</f>
        <v>0</v>
      </c>
      <c r="E60" s="31">
        <f t="shared" si="0"/>
        <v>0</v>
      </c>
      <c r="G60" s="24" cm="1">
        <f t="array" ref="G60">SUMPRODUCT(('TREASURY FILE'!B16:B4960=$G$4)*('TREASURY FILE'!D16:D4960="INCOME")*('TREASURY FILE'!A16:A4960=A60)*('TREASURY FILE'!F16:F4960))</f>
        <v>0</v>
      </c>
      <c r="H60" s="24" cm="1">
        <f t="array" ref="H60">SUMPRODUCT(('TREASURY FILE'!B16:B4960=$H$4)*('TREASURY FILE'!D16:D4960="INCOME")*('TREASURY FILE'!A16:A4960=A60)*('TREASURY FILE'!F16:F4960))</f>
        <v>79646.532825521223</v>
      </c>
      <c r="I60" s="24" cm="1">
        <f t="array" ref="I60">SUMPRODUCT(('TREASURY FILE'!D16:D4960=$I$4)*('TREASURY FILE'!F16:F4960="INCOME")*('TREASURY FILE'!C16:C4960=C60)*('TREASURY FILE'!H16:H4960))</f>
        <v>0</v>
      </c>
      <c r="J60" s="31">
        <f t="shared" si="1"/>
        <v>79646.532825521223</v>
      </c>
      <c r="K60" s="33" t="e">
        <f t="shared" si="2"/>
        <v>#DIV/0!</v>
      </c>
    </row>
    <row r="61" spans="1:11" x14ac:dyDescent="0.3">
      <c r="A61" s="30">
        <v>45714</v>
      </c>
      <c r="B61" s="24" cm="1">
        <f t="array" ref="B61">SUMPRODUCT(('TREASURY FILE'!B16:B4961=$B$4)*('TREASURY FILE'!D16:D4961="TURNOVER")*('TREASURY FILE'!A16:A4961=A61)*('TREASURY FILE'!F16:F4961))</f>
        <v>0</v>
      </c>
      <c r="C61" s="24" cm="1">
        <f t="array" ref="C61">SUMPRODUCT(('TREASURY FILE'!B16:B4961=$C$4)*('TREASURY FILE'!D16:D4961="TURNOVER")*('TREASURY FILE'!A16:A4961=A61)*('TREASURY FILE'!F16:F4961))</f>
        <v>0</v>
      </c>
      <c r="D61" s="24" cm="1">
        <f t="array" ref="D61">SUMPRODUCT(('TREASURY FILE'!B16:B4961=$D$4)*('TREASURY FILE'!D16:D4961="TURNOVER")*('TREASURY FILE'!A16:A4961=A61)*('TREASURY FILE'!F16:F4961))</f>
        <v>0</v>
      </c>
      <c r="E61" s="31">
        <f t="shared" si="0"/>
        <v>0</v>
      </c>
      <c r="G61" s="24" cm="1">
        <f t="array" ref="G61">SUMPRODUCT(('TREASURY FILE'!B16:B4961=$G$4)*('TREASURY FILE'!D16:D4961="INCOME")*('TREASURY FILE'!A16:A4961=A61)*('TREASURY FILE'!F16:F4961))</f>
        <v>0</v>
      </c>
      <c r="H61" s="24" cm="1">
        <f t="array" ref="H61">SUMPRODUCT(('TREASURY FILE'!B16:B4961=$H$4)*('TREASURY FILE'!D16:D4961="INCOME")*('TREASURY FILE'!A16:A4961=A61)*('TREASURY FILE'!F16:F4961))</f>
        <v>59679.005894441259</v>
      </c>
      <c r="I61" s="24" cm="1">
        <f t="array" ref="I61">SUMPRODUCT(('TREASURY FILE'!D16:D4961=$I$4)*('TREASURY FILE'!F16:F4961="INCOME")*('TREASURY FILE'!C16:C4961=C61)*('TREASURY FILE'!H16:H4961))</f>
        <v>0</v>
      </c>
      <c r="J61" s="31">
        <f t="shared" si="1"/>
        <v>59679.005894441259</v>
      </c>
      <c r="K61" s="33" t="e">
        <f t="shared" si="2"/>
        <v>#DIV/0!</v>
      </c>
    </row>
    <row r="62" spans="1:11" x14ac:dyDescent="0.3">
      <c r="A62" s="30">
        <v>45715</v>
      </c>
      <c r="B62" s="24" cm="1">
        <f t="array" ref="B62">SUMPRODUCT(('TREASURY FILE'!B16:B4962=$B$4)*('TREASURY FILE'!D16:D4962="TURNOVER")*('TREASURY FILE'!A16:A4962=A62)*('TREASURY FILE'!F16:F4962))</f>
        <v>0</v>
      </c>
      <c r="C62" s="24" cm="1">
        <f t="array" ref="C62">SUMPRODUCT(('TREASURY FILE'!B16:B4962=$C$4)*('TREASURY FILE'!D16:D4962="TURNOVER")*('TREASURY FILE'!A16:A4962=A62)*('TREASURY FILE'!F16:F4962))</f>
        <v>0</v>
      </c>
      <c r="D62" s="24" cm="1">
        <f t="array" ref="D62">SUMPRODUCT(('TREASURY FILE'!B16:B4962=$D$4)*('TREASURY FILE'!D16:D4962="TURNOVER")*('TREASURY FILE'!A16:A4962=A62)*('TREASURY FILE'!F16:F4962))</f>
        <v>0</v>
      </c>
      <c r="E62" s="31">
        <f t="shared" si="0"/>
        <v>0</v>
      </c>
      <c r="G62" s="24" cm="1">
        <f t="array" ref="G62">SUMPRODUCT(('TREASURY FILE'!B16:B4962=$G$4)*('TREASURY FILE'!D16:D4962="INCOME")*('TREASURY FILE'!A16:A4962=A62)*('TREASURY FILE'!F16:F4962))</f>
        <v>0</v>
      </c>
      <c r="H62" s="24" cm="1">
        <f t="array" ref="H62">SUMPRODUCT(('TREASURY FILE'!B16:B4962=$H$4)*('TREASURY FILE'!D16:D4962="INCOME")*('TREASURY FILE'!A16:A4962=A62)*('TREASURY FILE'!F16:F4962))</f>
        <v>46260.259051276633</v>
      </c>
      <c r="I62" s="24" cm="1">
        <f t="array" ref="I62">SUMPRODUCT(('TREASURY FILE'!D16:D4962=$I$4)*('TREASURY FILE'!F16:F4962="INCOME")*('TREASURY FILE'!C16:C4962=C62)*('TREASURY FILE'!H16:H4962))</f>
        <v>0</v>
      </c>
      <c r="J62" s="31">
        <f t="shared" si="1"/>
        <v>46260.259051276633</v>
      </c>
      <c r="K62" s="33" t="e">
        <f t="shared" si="2"/>
        <v>#DIV/0!</v>
      </c>
    </row>
    <row r="63" spans="1:11" x14ac:dyDescent="0.3">
      <c r="A63" s="30">
        <v>45716</v>
      </c>
      <c r="B63" s="24" cm="1">
        <f t="array" ref="B63">SUMPRODUCT(('TREASURY FILE'!B16:B4963=$B$4)*('TREASURY FILE'!D16:D4963="TURNOVER")*('TREASURY FILE'!A16:A4963=A63)*('TREASURY FILE'!F16:F4963))</f>
        <v>0</v>
      </c>
      <c r="C63" s="24" cm="1">
        <f t="array" ref="C63">SUMPRODUCT(('TREASURY FILE'!B16:B4963=$C$4)*('TREASURY FILE'!D16:D4963="TURNOVER")*('TREASURY FILE'!A16:A4963=A63)*('TREASURY FILE'!F16:F4963))</f>
        <v>324203835.96281284</v>
      </c>
      <c r="D63" s="24" cm="1">
        <f t="array" ref="D63">SUMPRODUCT(('TREASURY FILE'!B16:B4963=$D$4)*('TREASURY FILE'!D16:D4963="TURNOVER")*('TREASURY FILE'!A16:A4963=A63)*('TREASURY FILE'!F16:F4963))</f>
        <v>338512</v>
      </c>
      <c r="E63" s="31">
        <f t="shared" si="0"/>
        <v>324542347.96281284</v>
      </c>
      <c r="G63" s="24" cm="1">
        <f t="array" ref="G63">SUMPRODUCT(('TREASURY FILE'!B16:B4963=$G$4)*('TREASURY FILE'!D16:D4963="INCOME")*('TREASURY FILE'!A16:A4963=A63)*('TREASURY FILE'!F16:F4963))</f>
        <v>0</v>
      </c>
      <c r="H63" s="24" cm="1">
        <f t="array" ref="H63">SUMPRODUCT(('TREASURY FILE'!B16:B4963=$H$4)*('TREASURY FILE'!D16:D4963="INCOME")*('TREASURY FILE'!A16:A4963=A63)*('TREASURY FILE'!F16:F4963))</f>
        <v>81806.311615081067</v>
      </c>
      <c r="I63" s="24" cm="1">
        <f t="array" ref="I63">SUMPRODUCT(('TREASURY FILE'!D16:D4963=$I$4)*('TREASURY FILE'!F16:F4963="INCOME")*('TREASURY FILE'!C16:C4963=C63)*('TREASURY FILE'!H16:H4963))</f>
        <v>0</v>
      </c>
      <c r="J63" s="31">
        <f t="shared" si="1"/>
        <v>81806.311615081067</v>
      </c>
      <c r="K63" s="33">
        <f t="shared" si="2"/>
        <v>2.5206667828894461E-4</v>
      </c>
    </row>
    <row r="64" spans="1:11" x14ac:dyDescent="0.3">
      <c r="A64" s="30">
        <v>45717</v>
      </c>
      <c r="B64" s="24" cm="1">
        <f t="array" ref="B64">SUMPRODUCT(('TREASURY FILE'!B16:B4964=$B$4)*('TREASURY FILE'!D16:D4964="TURNOVER")*('TREASURY FILE'!A16:A4964=A64)*('TREASURY FILE'!F16:F4964))</f>
        <v>0</v>
      </c>
      <c r="C64" s="24" cm="1">
        <f t="array" ref="C64">SUMPRODUCT(('TREASURY FILE'!B16:B4964=$C$4)*('TREASURY FILE'!D16:D4964="TURNOVER")*('TREASURY FILE'!A16:A4964=A64)*('TREASURY FILE'!F16:F4964))</f>
        <v>218179013.14448443</v>
      </c>
      <c r="D64" s="24" cm="1">
        <f t="array" ref="D64">SUMPRODUCT(('TREASURY FILE'!B16:B4964=$D$4)*('TREASURY FILE'!D16:D4964="TURNOVER")*('TREASURY FILE'!A16:A4964=A64)*('TREASURY FILE'!F16:F4964))</f>
        <v>0</v>
      </c>
      <c r="E64" s="31">
        <f t="shared" ref="E64:E69" si="3">SUM(B64:D64)</f>
        <v>218179013.14448443</v>
      </c>
      <c r="G64" s="24" cm="1">
        <f t="array" ref="G64">SUMPRODUCT(('TREASURY FILE'!B16:B4964=$G$4)*('TREASURY FILE'!D16:D4964="INCOME")*('TREASURY FILE'!A16:A4964=A64)*('TREASURY FILE'!F16:F4964))</f>
        <v>0</v>
      </c>
      <c r="H64" s="24" cm="1">
        <f t="array" ref="H64">SUMPRODUCT(('TREASURY FILE'!B16:B4964=$H$4)*('TREASURY FILE'!D16:D4964="INCOME")*('TREASURY FILE'!A16:A4964=A64)*('TREASURY FILE'!F16:F4964))</f>
        <v>54043.373935870601</v>
      </c>
      <c r="I64" s="24" cm="1">
        <f t="array" ref="I64">SUMPRODUCT(('TREASURY FILE'!D16:D4964=$I$4)*('TREASURY FILE'!F16:F4964="INCOME")*('TREASURY FILE'!C16:C4964=C64)*('TREASURY FILE'!H16:H4964))</f>
        <v>0</v>
      </c>
      <c r="J64" s="31">
        <f t="shared" ref="J64:J69" si="4">SUM(G64:I64)</f>
        <v>54043.373935870601</v>
      </c>
      <c r="K64" s="33">
        <f t="shared" si="2"/>
        <v>2.4770198176706171E-4</v>
      </c>
    </row>
    <row r="65" spans="1:11" x14ac:dyDescent="0.3">
      <c r="A65" s="30">
        <v>45718</v>
      </c>
      <c r="B65" s="24" cm="1">
        <f t="array" ref="B65">SUMPRODUCT(('TREASURY FILE'!B16:B4965=$B$4)*('TREASURY FILE'!D16:D4965="TURNOVER")*('TREASURY FILE'!A16:A4965=A65)*('TREASURY FILE'!F16:F4965))</f>
        <v>0</v>
      </c>
      <c r="C65" s="24" cm="1">
        <f t="array" ref="C65">SUMPRODUCT(('TREASURY FILE'!B16:B4965=$C$4)*('TREASURY FILE'!D16:D4965="TURNOVER")*('TREASURY FILE'!A16:A4965=A65)*('TREASURY FILE'!F16:F4965))</f>
        <v>539741820.45478773</v>
      </c>
      <c r="D65" s="24" cm="1">
        <f t="array" ref="D65">SUMPRODUCT(('TREASURY FILE'!B16:B4965=$D$4)*('TREASURY FILE'!D16:D4965="TURNOVER")*('TREASURY FILE'!A16:A4965=A65)*('TREASURY FILE'!F16:F4965))</f>
        <v>0</v>
      </c>
      <c r="E65" s="31">
        <f t="shared" si="3"/>
        <v>539741820.45478773</v>
      </c>
      <c r="G65" s="24" cm="1">
        <f t="array" ref="G65">SUMPRODUCT(('TREASURY FILE'!B16:B4965=$G$4)*('TREASURY FILE'!D16:D4965="INCOME")*('TREASURY FILE'!A16:A4965=A65)*('TREASURY FILE'!F16:F4965))</f>
        <v>0</v>
      </c>
      <c r="H65" s="24" cm="1">
        <f t="array" ref="H65">SUMPRODUCT(('TREASURY FILE'!B16:B4965=$H$4)*('TREASURY FILE'!D16:D4965="INCOME")*('TREASURY FILE'!A16:A4965=A65)*('TREASURY FILE'!F16:F4965))</f>
        <v>140132.00773186094</v>
      </c>
      <c r="I65" s="24" cm="1">
        <f t="array" ref="I65">SUMPRODUCT(('TREASURY FILE'!D16:D4965=$I$4)*('TREASURY FILE'!F16:F4965="INCOME")*('TREASURY FILE'!C16:C4965=C65)*('TREASURY FILE'!H16:H4965))</f>
        <v>0</v>
      </c>
      <c r="J65" s="31">
        <f t="shared" si="4"/>
        <v>140132.00773186094</v>
      </c>
      <c r="K65" s="33">
        <f t="shared" si="2"/>
        <v>2.5962784876255353E-4</v>
      </c>
    </row>
    <row r="66" spans="1:11" x14ac:dyDescent="0.3">
      <c r="A66" s="30">
        <v>45719</v>
      </c>
      <c r="B66" s="24" cm="1">
        <f t="array" ref="B66">SUMPRODUCT(('TREASURY FILE'!B16:B4966=$B$4)*('TREASURY FILE'!D16:D4966="TURNOVER")*('TREASURY FILE'!A16:A4966=A66)*('TREASURY FILE'!F16:F4966))</f>
        <v>0</v>
      </c>
      <c r="C66" s="24" cm="1">
        <f t="array" ref="C66">SUMPRODUCT(('TREASURY FILE'!B16:B4966=$C$4)*('TREASURY FILE'!D16:D4966="TURNOVER")*('TREASURY FILE'!A16:A4966=A66)*('TREASURY FILE'!F16:F4966))</f>
        <v>412137041.43019283</v>
      </c>
      <c r="D66" s="24" cm="1">
        <f t="array" ref="D66">SUMPRODUCT(('TREASURY FILE'!B16:B4966=$D$4)*('TREASURY FILE'!D16:D4966="TURNOVER")*('TREASURY FILE'!A16:A4966=A66)*('TREASURY FILE'!F16:F4966))</f>
        <v>19327</v>
      </c>
      <c r="E66" s="31">
        <f t="shared" si="3"/>
        <v>412156368.43019283</v>
      </c>
      <c r="G66" s="24" cm="1">
        <f t="array" ref="G66">SUMPRODUCT(('TREASURY FILE'!B16:B4966=$G$4)*('TREASURY FILE'!D16:D4966="INCOME")*('TREASURY FILE'!A16:A4966=A66)*('TREASURY FILE'!F16:F4966))</f>
        <v>0</v>
      </c>
      <c r="H66" s="24" cm="1">
        <f t="array" ref="H66">SUMPRODUCT(('TREASURY FILE'!B16:B4966=$H$4)*('TREASURY FILE'!D16:D4966="INCOME")*('TREASURY FILE'!A16:A4966=A66)*('TREASURY FILE'!F16:F4966))</f>
        <v>105498.23728268649</v>
      </c>
      <c r="I66" s="24" cm="1">
        <f t="array" ref="I66">SUMPRODUCT(('TREASURY FILE'!D16:D4966=$I$4)*('TREASURY FILE'!F16:F4966="INCOME")*('TREASURY FILE'!C16:C4966=C66)*('TREASURY FILE'!H16:H4966))</f>
        <v>0</v>
      </c>
      <c r="J66" s="31">
        <f t="shared" si="4"/>
        <v>105498.23728268649</v>
      </c>
      <c r="K66" s="33">
        <f t="shared" si="2"/>
        <v>2.5596653445997833E-4</v>
      </c>
    </row>
    <row r="67" spans="1:11" x14ac:dyDescent="0.3">
      <c r="A67" s="30">
        <v>45720</v>
      </c>
      <c r="B67" s="24" cm="1">
        <f t="array" ref="B67">SUMPRODUCT(('TREASURY FILE'!B16:B4967=$B$4)*('TREASURY FILE'!D16:D4967="TURNOVER")*('TREASURY FILE'!A16:A4967=A67)*('TREASURY FILE'!F16:F4967))</f>
        <v>0</v>
      </c>
      <c r="C67" s="24" cm="1">
        <f t="array" ref="C67">SUMPRODUCT(('TREASURY FILE'!B16:B4967=$C$4)*('TREASURY FILE'!D16:D4967="TURNOVER")*('TREASURY FILE'!A16:A4967=A67)*('TREASURY FILE'!F16:F4967))</f>
        <v>296475053.75268257</v>
      </c>
      <c r="D67" s="24" cm="1">
        <f t="array" ref="D67">SUMPRODUCT(('TREASURY FILE'!B16:B4967=$D$4)*('TREASURY FILE'!D16:D4967="TURNOVER")*('TREASURY FILE'!A16:A4967=A67)*('TREASURY FILE'!F16:F4967))</f>
        <v>101</v>
      </c>
      <c r="E67" s="31">
        <f t="shared" si="3"/>
        <v>296475154.75268257</v>
      </c>
      <c r="G67" s="24" cm="1">
        <f t="array" ref="G67">SUMPRODUCT(('TREASURY FILE'!B16:B4967=$G$4)*('TREASURY FILE'!D16:D4967="INCOME")*('TREASURY FILE'!A16:A4967=A67)*('TREASURY FILE'!F16:F4967))</f>
        <v>0</v>
      </c>
      <c r="H67" s="24" cm="1">
        <f t="array" ref="H67">SUMPRODUCT(('TREASURY FILE'!B16:B4967=$H$4)*('TREASURY FILE'!D16:D4967="INCOME")*('TREASURY FILE'!A16:A4967=A67)*('TREASURY FILE'!F16:F4967))</f>
        <v>75791.83859083167</v>
      </c>
      <c r="I67" s="24" cm="1">
        <f t="array" ref="I67">SUMPRODUCT(('TREASURY FILE'!D16:D4967=$I$4)*('TREASURY FILE'!F16:F4967="INCOME")*('TREASURY FILE'!C16:C4967=C67)*('TREASURY FILE'!H16:H4967))</f>
        <v>0</v>
      </c>
      <c r="J67" s="31">
        <f t="shared" si="4"/>
        <v>75791.83859083167</v>
      </c>
      <c r="K67" s="33">
        <f t="shared" si="2"/>
        <v>2.5564313695714799E-4</v>
      </c>
    </row>
    <row r="68" spans="1:11" x14ac:dyDescent="0.3">
      <c r="A68" s="30">
        <v>45721</v>
      </c>
      <c r="B68" s="24" cm="1">
        <f t="array" ref="B68">SUMPRODUCT(('TREASURY FILE'!B16:B4968=$B$4)*('TREASURY FILE'!D16:D4968="TURNOVER")*('TREASURY FILE'!A16:A4968=A68)*('TREASURY FILE'!F16:F4968))</f>
        <v>0</v>
      </c>
      <c r="C68" s="24" cm="1">
        <f t="array" ref="C68">SUMPRODUCT(('TREASURY FILE'!B16:B4968=$C$4)*('TREASURY FILE'!D16:D4968="TURNOVER")*('TREASURY FILE'!A16:A4968=A68)*('TREASURY FILE'!F16:F4968))</f>
        <v>200021516.89281511</v>
      </c>
      <c r="D68" s="24" cm="1">
        <f t="array" ref="D68">SUMPRODUCT(('TREASURY FILE'!B16:B4968=$D$4)*('TREASURY FILE'!D16:D4968="TURNOVER")*('TREASURY FILE'!A16:A4968=A68)*('TREASURY FILE'!F16:F4968))</f>
        <v>989319</v>
      </c>
      <c r="E68" s="31">
        <f t="shared" si="3"/>
        <v>201010835.89281511</v>
      </c>
      <c r="G68" s="24" cm="1">
        <f t="array" ref="G68">SUMPRODUCT(('TREASURY FILE'!B16:B4968=$G$4)*('TREASURY FILE'!D16:D4968="INCOME")*('TREASURY FILE'!A16:A4968=A68)*('TREASURY FILE'!F16:F4968))</f>
        <v>0</v>
      </c>
      <c r="H68" s="24" cm="1">
        <f t="array" ref="H68">SUMPRODUCT(('TREASURY FILE'!B16:B4968=$H$4)*('TREASURY FILE'!D16:D4968="INCOME")*('TREASURY FILE'!A16:A4968=A68)*('TREASURY FILE'!F16:F4968))</f>
        <v>50053.670581321683</v>
      </c>
      <c r="I68" s="24" cm="1">
        <f t="array" ref="I68">SUMPRODUCT(('TREASURY FILE'!D16:D4968=$I$4)*('TREASURY FILE'!F16:F4968="INCOME")*('TREASURY FILE'!C16:C4968=C68)*('TREASURY FILE'!H16:H4968))</f>
        <v>0</v>
      </c>
      <c r="J68" s="31">
        <f t="shared" si="4"/>
        <v>50053.670581321683</v>
      </c>
      <c r="K68" s="33">
        <f t="shared" si="2"/>
        <v>2.4900981262528441E-4</v>
      </c>
    </row>
    <row r="69" spans="1:11" x14ac:dyDescent="0.3">
      <c r="A69" s="30">
        <v>45722</v>
      </c>
      <c r="B69" s="24" cm="1">
        <f t="array" ref="B69">SUMPRODUCT(('TREASURY FILE'!B16:B4969=$B$4)*('TREASURY FILE'!D16:D4969="TURNOVER")*('TREASURY FILE'!A16:A4969=A69)*('TREASURY FILE'!F16:F4969))</f>
        <v>0</v>
      </c>
      <c r="C69" s="24" cm="1">
        <f t="array" ref="C69">SUMPRODUCT(('TREASURY FILE'!B16:B4969=$C$4)*('TREASURY FILE'!D16:D4969="TURNOVER")*('TREASURY FILE'!A16:A4969=A69)*('TREASURY FILE'!F16:F4969))</f>
        <v>168263114.87985542</v>
      </c>
      <c r="D69" s="24" cm="1">
        <f t="array" ref="D69">SUMPRODUCT(('TREASURY FILE'!B16:B4969=$D$4)*('TREASURY FILE'!D16:D4969="TURNOVER")*('TREASURY FILE'!A16:A4969=A69)*('TREASURY FILE'!F16:F4969))</f>
        <v>1057</v>
      </c>
      <c r="E69" s="31">
        <f t="shared" si="3"/>
        <v>168264171.87985542</v>
      </c>
      <c r="G69" s="24" cm="1">
        <f t="array" ref="G69">SUMPRODUCT(('TREASURY FILE'!B16:B4969=$G$4)*('TREASURY FILE'!D16:D4969="INCOME")*('TREASURY FILE'!A16:A4969=A69)*('TREASURY FILE'!F16:F4969))</f>
        <v>0</v>
      </c>
      <c r="H69" s="24" cm="1">
        <f t="array" ref="H69">SUMPRODUCT(('TREASURY FILE'!B16:B4969=$H$4)*('TREASURY FILE'!D16:D4969="INCOME")*('TREASURY FILE'!A16:A4969=A69)*('TREASURY FILE'!F16:F4969))</f>
        <v>41596.985170003478</v>
      </c>
      <c r="I69" s="24" cm="1">
        <f t="array" ref="I69">SUMPRODUCT(('TREASURY FILE'!D16:D4969=$I$4)*('TREASURY FILE'!F16:F4969="INCOME")*('TREASURY FILE'!C16:C4969=C69)*('TREASURY FILE'!H16:H4969))</f>
        <v>0</v>
      </c>
      <c r="J69" s="31">
        <f t="shared" si="4"/>
        <v>41596.985170003478</v>
      </c>
      <c r="K69" s="33">
        <f t="shared" si="2"/>
        <v>2.4721237269514928E-4</v>
      </c>
    </row>
    <row r="70" spans="1:11" x14ac:dyDescent="0.3">
      <c r="A70" s="30">
        <v>45723</v>
      </c>
      <c r="B70" s="24" cm="1">
        <f t="array" ref="B70">SUMPRODUCT(('TREASURY FILE'!B16:B4970=$B$4)*('TREASURY FILE'!D16:D4970="TURNOVER")*('TREASURY FILE'!A16:A4970=A70)*('TREASURY FILE'!F16:F4970))</f>
        <v>0</v>
      </c>
      <c r="C70" s="24" cm="1">
        <f t="array" ref="C70">SUMPRODUCT(('TREASURY FILE'!B16:B4970=$C$4)*('TREASURY FILE'!D16:D4970="TURNOVER")*('TREASURY FILE'!A16:A4970=A70)*('TREASURY FILE'!F16:F4970))</f>
        <v>202393077.39338413</v>
      </c>
      <c r="D70" s="24" cm="1">
        <f t="array" ref="D70">SUMPRODUCT(('TREASURY FILE'!B16:B4970=$D$4)*('TREASURY FILE'!D16:D4970="TURNOVER")*('TREASURY FILE'!A16:A4970=A70)*('TREASURY FILE'!F16:F4970))</f>
        <v>0</v>
      </c>
      <c r="E70" s="31">
        <f t="shared" ref="E70:E133" si="5">SUM(B70:D70)</f>
        <v>202393077.39338413</v>
      </c>
      <c r="G70" s="24" cm="1">
        <f t="array" ref="G70">SUMPRODUCT(('TREASURY FILE'!B16:B4970=$G$4)*('TREASURY FILE'!D16:D4970="INCOME")*('TREASURY FILE'!A16:A4970=A70)*('TREASURY FILE'!F16:F4970))</f>
        <v>0</v>
      </c>
      <c r="H70" s="24" cm="1">
        <f t="array" ref="H70">SUMPRODUCT(('TREASURY FILE'!B16:B4970=$H$4)*('TREASURY FILE'!D16:D4970="INCOME")*('TREASURY FILE'!A16:A4970=A70)*('TREASURY FILE'!F16:F4970))</f>
        <v>51007.6018059665</v>
      </c>
      <c r="I70" s="24" cm="1">
        <f t="array" ref="I70">SUMPRODUCT(('TREASURY FILE'!D16:D4970=$I$4)*('TREASURY FILE'!F16:F4970="INCOME")*('TREASURY FILE'!C16:C4970=C70)*('TREASURY FILE'!H16:H4970))</f>
        <v>0</v>
      </c>
      <c r="J70" s="31">
        <f t="shared" ref="J70:J133" si="6">SUM(G70:I70)</f>
        <v>51007.6018059665</v>
      </c>
      <c r="K70" s="33">
        <f t="shared" ref="K70:K133" si="7">+J70/E70</f>
        <v>2.5202246273880633E-4</v>
      </c>
    </row>
    <row r="71" spans="1:11" x14ac:dyDescent="0.3">
      <c r="A71" s="30">
        <v>45724</v>
      </c>
      <c r="B71" s="24" cm="1">
        <f t="array" ref="B71">SUMPRODUCT(('TREASURY FILE'!B16:B4971=$B$4)*('TREASURY FILE'!D16:D4971="TURNOVER")*('TREASURY FILE'!A16:A4971=A71)*('TREASURY FILE'!F16:F4971))</f>
        <v>0</v>
      </c>
      <c r="C71" s="24" cm="1">
        <f t="array" ref="C71">SUMPRODUCT(('TREASURY FILE'!B16:B4971=$C$4)*('TREASURY FILE'!D16:D4971="TURNOVER")*('TREASURY FILE'!A16:A4971=A71)*('TREASURY FILE'!F16:F4971))</f>
        <v>128983012.99810512</v>
      </c>
      <c r="D71" s="24" cm="1">
        <f t="array" ref="D71">SUMPRODUCT(('TREASURY FILE'!B16:B4971=$D$4)*('TREASURY FILE'!D16:D4971="TURNOVER")*('TREASURY FILE'!A16:A4971=A71)*('TREASURY FILE'!F16:F4971))</f>
        <v>0</v>
      </c>
      <c r="E71" s="31">
        <f t="shared" si="5"/>
        <v>128983012.99810512</v>
      </c>
      <c r="G71" s="24" cm="1">
        <f t="array" ref="G71">SUMPRODUCT(('TREASURY FILE'!B16:B4971=$G$4)*('TREASURY FILE'!D16:D4971="INCOME")*('TREASURY FILE'!A16:A4971=A71)*('TREASURY FILE'!F16:F4971))</f>
        <v>0</v>
      </c>
      <c r="H71" s="24" cm="1">
        <f t="array" ref="H71">SUMPRODUCT(('TREASURY FILE'!B16:B4971=$H$4)*('TREASURY FILE'!D16:D4971="INCOME")*('TREASURY FILE'!A16:A4971=A71)*('TREASURY FILE'!F16:F4971))</f>
        <v>32199.307531021281</v>
      </c>
      <c r="I71" s="24" cm="1">
        <f t="array" ref="I71">SUMPRODUCT(('TREASURY FILE'!D16:D4971=$I$4)*('TREASURY FILE'!F16:F4971="INCOME")*('TREASURY FILE'!C16:C4971=C71)*('TREASURY FILE'!H16:H4971))</f>
        <v>0</v>
      </c>
      <c r="J71" s="31">
        <f t="shared" si="6"/>
        <v>32199.307531021281</v>
      </c>
      <c r="K71" s="33">
        <f t="shared" si="7"/>
        <v>2.4963990825283575E-4</v>
      </c>
    </row>
    <row r="72" spans="1:11" x14ac:dyDescent="0.3">
      <c r="A72" s="30">
        <v>45725</v>
      </c>
      <c r="B72" s="24" cm="1">
        <f t="array" ref="B72">SUMPRODUCT(('TREASURY FILE'!B16:B4972=$B$4)*('TREASURY FILE'!D16:D4972="TURNOVER")*('TREASURY FILE'!A16:A4972=A72)*('TREASURY FILE'!F16:F4972))</f>
        <v>0</v>
      </c>
      <c r="C72" s="24" cm="1">
        <f t="array" ref="C72">SUMPRODUCT(('TREASURY FILE'!B16:B4972=$C$4)*('TREASURY FILE'!D16:D4972="TURNOVER")*('TREASURY FILE'!A16:A4972=A72)*('TREASURY FILE'!F16:F4972))</f>
        <v>189766801.0280062</v>
      </c>
      <c r="D72" s="24" cm="1">
        <f t="array" ref="D72">SUMPRODUCT(('TREASURY FILE'!B16:B4972=$D$4)*('TREASURY FILE'!D16:D4972="TURNOVER")*('TREASURY FILE'!A16:A4972=A72)*('TREASURY FILE'!F16:F4972))</f>
        <v>999</v>
      </c>
      <c r="E72" s="31">
        <f t="shared" si="5"/>
        <v>189767800.0280062</v>
      </c>
      <c r="G72" s="24" cm="1">
        <f t="array" ref="G72">SUMPRODUCT(('TREASURY FILE'!B16:B4972=$G$4)*('TREASURY FILE'!D16:D4972="INCOME")*('TREASURY FILE'!A16:A4972=A72)*('TREASURY FILE'!F16:F4972))</f>
        <v>0</v>
      </c>
      <c r="H72" s="24" cm="1">
        <f t="array" ref="H72">SUMPRODUCT(('TREASURY FILE'!B16:B4972=$H$4)*('TREASURY FILE'!D16:D4972="INCOME")*('TREASURY FILE'!A16:A4972=A72)*('TREASURY FILE'!F16:F4972))</f>
        <v>46727.412679717767</v>
      </c>
      <c r="I72" s="24" cm="1">
        <f t="array" ref="I72">SUMPRODUCT(('TREASURY FILE'!D16:D4972=$I$4)*('TREASURY FILE'!F16:F4972="INCOME")*('TREASURY FILE'!C16:C4972=C72)*('TREASURY FILE'!H16:H4972))</f>
        <v>0</v>
      </c>
      <c r="J72" s="31">
        <f t="shared" si="6"/>
        <v>46727.412679717767</v>
      </c>
      <c r="K72" s="33">
        <f t="shared" si="7"/>
        <v>2.4623467560261369E-4</v>
      </c>
    </row>
    <row r="73" spans="1:11" x14ac:dyDescent="0.3">
      <c r="A73" s="30">
        <v>45726</v>
      </c>
      <c r="B73" s="24" cm="1">
        <f t="array" ref="B73">SUMPRODUCT(('TREASURY FILE'!B16:B4973=$B$4)*('TREASURY FILE'!D16:D4973="TURNOVER")*('TREASURY FILE'!A16:A4973=A73)*('TREASURY FILE'!F16:F4973))</f>
        <v>0</v>
      </c>
      <c r="C73" s="24" cm="1">
        <f t="array" ref="C73">SUMPRODUCT(('TREASURY FILE'!B16:B4973=$C$4)*('TREASURY FILE'!D16:D4973="TURNOVER")*('TREASURY FILE'!A16:A4973=A73)*('TREASURY FILE'!F16:F4973))</f>
        <v>326476329.04103446</v>
      </c>
      <c r="D73" s="24" cm="1">
        <f t="array" ref="D73">SUMPRODUCT(('TREASURY FILE'!B16:B4973=$D$4)*('TREASURY FILE'!D16:D4973="TURNOVER")*('TREASURY FILE'!A16:A4973=A73)*('TREASURY FILE'!F16:F4973))</f>
        <v>4034</v>
      </c>
      <c r="E73" s="31">
        <f t="shared" si="5"/>
        <v>326480363.04103446</v>
      </c>
      <c r="G73" s="24" cm="1">
        <f t="array" ref="G73">SUMPRODUCT(('TREASURY FILE'!B16:B4973=$G$4)*('TREASURY FILE'!D16:D4973="INCOME")*('TREASURY FILE'!A16:A4973=A73)*('TREASURY FILE'!F16:F4973))</f>
        <v>0</v>
      </c>
      <c r="H73" s="24" cm="1">
        <f t="array" ref="H73">SUMPRODUCT(('TREASURY FILE'!B16:B4973=$H$4)*('TREASURY FILE'!D16:D4973="INCOME")*('TREASURY FILE'!A16:A4973=A73)*('TREASURY FILE'!F16:F4973))</f>
        <v>82915.472101439926</v>
      </c>
      <c r="I73" s="24" cm="1">
        <f t="array" ref="I73">SUMPRODUCT(('TREASURY FILE'!D16:D4973=$I$4)*('TREASURY FILE'!F16:F4973="INCOME")*('TREASURY FILE'!C16:C4973=C73)*('TREASURY FILE'!H16:H4973))</f>
        <v>0</v>
      </c>
      <c r="J73" s="31">
        <f t="shared" si="6"/>
        <v>82915.472101439926</v>
      </c>
      <c r="K73" s="33">
        <f t="shared" si="7"/>
        <v>2.5396771594197993E-4</v>
      </c>
    </row>
    <row r="74" spans="1:11" x14ac:dyDescent="0.3">
      <c r="A74" s="30">
        <v>45727</v>
      </c>
      <c r="B74" s="24" cm="1">
        <f t="array" ref="B74">SUMPRODUCT(('TREASURY FILE'!B16:B4974=$B$4)*('TREASURY FILE'!D16:D4974="TURNOVER")*('TREASURY FILE'!A16:A4974=A74)*('TREASURY FILE'!F16:F4974))</f>
        <v>0</v>
      </c>
      <c r="C74" s="24" cm="1">
        <f t="array" ref="C74">SUMPRODUCT(('TREASURY FILE'!B16:B4974=$C$4)*('TREASURY FILE'!D16:D4974="TURNOVER")*('TREASURY FILE'!A16:A4974=A74)*('TREASURY FILE'!F16:F4974))</f>
        <v>358219703.76240093</v>
      </c>
      <c r="D74" s="24" cm="1">
        <f t="array" ref="D74">SUMPRODUCT(('TREASURY FILE'!B16:B4974=$D$4)*('TREASURY FILE'!D16:D4974="TURNOVER")*('TREASURY FILE'!A16:A4974=A74)*('TREASURY FILE'!F16:F4974))</f>
        <v>0</v>
      </c>
      <c r="E74" s="31">
        <f t="shared" si="5"/>
        <v>358219703.76240093</v>
      </c>
      <c r="G74" s="24" cm="1">
        <f t="array" ref="G74">SUMPRODUCT(('TREASURY FILE'!B16:B4974=$G$4)*('TREASURY FILE'!D16:D4974="INCOME")*('TREASURY FILE'!A16:A4974=A74)*('TREASURY FILE'!F16:F4974))</f>
        <v>0</v>
      </c>
      <c r="H74" s="24" cm="1">
        <f t="array" ref="H74">SUMPRODUCT(('TREASURY FILE'!B16:B4974=$H$4)*('TREASURY FILE'!D16:D4974="INCOME")*('TREASURY FILE'!A16:A4974=A74)*('TREASURY FILE'!F16:F4974))</f>
        <v>90667.798507824889</v>
      </c>
      <c r="I74" s="24" cm="1">
        <f t="array" ref="I74">SUMPRODUCT(('TREASURY FILE'!D16:D4974=$I$4)*('TREASURY FILE'!F16:F4974="INCOME")*('TREASURY FILE'!C16:C4974=C74)*('TREASURY FILE'!H16:H4974))</f>
        <v>0</v>
      </c>
      <c r="J74" s="31">
        <f t="shared" si="6"/>
        <v>90667.798507824889</v>
      </c>
      <c r="K74" s="33">
        <f t="shared" si="7"/>
        <v>2.5310667603020183E-4</v>
      </c>
    </row>
    <row r="75" spans="1:11" x14ac:dyDescent="0.3">
      <c r="A75" s="30">
        <v>45728</v>
      </c>
      <c r="B75" s="24" cm="1">
        <f t="array" ref="B75">SUMPRODUCT(('TREASURY FILE'!B16:B4975=$B$4)*('TREASURY FILE'!D16:D4975="TURNOVER")*('TREASURY FILE'!A16:A4975=A75)*('TREASURY FILE'!F16:F4975))</f>
        <v>0</v>
      </c>
      <c r="C75" s="24" cm="1">
        <f t="array" ref="C75">SUMPRODUCT(('TREASURY FILE'!B16:B4975=$C$4)*('TREASURY FILE'!D16:D4975="TURNOVER")*('TREASURY FILE'!A16:A4975=A75)*('TREASURY FILE'!F16:F4975))</f>
        <v>222151269.91448134</v>
      </c>
      <c r="D75" s="24" cm="1">
        <f t="array" ref="D75">SUMPRODUCT(('TREASURY FILE'!B16:B4975=$D$4)*('TREASURY FILE'!D16:D4975="TURNOVER")*('TREASURY FILE'!A16:A4975=A75)*('TREASURY FILE'!F16:F4975))</f>
        <v>0</v>
      </c>
      <c r="E75" s="31">
        <f t="shared" si="5"/>
        <v>222151269.91448134</v>
      </c>
      <c r="G75" s="24" cm="1">
        <f t="array" ref="G75">SUMPRODUCT(('TREASURY FILE'!B16:B4975=$G$4)*('TREASURY FILE'!D16:D4975="INCOME")*('TREASURY FILE'!A16:A4975=A75)*('TREASURY FILE'!F16:F4975))</f>
        <v>0</v>
      </c>
      <c r="H75" s="24" cm="1">
        <f t="array" ref="H75">SUMPRODUCT(('TREASURY FILE'!B16:B4975=$H$4)*('TREASURY FILE'!D16:D4975="INCOME")*('TREASURY FILE'!A16:A4975=A75)*('TREASURY FILE'!F16:F4975))</f>
        <v>55610.553374621915</v>
      </c>
      <c r="I75" s="24" cm="1">
        <f t="array" ref="I75">SUMPRODUCT(('TREASURY FILE'!D16:D4975=$I$4)*('TREASURY FILE'!F16:F4975="INCOME")*('TREASURY FILE'!C16:C4975=C75)*('TREASURY FILE'!H16:H4975))</f>
        <v>0</v>
      </c>
      <c r="J75" s="31">
        <f t="shared" si="6"/>
        <v>55610.553374621915</v>
      </c>
      <c r="K75" s="33">
        <f t="shared" si="7"/>
        <v>2.503274160711734E-4</v>
      </c>
    </row>
    <row r="76" spans="1:11" x14ac:dyDescent="0.3">
      <c r="A76" s="30">
        <v>45729</v>
      </c>
      <c r="B76" s="24" cm="1">
        <f t="array" ref="B76">SUMPRODUCT(('TREASURY FILE'!B16:B4976=$B$4)*('TREASURY FILE'!D16:D4976="TURNOVER")*('TREASURY FILE'!A16:A4976=A76)*('TREASURY FILE'!F16:F4976))</f>
        <v>0</v>
      </c>
      <c r="C76" s="24" cm="1">
        <f t="array" ref="C76">SUMPRODUCT(('TREASURY FILE'!B16:B4976=$C$4)*('TREASURY FILE'!D16:D4976="TURNOVER")*('TREASURY FILE'!A16:A4976=A76)*('TREASURY FILE'!F16:F4976))</f>
        <v>234531820.75689733</v>
      </c>
      <c r="D76" s="24" cm="1">
        <f t="array" ref="D76">SUMPRODUCT(('TREASURY FILE'!B16:B4976=$D$4)*('TREASURY FILE'!D16:D4976="TURNOVER")*('TREASURY FILE'!A16:A4976=A76)*('TREASURY FILE'!F16:F4976))</f>
        <v>0</v>
      </c>
      <c r="E76" s="31">
        <f t="shared" si="5"/>
        <v>234531820.75689733</v>
      </c>
      <c r="G76" s="24" cm="1">
        <f t="array" ref="G76">SUMPRODUCT(('TREASURY FILE'!B16:B4976=$G$4)*('TREASURY FILE'!D16:D4976="INCOME")*('TREASURY FILE'!A16:A4976=A76)*('TREASURY FILE'!F16:F4976))</f>
        <v>0</v>
      </c>
      <c r="H76" s="24" cm="1">
        <f t="array" ref="H76">SUMPRODUCT(('TREASURY FILE'!B16:B4976=$H$4)*('TREASURY FILE'!D16:D4976="INCOME")*('TREASURY FILE'!A16:A4976=A76)*('TREASURY FILE'!F16:F4976))</f>
        <v>58426.509811308337</v>
      </c>
      <c r="I76" s="24" cm="1">
        <f t="array" ref="I76">SUMPRODUCT(('TREASURY FILE'!D16:D4976=$I$4)*('TREASURY FILE'!F16:F4976="INCOME")*('TREASURY FILE'!C16:C4976=C76)*('TREASURY FILE'!H16:H4976))</f>
        <v>0</v>
      </c>
      <c r="J76" s="31">
        <f t="shared" si="6"/>
        <v>58426.509811308337</v>
      </c>
      <c r="K76" s="33">
        <f t="shared" si="7"/>
        <v>2.4911975536091548E-4</v>
      </c>
    </row>
    <row r="77" spans="1:11" x14ac:dyDescent="0.3">
      <c r="A77" s="30">
        <v>45730</v>
      </c>
      <c r="B77" s="24" cm="1">
        <f t="array" ref="B77">SUMPRODUCT(('TREASURY FILE'!B16:B4977=$B$4)*('TREASURY FILE'!D16:D4977="TURNOVER")*('TREASURY FILE'!A16:A4977=A77)*('TREASURY FILE'!F16:F4977))</f>
        <v>0</v>
      </c>
      <c r="C77" s="24" cm="1">
        <f t="array" ref="C77">SUMPRODUCT(('TREASURY FILE'!B16:B4977=$C$4)*('TREASURY FILE'!D16:D4977="TURNOVER")*('TREASURY FILE'!A16:A4977=A77)*('TREASURY FILE'!F16:F4977))</f>
        <v>228997020.37612465</v>
      </c>
      <c r="D77" s="24" cm="1">
        <f t="array" ref="D77">SUMPRODUCT(('TREASURY FILE'!B16:B4977=$D$4)*('TREASURY FILE'!D16:D4977="TURNOVER")*('TREASURY FILE'!A16:A4977=A77)*('TREASURY FILE'!F16:F4977))</f>
        <v>82</v>
      </c>
      <c r="E77" s="31">
        <f t="shared" si="5"/>
        <v>228997102.37612465</v>
      </c>
      <c r="G77" s="24" cm="1">
        <f t="array" ref="G77">SUMPRODUCT(('TREASURY FILE'!B16:B4977=$G$4)*('TREASURY FILE'!D16:D4977="INCOME")*('TREASURY FILE'!A16:A4977=A77)*('TREASURY FILE'!F16:F4977))</f>
        <v>0</v>
      </c>
      <c r="H77" s="24" cm="1">
        <f t="array" ref="H77">SUMPRODUCT(('TREASURY FILE'!B16:B4977=$H$4)*('TREASURY FILE'!D16:D4977="INCOME")*('TREASURY FILE'!A16:A4977=A77)*('TREASURY FILE'!F16:F4977))</f>
        <v>57543.302837120784</v>
      </c>
      <c r="I77" s="24" cm="1">
        <f t="array" ref="I77">SUMPRODUCT(('TREASURY FILE'!D16:D4977=$I$4)*('TREASURY FILE'!F16:F4977="INCOME")*('TREASURY FILE'!C16:C4977=C77)*('TREASURY FILE'!H16:H4977))</f>
        <v>0</v>
      </c>
      <c r="J77" s="31">
        <f t="shared" si="6"/>
        <v>57543.302837120784</v>
      </c>
      <c r="K77" s="33">
        <f t="shared" si="7"/>
        <v>2.5128397800687751E-4</v>
      </c>
    </row>
    <row r="78" spans="1:11" x14ac:dyDescent="0.3">
      <c r="A78" s="30">
        <v>45731</v>
      </c>
      <c r="B78" s="24" cm="1">
        <f t="array" ref="B78">SUMPRODUCT(('TREASURY FILE'!B16:B4978=$B$4)*('TREASURY FILE'!D16:D4978="TURNOVER")*('TREASURY FILE'!A16:A4978=A78)*('TREASURY FILE'!F16:F4978))</f>
        <v>0</v>
      </c>
      <c r="C78" s="24" cm="1">
        <f t="array" ref="C78">SUMPRODUCT(('TREASURY FILE'!B16:B4978=$C$4)*('TREASURY FILE'!D16:D4978="TURNOVER")*('TREASURY FILE'!A16:A4978=A78)*('TREASURY FILE'!F16:F4978))</f>
        <v>184194216.70815998</v>
      </c>
      <c r="D78" s="24" cm="1">
        <f t="array" ref="D78">SUMPRODUCT(('TREASURY FILE'!B16:B4978=$D$4)*('TREASURY FILE'!D16:D4978="TURNOVER")*('TREASURY FILE'!A16:A4978=A78)*('TREASURY FILE'!F16:F4978))</f>
        <v>0</v>
      </c>
      <c r="E78" s="31">
        <f t="shared" si="5"/>
        <v>184194216.70815998</v>
      </c>
      <c r="G78" s="24" cm="1">
        <f t="array" ref="G78">SUMPRODUCT(('TREASURY FILE'!B16:B4978=$G$4)*('TREASURY FILE'!D16:D4978="INCOME")*('TREASURY FILE'!A16:A4978=A78)*('TREASURY FILE'!F16:F4978))</f>
        <v>0</v>
      </c>
      <c r="H78" s="24" cm="1">
        <f t="array" ref="H78">SUMPRODUCT(('TREASURY FILE'!B16:B4978=$H$4)*('TREASURY FILE'!D16:D4978="INCOME")*('TREASURY FILE'!A16:A4978=A78)*('TREASURY FILE'!F16:F4978))</f>
        <v>44132.411671323862</v>
      </c>
      <c r="I78" s="24" cm="1">
        <f t="array" ref="I78">SUMPRODUCT(('TREASURY FILE'!D16:D4978=$I$4)*('TREASURY FILE'!F16:F4978="INCOME")*('TREASURY FILE'!C16:C4978=C78)*('TREASURY FILE'!H16:H4978))</f>
        <v>0</v>
      </c>
      <c r="J78" s="31">
        <f t="shared" si="6"/>
        <v>44132.411671323862</v>
      </c>
      <c r="K78" s="33">
        <f t="shared" si="7"/>
        <v>2.3959716249532362E-4</v>
      </c>
    </row>
    <row r="79" spans="1:11" x14ac:dyDescent="0.3">
      <c r="A79" s="30">
        <v>45732</v>
      </c>
      <c r="B79" s="24" cm="1">
        <f t="array" ref="B79">SUMPRODUCT(('TREASURY FILE'!B16:B4979=$B$4)*('TREASURY FILE'!D16:D4979="TURNOVER")*('TREASURY FILE'!A16:A4979=A79)*('TREASURY FILE'!F16:F4979))</f>
        <v>0</v>
      </c>
      <c r="C79" s="24" cm="1">
        <f t="array" ref="C79">SUMPRODUCT(('TREASURY FILE'!B16:B4979=$C$4)*('TREASURY FILE'!D16:D4979="TURNOVER")*('TREASURY FILE'!A16:A4979=A79)*('TREASURY FILE'!F16:F4979))</f>
        <v>171729083.03612041</v>
      </c>
      <c r="D79" s="24" cm="1">
        <f t="array" ref="D79">SUMPRODUCT(('TREASURY FILE'!B16:B4979=$D$4)*('TREASURY FILE'!D16:D4979="TURNOVER")*('TREASURY FILE'!A16:A4979=A79)*('TREASURY FILE'!F16:F4979))</f>
        <v>0</v>
      </c>
      <c r="E79" s="31">
        <f t="shared" si="5"/>
        <v>171729083.03612041</v>
      </c>
      <c r="G79" s="24" cm="1">
        <f t="array" ref="G79">SUMPRODUCT(('TREASURY FILE'!B16:B4979=$G$4)*('TREASURY FILE'!D16:D4979="INCOME")*('TREASURY FILE'!A16:A4979=A79)*('TREASURY FILE'!F16:F4979))</f>
        <v>0</v>
      </c>
      <c r="H79" s="24" cm="1">
        <f t="array" ref="H79">SUMPRODUCT(('TREASURY FILE'!B16:B4979=$H$4)*('TREASURY FILE'!D16:D4979="INCOME")*('TREASURY FILE'!A16:A4979=A79)*('TREASURY FILE'!F16:F4979))</f>
        <v>41254.791466727358</v>
      </c>
      <c r="I79" s="24" cm="1">
        <f t="array" ref="I79">SUMPRODUCT(('TREASURY FILE'!D16:D4979=$I$4)*('TREASURY FILE'!F16:F4979="INCOME")*('TREASURY FILE'!C16:C4979=C79)*('TREASURY FILE'!H16:H4979))</f>
        <v>0</v>
      </c>
      <c r="J79" s="31">
        <f t="shared" si="6"/>
        <v>41254.791466727358</v>
      </c>
      <c r="K79" s="33">
        <f t="shared" si="7"/>
        <v>2.4023182758187839E-4</v>
      </c>
    </row>
    <row r="80" spans="1:11" x14ac:dyDescent="0.3">
      <c r="A80" s="30">
        <v>45733</v>
      </c>
      <c r="B80" s="24" cm="1">
        <f t="array" ref="B80">SUMPRODUCT(('TREASURY FILE'!B16:B4980=$B$4)*('TREASURY FILE'!D16:D4980="TURNOVER")*('TREASURY FILE'!A16:A4980=A80)*('TREASURY FILE'!F16:F4980))</f>
        <v>0</v>
      </c>
      <c r="C80" s="24" cm="1">
        <f t="array" ref="C80">SUMPRODUCT(('TREASURY FILE'!B16:B4980=$C$4)*('TREASURY FILE'!D16:D4980="TURNOVER")*('TREASURY FILE'!A16:A4980=A80)*('TREASURY FILE'!F16:F4980))</f>
        <v>212627665.14189854</v>
      </c>
      <c r="D80" s="24" cm="1">
        <f t="array" ref="D80">SUMPRODUCT(('TREASURY FILE'!B16:B4980=$D$4)*('TREASURY FILE'!D16:D4980="TURNOVER")*('TREASURY FILE'!A16:A4980=A80)*('TREASURY FILE'!F16:F4980))</f>
        <v>0</v>
      </c>
      <c r="E80" s="31">
        <f t="shared" si="5"/>
        <v>212627665.14189854</v>
      </c>
      <c r="G80" s="24" cm="1">
        <f t="array" ref="G80">SUMPRODUCT(('TREASURY FILE'!B16:B4980=$G$4)*('TREASURY FILE'!D16:D4980="INCOME")*('TREASURY FILE'!A16:A4980=A80)*('TREASURY FILE'!F16:F4980))</f>
        <v>0</v>
      </c>
      <c r="H80" s="24" cm="1">
        <f t="array" ref="H80">SUMPRODUCT(('TREASURY FILE'!B16:B4980=$H$4)*('TREASURY FILE'!D16:D4980="INCOME")*('TREASURY FILE'!A16:A4980=A80)*('TREASURY FILE'!F16:F4980))</f>
        <v>52185.500751640531</v>
      </c>
      <c r="I80" s="24" cm="1">
        <f t="array" ref="I80">SUMPRODUCT(('TREASURY FILE'!D16:D4980=$I$4)*('TREASURY FILE'!F16:F4980="INCOME")*('TREASURY FILE'!C16:C4980=C80)*('TREASURY FILE'!H16:H4980))</f>
        <v>0</v>
      </c>
      <c r="J80" s="31">
        <f t="shared" si="6"/>
        <v>52185.500751640531</v>
      </c>
      <c r="K80" s="33">
        <f t="shared" si="7"/>
        <v>2.4543137750590534E-4</v>
      </c>
    </row>
    <row r="81" spans="1:11" x14ac:dyDescent="0.3">
      <c r="A81" s="30">
        <v>45734</v>
      </c>
      <c r="B81" s="24" cm="1">
        <f t="array" ref="B81">SUMPRODUCT(('TREASURY FILE'!B16:B4981=$B$4)*('TREASURY FILE'!D16:D4981="TURNOVER")*('TREASURY FILE'!A16:A4981=A81)*('TREASURY FILE'!F16:F4981))</f>
        <v>0</v>
      </c>
      <c r="C81" s="24" cm="1">
        <f t="array" ref="C81">SUMPRODUCT(('TREASURY FILE'!B16:B4981=$C$4)*('TREASURY FILE'!D16:D4981="TURNOVER")*('TREASURY FILE'!A16:A4981=A81)*('TREASURY FILE'!F16:F4981))</f>
        <v>224129211.27930808</v>
      </c>
      <c r="D81" s="24" cm="1">
        <f t="array" ref="D81">SUMPRODUCT(('TREASURY FILE'!B16:B4981=$D$4)*('TREASURY FILE'!D16:D4981="TURNOVER")*('TREASURY FILE'!A16:A4981=A81)*('TREASURY FILE'!F16:F4981))</f>
        <v>0</v>
      </c>
      <c r="E81" s="31">
        <f t="shared" si="5"/>
        <v>224129211.27930808</v>
      </c>
      <c r="G81" s="24" cm="1">
        <f t="array" ref="G81">SUMPRODUCT(('TREASURY FILE'!B16:B4981=$G$4)*('TREASURY FILE'!D16:D4981="INCOME")*('TREASURY FILE'!A16:A4981=A81)*('TREASURY FILE'!F16:F4981))</f>
        <v>0</v>
      </c>
      <c r="H81" s="24" cm="1">
        <f t="array" ref="H81">SUMPRODUCT(('TREASURY FILE'!B16:B4981=$H$4)*('TREASURY FILE'!D16:D4981="INCOME")*('TREASURY FILE'!A16:A4981=A81)*('TREASURY FILE'!F16:F4981))</f>
        <v>54895.563954572499</v>
      </c>
      <c r="I81" s="24" cm="1">
        <f t="array" ref="I81">SUMPRODUCT(('TREASURY FILE'!D16:D4981=$I$4)*('TREASURY FILE'!F16:F4981="INCOME")*('TREASURY FILE'!C16:C4981=C81)*('TREASURY FILE'!H16:H4981))</f>
        <v>0</v>
      </c>
      <c r="J81" s="31">
        <f t="shared" si="6"/>
        <v>54895.563954572499</v>
      </c>
      <c r="K81" s="33">
        <f t="shared" si="7"/>
        <v>2.4492819852099543E-4</v>
      </c>
    </row>
    <row r="82" spans="1:11" x14ac:dyDescent="0.3">
      <c r="A82" s="30">
        <v>45735</v>
      </c>
      <c r="B82" s="24" cm="1">
        <f t="array" ref="B82">SUMPRODUCT(('TREASURY FILE'!B16:B4982=$B$4)*('TREASURY FILE'!D16:D4982="TURNOVER")*('TREASURY FILE'!A16:A4982=A82)*('TREASURY FILE'!F16:F4982))</f>
        <v>0</v>
      </c>
      <c r="C82" s="24" cm="1">
        <f t="array" ref="C82">SUMPRODUCT(('TREASURY FILE'!B16:B4982=$C$4)*('TREASURY FILE'!D16:D4982="TURNOVER")*('TREASURY FILE'!A16:A4982=A82)*('TREASURY FILE'!F16:F4982))</f>
        <v>385548393.71934545</v>
      </c>
      <c r="D82" s="24" cm="1">
        <f t="array" ref="D82">SUMPRODUCT(('TREASURY FILE'!B16:B4982=$D$4)*('TREASURY FILE'!D16:D4982="TURNOVER")*('TREASURY FILE'!A16:A4982=A82)*('TREASURY FILE'!F16:F4982))</f>
        <v>0</v>
      </c>
      <c r="E82" s="31">
        <f t="shared" si="5"/>
        <v>385548393.71934545</v>
      </c>
      <c r="G82" s="24" cm="1">
        <f t="array" ref="G82">SUMPRODUCT(('TREASURY FILE'!B16:B4982=$G$4)*('TREASURY FILE'!D16:D4982="INCOME")*('TREASURY FILE'!A16:A4982=A82)*('TREASURY FILE'!F16:F4982))</f>
        <v>0</v>
      </c>
      <c r="H82" s="24" cm="1">
        <f t="array" ref="H82">SUMPRODUCT(('TREASURY FILE'!B16:B4982=$H$4)*('TREASURY FILE'!D16:D4982="INCOME")*('TREASURY FILE'!A16:A4982=A82)*('TREASURY FILE'!F16:F4982))</f>
        <v>96869.714756861678</v>
      </c>
      <c r="I82" s="24" cm="1">
        <f t="array" ref="I82">SUMPRODUCT(('TREASURY FILE'!D16:D4982=$I$4)*('TREASURY FILE'!F16:F4982="INCOME")*('TREASURY FILE'!C16:C4982=C82)*('TREASURY FILE'!H16:H4982))</f>
        <v>0</v>
      </c>
      <c r="J82" s="31">
        <f t="shared" si="6"/>
        <v>96869.714756861678</v>
      </c>
      <c r="K82" s="33">
        <f t="shared" si="7"/>
        <v>2.5125176588694758E-4</v>
      </c>
    </row>
    <row r="83" spans="1:11" x14ac:dyDescent="0.3">
      <c r="A83" s="30">
        <v>45736</v>
      </c>
      <c r="B83" s="24" cm="1">
        <f t="array" ref="B83">SUMPRODUCT(('TREASURY FILE'!B16:B4983=$B$4)*('TREASURY FILE'!D16:D4983="TURNOVER")*('TREASURY FILE'!A16:A4983=A83)*('TREASURY FILE'!F16:F4983))</f>
        <v>0</v>
      </c>
      <c r="C83" s="24" cm="1">
        <f t="array" ref="C83">SUMPRODUCT(('TREASURY FILE'!B16:B4983=$C$4)*('TREASURY FILE'!D16:D4983="TURNOVER")*('TREASURY FILE'!A16:A4983=A83)*('TREASURY FILE'!F16:F4983))</f>
        <v>192835831.76604536</v>
      </c>
      <c r="D83" s="24" cm="1">
        <f t="array" ref="D83">SUMPRODUCT(('TREASURY FILE'!B16:B4983=$D$4)*('TREASURY FILE'!D16:D4983="TURNOVER")*('TREASURY FILE'!A16:A4983=A83)*('TREASURY FILE'!F16:F4983))</f>
        <v>0</v>
      </c>
      <c r="E83" s="31">
        <f t="shared" si="5"/>
        <v>192835831.76604536</v>
      </c>
      <c r="G83" s="24" cm="1">
        <f t="array" ref="G83">SUMPRODUCT(('TREASURY FILE'!B16:B4983=$G$4)*('TREASURY FILE'!D16:D4983="INCOME")*('TREASURY FILE'!A16:A4983=A83)*('TREASURY FILE'!F16:F4983))</f>
        <v>0</v>
      </c>
      <c r="H83" s="24" cm="1">
        <f t="array" ref="H83">SUMPRODUCT(('TREASURY FILE'!B16:B4983=$H$4)*('TREASURY FILE'!D16:D4983="INCOME")*('TREASURY FILE'!A16:A4983=A83)*('TREASURY FILE'!F16:F4983))</f>
        <v>48462.936947615504</v>
      </c>
      <c r="I83" s="24" cm="1">
        <f t="array" ref="I83">SUMPRODUCT(('TREASURY FILE'!D16:D4983=$I$4)*('TREASURY FILE'!F16:F4983="INCOME")*('TREASURY FILE'!C16:C4983=C83)*('TREASURY FILE'!H16:H4983))</f>
        <v>0</v>
      </c>
      <c r="J83" s="31">
        <f t="shared" si="6"/>
        <v>48462.936947615504</v>
      </c>
      <c r="K83" s="33">
        <f t="shared" si="7"/>
        <v>2.5131707371901866E-4</v>
      </c>
    </row>
    <row r="84" spans="1:11" x14ac:dyDescent="0.3">
      <c r="A84" s="30">
        <v>45737</v>
      </c>
      <c r="B84" s="24" cm="1">
        <f t="array" ref="B84">SUMPRODUCT(('TREASURY FILE'!B16:B4984=$B$4)*('TREASURY FILE'!D16:D4984="TURNOVER")*('TREASURY FILE'!A16:A4984=A84)*('TREASURY FILE'!F16:F4984))</f>
        <v>0</v>
      </c>
      <c r="C84" s="24" cm="1">
        <f t="array" ref="C84">SUMPRODUCT(('TREASURY FILE'!B16:B4984=$C$4)*('TREASURY FILE'!D16:D4984="TURNOVER")*('TREASURY FILE'!A16:A4984=A84)*('TREASURY FILE'!F16:F4984))</f>
        <v>154018349.48133236</v>
      </c>
      <c r="D84" s="24" cm="1">
        <f t="array" ref="D84">SUMPRODUCT(('TREASURY FILE'!B16:B4984=$D$4)*('TREASURY FILE'!D16:D4984="TURNOVER")*('TREASURY FILE'!A16:A4984=A84)*('TREASURY FILE'!F16:F4984))</f>
        <v>81.162525468301396</v>
      </c>
      <c r="E84" s="31">
        <f t="shared" si="5"/>
        <v>154018430.64385784</v>
      </c>
      <c r="G84" s="24" cm="1">
        <f t="array" ref="G84">SUMPRODUCT(('TREASURY FILE'!B16:B4984=$G$4)*('TREASURY FILE'!D16:D4984="INCOME")*('TREASURY FILE'!A16:A4984=A84)*('TREASURY FILE'!F16:F4984))</f>
        <v>0</v>
      </c>
      <c r="H84" s="24" cm="1">
        <f t="array" ref="H84">SUMPRODUCT(('TREASURY FILE'!B16:B4984=$H$4)*('TREASURY FILE'!D16:D4984="INCOME")*('TREASURY FILE'!A16:A4984=A84)*('TREASURY FILE'!F16:F4984))</f>
        <v>37413.232952540522</v>
      </c>
      <c r="I84" s="24" cm="1">
        <f t="array" ref="I84">SUMPRODUCT(('TREASURY FILE'!D16:D4984=$I$4)*('TREASURY FILE'!F16:F4984="INCOME")*('TREASURY FILE'!C16:C4984=C84)*('TREASURY FILE'!H16:H4984))</f>
        <v>0</v>
      </c>
      <c r="J84" s="31">
        <f t="shared" si="6"/>
        <v>37413.232952540522</v>
      </c>
      <c r="K84" s="33">
        <f t="shared" si="7"/>
        <v>2.4291399929306148E-4</v>
      </c>
    </row>
    <row r="85" spans="1:11" x14ac:dyDescent="0.3">
      <c r="A85" s="30">
        <v>45738</v>
      </c>
      <c r="B85" s="24" cm="1">
        <f t="array" ref="B85">SUMPRODUCT(('TREASURY FILE'!B16:B4985=$B$4)*('TREASURY FILE'!D16:D4985="TURNOVER")*('TREASURY FILE'!A16:A4985=A85)*('TREASURY FILE'!F16:F4985))</f>
        <v>0</v>
      </c>
      <c r="C85" s="24" cm="1">
        <f t="array" ref="C85">SUMPRODUCT(('TREASURY FILE'!B16:B4985=$C$4)*('TREASURY FILE'!D16:D4985="TURNOVER")*('TREASURY FILE'!A16:A4985=A85)*('TREASURY FILE'!F16:F4985))</f>
        <v>214792962.47030869</v>
      </c>
      <c r="D85" s="24" cm="1">
        <f t="array" ref="D85">SUMPRODUCT(('TREASURY FILE'!B16:B4985=$D$4)*('TREASURY FILE'!D16:D4985="TURNOVER")*('TREASURY FILE'!A16:A4985=A85)*('TREASURY FILE'!F16:F4985))</f>
        <v>0</v>
      </c>
      <c r="E85" s="31">
        <f t="shared" si="5"/>
        <v>214792962.47030869</v>
      </c>
      <c r="G85" s="24" cm="1">
        <f t="array" ref="G85">SUMPRODUCT(('TREASURY FILE'!B16:B4985=$G$4)*('TREASURY FILE'!D16:D4985="INCOME")*('TREASURY FILE'!A16:A4985=A85)*('TREASURY FILE'!F16:F4985))</f>
        <v>0</v>
      </c>
      <c r="H85" s="24" cm="1">
        <f t="array" ref="H85">SUMPRODUCT(('TREASURY FILE'!B16:B4985=$H$4)*('TREASURY FILE'!D16:D4985="INCOME")*('TREASURY FILE'!A16:A4985=A85)*('TREASURY FILE'!F16:F4985))</f>
        <v>52546.475473977771</v>
      </c>
      <c r="I85" s="24" cm="1">
        <f t="array" ref="I85">SUMPRODUCT(('TREASURY FILE'!D16:D4985=$I$4)*('TREASURY FILE'!F16:F4985="INCOME")*('TREASURY FILE'!C16:C4985=C85)*('TREASURY FILE'!H16:H4985))</f>
        <v>0</v>
      </c>
      <c r="J85" s="31">
        <f t="shared" si="6"/>
        <v>52546.475473977771</v>
      </c>
      <c r="K85" s="33">
        <f t="shared" si="7"/>
        <v>2.4463778919777871E-4</v>
      </c>
    </row>
    <row r="86" spans="1:11" x14ac:dyDescent="0.3">
      <c r="A86" s="30">
        <v>45739</v>
      </c>
      <c r="B86" s="24" cm="1">
        <f t="array" ref="B86">SUMPRODUCT(('TREASURY FILE'!B16:B4986=$B$4)*('TREASURY FILE'!D16:D4986="TURNOVER")*('TREASURY FILE'!A16:A4986=A86)*('TREASURY FILE'!F16:F4986))</f>
        <v>0</v>
      </c>
      <c r="C86" s="24" cm="1">
        <f t="array" ref="C86">SUMPRODUCT(('TREASURY FILE'!B16:B4986=$C$4)*('TREASURY FILE'!D16:D4986="TURNOVER")*('TREASURY FILE'!A16:A4986=A86)*('TREASURY FILE'!F16:F4986))</f>
        <v>249327305.1217652</v>
      </c>
      <c r="D86" s="24" cm="1">
        <f t="array" ref="D86">SUMPRODUCT(('TREASURY FILE'!B16:B4986=$D$4)*('TREASURY FILE'!D16:D4986="TURNOVER")*('TREASURY FILE'!A16:A4986=A86)*('TREASURY FILE'!F16:F4986))</f>
        <v>85060</v>
      </c>
      <c r="E86" s="31">
        <f t="shared" si="5"/>
        <v>249412365.1217652</v>
      </c>
      <c r="G86" s="24" cm="1">
        <f t="array" ref="G86">SUMPRODUCT(('TREASURY FILE'!B16:B4986=$G$4)*('TREASURY FILE'!D16:D4986="INCOME")*('TREASURY FILE'!A16:A4986=A86)*('TREASURY FILE'!F16:F4986))</f>
        <v>0</v>
      </c>
      <c r="H86" s="24" cm="1">
        <f t="array" ref="H86">SUMPRODUCT(('TREASURY FILE'!B16:B4986=$H$4)*('TREASURY FILE'!D16:D4986="INCOME")*('TREASURY FILE'!A16:A4986=A86)*('TREASURY FILE'!F16:F4986))</f>
        <v>61356.037069122947</v>
      </c>
      <c r="I86" s="24" cm="1">
        <f t="array" ref="I86">SUMPRODUCT(('TREASURY FILE'!D16:D4986=$I$4)*('TREASURY FILE'!F16:F4986="INCOME")*('TREASURY FILE'!C16:C4986=C86)*('TREASURY FILE'!H16:H4986))</f>
        <v>0</v>
      </c>
      <c r="J86" s="31">
        <f t="shared" si="6"/>
        <v>61356.037069122947</v>
      </c>
      <c r="K86" s="33">
        <f t="shared" si="7"/>
        <v>2.460023866064877E-4</v>
      </c>
    </row>
    <row r="87" spans="1:11" x14ac:dyDescent="0.3">
      <c r="A87" s="30">
        <v>45740</v>
      </c>
      <c r="B87" s="24" cm="1">
        <f t="array" ref="B87">SUMPRODUCT(('TREASURY FILE'!B16:B4987=$B$4)*('TREASURY FILE'!D16:D4987="TURNOVER")*('TREASURY FILE'!A16:A4987=A87)*('TREASURY FILE'!F16:F4987))</f>
        <v>0</v>
      </c>
      <c r="C87" s="24" cm="1">
        <f t="array" ref="C87">SUMPRODUCT(('TREASURY FILE'!B16:B4987=$C$4)*('TREASURY FILE'!D16:D4987="TURNOVER")*('TREASURY FILE'!A16:A4987=A87)*('TREASURY FILE'!F16:F4987))</f>
        <v>237440058.63683504</v>
      </c>
      <c r="D87" s="24" cm="1">
        <f t="array" ref="D87">SUMPRODUCT(('TREASURY FILE'!B16:B4987=$D$4)*('TREASURY FILE'!D16:D4987="TURNOVER")*('TREASURY FILE'!A16:A4987=A87)*('TREASURY FILE'!F16:F4987))</f>
        <v>171650</v>
      </c>
      <c r="E87" s="31">
        <f t="shared" si="5"/>
        <v>237611708.63683504</v>
      </c>
      <c r="G87" s="24" cm="1">
        <f t="array" ref="G87">SUMPRODUCT(('TREASURY FILE'!B16:B4987=$G$4)*('TREASURY FILE'!D16:D4987="INCOME")*('TREASURY FILE'!A16:A4987=A87)*('TREASURY FILE'!F16:F4987))</f>
        <v>0</v>
      </c>
      <c r="H87" s="24" cm="1">
        <f t="array" ref="H87">SUMPRODUCT(('TREASURY FILE'!B16:B4987=$H$4)*('TREASURY FILE'!D16:D4987="INCOME")*('TREASURY FILE'!A16:A4987=A87)*('TREASURY FILE'!F16:F4987))</f>
        <v>57631.065117572369</v>
      </c>
      <c r="I87" s="24" cm="1">
        <f t="array" ref="I87">SUMPRODUCT(('TREASURY FILE'!D16:D4987=$I$4)*('TREASURY FILE'!F16:F4987="INCOME")*('TREASURY FILE'!C16:C4987=C87)*('TREASURY FILE'!H16:H4987))</f>
        <v>0</v>
      </c>
      <c r="J87" s="31">
        <f t="shared" si="6"/>
        <v>57631.065117572369</v>
      </c>
      <c r="K87" s="33">
        <f t="shared" si="7"/>
        <v>2.4254303564499635E-4</v>
      </c>
    </row>
    <row r="88" spans="1:11" x14ac:dyDescent="0.3">
      <c r="A88" s="30">
        <v>45741</v>
      </c>
      <c r="B88" s="24" cm="1">
        <f t="array" ref="B88">SUMPRODUCT(('TREASURY FILE'!B16:B4988=$B$4)*('TREASURY FILE'!D16:D4988="TURNOVER")*('TREASURY FILE'!A16:A4988=A88)*('TREASURY FILE'!F16:F4988))</f>
        <v>0</v>
      </c>
      <c r="C88" s="24" cm="1">
        <f t="array" ref="C88">SUMPRODUCT(('TREASURY FILE'!B16:B4988=$C$4)*('TREASURY FILE'!D16:D4988="TURNOVER")*('TREASURY FILE'!A16:A4988=A88)*('TREASURY FILE'!F16:F4988))</f>
        <v>184277255.84945524</v>
      </c>
      <c r="D88" s="24" cm="1">
        <f t="array" ref="D88">SUMPRODUCT(('TREASURY FILE'!B16:B4988=$D$4)*('TREASURY FILE'!D16:D4988="TURNOVER")*('TREASURY FILE'!A16:A4988=A88)*('TREASURY FILE'!F16:F4988))</f>
        <v>0</v>
      </c>
      <c r="E88" s="31">
        <f t="shared" si="5"/>
        <v>184277255.84945524</v>
      </c>
      <c r="G88" s="24" cm="1">
        <f t="array" ref="G88">SUMPRODUCT(('TREASURY FILE'!B16:B4988=$G$4)*('TREASURY FILE'!D16:D4988="INCOME")*('TREASURY FILE'!A16:A4988=A88)*('TREASURY FILE'!F16:F4988))</f>
        <v>0</v>
      </c>
      <c r="H88" s="24" cm="1">
        <f t="array" ref="H88">SUMPRODUCT(('TREASURY FILE'!B16:B4988=$H$4)*('TREASURY FILE'!D16:D4988="INCOME")*('TREASURY FILE'!A16:A4988=A88)*('TREASURY FILE'!F16:F4988))</f>
        <v>45475.972685366731</v>
      </c>
      <c r="I88" s="24" cm="1">
        <f t="array" ref="I88">SUMPRODUCT(('TREASURY FILE'!D16:D4988=$I$4)*('TREASURY FILE'!F16:F4988="INCOME")*('TREASURY FILE'!C16:C4988=C88)*('TREASURY FILE'!H16:H4988))</f>
        <v>0</v>
      </c>
      <c r="J88" s="31">
        <f t="shared" si="6"/>
        <v>45475.972685366731</v>
      </c>
      <c r="K88" s="33">
        <f t="shared" si="7"/>
        <v>2.4678017086665426E-4</v>
      </c>
    </row>
    <row r="89" spans="1:11" x14ac:dyDescent="0.3">
      <c r="A89" s="30">
        <v>45742</v>
      </c>
      <c r="B89" s="24" cm="1">
        <f t="array" ref="B89">SUMPRODUCT(('TREASURY FILE'!B16:B4989=$B$4)*('TREASURY FILE'!D16:D4989="TURNOVER")*('TREASURY FILE'!A16:A4989=A89)*('TREASURY FILE'!F16:F4989))</f>
        <v>0</v>
      </c>
      <c r="C89" s="24" cm="1">
        <f t="array" ref="C89">SUMPRODUCT(('TREASURY FILE'!B16:B4989=$C$4)*('TREASURY FILE'!D16:D4989="TURNOVER")*('TREASURY FILE'!A16:A4989=A89)*('TREASURY FILE'!F16:F4989))</f>
        <v>196031996.32214418</v>
      </c>
      <c r="D89" s="24" cm="1">
        <f t="array" ref="D89">SUMPRODUCT(('TREASURY FILE'!B16:B4989=$D$4)*('TREASURY FILE'!D16:D4989="TURNOVER")*('TREASURY FILE'!A16:A4989=A89)*('TREASURY FILE'!F16:F4989))</f>
        <v>0</v>
      </c>
      <c r="E89" s="31">
        <f t="shared" si="5"/>
        <v>196031996.32214418</v>
      </c>
      <c r="G89" s="24" cm="1">
        <f t="array" ref="G89">SUMPRODUCT(('TREASURY FILE'!B16:B4989=$G$4)*('TREASURY FILE'!D16:D4989="INCOME")*('TREASURY FILE'!A16:A4989=A89)*('TREASURY FILE'!F16:F4989))</f>
        <v>0</v>
      </c>
      <c r="H89" s="24" cm="1">
        <f t="array" ref="H89">SUMPRODUCT(('TREASURY FILE'!B16:B4989=$H$4)*('TREASURY FILE'!D16:D4989="INCOME")*('TREASURY FILE'!A16:A4989=A89)*('TREASURY FILE'!F16:F4989))</f>
        <v>48286.212762093841</v>
      </c>
      <c r="I89" s="24" cm="1">
        <f t="array" ref="I89">SUMPRODUCT(('TREASURY FILE'!D16:D4989=$I$4)*('TREASURY FILE'!F16:F4989="INCOME")*('TREASURY FILE'!C16:C4989=C89)*('TREASURY FILE'!H16:H4989))</f>
        <v>0</v>
      </c>
      <c r="J89" s="31">
        <f t="shared" si="6"/>
        <v>48286.212762093841</v>
      </c>
      <c r="K89" s="33">
        <f t="shared" si="7"/>
        <v>2.4631801781349984E-4</v>
      </c>
    </row>
    <row r="90" spans="1:11" x14ac:dyDescent="0.3">
      <c r="A90" s="30">
        <v>45743</v>
      </c>
      <c r="B90" s="24" cm="1">
        <f t="array" ref="B90">SUMPRODUCT(('TREASURY FILE'!B16:B4990=$B$4)*('TREASURY FILE'!D16:D4990="TURNOVER")*('TREASURY FILE'!A16:A4990=A90)*('TREASURY FILE'!F16:F4990))</f>
        <v>0</v>
      </c>
      <c r="C90" s="24" cm="1">
        <f t="array" ref="C90">SUMPRODUCT(('TREASURY FILE'!B16:B4990=$C$4)*('TREASURY FILE'!D16:D4990="TURNOVER")*('TREASURY FILE'!A16:A4990=A90)*('TREASURY FILE'!F16:F4990))</f>
        <v>113566184.34088446</v>
      </c>
      <c r="D90" s="24" cm="1">
        <f t="array" ref="D90">SUMPRODUCT(('TREASURY FILE'!B16:B4990=$D$4)*('TREASURY FILE'!D16:D4990="TURNOVER")*('TREASURY FILE'!A16:A4990=A90)*('TREASURY FILE'!F16:F4990))</f>
        <v>0</v>
      </c>
      <c r="E90" s="31">
        <f t="shared" si="5"/>
        <v>113566184.34088446</v>
      </c>
      <c r="G90" s="24" cm="1">
        <f t="array" ref="G90">SUMPRODUCT(('TREASURY FILE'!B16:B4990=$G$4)*('TREASURY FILE'!D16:D4990="INCOME")*('TREASURY FILE'!A16:A4990=A90)*('TREASURY FILE'!F16:F4990))</f>
        <v>0</v>
      </c>
      <c r="H90" s="24" cm="1">
        <f t="array" ref="H90">SUMPRODUCT(('TREASURY FILE'!B16:B4990=$H$4)*('TREASURY FILE'!D16:D4990="INCOME")*('TREASURY FILE'!A16:A4990=A90)*('TREASURY FILE'!F16:F4990))</f>
        <v>27462.135467341614</v>
      </c>
      <c r="I90" s="24" cm="1">
        <f t="array" ref="I90">SUMPRODUCT(('TREASURY FILE'!D16:D4990=$I$4)*('TREASURY FILE'!F16:F4990="INCOME")*('TREASURY FILE'!C16:C4990=C90)*('TREASURY FILE'!H16:H4990))</f>
        <v>0</v>
      </c>
      <c r="J90" s="31">
        <f t="shared" si="6"/>
        <v>27462.135467341614</v>
      </c>
      <c r="K90" s="33">
        <f t="shared" si="7"/>
        <v>2.4181613238770313E-4</v>
      </c>
    </row>
    <row r="91" spans="1:11" x14ac:dyDescent="0.3">
      <c r="A91" s="30">
        <v>45744</v>
      </c>
      <c r="B91" s="24" cm="1">
        <f t="array" ref="B91">SUMPRODUCT(('TREASURY FILE'!B16:B4991=$B$4)*('TREASURY FILE'!D16:D4991="TURNOVER")*('TREASURY FILE'!A16:A4991=A91)*('TREASURY FILE'!F16:F4991))</f>
        <v>0</v>
      </c>
      <c r="C91" s="24" cm="1">
        <f t="array" ref="C91">SUMPRODUCT(('TREASURY FILE'!B16:B4991=$C$4)*('TREASURY FILE'!D16:D4991="TURNOVER")*('TREASURY FILE'!A16:A4991=A91)*('TREASURY FILE'!F16:F4991))</f>
        <v>149912481.5934971</v>
      </c>
      <c r="D91" s="24" cm="1">
        <f t="array" ref="D91">SUMPRODUCT(('TREASURY FILE'!B16:B4991=$D$4)*('TREASURY FILE'!D16:D4991="TURNOVER")*('TREASURY FILE'!A16:A4991=A91)*('TREASURY FILE'!F16:F4991))</f>
        <v>0</v>
      </c>
      <c r="E91" s="31">
        <f t="shared" si="5"/>
        <v>149912481.5934971</v>
      </c>
      <c r="G91" s="24" cm="1">
        <f t="array" ref="G91">SUMPRODUCT(('TREASURY FILE'!B16:B4991=$G$4)*('TREASURY FILE'!D16:D4991="INCOME")*('TREASURY FILE'!A16:A4991=A91)*('TREASURY FILE'!F16:F4991))</f>
        <v>0</v>
      </c>
      <c r="H91" s="24" cm="1">
        <f t="array" ref="H91">SUMPRODUCT(('TREASURY FILE'!B16:B4991=$H$4)*('TREASURY FILE'!D16:D4991="INCOME")*('TREASURY FILE'!A16:A4991=A91)*('TREASURY FILE'!F16:F4991))</f>
        <v>37178.073088718811</v>
      </c>
      <c r="I91" s="24" cm="1">
        <f t="array" ref="I91">SUMPRODUCT(('TREASURY FILE'!D16:D4991=$I$4)*('TREASURY FILE'!F16:F4991="INCOME")*('TREASURY FILE'!C16:C4991=C91)*('TREASURY FILE'!H16:H4991))</f>
        <v>0</v>
      </c>
      <c r="J91" s="31">
        <f t="shared" si="6"/>
        <v>37178.073088718811</v>
      </c>
      <c r="K91" s="33">
        <f t="shared" si="7"/>
        <v>2.4799851682484272E-4</v>
      </c>
    </row>
    <row r="92" spans="1:11" x14ac:dyDescent="0.3">
      <c r="A92" s="30">
        <v>45745</v>
      </c>
      <c r="B92" s="24" cm="1">
        <f t="array" ref="B92">SUMPRODUCT(('TREASURY FILE'!B16:B4992=$B$4)*('TREASURY FILE'!D16:D4992="TURNOVER")*('TREASURY FILE'!A16:A4992=A92)*('TREASURY FILE'!F16:F4992))</f>
        <v>0</v>
      </c>
      <c r="C92" s="24" cm="1">
        <f t="array" ref="C92">SUMPRODUCT(('TREASURY FILE'!B16:B4992=$C$4)*('TREASURY FILE'!D16:D4992="TURNOVER")*('TREASURY FILE'!A16:A4992=A92)*('TREASURY FILE'!F16:F4992))</f>
        <v>124543411.68895353</v>
      </c>
      <c r="D92" s="24" cm="1">
        <f t="array" ref="D92">SUMPRODUCT(('TREASURY FILE'!B16:B4992=$D$4)*('TREASURY FILE'!D16:D4992="TURNOVER")*('TREASURY FILE'!A16:A4992=A92)*('TREASURY FILE'!F16:F4992))</f>
        <v>0</v>
      </c>
      <c r="E92" s="31">
        <f t="shared" si="5"/>
        <v>124543411.68895353</v>
      </c>
      <c r="G92" s="24" cm="1">
        <f t="array" ref="G92">SUMPRODUCT(('TREASURY FILE'!B16:B4992=$G$4)*('TREASURY FILE'!D16:D4992="INCOME")*('TREASURY FILE'!A16:A4992=A92)*('TREASURY FILE'!F16:F4992))</f>
        <v>0</v>
      </c>
      <c r="H92" s="24" cm="1">
        <f t="array" ref="H92">SUMPRODUCT(('TREASURY FILE'!B16:B4992=$H$4)*('TREASURY FILE'!D16:D4992="INCOME")*('TREASURY FILE'!A16:A4992=A92)*('TREASURY FILE'!F16:F4992))</f>
        <v>32290.114358500447</v>
      </c>
      <c r="I92" s="24" cm="1">
        <f t="array" ref="I92">SUMPRODUCT(('TREASURY FILE'!D16:D4992=$I$4)*('TREASURY FILE'!F16:F4992="INCOME")*('TREASURY FILE'!C16:C4992=C92)*('TREASURY FILE'!H16:H4992))</f>
        <v>0</v>
      </c>
      <c r="J92" s="31">
        <f t="shared" si="6"/>
        <v>32290.114358500447</v>
      </c>
      <c r="K92" s="33">
        <f t="shared" si="7"/>
        <v>2.592679445713662E-4</v>
      </c>
    </row>
    <row r="93" spans="1:11" x14ac:dyDescent="0.3">
      <c r="A93" s="30">
        <v>45746</v>
      </c>
      <c r="B93" s="24" cm="1">
        <f t="array" ref="B93">SUMPRODUCT(('TREASURY FILE'!B16:B4993=$B$4)*('TREASURY FILE'!D16:D4993="TURNOVER")*('TREASURY FILE'!A16:A4993=A93)*('TREASURY FILE'!F16:F4993))</f>
        <v>0</v>
      </c>
      <c r="C93" s="24" cm="1">
        <f t="array" ref="C93">SUMPRODUCT(('TREASURY FILE'!B16:B4993=$C$4)*('TREASURY FILE'!D16:D4993="TURNOVER")*('TREASURY FILE'!A16:A4993=A93)*('TREASURY FILE'!F16:F4993))</f>
        <v>101408538.64307083</v>
      </c>
      <c r="D93" s="24" cm="1">
        <f t="array" ref="D93">SUMPRODUCT(('TREASURY FILE'!B16:B4993=$D$4)*('TREASURY FILE'!D16:D4993="TURNOVER")*('TREASURY FILE'!A16:A4993=A93)*('TREASURY FILE'!F16:F4993))</f>
        <v>0</v>
      </c>
      <c r="E93" s="31">
        <f t="shared" si="5"/>
        <v>101408538.64307083</v>
      </c>
      <c r="G93" s="24" cm="1">
        <f t="array" ref="G93">SUMPRODUCT(('TREASURY FILE'!B16:B4993=$G$4)*('TREASURY FILE'!D16:D4993="INCOME")*('TREASURY FILE'!A16:A4993=A93)*('TREASURY FILE'!F16:F4993))</f>
        <v>0</v>
      </c>
      <c r="H93" s="24" cm="1">
        <f t="array" ref="H93">SUMPRODUCT(('TREASURY FILE'!B16:B4993=$H$4)*('TREASURY FILE'!D16:D4993="INCOME")*('TREASURY FILE'!A16:A4993=A93)*('TREASURY FILE'!F16:F4993))</f>
        <v>25506.80757081079</v>
      </c>
      <c r="I93" s="24" cm="1">
        <f t="array" ref="I93">SUMPRODUCT(('TREASURY FILE'!D16:D4993=$I$4)*('TREASURY FILE'!F16:F4993="INCOME")*('TREASURY FILE'!C16:C4993=C93)*('TREASURY FILE'!H16:H4993))</f>
        <v>0</v>
      </c>
      <c r="J93" s="31">
        <f t="shared" si="6"/>
        <v>25506.80757081079</v>
      </c>
      <c r="K93" s="33">
        <f t="shared" si="7"/>
        <v>2.5152524542915942E-4</v>
      </c>
    </row>
    <row r="94" spans="1:11" x14ac:dyDescent="0.3">
      <c r="A94" s="30">
        <v>45747</v>
      </c>
      <c r="B94" s="24" cm="1">
        <f t="array" ref="B94">SUMPRODUCT(('TREASURY FILE'!B16:B4994=$B$4)*('TREASURY FILE'!D16:D4994="TURNOVER")*('TREASURY FILE'!A16:A4994=A94)*('TREASURY FILE'!F16:F4994))</f>
        <v>0</v>
      </c>
      <c r="C94" s="24" cm="1">
        <f t="array" ref="C94">SUMPRODUCT(('TREASURY FILE'!B16:B4994=$C$4)*('TREASURY FILE'!D16:D4994="TURNOVER")*('TREASURY FILE'!A16:A4994=A94)*('TREASURY FILE'!F16:F4994))</f>
        <v>119419766.48818517</v>
      </c>
      <c r="D94" s="24" cm="1">
        <f t="array" ref="D94">SUMPRODUCT(('TREASURY FILE'!B16:B4994=$D$4)*('TREASURY FILE'!D16:D4994="TURNOVER")*('TREASURY FILE'!A16:A4994=A94)*('TREASURY FILE'!F16:F4994))</f>
        <v>0</v>
      </c>
      <c r="E94" s="31">
        <f t="shared" si="5"/>
        <v>119419766.48818517</v>
      </c>
      <c r="G94" s="24" cm="1">
        <f t="array" ref="G94">SUMPRODUCT(('TREASURY FILE'!B16:B4994=$G$4)*('TREASURY FILE'!D16:D4994="INCOME")*('TREASURY FILE'!A16:A4994=A94)*('TREASURY FILE'!F16:F4994))</f>
        <v>0</v>
      </c>
      <c r="H94" s="24" cm="1">
        <f t="array" ref="H94">SUMPRODUCT(('TREASURY FILE'!B16:B4994=$H$4)*('TREASURY FILE'!D16:D4994="INCOME")*('TREASURY FILE'!A16:A4994=A94)*('TREASURY FILE'!F16:F4994))</f>
        <v>31328.697107321983</v>
      </c>
      <c r="I94" s="24" cm="1">
        <f t="array" ref="I94">SUMPRODUCT(('TREASURY FILE'!D16:D4994=$I$4)*('TREASURY FILE'!F16:F4994="INCOME")*('TREASURY FILE'!C16:C4994=C94)*('TREASURY FILE'!H16:H4994))</f>
        <v>0</v>
      </c>
      <c r="J94" s="31">
        <f t="shared" si="6"/>
        <v>31328.697107321983</v>
      </c>
      <c r="K94" s="33">
        <f t="shared" si="7"/>
        <v>2.6234096773603639E-4</v>
      </c>
    </row>
    <row r="95" spans="1:11" x14ac:dyDescent="0.3">
      <c r="A95" s="30">
        <v>45748</v>
      </c>
      <c r="B95" s="24" cm="1">
        <f t="array" ref="B95">SUMPRODUCT(('TREASURY FILE'!B16:B4995=$B$4)*('TREASURY FILE'!D16:D4995="TURNOVER")*('TREASURY FILE'!A16:A4995=A95)*('TREASURY FILE'!F16:F4995))</f>
        <v>0</v>
      </c>
      <c r="C95" s="24" cm="1">
        <f t="array" ref="C95">SUMPRODUCT(('TREASURY FILE'!B16:B4995=$C$4)*('TREASURY FILE'!D16:D4995="TURNOVER")*('TREASURY FILE'!A16:A4995=A95)*('TREASURY FILE'!F16:F4995))</f>
        <v>148469701.5421766</v>
      </c>
      <c r="D95" s="24" cm="1">
        <f t="array" ref="D95">SUMPRODUCT(('TREASURY FILE'!B16:B4995=$D$4)*('TREASURY FILE'!D16:D4995="TURNOVER")*('TREASURY FILE'!A16:A4995=A95)*('TREASURY FILE'!F16:F4995))</f>
        <v>0</v>
      </c>
      <c r="E95" s="31">
        <f t="shared" si="5"/>
        <v>148469701.5421766</v>
      </c>
      <c r="G95" s="24" cm="1">
        <f t="array" ref="G95">SUMPRODUCT(('TREASURY FILE'!B16:B4995=$G$4)*('TREASURY FILE'!D16:D4995="INCOME")*('TREASURY FILE'!A16:A4995=A95)*('TREASURY FILE'!F16:F4995))</f>
        <v>0</v>
      </c>
      <c r="H95" s="24" cm="1">
        <f t="array" ref="H95">SUMPRODUCT(('TREASURY FILE'!B16:B4995=$H$4)*('TREASURY FILE'!D16:D4995="INCOME")*('TREASURY FILE'!A16:A4995=A95)*('TREASURY FILE'!F16:F4995))</f>
        <v>39081.812283166379</v>
      </c>
      <c r="I95" s="24" cm="1">
        <f t="array" ref="I95">SUMPRODUCT(('TREASURY FILE'!D16:D4995=$I$4)*('TREASURY FILE'!F16:F4995="INCOME")*('TREASURY FILE'!C16:C4995=C95)*('TREASURY FILE'!H16:H4995))</f>
        <v>0</v>
      </c>
      <c r="J95" s="31">
        <f t="shared" si="6"/>
        <v>39081.812283166379</v>
      </c>
      <c r="K95" s="33">
        <f t="shared" si="7"/>
        <v>2.6323089409635672E-4</v>
      </c>
    </row>
    <row r="96" spans="1:11" x14ac:dyDescent="0.3">
      <c r="A96" s="30">
        <v>45749</v>
      </c>
      <c r="B96" s="24" cm="1">
        <f t="array" ref="B96">SUMPRODUCT(('TREASURY FILE'!B16:B4996=$B$4)*('TREASURY FILE'!D16:D4996="TURNOVER")*('TREASURY FILE'!A16:A4996=A96)*('TREASURY FILE'!F16:F4996))</f>
        <v>0</v>
      </c>
      <c r="C96" s="24" cm="1">
        <f t="array" ref="C96">SUMPRODUCT(('TREASURY FILE'!B16:B4996=$C$4)*('TREASURY FILE'!D16:D4996="TURNOVER")*('TREASURY FILE'!A16:A4996=A96)*('TREASURY FILE'!F16:F4996))</f>
        <v>194611885.81587136</v>
      </c>
      <c r="D96" s="24" cm="1">
        <f t="array" ref="D96">SUMPRODUCT(('TREASURY FILE'!B16:B4996=$D$4)*('TREASURY FILE'!D16:D4996="TURNOVER")*('TREASURY FILE'!A16:A4996=A96)*('TREASURY FILE'!F16:F4996))</f>
        <v>0</v>
      </c>
      <c r="E96" s="31">
        <f t="shared" si="5"/>
        <v>194611885.81587136</v>
      </c>
      <c r="G96" s="24" cm="1">
        <f t="array" ref="G96">SUMPRODUCT(('TREASURY FILE'!B16:B4996=$G$4)*('TREASURY FILE'!D16:D4996="INCOME")*('TREASURY FILE'!A16:A4996=A96)*('TREASURY FILE'!F16:F4996))</f>
        <v>0</v>
      </c>
      <c r="H96" s="24" cm="1">
        <f t="array" ref="H96">SUMPRODUCT(('TREASURY FILE'!B16:B4996=$H$4)*('TREASURY FILE'!D16:D4996="INCOME")*('TREASURY FILE'!A16:A4996=A96)*('TREASURY FILE'!F16:F4996))</f>
        <v>51558.665093961921</v>
      </c>
      <c r="I96" s="24" cm="1">
        <f t="array" ref="I96">SUMPRODUCT(('TREASURY FILE'!D16:D4996=$I$4)*('TREASURY FILE'!F16:F4996="INCOME")*('TREASURY FILE'!C16:C4996=C96)*('TREASURY FILE'!H16:H4996))</f>
        <v>0</v>
      </c>
      <c r="J96" s="31">
        <f t="shared" si="6"/>
        <v>51558.665093961921</v>
      </c>
      <c r="K96" s="33">
        <f t="shared" si="7"/>
        <v>2.6493071005305018E-4</v>
      </c>
    </row>
    <row r="97" spans="1:11" x14ac:dyDescent="0.3">
      <c r="A97" s="30">
        <v>45750</v>
      </c>
      <c r="B97" s="24" cm="1">
        <f t="array" ref="B97">SUMPRODUCT(('TREASURY FILE'!B16:B4997=$B$4)*('TREASURY FILE'!D16:D4997="TURNOVER")*('TREASURY FILE'!A16:A4997=A97)*('TREASURY FILE'!F16:F4997))</f>
        <v>0</v>
      </c>
      <c r="C97" s="24" cm="1">
        <f t="array" ref="C97">SUMPRODUCT(('TREASURY FILE'!B16:B4997=$C$4)*('TREASURY FILE'!D16:D4997="TURNOVER")*('TREASURY FILE'!A16:A4997=A97)*('TREASURY FILE'!F16:F4997))</f>
        <v>190444788.19942743</v>
      </c>
      <c r="D97" s="24" cm="1">
        <f t="array" ref="D97">SUMPRODUCT(('TREASURY FILE'!B16:B4997=$D$4)*('TREASURY FILE'!D16:D4997="TURNOVER")*('TREASURY FILE'!A16:A4997=A97)*('TREASURY FILE'!F16:F4997))</f>
        <v>0</v>
      </c>
      <c r="E97" s="31">
        <f t="shared" si="5"/>
        <v>190444788.19942743</v>
      </c>
      <c r="G97" s="24" cm="1">
        <f t="array" ref="G97">SUMPRODUCT(('TREASURY FILE'!B16:B4997=$G$4)*('TREASURY FILE'!D16:D4997="INCOME")*('TREASURY FILE'!A16:A4997=A97)*('TREASURY FILE'!F16:F4997))</f>
        <v>0</v>
      </c>
      <c r="H97" s="24" cm="1">
        <f t="array" ref="H97">SUMPRODUCT(('TREASURY FILE'!B16:B4997=$H$4)*('TREASURY FILE'!D16:D4997="INCOME")*('TREASURY FILE'!A16:A4997=A97)*('TREASURY FILE'!F16:F4997))</f>
        <v>49109.369617790369</v>
      </c>
      <c r="I97" s="24" cm="1">
        <f t="array" ref="I97">SUMPRODUCT(('TREASURY FILE'!D16:D4997=$I$4)*('TREASURY FILE'!F16:F4997="INCOME")*('TREASURY FILE'!C16:C4997=C97)*('TREASURY FILE'!H16:H4997))</f>
        <v>0</v>
      </c>
      <c r="J97" s="31">
        <f t="shared" si="6"/>
        <v>49109.369617790369</v>
      </c>
      <c r="K97" s="33">
        <f t="shared" si="7"/>
        <v>2.5786670290165505E-4</v>
      </c>
    </row>
    <row r="98" spans="1:11" x14ac:dyDescent="0.3">
      <c r="A98" s="30">
        <v>45751</v>
      </c>
      <c r="B98" s="24" cm="1">
        <f t="array" ref="B98">SUMPRODUCT(('TREASURY FILE'!B16:B4998=$B$4)*('TREASURY FILE'!D16:D4998="TURNOVER")*('TREASURY FILE'!A16:A4998=A98)*('TREASURY FILE'!F16:F4998))</f>
        <v>0</v>
      </c>
      <c r="C98" s="24" cm="1">
        <f t="array" ref="C98">SUMPRODUCT(('TREASURY FILE'!B16:B4998=$C$4)*('TREASURY FILE'!D16:D4998="TURNOVER")*('TREASURY FILE'!A16:A4998=A98)*('TREASURY FILE'!F16:F4998))</f>
        <v>181434127.12787485</v>
      </c>
      <c r="D98" s="24" cm="1">
        <f t="array" ref="D98">SUMPRODUCT(('TREASURY FILE'!B16:B4998=$D$4)*('TREASURY FILE'!D16:D4998="TURNOVER")*('TREASURY FILE'!A16:A4998=A98)*('TREASURY FILE'!F16:F4998))</f>
        <v>0</v>
      </c>
      <c r="E98" s="31">
        <f t="shared" si="5"/>
        <v>181434127.12787485</v>
      </c>
      <c r="G98" s="24" cm="1">
        <f t="array" ref="G98">SUMPRODUCT(('TREASURY FILE'!B16:B4998=$G$4)*('TREASURY FILE'!D16:D4998="INCOME")*('TREASURY FILE'!A16:A4998=A98)*('TREASURY FILE'!F16:F4998))</f>
        <v>0</v>
      </c>
      <c r="H98" s="24" cm="1">
        <f t="array" ref="H98">SUMPRODUCT(('TREASURY FILE'!B16:B4998=$H$4)*('TREASURY FILE'!D16:D4998="INCOME")*('TREASURY FILE'!A16:A4998=A98)*('TREASURY FILE'!F16:F4998))</f>
        <v>48167.31803830323</v>
      </c>
      <c r="I98" s="24" cm="1">
        <f t="array" ref="I98">SUMPRODUCT(('TREASURY FILE'!D16:D4998=$I$4)*('TREASURY FILE'!F16:F4998="INCOME")*('TREASURY FILE'!C16:C4998=C98)*('TREASURY FILE'!H16:H4998))</f>
        <v>0</v>
      </c>
      <c r="J98" s="31">
        <f t="shared" si="6"/>
        <v>48167.31803830323</v>
      </c>
      <c r="K98" s="33">
        <f t="shared" si="7"/>
        <v>2.6548102499126245E-4</v>
      </c>
    </row>
    <row r="99" spans="1:11" x14ac:dyDescent="0.3">
      <c r="A99" s="30">
        <v>45752</v>
      </c>
      <c r="B99" s="24" cm="1">
        <f t="array" ref="B99">SUMPRODUCT(('TREASURY FILE'!B16:B4999=$B$4)*('TREASURY FILE'!D16:D4999="TURNOVER")*('TREASURY FILE'!A16:A4999=A99)*('TREASURY FILE'!F16:F4999))</f>
        <v>0</v>
      </c>
      <c r="C99" s="24" cm="1">
        <f t="array" ref="C99">SUMPRODUCT(('TREASURY FILE'!B16:B4999=$C$4)*('TREASURY FILE'!D16:D4999="TURNOVER")*('TREASURY FILE'!A16:A4999=A99)*('TREASURY FILE'!F16:F4999))</f>
        <v>93702525.644883439</v>
      </c>
      <c r="D99" s="24" cm="1">
        <f t="array" ref="D99">SUMPRODUCT(('TREASURY FILE'!B16:B4999=$D$4)*('TREASURY FILE'!D16:D4999="TURNOVER")*('TREASURY FILE'!A16:A4999=A99)*('TREASURY FILE'!F16:F4999))</f>
        <v>0</v>
      </c>
      <c r="E99" s="31">
        <f t="shared" si="5"/>
        <v>93702525.644883439</v>
      </c>
      <c r="G99" s="24" cm="1">
        <f t="array" ref="G99">SUMPRODUCT(('TREASURY FILE'!B16:B4999=$G$4)*('TREASURY FILE'!D16:D4999="INCOME")*('TREASURY FILE'!A16:A4999=A99)*('TREASURY FILE'!F16:F4999))</f>
        <v>0</v>
      </c>
      <c r="H99" s="24" cm="1">
        <f t="array" ref="H99">SUMPRODUCT(('TREASURY FILE'!B16:B4999=$H$4)*('TREASURY FILE'!D16:D4999="INCOME")*('TREASURY FILE'!A16:A4999=A99)*('TREASURY FILE'!F16:F4999))</f>
        <v>24052.672914286653</v>
      </c>
      <c r="I99" s="24" cm="1">
        <f t="array" ref="I99">SUMPRODUCT(('TREASURY FILE'!D16:D4999=$I$4)*('TREASURY FILE'!F16:F4999="INCOME")*('TREASURY FILE'!C16:C4999=C99)*('TREASURY FILE'!H16:H4999))</f>
        <v>0</v>
      </c>
      <c r="J99" s="31">
        <f t="shared" si="6"/>
        <v>24052.672914286653</v>
      </c>
      <c r="K99" s="33">
        <f t="shared" si="7"/>
        <v>2.5669183139675632E-4</v>
      </c>
    </row>
    <row r="100" spans="1:11" x14ac:dyDescent="0.3">
      <c r="A100" s="30">
        <v>45753</v>
      </c>
      <c r="B100" s="24" cm="1">
        <f t="array" ref="B100">SUMPRODUCT(('TREASURY FILE'!B16:B5000=$B$4)*('TREASURY FILE'!D16:D5000="TURNOVER")*('TREASURY FILE'!A16:A5000=A100)*('TREASURY FILE'!F16:F5000))</f>
        <v>0</v>
      </c>
      <c r="C100" s="24" cm="1">
        <f t="array" ref="C100">SUMPRODUCT(('TREASURY FILE'!B16:B5000=$C$4)*('TREASURY FILE'!D16:D5000="TURNOVER")*('TREASURY FILE'!A16:A5000=A100)*('TREASURY FILE'!F16:F5000))</f>
        <v>141345836.44492126</v>
      </c>
      <c r="D100" s="24" cm="1">
        <f t="array" ref="D100">SUMPRODUCT(('TREASURY FILE'!B16:B5000=$D$4)*('TREASURY FILE'!D16:D5000="TURNOVER")*('TREASURY FILE'!A16:A5000=A100)*('TREASURY FILE'!F16:F5000))</f>
        <v>0</v>
      </c>
      <c r="E100" s="31">
        <f t="shared" si="5"/>
        <v>141345836.44492126</v>
      </c>
      <c r="G100" s="24" cm="1">
        <f t="array" ref="G100">SUMPRODUCT(('TREASURY FILE'!B16:B5000=$G$4)*('TREASURY FILE'!D16:D5000="INCOME")*('TREASURY FILE'!A16:A5000=A100)*('TREASURY FILE'!F16:F5000))</f>
        <v>0</v>
      </c>
      <c r="H100" s="24" cm="1">
        <f t="array" ref="H100">SUMPRODUCT(('TREASURY FILE'!B16:B5000=$H$4)*('TREASURY FILE'!D16:D5000="INCOME")*('TREASURY FILE'!A16:A5000=A100)*('TREASURY FILE'!F16:F5000))</f>
        <v>38566.564013859141</v>
      </c>
      <c r="I100" s="24" cm="1">
        <f t="array" ref="I100">SUMPRODUCT(('TREASURY FILE'!D16:D5000=$I$4)*('TREASURY FILE'!F16:F5000="INCOME")*('TREASURY FILE'!C16:C5000=C100)*('TREASURY FILE'!H16:H5000))</f>
        <v>0</v>
      </c>
      <c r="J100" s="31">
        <f t="shared" si="6"/>
        <v>38566.564013859141</v>
      </c>
      <c r="K100" s="33">
        <f t="shared" si="7"/>
        <v>2.7285249416517137E-4</v>
      </c>
    </row>
    <row r="101" spans="1:11" x14ac:dyDescent="0.3">
      <c r="A101" s="30">
        <v>45754</v>
      </c>
      <c r="B101" s="24" cm="1">
        <f t="array" ref="B101">SUMPRODUCT(('TREASURY FILE'!B16:B5001=$B$4)*('TREASURY FILE'!D16:D5001="TURNOVER")*('TREASURY FILE'!A16:A5001=A101)*('TREASURY FILE'!F16:F5001))</f>
        <v>0</v>
      </c>
      <c r="C101" s="24" cm="1">
        <f t="array" ref="C101">SUMPRODUCT(('TREASURY FILE'!B16:B5001=$C$4)*('TREASURY FILE'!D16:D5001="TURNOVER")*('TREASURY FILE'!A16:A5001=A101)*('TREASURY FILE'!F16:F5001))</f>
        <v>269306929.1201089</v>
      </c>
      <c r="D101" s="24" cm="1">
        <f t="array" ref="D101">SUMPRODUCT(('TREASURY FILE'!B16:B5001=$D$4)*('TREASURY FILE'!D16:D5001="TURNOVER")*('TREASURY FILE'!A16:A5001=A101)*('TREASURY FILE'!F16:F5001))</f>
        <v>0</v>
      </c>
      <c r="E101" s="31">
        <f t="shared" si="5"/>
        <v>269306929.1201089</v>
      </c>
      <c r="G101" s="24" cm="1">
        <f t="array" ref="G101">SUMPRODUCT(('TREASURY FILE'!B16:B5001=$G$4)*('TREASURY FILE'!D16:D5001="INCOME")*('TREASURY FILE'!A16:A5001=A101)*('TREASURY FILE'!F16:F5001))</f>
        <v>0</v>
      </c>
      <c r="H101" s="24" cm="1">
        <f t="array" ref="H101">SUMPRODUCT(('TREASURY FILE'!B16:B5001=$H$4)*('TREASURY FILE'!D16:D5001="INCOME")*('TREASURY FILE'!A16:A5001=A101)*('TREASURY FILE'!F16:F5001))</f>
        <v>73766.902289994483</v>
      </c>
      <c r="I101" s="24" cm="1">
        <f t="array" ref="I101">SUMPRODUCT(('TREASURY FILE'!D16:D5001=$I$4)*('TREASURY FILE'!F16:F5001="INCOME")*('TREASURY FILE'!C16:C5001=C101)*('TREASURY FILE'!H16:H5001))</f>
        <v>0</v>
      </c>
      <c r="J101" s="31">
        <f t="shared" si="6"/>
        <v>73766.902289994483</v>
      </c>
      <c r="K101" s="33">
        <f t="shared" si="7"/>
        <v>2.7391386672080388E-4</v>
      </c>
    </row>
    <row r="102" spans="1:11" x14ac:dyDescent="0.3">
      <c r="A102" s="30">
        <v>45755</v>
      </c>
      <c r="B102" s="24" cm="1">
        <f t="array" ref="B102">SUMPRODUCT(('TREASURY FILE'!B16:B5002=$B$4)*('TREASURY FILE'!D16:D5002="TURNOVER")*('TREASURY FILE'!A16:A5002=A102)*('TREASURY FILE'!F16:F5002))</f>
        <v>0</v>
      </c>
      <c r="C102" s="24" cm="1">
        <f t="array" ref="C102">SUMPRODUCT(('TREASURY FILE'!B16:B5002=$C$4)*('TREASURY FILE'!D16:D5002="TURNOVER")*('TREASURY FILE'!A16:A5002=A102)*('TREASURY FILE'!F16:F5002))</f>
        <v>154589772.16991574</v>
      </c>
      <c r="D102" s="24" cm="1">
        <f t="array" ref="D102">SUMPRODUCT(('TREASURY FILE'!B16:B5002=$D$4)*('TREASURY FILE'!D16:D5002="TURNOVER")*('TREASURY FILE'!A16:A5002=A102)*('TREASURY FILE'!F16:F5002))</f>
        <v>0</v>
      </c>
      <c r="E102" s="31">
        <f t="shared" si="5"/>
        <v>154589772.16991574</v>
      </c>
      <c r="G102" s="24" cm="1">
        <f t="array" ref="G102">SUMPRODUCT(('TREASURY FILE'!B16:B5002=$G$4)*('TREASURY FILE'!D16:D5002="INCOME")*('TREASURY FILE'!A16:A5002=A102)*('TREASURY FILE'!F16:F5002))</f>
        <v>0</v>
      </c>
      <c r="H102" s="24" cm="1">
        <f t="array" ref="H102">SUMPRODUCT(('TREASURY FILE'!B16:B5002=$H$4)*('TREASURY FILE'!D16:D5002="INCOME")*('TREASURY FILE'!A16:A5002=A102)*('TREASURY FILE'!F16:F5002))</f>
        <v>39812.493175729222</v>
      </c>
      <c r="I102" s="24" cm="1">
        <f t="array" ref="I102">SUMPRODUCT(('TREASURY FILE'!D16:D5002=$I$4)*('TREASURY FILE'!F16:F5002="INCOME")*('TREASURY FILE'!C16:C5002=C102)*('TREASURY FILE'!H16:H5002))</f>
        <v>0</v>
      </c>
      <c r="J102" s="31">
        <f t="shared" si="6"/>
        <v>39812.493175729222</v>
      </c>
      <c r="K102" s="33">
        <f t="shared" si="7"/>
        <v>2.5753639853980597E-4</v>
      </c>
    </row>
    <row r="103" spans="1:11" x14ac:dyDescent="0.3">
      <c r="A103" s="30">
        <v>45756</v>
      </c>
      <c r="B103" s="24" cm="1">
        <f t="array" ref="B103">SUMPRODUCT(('TREASURY FILE'!B16:B5003=$B$4)*('TREASURY FILE'!D16:D5003="TURNOVER")*('TREASURY FILE'!A16:A5003=A103)*('TREASURY FILE'!F16:F5003))</f>
        <v>0</v>
      </c>
      <c r="C103" s="24" cm="1">
        <f t="array" ref="C103">SUMPRODUCT(('TREASURY FILE'!B16:B5003=$C$4)*('TREASURY FILE'!D16:D5003="TURNOVER")*('TREASURY FILE'!A16:A5003=A103)*('TREASURY FILE'!F16:F5003))</f>
        <v>260541591.14824402</v>
      </c>
      <c r="D103" s="24" cm="1">
        <f t="array" ref="D103">SUMPRODUCT(('TREASURY FILE'!B16:B5003=$D$4)*('TREASURY FILE'!D16:D5003="TURNOVER")*('TREASURY FILE'!A16:A5003=A103)*('TREASURY FILE'!F16:F5003))</f>
        <v>0</v>
      </c>
      <c r="E103" s="31">
        <f t="shared" si="5"/>
        <v>260541591.14824402</v>
      </c>
      <c r="G103" s="24" cm="1">
        <f t="array" ref="G103">SUMPRODUCT(('TREASURY FILE'!B16:B5003=$G$4)*('TREASURY FILE'!D16:D5003="INCOME")*('TREASURY FILE'!A16:A5003=A103)*('TREASURY FILE'!F16:F5003))</f>
        <v>0</v>
      </c>
      <c r="H103" s="24" cm="1">
        <f t="array" ref="H103">SUMPRODUCT(('TREASURY FILE'!B16:B5003=$H$4)*('TREASURY FILE'!D16:D5003="INCOME")*('TREASURY FILE'!A16:A5003=A103)*('TREASURY FILE'!F16:F5003))</f>
        <v>70199.247306571167</v>
      </c>
      <c r="I103" s="24" cm="1">
        <f t="array" ref="I103">SUMPRODUCT(('TREASURY FILE'!D16:D5003=$I$4)*('TREASURY FILE'!F16:F5003="INCOME")*('TREASURY FILE'!C16:C5003=C103)*('TREASURY FILE'!H16:H5003))</f>
        <v>0</v>
      </c>
      <c r="J103" s="31">
        <f t="shared" si="6"/>
        <v>70199.247306571167</v>
      </c>
      <c r="K103" s="33">
        <f t="shared" si="7"/>
        <v>2.6943585857902016E-4</v>
      </c>
    </row>
    <row r="104" spans="1:11" x14ac:dyDescent="0.3">
      <c r="A104" s="30">
        <v>45757</v>
      </c>
      <c r="B104" s="24" cm="1">
        <f t="array" ref="B104">SUMPRODUCT(('TREASURY FILE'!B16:B5004=$B$4)*('TREASURY FILE'!D16:D5004="TURNOVER")*('TREASURY FILE'!A16:A5004=A104)*('TREASURY FILE'!F16:F5004))</f>
        <v>0</v>
      </c>
      <c r="C104" s="24" cm="1">
        <f t="array" ref="C104">SUMPRODUCT(('TREASURY FILE'!B16:B5004=$C$4)*('TREASURY FILE'!D16:D5004="TURNOVER")*('TREASURY FILE'!A16:A5004=A104)*('TREASURY FILE'!F16:F5004))</f>
        <v>274517493.53929448</v>
      </c>
      <c r="D104" s="24" cm="1">
        <f t="array" ref="D104">SUMPRODUCT(('TREASURY FILE'!B16:B5004=$D$4)*('TREASURY FILE'!D16:D5004="TURNOVER")*('TREASURY FILE'!A16:A5004=A104)*('TREASURY FILE'!F16:F5004))</f>
        <v>27</v>
      </c>
      <c r="E104" s="31">
        <f t="shared" si="5"/>
        <v>274517520.53929448</v>
      </c>
      <c r="G104" s="24" cm="1">
        <f t="array" ref="G104">SUMPRODUCT(('TREASURY FILE'!B16:B5004=$G$4)*('TREASURY FILE'!D16:D5004="INCOME")*('TREASURY FILE'!A16:A5004=A104)*('TREASURY FILE'!F16:F5004))</f>
        <v>0</v>
      </c>
      <c r="H104" s="24" cm="1">
        <f t="array" ref="H104">SUMPRODUCT(('TREASURY FILE'!B16:B5004=$H$4)*('TREASURY FILE'!D16:D5004="INCOME")*('TREASURY FILE'!A16:A5004=A104)*('TREASURY FILE'!F16:F5004))</f>
        <v>73835.824160073927</v>
      </c>
      <c r="I104" s="24" cm="1">
        <f t="array" ref="I104">SUMPRODUCT(('TREASURY FILE'!D16:D5004=$I$4)*('TREASURY FILE'!F16:F5004="INCOME")*('TREASURY FILE'!C16:C5004=C104)*('TREASURY FILE'!H16:H5004))</f>
        <v>0</v>
      </c>
      <c r="J104" s="31">
        <f t="shared" si="6"/>
        <v>73835.824160073927</v>
      </c>
      <c r="K104" s="33">
        <f t="shared" si="7"/>
        <v>2.6896579866750276E-4</v>
      </c>
    </row>
    <row r="105" spans="1:11" x14ac:dyDescent="0.3">
      <c r="A105" s="30">
        <v>45758</v>
      </c>
      <c r="B105" s="24" cm="1">
        <f t="array" ref="B105">SUMPRODUCT(('TREASURY FILE'!B16:B5005=$B$4)*('TREASURY FILE'!D16:D5005="TURNOVER")*('TREASURY FILE'!A16:A5005=A105)*('TREASURY FILE'!F16:F5005))</f>
        <v>0</v>
      </c>
      <c r="C105" s="24" cm="1">
        <f t="array" ref="C105">SUMPRODUCT(('TREASURY FILE'!B16:B5005=$C$4)*('TREASURY FILE'!D16:D5005="TURNOVER")*('TREASURY FILE'!A16:A5005=A105)*('TREASURY FILE'!F16:F5005))</f>
        <v>305191614.85279799</v>
      </c>
      <c r="D105" s="24" cm="1">
        <f t="array" ref="D105">SUMPRODUCT(('TREASURY FILE'!B16:B5005=$D$4)*('TREASURY FILE'!D16:D5005="TURNOVER")*('TREASURY FILE'!A16:A5005=A105)*('TREASURY FILE'!F16:F5005))</f>
        <v>0</v>
      </c>
      <c r="E105" s="31">
        <f t="shared" si="5"/>
        <v>305191614.85279799</v>
      </c>
      <c r="G105" s="24" cm="1">
        <f t="array" ref="G105">SUMPRODUCT(('TREASURY FILE'!B16:B5005=$G$4)*('TREASURY FILE'!D16:D5005="INCOME")*('TREASURY FILE'!A16:A5005=A105)*('TREASURY FILE'!F16:F5005))</f>
        <v>0</v>
      </c>
      <c r="H105" s="24" cm="1">
        <f t="array" ref="H105">SUMPRODUCT(('TREASURY FILE'!B16:B5005=$H$4)*('TREASURY FILE'!D16:D5005="INCOME")*('TREASURY FILE'!A16:A5005=A105)*('TREASURY FILE'!F16:F5005))</f>
        <v>83629.858627687034</v>
      </c>
      <c r="I105" s="24" cm="1">
        <f t="array" ref="I105">SUMPRODUCT(('TREASURY FILE'!D16:D5005=$I$4)*('TREASURY FILE'!F16:F5005="INCOME")*('TREASURY FILE'!C16:C5005=C105)*('TREASURY FILE'!H16:H5005))</f>
        <v>0</v>
      </c>
      <c r="J105" s="31">
        <f t="shared" si="6"/>
        <v>83629.858627687034</v>
      </c>
      <c r="K105" s="33">
        <f t="shared" si="7"/>
        <v>2.7402410340803083E-4</v>
      </c>
    </row>
    <row r="106" spans="1:11" x14ac:dyDescent="0.3">
      <c r="A106" s="30">
        <v>45759</v>
      </c>
      <c r="B106" s="24" cm="1">
        <f t="array" ref="B106">SUMPRODUCT(('TREASURY FILE'!B16:B5006=$B$4)*('TREASURY FILE'!D16:D5006="TURNOVER")*('TREASURY FILE'!A16:A5006=A106)*('TREASURY FILE'!F16:F5006))</f>
        <v>0</v>
      </c>
      <c r="C106" s="24" cm="1">
        <f t="array" ref="C106">SUMPRODUCT(('TREASURY FILE'!B16:B5006=$C$4)*('TREASURY FILE'!D16:D5006="TURNOVER")*('TREASURY FILE'!A16:A5006=A106)*('TREASURY FILE'!F16:F5006))</f>
        <v>328044680.58402276</v>
      </c>
      <c r="D106" s="24" cm="1">
        <f t="array" ref="D106">SUMPRODUCT(('TREASURY FILE'!B16:B5006=$D$4)*('TREASURY FILE'!D16:D5006="TURNOVER")*('TREASURY FILE'!A16:A5006=A106)*('TREASURY FILE'!F16:F5006))</f>
        <v>1200</v>
      </c>
      <c r="E106" s="31">
        <f t="shared" si="5"/>
        <v>328045880.58402276</v>
      </c>
      <c r="G106" s="24" cm="1">
        <f t="array" ref="G106">SUMPRODUCT(('TREASURY FILE'!B16:B5006=$G$4)*('TREASURY FILE'!D16:D5006="INCOME")*('TREASURY FILE'!A16:A5006=A106)*('TREASURY FILE'!F16:F5006))</f>
        <v>0</v>
      </c>
      <c r="H106" s="24" cm="1">
        <f t="array" ref="H106">SUMPRODUCT(('TREASURY FILE'!B16:B5006=$H$4)*('TREASURY FILE'!D16:D5006="INCOME")*('TREASURY FILE'!A16:A5006=A106)*('TREASURY FILE'!F16:F5006))</f>
        <v>88377.967247174834</v>
      </c>
      <c r="I106" s="24" cm="1">
        <f t="array" ref="I106">SUMPRODUCT(('TREASURY FILE'!D16:D5006=$I$4)*('TREASURY FILE'!F16:F5006="INCOME")*('TREASURY FILE'!C16:C5006=C106)*('TREASURY FILE'!H16:H5006))</f>
        <v>0</v>
      </c>
      <c r="J106" s="31">
        <f t="shared" si="6"/>
        <v>88377.967247174834</v>
      </c>
      <c r="K106" s="33">
        <f t="shared" si="7"/>
        <v>2.6940733744266142E-4</v>
      </c>
    </row>
    <row r="107" spans="1:11" x14ac:dyDescent="0.3">
      <c r="A107" s="30">
        <v>45760</v>
      </c>
      <c r="B107" s="24" cm="1">
        <f t="array" ref="B107">SUMPRODUCT(('TREASURY FILE'!B16:B5007=$B$4)*('TREASURY FILE'!D16:D5007="TURNOVER")*('TREASURY FILE'!A16:A5007=A107)*('TREASURY FILE'!F16:F5007))</f>
        <v>0</v>
      </c>
      <c r="C107" s="24" cm="1">
        <f t="array" ref="C107">SUMPRODUCT(('TREASURY FILE'!B16:B5007=$C$4)*('TREASURY FILE'!D16:D5007="TURNOVER")*('TREASURY FILE'!A16:A5007=A107)*('TREASURY FILE'!F16:F5007))</f>
        <v>286617989.20884144</v>
      </c>
      <c r="D107" s="24" cm="1">
        <f t="array" ref="D107">SUMPRODUCT(('TREASURY FILE'!B16:B5007=$D$4)*('TREASURY FILE'!D16:D5007="TURNOVER")*('TREASURY FILE'!A16:A5007=A107)*('TREASURY FILE'!F16:F5007))</f>
        <v>0</v>
      </c>
      <c r="E107" s="31">
        <f t="shared" si="5"/>
        <v>286617989.20884144</v>
      </c>
      <c r="G107" s="24" cm="1">
        <f t="array" ref="G107">SUMPRODUCT(('TREASURY FILE'!B16:B5007=$G$4)*('TREASURY FILE'!D16:D5007="INCOME")*('TREASURY FILE'!A16:A5007=A107)*('TREASURY FILE'!F16:F5007))</f>
        <v>0</v>
      </c>
      <c r="H107" s="24" cm="1">
        <f t="array" ref="H107">SUMPRODUCT(('TREASURY FILE'!B16:B5007=$H$4)*('TREASURY FILE'!D16:D5007="INCOME")*('TREASURY FILE'!A16:A5007=A107)*('TREASURY FILE'!F16:F5007))</f>
        <v>75809.09650123812</v>
      </c>
      <c r="I107" s="24" cm="1">
        <f t="array" ref="I107">SUMPRODUCT(('TREASURY FILE'!D16:D5007=$I$4)*('TREASURY FILE'!F16:F5007="INCOME")*('TREASURY FILE'!C16:C5007=C107)*('TREASURY FILE'!H16:H5007))</f>
        <v>0</v>
      </c>
      <c r="J107" s="31">
        <f t="shared" si="6"/>
        <v>75809.09650123812</v>
      </c>
      <c r="K107" s="33">
        <f t="shared" si="7"/>
        <v>2.6449524927062601E-4</v>
      </c>
    </row>
    <row r="108" spans="1:11" x14ac:dyDescent="0.3">
      <c r="A108" s="30">
        <v>45761</v>
      </c>
      <c r="B108" s="24" cm="1">
        <f t="array" ref="B108">SUMPRODUCT(('TREASURY FILE'!B16:B5008=$B$4)*('TREASURY FILE'!D16:D5008="TURNOVER")*('TREASURY FILE'!A16:A5008=A108)*('TREASURY FILE'!F16:F5008))</f>
        <v>0</v>
      </c>
      <c r="C108" s="24" cm="1">
        <f t="array" ref="C108">SUMPRODUCT(('TREASURY FILE'!B16:B5008=$C$4)*('TREASURY FILE'!D16:D5008="TURNOVER")*('TREASURY FILE'!A16:A5008=A108)*('TREASURY FILE'!F16:F5008))</f>
        <v>341052150.03909022</v>
      </c>
      <c r="D108" s="24" cm="1">
        <f t="array" ref="D108">SUMPRODUCT(('TREASURY FILE'!B16:B5008=$D$4)*('TREASURY FILE'!D16:D5008="TURNOVER")*('TREASURY FILE'!A16:A5008=A108)*('TREASURY FILE'!F16:F5008))</f>
        <v>7.1023311551022976</v>
      </c>
      <c r="E108" s="31">
        <f t="shared" si="5"/>
        <v>341052157.14142138</v>
      </c>
      <c r="G108" s="24" cm="1">
        <f t="array" ref="G108">SUMPRODUCT(('TREASURY FILE'!B16:B5008=$G$4)*('TREASURY FILE'!D16:D5008="INCOME")*('TREASURY FILE'!A16:A5008=A108)*('TREASURY FILE'!F16:F5008))</f>
        <v>0</v>
      </c>
      <c r="H108" s="24" cm="1">
        <f t="array" ref="H108">SUMPRODUCT(('TREASURY FILE'!B16:B5008=$H$4)*('TREASURY FILE'!D16:D5008="INCOME")*('TREASURY FILE'!A16:A5008=A108)*('TREASURY FILE'!F16:F5008))</f>
        <v>95984.598563162755</v>
      </c>
      <c r="I108" s="24" cm="1">
        <f t="array" ref="I108">SUMPRODUCT(('TREASURY FILE'!D16:D5008=$I$4)*('TREASURY FILE'!F16:F5008="INCOME")*('TREASURY FILE'!C16:C5008=C108)*('TREASURY FILE'!H16:H5008))</f>
        <v>0</v>
      </c>
      <c r="J108" s="31">
        <f t="shared" si="6"/>
        <v>95984.598563162755</v>
      </c>
      <c r="K108" s="33">
        <f t="shared" si="7"/>
        <v>2.8143671445350686E-4</v>
      </c>
    </row>
    <row r="109" spans="1:11" x14ac:dyDescent="0.3">
      <c r="A109" s="30">
        <v>45762</v>
      </c>
      <c r="B109" s="24" cm="1">
        <f t="array" ref="B109">SUMPRODUCT(('TREASURY FILE'!B16:B5009=$B$4)*('TREASURY FILE'!D16:D5009="TURNOVER")*('TREASURY FILE'!A16:A5009=A109)*('TREASURY FILE'!F16:F5009))</f>
        <v>0</v>
      </c>
      <c r="C109" s="24" cm="1">
        <f t="array" ref="C109">SUMPRODUCT(('TREASURY FILE'!B16:B5009=$C$4)*('TREASURY FILE'!D16:D5009="TURNOVER")*('TREASURY FILE'!A16:A5009=A109)*('TREASURY FILE'!F16:F5009))</f>
        <v>274087260.13087487</v>
      </c>
      <c r="D109" s="24" cm="1">
        <f t="array" ref="D109">SUMPRODUCT(('TREASURY FILE'!B16:B5009=$D$4)*('TREASURY FILE'!D16:D5009="TURNOVER")*('TREASURY FILE'!A16:A5009=A109)*('TREASURY FILE'!F16:F5009))</f>
        <v>32.058378968324703</v>
      </c>
      <c r="E109" s="31">
        <f t="shared" si="5"/>
        <v>274087292.18925387</v>
      </c>
      <c r="G109" s="24" cm="1">
        <f t="array" ref="G109">SUMPRODUCT(('TREASURY FILE'!B16:B5009=$G$4)*('TREASURY FILE'!D16:D5009="INCOME")*('TREASURY FILE'!A16:A5009=A109)*('TREASURY FILE'!F16:F5009))</f>
        <v>0</v>
      </c>
      <c r="H109" s="24" cm="1">
        <f t="array" ref="H109">SUMPRODUCT(('TREASURY FILE'!B16:B5009=$H$4)*('TREASURY FILE'!D16:D5009="INCOME")*('TREASURY FILE'!A16:A5009=A109)*('TREASURY FILE'!F16:F5009))</f>
        <v>74112.711298794238</v>
      </c>
      <c r="I109" s="24" cm="1">
        <f t="array" ref="I109">SUMPRODUCT(('TREASURY FILE'!D16:D5009=$I$4)*('TREASURY FILE'!F16:F5009="INCOME")*('TREASURY FILE'!C16:C5009=C109)*('TREASURY FILE'!H16:H5009))</f>
        <v>0</v>
      </c>
      <c r="J109" s="31">
        <f t="shared" si="6"/>
        <v>74112.711298794238</v>
      </c>
      <c r="K109" s="33">
        <f t="shared" si="7"/>
        <v>2.7039820309370758E-4</v>
      </c>
    </row>
    <row r="110" spans="1:11" x14ac:dyDescent="0.3">
      <c r="A110" s="30">
        <v>45763</v>
      </c>
      <c r="B110" s="24" cm="1">
        <f t="array" ref="B110">SUMPRODUCT(('TREASURY FILE'!B16:B5010=$B$4)*('TREASURY FILE'!D16:D5010="TURNOVER")*('TREASURY FILE'!A16:A5010=A110)*('TREASURY FILE'!F16:F5010))</f>
        <v>0</v>
      </c>
      <c r="C110" s="24" cm="1">
        <f t="array" ref="C110">SUMPRODUCT(('TREASURY FILE'!B16:B5010=$C$4)*('TREASURY FILE'!D16:D5010="TURNOVER")*('TREASURY FILE'!A16:A5010=A110)*('TREASURY FILE'!F16:F5010))</f>
        <v>203545404.61289826</v>
      </c>
      <c r="D110" s="24" cm="1">
        <f t="array" ref="D110">SUMPRODUCT(('TREASURY FILE'!B16:B5010=$D$4)*('TREASURY FILE'!D16:D5010="TURNOVER")*('TREASURY FILE'!A16:A5010=A110)*('TREASURY FILE'!F16:F5010))</f>
        <v>58.200743688111679</v>
      </c>
      <c r="E110" s="31">
        <f t="shared" si="5"/>
        <v>203545462.81364194</v>
      </c>
      <c r="G110" s="24" cm="1">
        <f t="array" ref="G110">SUMPRODUCT(('TREASURY FILE'!B16:B5010=$G$4)*('TREASURY FILE'!D16:D5010="INCOME")*('TREASURY FILE'!A16:A5010=A110)*('TREASURY FILE'!F16:F5010))</f>
        <v>0</v>
      </c>
      <c r="H110" s="24" cm="1">
        <f t="array" ref="H110">SUMPRODUCT(('TREASURY FILE'!B16:B5010=$H$4)*('TREASURY FILE'!D16:D5010="INCOME")*('TREASURY FILE'!A16:A5010=A110)*('TREASURY FILE'!F16:F5010))</f>
        <v>52464.713047613041</v>
      </c>
      <c r="I110" s="24" cm="1">
        <f t="array" ref="I110">SUMPRODUCT(('TREASURY FILE'!D16:D5010=$I$4)*('TREASURY FILE'!F16:F5010="INCOME")*('TREASURY FILE'!C16:C5010=C110)*('TREASURY FILE'!H16:H5010))</f>
        <v>0</v>
      </c>
      <c r="J110" s="31">
        <f t="shared" si="6"/>
        <v>52464.713047613041</v>
      </c>
      <c r="K110" s="33">
        <f t="shared" si="7"/>
        <v>2.5775427426573308E-4</v>
      </c>
    </row>
    <row r="111" spans="1:11" x14ac:dyDescent="0.3">
      <c r="A111" s="30">
        <v>45764</v>
      </c>
      <c r="B111" s="24" cm="1">
        <f t="array" ref="B111">SUMPRODUCT(('TREASURY FILE'!B16:B5011=$B$4)*('TREASURY FILE'!D16:D5011="TURNOVER")*('TREASURY FILE'!A16:A5011=A111)*('TREASURY FILE'!F16:F5011))</f>
        <v>0</v>
      </c>
      <c r="C111" s="24" cm="1">
        <f t="array" ref="C111">SUMPRODUCT(('TREASURY FILE'!B16:B5011=$C$4)*('TREASURY FILE'!D16:D5011="TURNOVER")*('TREASURY FILE'!A16:A5011=A111)*('TREASURY FILE'!F16:F5011))</f>
        <v>153797805.6822077</v>
      </c>
      <c r="D111" s="24" cm="1">
        <f t="array" ref="D111">SUMPRODUCT(('TREASURY FILE'!B16:B5011=$D$4)*('TREASURY FILE'!D16:D5011="TURNOVER")*('TREASURY FILE'!A16:A5011=A111)*('TREASURY FILE'!F16:F5011))</f>
        <v>98</v>
      </c>
      <c r="E111" s="31">
        <f t="shared" si="5"/>
        <v>153797903.6822077</v>
      </c>
      <c r="G111" s="24" cm="1">
        <f t="array" ref="G111">SUMPRODUCT(('TREASURY FILE'!B16:B5011=$G$4)*('TREASURY FILE'!D16:D5011="INCOME")*('TREASURY FILE'!A16:A5011=A111)*('TREASURY FILE'!F16:F5011))</f>
        <v>0</v>
      </c>
      <c r="H111" s="24" cm="1">
        <f t="array" ref="H111">SUMPRODUCT(('TREASURY FILE'!B16:B5011=$H$4)*('TREASURY FILE'!D16:D5011="INCOME")*('TREASURY FILE'!A16:A5011=A111)*('TREASURY FILE'!F16:F5011))</f>
        <v>38472.580089396135</v>
      </c>
      <c r="I111" s="24" cm="1">
        <f t="array" ref="I111">SUMPRODUCT(('TREASURY FILE'!D16:D5011=$I$4)*('TREASURY FILE'!F16:F5011="INCOME")*('TREASURY FILE'!C16:C5011=C111)*('TREASURY FILE'!H16:H5011))</f>
        <v>0</v>
      </c>
      <c r="J111" s="31">
        <f t="shared" si="6"/>
        <v>38472.580089396135</v>
      </c>
      <c r="K111" s="33">
        <f t="shared" si="7"/>
        <v>2.5015022421171585E-4</v>
      </c>
    </row>
    <row r="112" spans="1:11" x14ac:dyDescent="0.3">
      <c r="A112" s="30">
        <v>45765</v>
      </c>
      <c r="B112" s="24" cm="1">
        <f t="array" ref="B112">SUMPRODUCT(('TREASURY FILE'!B16:B5012=$B$4)*('TREASURY FILE'!D16:D5012="TURNOVER")*('TREASURY FILE'!A16:A5012=A112)*('TREASURY FILE'!F16:F5012))</f>
        <v>0</v>
      </c>
      <c r="C112" s="24" cm="1">
        <f t="array" ref="C112">SUMPRODUCT(('TREASURY FILE'!B16:B5012=$C$4)*('TREASURY FILE'!D16:D5012="TURNOVER")*('TREASURY FILE'!A16:A5012=A112)*('TREASURY FILE'!F16:F5012))</f>
        <v>201388489.81014836</v>
      </c>
      <c r="D112" s="24" cm="1">
        <f t="array" ref="D112">SUMPRODUCT(('TREASURY FILE'!B16:B5012=$D$4)*('TREASURY FILE'!D16:D5012="TURNOVER")*('TREASURY FILE'!A16:A5012=A112)*('TREASURY FILE'!F16:F5012))</f>
        <v>115.9207884410246</v>
      </c>
      <c r="E112" s="31">
        <f t="shared" si="5"/>
        <v>201388605.7309368</v>
      </c>
      <c r="G112" s="24" cm="1">
        <f t="array" ref="G112">SUMPRODUCT(('TREASURY FILE'!B16:B5012=$G$4)*('TREASURY FILE'!D16:D5012="INCOME")*('TREASURY FILE'!A16:A5012=A112)*('TREASURY FILE'!F16:F5012))</f>
        <v>0</v>
      </c>
      <c r="H112" s="24" cm="1">
        <f t="array" ref="H112">SUMPRODUCT(('TREASURY FILE'!B16:B5012=$H$4)*('TREASURY FILE'!D16:D5012="INCOME")*('TREASURY FILE'!A16:A5012=A112)*('TREASURY FILE'!F16:F5012))</f>
        <v>48473.47016137922</v>
      </c>
      <c r="I112" s="24" cm="1">
        <f t="array" ref="I112">SUMPRODUCT(('TREASURY FILE'!D16:D5012=$I$4)*('TREASURY FILE'!F16:F5012="INCOME")*('TREASURY FILE'!C16:C5012=C112)*('TREASURY FILE'!H16:H5012))</f>
        <v>0</v>
      </c>
      <c r="J112" s="31">
        <f t="shared" si="6"/>
        <v>48473.47016137922</v>
      </c>
      <c r="K112" s="33">
        <f t="shared" si="7"/>
        <v>2.4069619026084182E-4</v>
      </c>
    </row>
    <row r="113" spans="1:11" x14ac:dyDescent="0.3">
      <c r="A113" s="30">
        <v>45766</v>
      </c>
      <c r="B113" s="24" cm="1">
        <f t="array" ref="B113">SUMPRODUCT(('TREASURY FILE'!B16:B5013=$B$4)*('TREASURY FILE'!D16:D5013="TURNOVER")*('TREASURY FILE'!A16:A5013=A113)*('TREASURY FILE'!F16:F5013))</f>
        <v>0</v>
      </c>
      <c r="C113" s="24" cm="1">
        <f t="array" ref="C113">SUMPRODUCT(('TREASURY FILE'!B16:B5013=$C$4)*('TREASURY FILE'!D16:D5013="TURNOVER")*('TREASURY FILE'!A16:A5013=A113)*('TREASURY FILE'!F16:F5013))</f>
        <v>207070313.23074624</v>
      </c>
      <c r="D113" s="24" cm="1">
        <f t="array" ref="D113">SUMPRODUCT(('TREASURY FILE'!B16:B5013=$D$4)*('TREASURY FILE'!D16:D5013="TURNOVER")*('TREASURY FILE'!A16:A5013=A113)*('TREASURY FILE'!F16:F5013))</f>
        <v>0</v>
      </c>
      <c r="E113" s="31">
        <f t="shared" si="5"/>
        <v>207070313.23074624</v>
      </c>
      <c r="G113" s="24" cm="1">
        <f t="array" ref="G113">SUMPRODUCT(('TREASURY FILE'!B16:B5013=$G$4)*('TREASURY FILE'!D16:D5013="INCOME")*('TREASURY FILE'!A16:A5013=A113)*('TREASURY FILE'!F16:F5013))</f>
        <v>0</v>
      </c>
      <c r="H113" s="24" cm="1">
        <f t="array" ref="H113">SUMPRODUCT(('TREASURY FILE'!B16:B5013=$H$4)*('TREASURY FILE'!D16:D5013="INCOME")*('TREASURY FILE'!A16:A5013=A113)*('TREASURY FILE'!F16:F5013))</f>
        <v>50692.955448475193</v>
      </c>
      <c r="I113" s="24" cm="1">
        <f t="array" ref="I113">SUMPRODUCT(('TREASURY FILE'!D17:D5013=$I$4)*('TREASURY FILE'!F17:F5013="INCOME")*('TREASURY FILE'!C17:C5013=C113)*('TREASURY FILE'!H17:H5013))</f>
        <v>0</v>
      </c>
      <c r="J113" s="31">
        <f t="shared" si="6"/>
        <v>50692.955448475193</v>
      </c>
      <c r="K113" s="33">
        <f t="shared" si="7"/>
        <v>2.4481034802891388E-4</v>
      </c>
    </row>
    <row r="114" spans="1:11" x14ac:dyDescent="0.3">
      <c r="A114" s="30">
        <v>45767</v>
      </c>
      <c r="B114" s="24" cm="1">
        <f t="array" ref="B114">SUMPRODUCT(('TREASURY FILE'!B16:B5014=$B$4)*('TREASURY FILE'!D16:D5014="TURNOVER")*('TREASURY FILE'!A16:A5014=A114)*('TREASURY FILE'!F16:F5014))</f>
        <v>0</v>
      </c>
      <c r="C114" s="24" cm="1">
        <f t="array" ref="C114">SUMPRODUCT(('TREASURY FILE'!B16:B5014=$C$4)*('TREASURY FILE'!D16:D5014="TURNOVER")*('TREASURY FILE'!A16:A5014=A114)*('TREASURY FILE'!F16:F5014))</f>
        <v>279918742.00560784</v>
      </c>
      <c r="D114" s="24" cm="1">
        <f t="array" ref="D114">SUMPRODUCT(('TREASURY FILE'!B16:B5014=$D$4)*('TREASURY FILE'!D16:D5014="TURNOVER")*('TREASURY FILE'!A16:A5014=A114)*('TREASURY FILE'!F16:F5014))</f>
        <v>0</v>
      </c>
      <c r="E114" s="31">
        <f t="shared" si="5"/>
        <v>279918742.00560784</v>
      </c>
      <c r="G114" s="24" cm="1">
        <f t="array" ref="G114">SUMPRODUCT(('TREASURY FILE'!B16:B5014=$G$4)*('TREASURY FILE'!D16:D5014="INCOME")*('TREASURY FILE'!A16:A5014=A114)*('TREASURY FILE'!F16:F5014))</f>
        <v>0</v>
      </c>
      <c r="H114" s="24" cm="1">
        <f t="array" ref="H114">SUMPRODUCT(('TREASURY FILE'!B16:B5014=$H$4)*('TREASURY FILE'!D16:D5014="INCOME")*('TREASURY FILE'!A16:A5014=A114)*('TREASURY FILE'!F16:F5014))</f>
        <v>71284.223003874737</v>
      </c>
      <c r="I114" s="24" cm="1">
        <f t="array" ref="I114">SUMPRODUCT(('TREASURY FILE'!D18:D5014=$I$4)*('TREASURY FILE'!F18:F5014="INCOME")*('TREASURY FILE'!C18:C5014=C114)*('TREASURY FILE'!H18:H5014))</f>
        <v>0</v>
      </c>
      <c r="J114" s="31">
        <f t="shared" si="6"/>
        <v>71284.223003874737</v>
      </c>
      <c r="K114" s="33">
        <f t="shared" si="7"/>
        <v>2.546604149944581E-4</v>
      </c>
    </row>
    <row r="115" spans="1:11" x14ac:dyDescent="0.3">
      <c r="A115" s="30">
        <v>45768</v>
      </c>
      <c r="B115" s="24" cm="1">
        <f t="array" ref="B115">SUMPRODUCT(('TREASURY FILE'!B16:B5015=$B$4)*('TREASURY FILE'!D16:D5015="TURNOVER")*('TREASURY FILE'!A16:A5015=A115)*('TREASURY FILE'!F16:F5015))</f>
        <v>0</v>
      </c>
      <c r="C115" s="24" cm="1">
        <f t="array" ref="C115">SUMPRODUCT(('TREASURY FILE'!B16:B5015=$C$4)*('TREASURY FILE'!D16:D5015="TURNOVER")*('TREASURY FILE'!A16:A5015=A115)*('TREASURY FILE'!F16:F5015))</f>
        <v>382937474.40953302</v>
      </c>
      <c r="D115" s="24" cm="1">
        <f t="array" ref="D115">SUMPRODUCT(('TREASURY FILE'!B16:B5015=$D$4)*('TREASURY FILE'!D16:D5015="TURNOVER")*('TREASURY FILE'!A16:A5015=A115)*('TREASURY FILE'!F16:F5015))</f>
        <v>91.562485431994489</v>
      </c>
      <c r="E115" s="31">
        <f t="shared" si="5"/>
        <v>382937565.97201848</v>
      </c>
      <c r="G115" s="24" cm="1">
        <f t="array" ref="G115">SUMPRODUCT(('TREASURY FILE'!B16:B5015=$G$4)*('TREASURY FILE'!D16:D5015="INCOME")*('TREASURY FILE'!A16:A5015=A115)*('TREASURY FILE'!F16:F5015))</f>
        <v>0</v>
      </c>
      <c r="H115" s="24" cm="1">
        <f t="array" ref="H115">SUMPRODUCT(('TREASURY FILE'!B16:B5015=$H$4)*('TREASURY FILE'!D16:D5015="INCOME")*('TREASURY FILE'!A16:A5015=A115)*('TREASURY FILE'!F16:F5015))</f>
        <v>100123.72315398346</v>
      </c>
      <c r="I115" s="24" cm="1">
        <f t="array" ref="I115">SUMPRODUCT(('TREASURY FILE'!D19:D5015=$I$4)*('TREASURY FILE'!F19:F5015="INCOME")*('TREASURY FILE'!C19:C5015=C115)*('TREASURY FILE'!H19:H5015))</f>
        <v>0</v>
      </c>
      <c r="J115" s="31">
        <f t="shared" si="6"/>
        <v>100123.72315398346</v>
      </c>
      <c r="K115" s="33">
        <f t="shared" si="7"/>
        <v>2.6146226448125375E-4</v>
      </c>
    </row>
    <row r="116" spans="1:11" x14ac:dyDescent="0.3">
      <c r="A116" s="30">
        <v>45769</v>
      </c>
      <c r="B116" s="24" cm="1">
        <f t="array" ref="B116">SUMPRODUCT(('TREASURY FILE'!B16:B5016=$B$4)*('TREASURY FILE'!D16:D5016="TURNOVER")*('TREASURY FILE'!A16:A5016=A116)*('TREASURY FILE'!F16:F5016))</f>
        <v>0</v>
      </c>
      <c r="C116" s="24" cm="1">
        <f t="array" ref="C116">SUMPRODUCT(('TREASURY FILE'!B16:B5016=$C$4)*('TREASURY FILE'!D16:D5016="TURNOVER")*('TREASURY FILE'!A16:A5016=A116)*('TREASURY FILE'!F16:F5016))</f>
        <v>318978588.15477049</v>
      </c>
      <c r="D116" s="24" cm="1">
        <f t="array" ref="D116">SUMPRODUCT(('TREASURY FILE'!B16:B5016=$D$4)*('TREASURY FILE'!D16:D5016="TURNOVER")*('TREASURY FILE'!A16:A5016=A116)*('TREASURY FILE'!F16:F5016))</f>
        <v>181846</v>
      </c>
      <c r="E116" s="31">
        <f t="shared" si="5"/>
        <v>319160434.15477049</v>
      </c>
      <c r="G116" s="24" cm="1">
        <f t="array" ref="G116">SUMPRODUCT(('TREASURY FILE'!B16:B5016=$G$4)*('TREASURY FILE'!D16:D5016="INCOME")*('TREASURY FILE'!A16:A5016=A116)*('TREASURY FILE'!F16:F5016))</f>
        <v>0</v>
      </c>
      <c r="H116" s="24" cm="1">
        <f t="array" ref="H116">SUMPRODUCT(('TREASURY FILE'!B16:B5016=$H$4)*('TREASURY FILE'!D16:D5016="INCOME")*('TREASURY FILE'!A16:A5016=A116)*('TREASURY FILE'!F16:F5016))</f>
        <v>81627.825610073793</v>
      </c>
      <c r="I116" s="24" cm="1">
        <f t="array" ref="I116">SUMPRODUCT(('TREASURY FILE'!D20:D5016=$I$4)*('TREASURY FILE'!F20:F5016="INCOME")*('TREASURY FILE'!C20:C5016=C116)*('TREASURY FILE'!H20:H5016))</f>
        <v>0</v>
      </c>
      <c r="J116" s="31">
        <f t="shared" si="6"/>
        <v>81627.825610073793</v>
      </c>
      <c r="K116" s="33">
        <f t="shared" si="7"/>
        <v>2.557579727144061E-4</v>
      </c>
    </row>
    <row r="117" spans="1:11" x14ac:dyDescent="0.3">
      <c r="A117" s="30">
        <v>45770</v>
      </c>
      <c r="B117" s="24" cm="1">
        <f t="array" ref="B117">SUMPRODUCT(('TREASURY FILE'!B16:B5017=$B$4)*('TREASURY FILE'!D16:D5017="TURNOVER")*('TREASURY FILE'!A16:A5017=A117)*('TREASURY FILE'!F16:F5017))</f>
        <v>0</v>
      </c>
      <c r="C117" s="24" cm="1">
        <f t="array" ref="C117">SUMPRODUCT(('TREASURY FILE'!B16:B5017=$C$4)*('TREASURY FILE'!D16:D5017="TURNOVER")*('TREASURY FILE'!A16:A5017=A117)*('TREASURY FILE'!F16:F5017))</f>
        <v>471473177.74325758</v>
      </c>
      <c r="D117" s="24" cm="1">
        <f t="array" ref="D117">SUMPRODUCT(('TREASURY FILE'!B16:B5017=$D$4)*('TREASURY FILE'!D16:D5017="TURNOVER")*('TREASURY FILE'!A16:A5017=A117)*('TREASURY FILE'!F16:F5017))</f>
        <v>131220</v>
      </c>
      <c r="E117" s="31">
        <f t="shared" si="5"/>
        <v>471604397.74325758</v>
      </c>
      <c r="G117" s="24" cm="1">
        <f t="array" ref="G117">SUMPRODUCT(('TREASURY FILE'!B16:B5017=$G$4)*('TREASURY FILE'!D16:D5017="INCOME")*('TREASURY FILE'!A16:A5017=A117)*('TREASURY FILE'!F16:F5017))</f>
        <v>0</v>
      </c>
      <c r="H117" s="24" cm="1">
        <f t="array" ref="H117">SUMPRODUCT(('TREASURY FILE'!B16:B5017=$H$4)*('TREASURY FILE'!D16:D5017="INCOME")*('TREASURY FILE'!A16:A5017=A117)*('TREASURY FILE'!F16:F5017))</f>
        <v>125855.48532943573</v>
      </c>
      <c r="I117" s="24" cm="1">
        <f t="array" ref="I117">SUMPRODUCT(('TREASURY FILE'!D21:D5017=$I$4)*('TREASURY FILE'!F21:F5017="INCOME")*('TREASURY FILE'!C21:C5017=C117)*('TREASURY FILE'!H21:H5017))</f>
        <v>0</v>
      </c>
      <c r="J117" s="31">
        <f t="shared" si="6"/>
        <v>125855.48532943573</v>
      </c>
      <c r="K117" s="33">
        <f t="shared" si="7"/>
        <v>2.6686664910608343E-4</v>
      </c>
    </row>
    <row r="118" spans="1:11" x14ac:dyDescent="0.3">
      <c r="A118" s="30">
        <v>45771</v>
      </c>
      <c r="B118" s="24" cm="1">
        <f t="array" ref="B118">SUMPRODUCT(('TREASURY FILE'!B17:B5018=$B$4)*('TREASURY FILE'!D17:D5018="TURNOVER")*('TREASURY FILE'!A17:A5018=A118)*('TREASURY FILE'!F17:F5018))</f>
        <v>0</v>
      </c>
      <c r="C118" s="24" cm="1">
        <f t="array" ref="C118">SUMPRODUCT(('TREASURY FILE'!B17:B5018=$C$4)*('TREASURY FILE'!D17:D5018="TURNOVER")*('TREASURY FILE'!A17:A5018=A118)*('TREASURY FILE'!F17:F5018))</f>
        <v>331631737.44826674</v>
      </c>
      <c r="D118" s="24" cm="1">
        <f t="array" ref="D118">SUMPRODUCT(('TREASURY FILE'!B17:B5018=$D$4)*('TREASURY FILE'!D17:D5018="TURNOVER")*('TREASURY FILE'!A17:A5018=A118)*('TREASURY FILE'!F17:F5018))</f>
        <v>0</v>
      </c>
      <c r="E118" s="31">
        <f t="shared" si="5"/>
        <v>331631737.44826674</v>
      </c>
      <c r="G118" s="24" cm="1">
        <f t="array" ref="G118">SUMPRODUCT(('TREASURY FILE'!B17:B5018=$G$4)*('TREASURY FILE'!D17:D5018="INCOME")*('TREASURY FILE'!A17:A5018=A118)*('TREASURY FILE'!F17:F5018))</f>
        <v>0</v>
      </c>
      <c r="H118" s="24" cm="1">
        <f t="array" ref="H118">SUMPRODUCT(('TREASURY FILE'!B17:B5018=$H$4)*('TREASURY FILE'!D17:D5018="INCOME")*('TREASURY FILE'!A17:A5018=A118)*('TREASURY FILE'!F17:F5018))</f>
        <v>85258.215994175538</v>
      </c>
      <c r="I118" s="24" cm="1">
        <f t="array" ref="I118">SUMPRODUCT(('TREASURY FILE'!D22:D5018=$I$4)*('TREASURY FILE'!F22:F5018="INCOME")*('TREASURY FILE'!C22:C5018=C118)*('TREASURY FILE'!H22:H5018))</f>
        <v>0</v>
      </c>
      <c r="J118" s="31">
        <f t="shared" si="6"/>
        <v>85258.215994175538</v>
      </c>
      <c r="K118" s="33">
        <f t="shared" si="7"/>
        <v>2.5708702264202169E-4</v>
      </c>
    </row>
    <row r="119" spans="1:11" x14ac:dyDescent="0.3">
      <c r="A119" s="30">
        <v>45772</v>
      </c>
      <c r="B119" s="24" cm="1">
        <f t="array" ref="B119">SUMPRODUCT(('TREASURY FILE'!B18:B5019=$B$4)*('TREASURY FILE'!D18:D5019="TURNOVER")*('TREASURY FILE'!A18:A5019=A119)*('TREASURY FILE'!F18:F5019))</f>
        <v>0</v>
      </c>
      <c r="C119" s="24" cm="1">
        <f t="array" ref="C119">SUMPRODUCT(('TREASURY FILE'!B18:B5019=$C$4)*('TREASURY FILE'!D18:D5019="TURNOVER")*('TREASURY FILE'!A18:A5019=A119)*('TREASURY FILE'!F18:F5019))</f>
        <v>312293245.41028988</v>
      </c>
      <c r="D119" s="24" cm="1">
        <f t="array" ref="D119">SUMPRODUCT(('TREASURY FILE'!B18:B5019=$D$4)*('TREASURY FILE'!D18:D5019="TURNOVER")*('TREASURY FILE'!A18:A5019=A119)*('TREASURY FILE'!F18:F5019))</f>
        <v>56940</v>
      </c>
      <c r="E119" s="31">
        <f t="shared" si="5"/>
        <v>312350185.41028988</v>
      </c>
      <c r="G119" s="24" cm="1">
        <f t="array" ref="G119">SUMPRODUCT(('TREASURY FILE'!B18:B5019=$G$4)*('TREASURY FILE'!D18:D5019="INCOME")*('TREASURY FILE'!A18:A5019=A119)*('TREASURY FILE'!F18:F5019))</f>
        <v>0</v>
      </c>
      <c r="H119" s="24" cm="1">
        <f t="array" ref="H119">SUMPRODUCT(('TREASURY FILE'!B18:B5019=$H$4)*('TREASURY FILE'!D18:D5019="INCOME")*('TREASURY FILE'!A18:A5019=A119)*('TREASURY FILE'!F18:F5019))</f>
        <v>81366.912736262195</v>
      </c>
      <c r="I119" s="24" cm="1">
        <f t="array" ref="I119">SUMPRODUCT(('TREASURY FILE'!D23:D5019=$I$4)*('TREASURY FILE'!F23:F5019="INCOME")*('TREASURY FILE'!C23:C5019=C119)*('TREASURY FILE'!H23:H5019))</f>
        <v>0</v>
      </c>
      <c r="J119" s="31">
        <f t="shared" si="6"/>
        <v>81366.912736262195</v>
      </c>
      <c r="K119" s="33">
        <f t="shared" si="7"/>
        <v>2.6049900572135755E-4</v>
      </c>
    </row>
    <row r="120" spans="1:11" x14ac:dyDescent="0.3">
      <c r="A120" s="30">
        <v>45773</v>
      </c>
      <c r="B120" s="24" cm="1">
        <f t="array" ref="B120">SUMPRODUCT(('TREASURY FILE'!B19:B5020=$B$4)*('TREASURY FILE'!D19:D5020="TURNOVER")*('TREASURY FILE'!A19:A5020=A120)*('TREASURY FILE'!F19:F5020))</f>
        <v>0</v>
      </c>
      <c r="C120" s="24" cm="1">
        <f t="array" ref="C120">SUMPRODUCT(('TREASURY FILE'!B19:B5020=$C$4)*('TREASURY FILE'!D19:D5020="TURNOVER")*('TREASURY FILE'!A19:A5020=A120)*('TREASURY FILE'!F19:F5020))</f>
        <v>324432206.16548979</v>
      </c>
      <c r="D120" s="24" cm="1">
        <f t="array" ref="D120">SUMPRODUCT(('TREASURY FILE'!B19:B5020=$D$4)*('TREASURY FILE'!D19:D5020="TURNOVER")*('TREASURY FILE'!A19:A5020=A120)*('TREASURY FILE'!F19:F5020))</f>
        <v>0</v>
      </c>
      <c r="E120" s="31">
        <f t="shared" si="5"/>
        <v>324432206.16548979</v>
      </c>
      <c r="G120" s="24" cm="1">
        <f t="array" ref="G120">SUMPRODUCT(('TREASURY FILE'!B19:B5020=$G$4)*('TREASURY FILE'!D19:D5020="INCOME")*('TREASURY FILE'!A19:A5020=A120)*('TREASURY FILE'!F19:F5020))</f>
        <v>0</v>
      </c>
      <c r="H120" s="24" cm="1">
        <f t="array" ref="H120">SUMPRODUCT(('TREASURY FILE'!B19:B5020=$H$4)*('TREASURY FILE'!D19:D5020="INCOME")*('TREASURY FILE'!A19:A5020=A120)*('TREASURY FILE'!F19:F5020))</f>
        <v>83677.261059152268</v>
      </c>
      <c r="I120" s="24" cm="1">
        <f t="array" ref="I120">SUMPRODUCT(('TREASURY FILE'!D24:D5020=$I$4)*('TREASURY FILE'!F24:F5020="INCOME")*('TREASURY FILE'!C24:C5020=C120)*('TREASURY FILE'!H24:H5020))</f>
        <v>0</v>
      </c>
      <c r="J120" s="31">
        <f t="shared" si="6"/>
        <v>83677.261059152268</v>
      </c>
      <c r="K120" s="33">
        <f t="shared" si="7"/>
        <v>2.5791909517290429E-4</v>
      </c>
    </row>
    <row r="121" spans="1:11" x14ac:dyDescent="0.3">
      <c r="A121" s="30">
        <v>45774</v>
      </c>
      <c r="B121" s="24" cm="1">
        <f t="array" ref="B121">SUMPRODUCT(('TREASURY FILE'!B20:B5021=$B$4)*('TREASURY FILE'!D20:D5021="TURNOVER")*('TREASURY FILE'!A20:A5021=A121)*('TREASURY FILE'!F20:F5021))</f>
        <v>0</v>
      </c>
      <c r="C121" s="24" cm="1">
        <f t="array" ref="C121">SUMPRODUCT(('TREASURY FILE'!B20:B5021=$C$4)*('TREASURY FILE'!D20:D5021="TURNOVER")*('TREASURY FILE'!A20:A5021=A121)*('TREASURY FILE'!F20:F5021))</f>
        <v>260427766.28410146</v>
      </c>
      <c r="D121" s="24" cm="1">
        <f t="array" ref="D121">SUMPRODUCT(('TREASURY FILE'!B20:B5021=$D$4)*('TREASURY FILE'!D20:D5021="TURNOVER")*('TREASURY FILE'!A20:A5021=A121)*('TREASURY FILE'!F20:F5021))</f>
        <v>0</v>
      </c>
      <c r="E121" s="31">
        <f t="shared" si="5"/>
        <v>260427766.28410146</v>
      </c>
      <c r="G121" s="24" cm="1">
        <f t="array" ref="G121">SUMPRODUCT(('TREASURY FILE'!B20:B5021=$G$4)*('TREASURY FILE'!D20:D5021="INCOME")*('TREASURY FILE'!A20:A5021=A121)*('TREASURY FILE'!F20:F5021))</f>
        <v>0</v>
      </c>
      <c r="H121" s="24" cm="1">
        <f t="array" ref="H121">SUMPRODUCT(('TREASURY FILE'!B20:B5021=$H$4)*('TREASURY FILE'!D20:D5021="INCOME")*('TREASURY FILE'!A20:A5021=A121)*('TREASURY FILE'!F20:F5021))</f>
        <v>65263.597967471869</v>
      </c>
      <c r="I121" s="24" cm="1">
        <f t="array" ref="I121">SUMPRODUCT(('TREASURY FILE'!D25:D5021=$I$4)*('TREASURY FILE'!F25:F5021="INCOME")*('TREASURY FILE'!C25:C5021=C121)*('TREASURY FILE'!H25:H5021))</f>
        <v>0</v>
      </c>
      <c r="J121" s="31">
        <f t="shared" si="6"/>
        <v>65263.597967471869</v>
      </c>
      <c r="K121" s="33">
        <f t="shared" si="7"/>
        <v>2.5060153492341371E-4</v>
      </c>
    </row>
    <row r="122" spans="1:11" x14ac:dyDescent="0.3">
      <c r="A122" s="30">
        <v>45775</v>
      </c>
      <c r="B122" s="24" cm="1">
        <f t="array" ref="B122">SUMPRODUCT(('TREASURY FILE'!B21:B5022=$B$4)*('TREASURY FILE'!D21:D5022="TURNOVER")*('TREASURY FILE'!A21:A5022=A122)*('TREASURY FILE'!F21:F5022))</f>
        <v>0</v>
      </c>
      <c r="C122" s="24" cm="1">
        <f t="array" ref="C122">SUMPRODUCT(('TREASURY FILE'!B21:B5022=$C$4)*('TREASURY FILE'!D21:D5022="TURNOVER")*('TREASURY FILE'!A21:A5022=A122)*('TREASURY FILE'!F21:F5022))</f>
        <v>270085347.55180722</v>
      </c>
      <c r="D122" s="24" cm="1">
        <f t="array" ref="D122">SUMPRODUCT(('TREASURY FILE'!B21:B5022=$D$4)*('TREASURY FILE'!D21:D5022="TURNOVER")*('TREASURY FILE'!A21:A5022=A122)*('TREASURY FILE'!F21:F5022))</f>
        <v>48.070990404997403</v>
      </c>
      <c r="E122" s="31">
        <f t="shared" si="5"/>
        <v>270085395.62279761</v>
      </c>
      <c r="G122" s="24" cm="1">
        <f t="array" ref="G122">SUMPRODUCT(('TREASURY FILE'!B21:B5022=$G$4)*('TREASURY FILE'!D21:D5022="INCOME")*('TREASURY FILE'!A21:A5022=A122)*('TREASURY FILE'!F21:F5022))</f>
        <v>0</v>
      </c>
      <c r="H122" s="24" cm="1">
        <f t="array" ref="H122">SUMPRODUCT(('TREASURY FILE'!B21:B5022=$H$4)*('TREASURY FILE'!D21:D5022="INCOME")*('TREASURY FILE'!A21:A5022=A122)*('TREASURY FILE'!F21:F5022))</f>
        <v>68175.809447444117</v>
      </c>
      <c r="I122" s="24" cm="1">
        <f t="array" ref="I122">SUMPRODUCT(('TREASURY FILE'!D26:D5022=$I$4)*('TREASURY FILE'!F26:F5022="INCOME")*('TREASURY FILE'!C26:C5022=C122)*('TREASURY FILE'!H26:H5022))</f>
        <v>0</v>
      </c>
      <c r="J122" s="31">
        <f t="shared" si="6"/>
        <v>68175.809447444117</v>
      </c>
      <c r="K122" s="33">
        <f t="shared" si="7"/>
        <v>2.5242316153465305E-4</v>
      </c>
    </row>
    <row r="123" spans="1:11" x14ac:dyDescent="0.3">
      <c r="A123" s="30">
        <v>45776</v>
      </c>
      <c r="B123" s="24" cm="1">
        <f t="array" ref="B123">SUMPRODUCT(('TREASURY FILE'!B22:B5023=$B$4)*('TREASURY FILE'!D22:D5023="TURNOVER")*('TREASURY FILE'!A22:A5023=A123)*('TREASURY FILE'!F22:F5023))</f>
        <v>0</v>
      </c>
      <c r="C123" s="24" cm="1">
        <f t="array" ref="C123">SUMPRODUCT(('TREASURY FILE'!B22:B5023=$C$4)*('TREASURY FILE'!D22:D5023="TURNOVER")*('TREASURY FILE'!A22:A5023=A123)*('TREASURY FILE'!F22:F5023))</f>
        <v>169077393.23196927</v>
      </c>
      <c r="D123" s="24" cm="1">
        <f t="array" ref="D123">SUMPRODUCT(('TREASURY FILE'!B22:B5023=$D$4)*('TREASURY FILE'!D22:D5023="TURNOVER")*('TREASURY FILE'!A22:A5023=A123)*('TREASURY FILE'!F22:F5023))</f>
        <v>0</v>
      </c>
      <c r="E123" s="31">
        <f t="shared" si="5"/>
        <v>169077393.23196927</v>
      </c>
      <c r="G123" s="24" cm="1">
        <f t="array" ref="G123">SUMPRODUCT(('TREASURY FILE'!B22:B5023=$G$4)*('TREASURY FILE'!D22:D5023="INCOME")*('TREASURY FILE'!A22:A5023=A123)*('TREASURY FILE'!F22:F5023))</f>
        <v>0</v>
      </c>
      <c r="H123" s="24" cm="1">
        <f t="array" ref="H123">SUMPRODUCT(('TREASURY FILE'!B22:B5023=$H$4)*('TREASURY FILE'!D22:D5023="INCOME")*('TREASURY FILE'!A22:A5023=A123)*('TREASURY FILE'!F22:F5023))</f>
        <v>42316.343958219644</v>
      </c>
      <c r="I123" s="24" cm="1">
        <f t="array" ref="I123">SUMPRODUCT(('TREASURY FILE'!D27:D5023=$I$4)*('TREASURY FILE'!F27:F5023="INCOME")*('TREASURY FILE'!C27:C5023=C123)*('TREASURY FILE'!H27:H5023))</f>
        <v>0</v>
      </c>
      <c r="J123" s="31">
        <f t="shared" si="6"/>
        <v>42316.343958219644</v>
      </c>
      <c r="K123" s="33">
        <f t="shared" si="7"/>
        <v>2.5027795348230177E-4</v>
      </c>
    </row>
    <row r="124" spans="1:11" x14ac:dyDescent="0.3">
      <c r="A124" s="30">
        <v>45777</v>
      </c>
      <c r="B124" s="24" cm="1">
        <f t="array" ref="B124">SUMPRODUCT(('TREASURY FILE'!B23:B5024=$B$4)*('TREASURY FILE'!D23:D5024="TURNOVER")*('TREASURY FILE'!A23:A5024=A124)*('TREASURY FILE'!F23:F5024))</f>
        <v>0</v>
      </c>
      <c r="C124" s="24" cm="1">
        <f t="array" ref="C124">SUMPRODUCT(('TREASURY FILE'!B23:B5024=$C$4)*('TREASURY FILE'!D23:D5024="TURNOVER")*('TREASURY FILE'!A23:A5024=A124)*('TREASURY FILE'!F23:F5024))</f>
        <v>216584154.92425734</v>
      </c>
      <c r="D124" s="24" cm="1">
        <f t="array" ref="D124">SUMPRODUCT(('TREASURY FILE'!B23:B5024=$D$4)*('TREASURY FILE'!D23:D5024="TURNOVER")*('TREASURY FILE'!A23:A5024=A124)*('TREASURY FILE'!F23:F5024))</f>
        <v>0</v>
      </c>
      <c r="E124" s="31">
        <f t="shared" si="5"/>
        <v>216584154.92425734</v>
      </c>
      <c r="G124" s="24" cm="1">
        <f t="array" ref="G124">SUMPRODUCT(('TREASURY FILE'!B23:B5024=$G$4)*('TREASURY FILE'!D23:D5024="INCOME")*('TREASURY FILE'!A23:A5024=A124)*('TREASURY FILE'!F23:F5024))</f>
        <v>0</v>
      </c>
      <c r="H124" s="24" cm="1">
        <f t="array" ref="H124">SUMPRODUCT(('TREASURY FILE'!B23:B5024=$H$4)*('TREASURY FILE'!D23:D5024="INCOME")*('TREASURY FILE'!A23:A5024=A124)*('TREASURY FILE'!F23:F5024))</f>
        <v>54624.364921805798</v>
      </c>
      <c r="I124" s="24" cm="1">
        <f t="array" ref="I124">SUMPRODUCT(('TREASURY FILE'!D28:D5024=$I$4)*('TREASURY FILE'!F28:F5024="INCOME")*('TREASURY FILE'!C28:C5024=C124)*('TREASURY FILE'!H28:H5024))</f>
        <v>0</v>
      </c>
      <c r="J124" s="31">
        <f t="shared" si="6"/>
        <v>54624.364921805798</v>
      </c>
      <c r="K124" s="33">
        <f t="shared" si="7"/>
        <v>2.5220850039056988E-4</v>
      </c>
    </row>
    <row r="125" spans="1:11" x14ac:dyDescent="0.3">
      <c r="A125" s="30">
        <v>45778</v>
      </c>
      <c r="B125" s="24" cm="1">
        <f t="array" ref="B125">SUMPRODUCT(('TREASURY FILE'!B24:B5025=$B$4)*('TREASURY FILE'!D24:D5025="TURNOVER")*('TREASURY FILE'!A24:A5025=A125)*('TREASURY FILE'!F24:F5025))</f>
        <v>0</v>
      </c>
      <c r="C125" s="24" cm="1">
        <f t="array" ref="C125">SUMPRODUCT(('TREASURY FILE'!B24:B5025=$C$4)*('TREASURY FILE'!D24:D5025="TURNOVER")*('TREASURY FILE'!A24:A5025=A125)*('TREASURY FILE'!F24:F5025))</f>
        <v>200458234.93713477</v>
      </c>
      <c r="D125" s="24" cm="1">
        <f t="array" ref="D125">SUMPRODUCT(('TREASURY FILE'!B24:B5025=$D$4)*('TREASURY FILE'!D24:D5025="TURNOVER")*('TREASURY FILE'!A24:A5025=A125)*('TREASURY FILE'!F24:F5025))</f>
        <v>48389</v>
      </c>
      <c r="E125" s="31">
        <f t="shared" si="5"/>
        <v>200506623.93713477</v>
      </c>
      <c r="G125" s="24" cm="1">
        <f t="array" ref="G125">SUMPRODUCT(('TREASURY FILE'!B24:B5025=$G$4)*('TREASURY FILE'!D24:D5025="INCOME")*('TREASURY FILE'!A24:A5025=A125)*('TREASURY FILE'!F24:F5025))</f>
        <v>0</v>
      </c>
      <c r="H125" s="24" cm="1">
        <f t="array" ref="H125">SUMPRODUCT(('TREASURY FILE'!B24:B5025=$H$4)*('TREASURY FILE'!D24:D5025="INCOME")*('TREASURY FILE'!A24:A5025=A125)*('TREASURY FILE'!F24:F5025))</f>
        <v>51917.848689606195</v>
      </c>
      <c r="I125" s="24" cm="1">
        <f t="array" ref="I125">SUMPRODUCT(('TREASURY FILE'!D29:D5025=$I$4)*('TREASURY FILE'!F29:F5025="INCOME")*('TREASURY FILE'!C29:C5025=C125)*('TREASURY FILE'!H29:H5025))</f>
        <v>0</v>
      </c>
      <c r="J125" s="31">
        <f t="shared" si="6"/>
        <v>51917.848689606195</v>
      </c>
      <c r="K125" s="33">
        <f t="shared" si="7"/>
        <v>2.589333343215838E-4</v>
      </c>
    </row>
    <row r="126" spans="1:11" x14ac:dyDescent="0.3">
      <c r="A126" s="30">
        <v>45779</v>
      </c>
      <c r="B126" s="24" cm="1">
        <f t="array" ref="B126">SUMPRODUCT(('TREASURY FILE'!B25:B5026=$B$4)*('TREASURY FILE'!D25:D5026="TURNOVER")*('TREASURY FILE'!A25:A5026=A126)*('TREASURY FILE'!F25:F5026))</f>
        <v>0</v>
      </c>
      <c r="C126" s="24" cm="1">
        <f t="array" ref="C126">SUMPRODUCT(('TREASURY FILE'!B25:B5026=$C$4)*('TREASURY FILE'!D25:D5026="TURNOVER")*('TREASURY FILE'!A25:A5026=A126)*('TREASURY FILE'!F25:F5026))</f>
        <v>165080850.58095971</v>
      </c>
      <c r="D126" s="24" cm="1">
        <f t="array" ref="D126">SUMPRODUCT(('TREASURY FILE'!B25:B5026=$D$4)*('TREASURY FILE'!D25:D5026="TURNOVER")*('TREASURY FILE'!A25:A5026=A126)*('TREASURY FILE'!F25:F5026))</f>
        <v>772.08931935536054</v>
      </c>
      <c r="E126" s="31">
        <f t="shared" si="5"/>
        <v>165081622.67027906</v>
      </c>
      <c r="G126" s="24" cm="1">
        <f t="array" ref="G126">SUMPRODUCT(('TREASURY FILE'!B25:B5026=$G$4)*('TREASURY FILE'!D25:D5026="INCOME")*('TREASURY FILE'!A25:A5026=A126)*('TREASURY FILE'!F25:F5026))</f>
        <v>0</v>
      </c>
      <c r="H126" s="24" cm="1">
        <f t="array" ref="H126">SUMPRODUCT(('TREASURY FILE'!B25:B5026=$H$4)*('TREASURY FILE'!D25:D5026="INCOME")*('TREASURY FILE'!A25:A5026=A126)*('TREASURY FILE'!F25:F5026))</f>
        <v>40737.223832982789</v>
      </c>
      <c r="I126" s="24" cm="1">
        <f t="array" ref="I126">SUMPRODUCT(('TREASURY FILE'!D30:D5026=$I$4)*('TREASURY FILE'!F30:F5026="INCOME")*('TREASURY FILE'!C30:C5026=C126)*('TREASURY FILE'!H30:H5026))</f>
        <v>0</v>
      </c>
      <c r="J126" s="31">
        <f t="shared" si="6"/>
        <v>40737.223832982789</v>
      </c>
      <c r="K126" s="33">
        <f t="shared" si="7"/>
        <v>2.4677019267219157E-4</v>
      </c>
    </row>
    <row r="127" spans="1:11" x14ac:dyDescent="0.3">
      <c r="A127" s="30">
        <v>45780</v>
      </c>
      <c r="B127" s="24" cm="1">
        <f t="array" ref="B127">SUMPRODUCT(('TREASURY FILE'!B26:B5027=$B$4)*('TREASURY FILE'!D26:D5027="TURNOVER")*('TREASURY FILE'!A26:A5027=A127)*('TREASURY FILE'!F26:F5027))</f>
        <v>0</v>
      </c>
      <c r="C127" s="24" cm="1">
        <f t="array" ref="C127">SUMPRODUCT(('TREASURY FILE'!B26:B5027=$C$4)*('TREASURY FILE'!D26:D5027="TURNOVER")*('TREASURY FILE'!A26:A5027=A127)*('TREASURY FILE'!F26:F5027))</f>
        <v>149605688.71748352</v>
      </c>
      <c r="D127" s="24" cm="1">
        <f t="array" ref="D127">SUMPRODUCT(('TREASURY FILE'!B26:B5027=$D$4)*('TREASURY FILE'!D26:D5027="TURNOVER")*('TREASURY FILE'!A26:A5027=A127)*('TREASURY FILE'!F26:F5027))</f>
        <v>0</v>
      </c>
      <c r="E127" s="31">
        <f t="shared" si="5"/>
        <v>149605688.71748352</v>
      </c>
      <c r="G127" s="24" cm="1">
        <f t="array" ref="G127">SUMPRODUCT(('TREASURY FILE'!B26:B5027=$G$4)*('TREASURY FILE'!D26:D5027="INCOME")*('TREASURY FILE'!A26:A5027=A127)*('TREASURY FILE'!F26:F5027))</f>
        <v>0</v>
      </c>
      <c r="H127" s="24" cm="1">
        <f t="array" ref="H127">SUMPRODUCT(('TREASURY FILE'!B26:B5027=$H$4)*('TREASURY FILE'!D26:D5027="INCOME")*('TREASURY FILE'!A26:A5027=A127)*('TREASURY FILE'!F26:F5027))</f>
        <v>36090.11508880656</v>
      </c>
      <c r="I127" s="24" cm="1">
        <f t="array" ref="I127">SUMPRODUCT(('TREASURY FILE'!D31:D5027=$I$4)*('TREASURY FILE'!F31:F5027="INCOME")*('TREASURY FILE'!C31:C5027=C127)*('TREASURY FILE'!H31:H5027))</f>
        <v>0</v>
      </c>
      <c r="J127" s="31">
        <f t="shared" si="6"/>
        <v>36090.11508880656</v>
      </c>
      <c r="K127" s="33">
        <f t="shared" si="7"/>
        <v>2.4123491157451504E-4</v>
      </c>
    </row>
    <row r="128" spans="1:11" x14ac:dyDescent="0.3">
      <c r="A128" s="30">
        <v>45781</v>
      </c>
      <c r="B128" s="24" cm="1">
        <f t="array" ref="B128">SUMPRODUCT(('TREASURY FILE'!B27:B5028=$B$4)*('TREASURY FILE'!D27:D5028="TURNOVER")*('TREASURY FILE'!A27:A5028=A128)*('TREASURY FILE'!F27:F5028))</f>
        <v>0</v>
      </c>
      <c r="C128" s="24" cm="1">
        <f t="array" ref="C128">SUMPRODUCT(('TREASURY FILE'!B27:B5028=$C$4)*('TREASURY FILE'!D27:D5028="TURNOVER")*('TREASURY FILE'!A27:A5028=A128)*('TREASURY FILE'!F27:F5028))</f>
        <v>139539815.67635855</v>
      </c>
      <c r="D128" s="24" cm="1">
        <f t="array" ref="D128">SUMPRODUCT(('TREASURY FILE'!B27:B5028=$D$4)*('TREASURY FILE'!D27:D5028="TURNOVER")*('TREASURY FILE'!A27:A5028=A128)*('TREASURY FILE'!F27:F5028))</f>
        <v>0</v>
      </c>
      <c r="E128" s="31">
        <f t="shared" si="5"/>
        <v>139539815.67635855</v>
      </c>
      <c r="G128" s="24" cm="1">
        <f t="array" ref="G128">SUMPRODUCT(('TREASURY FILE'!B27:B5028=$G$4)*('TREASURY FILE'!D27:D5028="INCOME")*('TREASURY FILE'!A27:A5028=A128)*('TREASURY FILE'!F27:F5028))</f>
        <v>0</v>
      </c>
      <c r="H128" s="24" cm="1">
        <f t="array" ref="H128">SUMPRODUCT(('TREASURY FILE'!B27:B5028=$H$4)*('TREASURY FILE'!D27:D5028="INCOME")*('TREASURY FILE'!A27:A5028=A128)*('TREASURY FILE'!F27:F5028))</f>
        <v>33105.112926462076</v>
      </c>
      <c r="I128" s="24" cm="1">
        <f t="array" ref="I128">SUMPRODUCT(('TREASURY FILE'!D32:D5028=$I$4)*('TREASURY FILE'!F32:F5028="INCOME")*('TREASURY FILE'!C32:C5028=C128)*('TREASURY FILE'!H32:H5028))</f>
        <v>0</v>
      </c>
      <c r="J128" s="31">
        <f t="shared" si="6"/>
        <v>33105.112926462076</v>
      </c>
      <c r="K128" s="33">
        <f t="shared" si="7"/>
        <v>2.3724492372302088E-4</v>
      </c>
    </row>
    <row r="129" spans="1:11" x14ac:dyDescent="0.3">
      <c r="A129" s="30">
        <v>45782</v>
      </c>
      <c r="B129" s="24" cm="1">
        <f t="array" ref="B129">SUMPRODUCT(('TREASURY FILE'!B28:B5029=$B$4)*('TREASURY FILE'!D28:D5029="TURNOVER")*('TREASURY FILE'!A28:A5029=A129)*('TREASURY FILE'!F28:F5029))</f>
        <v>0</v>
      </c>
      <c r="C129" s="24" cm="1">
        <f t="array" ref="C129">SUMPRODUCT(('TREASURY FILE'!B28:B5029=$C$4)*('TREASURY FILE'!D28:D5029="TURNOVER")*('TREASURY FILE'!A28:A5029=A129)*('TREASURY FILE'!F28:F5029))</f>
        <v>164745022.55538583</v>
      </c>
      <c r="D129" s="24" cm="1">
        <f t="array" ref="D129">SUMPRODUCT(('TREASURY FILE'!B28:B5029=$D$4)*('TREASURY FILE'!D28:D5029="TURNOVER")*('TREASURY FILE'!A28:A5029=A129)*('TREASURY FILE'!F28:F5029))</f>
        <v>0</v>
      </c>
      <c r="E129" s="31">
        <f t="shared" si="5"/>
        <v>164745022.55538583</v>
      </c>
      <c r="G129" s="24" cm="1">
        <f t="array" ref="G129">SUMPRODUCT(('TREASURY FILE'!B28:B5029=$G$4)*('TREASURY FILE'!D28:D5029="INCOME")*('TREASURY FILE'!A28:A5029=A129)*('TREASURY FILE'!F28:F5029))</f>
        <v>0</v>
      </c>
      <c r="H129" s="24" cm="1">
        <f t="array" ref="H129">SUMPRODUCT(('TREASURY FILE'!B28:B5029=$H$4)*('TREASURY FILE'!D28:D5029="INCOME")*('TREASURY FILE'!A28:A5029=A129)*('TREASURY FILE'!F28:F5029))</f>
        <v>39784.722183678896</v>
      </c>
      <c r="I129" s="24" cm="1">
        <f t="array" ref="I129">SUMPRODUCT(('TREASURY FILE'!D33:D5029=$I$4)*('TREASURY FILE'!F33:F5029="INCOME")*('TREASURY FILE'!C33:C5029=C129)*('TREASURY FILE'!H33:H5029))</f>
        <v>0</v>
      </c>
      <c r="J129" s="31">
        <f t="shared" si="6"/>
        <v>39784.722183678896</v>
      </c>
      <c r="K129" s="33">
        <f t="shared" si="7"/>
        <v>2.4149271138254646E-4</v>
      </c>
    </row>
    <row r="130" spans="1:11" x14ac:dyDescent="0.3">
      <c r="A130" s="30">
        <v>45783</v>
      </c>
      <c r="B130" s="24" cm="1">
        <f t="array" ref="B130">SUMPRODUCT(('TREASURY FILE'!B29:B5030=$B$4)*('TREASURY FILE'!D29:D5030="TURNOVER")*('TREASURY FILE'!A29:A5030=A130)*('TREASURY FILE'!F29:F5030))</f>
        <v>0</v>
      </c>
      <c r="C130" s="24" cm="1">
        <f t="array" ref="C130">SUMPRODUCT(('TREASURY FILE'!B29:B5030=$C$4)*('TREASURY FILE'!D29:D5030="TURNOVER")*('TREASURY FILE'!A29:A5030=A130)*('TREASURY FILE'!F29:F5030))</f>
        <v>178117740.27466002</v>
      </c>
      <c r="D130" s="24" cm="1">
        <f t="array" ref="D130">SUMPRODUCT(('TREASURY FILE'!B29:B5030=$D$4)*('TREASURY FILE'!D29:D5030="TURNOVER")*('TREASURY FILE'!A29:A5030=A130)*('TREASURY FILE'!F29:F5030))</f>
        <v>0</v>
      </c>
      <c r="E130" s="31">
        <f t="shared" si="5"/>
        <v>178117740.27466002</v>
      </c>
      <c r="G130" s="24" cm="1">
        <f t="array" ref="G130">SUMPRODUCT(('TREASURY FILE'!B29:B5030=$G$4)*('TREASURY FILE'!D29:D5030="INCOME")*('TREASURY FILE'!A29:A5030=A130)*('TREASURY FILE'!F29:F5030))</f>
        <v>0</v>
      </c>
      <c r="H130" s="24" cm="1">
        <f t="array" ref="H130">SUMPRODUCT(('TREASURY FILE'!B29:B5030=$H$4)*('TREASURY FILE'!D29:D5030="INCOME")*('TREASURY FILE'!A29:A5030=A130)*('TREASURY FILE'!F29:F5030))</f>
        <v>44166.906190051799</v>
      </c>
      <c r="I130" s="24" cm="1">
        <f t="array" ref="I130">SUMPRODUCT(('TREASURY FILE'!D34:D5030=$I$4)*('TREASURY FILE'!F34:F5030="INCOME")*('TREASURY FILE'!C34:C5030=C130)*('TREASURY FILE'!H34:H5030))</f>
        <v>0</v>
      </c>
      <c r="J130" s="31">
        <f t="shared" si="6"/>
        <v>44166.906190051799</v>
      </c>
      <c r="K130" s="33">
        <f t="shared" si="7"/>
        <v>2.4796466720241239E-4</v>
      </c>
    </row>
    <row r="131" spans="1:11" x14ac:dyDescent="0.3">
      <c r="A131" s="30">
        <v>45784</v>
      </c>
      <c r="B131" s="24" cm="1">
        <f t="array" ref="B131">SUMPRODUCT(('TREASURY FILE'!B30:B5031=$B$4)*('TREASURY FILE'!D30:D5031="TURNOVER")*('TREASURY FILE'!A30:A5031=A131)*('TREASURY FILE'!F30:F5031))</f>
        <v>0</v>
      </c>
      <c r="C131" s="24" cm="1">
        <f t="array" ref="C131">SUMPRODUCT(('TREASURY FILE'!B30:B5031=$C$4)*('TREASURY FILE'!D30:D5031="TURNOVER")*('TREASURY FILE'!A30:A5031=A131)*('TREASURY FILE'!F30:F5031))</f>
        <v>187769288.10682562</v>
      </c>
      <c r="D131" s="24" cm="1">
        <f t="array" ref="D131">SUMPRODUCT(('TREASURY FILE'!B30:B5031=$D$4)*('TREASURY FILE'!D30:D5031="TURNOVER")*('TREASURY FILE'!A30:A5031=A131)*('TREASURY FILE'!F30:F5031))</f>
        <v>953.22059182436669</v>
      </c>
      <c r="E131" s="31">
        <f t="shared" si="5"/>
        <v>187770241.32741743</v>
      </c>
      <c r="G131" s="24" cm="1">
        <f t="array" ref="G131">SUMPRODUCT(('TREASURY FILE'!B30:B5031=$G$4)*('TREASURY FILE'!D30:D5031="INCOME")*('TREASURY FILE'!A30:A5031=A131)*('TREASURY FILE'!F30:F5031))</f>
        <v>0</v>
      </c>
      <c r="H131" s="24" cm="1">
        <f t="array" ref="H131">SUMPRODUCT(('TREASURY FILE'!B30:B5031=$H$4)*('TREASURY FILE'!D30:D5031="INCOME")*('TREASURY FILE'!A30:A5031=A131)*('TREASURY FILE'!F30:F5031))</f>
        <v>46881.248776369808</v>
      </c>
      <c r="I131" s="24" cm="1">
        <f t="array" ref="I131">SUMPRODUCT(('TREASURY FILE'!D35:D5031=$I$4)*('TREASURY FILE'!F35:F5031="INCOME")*('TREASURY FILE'!C35:C5031=C131)*('TREASURY FILE'!H35:H5031))</f>
        <v>0</v>
      </c>
      <c r="J131" s="31">
        <f t="shared" si="6"/>
        <v>46881.248776369808</v>
      </c>
      <c r="K131" s="33">
        <f t="shared" si="7"/>
        <v>2.4967347565273861E-4</v>
      </c>
    </row>
    <row r="132" spans="1:11" x14ac:dyDescent="0.3">
      <c r="A132" s="30">
        <v>45785</v>
      </c>
      <c r="B132" s="24" cm="1">
        <f t="array" ref="B132">SUMPRODUCT(('TREASURY FILE'!B31:B5032=$B$4)*('TREASURY FILE'!D31:D5032="TURNOVER")*('TREASURY FILE'!A31:A5032=A132)*('TREASURY FILE'!F31:F5032))</f>
        <v>0</v>
      </c>
      <c r="C132" s="24" cm="1">
        <f t="array" ref="C132">SUMPRODUCT(('TREASURY FILE'!B31:B5032=$C$4)*('TREASURY FILE'!D31:D5032="TURNOVER")*('TREASURY FILE'!A31:A5032=A132)*('TREASURY FILE'!F31:F5032))</f>
        <v>361255285.93338066</v>
      </c>
      <c r="D132" s="24" cm="1">
        <f t="array" ref="D132">SUMPRODUCT(('TREASURY FILE'!B31:B5032=$D$4)*('TREASURY FILE'!D31:D5032="TURNOVER")*('TREASURY FILE'!A31:A5032=A132)*('TREASURY FILE'!F31:F5032))</f>
        <v>0</v>
      </c>
      <c r="E132" s="31">
        <f t="shared" si="5"/>
        <v>361255285.93338066</v>
      </c>
      <c r="G132" s="24" cm="1">
        <f t="array" ref="G132">SUMPRODUCT(('TREASURY FILE'!B31:B5032=$G$4)*('TREASURY FILE'!D31:D5032="INCOME")*('TREASURY FILE'!A31:A5032=A132)*('TREASURY FILE'!F31:F5032))</f>
        <v>0</v>
      </c>
      <c r="H132" s="24" cm="1">
        <f t="array" ref="H132">SUMPRODUCT(('TREASURY FILE'!B31:B5032=$H$4)*('TREASURY FILE'!D31:D5032="INCOME")*('TREASURY FILE'!A31:A5032=A132)*('TREASURY FILE'!F31:F5032))</f>
        <v>97995.538258146436</v>
      </c>
      <c r="I132" s="24" cm="1">
        <f t="array" ref="I132">SUMPRODUCT(('TREASURY FILE'!D36:D5032=$I$4)*('TREASURY FILE'!F36:F5032="INCOME")*('TREASURY FILE'!C36:C5032=C132)*('TREASURY FILE'!H36:H5032))</f>
        <v>0</v>
      </c>
      <c r="J132" s="31">
        <f t="shared" si="6"/>
        <v>97995.538258146436</v>
      </c>
      <c r="K132" s="33">
        <f t="shared" si="7"/>
        <v>2.7126395674724566E-4</v>
      </c>
    </row>
    <row r="133" spans="1:11" x14ac:dyDescent="0.3">
      <c r="A133" s="30">
        <v>45786</v>
      </c>
      <c r="B133" s="24" cm="1">
        <f t="array" ref="B133">SUMPRODUCT(('TREASURY FILE'!B32:B5033=$B$4)*('TREASURY FILE'!D32:D5033="TURNOVER")*('TREASURY FILE'!A32:A5033=A133)*('TREASURY FILE'!F32:F5033))</f>
        <v>0</v>
      </c>
      <c r="C133" s="24" cm="1">
        <f t="array" ref="C133">SUMPRODUCT(('TREASURY FILE'!B32:B5033=$C$4)*('TREASURY FILE'!D32:D5033="TURNOVER")*('TREASURY FILE'!A32:A5033=A133)*('TREASURY FILE'!F32:F5033))</f>
        <v>576126672.2976644</v>
      </c>
      <c r="D133" s="24" cm="1">
        <f t="array" ref="D133">SUMPRODUCT(('TREASURY FILE'!B32:B5033=$D$4)*('TREASURY FILE'!D32:D5033="TURNOVER")*('TREASURY FILE'!A32:A5033=A133)*('TREASURY FILE'!F32:F5033))</f>
        <v>0</v>
      </c>
      <c r="E133" s="31">
        <f t="shared" si="5"/>
        <v>576126672.2976644</v>
      </c>
      <c r="G133" s="24" cm="1">
        <f t="array" ref="G133">SUMPRODUCT(('TREASURY FILE'!B32:B5033=$G$4)*('TREASURY FILE'!D32:D5033="INCOME")*('TREASURY FILE'!A32:A5033=A133)*('TREASURY FILE'!F32:F5033))</f>
        <v>0</v>
      </c>
      <c r="H133" s="24" cm="1">
        <f t="array" ref="H133">SUMPRODUCT(('TREASURY FILE'!B32:B5033=$H$4)*('TREASURY FILE'!D32:D5033="INCOME")*('TREASURY FILE'!A32:A5033=A133)*('TREASURY FILE'!F32:F5033))</f>
        <v>157168.86736432216</v>
      </c>
      <c r="I133" s="24" cm="1">
        <f t="array" ref="I133">SUMPRODUCT(('TREASURY FILE'!D37:D5033=$I$4)*('TREASURY FILE'!F37:F5033="INCOME")*('TREASURY FILE'!C37:C5033=C133)*('TREASURY FILE'!H37:H5033))</f>
        <v>0</v>
      </c>
      <c r="J133" s="31">
        <f t="shared" si="6"/>
        <v>157168.86736432216</v>
      </c>
      <c r="K133" s="33">
        <f t="shared" si="7"/>
        <v>2.7280262296746873E-4</v>
      </c>
    </row>
    <row r="134" spans="1:11" x14ac:dyDescent="0.3">
      <c r="A134" s="30">
        <v>45787</v>
      </c>
      <c r="B134" s="24" cm="1">
        <f t="array" ref="B134">SUMPRODUCT(('TREASURY FILE'!B33:B5034=$B$4)*('TREASURY FILE'!D33:D5034="TURNOVER")*('TREASURY FILE'!A33:A5034=A134)*('TREASURY FILE'!F33:F5034))</f>
        <v>0</v>
      </c>
      <c r="C134" s="24" cm="1">
        <f t="array" ref="C134">SUMPRODUCT(('TREASURY FILE'!B33:B5034=$C$4)*('TREASURY FILE'!D33:D5034="TURNOVER")*('TREASURY FILE'!A33:A5034=A134)*('TREASURY FILE'!F33:F5034))</f>
        <v>520611027.25681096</v>
      </c>
      <c r="D134" s="24" cm="1">
        <f t="array" ref="D134">SUMPRODUCT(('TREASURY FILE'!B33:B5034=$D$4)*('TREASURY FILE'!D33:D5034="TURNOVER")*('TREASURY FILE'!A33:A5034=A134)*('TREASURY FILE'!F33:F5034))</f>
        <v>105</v>
      </c>
      <c r="E134" s="31">
        <f t="shared" ref="E134:E197" si="8">SUM(B134:D134)</f>
        <v>520611132.25681096</v>
      </c>
      <c r="G134" s="24" cm="1">
        <f t="array" ref="G134">SUMPRODUCT(('TREASURY FILE'!B33:B5034=$G$4)*('TREASURY FILE'!D33:D5034="INCOME")*('TREASURY FILE'!A33:A5034=A134)*('TREASURY FILE'!F33:F5034))</f>
        <v>0</v>
      </c>
      <c r="H134" s="24" cm="1">
        <f t="array" ref="H134">SUMPRODUCT(('TREASURY FILE'!B33:B5034=$H$4)*('TREASURY FILE'!D33:D5034="INCOME")*('TREASURY FILE'!A33:A5034=A134)*('TREASURY FILE'!F33:F5034))</f>
        <v>139123.32427801649</v>
      </c>
      <c r="I134" s="24" cm="1">
        <f t="array" ref="I134">SUMPRODUCT(('TREASURY FILE'!D38:D5034=$I$4)*('TREASURY FILE'!F38:F5034="INCOME")*('TREASURY FILE'!C38:C5034=C134)*('TREASURY FILE'!H38:H5034))</f>
        <v>0</v>
      </c>
      <c r="J134" s="31">
        <f t="shared" ref="J134:J197" si="9">SUM(G134:I134)</f>
        <v>139123.32427801649</v>
      </c>
      <c r="K134" s="33">
        <f t="shared" ref="K134:K197" si="10">+J134/E134</f>
        <v>2.6723079023479023E-4</v>
      </c>
    </row>
    <row r="135" spans="1:11" x14ac:dyDescent="0.3">
      <c r="A135" s="30">
        <v>45788</v>
      </c>
      <c r="B135" s="24" cm="1">
        <f t="array" ref="B135">SUMPRODUCT(('TREASURY FILE'!B34:B5035=$B$4)*('TREASURY FILE'!D34:D5035="TURNOVER")*('TREASURY FILE'!A34:A5035=A135)*('TREASURY FILE'!F34:F5035))</f>
        <v>0</v>
      </c>
      <c r="C135" s="24" cm="1">
        <f t="array" ref="C135">SUMPRODUCT(('TREASURY FILE'!B34:B5035=$C$4)*('TREASURY FILE'!D34:D5035="TURNOVER")*('TREASURY FILE'!A34:A5035=A135)*('TREASURY FILE'!F34:F5035))</f>
        <v>468372310.07321703</v>
      </c>
      <c r="D135" s="24" cm="1">
        <f t="array" ref="D135">SUMPRODUCT(('TREASURY FILE'!B34:B5035=$D$4)*('TREASURY FILE'!D34:D5035="TURNOVER")*('TREASURY FILE'!A34:A5035=A135)*('TREASURY FILE'!F34:F5035))</f>
        <v>0</v>
      </c>
      <c r="E135" s="31">
        <f t="shared" si="8"/>
        <v>468372310.07321703</v>
      </c>
      <c r="G135" s="24" cm="1">
        <f t="array" ref="G135">SUMPRODUCT(('TREASURY FILE'!B34:B5035=$G$4)*('TREASURY FILE'!D34:D5035="INCOME")*('TREASURY FILE'!A34:A5035=A135)*('TREASURY FILE'!F34:F5035))</f>
        <v>0</v>
      </c>
      <c r="H135" s="24" cm="1">
        <f t="array" ref="H135">SUMPRODUCT(('TREASURY FILE'!B34:B5035=$H$4)*('TREASURY FILE'!D34:D5035="INCOME")*('TREASURY FILE'!A34:A5035=A135)*('TREASURY FILE'!F34:F5035))</f>
        <v>125365.13477331496</v>
      </c>
      <c r="I135" s="24" cm="1">
        <f t="array" ref="I135">SUMPRODUCT(('TREASURY FILE'!D39:D5035=$I$4)*('TREASURY FILE'!F39:F5035="INCOME")*('TREASURY FILE'!C39:C5035=C135)*('TREASURY FILE'!H39:H5035))</f>
        <v>0</v>
      </c>
      <c r="J135" s="31">
        <f t="shared" si="9"/>
        <v>125365.13477331496</v>
      </c>
      <c r="K135" s="33">
        <f t="shared" si="10"/>
        <v>2.6766128585551437E-4</v>
      </c>
    </row>
    <row r="136" spans="1:11" x14ac:dyDescent="0.3">
      <c r="A136" s="30">
        <v>45789</v>
      </c>
      <c r="B136" s="24" cm="1">
        <f t="array" ref="B136">SUMPRODUCT(('TREASURY FILE'!B35:B5036=$B$4)*('TREASURY FILE'!D35:D5036="TURNOVER")*('TREASURY FILE'!A35:A5036=A136)*('TREASURY FILE'!F35:F5036))</f>
        <v>0</v>
      </c>
      <c r="C136" s="24" cm="1">
        <f t="array" ref="C136">SUMPRODUCT(('TREASURY FILE'!B35:B5036=$C$4)*('TREASURY FILE'!D35:D5036="TURNOVER")*('TREASURY FILE'!A35:A5036=A136)*('TREASURY FILE'!F35:F5036))</f>
        <v>532371471.91125375</v>
      </c>
      <c r="D136" s="24" cm="1">
        <f t="array" ref="D136">SUMPRODUCT(('TREASURY FILE'!B35:B5036=$D$4)*('TREASURY FILE'!D35:D5036="TURNOVER")*('TREASURY FILE'!A35:A5036=A136)*('TREASURY FILE'!F35:F5036))</f>
        <v>0</v>
      </c>
      <c r="E136" s="31">
        <f t="shared" si="8"/>
        <v>532371471.91125375</v>
      </c>
      <c r="G136" s="24" cm="1">
        <f t="array" ref="G136">SUMPRODUCT(('TREASURY FILE'!B35:B5036=$G$4)*('TREASURY FILE'!D35:D5036="INCOME")*('TREASURY FILE'!A35:A5036=A136)*('TREASURY FILE'!F35:F5036))</f>
        <v>0</v>
      </c>
      <c r="H136" s="24" cm="1">
        <f t="array" ref="H136">SUMPRODUCT(('TREASURY FILE'!B35:B5036=$H$4)*('TREASURY FILE'!D35:D5036="INCOME")*('TREASURY FILE'!A35:A5036=A136)*('TREASURY FILE'!F35:F5036))</f>
        <v>143883.71419111578</v>
      </c>
      <c r="I136" s="24" cm="1">
        <f t="array" ref="I136">SUMPRODUCT(('TREASURY FILE'!D40:D5036=$I$4)*('TREASURY FILE'!F40:F5036="INCOME")*('TREASURY FILE'!C40:C5036=C136)*('TREASURY FILE'!H40:H5036))</f>
        <v>0</v>
      </c>
      <c r="J136" s="31">
        <f t="shared" si="9"/>
        <v>143883.71419111578</v>
      </c>
      <c r="K136" s="33">
        <f t="shared" si="10"/>
        <v>2.7026939229963316E-4</v>
      </c>
    </row>
    <row r="137" spans="1:11" x14ac:dyDescent="0.3">
      <c r="A137" s="30">
        <v>45790</v>
      </c>
      <c r="B137" s="24" cm="1">
        <f t="array" ref="B137">SUMPRODUCT(('TREASURY FILE'!B36:B5037=$B$4)*('TREASURY FILE'!D36:D5037="TURNOVER")*('TREASURY FILE'!A36:A5037=A137)*('TREASURY FILE'!F36:F5037))</f>
        <v>0</v>
      </c>
      <c r="C137" s="24" cm="1">
        <f t="array" ref="C137">SUMPRODUCT(('TREASURY FILE'!B36:B5037=$C$4)*('TREASURY FILE'!D36:D5037="TURNOVER")*('TREASURY FILE'!A36:A5037=A137)*('TREASURY FILE'!F36:F5037))</f>
        <v>386872536.61460662</v>
      </c>
      <c r="D137" s="24" cm="1">
        <f t="array" ref="D137">SUMPRODUCT(('TREASURY FILE'!B36:B5037=$D$4)*('TREASURY FILE'!D36:D5037="TURNOVER")*('TREASURY FILE'!A36:A5037=A137)*('TREASURY FILE'!F36:F5037))</f>
        <v>0</v>
      </c>
      <c r="E137" s="31">
        <f t="shared" si="8"/>
        <v>386872536.61460662</v>
      </c>
      <c r="G137" s="24" cm="1">
        <f t="array" ref="G137">SUMPRODUCT(('TREASURY FILE'!B36:B5037=$G$4)*('TREASURY FILE'!D36:D5037="INCOME")*('TREASURY FILE'!A36:A5037=A137)*('TREASURY FILE'!F36:F5037))</f>
        <v>0</v>
      </c>
      <c r="H137" s="24" cm="1">
        <f t="array" ref="H137">SUMPRODUCT(('TREASURY FILE'!B36:B5037=$H$4)*('TREASURY FILE'!D36:D5037="INCOME")*('TREASURY FILE'!A36:A5037=A137)*('TREASURY FILE'!F36:F5037))</f>
        <v>104070.09154501754</v>
      </c>
      <c r="I137" s="24" cm="1">
        <f t="array" ref="I137">SUMPRODUCT(('TREASURY FILE'!D41:D5037=$I$4)*('TREASURY FILE'!F41:F5037="INCOME")*('TREASURY FILE'!C41:C5037=C137)*('TREASURY FILE'!H41:H5037))</f>
        <v>0</v>
      </c>
      <c r="J137" s="31">
        <f t="shared" si="9"/>
        <v>104070.09154501754</v>
      </c>
      <c r="K137" s="33">
        <f t="shared" si="10"/>
        <v>2.6900356498732225E-4</v>
      </c>
    </row>
    <row r="138" spans="1:11" x14ac:dyDescent="0.3">
      <c r="A138" s="30">
        <v>45791</v>
      </c>
      <c r="B138" s="24" cm="1">
        <f t="array" ref="B138">SUMPRODUCT(('TREASURY FILE'!B37:B5038=$B$4)*('TREASURY FILE'!D37:D5038="TURNOVER")*('TREASURY FILE'!A37:A5038=A138)*('TREASURY FILE'!F37:F5038))</f>
        <v>0</v>
      </c>
      <c r="C138" s="24" cm="1">
        <f t="array" ref="C138">SUMPRODUCT(('TREASURY FILE'!B37:B5038=$C$4)*('TREASURY FILE'!D37:D5038="TURNOVER")*('TREASURY FILE'!A37:A5038=A138)*('TREASURY FILE'!F37:F5038))</f>
        <v>354247218.93864572</v>
      </c>
      <c r="D138" s="24" cm="1">
        <f t="array" ref="D138">SUMPRODUCT(('TREASURY FILE'!B37:B5038=$D$4)*('TREASURY FILE'!D37:D5038="TURNOVER")*('TREASURY FILE'!A37:A5038=A138)*('TREASURY FILE'!F37:F5038))</f>
        <v>7875</v>
      </c>
      <c r="E138" s="31">
        <f t="shared" si="8"/>
        <v>354255093.93864572</v>
      </c>
      <c r="G138" s="24" cm="1">
        <f t="array" ref="G138">SUMPRODUCT(('TREASURY FILE'!B37:B5038=$G$4)*('TREASURY FILE'!D37:D5038="INCOME")*('TREASURY FILE'!A37:A5038=A138)*('TREASURY FILE'!F37:F5038))</f>
        <v>0</v>
      </c>
      <c r="H138" s="24" cm="1">
        <f t="array" ref="H138">SUMPRODUCT(('TREASURY FILE'!B37:B5038=$H$4)*('TREASURY FILE'!D37:D5038="INCOME")*('TREASURY FILE'!A37:A5038=A138)*('TREASURY FILE'!F37:F5038))</f>
        <v>95312.234741148815</v>
      </c>
      <c r="I138" s="24" cm="1">
        <f t="array" ref="I138">SUMPRODUCT(('TREASURY FILE'!D42:D5038=$I$4)*('TREASURY FILE'!F42:F5038="INCOME")*('TREASURY FILE'!C42:C5038=C138)*('TREASURY FILE'!H42:H5038))</f>
        <v>0</v>
      </c>
      <c r="J138" s="31">
        <f t="shared" si="9"/>
        <v>95312.234741148815</v>
      </c>
      <c r="K138" s="33">
        <f t="shared" si="10"/>
        <v>2.6904972256420442E-4</v>
      </c>
    </row>
    <row r="139" spans="1:11" x14ac:dyDescent="0.3">
      <c r="A139" s="30">
        <v>45792</v>
      </c>
      <c r="B139" s="24" cm="1">
        <f t="array" ref="B139">SUMPRODUCT(('TREASURY FILE'!B38:B5039=$B$4)*('TREASURY FILE'!D38:D5039="TURNOVER")*('TREASURY FILE'!A38:A5039=A139)*('TREASURY FILE'!F38:F5039))</f>
        <v>0</v>
      </c>
      <c r="C139" s="24" cm="1">
        <f t="array" ref="C139">SUMPRODUCT(('TREASURY FILE'!B38:B5039=$C$4)*('TREASURY FILE'!D38:D5039="TURNOVER")*('TREASURY FILE'!A38:A5039=A139)*('TREASURY FILE'!F38:F5039))</f>
        <v>297105611.2370615</v>
      </c>
      <c r="D139" s="24" cm="1">
        <f t="array" ref="D139">SUMPRODUCT(('TREASURY FILE'!B38:B5039=$D$4)*('TREASURY FILE'!D38:D5039="TURNOVER")*('TREASURY FILE'!A38:A5039=A139)*('TREASURY FILE'!F38:F5039))</f>
        <v>0</v>
      </c>
      <c r="E139" s="31">
        <f t="shared" si="8"/>
        <v>297105611.2370615</v>
      </c>
      <c r="G139" s="24" cm="1">
        <f t="array" ref="G139">SUMPRODUCT(('TREASURY FILE'!B38:B5039=$G$4)*('TREASURY FILE'!D38:D5039="INCOME")*('TREASURY FILE'!A38:A5039=A139)*('TREASURY FILE'!F38:F5039))</f>
        <v>0</v>
      </c>
      <c r="H139" s="24" cm="1">
        <f t="array" ref="H139">SUMPRODUCT(('TREASURY FILE'!B38:B5039=$H$4)*('TREASURY FILE'!D38:D5039="INCOME")*('TREASURY FILE'!A38:A5039=A139)*('TREASURY FILE'!F38:F5039))</f>
        <v>78618.120313407504</v>
      </c>
      <c r="I139" s="24" cm="1">
        <f t="array" ref="I139">SUMPRODUCT(('TREASURY FILE'!D43:D5039=$I$4)*('TREASURY FILE'!F43:F5039="INCOME")*('TREASURY FILE'!C43:C5039=C139)*('TREASURY FILE'!H43:H5039))</f>
        <v>0</v>
      </c>
      <c r="J139" s="31">
        <f t="shared" si="9"/>
        <v>78618.120313407504</v>
      </c>
      <c r="K139" s="33">
        <f t="shared" si="10"/>
        <v>2.6461338103331164E-4</v>
      </c>
    </row>
    <row r="140" spans="1:11" x14ac:dyDescent="0.3">
      <c r="A140" s="30">
        <v>45793</v>
      </c>
      <c r="B140" s="24" cm="1">
        <f t="array" ref="B140">SUMPRODUCT(('TREASURY FILE'!B39:B5040=$B$4)*('TREASURY FILE'!D39:D5040="TURNOVER")*('TREASURY FILE'!A39:A5040=A140)*('TREASURY FILE'!F39:F5040))</f>
        <v>0</v>
      </c>
      <c r="C140" s="24" cm="1">
        <f t="array" ref="C140">SUMPRODUCT(('TREASURY FILE'!B39:B5040=$C$4)*('TREASURY FILE'!D39:D5040="TURNOVER")*('TREASURY FILE'!A39:A5040=A140)*('TREASURY FILE'!F39:F5040))</f>
        <v>245604525.98813719</v>
      </c>
      <c r="D140" s="24" cm="1">
        <f t="array" ref="D140">SUMPRODUCT(('TREASURY FILE'!B39:B5040=$D$4)*('TREASURY FILE'!D39:D5040="TURNOVER")*('TREASURY FILE'!A39:A5040=A140)*('TREASURY FILE'!F39:F5040))</f>
        <v>0</v>
      </c>
      <c r="E140" s="31">
        <f t="shared" si="8"/>
        <v>245604525.98813719</v>
      </c>
      <c r="G140" s="24" cm="1">
        <f t="array" ref="G140">SUMPRODUCT(('TREASURY FILE'!B39:B5040=$G$4)*('TREASURY FILE'!D39:D5040="INCOME")*('TREASURY FILE'!A39:A5040=A140)*('TREASURY FILE'!F39:F5040))</f>
        <v>0</v>
      </c>
      <c r="H140" s="24" cm="1">
        <f t="array" ref="H140">SUMPRODUCT(('TREASURY FILE'!B39:B5040=$H$4)*('TREASURY FILE'!D39:D5040="INCOME")*('TREASURY FILE'!A39:A5040=A140)*('TREASURY FILE'!F39:F5040))</f>
        <v>67107.551922921877</v>
      </c>
      <c r="I140" s="24" cm="1">
        <f t="array" ref="I140">SUMPRODUCT(('TREASURY FILE'!D44:D5040=$I$4)*('TREASURY FILE'!F44:F5040="INCOME")*('TREASURY FILE'!C44:C5040=C140)*('TREASURY FILE'!H44:H5040))</f>
        <v>0</v>
      </c>
      <c r="J140" s="31">
        <f t="shared" si="9"/>
        <v>67107.551922921877</v>
      </c>
      <c r="K140" s="33">
        <f t="shared" si="10"/>
        <v>2.7323418268832391E-4</v>
      </c>
    </row>
    <row r="141" spans="1:11" x14ac:dyDescent="0.3">
      <c r="A141" s="30">
        <v>45794</v>
      </c>
      <c r="B141" s="24" cm="1">
        <f t="array" ref="B141">SUMPRODUCT(('TREASURY FILE'!B40:B5041=$B$4)*('TREASURY FILE'!D40:D5041="TURNOVER")*('TREASURY FILE'!A40:A5041=A141)*('TREASURY FILE'!F40:F5041))</f>
        <v>0</v>
      </c>
      <c r="C141" s="24" cm="1">
        <f t="array" ref="C141">SUMPRODUCT(('TREASURY FILE'!B40:B5041=$C$4)*('TREASURY FILE'!D40:D5041="TURNOVER")*('TREASURY FILE'!A40:A5041=A141)*('TREASURY FILE'!F40:F5041))</f>
        <v>165130483.67358342</v>
      </c>
      <c r="D141" s="24" cm="1">
        <f t="array" ref="D141">SUMPRODUCT(('TREASURY FILE'!B40:B5041=$D$4)*('TREASURY FILE'!D40:D5041="TURNOVER")*('TREASURY FILE'!A40:A5041=A141)*('TREASURY FILE'!F40:F5041))</f>
        <v>0</v>
      </c>
      <c r="E141" s="31">
        <f t="shared" si="8"/>
        <v>165130483.67358342</v>
      </c>
      <c r="G141" s="24" cm="1">
        <f t="array" ref="G141">SUMPRODUCT(('TREASURY FILE'!B40:B5041=$G$4)*('TREASURY FILE'!D40:D5041="INCOME")*('TREASURY FILE'!A40:A5041=A141)*('TREASURY FILE'!F40:F5041))</f>
        <v>0</v>
      </c>
      <c r="H141" s="24" cm="1">
        <f t="array" ref="H141">SUMPRODUCT(('TREASURY FILE'!B40:B5041=$H$4)*('TREASURY FILE'!D40:D5041="INCOME")*('TREASURY FILE'!A40:A5041=A141)*('TREASURY FILE'!F40:F5041))</f>
        <v>42518.941496809435</v>
      </c>
      <c r="I141" s="24" cm="1">
        <f t="array" ref="I141">SUMPRODUCT(('TREASURY FILE'!D45:D5041=$I$4)*('TREASURY FILE'!F45:F5041="INCOME")*('TREASURY FILE'!C45:C5041=C141)*('TREASURY FILE'!H45:H5041))</f>
        <v>0</v>
      </c>
      <c r="J141" s="31">
        <f t="shared" si="9"/>
        <v>42518.941496809435</v>
      </c>
      <c r="K141" s="33">
        <f t="shared" si="10"/>
        <v>2.5748693124921405E-4</v>
      </c>
    </row>
    <row r="142" spans="1:11" x14ac:dyDescent="0.3">
      <c r="A142" s="30">
        <v>45795</v>
      </c>
      <c r="B142" s="24" cm="1">
        <f t="array" ref="B142">SUMPRODUCT(('TREASURY FILE'!B41:B5042=$B$4)*('TREASURY FILE'!D41:D5042="TURNOVER")*('TREASURY FILE'!A41:A5042=A142)*('TREASURY FILE'!F41:F5042))</f>
        <v>0</v>
      </c>
      <c r="C142" s="24" cm="1">
        <f t="array" ref="C142">SUMPRODUCT(('TREASURY FILE'!B41:B5042=$C$4)*('TREASURY FILE'!D41:D5042="TURNOVER")*('TREASURY FILE'!A41:A5042=A142)*('TREASURY FILE'!F41:F5042))</f>
        <v>263446381.81544906</v>
      </c>
      <c r="D142" s="24" cm="1">
        <f t="array" ref="D142">SUMPRODUCT(('TREASURY FILE'!B41:B5042=$D$4)*('TREASURY FILE'!D41:D5042="TURNOVER")*('TREASURY FILE'!A41:A5042=A142)*('TREASURY FILE'!F41:F5042))</f>
        <v>0</v>
      </c>
      <c r="E142" s="31">
        <f t="shared" si="8"/>
        <v>263446381.81544906</v>
      </c>
      <c r="G142" s="24" cm="1">
        <f t="array" ref="G142">SUMPRODUCT(('TREASURY FILE'!B41:B5042=$G$4)*('TREASURY FILE'!D41:D5042="INCOME")*('TREASURY FILE'!A41:A5042=A142)*('TREASURY FILE'!F41:F5042))</f>
        <v>0</v>
      </c>
      <c r="H142" s="24" cm="1">
        <f t="array" ref="H142">SUMPRODUCT(('TREASURY FILE'!B41:B5042=$H$4)*('TREASURY FILE'!D41:D5042="INCOME")*('TREASURY FILE'!A41:A5042=A142)*('TREASURY FILE'!F41:F5042))</f>
        <v>70426.809967395093</v>
      </c>
      <c r="I142" s="24" cm="1">
        <f t="array" ref="I142">SUMPRODUCT(('TREASURY FILE'!D46:D5042=$I$4)*('TREASURY FILE'!F46:F5042="INCOME")*('TREASURY FILE'!C46:C5042=C142)*('TREASURY FILE'!H46:H5042))</f>
        <v>0</v>
      </c>
      <c r="J142" s="31">
        <f t="shared" si="9"/>
        <v>70426.809967395093</v>
      </c>
      <c r="K142" s="33">
        <f t="shared" si="10"/>
        <v>2.6732881841865977E-4</v>
      </c>
    </row>
    <row r="143" spans="1:11" x14ac:dyDescent="0.3">
      <c r="A143" s="30">
        <v>45796</v>
      </c>
      <c r="B143" s="24" cm="1">
        <f t="array" ref="B143">SUMPRODUCT(('TREASURY FILE'!B42:B5043=$B$4)*('TREASURY FILE'!D42:D5043="TURNOVER")*('TREASURY FILE'!A42:A5043=A143)*('TREASURY FILE'!F42:F5043))</f>
        <v>0</v>
      </c>
      <c r="C143" s="24" cm="1">
        <f t="array" ref="C143">SUMPRODUCT(('TREASURY FILE'!B42:B5043=$C$4)*('TREASURY FILE'!D42:D5043="TURNOVER")*('TREASURY FILE'!A42:A5043=A143)*('TREASURY FILE'!F42:F5043))</f>
        <v>211502141.81578362</v>
      </c>
      <c r="D143" s="24" cm="1">
        <f t="array" ref="D143">SUMPRODUCT(('TREASURY FILE'!B42:B5043=$D$4)*('TREASURY FILE'!D42:D5043="TURNOVER")*('TREASURY FILE'!A42:A5043=A143)*('TREASURY FILE'!F42:F5043))</f>
        <v>0</v>
      </c>
      <c r="E143" s="31">
        <f t="shared" si="8"/>
        <v>211502141.81578362</v>
      </c>
      <c r="G143" s="24" cm="1">
        <f t="array" ref="G143">SUMPRODUCT(('TREASURY FILE'!B42:B5043=$G$4)*('TREASURY FILE'!D42:D5043="INCOME")*('TREASURY FILE'!A42:A5043=A143)*('TREASURY FILE'!F42:F5043))</f>
        <v>0</v>
      </c>
      <c r="H143" s="24" cm="1">
        <f t="array" ref="H143">SUMPRODUCT(('TREASURY FILE'!B42:B5043=$H$4)*('TREASURY FILE'!D42:D5043="INCOME")*('TREASURY FILE'!A42:A5043=A143)*('TREASURY FILE'!F42:F5043))</f>
        <v>56340.796168360896</v>
      </c>
      <c r="I143" s="24" cm="1">
        <f t="array" ref="I143">SUMPRODUCT(('TREASURY FILE'!D47:D5043=$I$4)*('TREASURY FILE'!F47:F5043="INCOME")*('TREASURY FILE'!C47:C5043=C143)*('TREASURY FILE'!H47:H5043))</f>
        <v>0</v>
      </c>
      <c r="J143" s="31">
        <f t="shared" si="9"/>
        <v>56340.796168360896</v>
      </c>
      <c r="K143" s="33">
        <f t="shared" si="10"/>
        <v>2.6638404549790898E-4</v>
      </c>
    </row>
    <row r="144" spans="1:11" x14ac:dyDescent="0.3">
      <c r="A144" s="30">
        <v>45797</v>
      </c>
      <c r="B144" s="24" cm="1">
        <f t="array" ref="B144">SUMPRODUCT(('TREASURY FILE'!B43:B5044=$B$4)*('TREASURY FILE'!D43:D5044="TURNOVER")*('TREASURY FILE'!A43:A5044=A144)*('TREASURY FILE'!F43:F5044))</f>
        <v>0</v>
      </c>
      <c r="C144" s="24" cm="1">
        <f t="array" ref="C144">SUMPRODUCT(('TREASURY FILE'!B43:B5044=$C$4)*('TREASURY FILE'!D43:D5044="TURNOVER")*('TREASURY FILE'!A43:A5044=A144)*('TREASURY FILE'!F43:F5044))</f>
        <v>168903119.91034335</v>
      </c>
      <c r="D144" s="24" cm="1">
        <f t="array" ref="D144">SUMPRODUCT(('TREASURY FILE'!B43:B5044=$D$4)*('TREASURY FILE'!D43:D5044="TURNOVER")*('TREASURY FILE'!A43:A5044=A144)*('TREASURY FILE'!F43:F5044))</f>
        <v>131</v>
      </c>
      <c r="E144" s="31">
        <f t="shared" si="8"/>
        <v>168903250.91034335</v>
      </c>
      <c r="G144" s="24" cm="1">
        <f t="array" ref="G144">SUMPRODUCT(('TREASURY FILE'!B43:B5044=$G$4)*('TREASURY FILE'!D43:D5044="INCOME")*('TREASURY FILE'!A43:A5044=A144)*('TREASURY FILE'!F43:F5044))</f>
        <v>0</v>
      </c>
      <c r="H144" s="24" cm="1">
        <f t="array" ref="H144">SUMPRODUCT(('TREASURY FILE'!B43:B5044=$H$4)*('TREASURY FILE'!D43:D5044="INCOME")*('TREASURY FILE'!A43:A5044=A144)*('TREASURY FILE'!F43:F5044))</f>
        <v>44480.404798132004</v>
      </c>
      <c r="I144" s="24" cm="1">
        <f t="array" ref="I144">SUMPRODUCT(('TREASURY FILE'!D48:D5044=$I$4)*('TREASURY FILE'!F48:F5044="INCOME")*('TREASURY FILE'!C48:C5044=C144)*('TREASURY FILE'!H48:H5044))</f>
        <v>0</v>
      </c>
      <c r="J144" s="31">
        <f t="shared" si="9"/>
        <v>44480.404798132004</v>
      </c>
      <c r="K144" s="33">
        <f t="shared" si="10"/>
        <v>2.6334842318543022E-4</v>
      </c>
    </row>
    <row r="145" spans="1:11" x14ac:dyDescent="0.3">
      <c r="A145" s="30">
        <v>45798</v>
      </c>
      <c r="B145" s="24" cm="1">
        <f t="array" ref="B145">SUMPRODUCT(('TREASURY FILE'!B44:B5045=$B$4)*('TREASURY FILE'!D44:D5045="TURNOVER")*('TREASURY FILE'!A44:A5045=A145)*('TREASURY FILE'!F44:F5045))</f>
        <v>0</v>
      </c>
      <c r="C145" s="24" cm="1">
        <f t="array" ref="C145">SUMPRODUCT(('TREASURY FILE'!B44:B5045=$C$4)*('TREASURY FILE'!D44:D5045="TURNOVER")*('TREASURY FILE'!A44:A5045=A145)*('TREASURY FILE'!F44:F5045))</f>
        <v>329997162.57063526</v>
      </c>
      <c r="D145" s="24" cm="1">
        <f t="array" ref="D145">SUMPRODUCT(('TREASURY FILE'!B44:B5045=$D$4)*('TREASURY FILE'!D44:D5045="TURNOVER")*('TREASURY FILE'!A44:A5045=A145)*('TREASURY FILE'!F44:F5045))</f>
        <v>217087</v>
      </c>
      <c r="E145" s="31">
        <f t="shared" si="8"/>
        <v>330214249.57063526</v>
      </c>
      <c r="G145" s="24" cm="1">
        <f t="array" ref="G145">SUMPRODUCT(('TREASURY FILE'!B44:B5045=$G$4)*('TREASURY FILE'!D44:D5045="INCOME")*('TREASURY FILE'!A44:A5045=A145)*('TREASURY FILE'!F44:F5045))</f>
        <v>0</v>
      </c>
      <c r="H145" s="24" cm="1">
        <f t="array" ref="H145">SUMPRODUCT(('TREASURY FILE'!B44:B5045=$H$4)*('TREASURY FILE'!D44:D5045="INCOME")*('TREASURY FILE'!A44:A5045=A145)*('TREASURY FILE'!F44:F5045))</f>
        <v>91287.058643591867</v>
      </c>
      <c r="I145" s="24" cm="1">
        <f t="array" ref="I145">SUMPRODUCT(('TREASURY FILE'!D49:D5045=$I$4)*('TREASURY FILE'!F49:F5045="INCOME")*('TREASURY FILE'!C49:C5045=C145)*('TREASURY FILE'!H49:H5045))</f>
        <v>0</v>
      </c>
      <c r="J145" s="31">
        <f t="shared" si="9"/>
        <v>91287.058643591867</v>
      </c>
      <c r="K145" s="33">
        <f t="shared" si="10"/>
        <v>2.7644796904521498E-4</v>
      </c>
    </row>
    <row r="146" spans="1:11" x14ac:dyDescent="0.3">
      <c r="A146" s="30">
        <v>45799</v>
      </c>
      <c r="B146" s="24" cm="1">
        <f t="array" ref="B146">SUMPRODUCT(('TREASURY FILE'!B45:B5046=$B$4)*('TREASURY FILE'!D45:D5046="TURNOVER")*('TREASURY FILE'!A45:A5046=A146)*('TREASURY FILE'!F45:F5046))</f>
        <v>0</v>
      </c>
      <c r="C146" s="24" cm="1">
        <f t="array" ref="C146">SUMPRODUCT(('TREASURY FILE'!B45:B5046=$C$4)*('TREASURY FILE'!D45:D5046="TURNOVER")*('TREASURY FILE'!A45:A5046=A146)*('TREASURY FILE'!F45:F5046))</f>
        <v>336465272.66407067</v>
      </c>
      <c r="D146" s="24" cm="1">
        <f t="array" ref="D146">SUMPRODUCT(('TREASURY FILE'!B45:B5046=$D$4)*('TREASURY FILE'!D45:D5046="TURNOVER")*('TREASURY FILE'!A45:A5046=A146)*('TREASURY FILE'!F45:F5046))</f>
        <v>109500</v>
      </c>
      <c r="E146" s="31">
        <f t="shared" si="8"/>
        <v>336574772.66407067</v>
      </c>
      <c r="G146" s="24" cm="1">
        <f t="array" ref="G146">SUMPRODUCT(('TREASURY FILE'!B45:B5046=$G$4)*('TREASURY FILE'!D45:D5046="INCOME")*('TREASURY FILE'!A45:A5046=A146)*('TREASURY FILE'!F45:F5046))</f>
        <v>0</v>
      </c>
      <c r="H146" s="24" cm="1">
        <f t="array" ref="H146">SUMPRODUCT(('TREASURY FILE'!B45:B5046=$H$4)*('TREASURY FILE'!D45:D5046="INCOME")*('TREASURY FILE'!A45:A5046=A146)*('TREASURY FILE'!F45:F5046))</f>
        <v>90383.75071895335</v>
      </c>
      <c r="I146" s="24" cm="1">
        <f t="array" ref="I146">SUMPRODUCT(('TREASURY FILE'!D50:D5046=$I$4)*('TREASURY FILE'!F50:F5046="INCOME")*('TREASURY FILE'!C50:C5046=C146)*('TREASURY FILE'!H50:H5046))</f>
        <v>0</v>
      </c>
      <c r="J146" s="31">
        <f t="shared" si="9"/>
        <v>90383.75071895335</v>
      </c>
      <c r="K146" s="33">
        <f t="shared" si="10"/>
        <v>2.6853988492228376E-4</v>
      </c>
    </row>
    <row r="147" spans="1:11" x14ac:dyDescent="0.3">
      <c r="A147" s="30">
        <v>45800</v>
      </c>
      <c r="B147" s="24" cm="1">
        <f t="array" ref="B147">SUMPRODUCT(('TREASURY FILE'!B46:B5047=$B$4)*('TREASURY FILE'!D46:D5047="TURNOVER")*('TREASURY FILE'!A46:A5047=A147)*('TREASURY FILE'!F46:F5047))</f>
        <v>0</v>
      </c>
      <c r="C147" s="24" cm="1">
        <f t="array" ref="C147">SUMPRODUCT(('TREASURY FILE'!B46:B5047=$C$4)*('TREASURY FILE'!D46:D5047="TURNOVER")*('TREASURY FILE'!A46:A5047=A147)*('TREASURY FILE'!F46:F5047))</f>
        <v>352325366.76905084</v>
      </c>
      <c r="D147" s="24" cm="1">
        <f t="array" ref="D147">SUMPRODUCT(('TREASURY FILE'!B46:B5047=$D$4)*('TREASURY FILE'!D46:D5047="TURNOVER")*('TREASURY FILE'!A46:A5047=A147)*('TREASURY FILE'!F46:F5047))</f>
        <v>0</v>
      </c>
      <c r="E147" s="31">
        <f t="shared" si="8"/>
        <v>352325366.76905084</v>
      </c>
      <c r="G147" s="24" cm="1">
        <f t="array" ref="G147">SUMPRODUCT(('TREASURY FILE'!B46:B5047=$G$4)*('TREASURY FILE'!D46:D5047="INCOME")*('TREASURY FILE'!A46:A5047=A147)*('TREASURY FILE'!F46:F5047))</f>
        <v>0</v>
      </c>
      <c r="H147" s="24" cm="1">
        <f t="array" ref="H147">SUMPRODUCT(('TREASURY FILE'!B46:B5047=$H$4)*('TREASURY FILE'!D46:D5047="INCOME")*('TREASURY FILE'!A46:A5047=A147)*('TREASURY FILE'!F46:F5047))</f>
        <v>94887.466461969612</v>
      </c>
      <c r="I147" s="24" cm="1">
        <f t="array" ref="I147">SUMPRODUCT(('TREASURY FILE'!D51:D5047=$I$4)*('TREASURY FILE'!F51:F5047="INCOME")*('TREASURY FILE'!C51:C5047=C147)*('TREASURY FILE'!H51:H5047))</f>
        <v>0</v>
      </c>
      <c r="J147" s="31">
        <f t="shared" si="9"/>
        <v>94887.466461969612</v>
      </c>
      <c r="K147" s="33">
        <f t="shared" si="10"/>
        <v>2.6931772563560069E-4</v>
      </c>
    </row>
    <row r="148" spans="1:11" x14ac:dyDescent="0.3">
      <c r="A148" s="30">
        <v>45801</v>
      </c>
      <c r="B148" s="24" cm="1">
        <f t="array" ref="B148">SUMPRODUCT(('TREASURY FILE'!B47:B5048=$B$4)*('TREASURY FILE'!D47:D5048="TURNOVER")*('TREASURY FILE'!A47:A5048=A148)*('TREASURY FILE'!F47:F5048))</f>
        <v>0</v>
      </c>
      <c r="C148" s="24" cm="1">
        <f t="array" ref="C148">SUMPRODUCT(('TREASURY FILE'!B47:B5048=$C$4)*('TREASURY FILE'!D47:D5048="TURNOVER")*('TREASURY FILE'!A47:A5048=A148)*('TREASURY FILE'!F47:F5048))</f>
        <v>138754152.10488415</v>
      </c>
      <c r="D148" s="24" cm="1">
        <f t="array" ref="D148">SUMPRODUCT(('TREASURY FILE'!B47:B5048=$D$4)*('TREASURY FILE'!D47:D5048="TURNOVER")*('TREASURY FILE'!A47:A5048=A148)*('TREASURY FILE'!F47:F5048))</f>
        <v>0</v>
      </c>
      <c r="E148" s="31">
        <f t="shared" si="8"/>
        <v>138754152.10488415</v>
      </c>
      <c r="G148" s="24" cm="1">
        <f t="array" ref="G148">SUMPRODUCT(('TREASURY FILE'!B47:B5048=$G$4)*('TREASURY FILE'!D47:D5048="INCOME")*('TREASURY FILE'!A47:A5048=A148)*('TREASURY FILE'!F47:F5048))</f>
        <v>0</v>
      </c>
      <c r="H148" s="24" cm="1">
        <f t="array" ref="H148">SUMPRODUCT(('TREASURY FILE'!B47:B5048=$H$4)*('TREASURY FILE'!D47:D5048="INCOME")*('TREASURY FILE'!A47:A5048=A148)*('TREASURY FILE'!F47:F5048))</f>
        <v>35752.295688528495</v>
      </c>
      <c r="I148" s="24" cm="1">
        <f t="array" ref="I148">SUMPRODUCT(('TREASURY FILE'!D52:D5048=$I$4)*('TREASURY FILE'!F52:F5048="INCOME")*('TREASURY FILE'!C52:C5048=C148)*('TREASURY FILE'!H52:H5048))</f>
        <v>0</v>
      </c>
      <c r="J148" s="31">
        <f t="shared" si="9"/>
        <v>35752.295688528495</v>
      </c>
      <c r="K148" s="33">
        <f t="shared" si="10"/>
        <v>2.5766649247010184E-4</v>
      </c>
    </row>
    <row r="149" spans="1:11" x14ac:dyDescent="0.3">
      <c r="A149" s="30">
        <v>45802</v>
      </c>
      <c r="B149" s="24" cm="1">
        <f t="array" ref="B149">SUMPRODUCT(('TREASURY FILE'!B48:B5049=$B$4)*('TREASURY FILE'!D48:D5049="TURNOVER")*('TREASURY FILE'!A48:A5049=A149)*('TREASURY FILE'!F48:F5049))</f>
        <v>0</v>
      </c>
      <c r="C149" s="24" cm="1">
        <f t="array" ref="C149">SUMPRODUCT(('TREASURY FILE'!B48:B5049=$C$4)*('TREASURY FILE'!D48:D5049="TURNOVER")*('TREASURY FILE'!A48:A5049=A149)*('TREASURY FILE'!F48:F5049))</f>
        <v>131913257.66751492</v>
      </c>
      <c r="D149" s="24" cm="1">
        <f t="array" ref="D149">SUMPRODUCT(('TREASURY FILE'!B48:B5049=$D$4)*('TREASURY FILE'!D48:D5049="TURNOVER")*('TREASURY FILE'!A48:A5049=A149)*('TREASURY FILE'!F48:F5049))</f>
        <v>0</v>
      </c>
      <c r="E149" s="31">
        <f t="shared" si="8"/>
        <v>131913257.66751492</v>
      </c>
      <c r="G149" s="24" cm="1">
        <f t="array" ref="G149">SUMPRODUCT(('TREASURY FILE'!B48:B5049=$G$4)*('TREASURY FILE'!D48:D5049="INCOME")*('TREASURY FILE'!A48:A5049=A149)*('TREASURY FILE'!F48:F5049))</f>
        <v>0</v>
      </c>
      <c r="H149" s="24" cm="1">
        <f t="array" ref="H149">SUMPRODUCT(('TREASURY FILE'!B48:B5049=$H$4)*('TREASURY FILE'!D48:D5049="INCOME")*('TREASURY FILE'!A48:A5049=A149)*('TREASURY FILE'!F48:F5049))</f>
        <v>34240.328849312667</v>
      </c>
      <c r="I149" s="24" cm="1">
        <f t="array" ref="I149">SUMPRODUCT(('TREASURY FILE'!D53:D5049=$I$4)*('TREASURY FILE'!F53:F5049="INCOME")*('TREASURY FILE'!C53:C5049=C149)*('TREASURY FILE'!H53:H5049))</f>
        <v>0</v>
      </c>
      <c r="J149" s="31">
        <f t="shared" si="9"/>
        <v>34240.328849312667</v>
      </c>
      <c r="K149" s="33">
        <f t="shared" si="10"/>
        <v>2.5956700224639149E-4</v>
      </c>
    </row>
    <row r="150" spans="1:11" x14ac:dyDescent="0.3">
      <c r="A150" s="30">
        <v>45803</v>
      </c>
      <c r="B150" s="24" cm="1">
        <f t="array" ref="B150">SUMPRODUCT(('TREASURY FILE'!B49:B5050=$B$4)*('TREASURY FILE'!D49:D5050="TURNOVER")*('TREASURY FILE'!A49:A5050=A150)*('TREASURY FILE'!F49:F5050))</f>
        <v>0</v>
      </c>
      <c r="C150" s="24" cm="1">
        <f t="array" ref="C150">SUMPRODUCT(('TREASURY FILE'!B49:B5050=$C$4)*('TREASURY FILE'!D49:D5050="TURNOVER")*('TREASURY FILE'!A49:A5050=A150)*('TREASURY FILE'!F49:F5050))</f>
        <v>154132403.20119888</v>
      </c>
      <c r="D150" s="24" cm="1">
        <f t="array" ref="D150">SUMPRODUCT(('TREASURY FILE'!B49:B5050=$D$4)*('TREASURY FILE'!D49:D5050="TURNOVER")*('TREASURY FILE'!A49:A5050=A150)*('TREASURY FILE'!F49:F5050))</f>
        <v>0</v>
      </c>
      <c r="E150" s="31">
        <f t="shared" si="8"/>
        <v>154132403.20119888</v>
      </c>
      <c r="G150" s="24" cm="1">
        <f t="array" ref="G150">SUMPRODUCT(('TREASURY FILE'!B49:B5050=$G$4)*('TREASURY FILE'!D49:D5050="INCOME")*('TREASURY FILE'!A49:A5050=A150)*('TREASURY FILE'!F49:F5050))</f>
        <v>0</v>
      </c>
      <c r="H150" s="24" cm="1">
        <f t="array" ref="H150">SUMPRODUCT(('TREASURY FILE'!B49:B5050=$H$4)*('TREASURY FILE'!D49:D5050="INCOME")*('TREASURY FILE'!A49:A5050=A150)*('TREASURY FILE'!F49:F5050))</f>
        <v>40317.471346316794</v>
      </c>
      <c r="I150" s="24" cm="1">
        <f t="array" ref="I150">SUMPRODUCT(('TREASURY FILE'!D54:D5050=$I$4)*('TREASURY FILE'!F54:F5050="INCOME")*('TREASURY FILE'!C54:C5050=C150)*('TREASURY FILE'!H54:H5050))</f>
        <v>0</v>
      </c>
      <c r="J150" s="31">
        <f t="shared" si="9"/>
        <v>40317.471346316794</v>
      </c>
      <c r="K150" s="33">
        <f t="shared" si="10"/>
        <v>2.6157686838690125E-4</v>
      </c>
    </row>
    <row r="151" spans="1:11" x14ac:dyDescent="0.3">
      <c r="A151" s="30">
        <v>45804</v>
      </c>
      <c r="B151" s="24" cm="1">
        <f t="array" ref="B151">SUMPRODUCT(('TREASURY FILE'!B50:B5051=$B$4)*('TREASURY FILE'!D50:D5051="TURNOVER")*('TREASURY FILE'!A50:A5051=A151)*('TREASURY FILE'!F50:F5051))</f>
        <v>0</v>
      </c>
      <c r="C151" s="24" cm="1">
        <f t="array" ref="C151">SUMPRODUCT(('TREASURY FILE'!B50:B5051=$C$4)*('TREASURY FILE'!D50:D5051="TURNOVER")*('TREASURY FILE'!A50:A5051=A151)*('TREASURY FILE'!F50:F5051))</f>
        <v>188574135.62774187</v>
      </c>
      <c r="D151" s="24" cm="1">
        <f t="array" ref="D151">SUMPRODUCT(('TREASURY FILE'!B50:B5051=$D$4)*('TREASURY FILE'!D50:D5051="TURNOVER")*('TREASURY FILE'!A50:A5051=A151)*('TREASURY FILE'!F50:F5051))</f>
        <v>0</v>
      </c>
      <c r="E151" s="31">
        <f t="shared" si="8"/>
        <v>188574135.62774187</v>
      </c>
      <c r="G151" s="24" cm="1">
        <f t="array" ref="G151">SUMPRODUCT(('TREASURY FILE'!B50:B5051=$G$4)*('TREASURY FILE'!D50:D5051="INCOME")*('TREASURY FILE'!A50:A5051=A151)*('TREASURY FILE'!F50:F5051))</f>
        <v>0</v>
      </c>
      <c r="H151" s="24" cm="1">
        <f t="array" ref="H151">SUMPRODUCT(('TREASURY FILE'!B50:B5051=$H$4)*('TREASURY FILE'!D50:D5051="INCOME")*('TREASURY FILE'!A50:A5051=A151)*('TREASURY FILE'!F50:F5051))</f>
        <v>50665.814105586156</v>
      </c>
      <c r="I151" s="24" cm="1">
        <f t="array" ref="I151">SUMPRODUCT(('TREASURY FILE'!D55:D5051=$I$4)*('TREASURY FILE'!F55:F5051="INCOME")*('TREASURY FILE'!C55:C5051=C151)*('TREASURY FILE'!H55:H5051))</f>
        <v>0</v>
      </c>
      <c r="J151" s="31">
        <f t="shared" si="9"/>
        <v>50665.814105586156</v>
      </c>
      <c r="K151" s="33">
        <f t="shared" si="10"/>
        <v>2.6867849048823911E-4</v>
      </c>
    </row>
    <row r="152" spans="1:11" x14ac:dyDescent="0.3">
      <c r="A152" s="30">
        <v>45805</v>
      </c>
      <c r="B152" s="24" cm="1">
        <f t="array" ref="B152">SUMPRODUCT(('TREASURY FILE'!B51:B5052=$B$4)*('TREASURY FILE'!D51:D5052="TURNOVER")*('TREASURY FILE'!A51:A5052=A152)*('TREASURY FILE'!F51:F5052))</f>
        <v>0</v>
      </c>
      <c r="C152" s="24" cm="1">
        <f t="array" ref="C152">SUMPRODUCT(('TREASURY FILE'!B51:B5052=$C$4)*('TREASURY FILE'!D51:D5052="TURNOVER")*('TREASURY FILE'!A51:A5052=A152)*('TREASURY FILE'!F51:F5052))</f>
        <v>157752832.04959565</v>
      </c>
      <c r="D152" s="24" cm="1">
        <f t="array" ref="D152">SUMPRODUCT(('TREASURY FILE'!B51:B5052=$D$4)*('TREASURY FILE'!D51:D5052="TURNOVER")*('TREASURY FILE'!A51:A5052=A152)*('TREASURY FILE'!F51:F5052))</f>
        <v>0</v>
      </c>
      <c r="E152" s="31">
        <f t="shared" si="8"/>
        <v>157752832.04959565</v>
      </c>
      <c r="G152" s="24" cm="1">
        <f t="array" ref="G152">SUMPRODUCT(('TREASURY FILE'!B51:B5052=$G$4)*('TREASURY FILE'!D51:D5052="INCOME")*('TREASURY FILE'!A51:A5052=A152)*('TREASURY FILE'!F51:F5052))</f>
        <v>0</v>
      </c>
      <c r="H152" s="24" cm="1">
        <f t="array" ref="H152">SUMPRODUCT(('TREASURY FILE'!B51:B5052=$H$4)*('TREASURY FILE'!D51:D5052="INCOME")*('TREASURY FILE'!A51:A5052=A152)*('TREASURY FILE'!F51:F5052))</f>
        <v>40879.528544543129</v>
      </c>
      <c r="I152" s="24" cm="1">
        <f t="array" ref="I152">SUMPRODUCT(('TREASURY FILE'!D56:D5052=$I$4)*('TREASURY FILE'!F56:F5052="INCOME")*('TREASURY FILE'!C56:C5052=C152)*('TREASURY FILE'!H56:H5052))</f>
        <v>0</v>
      </c>
      <c r="J152" s="31">
        <f t="shared" si="9"/>
        <v>40879.528544543129</v>
      </c>
      <c r="K152" s="33">
        <f t="shared" si="10"/>
        <v>2.5913657468723658E-4</v>
      </c>
    </row>
    <row r="153" spans="1:11" x14ac:dyDescent="0.3">
      <c r="A153" s="30">
        <v>45806</v>
      </c>
      <c r="B153" s="24" cm="1">
        <f t="array" ref="B153">SUMPRODUCT(('TREASURY FILE'!B52:B5053=$B$4)*('TREASURY FILE'!D52:D5053="TURNOVER")*('TREASURY FILE'!A52:A5053=A153)*('TREASURY FILE'!F52:F5053))</f>
        <v>0</v>
      </c>
      <c r="C153" s="24" cm="1">
        <f t="array" ref="C153">SUMPRODUCT(('TREASURY FILE'!B52:B5053=$C$4)*('TREASURY FILE'!D52:D5053="TURNOVER")*('TREASURY FILE'!A52:A5053=A153)*('TREASURY FILE'!F52:F5053))</f>
        <v>178279184.15502277</v>
      </c>
      <c r="D153" s="24" cm="1">
        <f t="array" ref="D153">SUMPRODUCT(('TREASURY FILE'!B52:B5053=$D$4)*('TREASURY FILE'!D52:D5053="TURNOVER")*('TREASURY FILE'!A52:A5053=A153)*('TREASURY FILE'!F52:F5053))</f>
        <v>8628</v>
      </c>
      <c r="E153" s="31">
        <f t="shared" si="8"/>
        <v>178287812.15502277</v>
      </c>
      <c r="G153" s="24" cm="1">
        <f t="array" ref="G153">SUMPRODUCT(('TREASURY FILE'!B52:B5053=$G$4)*('TREASURY FILE'!D52:D5053="INCOME")*('TREASURY FILE'!A52:A5053=A153)*('TREASURY FILE'!F52:F5053))</f>
        <v>0</v>
      </c>
      <c r="H153" s="24" cm="1">
        <f t="array" ref="H153">SUMPRODUCT(('TREASURY FILE'!B52:B5053=$H$4)*('TREASURY FILE'!D52:D5053="INCOME")*('TREASURY FILE'!A52:A5053=A153)*('TREASURY FILE'!F52:F5053))</f>
        <v>47344.87313152475</v>
      </c>
      <c r="I153" s="24" cm="1">
        <f t="array" ref="I153">SUMPRODUCT(('TREASURY FILE'!D57:D5053=$I$4)*('TREASURY FILE'!F57:F5053="INCOME")*('TREASURY FILE'!C57:C5053=C153)*('TREASURY FILE'!H57:H5053))</f>
        <v>0</v>
      </c>
      <c r="J153" s="31">
        <f t="shared" si="9"/>
        <v>47344.87313152475</v>
      </c>
      <c r="K153" s="33">
        <f t="shared" si="10"/>
        <v>2.6555305468866253E-4</v>
      </c>
    </row>
    <row r="154" spans="1:11" x14ac:dyDescent="0.3">
      <c r="A154" s="30">
        <v>45807</v>
      </c>
      <c r="B154" s="24" cm="1">
        <f t="array" ref="B154">SUMPRODUCT(('TREASURY FILE'!B53:B5054=$B$4)*('TREASURY FILE'!D53:D5054="TURNOVER")*('TREASURY FILE'!A53:A5054=A154)*('TREASURY FILE'!F53:F5054))</f>
        <v>0</v>
      </c>
      <c r="C154" s="24" cm="1">
        <f t="array" ref="C154">SUMPRODUCT(('TREASURY FILE'!B53:B5054=$C$4)*('TREASURY FILE'!D53:D5054="TURNOVER")*('TREASURY FILE'!A53:A5054=A154)*('TREASURY FILE'!F53:F5054))</f>
        <v>344189946.74138463</v>
      </c>
      <c r="D154" s="24" cm="1">
        <f t="array" ref="D154">SUMPRODUCT(('TREASURY FILE'!B53:B5054=$D$4)*('TREASURY FILE'!D53:D5054="TURNOVER")*('TREASURY FILE'!A53:A5054=A154)*('TREASURY FILE'!F53:F5054))</f>
        <v>0</v>
      </c>
      <c r="E154" s="31">
        <f t="shared" si="8"/>
        <v>344189946.74138463</v>
      </c>
      <c r="G154" s="24" cm="1">
        <f t="array" ref="G154">SUMPRODUCT(('TREASURY FILE'!B53:B5054=$G$4)*('TREASURY FILE'!D53:D5054="INCOME")*('TREASURY FILE'!A53:A5054=A154)*('TREASURY FILE'!F53:F5054))</f>
        <v>0</v>
      </c>
      <c r="H154" s="24" cm="1">
        <f t="array" ref="H154">SUMPRODUCT(('TREASURY FILE'!B53:B5054=$H$4)*('TREASURY FILE'!D53:D5054="INCOME")*('TREASURY FILE'!A53:A5054=A154)*('TREASURY FILE'!F53:F5054))</f>
        <v>92541.880984618911</v>
      </c>
      <c r="I154" s="24" cm="1">
        <f t="array" ref="I154">SUMPRODUCT(('TREASURY FILE'!D58:D5054=$I$4)*('TREASURY FILE'!F58:F5054="INCOME")*('TREASURY FILE'!C58:C5054=C154)*('TREASURY FILE'!H58:H5054))</f>
        <v>0</v>
      </c>
      <c r="J154" s="31">
        <f t="shared" si="9"/>
        <v>92541.880984618911</v>
      </c>
      <c r="K154" s="33">
        <f t="shared" si="10"/>
        <v>2.6886863448731833E-4</v>
      </c>
    </row>
    <row r="155" spans="1:11" x14ac:dyDescent="0.3">
      <c r="A155" s="30">
        <v>45808</v>
      </c>
      <c r="B155" s="24" cm="1">
        <f t="array" ref="B155">SUMPRODUCT(('TREASURY FILE'!B54:B5055=$B$4)*('TREASURY FILE'!D54:D5055="TURNOVER")*('TREASURY FILE'!A54:A5055=A155)*('TREASURY FILE'!F54:F5055))</f>
        <v>0</v>
      </c>
      <c r="C155" s="24" cm="1">
        <f t="array" ref="C155">SUMPRODUCT(('TREASURY FILE'!B54:B5055=$C$4)*('TREASURY FILE'!D54:D5055="TURNOVER")*('TREASURY FILE'!A54:A5055=A155)*('TREASURY FILE'!F54:F5055))</f>
        <v>270750325.54898</v>
      </c>
      <c r="D155" s="24" cm="1">
        <f t="array" ref="D155">SUMPRODUCT(('TREASURY FILE'!B54:B5055=$D$4)*('TREASURY FILE'!D54:D5055="TURNOVER")*('TREASURY FILE'!A54:A5055=A155)*('TREASURY FILE'!F54:F5055))</f>
        <v>0</v>
      </c>
      <c r="E155" s="31">
        <f t="shared" si="8"/>
        <v>270750325.54898</v>
      </c>
      <c r="G155" s="24" cm="1">
        <f t="array" ref="G155">SUMPRODUCT(('TREASURY FILE'!B54:B5055=$G$4)*('TREASURY FILE'!D54:D5055="INCOME")*('TREASURY FILE'!A54:A5055=A155)*('TREASURY FILE'!F54:F5055))</f>
        <v>0</v>
      </c>
      <c r="H155" s="24" cm="1">
        <f t="array" ref="H155">SUMPRODUCT(('TREASURY FILE'!B54:B5055=$H$4)*('TREASURY FILE'!D54:D5055="INCOME")*('TREASURY FILE'!A54:A5055=A155)*('TREASURY FILE'!F54:F5055))</f>
        <v>70161.099389501163</v>
      </c>
      <c r="I155" s="24" cm="1">
        <f t="array" ref="I155">SUMPRODUCT(('TREASURY FILE'!D59:D5055=$I$4)*('TREASURY FILE'!F59:F5055="INCOME")*('TREASURY FILE'!C59:C5055=C155)*('TREASURY FILE'!H59:H5055))</f>
        <v>0</v>
      </c>
      <c r="J155" s="31">
        <f t="shared" si="9"/>
        <v>70161.099389501163</v>
      </c>
      <c r="K155" s="33">
        <f t="shared" si="10"/>
        <v>2.5913578957750393E-4</v>
      </c>
    </row>
    <row r="156" spans="1:11" x14ac:dyDescent="0.3">
      <c r="A156" s="30">
        <v>45809</v>
      </c>
      <c r="B156" s="24" cm="1">
        <f t="array" ref="B156">SUMPRODUCT(('TREASURY FILE'!B55:B5056=$B$4)*('TREASURY FILE'!D55:D5056="TURNOVER")*('TREASURY FILE'!A55:A5056=A156)*('TREASURY FILE'!F55:F5056))</f>
        <v>0</v>
      </c>
      <c r="C156" s="24" cm="1">
        <f t="array" ref="C156">SUMPRODUCT(('TREASURY FILE'!B55:B5056=$C$4)*('TREASURY FILE'!D55:D5056="TURNOVER")*('TREASURY FILE'!A55:A5056=A156)*('TREASURY FILE'!F55:F5056))</f>
        <v>175606693.20897853</v>
      </c>
      <c r="D156" s="24" cm="1">
        <f t="array" ref="D156">SUMPRODUCT(('TREASURY FILE'!B55:B5056=$D$4)*('TREASURY FILE'!D55:D5056="TURNOVER")*('TREASURY FILE'!A55:A5056=A156)*('TREASURY FILE'!F55:F5056))</f>
        <v>0</v>
      </c>
      <c r="E156" s="31">
        <f t="shared" si="8"/>
        <v>175606693.20897853</v>
      </c>
      <c r="G156" s="24" cm="1">
        <f t="array" ref="G156">SUMPRODUCT(('TREASURY FILE'!B55:B5056=$G$4)*('TREASURY FILE'!D55:D5056="INCOME")*('TREASURY FILE'!A55:A5056=A156)*('TREASURY FILE'!F55:F5056))</f>
        <v>0</v>
      </c>
      <c r="H156" s="24" cm="1">
        <f t="array" ref="H156">SUMPRODUCT(('TREASURY FILE'!B55:B5056=$H$4)*('TREASURY FILE'!D55:D5056="INCOME")*('TREASURY FILE'!A55:A5056=A156)*('TREASURY FILE'!F55:F5056))</f>
        <v>43385.096021158912</v>
      </c>
      <c r="I156" s="24" cm="1">
        <f t="array" ref="I156">SUMPRODUCT(('TREASURY FILE'!D60:D5056=$I$4)*('TREASURY FILE'!F60:F5056="INCOME")*('TREASURY FILE'!C60:C5056=C156)*('TREASURY FILE'!H60:H5056))</f>
        <v>0</v>
      </c>
      <c r="J156" s="31">
        <f t="shared" si="9"/>
        <v>43385.096021158912</v>
      </c>
      <c r="K156" s="33">
        <f t="shared" si="10"/>
        <v>2.4705832806457456E-4</v>
      </c>
    </row>
    <row r="157" spans="1:11" x14ac:dyDescent="0.3">
      <c r="A157" s="30">
        <v>45810</v>
      </c>
      <c r="B157" s="24" cm="1">
        <f t="array" ref="B157">SUMPRODUCT(('TREASURY FILE'!B56:B5057=$B$4)*('TREASURY FILE'!D56:D5057="TURNOVER")*('TREASURY FILE'!A56:A5057=A157)*('TREASURY FILE'!F56:F5057))</f>
        <v>0</v>
      </c>
      <c r="C157" s="24" cm="1">
        <f t="array" ref="C157">SUMPRODUCT(('TREASURY FILE'!B56:B5057=$C$4)*('TREASURY FILE'!D56:D5057="TURNOVER")*('TREASURY FILE'!A56:A5057=A157)*('TREASURY FILE'!F56:F5057))</f>
        <v>143423467.92112297</v>
      </c>
      <c r="D157" s="24" cm="1">
        <f t="array" ref="D157">SUMPRODUCT(('TREASURY FILE'!B56:B5057=$D$4)*('TREASURY FILE'!D56:D5057="TURNOVER")*('TREASURY FILE'!A56:A5057=A157)*('TREASURY FILE'!F56:F5057))</f>
        <v>0</v>
      </c>
      <c r="E157" s="31">
        <f t="shared" si="8"/>
        <v>143423467.92112297</v>
      </c>
      <c r="G157" s="24" cm="1">
        <f t="array" ref="G157">SUMPRODUCT(('TREASURY FILE'!B56:B5057=$G$4)*('TREASURY FILE'!D56:D5057="INCOME")*('TREASURY FILE'!A56:A5057=A157)*('TREASURY FILE'!F56:F5057))</f>
        <v>0</v>
      </c>
      <c r="H157" s="24" cm="1">
        <f t="array" ref="H157">SUMPRODUCT(('TREASURY FILE'!B56:B5057=$H$4)*('TREASURY FILE'!D56:D5057="INCOME")*('TREASURY FILE'!A56:A5057=A157)*('TREASURY FILE'!F56:F5057))</f>
        <v>35559.472616235544</v>
      </c>
      <c r="I157" s="24" cm="1">
        <f t="array" ref="I157">SUMPRODUCT(('TREASURY FILE'!D61:D5057=$I$4)*('TREASURY FILE'!F61:F5057="INCOME")*('TREASURY FILE'!C61:C5057=C157)*('TREASURY FILE'!H61:H5057))</f>
        <v>0</v>
      </c>
      <c r="J157" s="31">
        <f t="shared" si="9"/>
        <v>35559.472616235544</v>
      </c>
      <c r="K157" s="33">
        <f t="shared" si="10"/>
        <v>2.4793343189687616E-4</v>
      </c>
    </row>
    <row r="158" spans="1:11" x14ac:dyDescent="0.3">
      <c r="A158" s="30">
        <v>45811</v>
      </c>
      <c r="B158" s="24" cm="1">
        <f t="array" ref="B158">SUMPRODUCT(('TREASURY FILE'!B57:B5058=$B$4)*('TREASURY FILE'!D57:D5058="TURNOVER")*('TREASURY FILE'!A57:A5058=A158)*('TREASURY FILE'!F57:F5058))</f>
        <v>0</v>
      </c>
      <c r="C158" s="24" cm="1">
        <f t="array" ref="C158">SUMPRODUCT(('TREASURY FILE'!B57:B5058=$C$4)*('TREASURY FILE'!D57:D5058="TURNOVER")*('TREASURY FILE'!A57:A5058=A158)*('TREASURY FILE'!F57:F5058))</f>
        <v>169994572.31992573</v>
      </c>
      <c r="D158" s="24" cm="1">
        <f t="array" ref="D158">SUMPRODUCT(('TREASURY FILE'!B57:B5058=$D$4)*('TREASURY FILE'!D57:D5058="TURNOVER")*('TREASURY FILE'!A57:A5058=A158)*('TREASURY FILE'!F57:F5058))</f>
        <v>0</v>
      </c>
      <c r="E158" s="31">
        <f t="shared" si="8"/>
        <v>169994572.31992573</v>
      </c>
      <c r="G158" s="24" cm="1">
        <f t="array" ref="G158">SUMPRODUCT(('TREASURY FILE'!B57:B5058=$G$4)*('TREASURY FILE'!D57:D5058="INCOME")*('TREASURY FILE'!A57:A5058=A158)*('TREASURY FILE'!F57:F5058))</f>
        <v>0</v>
      </c>
      <c r="H158" s="24" cm="1">
        <f t="array" ref="H158">SUMPRODUCT(('TREASURY FILE'!B57:B5058=$H$4)*('TREASURY FILE'!D57:D5058="INCOME")*('TREASURY FILE'!A57:A5058=A158)*('TREASURY FILE'!F57:F5058))</f>
        <v>44064.579412014726</v>
      </c>
      <c r="I158" s="24" cm="1">
        <f t="array" ref="I158">SUMPRODUCT(('TREASURY FILE'!D62:D5058=$I$4)*('TREASURY FILE'!F62:F5058="INCOME")*('TREASURY FILE'!C62:C5058=C158)*('TREASURY FILE'!H62:H5058))</f>
        <v>0</v>
      </c>
      <c r="J158" s="31">
        <f t="shared" si="9"/>
        <v>44064.579412014726</v>
      </c>
      <c r="K158" s="33">
        <f t="shared" si="10"/>
        <v>2.5921168429475641E-4</v>
      </c>
    </row>
    <row r="159" spans="1:11" x14ac:dyDescent="0.3">
      <c r="A159" s="30">
        <v>45812</v>
      </c>
      <c r="B159" s="24" cm="1">
        <f t="array" ref="B159">SUMPRODUCT(('TREASURY FILE'!B58:B5059=$B$4)*('TREASURY FILE'!D58:D5059="TURNOVER")*('TREASURY FILE'!A58:A5059=A159)*('TREASURY FILE'!F58:F5059))</f>
        <v>0</v>
      </c>
      <c r="C159" s="24" cm="1">
        <f t="array" ref="C159">SUMPRODUCT(('TREASURY FILE'!B58:B5059=$C$4)*('TREASURY FILE'!D58:D5059="TURNOVER")*('TREASURY FILE'!A58:A5059=A159)*('TREASURY FILE'!F58:F5059))</f>
        <v>173554938.28566727</v>
      </c>
      <c r="D159" s="24" cm="1">
        <f t="array" ref="D159">SUMPRODUCT(('TREASURY FILE'!B58:B5059=$D$4)*('TREASURY FILE'!D58:D5059="TURNOVER")*('TREASURY FILE'!A58:A5059=A159)*('TREASURY FILE'!F58:F5059))</f>
        <v>0</v>
      </c>
      <c r="E159" s="31">
        <f t="shared" si="8"/>
        <v>173554938.28566727</v>
      </c>
      <c r="G159" s="24" cm="1">
        <f t="array" ref="G159">SUMPRODUCT(('TREASURY FILE'!B58:B5059=$G$4)*('TREASURY FILE'!D58:D5059="INCOME")*('TREASURY FILE'!A58:A5059=A159)*('TREASURY FILE'!F58:F5059))</f>
        <v>0</v>
      </c>
      <c r="H159" s="24" cm="1">
        <f t="array" ref="H159">SUMPRODUCT(('TREASURY FILE'!B58:B5059=$H$4)*('TREASURY FILE'!D58:D5059="INCOME")*('TREASURY FILE'!A58:A5059=A159)*('TREASURY FILE'!F58:F5059))</f>
        <v>44226.318361856916</v>
      </c>
      <c r="I159" s="24" cm="1">
        <f t="array" ref="I159">SUMPRODUCT(('TREASURY FILE'!D63:D5059=$I$4)*('TREASURY FILE'!F63:F5059="INCOME")*('TREASURY FILE'!C63:C5059=C159)*('TREASURY FILE'!H63:H5059))</f>
        <v>0</v>
      </c>
      <c r="J159" s="31">
        <f t="shared" si="9"/>
        <v>44226.318361856916</v>
      </c>
      <c r="K159" s="33">
        <f t="shared" si="10"/>
        <v>2.5482604412593239E-4</v>
      </c>
    </row>
    <row r="160" spans="1:11" x14ac:dyDescent="0.3">
      <c r="A160" s="30">
        <v>45813</v>
      </c>
      <c r="B160" s="24" cm="1">
        <f t="array" ref="B160">SUMPRODUCT(('TREASURY FILE'!B59:B5060=$B$4)*('TREASURY FILE'!D59:D5060="TURNOVER")*('TREASURY FILE'!A59:A5060=A160)*('TREASURY FILE'!F59:F5060))</f>
        <v>0</v>
      </c>
      <c r="C160" s="24" cm="1">
        <f t="array" ref="C160">SUMPRODUCT(('TREASURY FILE'!B59:B5060=$C$4)*('TREASURY FILE'!D59:D5060="TURNOVER")*('TREASURY FILE'!A59:A5060=A160)*('TREASURY FILE'!F59:F5060))</f>
        <v>205466509.63676924</v>
      </c>
      <c r="D160" s="24" cm="1">
        <f t="array" ref="D160">SUMPRODUCT(('TREASURY FILE'!B59:B5060=$D$4)*('TREASURY FILE'!D59:D5060="TURNOVER")*('TREASURY FILE'!A59:A5060=A160)*('TREASURY FILE'!F59:F5060))</f>
        <v>0</v>
      </c>
      <c r="E160" s="31">
        <f t="shared" si="8"/>
        <v>205466509.63676924</v>
      </c>
      <c r="G160" s="24" cm="1">
        <f t="array" ref="G160">SUMPRODUCT(('TREASURY FILE'!B59:B5060=$G$4)*('TREASURY FILE'!D59:D5060="INCOME")*('TREASURY FILE'!A59:A5060=A160)*('TREASURY FILE'!F59:F5060))</f>
        <v>0</v>
      </c>
      <c r="H160" s="24" cm="1">
        <f t="array" ref="H160">SUMPRODUCT(('TREASURY FILE'!B59:B5060=$H$4)*('TREASURY FILE'!D59:D5060="INCOME")*('TREASURY FILE'!A59:A5060=A160)*('TREASURY FILE'!F59:F5060))</f>
        <v>53353.489642991321</v>
      </c>
      <c r="I160" s="24" cm="1">
        <f t="array" ref="I160">SUMPRODUCT(('TREASURY FILE'!D64:D5060=$I$4)*('TREASURY FILE'!F64:F5060="INCOME")*('TREASURY FILE'!C64:C5060=C160)*('TREASURY FILE'!H64:H5060))</f>
        <v>0</v>
      </c>
      <c r="J160" s="31">
        <f t="shared" si="9"/>
        <v>53353.489642991321</v>
      </c>
      <c r="K160" s="33">
        <f t="shared" si="10"/>
        <v>2.5967000528364189E-4</v>
      </c>
    </row>
    <row r="161" spans="1:11" x14ac:dyDescent="0.3">
      <c r="A161" s="30">
        <v>45814</v>
      </c>
      <c r="B161" s="24" cm="1">
        <f t="array" ref="B161">SUMPRODUCT(('TREASURY FILE'!B60:B5061=$B$4)*('TREASURY FILE'!D60:D5061="TURNOVER")*('TREASURY FILE'!A60:A5061=A161)*('TREASURY FILE'!F60:F5061))</f>
        <v>0</v>
      </c>
      <c r="C161" s="24" cm="1">
        <f t="array" ref="C161">SUMPRODUCT(('TREASURY FILE'!B60:B5061=$C$4)*('TREASURY FILE'!D60:D5061="TURNOVER")*('TREASURY FILE'!A60:A5061=A161)*('TREASURY FILE'!F60:F5061))</f>
        <v>173561947.74346051</v>
      </c>
      <c r="D161" s="24" cm="1">
        <f t="array" ref="D161">SUMPRODUCT(('TREASURY FILE'!B60:B5061=$D$4)*('TREASURY FILE'!D60:D5061="TURNOVER")*('TREASURY FILE'!A60:A5061=A161)*('TREASURY FILE'!F60:F5061))</f>
        <v>0</v>
      </c>
      <c r="E161" s="31">
        <f t="shared" si="8"/>
        <v>173561947.74346051</v>
      </c>
      <c r="G161" s="24" cm="1">
        <f t="array" ref="G161">SUMPRODUCT(('TREASURY FILE'!B60:B5061=$G$4)*('TREASURY FILE'!D60:D5061="INCOME")*('TREASURY FILE'!A60:A5061=A161)*('TREASURY FILE'!F60:F5061))</f>
        <v>0</v>
      </c>
      <c r="H161" s="24" cm="1">
        <f t="array" ref="H161">SUMPRODUCT(('TREASURY FILE'!B60:B5061=$H$4)*('TREASURY FILE'!D60:D5061="INCOME")*('TREASURY FILE'!A60:A5061=A161)*('TREASURY FILE'!F60:F5061))</f>
        <v>44893.74376568888</v>
      </c>
      <c r="I161" s="24" cm="1">
        <f t="array" ref="I161">SUMPRODUCT(('TREASURY FILE'!D65:D5061=$I$4)*('TREASURY FILE'!F65:F5061="INCOME")*('TREASURY FILE'!C65:C5061=C161)*('TREASURY FILE'!H65:H5061))</f>
        <v>0</v>
      </c>
      <c r="J161" s="31">
        <f t="shared" si="9"/>
        <v>44893.74376568888</v>
      </c>
      <c r="K161" s="33">
        <f t="shared" si="10"/>
        <v>2.5866121203044863E-4</v>
      </c>
    </row>
    <row r="162" spans="1:11" x14ac:dyDescent="0.3">
      <c r="A162" s="30">
        <v>45815</v>
      </c>
      <c r="B162" s="24" cm="1">
        <f t="array" ref="B162">SUMPRODUCT(('TREASURY FILE'!B61:B5062=$B$4)*('TREASURY FILE'!D61:D5062="TURNOVER")*('TREASURY FILE'!A61:A5062=A162)*('TREASURY FILE'!F61:F5062))</f>
        <v>0</v>
      </c>
      <c r="C162" s="24" cm="1">
        <f t="array" ref="C162">SUMPRODUCT(('TREASURY FILE'!B61:B5062=$C$4)*('TREASURY FILE'!D61:D5062="TURNOVER")*('TREASURY FILE'!A61:A5062=A162)*('TREASURY FILE'!F61:F5062))</f>
        <v>108487648.40858971</v>
      </c>
      <c r="D162" s="24" cm="1">
        <f t="array" ref="D162">SUMPRODUCT(('TREASURY FILE'!B61:B5062=$D$4)*('TREASURY FILE'!D61:D5062="TURNOVER")*('TREASURY FILE'!A61:A5062=A162)*('TREASURY FILE'!F61:F5062))</f>
        <v>0</v>
      </c>
      <c r="E162" s="31">
        <f t="shared" si="8"/>
        <v>108487648.40858971</v>
      </c>
      <c r="G162" s="24" cm="1">
        <f t="array" ref="G162">SUMPRODUCT(('TREASURY FILE'!B61:B5062=$G$4)*('TREASURY FILE'!D61:D5062="INCOME")*('TREASURY FILE'!A61:A5062=A162)*('TREASURY FILE'!F61:F5062))</f>
        <v>0</v>
      </c>
      <c r="H162" s="24" cm="1">
        <f t="array" ref="H162">SUMPRODUCT(('TREASURY FILE'!B61:B5062=$H$4)*('TREASURY FILE'!D61:D5062="INCOME")*('TREASURY FILE'!A61:A5062=A162)*('TREASURY FILE'!F61:F5062))</f>
        <v>27779.583063627564</v>
      </c>
      <c r="I162" s="24" cm="1">
        <f t="array" ref="I162">SUMPRODUCT(('TREASURY FILE'!D66:D5062=$I$4)*('TREASURY FILE'!F66:F5062="INCOME")*('TREASURY FILE'!C66:C5062=C162)*('TREASURY FILE'!H66:H5062))</f>
        <v>0</v>
      </c>
      <c r="J162" s="31">
        <f t="shared" si="9"/>
        <v>27779.583063627564</v>
      </c>
      <c r="K162" s="33">
        <f t="shared" si="10"/>
        <v>2.5606217363107728E-4</v>
      </c>
    </row>
    <row r="163" spans="1:11" x14ac:dyDescent="0.3">
      <c r="A163" s="30">
        <v>45816</v>
      </c>
      <c r="B163" s="24" cm="1">
        <f t="array" ref="B163">SUMPRODUCT(('TREASURY FILE'!B62:B5063=$B$4)*('TREASURY FILE'!D62:D5063="TURNOVER")*('TREASURY FILE'!A62:A5063=A163)*('TREASURY FILE'!F62:F5063))</f>
        <v>0</v>
      </c>
      <c r="C163" s="24" cm="1">
        <f t="array" ref="C163">SUMPRODUCT(('TREASURY FILE'!B62:B5063=$C$4)*('TREASURY FILE'!D62:D5063="TURNOVER")*('TREASURY FILE'!A62:A5063=A163)*('TREASURY FILE'!F62:F5063))</f>
        <v>107806787.3019423</v>
      </c>
      <c r="D163" s="24" cm="1">
        <f t="array" ref="D163">SUMPRODUCT(('TREASURY FILE'!B62:B5063=$D$4)*('TREASURY FILE'!D62:D5063="TURNOVER")*('TREASURY FILE'!A62:A5063=A163)*('TREASURY FILE'!F62:F5063))</f>
        <v>0</v>
      </c>
      <c r="E163" s="31">
        <f t="shared" si="8"/>
        <v>107806787.3019423</v>
      </c>
      <c r="G163" s="24" cm="1">
        <f t="array" ref="G163">SUMPRODUCT(('TREASURY FILE'!B62:B5063=$G$4)*('TREASURY FILE'!D62:D5063="INCOME")*('TREASURY FILE'!A62:A5063=A163)*('TREASURY FILE'!F62:F5063))</f>
        <v>0</v>
      </c>
      <c r="H163" s="24" cm="1">
        <f t="array" ref="H163">SUMPRODUCT(('TREASURY FILE'!B62:B5063=$H$4)*('TREASURY FILE'!D62:D5063="INCOME")*('TREASURY FILE'!A62:A5063=A163)*('TREASURY FILE'!F62:F5063))</f>
        <v>27939.553346240013</v>
      </c>
      <c r="I163" s="24" cm="1">
        <f t="array" ref="I163">SUMPRODUCT(('TREASURY FILE'!D67:D5063=$I$4)*('TREASURY FILE'!F67:F5063="INCOME")*('TREASURY FILE'!C67:C5063=C163)*('TREASURY FILE'!H67:H5063))</f>
        <v>0</v>
      </c>
      <c r="J163" s="31">
        <f t="shared" si="9"/>
        <v>27939.553346240013</v>
      </c>
      <c r="K163" s="33">
        <f t="shared" si="10"/>
        <v>2.5916321268333202E-4</v>
      </c>
    </row>
    <row r="164" spans="1:11" x14ac:dyDescent="0.3">
      <c r="A164" s="30">
        <v>45817</v>
      </c>
      <c r="B164" s="24" cm="1">
        <f t="array" ref="B164">SUMPRODUCT(('TREASURY FILE'!B63:B5064=$B$4)*('TREASURY FILE'!D63:D5064="TURNOVER")*('TREASURY FILE'!A63:A5064=A164)*('TREASURY FILE'!F63:F5064))</f>
        <v>0</v>
      </c>
      <c r="C164" s="24" cm="1">
        <f t="array" ref="C164">SUMPRODUCT(('TREASURY FILE'!B63:B5064=$C$4)*('TREASURY FILE'!D63:D5064="TURNOVER")*('TREASURY FILE'!A63:A5064=A164)*('TREASURY FILE'!F63:F5064))</f>
        <v>151431234.43661511</v>
      </c>
      <c r="D164" s="24" cm="1">
        <f t="array" ref="D164">SUMPRODUCT(('TREASURY FILE'!B63:B5064=$D$4)*('TREASURY FILE'!D63:D5064="TURNOVER")*('TREASURY FILE'!A63:A5064=A164)*('TREASURY FILE'!F63:F5064))</f>
        <v>0</v>
      </c>
      <c r="E164" s="31">
        <f t="shared" si="8"/>
        <v>151431234.43661511</v>
      </c>
      <c r="G164" s="24" cm="1">
        <f t="array" ref="G164">SUMPRODUCT(('TREASURY FILE'!B63:B5064=$G$4)*('TREASURY FILE'!D63:D5064="INCOME")*('TREASURY FILE'!A63:A5064=A164)*('TREASURY FILE'!F63:F5064))</f>
        <v>0</v>
      </c>
      <c r="H164" s="24" cm="1">
        <f t="array" ref="H164">SUMPRODUCT(('TREASURY FILE'!B63:B5064=$H$4)*('TREASURY FILE'!D63:D5064="INCOME")*('TREASURY FILE'!A63:A5064=A164)*('TREASURY FILE'!F63:F5064))</f>
        <v>39976.112206521531</v>
      </c>
      <c r="I164" s="24" cm="1">
        <f t="array" ref="I164">SUMPRODUCT(('TREASURY FILE'!D68:D5064=$I$4)*('TREASURY FILE'!F68:F5064="INCOME")*('TREASURY FILE'!C68:C5064=C164)*('TREASURY FILE'!H68:H5064))</f>
        <v>0</v>
      </c>
      <c r="J164" s="31">
        <f t="shared" si="9"/>
        <v>39976.112206521531</v>
      </c>
      <c r="K164" s="33">
        <f t="shared" si="10"/>
        <v>2.6398855133981239E-4</v>
      </c>
    </row>
    <row r="165" spans="1:11" x14ac:dyDescent="0.3">
      <c r="A165" s="30">
        <v>45818</v>
      </c>
      <c r="B165" s="24" cm="1">
        <f t="array" ref="B165">SUMPRODUCT(('TREASURY FILE'!B64:B5065=$B$4)*('TREASURY FILE'!D64:D5065="TURNOVER")*('TREASURY FILE'!A64:A5065=A165)*('TREASURY FILE'!F64:F5065))</f>
        <v>0</v>
      </c>
      <c r="C165" s="24" cm="1">
        <f t="array" ref="C165">SUMPRODUCT(('TREASURY FILE'!B64:B5065=$C$4)*('TREASURY FILE'!D64:D5065="TURNOVER")*('TREASURY FILE'!A64:A5065=A165)*('TREASURY FILE'!F64:F5065))</f>
        <v>269730150.13322765</v>
      </c>
      <c r="D165" s="24" cm="1">
        <f t="array" ref="D165">SUMPRODUCT(('TREASURY FILE'!B64:B5065=$D$4)*('TREASURY FILE'!D64:D5065="TURNOVER")*('TREASURY FILE'!A64:A5065=A165)*('TREASURY FILE'!F64:F5065))</f>
        <v>0</v>
      </c>
      <c r="E165" s="31">
        <f t="shared" si="8"/>
        <v>269730150.13322765</v>
      </c>
      <c r="G165" s="24" cm="1">
        <f t="array" ref="G165">SUMPRODUCT(('TREASURY FILE'!B64:B5065=$G$4)*('TREASURY FILE'!D64:D5065="INCOME")*('TREASURY FILE'!A64:A5065=A165)*('TREASURY FILE'!F64:F5065))</f>
        <v>0</v>
      </c>
      <c r="H165" s="24" cm="1">
        <f t="array" ref="H165">SUMPRODUCT(('TREASURY FILE'!B64:B5065=$H$4)*('TREASURY FILE'!D64:D5065="INCOME")*('TREASURY FILE'!A64:A5065=A165)*('TREASURY FILE'!F64:F5065))</f>
        <v>74083.645062755531</v>
      </c>
      <c r="I165" s="24" cm="1">
        <f t="array" ref="I165">SUMPRODUCT(('TREASURY FILE'!D69:D5065=$I$4)*('TREASURY FILE'!F69:F5065="INCOME")*('TREASURY FILE'!C69:C5065=C165)*('TREASURY FILE'!H69:H5065))</f>
        <v>0</v>
      </c>
      <c r="J165" s="31">
        <f t="shared" si="9"/>
        <v>74083.645062755531</v>
      </c>
      <c r="K165" s="33">
        <f t="shared" si="10"/>
        <v>2.7465837625554072E-4</v>
      </c>
    </row>
    <row r="166" spans="1:11" x14ac:dyDescent="0.3">
      <c r="A166" s="30">
        <v>45819</v>
      </c>
      <c r="B166" s="24" cm="1">
        <f t="array" ref="B166">SUMPRODUCT(('TREASURY FILE'!B65:B5066=$B$4)*('TREASURY FILE'!D65:D5066="TURNOVER")*('TREASURY FILE'!A65:A5066=A166)*('TREASURY FILE'!F65:F5066))</f>
        <v>0</v>
      </c>
      <c r="C166" s="24" cm="1">
        <f t="array" ref="C166">SUMPRODUCT(('TREASURY FILE'!B65:B5066=$C$4)*('TREASURY FILE'!D65:D5066="TURNOVER")*('TREASURY FILE'!A65:A5066=A166)*('TREASURY FILE'!F65:F5066))</f>
        <v>219571235.53573787</v>
      </c>
      <c r="D166" s="24" cm="1">
        <f t="array" ref="D166">SUMPRODUCT(('TREASURY FILE'!B65:B5066=$D$4)*('TREASURY FILE'!D65:D5066="TURNOVER")*('TREASURY FILE'!A65:A5066=A166)*('TREASURY FILE'!F65:F5066))</f>
        <v>0</v>
      </c>
      <c r="E166" s="31">
        <f t="shared" si="8"/>
        <v>219571235.53573787</v>
      </c>
      <c r="G166" s="24" cm="1">
        <f t="array" ref="G166">SUMPRODUCT(('TREASURY FILE'!B65:B5066=$G$4)*('TREASURY FILE'!D65:D5066="INCOME")*('TREASURY FILE'!A65:A5066=A166)*('TREASURY FILE'!F65:F5066))</f>
        <v>0</v>
      </c>
      <c r="H166" s="24" cm="1">
        <f t="array" ref="H166">SUMPRODUCT(('TREASURY FILE'!B65:B5066=$H$4)*('TREASURY FILE'!D65:D5066="INCOME")*('TREASURY FILE'!A65:A5066=A166)*('TREASURY FILE'!F65:F5066))</f>
        <v>60154.492310780457</v>
      </c>
      <c r="I166" s="24" cm="1">
        <f t="array" ref="I166">SUMPRODUCT(('TREASURY FILE'!D70:D5066=$I$4)*('TREASURY FILE'!F70:F5066="INCOME")*('TREASURY FILE'!C70:C5066=C166)*('TREASURY FILE'!H70:H5066))</f>
        <v>0</v>
      </c>
      <c r="J166" s="31">
        <f t="shared" si="9"/>
        <v>60154.492310780457</v>
      </c>
      <c r="K166" s="33">
        <f t="shared" si="10"/>
        <v>2.7396344591315829E-4</v>
      </c>
    </row>
    <row r="167" spans="1:11" x14ac:dyDescent="0.3">
      <c r="A167" s="30">
        <v>45820</v>
      </c>
      <c r="B167" s="24" cm="1">
        <f t="array" ref="B167">SUMPRODUCT(('TREASURY FILE'!B66:B5067=$B$4)*('TREASURY FILE'!D66:D5067="TURNOVER")*('TREASURY FILE'!A66:A5067=A167)*('TREASURY FILE'!F66:F5067))</f>
        <v>0</v>
      </c>
      <c r="C167" s="24" cm="1">
        <f t="array" ref="C167">SUMPRODUCT(('TREASURY FILE'!B66:B5067=$C$4)*('TREASURY FILE'!D66:D5067="TURNOVER")*('TREASURY FILE'!A66:A5067=A167)*('TREASURY FILE'!F66:F5067))</f>
        <v>160901929.98113906</v>
      </c>
      <c r="D167" s="24" cm="1">
        <f t="array" ref="D167">SUMPRODUCT(('TREASURY FILE'!B66:B5067=$D$4)*('TREASURY FILE'!D66:D5067="TURNOVER")*('TREASURY FILE'!A66:A5067=A167)*('TREASURY FILE'!F66:F5067))</f>
        <v>0</v>
      </c>
      <c r="E167" s="31">
        <f t="shared" si="8"/>
        <v>160901929.98113906</v>
      </c>
      <c r="G167" s="24" cm="1">
        <f t="array" ref="G167">SUMPRODUCT(('TREASURY FILE'!B66:B5067=$G$4)*('TREASURY FILE'!D66:D5067="INCOME")*('TREASURY FILE'!A66:A5067=A167)*('TREASURY FILE'!F66:F5067))</f>
        <v>0</v>
      </c>
      <c r="H167" s="24" cm="1">
        <f t="array" ref="H167">SUMPRODUCT(('TREASURY FILE'!B66:B5067=$H$4)*('TREASURY FILE'!D66:D5067="INCOME")*('TREASURY FILE'!A66:A5067=A167)*('TREASURY FILE'!F66:F5067))</f>
        <v>43212.792514965622</v>
      </c>
      <c r="I167" s="24" cm="1">
        <f t="array" ref="I167">SUMPRODUCT(('TREASURY FILE'!D71:D5067=$I$4)*('TREASURY FILE'!F71:F5067="INCOME")*('TREASURY FILE'!C71:C5067=C167)*('TREASURY FILE'!H71:H5067))</f>
        <v>0</v>
      </c>
      <c r="J167" s="31">
        <f t="shared" si="9"/>
        <v>43212.792514965622</v>
      </c>
      <c r="K167" s="33">
        <f t="shared" si="10"/>
        <v>2.6856602975508764E-4</v>
      </c>
    </row>
    <row r="168" spans="1:11" x14ac:dyDescent="0.3">
      <c r="A168" s="30">
        <v>45821</v>
      </c>
      <c r="B168" s="24" cm="1">
        <f t="array" ref="B168">SUMPRODUCT(('TREASURY FILE'!B67:B5068=$B$4)*('TREASURY FILE'!D67:D5068="TURNOVER")*('TREASURY FILE'!A67:A5068=A168)*('TREASURY FILE'!F67:F5068))</f>
        <v>0</v>
      </c>
      <c r="C168" s="24" cm="1">
        <f t="array" ref="C168">SUMPRODUCT(('TREASURY FILE'!B67:B5068=$C$4)*('TREASURY FILE'!D67:D5068="TURNOVER")*('TREASURY FILE'!A67:A5068=A168)*('TREASURY FILE'!F67:F5068))</f>
        <v>201102379.99890035</v>
      </c>
      <c r="D168" s="24" cm="1">
        <f t="array" ref="D168">SUMPRODUCT(('TREASURY FILE'!B67:B5068=$D$4)*('TREASURY FILE'!D67:D5068="TURNOVER")*('TREASURY FILE'!A67:A5068=A168)*('TREASURY FILE'!F67:F5068))</f>
        <v>103</v>
      </c>
      <c r="E168" s="31">
        <f t="shared" si="8"/>
        <v>201102482.99890035</v>
      </c>
      <c r="G168" s="24" cm="1">
        <f t="array" ref="G168">SUMPRODUCT(('TREASURY FILE'!B67:B5068=$G$4)*('TREASURY FILE'!D67:D5068="INCOME")*('TREASURY FILE'!A67:A5068=A168)*('TREASURY FILE'!F67:F5068))</f>
        <v>0</v>
      </c>
      <c r="H168" s="24" cm="1">
        <f t="array" ref="H168">SUMPRODUCT(('TREASURY FILE'!B67:B5068=$H$4)*('TREASURY FILE'!D67:D5068="INCOME")*('TREASURY FILE'!A67:A5068=A168)*('TREASURY FILE'!F67:F5068))</f>
        <v>54120.350232813871</v>
      </c>
      <c r="I168" s="24" cm="1">
        <f t="array" ref="I168">SUMPRODUCT(('TREASURY FILE'!D72:D5068=$I$4)*('TREASURY FILE'!F72:F5068="INCOME")*('TREASURY FILE'!C72:C5068=C168)*('TREASURY FILE'!H72:H5068))</f>
        <v>0</v>
      </c>
      <c r="J168" s="31">
        <f t="shared" si="9"/>
        <v>54120.350232813871</v>
      </c>
      <c r="K168" s="33">
        <f t="shared" si="10"/>
        <v>2.6911825963436663E-4</v>
      </c>
    </row>
    <row r="169" spans="1:11" x14ac:dyDescent="0.3">
      <c r="A169" s="30">
        <v>45822</v>
      </c>
      <c r="B169" s="24" cm="1">
        <f t="array" ref="B169">SUMPRODUCT(('TREASURY FILE'!B68:B5069=$B$4)*('TREASURY FILE'!D68:D5069="TURNOVER")*('TREASURY FILE'!A68:A5069=A169)*('TREASURY FILE'!F68:F5069))</f>
        <v>0</v>
      </c>
      <c r="C169" s="24" cm="1">
        <f t="array" ref="C169">SUMPRODUCT(('TREASURY FILE'!B68:B5069=$C$4)*('TREASURY FILE'!D68:D5069="TURNOVER")*('TREASURY FILE'!A68:A5069=A169)*('TREASURY FILE'!F68:F5069))</f>
        <v>101231471.55993243</v>
      </c>
      <c r="D169" s="24" cm="1">
        <f t="array" ref="D169">SUMPRODUCT(('TREASURY FILE'!B68:B5069=$D$4)*('TREASURY FILE'!D68:D5069="TURNOVER")*('TREASURY FILE'!A68:A5069=A169)*('TREASURY FILE'!F68:F5069))</f>
        <v>0</v>
      </c>
      <c r="E169" s="31">
        <f t="shared" si="8"/>
        <v>101231471.55993243</v>
      </c>
      <c r="G169" s="24" cm="1">
        <f t="array" ref="G169">SUMPRODUCT(('TREASURY FILE'!B68:B5069=$G$4)*('TREASURY FILE'!D68:D5069="INCOME")*('TREASURY FILE'!A68:A5069=A169)*('TREASURY FILE'!F68:F5069))</f>
        <v>0</v>
      </c>
      <c r="H169" s="24" cm="1">
        <f t="array" ref="H169">SUMPRODUCT(('TREASURY FILE'!B68:B5069=$H$4)*('TREASURY FILE'!D68:D5069="INCOME")*('TREASURY FILE'!A68:A5069=A169)*('TREASURY FILE'!F68:F5069))</f>
        <v>25876.40255741508</v>
      </c>
      <c r="I169" s="24" cm="1">
        <f t="array" ref="I169">SUMPRODUCT(('TREASURY FILE'!D73:D5069=$I$4)*('TREASURY FILE'!F73:F5069="INCOME")*('TREASURY FILE'!C73:C5069=C169)*('TREASURY FILE'!H73:H5069))</f>
        <v>0</v>
      </c>
      <c r="J169" s="31">
        <f t="shared" si="9"/>
        <v>25876.40255741508</v>
      </c>
      <c r="K169" s="33">
        <f t="shared" si="10"/>
        <v>2.5561618495385975E-4</v>
      </c>
    </row>
    <row r="170" spans="1:11" x14ac:dyDescent="0.3">
      <c r="A170" s="30">
        <v>45823</v>
      </c>
      <c r="B170" s="24" cm="1">
        <f t="array" ref="B170">SUMPRODUCT(('TREASURY FILE'!B69:B5070=$B$4)*('TREASURY FILE'!D69:D5070="TURNOVER")*('TREASURY FILE'!A69:A5070=A170)*('TREASURY FILE'!F69:F5070))</f>
        <v>0</v>
      </c>
      <c r="C170" s="24" cm="1">
        <f t="array" ref="C170">SUMPRODUCT(('TREASURY FILE'!B69:B5070=$C$4)*('TREASURY FILE'!D69:D5070="TURNOVER")*('TREASURY FILE'!A69:A5070=A170)*('TREASURY FILE'!F69:F5070))</f>
        <v>99448752.722194642</v>
      </c>
      <c r="D170" s="24" cm="1">
        <f t="array" ref="D170">SUMPRODUCT(('TREASURY FILE'!B69:B5070=$D$4)*('TREASURY FILE'!D69:D5070="TURNOVER")*('TREASURY FILE'!A69:A5070=A170)*('TREASURY FILE'!F69:F5070))</f>
        <v>110.37406524821138</v>
      </c>
      <c r="E170" s="31">
        <f t="shared" si="8"/>
        <v>99448863.096259892</v>
      </c>
      <c r="G170" s="24" cm="1">
        <f t="array" ref="G170">SUMPRODUCT(('TREASURY FILE'!B69:B5070=$G$4)*('TREASURY FILE'!D69:D5070="INCOME")*('TREASURY FILE'!A69:A5070=A170)*('TREASURY FILE'!F69:F5070))</f>
        <v>0</v>
      </c>
      <c r="H170" s="24" cm="1">
        <f t="array" ref="H170">SUMPRODUCT(('TREASURY FILE'!B69:B5070=$H$4)*('TREASURY FILE'!D69:D5070="INCOME")*('TREASURY FILE'!A69:A5070=A170)*('TREASURY FILE'!F69:F5070))</f>
        <v>25617.426512124694</v>
      </c>
      <c r="I170" s="24" cm="1">
        <f t="array" ref="I170">SUMPRODUCT(('TREASURY FILE'!D74:D5070=$I$4)*('TREASURY FILE'!F74:F5070="INCOME")*('TREASURY FILE'!C74:C5070=C170)*('TREASURY FILE'!H74:H5070))</f>
        <v>0</v>
      </c>
      <c r="J170" s="31">
        <f t="shared" si="9"/>
        <v>25617.426512124694</v>
      </c>
      <c r="K170" s="33">
        <f t="shared" si="10"/>
        <v>2.5759396049936464E-4</v>
      </c>
    </row>
    <row r="171" spans="1:11" x14ac:dyDescent="0.3">
      <c r="A171" s="30">
        <v>45824</v>
      </c>
      <c r="B171" s="24" cm="1">
        <f t="array" ref="B171">SUMPRODUCT(('TREASURY FILE'!B70:B5071=$B$4)*('TREASURY FILE'!D70:D5071="TURNOVER")*('TREASURY FILE'!A70:A5071=A171)*('TREASURY FILE'!F70:F5071))</f>
        <v>0</v>
      </c>
      <c r="C171" s="24" cm="1">
        <f t="array" ref="C171">SUMPRODUCT(('TREASURY FILE'!B70:B5071=$C$4)*('TREASURY FILE'!D70:D5071="TURNOVER")*('TREASURY FILE'!A70:A5071=A171)*('TREASURY FILE'!F70:F5071))</f>
        <v>178084296.9333176</v>
      </c>
      <c r="D171" s="24" cm="1">
        <f t="array" ref="D171">SUMPRODUCT(('TREASURY FILE'!B70:B5071=$D$4)*('TREASURY FILE'!D70:D5071="TURNOVER")*('TREASURY FILE'!A70:A5071=A171)*('TREASURY FILE'!F70:F5071))</f>
        <v>48.838809989332788</v>
      </c>
      <c r="E171" s="31">
        <f t="shared" si="8"/>
        <v>178084345.7721276</v>
      </c>
      <c r="G171" s="24" cm="1">
        <f t="array" ref="G171">SUMPRODUCT(('TREASURY FILE'!B70:B5071=$G$4)*('TREASURY FILE'!D70:D5071="INCOME")*('TREASURY FILE'!A70:A5071=A171)*('TREASURY FILE'!F70:F5071))</f>
        <v>0</v>
      </c>
      <c r="H171" s="24" cm="1">
        <f t="array" ref="H171">SUMPRODUCT(('TREASURY FILE'!B70:B5071=$H$4)*('TREASURY FILE'!D70:D5071="INCOME")*('TREASURY FILE'!A70:A5071=A171)*('TREASURY FILE'!F70:F5071))</f>
        <v>47856.531770701651</v>
      </c>
      <c r="I171" s="24" cm="1">
        <f t="array" ref="I171">SUMPRODUCT(('TREASURY FILE'!D75:D5071=$I$4)*('TREASURY FILE'!F75:F5071="INCOME")*('TREASURY FILE'!C75:C5071=C171)*('TREASURY FILE'!H75:H5071))</f>
        <v>0</v>
      </c>
      <c r="J171" s="31">
        <f t="shared" si="9"/>
        <v>47856.531770701651</v>
      </c>
      <c r="K171" s="33">
        <f t="shared" si="10"/>
        <v>2.6872958183499018E-4</v>
      </c>
    </row>
    <row r="172" spans="1:11" x14ac:dyDescent="0.3">
      <c r="A172" s="30">
        <v>45825</v>
      </c>
      <c r="B172" s="24" cm="1">
        <f t="array" ref="B172">SUMPRODUCT(('TREASURY FILE'!B71:B5072=$B$4)*('TREASURY FILE'!D71:D5072="TURNOVER")*('TREASURY FILE'!A71:A5072=A172)*('TREASURY FILE'!F71:F5072))</f>
        <v>0</v>
      </c>
      <c r="C172" s="24" cm="1">
        <f t="array" ref="C172">SUMPRODUCT(('TREASURY FILE'!B71:B5072=$C$4)*('TREASURY FILE'!D71:D5072="TURNOVER")*('TREASURY FILE'!A71:A5072=A172)*('TREASURY FILE'!F71:F5072))</f>
        <v>169084612.66839242</v>
      </c>
      <c r="D172" s="24" cm="1">
        <f t="array" ref="D172">SUMPRODUCT(('TREASURY FILE'!B71:B5072=$D$4)*('TREASURY FILE'!D71:D5072="TURNOVER")*('TREASURY FILE'!A71:A5072=A172)*('TREASURY FILE'!F71:F5072))</f>
        <v>0</v>
      </c>
      <c r="E172" s="31">
        <f t="shared" si="8"/>
        <v>169084612.66839242</v>
      </c>
      <c r="G172" s="24" cm="1">
        <f t="array" ref="G172">SUMPRODUCT(('TREASURY FILE'!B71:B5072=$G$4)*('TREASURY FILE'!D71:D5072="INCOME")*('TREASURY FILE'!A71:A5072=A172)*('TREASURY FILE'!F71:F5072))</f>
        <v>0</v>
      </c>
      <c r="H172" s="24" cm="1">
        <f t="array" ref="H172">SUMPRODUCT(('TREASURY FILE'!B71:B5072=$H$4)*('TREASURY FILE'!D71:D5072="INCOME")*('TREASURY FILE'!A71:A5072=A172)*('TREASURY FILE'!F71:F5072))</f>
        <v>45149.512716079509</v>
      </c>
      <c r="I172" s="24" cm="1">
        <f t="array" ref="I172">SUMPRODUCT(('TREASURY FILE'!D76:D5072=$I$4)*('TREASURY FILE'!F76:F5072="INCOME")*('TREASURY FILE'!C76:C5072=C172)*('TREASURY FILE'!H76:H5072))</f>
        <v>0</v>
      </c>
      <c r="J172" s="31">
        <f t="shared" si="9"/>
        <v>45149.512716079509</v>
      </c>
      <c r="K172" s="33">
        <f t="shared" si="10"/>
        <v>2.6702319036343315E-4</v>
      </c>
    </row>
    <row r="173" spans="1:11" x14ac:dyDescent="0.3">
      <c r="A173" s="30">
        <v>45826</v>
      </c>
      <c r="B173" s="24" cm="1">
        <f t="array" ref="B173">SUMPRODUCT(('TREASURY FILE'!B72:B5073=$B$4)*('TREASURY FILE'!D72:D5073="TURNOVER")*('TREASURY FILE'!A72:A5073=A173)*('TREASURY FILE'!F72:F5073))</f>
        <v>0</v>
      </c>
      <c r="C173" s="24" cm="1">
        <f t="array" ref="C173">SUMPRODUCT(('TREASURY FILE'!B72:B5073=$C$4)*('TREASURY FILE'!D72:D5073="TURNOVER")*('TREASURY FILE'!A72:A5073=A173)*('TREASURY FILE'!F72:F5073))</f>
        <v>116557629.00781256</v>
      </c>
      <c r="D173" s="24" cm="1">
        <f t="array" ref="D173">SUMPRODUCT(('TREASURY FILE'!B72:B5073=$D$4)*('TREASURY FILE'!D72:D5073="TURNOVER")*('TREASURY FILE'!A72:A5073=A173)*('TREASURY FILE'!F72:F5073))</f>
        <v>0</v>
      </c>
      <c r="E173" s="31">
        <f t="shared" si="8"/>
        <v>116557629.00781256</v>
      </c>
      <c r="G173" s="24" cm="1">
        <f t="array" ref="G173">SUMPRODUCT(('TREASURY FILE'!B72:B5073=$G$4)*('TREASURY FILE'!D72:D5073="INCOME")*('TREASURY FILE'!A72:A5073=A173)*('TREASURY FILE'!F72:F5073))</f>
        <v>0</v>
      </c>
      <c r="H173" s="24" cm="1">
        <f t="array" ref="H173">SUMPRODUCT(('TREASURY FILE'!B72:B5073=$H$4)*('TREASURY FILE'!D72:D5073="INCOME")*('TREASURY FILE'!A72:A5073=A173)*('TREASURY FILE'!F72:F5073))</f>
        <v>30425.716251970967</v>
      </c>
      <c r="I173" s="24" cm="1">
        <f t="array" ref="I173">SUMPRODUCT(('TREASURY FILE'!D77:D5073=$I$4)*('TREASURY FILE'!F77:F5073="INCOME")*('TREASURY FILE'!C77:C5073=C173)*('TREASURY FILE'!H77:H5073))</f>
        <v>0</v>
      </c>
      <c r="J173" s="31">
        <f t="shared" si="9"/>
        <v>30425.716251970967</v>
      </c>
      <c r="K173" s="33">
        <f t="shared" si="10"/>
        <v>2.610358198855573E-4</v>
      </c>
    </row>
    <row r="174" spans="1:11" x14ac:dyDescent="0.3">
      <c r="A174" s="30">
        <v>45827</v>
      </c>
      <c r="B174" s="24" cm="1">
        <f t="array" ref="B174">SUMPRODUCT(('TREASURY FILE'!B73:B5074=$B$4)*('TREASURY FILE'!D73:D5074="TURNOVER")*('TREASURY FILE'!A73:A5074=A174)*('TREASURY FILE'!F73:F5074))</f>
        <v>0</v>
      </c>
      <c r="C174" s="24" cm="1">
        <f t="array" ref="C174">SUMPRODUCT(('TREASURY FILE'!B73:B5074=$C$4)*('TREASURY FILE'!D73:D5074="TURNOVER")*('TREASURY FILE'!A73:A5074=A174)*('TREASURY FILE'!F73:F5074))</f>
        <v>84664214.03292574</v>
      </c>
      <c r="D174" s="24" cm="1">
        <f t="array" ref="D174">SUMPRODUCT(('TREASURY FILE'!B73:B5074=$D$4)*('TREASURY FILE'!D73:D5074="TURNOVER")*('TREASURY FILE'!A73:A5074=A174)*('TREASURY FILE'!F73:F5074))</f>
        <v>0</v>
      </c>
      <c r="E174" s="31">
        <f t="shared" si="8"/>
        <v>84664214.03292574</v>
      </c>
      <c r="G174" s="24" cm="1">
        <f t="array" ref="G174">SUMPRODUCT(('TREASURY FILE'!B73:B5074=$G$4)*('TREASURY FILE'!D73:D5074="INCOME")*('TREASURY FILE'!A73:A5074=A174)*('TREASURY FILE'!F73:F5074))</f>
        <v>0</v>
      </c>
      <c r="H174" s="24" cm="1">
        <f t="array" ref="H174">SUMPRODUCT(('TREASURY FILE'!B73:B5074=$H$4)*('TREASURY FILE'!D73:D5074="INCOME")*('TREASURY FILE'!A73:A5074=A174)*('TREASURY FILE'!F73:F5074))</f>
        <v>21855.921119261577</v>
      </c>
      <c r="I174" s="24" cm="1">
        <f t="array" ref="I174">SUMPRODUCT(('TREASURY FILE'!D78:D5074=$I$4)*('TREASURY FILE'!F78:F5074="INCOME")*('TREASURY FILE'!C78:C5074=C174)*('TREASURY FILE'!H78:H5074))</f>
        <v>0</v>
      </c>
      <c r="J174" s="31">
        <f t="shared" si="9"/>
        <v>21855.921119261577</v>
      </c>
      <c r="K174" s="33">
        <f t="shared" si="10"/>
        <v>2.5814827869023689E-4</v>
      </c>
    </row>
    <row r="175" spans="1:11" x14ac:dyDescent="0.3">
      <c r="A175" s="30">
        <v>45828</v>
      </c>
      <c r="B175" s="24" cm="1">
        <f t="array" ref="B175">SUMPRODUCT(('TREASURY FILE'!B74:B5075=$B$4)*('TREASURY FILE'!D74:D5075="TURNOVER")*('TREASURY FILE'!A74:A5075=A175)*('TREASURY FILE'!F74:F5075))</f>
        <v>0</v>
      </c>
      <c r="C175" s="24" cm="1">
        <f t="array" ref="C175">SUMPRODUCT(('TREASURY FILE'!B74:B5075=$C$4)*('TREASURY FILE'!D74:D5075="TURNOVER")*('TREASURY FILE'!A74:A5075=A175)*('TREASURY FILE'!F74:F5075))</f>
        <v>142924732.43511239</v>
      </c>
      <c r="D175" s="24" cm="1">
        <f t="array" ref="D175">SUMPRODUCT(('TREASURY FILE'!B74:B5075=$D$4)*('TREASURY FILE'!D74:D5075="TURNOVER")*('TREASURY FILE'!A74:A5075=A175)*('TREASURY FILE'!F74:F5075))</f>
        <v>0</v>
      </c>
      <c r="E175" s="31">
        <f t="shared" si="8"/>
        <v>142924732.43511239</v>
      </c>
      <c r="G175" s="24" cm="1">
        <f t="array" ref="G175">SUMPRODUCT(('TREASURY FILE'!B74:B5075=$G$4)*('TREASURY FILE'!D74:D5075="INCOME")*('TREASURY FILE'!A74:A5075=A175)*('TREASURY FILE'!F74:F5075))</f>
        <v>0</v>
      </c>
      <c r="H175" s="24" cm="1">
        <f t="array" ref="H175">SUMPRODUCT(('TREASURY FILE'!B74:B5075=$H$4)*('TREASURY FILE'!D74:D5075="INCOME")*('TREASURY FILE'!A74:A5075=A175)*('TREASURY FILE'!F74:F5075))</f>
        <v>39176.972422799852</v>
      </c>
      <c r="I175" s="24" cm="1">
        <f t="array" ref="I175">SUMPRODUCT(('TREASURY FILE'!D79:D5075=$I$4)*('TREASURY FILE'!F79:F5075="INCOME")*('TREASURY FILE'!C79:C5075=C175)*('TREASURY FILE'!H79:H5075))</f>
        <v>0</v>
      </c>
      <c r="J175" s="31">
        <f t="shared" si="9"/>
        <v>39176.972422799852</v>
      </c>
      <c r="K175" s="33">
        <f t="shared" si="10"/>
        <v>2.7410911852212937E-4</v>
      </c>
    </row>
    <row r="176" spans="1:11" x14ac:dyDescent="0.3">
      <c r="A176" s="30">
        <v>45829</v>
      </c>
      <c r="B176" s="24" cm="1">
        <f t="array" ref="B176">SUMPRODUCT(('TREASURY FILE'!B75:B5076=$B$4)*('TREASURY FILE'!D75:D5076="TURNOVER")*('TREASURY FILE'!A75:A5076=A176)*('TREASURY FILE'!F75:F5076))</f>
        <v>0</v>
      </c>
      <c r="C176" s="24" cm="1">
        <f t="array" ref="C176">SUMPRODUCT(('TREASURY FILE'!B75:B5076=$C$4)*('TREASURY FILE'!D75:D5076="TURNOVER")*('TREASURY FILE'!A75:A5076=A176)*('TREASURY FILE'!F75:F5076))</f>
        <v>92373381.626197994</v>
      </c>
      <c r="D176" s="24" cm="1">
        <f t="array" ref="D176">SUMPRODUCT(('TREASURY FILE'!B75:B5076=$D$4)*('TREASURY FILE'!D75:D5076="TURNOVER")*('TREASURY FILE'!A75:A5076=A176)*('TREASURY FILE'!F75:F5076))</f>
        <v>0</v>
      </c>
      <c r="E176" s="31">
        <f t="shared" si="8"/>
        <v>92373381.626197994</v>
      </c>
      <c r="G176" s="24" cm="1">
        <f t="array" ref="G176">SUMPRODUCT(('TREASURY FILE'!B75:B5076=$G$4)*('TREASURY FILE'!D75:D5076="INCOME")*('TREASURY FILE'!A75:A5076=A176)*('TREASURY FILE'!F75:F5076))</f>
        <v>0</v>
      </c>
      <c r="H176" s="24" cm="1">
        <f t="array" ref="H176">SUMPRODUCT(('TREASURY FILE'!B75:B5076=$H$4)*('TREASURY FILE'!D75:D5076="INCOME")*('TREASURY FILE'!A75:A5076=A176)*('TREASURY FILE'!F75:F5076))</f>
        <v>24817.600042833365</v>
      </c>
      <c r="I176" s="24" cm="1">
        <f t="array" ref="I176">SUMPRODUCT(('TREASURY FILE'!D80:D5076=$I$4)*('TREASURY FILE'!F80:F5076="INCOME")*('TREASURY FILE'!C80:C5076=C176)*('TREASURY FILE'!H80:H5076))</f>
        <v>0</v>
      </c>
      <c r="J176" s="31">
        <f t="shared" si="9"/>
        <v>24817.600042833365</v>
      </c>
      <c r="K176" s="33">
        <f t="shared" si="10"/>
        <v>2.6866614175998567E-4</v>
      </c>
    </row>
    <row r="177" spans="1:11" x14ac:dyDescent="0.3">
      <c r="A177" s="30">
        <v>45830</v>
      </c>
      <c r="B177" s="24" cm="1">
        <f t="array" ref="B177">SUMPRODUCT(('TREASURY FILE'!B76:B5077=$B$4)*('TREASURY FILE'!D76:D5077="TURNOVER")*('TREASURY FILE'!A76:A5077=A177)*('TREASURY FILE'!F76:F5077))</f>
        <v>0</v>
      </c>
      <c r="C177" s="24" cm="1">
        <f t="array" ref="C177">SUMPRODUCT(('TREASURY FILE'!B76:B5077=$C$4)*('TREASURY FILE'!D76:D5077="TURNOVER")*('TREASURY FILE'!A76:A5077=A177)*('TREASURY FILE'!F76:F5077))</f>
        <v>159076093.33923638</v>
      </c>
      <c r="D177" s="24" cm="1">
        <f t="array" ref="D177">SUMPRODUCT(('TREASURY FILE'!B76:B5077=$D$4)*('TREASURY FILE'!D76:D5077="TURNOVER")*('TREASURY FILE'!A76:A5077=A177)*('TREASURY FILE'!F76:F5077))</f>
        <v>0</v>
      </c>
      <c r="E177" s="31">
        <f t="shared" si="8"/>
        <v>159076093.33923638</v>
      </c>
      <c r="G177" s="24" cm="1">
        <f t="array" ref="G177">SUMPRODUCT(('TREASURY FILE'!B76:B5077=$G$4)*('TREASURY FILE'!D76:D5077="INCOME")*('TREASURY FILE'!A76:A5077=A177)*('TREASURY FILE'!F76:F5077))</f>
        <v>0</v>
      </c>
      <c r="H177" s="24" cm="1">
        <f t="array" ref="H177">SUMPRODUCT(('TREASURY FILE'!B76:B5077=$H$4)*('TREASURY FILE'!D76:D5077="INCOME")*('TREASURY FILE'!A76:A5077=A177)*('TREASURY FILE'!F76:F5077))</f>
        <v>44032.917245063334</v>
      </c>
      <c r="I177" s="24" cm="1">
        <f t="array" ref="I177">SUMPRODUCT(('TREASURY FILE'!D81:D5077=$I$4)*('TREASURY FILE'!F81:F5077="INCOME")*('TREASURY FILE'!C81:C5077=C177)*('TREASURY FILE'!H81:H5077))</f>
        <v>0</v>
      </c>
      <c r="J177" s="31">
        <f t="shared" si="9"/>
        <v>44032.917245063334</v>
      </c>
      <c r="K177" s="33">
        <f t="shared" si="10"/>
        <v>2.7680411506687754E-4</v>
      </c>
    </row>
    <row r="178" spans="1:11" x14ac:dyDescent="0.3">
      <c r="A178" s="30">
        <v>45831</v>
      </c>
      <c r="B178" s="24" cm="1">
        <f t="array" ref="B178">SUMPRODUCT(('TREASURY FILE'!B77:B5078=$B$4)*('TREASURY FILE'!D77:D5078="TURNOVER")*('TREASURY FILE'!A77:A5078=A178)*('TREASURY FILE'!F77:F5078))</f>
        <v>0</v>
      </c>
      <c r="C178" s="24" cm="1">
        <f t="array" ref="C178">SUMPRODUCT(('TREASURY FILE'!B77:B5078=$C$4)*('TREASURY FILE'!D77:D5078="TURNOVER")*('TREASURY FILE'!A77:A5078=A178)*('TREASURY FILE'!F77:F5078))</f>
        <v>203087931.64375639</v>
      </c>
      <c r="D178" s="24" cm="1">
        <f t="array" ref="D178">SUMPRODUCT(('TREASURY FILE'!B77:B5078=$D$4)*('TREASURY FILE'!D77:D5078="TURNOVER")*('TREASURY FILE'!A77:A5078=A178)*('TREASURY FILE'!F77:F5078))</f>
        <v>0</v>
      </c>
      <c r="E178" s="31">
        <f t="shared" si="8"/>
        <v>203087931.64375639</v>
      </c>
      <c r="G178" s="24" cm="1">
        <f t="array" ref="G178">SUMPRODUCT(('TREASURY FILE'!B77:B5078=$G$4)*('TREASURY FILE'!D77:D5078="INCOME")*('TREASURY FILE'!A77:A5078=A178)*('TREASURY FILE'!F77:F5078))</f>
        <v>0</v>
      </c>
      <c r="H178" s="24" cm="1">
        <f t="array" ref="H178">SUMPRODUCT(('TREASURY FILE'!B77:B5078=$H$4)*('TREASURY FILE'!D77:D5078="INCOME")*('TREASURY FILE'!A77:A5078=A178)*('TREASURY FILE'!F77:F5078))</f>
        <v>55667.221950645653</v>
      </c>
      <c r="I178" s="24" cm="1">
        <f t="array" ref="I178">SUMPRODUCT(('TREASURY FILE'!D82:D5078=$I$4)*('TREASURY FILE'!F82:F5078="INCOME")*('TREASURY FILE'!C82:C5078=C178)*('TREASURY FILE'!H82:H5078))</f>
        <v>0</v>
      </c>
      <c r="J178" s="31">
        <f t="shared" si="9"/>
        <v>55667.221950645653</v>
      </c>
      <c r="K178" s="33">
        <f t="shared" si="10"/>
        <v>2.7410403710395489E-4</v>
      </c>
    </row>
    <row r="179" spans="1:11" x14ac:dyDescent="0.3">
      <c r="A179" s="30">
        <v>45832</v>
      </c>
      <c r="B179" s="24" cm="1">
        <f t="array" ref="B179">SUMPRODUCT(('TREASURY FILE'!B78:B5079=$B$4)*('TREASURY FILE'!D78:D5079="TURNOVER")*('TREASURY FILE'!A78:A5079=A179)*('TREASURY FILE'!F78:F5079))</f>
        <v>0</v>
      </c>
      <c r="C179" s="24" cm="1">
        <f t="array" ref="C179">SUMPRODUCT(('TREASURY FILE'!B78:B5079=$C$4)*('TREASURY FILE'!D78:D5079="TURNOVER")*('TREASURY FILE'!A78:A5079=A179)*('TREASURY FILE'!F78:F5079))</f>
        <v>189823785.5028176</v>
      </c>
      <c r="D179" s="24" cm="1">
        <f t="array" ref="D179">SUMPRODUCT(('TREASURY FILE'!B78:B5079=$D$4)*('TREASURY FILE'!D78:D5079="TURNOVER")*('TREASURY FILE'!A78:A5079=A179)*('TREASURY FILE'!F78:F5079))</f>
        <v>996</v>
      </c>
      <c r="E179" s="31">
        <f t="shared" si="8"/>
        <v>189824781.5028176</v>
      </c>
      <c r="G179" s="24" cm="1">
        <f t="array" ref="G179">SUMPRODUCT(('TREASURY FILE'!B78:B5079=$G$4)*('TREASURY FILE'!D78:D5079="INCOME")*('TREASURY FILE'!A78:A5079=A179)*('TREASURY FILE'!F78:F5079))</f>
        <v>0</v>
      </c>
      <c r="H179" s="24" cm="1">
        <f t="array" ref="H179">SUMPRODUCT(('TREASURY FILE'!B78:B5079=$H$4)*('TREASURY FILE'!D78:D5079="INCOME")*('TREASURY FILE'!A78:A5079=A179)*('TREASURY FILE'!F78:F5079))</f>
        <v>51455.28939057063</v>
      </c>
      <c r="I179" s="24" cm="1">
        <f t="array" ref="I179">SUMPRODUCT(('TREASURY FILE'!D83:D5079=$I$4)*('TREASURY FILE'!F83:F5079="INCOME")*('TREASURY FILE'!C83:C5079=C179)*('TREASURY FILE'!H83:H5079))</f>
        <v>0</v>
      </c>
      <c r="J179" s="31">
        <f t="shared" si="9"/>
        <v>51455.28939057063</v>
      </c>
      <c r="K179" s="33">
        <f t="shared" si="10"/>
        <v>2.7106729154753102E-4</v>
      </c>
    </row>
    <row r="180" spans="1:11" x14ac:dyDescent="0.3">
      <c r="A180" s="30">
        <v>45833</v>
      </c>
      <c r="B180" s="24" cm="1">
        <f t="array" ref="B180">SUMPRODUCT(('TREASURY FILE'!B79:B5080=$B$4)*('TREASURY FILE'!D79:D5080="TURNOVER")*('TREASURY FILE'!A79:A5080=A180)*('TREASURY FILE'!F79:F5080))</f>
        <v>0</v>
      </c>
      <c r="C180" s="24" cm="1">
        <f t="array" ref="C180">SUMPRODUCT(('TREASURY FILE'!B79:B5080=$C$4)*('TREASURY FILE'!D79:D5080="TURNOVER")*('TREASURY FILE'!A79:A5080=A180)*('TREASURY FILE'!F79:F5080))</f>
        <v>141555124.3527171</v>
      </c>
      <c r="D180" s="24" cm="1">
        <f t="array" ref="D180">SUMPRODUCT(('TREASURY FILE'!B79:B5080=$D$4)*('TREASURY FILE'!D79:D5080="TURNOVER")*('TREASURY FILE'!A79:A5080=A180)*('TREASURY FILE'!F79:F5080))</f>
        <v>0</v>
      </c>
      <c r="E180" s="31">
        <f t="shared" si="8"/>
        <v>141555124.3527171</v>
      </c>
      <c r="G180" s="24" cm="1">
        <f t="array" ref="G180">SUMPRODUCT(('TREASURY FILE'!B79:B5080=$G$4)*('TREASURY FILE'!D79:D5080="INCOME")*('TREASURY FILE'!A79:A5080=A180)*('TREASURY FILE'!F79:F5080))</f>
        <v>0</v>
      </c>
      <c r="H180" s="24" cm="1">
        <f t="array" ref="H180">SUMPRODUCT(('TREASURY FILE'!B79:B5080=$H$4)*('TREASURY FILE'!D79:D5080="INCOME")*('TREASURY FILE'!A79:A5080=A180)*('TREASURY FILE'!F79:F5080))</f>
        <v>37513.150818002076</v>
      </c>
      <c r="I180" s="24" cm="1">
        <f t="array" ref="I180">SUMPRODUCT(('TREASURY FILE'!D84:D5080=$I$4)*('TREASURY FILE'!F84:F5080="INCOME")*('TREASURY FILE'!C84:C5080=C180)*('TREASURY FILE'!H84:H5080))</f>
        <v>0</v>
      </c>
      <c r="J180" s="31">
        <f t="shared" si="9"/>
        <v>37513.150818002076</v>
      </c>
      <c r="K180" s="33">
        <f t="shared" si="10"/>
        <v>2.6500736719731492E-4</v>
      </c>
    </row>
    <row r="181" spans="1:11" x14ac:dyDescent="0.3">
      <c r="A181" s="30">
        <v>45834</v>
      </c>
      <c r="B181" s="24" cm="1">
        <f t="array" ref="B181">SUMPRODUCT(('TREASURY FILE'!B80:B5081=$B$4)*('TREASURY FILE'!D80:D5081="TURNOVER")*('TREASURY FILE'!A80:A5081=A181)*('TREASURY FILE'!F80:F5081))</f>
        <v>0</v>
      </c>
      <c r="C181" s="24" cm="1">
        <f t="array" ref="C181">SUMPRODUCT(('TREASURY FILE'!B80:B5081=$C$4)*('TREASURY FILE'!D80:D5081="TURNOVER")*('TREASURY FILE'!A80:A5081=A181)*('TREASURY FILE'!F80:F5081))</f>
        <v>136126181.31933069</v>
      </c>
      <c r="D181" s="24" cm="1">
        <f t="array" ref="D181">SUMPRODUCT(('TREASURY FILE'!B80:B5081=$D$4)*('TREASURY FILE'!D80:D5081="TURNOVER")*('TREASURY FILE'!A80:A5081=A181)*('TREASURY FILE'!F80:F5081))</f>
        <v>0</v>
      </c>
      <c r="E181" s="31">
        <f t="shared" si="8"/>
        <v>136126181.31933069</v>
      </c>
      <c r="G181" s="24" cm="1">
        <f t="array" ref="G181">SUMPRODUCT(('TREASURY FILE'!B80:B5081=$G$4)*('TREASURY FILE'!D80:D5081="INCOME")*('TREASURY FILE'!A80:A5081=A181)*('TREASURY FILE'!F80:F5081))</f>
        <v>0</v>
      </c>
      <c r="H181" s="24" cm="1">
        <f t="array" ref="H181">SUMPRODUCT(('TREASURY FILE'!B80:B5081=$H$4)*('TREASURY FILE'!D80:D5081="INCOME")*('TREASURY FILE'!A80:A5081=A181)*('TREASURY FILE'!F80:F5081))</f>
        <v>35847.64024378272</v>
      </c>
      <c r="I181" s="24" cm="1">
        <f t="array" ref="I181">SUMPRODUCT(('TREASURY FILE'!D85:D5081=$I$4)*('TREASURY FILE'!F85:F5081="INCOME")*('TREASURY FILE'!C85:C5081=C181)*('TREASURY FILE'!H85:H5081))</f>
        <v>0</v>
      </c>
      <c r="J181" s="31">
        <f t="shared" si="9"/>
        <v>35847.64024378272</v>
      </c>
      <c r="K181" s="33">
        <f t="shared" si="10"/>
        <v>2.6334126100026101E-4</v>
      </c>
    </row>
    <row r="182" spans="1:11" x14ac:dyDescent="0.3">
      <c r="A182" s="30">
        <v>45835</v>
      </c>
      <c r="B182" s="24" cm="1">
        <f t="array" ref="B182">SUMPRODUCT(('TREASURY FILE'!B81:B5082=$B$4)*('TREASURY FILE'!D81:D5082="TURNOVER")*('TREASURY FILE'!A81:A5082=A182)*('TREASURY FILE'!F81:F5082))</f>
        <v>0</v>
      </c>
      <c r="C182" s="24" cm="1">
        <f t="array" ref="C182">SUMPRODUCT(('TREASURY FILE'!B81:B5082=$C$4)*('TREASURY FILE'!D81:D5082="TURNOVER")*('TREASURY FILE'!A81:A5082=A182)*('TREASURY FILE'!F81:F5082))</f>
        <v>118924051.24062368</v>
      </c>
      <c r="D182" s="24" cm="1">
        <f t="array" ref="D182">SUMPRODUCT(('TREASURY FILE'!B81:B5082=$D$4)*('TREASURY FILE'!D81:D5082="TURNOVER")*('TREASURY FILE'!A81:A5082=A182)*('TREASURY FILE'!F81:F5082))</f>
        <v>0</v>
      </c>
      <c r="E182" s="31">
        <f t="shared" si="8"/>
        <v>118924051.24062368</v>
      </c>
      <c r="G182" s="24" cm="1">
        <f t="array" ref="G182">SUMPRODUCT(('TREASURY FILE'!B81:B5082=$G$4)*('TREASURY FILE'!D81:D5082="INCOME")*('TREASURY FILE'!A81:A5082=A182)*('TREASURY FILE'!F81:F5082))</f>
        <v>0</v>
      </c>
      <c r="H182" s="24" cm="1">
        <f t="array" ref="H182">SUMPRODUCT(('TREASURY FILE'!B81:B5082=$H$4)*('TREASURY FILE'!D81:D5082="INCOME")*('TREASURY FILE'!A81:A5082=A182)*('TREASURY FILE'!F81:F5082))</f>
        <v>32949.748854659978</v>
      </c>
      <c r="I182" s="24" cm="1">
        <f t="array" ref="I182">SUMPRODUCT(('TREASURY FILE'!D86:D5082=$I$4)*('TREASURY FILE'!F86:F5082="INCOME")*('TREASURY FILE'!C86:C5082=C182)*('TREASURY FILE'!H86:H5082))</f>
        <v>0</v>
      </c>
      <c r="J182" s="31">
        <f t="shared" si="9"/>
        <v>32949.748854659978</v>
      </c>
      <c r="K182" s="33">
        <f t="shared" si="10"/>
        <v>2.77065475914468E-4</v>
      </c>
    </row>
    <row r="183" spans="1:11" x14ac:dyDescent="0.3">
      <c r="A183" s="30">
        <v>45836</v>
      </c>
      <c r="B183" s="24" cm="1">
        <f t="array" ref="B183">SUMPRODUCT(('TREASURY FILE'!B82:B5083=$B$4)*('TREASURY FILE'!D82:D5083="TURNOVER")*('TREASURY FILE'!A82:A5083=A183)*('TREASURY FILE'!F82:F5083))</f>
        <v>0</v>
      </c>
      <c r="C183" s="24" cm="1">
        <f t="array" ref="C183">SUMPRODUCT(('TREASURY FILE'!B82:B5083=$C$4)*('TREASURY FILE'!D82:D5083="TURNOVER")*('TREASURY FILE'!A82:A5083=A183)*('TREASURY FILE'!F82:F5083))</f>
        <v>109019666.84969382</v>
      </c>
      <c r="D183" s="24" cm="1">
        <f t="array" ref="D183">SUMPRODUCT(('TREASURY FILE'!B82:B5083=$D$4)*('TREASURY FILE'!D82:D5083="TURNOVER")*('TREASURY FILE'!A82:A5083=A183)*('TREASURY FILE'!F82:F5083))</f>
        <v>0</v>
      </c>
      <c r="E183" s="31">
        <f t="shared" si="8"/>
        <v>109019666.84969382</v>
      </c>
      <c r="G183" s="24" cm="1">
        <f t="array" ref="G183">SUMPRODUCT(('TREASURY FILE'!B82:B5083=$G$4)*('TREASURY FILE'!D82:D5083="INCOME")*('TREASURY FILE'!A82:A5083=A183)*('TREASURY FILE'!F82:F5083))</f>
        <v>0</v>
      </c>
      <c r="H183" s="24" cm="1">
        <f t="array" ref="H183">SUMPRODUCT(('TREASURY FILE'!B82:B5083=$H$4)*('TREASURY FILE'!D82:D5083="INCOME")*('TREASURY FILE'!A82:A5083=A183)*('TREASURY FILE'!F82:F5083))</f>
        <v>28376.757180209999</v>
      </c>
      <c r="I183" s="24" cm="1">
        <f t="array" ref="I183">SUMPRODUCT(('TREASURY FILE'!D87:D5083=$I$4)*('TREASURY FILE'!F87:F5083="INCOME")*('TREASURY FILE'!C87:C5083=C183)*('TREASURY FILE'!H87:H5083))</f>
        <v>0</v>
      </c>
      <c r="J183" s="31">
        <f t="shared" si="9"/>
        <v>28376.757180209999</v>
      </c>
      <c r="K183" s="33">
        <f t="shared" si="10"/>
        <v>2.6029025771408048E-4</v>
      </c>
    </row>
    <row r="184" spans="1:11" x14ac:dyDescent="0.3">
      <c r="A184" s="30">
        <v>45837</v>
      </c>
      <c r="B184" s="24" cm="1">
        <f t="array" ref="B184">SUMPRODUCT(('TREASURY FILE'!B83:B5084=$B$4)*('TREASURY FILE'!D83:D5084="TURNOVER")*('TREASURY FILE'!A83:A5084=A184)*('TREASURY FILE'!F83:F5084))</f>
        <v>0</v>
      </c>
      <c r="C184" s="24" cm="1">
        <f t="array" ref="C184">SUMPRODUCT(('TREASURY FILE'!B83:B5084=$C$4)*('TREASURY FILE'!D83:D5084="TURNOVER")*('TREASURY FILE'!A83:A5084=A184)*('TREASURY FILE'!F83:F5084))</f>
        <v>138462372.68973231</v>
      </c>
      <c r="D184" s="24" cm="1">
        <f t="array" ref="D184">SUMPRODUCT(('TREASURY FILE'!B83:B5084=$D$4)*('TREASURY FILE'!D83:D5084="TURNOVER")*('TREASURY FILE'!A83:A5084=A184)*('TREASURY FILE'!F83:F5084))</f>
        <v>0</v>
      </c>
      <c r="E184" s="31">
        <f t="shared" si="8"/>
        <v>138462372.68973231</v>
      </c>
      <c r="G184" s="24" cm="1">
        <f t="array" ref="G184">SUMPRODUCT(('TREASURY FILE'!B83:B5084=$G$4)*('TREASURY FILE'!D83:D5084="INCOME")*('TREASURY FILE'!A83:A5084=A184)*('TREASURY FILE'!F83:F5084))</f>
        <v>0</v>
      </c>
      <c r="H184" s="24" cm="1">
        <f t="array" ref="H184">SUMPRODUCT(('TREASURY FILE'!B83:B5084=$H$4)*('TREASURY FILE'!D83:D5084="INCOME")*('TREASURY FILE'!A83:A5084=A184)*('TREASURY FILE'!F83:F5084))</f>
        <v>37400.434849438803</v>
      </c>
      <c r="I184" s="24" cm="1">
        <f t="array" ref="I184">SUMPRODUCT(('TREASURY FILE'!D88:D5084=$I$4)*('TREASURY FILE'!F88:F5084="INCOME")*('TREASURY FILE'!C88:C5084=C184)*('TREASURY FILE'!H88:H5084))</f>
        <v>0</v>
      </c>
      <c r="J184" s="31">
        <f t="shared" si="9"/>
        <v>37400.434849438803</v>
      </c>
      <c r="K184" s="33">
        <f t="shared" si="10"/>
        <v>2.7011262426685423E-4</v>
      </c>
    </row>
    <row r="185" spans="1:11" x14ac:dyDescent="0.3">
      <c r="A185" s="30">
        <v>45838</v>
      </c>
      <c r="B185" s="24" cm="1">
        <f t="array" ref="B185">SUMPRODUCT(('TREASURY FILE'!B84:B5085=$B$4)*('TREASURY FILE'!D84:D5085="TURNOVER")*('TREASURY FILE'!A84:A5085=A185)*('TREASURY FILE'!F84:F5085))</f>
        <v>0</v>
      </c>
      <c r="C185" s="24" cm="1">
        <f t="array" ref="C185">SUMPRODUCT(('TREASURY FILE'!B84:B5085=$C$4)*('TREASURY FILE'!D84:D5085="TURNOVER")*('TREASURY FILE'!A84:A5085=A185)*('TREASURY FILE'!F84:F5085))</f>
        <v>183927642.89186084</v>
      </c>
      <c r="D185" s="24" cm="1">
        <f t="array" ref="D185">SUMPRODUCT(('TREASURY FILE'!B84:B5085=$D$4)*('TREASURY FILE'!D84:D5085="TURNOVER")*('TREASURY FILE'!A84:A5085=A185)*('TREASURY FILE'!F84:F5085))</f>
        <v>0</v>
      </c>
      <c r="E185" s="31">
        <f t="shared" si="8"/>
        <v>183927642.89186084</v>
      </c>
      <c r="G185" s="24" cm="1">
        <f t="array" ref="G185">SUMPRODUCT(('TREASURY FILE'!B84:B5085=$G$4)*('TREASURY FILE'!D84:D5085="INCOME")*('TREASURY FILE'!A84:A5085=A185)*('TREASURY FILE'!F84:F5085))</f>
        <v>0</v>
      </c>
      <c r="H185" s="24" cm="1">
        <f t="array" ref="H185">SUMPRODUCT(('TREASURY FILE'!B84:B5085=$H$4)*('TREASURY FILE'!D84:D5085="INCOME")*('TREASURY FILE'!A84:A5085=A185)*('TREASURY FILE'!F84:F5085))</f>
        <v>51051.701126226792</v>
      </c>
      <c r="I185" s="24" cm="1">
        <f t="array" ref="I185">SUMPRODUCT(('TREASURY FILE'!D89:D5085=$I$4)*('TREASURY FILE'!F89:F5085="INCOME")*('TREASURY FILE'!C89:C5085=C185)*('TREASURY FILE'!H89:H5085))</f>
        <v>0</v>
      </c>
      <c r="J185" s="31">
        <f t="shared" si="9"/>
        <v>51051.701126226792</v>
      </c>
      <c r="K185" s="33">
        <f t="shared" si="10"/>
        <v>2.7756404814170503E-4</v>
      </c>
    </row>
    <row r="186" spans="1:11" x14ac:dyDescent="0.3">
      <c r="A186" s="30">
        <v>45839</v>
      </c>
      <c r="B186" s="24" cm="1">
        <f t="array" ref="B186">SUMPRODUCT(('TREASURY FILE'!B85:B5086=$B$4)*('TREASURY FILE'!D85:D5086="TURNOVER")*('TREASURY FILE'!A85:A5086=A186)*('TREASURY FILE'!F85:F5086))</f>
        <v>0</v>
      </c>
      <c r="C186" s="24" cm="1">
        <f t="array" ref="C186">SUMPRODUCT(('TREASURY FILE'!B85:B5086=$C$4)*('TREASURY FILE'!D85:D5086="TURNOVER")*('TREASURY FILE'!A85:A5086=A186)*('TREASURY FILE'!F85:F5086))</f>
        <v>140377180.72796699</v>
      </c>
      <c r="D186" s="24" cm="1">
        <f t="array" ref="D186">SUMPRODUCT(('TREASURY FILE'!B85:B5086=$D$4)*('TREASURY FILE'!D85:D5086="TURNOVER")*('TREASURY FILE'!A85:A5086=A186)*('TREASURY FILE'!F85:F5086))</f>
        <v>0</v>
      </c>
      <c r="E186" s="31">
        <f t="shared" si="8"/>
        <v>140377180.72796699</v>
      </c>
      <c r="G186" s="24" cm="1">
        <f t="array" ref="G186">SUMPRODUCT(('TREASURY FILE'!B85:B5086=$G$4)*('TREASURY FILE'!D85:D5086="INCOME")*('TREASURY FILE'!A85:A5086=A186)*('TREASURY FILE'!F85:F5086))</f>
        <v>0</v>
      </c>
      <c r="H186" s="24" cm="1">
        <f t="array" ref="H186">SUMPRODUCT(('TREASURY FILE'!B85:B5086=$H$4)*('TREASURY FILE'!D85:D5086="INCOME")*('TREASURY FILE'!A85:A5086=A186)*('TREASURY FILE'!F85:F5086))</f>
        <v>36475.712187819634</v>
      </c>
      <c r="I186" s="24" cm="1">
        <f t="array" ref="I186">SUMPRODUCT(('TREASURY FILE'!D90:D5086=$I$4)*('TREASURY FILE'!F90:F5086="INCOME")*('TREASURY FILE'!C90:C5086=C186)*('TREASURY FILE'!H90:H5086))</f>
        <v>0</v>
      </c>
      <c r="J186" s="31">
        <f t="shared" si="9"/>
        <v>36475.712187819634</v>
      </c>
      <c r="K186" s="33">
        <f t="shared" si="10"/>
        <v>2.598407518847732E-4</v>
      </c>
    </row>
    <row r="187" spans="1:11" x14ac:dyDescent="0.3">
      <c r="A187" s="30">
        <v>45840</v>
      </c>
      <c r="B187" s="24" cm="1">
        <f t="array" ref="B187">SUMPRODUCT(('TREASURY FILE'!B86:B5087=$B$4)*('TREASURY FILE'!D86:D5087="TURNOVER")*('TREASURY FILE'!A86:A5087=A187)*('TREASURY FILE'!F86:F5087))</f>
        <v>0</v>
      </c>
      <c r="C187" s="24" cm="1">
        <f t="array" ref="C187">SUMPRODUCT(('TREASURY FILE'!B86:B5087=$C$4)*('TREASURY FILE'!D86:D5087="TURNOVER")*('TREASURY FILE'!A86:A5087=A187)*('TREASURY FILE'!F86:F5087))</f>
        <v>192997843.41204214</v>
      </c>
      <c r="D187" s="24" cm="1">
        <f t="array" ref="D187">SUMPRODUCT(('TREASURY FILE'!B86:B5087=$D$4)*('TREASURY FILE'!D86:D5087="TURNOVER")*('TREASURY FILE'!A86:A5087=A187)*('TREASURY FILE'!F86:F5087))</f>
        <v>0</v>
      </c>
      <c r="E187" s="31">
        <f t="shared" si="8"/>
        <v>192997843.41204214</v>
      </c>
      <c r="G187" s="24" cm="1">
        <f t="array" ref="G187">SUMPRODUCT(('TREASURY FILE'!B86:B5087=$G$4)*('TREASURY FILE'!D86:D5087="INCOME")*('TREASURY FILE'!A86:A5087=A187)*('TREASURY FILE'!F86:F5087))</f>
        <v>0</v>
      </c>
      <c r="H187" s="24" cm="1">
        <f t="array" ref="H187">SUMPRODUCT(('TREASURY FILE'!B86:B5087=$H$4)*('TREASURY FILE'!D86:D5087="INCOME")*('TREASURY FILE'!A86:A5087=A187)*('TREASURY FILE'!F86:F5087))</f>
        <v>54057.771020624183</v>
      </c>
      <c r="I187" s="24" cm="1">
        <f t="array" ref="I187">SUMPRODUCT(('TREASURY FILE'!D91:D5087=$I$4)*('TREASURY FILE'!F91:F5087="INCOME")*('TREASURY FILE'!C91:C5087=C187)*('TREASURY FILE'!H91:H5087))</f>
        <v>0</v>
      </c>
      <c r="J187" s="31">
        <f t="shared" si="9"/>
        <v>54057.771020624183</v>
      </c>
      <c r="K187" s="33">
        <f t="shared" si="10"/>
        <v>2.8009520761956472E-4</v>
      </c>
    </row>
    <row r="188" spans="1:11" x14ac:dyDescent="0.3">
      <c r="A188" s="30">
        <v>45841</v>
      </c>
      <c r="B188" s="24" cm="1">
        <f t="array" ref="B188">SUMPRODUCT(('TREASURY FILE'!B87:B5088=$B$4)*('TREASURY FILE'!D87:D5088="TURNOVER")*('TREASURY FILE'!A87:A5088=A188)*('TREASURY FILE'!F87:F5088))</f>
        <v>0</v>
      </c>
      <c r="C188" s="24" cm="1">
        <f t="array" ref="C188">SUMPRODUCT(('TREASURY FILE'!B87:B5088=$C$4)*('TREASURY FILE'!D87:D5088="TURNOVER")*('TREASURY FILE'!A87:A5088=A188)*('TREASURY FILE'!F87:F5088))</f>
        <v>206615623.63690633</v>
      </c>
      <c r="D188" s="24" cm="1">
        <f t="array" ref="D188">SUMPRODUCT(('TREASURY FILE'!B87:B5088=$D$4)*('TREASURY FILE'!D87:D5088="TURNOVER")*('TREASURY FILE'!A87:A5088=A188)*('TREASURY FILE'!F87:F5088))</f>
        <v>0</v>
      </c>
      <c r="E188" s="31">
        <f t="shared" si="8"/>
        <v>206615623.63690633</v>
      </c>
      <c r="G188" s="24" cm="1">
        <f t="array" ref="G188">SUMPRODUCT(('TREASURY FILE'!B87:B5088=$G$4)*('TREASURY FILE'!D87:D5088="INCOME")*('TREASURY FILE'!A87:A5088=A188)*('TREASURY FILE'!F87:F5088))</f>
        <v>0</v>
      </c>
      <c r="H188" s="24" cm="1">
        <f t="array" ref="H188">SUMPRODUCT(('TREASURY FILE'!B87:B5088=$H$4)*('TREASURY FILE'!D87:D5088="INCOME")*('TREASURY FILE'!A87:A5088=A188)*('TREASURY FILE'!F87:F5088))</f>
        <v>56542.621015743047</v>
      </c>
      <c r="I188" s="24" cm="1">
        <f t="array" ref="I188">SUMPRODUCT(('TREASURY FILE'!D92:D5088=$I$4)*('TREASURY FILE'!F92:F5088="INCOME")*('TREASURY FILE'!C92:C5088=C188)*('TREASURY FILE'!H92:H5088))</f>
        <v>0</v>
      </c>
      <c r="J188" s="31">
        <f t="shared" si="9"/>
        <v>56542.621015743047</v>
      </c>
      <c r="K188" s="33">
        <f t="shared" si="10"/>
        <v>2.7366091692614493E-4</v>
      </c>
    </row>
    <row r="189" spans="1:11" x14ac:dyDescent="0.3">
      <c r="A189" s="30">
        <v>45842</v>
      </c>
      <c r="B189" s="24" cm="1">
        <f t="array" ref="B189">SUMPRODUCT(('TREASURY FILE'!B88:B5089=$B$4)*('TREASURY FILE'!D88:D5089="TURNOVER")*('TREASURY FILE'!A88:A5089=A189)*('TREASURY FILE'!F88:F5089))</f>
        <v>0</v>
      </c>
      <c r="C189" s="24" cm="1">
        <f t="array" ref="C189">SUMPRODUCT(('TREASURY FILE'!B88:B5089=$C$4)*('TREASURY FILE'!D88:D5089="TURNOVER")*('TREASURY FILE'!A88:A5089=A189)*('TREASURY FILE'!F88:F5089))</f>
        <v>128312206.59468997</v>
      </c>
      <c r="D189" s="24" cm="1">
        <f t="array" ref="D189">SUMPRODUCT(('TREASURY FILE'!B88:B5089=$D$4)*('TREASURY FILE'!D88:D5089="TURNOVER")*('TREASURY FILE'!A88:A5089=A189)*('TREASURY FILE'!F88:F5089))</f>
        <v>0</v>
      </c>
      <c r="E189" s="31">
        <f t="shared" si="8"/>
        <v>128312206.59468997</v>
      </c>
      <c r="G189" s="24" cm="1">
        <f t="array" ref="G189">SUMPRODUCT(('TREASURY FILE'!B88:B5089=$G$4)*('TREASURY FILE'!D88:D5089="INCOME")*('TREASURY FILE'!A88:A5089=A189)*('TREASURY FILE'!F88:F5089))</f>
        <v>0</v>
      </c>
      <c r="H189" s="24" cm="1">
        <f t="array" ref="H189">SUMPRODUCT(('TREASURY FILE'!B88:B5089=$H$4)*('TREASURY FILE'!D88:D5089="INCOME")*('TREASURY FILE'!A88:A5089=A189)*('TREASURY FILE'!F88:F5089))</f>
        <v>34246.341719312579</v>
      </c>
      <c r="I189" s="24" cm="1">
        <f t="array" ref="I189">SUMPRODUCT(('TREASURY FILE'!D93:D5089=$I$4)*('TREASURY FILE'!F93:F5089="INCOME")*('TREASURY FILE'!C93:C5089=C189)*('TREASURY FILE'!H93:H5089))</f>
        <v>0</v>
      </c>
      <c r="J189" s="31">
        <f t="shared" si="9"/>
        <v>34246.341719312579</v>
      </c>
      <c r="K189" s="33">
        <f t="shared" si="10"/>
        <v>2.6689854868983153E-4</v>
      </c>
    </row>
    <row r="190" spans="1:11" x14ac:dyDescent="0.3">
      <c r="A190" s="30">
        <v>45843</v>
      </c>
      <c r="B190" s="24" cm="1">
        <f t="array" ref="B190">SUMPRODUCT(('TREASURY FILE'!B89:B5090=$B$4)*('TREASURY FILE'!D89:D5090="TURNOVER")*('TREASURY FILE'!A89:A5090=A190)*('TREASURY FILE'!F89:F5090))</f>
        <v>0</v>
      </c>
      <c r="C190" s="24" cm="1">
        <f t="array" ref="C190">SUMPRODUCT(('TREASURY FILE'!B89:B5090=$C$4)*('TREASURY FILE'!D89:D5090="TURNOVER")*('TREASURY FILE'!A89:A5090=A190)*('TREASURY FILE'!F89:F5090))</f>
        <v>102160638.36877277</v>
      </c>
      <c r="D190" s="24" cm="1">
        <f t="array" ref="D190">SUMPRODUCT(('TREASURY FILE'!B89:B5090=$D$4)*('TREASURY FILE'!D89:D5090="TURNOVER")*('TREASURY FILE'!A89:A5090=A190)*('TREASURY FILE'!F89:F5090))</f>
        <v>0</v>
      </c>
      <c r="E190" s="31">
        <f t="shared" si="8"/>
        <v>102160638.36877277</v>
      </c>
      <c r="G190" s="24" cm="1">
        <f t="array" ref="G190">SUMPRODUCT(('TREASURY FILE'!B89:B5090=$G$4)*('TREASURY FILE'!D89:D5090="INCOME")*('TREASURY FILE'!A89:A5090=A190)*('TREASURY FILE'!F89:F5090))</f>
        <v>0</v>
      </c>
      <c r="H190" s="24" cm="1">
        <f t="array" ref="H190">SUMPRODUCT(('TREASURY FILE'!B89:B5090=$H$4)*('TREASURY FILE'!D89:D5090="INCOME")*('TREASURY FILE'!A89:A5090=A190)*('TREASURY FILE'!F89:F5090))</f>
        <v>27195.489786820373</v>
      </c>
      <c r="I190" s="24" cm="1">
        <f t="array" ref="I190">SUMPRODUCT(('TREASURY FILE'!D94:D5090=$I$4)*('TREASURY FILE'!F94:F5090="INCOME")*('TREASURY FILE'!C94:C5090=C190)*('TREASURY FILE'!H94:H5090))</f>
        <v>0</v>
      </c>
      <c r="J190" s="31">
        <f t="shared" si="9"/>
        <v>27195.489786820373</v>
      </c>
      <c r="K190" s="33">
        <f t="shared" si="10"/>
        <v>2.6620320919150755E-4</v>
      </c>
    </row>
    <row r="191" spans="1:11" x14ac:dyDescent="0.3">
      <c r="A191" s="30">
        <v>45844</v>
      </c>
      <c r="B191" s="24" cm="1">
        <f t="array" ref="B191">SUMPRODUCT(('TREASURY FILE'!B90:B5091=$B$4)*('TREASURY FILE'!D90:D5091="TURNOVER")*('TREASURY FILE'!A90:A5091=A191)*('TREASURY FILE'!F90:F5091))</f>
        <v>0</v>
      </c>
      <c r="C191" s="24" cm="1">
        <f t="array" ref="C191">SUMPRODUCT(('TREASURY FILE'!B90:B5091=$C$4)*('TREASURY FILE'!D90:D5091="TURNOVER")*('TREASURY FILE'!A90:A5091=A191)*('TREASURY FILE'!F90:F5091))</f>
        <v>127295823.54684933</v>
      </c>
      <c r="D191" s="24" cm="1">
        <f t="array" ref="D191">SUMPRODUCT(('TREASURY FILE'!B90:B5091=$D$4)*('TREASURY FILE'!D90:D5091="TURNOVER")*('TREASURY FILE'!A90:A5091=A191)*('TREASURY FILE'!F90:F5091))</f>
        <v>0</v>
      </c>
      <c r="E191" s="31">
        <f t="shared" si="8"/>
        <v>127295823.54684933</v>
      </c>
      <c r="G191" s="24" cm="1">
        <f t="array" ref="G191">SUMPRODUCT(('TREASURY FILE'!B90:B5091=$G$4)*('TREASURY FILE'!D90:D5091="INCOME")*('TREASURY FILE'!A90:A5091=A191)*('TREASURY FILE'!F90:F5091))</f>
        <v>0</v>
      </c>
      <c r="H191" s="24" cm="1">
        <f t="array" ref="H191">SUMPRODUCT(('TREASURY FILE'!B90:B5091=$H$4)*('TREASURY FILE'!D90:D5091="INCOME")*('TREASURY FILE'!A90:A5091=A191)*('TREASURY FILE'!F90:F5091))</f>
        <v>33148.972074703357</v>
      </c>
      <c r="I191" s="24" cm="1">
        <f t="array" ref="I191">SUMPRODUCT(('TREASURY FILE'!D95:D5091=$I$4)*('TREASURY FILE'!F95:F5091="INCOME")*('TREASURY FILE'!C95:C5091=C191)*('TREASURY FILE'!H95:H5091))</f>
        <v>0</v>
      </c>
      <c r="J191" s="31">
        <f t="shared" si="9"/>
        <v>33148.972074703357</v>
      </c>
      <c r="K191" s="33">
        <f t="shared" si="10"/>
        <v>2.6040895255690283E-4</v>
      </c>
    </row>
    <row r="192" spans="1:11" x14ac:dyDescent="0.3">
      <c r="A192" s="30">
        <v>45845</v>
      </c>
      <c r="B192" s="24" cm="1">
        <f t="array" ref="B192">SUMPRODUCT(('TREASURY FILE'!B91:B5092=$B$4)*('TREASURY FILE'!D91:D5092="TURNOVER")*('TREASURY FILE'!A91:A5092=A192)*('TREASURY FILE'!F91:F5092))</f>
        <v>0</v>
      </c>
      <c r="C192" s="24" cm="1">
        <f t="array" ref="C192">SUMPRODUCT(('TREASURY FILE'!B91:B5092=$C$4)*('TREASURY FILE'!D91:D5092="TURNOVER")*('TREASURY FILE'!A91:A5092=A192)*('TREASURY FILE'!F91:F5092))</f>
        <v>146973071.69691145</v>
      </c>
      <c r="D192" s="24" cm="1">
        <f t="array" ref="D192">SUMPRODUCT(('TREASURY FILE'!B91:B5092=$D$4)*('TREASURY FILE'!D91:D5092="TURNOVER")*('TREASURY FILE'!A91:A5092=A192)*('TREASURY FILE'!F91:F5092))</f>
        <v>0</v>
      </c>
      <c r="E192" s="31">
        <f t="shared" si="8"/>
        <v>146973071.69691145</v>
      </c>
      <c r="G192" s="24" cm="1">
        <f t="array" ref="G192">SUMPRODUCT(('TREASURY FILE'!B91:B5092=$G$4)*('TREASURY FILE'!D91:D5092="INCOME")*('TREASURY FILE'!A91:A5092=A192)*('TREASURY FILE'!F91:F5092))</f>
        <v>0</v>
      </c>
      <c r="H192" s="24" cm="1">
        <f t="array" ref="H192">SUMPRODUCT(('TREASURY FILE'!B91:B5092=$H$4)*('TREASURY FILE'!D91:D5092="INCOME")*('TREASURY FILE'!A91:A5092=A192)*('TREASURY FILE'!F91:F5092))</f>
        <v>39281.017638845093</v>
      </c>
      <c r="I192" s="24" cm="1">
        <f t="array" ref="I192">SUMPRODUCT(('TREASURY FILE'!D96:D5092=$I$4)*('TREASURY FILE'!F96:F5092="INCOME")*('TREASURY FILE'!C96:C5092=C192)*('TREASURY FILE'!H96:H5092))</f>
        <v>0</v>
      </c>
      <c r="J192" s="31">
        <f t="shared" si="9"/>
        <v>39281.017638845093</v>
      </c>
      <c r="K192" s="33">
        <f t="shared" si="10"/>
        <v>2.6726676652611976E-4</v>
      </c>
    </row>
    <row r="193" spans="1:11" x14ac:dyDescent="0.3">
      <c r="A193" s="30">
        <v>45846</v>
      </c>
      <c r="B193" s="24" cm="1">
        <f t="array" ref="B193">SUMPRODUCT(('TREASURY FILE'!B92:B5093=$B$4)*('TREASURY FILE'!D92:D5093="TURNOVER")*('TREASURY FILE'!A92:A5093=A193)*('TREASURY FILE'!F92:F5093))</f>
        <v>0</v>
      </c>
      <c r="C193" s="24" cm="1">
        <f t="array" ref="C193">SUMPRODUCT(('TREASURY FILE'!B92:B5093=$C$4)*('TREASURY FILE'!D92:D5093="TURNOVER")*('TREASURY FILE'!A92:A5093=A193)*('TREASURY FILE'!F92:F5093))</f>
        <v>195625904.21583956</v>
      </c>
      <c r="D193" s="24" cm="1">
        <f t="array" ref="D193">SUMPRODUCT(('TREASURY FILE'!B92:B5093=$D$4)*('TREASURY FILE'!D92:D5093="TURNOVER")*('TREASURY FILE'!A92:A5093=A193)*('TREASURY FILE'!F92:F5093))</f>
        <v>0</v>
      </c>
      <c r="E193" s="31">
        <f t="shared" si="8"/>
        <v>195625904.21583956</v>
      </c>
      <c r="G193" s="24" cm="1">
        <f t="array" ref="G193">SUMPRODUCT(('TREASURY FILE'!B92:B5093=$G$4)*('TREASURY FILE'!D92:D5093="INCOME")*('TREASURY FILE'!A92:A5093=A193)*('TREASURY FILE'!F92:F5093))</f>
        <v>0</v>
      </c>
      <c r="H193" s="24" cm="1">
        <f t="array" ref="H193">SUMPRODUCT(('TREASURY FILE'!B92:B5093=$H$4)*('TREASURY FILE'!D92:D5093="INCOME")*('TREASURY FILE'!A92:A5093=A193)*('TREASURY FILE'!F92:F5093))</f>
        <v>54214.21597514458</v>
      </c>
      <c r="I193" s="24" cm="1">
        <f t="array" ref="I193">SUMPRODUCT(('TREASURY FILE'!D97:D5093=$I$4)*('TREASURY FILE'!F97:F5093="INCOME")*('TREASURY FILE'!C97:C5093=C193)*('TREASURY FILE'!H97:H5093))</f>
        <v>0</v>
      </c>
      <c r="J193" s="31">
        <f t="shared" si="9"/>
        <v>54214.21597514458</v>
      </c>
      <c r="K193" s="33">
        <f t="shared" si="10"/>
        <v>2.7713209143983566E-4</v>
      </c>
    </row>
    <row r="194" spans="1:11" x14ac:dyDescent="0.3">
      <c r="A194" s="30">
        <v>45847</v>
      </c>
      <c r="B194" s="24" cm="1">
        <f t="array" ref="B194">SUMPRODUCT(('TREASURY FILE'!B93:B5094=$B$4)*('TREASURY FILE'!D93:D5094="TURNOVER")*('TREASURY FILE'!A93:A5094=A194)*('TREASURY FILE'!F93:F5094))</f>
        <v>0</v>
      </c>
      <c r="C194" s="24" cm="1">
        <f t="array" ref="C194">SUMPRODUCT(('TREASURY FILE'!B93:B5094=$C$4)*('TREASURY FILE'!D93:D5094="TURNOVER")*('TREASURY FILE'!A93:A5094=A194)*('TREASURY FILE'!F93:F5094))</f>
        <v>239182854.87110227</v>
      </c>
      <c r="D194" s="24" cm="1">
        <f t="array" ref="D194">SUMPRODUCT(('TREASURY FILE'!B93:B5094=$D$4)*('TREASURY FILE'!D93:D5094="TURNOVER")*('TREASURY FILE'!A93:A5094=A194)*('TREASURY FILE'!F93:F5094))</f>
        <v>0</v>
      </c>
      <c r="E194" s="31">
        <f t="shared" si="8"/>
        <v>239182854.87110227</v>
      </c>
      <c r="G194" s="24" cm="1">
        <f t="array" ref="G194">SUMPRODUCT(('TREASURY FILE'!B93:B5094=$G$4)*('TREASURY FILE'!D93:D5094="INCOME")*('TREASURY FILE'!A93:A5094=A194)*('TREASURY FILE'!F93:F5094))</f>
        <v>0</v>
      </c>
      <c r="H194" s="24" cm="1">
        <f t="array" ref="H194">SUMPRODUCT(('TREASURY FILE'!B93:B5094=$H$4)*('TREASURY FILE'!D93:D5094="INCOME")*('TREASURY FILE'!A93:A5094=A194)*('TREASURY FILE'!F93:F5094))</f>
        <v>67343.303927205212</v>
      </c>
      <c r="I194" s="24" cm="1">
        <f t="array" ref="I194">SUMPRODUCT(('TREASURY FILE'!D98:D5094=$I$4)*('TREASURY FILE'!F98:F5094="INCOME")*('TREASURY FILE'!C98:C5094=C194)*('TREASURY FILE'!H98:H5094))</f>
        <v>0</v>
      </c>
      <c r="J194" s="31">
        <f t="shared" si="9"/>
        <v>67343.303927205212</v>
      </c>
      <c r="K194" s="33">
        <f t="shared" si="10"/>
        <v>2.8155573259419913E-4</v>
      </c>
    </row>
    <row r="195" spans="1:11" x14ac:dyDescent="0.3">
      <c r="A195" s="30">
        <v>45848</v>
      </c>
      <c r="B195" s="24" cm="1">
        <f t="array" ref="B195">SUMPRODUCT(('TREASURY FILE'!B94:B5095=$B$4)*('TREASURY FILE'!D94:D5095="TURNOVER")*('TREASURY FILE'!A94:A5095=A195)*('TREASURY FILE'!F94:F5095))</f>
        <v>0</v>
      </c>
      <c r="C195" s="24" cm="1">
        <f t="array" ref="C195">SUMPRODUCT(('TREASURY FILE'!B94:B5095=$C$4)*('TREASURY FILE'!D94:D5095="TURNOVER")*('TREASURY FILE'!A94:A5095=A195)*('TREASURY FILE'!F94:F5095))</f>
        <v>288508344.08565849</v>
      </c>
      <c r="D195" s="24" cm="1">
        <f t="array" ref="D195">SUMPRODUCT(('TREASURY FILE'!B94:B5095=$D$4)*('TREASURY FILE'!D94:D5095="TURNOVER")*('TREASURY FILE'!A94:A5095=A195)*('TREASURY FILE'!F94:F5095))</f>
        <v>1122</v>
      </c>
      <c r="E195" s="31">
        <f t="shared" si="8"/>
        <v>288509466.08565849</v>
      </c>
      <c r="G195" s="24" cm="1">
        <f t="array" ref="G195">SUMPRODUCT(('TREASURY FILE'!B94:B5095=$G$4)*('TREASURY FILE'!D94:D5095="INCOME")*('TREASURY FILE'!A94:A5095=A195)*('TREASURY FILE'!F94:F5095))</f>
        <v>0</v>
      </c>
      <c r="H195" s="24" cm="1">
        <f t="array" ref="H195">SUMPRODUCT(('TREASURY FILE'!B94:B5095=$H$4)*('TREASURY FILE'!D94:D5095="INCOME")*('TREASURY FILE'!A94:A5095=A195)*('TREASURY FILE'!F94:F5095))</f>
        <v>80339.159338550846</v>
      </c>
      <c r="I195" s="24" cm="1">
        <f t="array" ref="I195">SUMPRODUCT(('TREASURY FILE'!D99:D5095=$I$4)*('TREASURY FILE'!F99:F5095="INCOME")*('TREASURY FILE'!C99:C5095=C195)*('TREASURY FILE'!H99:H5095))</f>
        <v>0</v>
      </c>
      <c r="J195" s="31">
        <f t="shared" si="9"/>
        <v>80339.159338550846</v>
      </c>
      <c r="K195" s="33">
        <f t="shared" si="10"/>
        <v>2.7846281936100547E-4</v>
      </c>
    </row>
    <row r="196" spans="1:11" x14ac:dyDescent="0.3">
      <c r="A196" s="30">
        <v>45849</v>
      </c>
      <c r="B196" s="24" cm="1">
        <f t="array" ref="B196">SUMPRODUCT(('TREASURY FILE'!B95:B5096=$B$4)*('TREASURY FILE'!D95:D5096="TURNOVER")*('TREASURY FILE'!A95:A5096=A196)*('TREASURY FILE'!F95:F5096))</f>
        <v>0</v>
      </c>
      <c r="C196" s="24" cm="1">
        <f t="array" ref="C196">SUMPRODUCT(('TREASURY FILE'!B95:B5096=$C$4)*('TREASURY FILE'!D95:D5096="TURNOVER")*('TREASURY FILE'!A95:A5096=A196)*('TREASURY FILE'!F95:F5096))</f>
        <v>494524894.52285218</v>
      </c>
      <c r="D196" s="24" cm="1">
        <f t="array" ref="D196">SUMPRODUCT(('TREASURY FILE'!B95:B5096=$D$4)*('TREASURY FILE'!D95:D5096="TURNOVER")*('TREASURY FILE'!A95:A5096=A196)*('TREASURY FILE'!F95:F5096))</f>
        <v>11146.183517107294</v>
      </c>
      <c r="E196" s="31">
        <f t="shared" si="8"/>
        <v>494536040.70636928</v>
      </c>
      <c r="G196" s="24" cm="1">
        <f t="array" ref="G196">SUMPRODUCT(('TREASURY FILE'!B95:B5096=$G$4)*('TREASURY FILE'!D95:D5096="INCOME")*('TREASURY FILE'!A95:A5096=A196)*('TREASURY FILE'!F95:F5096))</f>
        <v>0</v>
      </c>
      <c r="H196" s="24" cm="1">
        <f t="array" ref="H196">SUMPRODUCT(('TREASURY FILE'!B95:B5096=$H$4)*('TREASURY FILE'!D95:D5096="INCOME")*('TREASURY FILE'!A95:A5096=A196)*('TREASURY FILE'!F95:F5096))</f>
        <v>141353.5393069057</v>
      </c>
      <c r="I196" s="24" cm="1">
        <f t="array" ref="I196">SUMPRODUCT(('TREASURY FILE'!D100:D5096=$I$4)*('TREASURY FILE'!F100:F5096="INCOME")*('TREASURY FILE'!C100:C5096=C196)*('TREASURY FILE'!H100:H5096))</f>
        <v>0</v>
      </c>
      <c r="J196" s="31">
        <f t="shared" si="9"/>
        <v>141353.5393069057</v>
      </c>
      <c r="K196" s="33">
        <f t="shared" si="10"/>
        <v>2.8583061227449417E-4</v>
      </c>
    </row>
    <row r="197" spans="1:11" x14ac:dyDescent="0.3">
      <c r="A197" s="30">
        <v>45850</v>
      </c>
      <c r="B197" s="24" cm="1">
        <f t="array" ref="B197">SUMPRODUCT(('TREASURY FILE'!B96:B5097=$B$4)*('TREASURY FILE'!D96:D5097="TURNOVER")*('TREASURY FILE'!A96:A5097=A197)*('TREASURY FILE'!F96:F5097))</f>
        <v>0</v>
      </c>
      <c r="C197" s="24" cm="1">
        <f t="array" ref="C197">SUMPRODUCT(('TREASURY FILE'!B96:B5097=$C$4)*('TREASURY FILE'!D96:D5097="TURNOVER")*('TREASURY FILE'!A96:A5097=A197)*('TREASURY FILE'!F96:F5097))</f>
        <v>270170420.26006323</v>
      </c>
      <c r="D197" s="24" cm="1">
        <f t="array" ref="D197">SUMPRODUCT(('TREASURY FILE'!B96:B5097=$D$4)*('TREASURY FILE'!D96:D5097="TURNOVER")*('TREASURY FILE'!A96:A5097=A197)*('TREASURY FILE'!F96:F5097))</f>
        <v>0</v>
      </c>
      <c r="E197" s="31">
        <f t="shared" si="8"/>
        <v>270170420.26006323</v>
      </c>
      <c r="G197" s="24" cm="1">
        <f t="array" ref="G197">SUMPRODUCT(('TREASURY FILE'!B96:B5097=$G$4)*('TREASURY FILE'!D96:D5097="INCOME")*('TREASURY FILE'!A96:A5097=A197)*('TREASURY FILE'!F96:F5097))</f>
        <v>0</v>
      </c>
      <c r="H197" s="24" cm="1">
        <f t="array" ref="H197">SUMPRODUCT(('TREASURY FILE'!B96:B5097=$H$4)*('TREASURY FILE'!D96:D5097="INCOME")*('TREASURY FILE'!A96:A5097=A197)*('TREASURY FILE'!F96:F5097))</f>
        <v>74743.644311334385</v>
      </c>
      <c r="I197" s="24" cm="1">
        <f t="array" ref="I197">SUMPRODUCT(('TREASURY FILE'!D101:D5097=$I$4)*('TREASURY FILE'!F101:F5097="INCOME")*('TREASURY FILE'!C101:C5097=C197)*('TREASURY FILE'!H101:H5097))</f>
        <v>0</v>
      </c>
      <c r="J197" s="31">
        <f t="shared" si="9"/>
        <v>74743.644311334385</v>
      </c>
      <c r="K197" s="33">
        <f t="shared" si="10"/>
        <v>2.7665369228573186E-4</v>
      </c>
    </row>
    <row r="198" spans="1:11" x14ac:dyDescent="0.3">
      <c r="A198" s="30">
        <v>45851</v>
      </c>
      <c r="B198" s="24" cm="1">
        <f t="array" ref="B198">SUMPRODUCT(('TREASURY FILE'!B97:B5098=$B$4)*('TREASURY FILE'!D97:D5098="TURNOVER")*('TREASURY FILE'!A97:A5098=A198)*('TREASURY FILE'!F97:F5098))</f>
        <v>0</v>
      </c>
      <c r="C198" s="24" cm="1">
        <f t="array" ref="C198">SUMPRODUCT(('TREASURY FILE'!B97:B5098=$C$4)*('TREASURY FILE'!D97:D5098="TURNOVER")*('TREASURY FILE'!A97:A5098=A198)*('TREASURY FILE'!F97:F5098))</f>
        <v>315714561.12375879</v>
      </c>
      <c r="D198" s="24" cm="1">
        <f t="array" ref="D198">SUMPRODUCT(('TREASURY FILE'!B97:B5098=$D$4)*('TREASURY FILE'!D97:D5098="TURNOVER")*('TREASURY FILE'!A97:A5098=A198)*('TREASURY FILE'!F97:F5098))</f>
        <v>0</v>
      </c>
      <c r="E198" s="31">
        <f t="shared" ref="E198:E261" si="11">SUM(B198:D198)</f>
        <v>315714561.12375879</v>
      </c>
      <c r="G198" s="24" cm="1">
        <f t="array" ref="G198">SUMPRODUCT(('TREASURY FILE'!B97:B5098=$G$4)*('TREASURY FILE'!D97:D5098="INCOME")*('TREASURY FILE'!A97:A5098=A198)*('TREASURY FILE'!F97:F5098))</f>
        <v>0</v>
      </c>
      <c r="H198" s="24" cm="1">
        <f t="array" ref="H198">SUMPRODUCT(('TREASURY FILE'!B97:B5098=$H$4)*('TREASURY FILE'!D97:D5098="INCOME")*('TREASURY FILE'!A97:A5098=A198)*('TREASURY FILE'!F97:F5098))</f>
        <v>89166.478011923129</v>
      </c>
      <c r="I198" s="24" cm="1">
        <f t="array" ref="I198">SUMPRODUCT(('TREASURY FILE'!D102:D5098=$I$4)*('TREASURY FILE'!F102:F5098="INCOME")*('TREASURY FILE'!C102:C5098=C198)*('TREASURY FILE'!H102:H5098))</f>
        <v>0</v>
      </c>
      <c r="J198" s="31">
        <f t="shared" ref="J198:J261" si="12">SUM(G198:I198)</f>
        <v>89166.478011923129</v>
      </c>
      <c r="K198" s="33">
        <f t="shared" ref="K198:K261" si="13">+J198/E198</f>
        <v>2.8242751203664071E-4</v>
      </c>
    </row>
    <row r="199" spans="1:11" x14ac:dyDescent="0.3">
      <c r="A199" s="30">
        <v>45852</v>
      </c>
      <c r="B199" s="24" cm="1">
        <f t="array" ref="B199">SUMPRODUCT(('TREASURY FILE'!B98:B5099=$B$4)*('TREASURY FILE'!D98:D5099="TURNOVER")*('TREASURY FILE'!A98:A5099=A199)*('TREASURY FILE'!F98:F5099))</f>
        <v>0</v>
      </c>
      <c r="C199" s="24" cm="1">
        <f t="array" ref="C199">SUMPRODUCT(('TREASURY FILE'!B98:B5099=$C$4)*('TREASURY FILE'!D98:D5099="TURNOVER")*('TREASURY FILE'!A98:A5099=A199)*('TREASURY FILE'!F98:F5099))</f>
        <v>386671557.38969308</v>
      </c>
      <c r="D199" s="24" cm="1">
        <f t="array" ref="D199">SUMPRODUCT(('TREASURY FILE'!B98:B5099=$D$4)*('TREASURY FILE'!D98:D5099="TURNOVER")*('TREASURY FILE'!A98:A5099=A199)*('TREASURY FILE'!F98:F5099))</f>
        <v>0</v>
      </c>
      <c r="E199" s="31">
        <f t="shared" si="11"/>
        <v>386671557.38969308</v>
      </c>
      <c r="G199" s="24" cm="1">
        <f t="array" ref="G199">SUMPRODUCT(('TREASURY FILE'!B98:B5099=$G$4)*('TREASURY FILE'!D98:D5099="INCOME")*('TREASURY FILE'!A98:A5099=A199)*('TREASURY FILE'!F98:F5099))</f>
        <v>0</v>
      </c>
      <c r="H199" s="24" cm="1">
        <f t="array" ref="H199">SUMPRODUCT(('TREASURY FILE'!B98:B5099=$H$4)*('TREASURY FILE'!D98:D5099="INCOME")*('TREASURY FILE'!A98:A5099=A199)*('TREASURY FILE'!F98:F5099))</f>
        <v>110062.35409423339</v>
      </c>
      <c r="I199" s="24" cm="1">
        <f t="array" ref="I199">SUMPRODUCT(('TREASURY FILE'!D103:D5099=$I$4)*('TREASURY FILE'!F103:F5099="INCOME")*('TREASURY FILE'!C103:C5099=C199)*('TREASURY FILE'!H103:H5099))</f>
        <v>0</v>
      </c>
      <c r="J199" s="31">
        <f t="shared" si="12"/>
        <v>110062.35409423339</v>
      </c>
      <c r="K199" s="33">
        <f t="shared" si="13"/>
        <v>2.8464041895719523E-4</v>
      </c>
    </row>
    <row r="200" spans="1:11" x14ac:dyDescent="0.3">
      <c r="A200" s="30">
        <v>45853</v>
      </c>
      <c r="B200" s="24" cm="1">
        <f t="array" ref="B200">SUMPRODUCT(('TREASURY FILE'!B99:B5100=$B$4)*('TREASURY FILE'!D99:D5100="TURNOVER")*('TREASURY FILE'!A99:A5100=A200)*('TREASURY FILE'!F99:F5100))</f>
        <v>0</v>
      </c>
      <c r="C200" s="24" cm="1">
        <f t="array" ref="C200">SUMPRODUCT(('TREASURY FILE'!B99:B5100=$C$4)*('TREASURY FILE'!D99:D5100="TURNOVER")*('TREASURY FILE'!A99:A5100=A200)*('TREASURY FILE'!F99:F5100))</f>
        <v>346277350.90035343</v>
      </c>
      <c r="D200" s="24" cm="1">
        <f t="array" ref="D200">SUMPRODUCT(('TREASURY FILE'!B99:B5100=$D$4)*('TREASURY FILE'!D99:D5100="TURNOVER")*('TREASURY FILE'!A99:A5100=A200)*('TREASURY FILE'!F99:F5100))</f>
        <v>0</v>
      </c>
      <c r="E200" s="31">
        <f t="shared" si="11"/>
        <v>346277350.90035343</v>
      </c>
      <c r="G200" s="24" cm="1">
        <f t="array" ref="G200">SUMPRODUCT(('TREASURY FILE'!B99:B5100=$G$4)*('TREASURY FILE'!D99:D5100="INCOME")*('TREASURY FILE'!A99:A5100=A200)*('TREASURY FILE'!F99:F5100))</f>
        <v>0</v>
      </c>
      <c r="H200" s="24" cm="1">
        <f t="array" ref="H200">SUMPRODUCT(('TREASURY FILE'!B99:B5100=$H$4)*('TREASURY FILE'!D99:D5100="INCOME")*('TREASURY FILE'!A99:A5100=A200)*('TREASURY FILE'!F99:F5100))</f>
        <v>97344.279408394999</v>
      </c>
      <c r="I200" s="24" cm="1">
        <f t="array" ref="I200">SUMPRODUCT(('TREASURY FILE'!D104:D5100=$I$4)*('TREASURY FILE'!F104:F5100="INCOME")*('TREASURY FILE'!C104:C5100=C200)*('TREASURY FILE'!H104:H5100))</f>
        <v>0</v>
      </c>
      <c r="J200" s="31">
        <f t="shared" si="12"/>
        <v>97344.279408394999</v>
      </c>
      <c r="K200" s="33">
        <f t="shared" si="13"/>
        <v>2.8111650720236478E-4</v>
      </c>
    </row>
    <row r="201" spans="1:11" x14ac:dyDescent="0.3">
      <c r="A201" s="30">
        <v>45854</v>
      </c>
      <c r="B201" s="24" cm="1">
        <f t="array" ref="B201">SUMPRODUCT(('TREASURY FILE'!B100:B5101=$B$4)*('TREASURY FILE'!D100:D5101="TURNOVER")*('TREASURY FILE'!A100:A5101=A201)*('TREASURY FILE'!F100:F5101))</f>
        <v>0</v>
      </c>
      <c r="C201" s="24" cm="1">
        <f t="array" ref="C201">SUMPRODUCT(('TREASURY FILE'!B100:B5101=$C$4)*('TREASURY FILE'!D100:D5101="TURNOVER")*('TREASURY FILE'!A100:A5101=A201)*('TREASURY FILE'!F100:F5101))</f>
        <v>462306124.13927972</v>
      </c>
      <c r="D201" s="24" cm="1">
        <f t="array" ref="D201">SUMPRODUCT(('TREASURY FILE'!B100:B5101=$D$4)*('TREASURY FILE'!D100:D5101="TURNOVER")*('TREASURY FILE'!A100:A5101=A201)*('TREASURY FILE'!F100:F5101))</f>
        <v>0</v>
      </c>
      <c r="E201" s="31">
        <f t="shared" si="11"/>
        <v>462306124.13927972</v>
      </c>
      <c r="G201" s="24" cm="1">
        <f t="array" ref="G201">SUMPRODUCT(('TREASURY FILE'!B100:B5101=$G$4)*('TREASURY FILE'!D100:D5101="INCOME")*('TREASURY FILE'!A100:A5101=A201)*('TREASURY FILE'!F100:F5101))</f>
        <v>0</v>
      </c>
      <c r="H201" s="24" cm="1">
        <f t="array" ref="H201">SUMPRODUCT(('TREASURY FILE'!B100:B5101=$H$4)*('TREASURY FILE'!D100:D5101="INCOME")*('TREASURY FILE'!A100:A5101=A201)*('TREASURY FILE'!F100:F5101))</f>
        <v>129319.30462819706</v>
      </c>
      <c r="I201" s="24" cm="1">
        <f t="array" ref="I201">SUMPRODUCT(('TREASURY FILE'!D105:D5101=$I$4)*('TREASURY FILE'!F105:F5101="INCOME")*('TREASURY FILE'!C105:C5101=C201)*('TREASURY FILE'!H105:H5101))</f>
        <v>0</v>
      </c>
      <c r="J201" s="31">
        <f t="shared" si="12"/>
        <v>129319.30462819706</v>
      </c>
      <c r="K201" s="33">
        <f t="shared" si="13"/>
        <v>2.7972656617725623E-4</v>
      </c>
    </row>
    <row r="202" spans="1:11" x14ac:dyDescent="0.3">
      <c r="A202" s="30">
        <v>45855</v>
      </c>
      <c r="B202" s="24" cm="1">
        <f t="array" ref="B202">SUMPRODUCT(('TREASURY FILE'!B101:B5102=$B$4)*('TREASURY FILE'!D101:D5102="TURNOVER")*('TREASURY FILE'!A101:A5102=A202)*('TREASURY FILE'!F101:F5102))</f>
        <v>0</v>
      </c>
      <c r="C202" s="24" cm="1">
        <f t="array" ref="C202">SUMPRODUCT(('TREASURY FILE'!B101:B5102=$C$4)*('TREASURY FILE'!D101:D5102="TURNOVER")*('TREASURY FILE'!A101:A5102=A202)*('TREASURY FILE'!F101:F5102))</f>
        <v>461655610.94225723</v>
      </c>
      <c r="D202" s="24" cm="1">
        <f t="array" ref="D202">SUMPRODUCT(('TREASURY FILE'!B101:B5102=$D$4)*('TREASURY FILE'!D101:D5102="TURNOVER")*('TREASURY FILE'!A101:A5102=A202)*('TREASURY FILE'!F101:F5102))</f>
        <v>0</v>
      </c>
      <c r="E202" s="31">
        <f t="shared" si="11"/>
        <v>461655610.94225723</v>
      </c>
      <c r="G202" s="24" cm="1">
        <f t="array" ref="G202">SUMPRODUCT(('TREASURY FILE'!B101:B5102=$G$4)*('TREASURY FILE'!D101:D5102="INCOME")*('TREASURY FILE'!A101:A5102=A202)*('TREASURY FILE'!F101:F5102))</f>
        <v>0</v>
      </c>
      <c r="H202" s="24" cm="1">
        <f t="array" ref="H202">SUMPRODUCT(('TREASURY FILE'!B101:B5102=$H$4)*('TREASURY FILE'!D101:D5102="INCOME")*('TREASURY FILE'!A101:A5102=A202)*('TREASURY FILE'!F101:F5102))</f>
        <v>125838.92905037171</v>
      </c>
      <c r="I202" s="24" cm="1">
        <f t="array" ref="I202">SUMPRODUCT(('TREASURY FILE'!D106:D5102=$I$4)*('TREASURY FILE'!F106:F5102="INCOME")*('TREASURY FILE'!C106:C5102=C202)*('TREASURY FILE'!H106:H5102))</f>
        <v>0</v>
      </c>
      <c r="J202" s="31">
        <f t="shared" si="12"/>
        <v>125838.92905037171</v>
      </c>
      <c r="K202" s="33">
        <f t="shared" si="13"/>
        <v>2.7258182521280205E-4</v>
      </c>
    </row>
    <row r="203" spans="1:11" x14ac:dyDescent="0.3">
      <c r="A203" s="30">
        <v>45856</v>
      </c>
      <c r="B203" s="24" cm="1">
        <f t="array" ref="B203">SUMPRODUCT(('TREASURY FILE'!B102:B5103=$B$4)*('TREASURY FILE'!D102:D5103="TURNOVER")*('TREASURY FILE'!A102:A5103=A203)*('TREASURY FILE'!F102:F5103))</f>
        <v>0</v>
      </c>
      <c r="C203" s="24" cm="1">
        <f t="array" ref="C203">SUMPRODUCT(('TREASURY FILE'!B102:B5103=$C$4)*('TREASURY FILE'!D102:D5103="TURNOVER")*('TREASURY FILE'!A102:A5103=A203)*('TREASURY FILE'!F102:F5103))</f>
        <v>539603237.24173701</v>
      </c>
      <c r="D203" s="24" cm="1">
        <f t="array" ref="D203">SUMPRODUCT(('TREASURY FILE'!B102:B5103=$D$4)*('TREASURY FILE'!D102:D5103="TURNOVER")*('TREASURY FILE'!A102:A5103=A203)*('TREASURY FILE'!F102:F5103))</f>
        <v>0</v>
      </c>
      <c r="E203" s="31">
        <f t="shared" si="11"/>
        <v>539603237.24173701</v>
      </c>
      <c r="G203" s="24" cm="1">
        <f t="array" ref="G203">SUMPRODUCT(('TREASURY FILE'!B102:B5103=$G$4)*('TREASURY FILE'!D102:D5103="INCOME")*('TREASURY FILE'!A102:A5103=A203)*('TREASURY FILE'!F102:F5103))</f>
        <v>0</v>
      </c>
      <c r="H203" s="24" cm="1">
        <f t="array" ref="H203">SUMPRODUCT(('TREASURY FILE'!B102:B5103=$H$4)*('TREASURY FILE'!D102:D5103="INCOME")*('TREASURY FILE'!A102:A5103=A203)*('TREASURY FILE'!F102:F5103))</f>
        <v>147064.01682298194</v>
      </c>
      <c r="I203" s="24" cm="1">
        <f t="array" ref="I203">SUMPRODUCT(('TREASURY FILE'!D107:D5103=$I$4)*('TREASURY FILE'!F107:F5103="INCOME")*('TREASURY FILE'!C107:C5103=C203)*('TREASURY FILE'!H107:H5103))</f>
        <v>0</v>
      </c>
      <c r="J203" s="31">
        <f t="shared" si="12"/>
        <v>147064.01682298194</v>
      </c>
      <c r="K203" s="33">
        <f t="shared" si="13"/>
        <v>2.725410202776428E-4</v>
      </c>
    </row>
    <row r="204" spans="1:11" x14ac:dyDescent="0.3">
      <c r="A204" s="30">
        <v>45857</v>
      </c>
      <c r="B204" s="24" cm="1">
        <f t="array" ref="B204">SUMPRODUCT(('TREASURY FILE'!B103:B5104=$B$4)*('TREASURY FILE'!D103:D5104="TURNOVER")*('TREASURY FILE'!A103:A5104=A204)*('TREASURY FILE'!F103:F5104))</f>
        <v>0</v>
      </c>
      <c r="C204" s="24" cm="1">
        <f t="array" ref="C204">SUMPRODUCT(('TREASURY FILE'!B103:B5104=$C$4)*('TREASURY FILE'!D103:D5104="TURNOVER")*('TREASURY FILE'!A103:A5104=A204)*('TREASURY FILE'!F103:F5104))</f>
        <v>294409147.82213736</v>
      </c>
      <c r="D204" s="24" cm="1">
        <f t="array" ref="D204">SUMPRODUCT(('TREASURY FILE'!B103:B5104=$D$4)*('TREASURY FILE'!D103:D5104="TURNOVER")*('TREASURY FILE'!A103:A5104=A204)*('TREASURY FILE'!F103:F5104))</f>
        <v>0</v>
      </c>
      <c r="E204" s="31">
        <f t="shared" si="11"/>
        <v>294409147.82213736</v>
      </c>
      <c r="G204" s="24" cm="1">
        <f t="array" ref="G204">SUMPRODUCT(('TREASURY FILE'!B103:B5104=$G$4)*('TREASURY FILE'!D103:D5104="INCOME")*('TREASURY FILE'!A103:A5104=A204)*('TREASURY FILE'!F103:F5104))</f>
        <v>0</v>
      </c>
      <c r="H204" s="24" cm="1">
        <f t="array" ref="H204">SUMPRODUCT(('TREASURY FILE'!B103:B5104=$H$4)*('TREASURY FILE'!D103:D5104="INCOME")*('TREASURY FILE'!A103:A5104=A204)*('TREASURY FILE'!F103:F5104))</f>
        <v>77735.114761770266</v>
      </c>
      <c r="I204" s="24" cm="1">
        <f t="array" ref="I204">SUMPRODUCT(('TREASURY FILE'!D108:D5104=$I$4)*('TREASURY FILE'!F108:F5104="INCOME")*('TREASURY FILE'!C108:C5104=C204)*('TREASURY FILE'!H108:H5104))</f>
        <v>0</v>
      </c>
      <c r="J204" s="31">
        <f t="shared" si="12"/>
        <v>77735.114761770266</v>
      </c>
      <c r="K204" s="33">
        <f t="shared" si="13"/>
        <v>2.6403770173857746E-4</v>
      </c>
    </row>
    <row r="205" spans="1:11" x14ac:dyDescent="0.3">
      <c r="A205" s="30">
        <v>45858</v>
      </c>
      <c r="B205" s="24" cm="1">
        <f t="array" ref="B205">SUMPRODUCT(('TREASURY FILE'!B104:B5105=$B$4)*('TREASURY FILE'!D104:D5105="TURNOVER")*('TREASURY FILE'!A104:A5105=A205)*('TREASURY FILE'!F104:F5105))</f>
        <v>0</v>
      </c>
      <c r="C205" s="24" cm="1">
        <f t="array" ref="C205">SUMPRODUCT(('TREASURY FILE'!B104:B5105=$C$4)*('TREASURY FILE'!D104:D5105="TURNOVER")*('TREASURY FILE'!A104:A5105=A205)*('TREASURY FILE'!F104:F5105))</f>
        <v>461255965.41697812</v>
      </c>
      <c r="D205" s="24" cm="1">
        <f t="array" ref="D205">SUMPRODUCT(('TREASURY FILE'!B104:B5105=$D$4)*('TREASURY FILE'!D104:D5105="TURNOVER")*('TREASURY FILE'!A104:A5105=A205)*('TREASURY FILE'!F104:F5105))</f>
        <v>0</v>
      </c>
      <c r="E205" s="31">
        <f t="shared" si="11"/>
        <v>461255965.41697812</v>
      </c>
      <c r="G205" s="24" cm="1">
        <f t="array" ref="G205">SUMPRODUCT(('TREASURY FILE'!B104:B5105=$G$4)*('TREASURY FILE'!D104:D5105="INCOME")*('TREASURY FILE'!A104:A5105=A205)*('TREASURY FILE'!F104:F5105))</f>
        <v>0</v>
      </c>
      <c r="H205" s="24" cm="1">
        <f t="array" ref="H205">SUMPRODUCT(('TREASURY FILE'!B104:B5105=$H$4)*('TREASURY FILE'!D104:D5105="INCOME")*('TREASURY FILE'!A104:A5105=A205)*('TREASURY FILE'!F104:F5105))</f>
        <v>127806.44511463819</v>
      </c>
      <c r="I205" s="24" cm="1">
        <f t="array" ref="I205">SUMPRODUCT(('TREASURY FILE'!D109:D5105=$I$4)*('TREASURY FILE'!F109:F5105="INCOME")*('TREASURY FILE'!C109:C5105=C205)*('TREASURY FILE'!H109:H5105))</f>
        <v>0</v>
      </c>
      <c r="J205" s="31">
        <f t="shared" si="12"/>
        <v>127806.44511463819</v>
      </c>
      <c r="K205" s="33">
        <f t="shared" si="13"/>
        <v>2.7708356031580083E-4</v>
      </c>
    </row>
    <row r="206" spans="1:11" x14ac:dyDescent="0.3">
      <c r="A206" s="30">
        <v>45859</v>
      </c>
      <c r="B206" s="24" cm="1">
        <f t="array" ref="B206">SUMPRODUCT(('TREASURY FILE'!B105:B5106=$B$4)*('TREASURY FILE'!D105:D5106="TURNOVER")*('TREASURY FILE'!A105:A5106=A206)*('TREASURY FILE'!F105:F5106))</f>
        <v>0</v>
      </c>
      <c r="C206" s="24" cm="1">
        <f t="array" ref="C206">SUMPRODUCT(('TREASURY FILE'!B105:B5106=$C$4)*('TREASURY FILE'!D105:D5106="TURNOVER")*('TREASURY FILE'!A105:A5106=A206)*('TREASURY FILE'!F105:F5106))</f>
        <v>621247810.34422719</v>
      </c>
      <c r="D206" s="24" cm="1">
        <f t="array" ref="D206">SUMPRODUCT(('TREASURY FILE'!B105:B5106=$D$4)*('TREASURY FILE'!D105:D5106="TURNOVER")*('TREASURY FILE'!A105:A5106=A206)*('TREASURY FILE'!F105:F5106))</f>
        <v>0</v>
      </c>
      <c r="E206" s="31">
        <f t="shared" si="11"/>
        <v>621247810.34422719</v>
      </c>
      <c r="G206" s="24" cm="1">
        <f t="array" ref="G206">SUMPRODUCT(('TREASURY FILE'!B105:B5106=$G$4)*('TREASURY FILE'!D105:D5106="INCOME")*('TREASURY FILE'!A105:A5106=A206)*('TREASURY FILE'!F105:F5106))</f>
        <v>0</v>
      </c>
      <c r="H206" s="24" cm="1">
        <f t="array" ref="H206">SUMPRODUCT(('TREASURY FILE'!B105:B5106=$H$4)*('TREASURY FILE'!D105:D5106="INCOME")*('TREASURY FILE'!A105:A5106=A206)*('TREASURY FILE'!F105:F5106))</f>
        <v>168177.24019809745</v>
      </c>
      <c r="I206" s="24" cm="1">
        <f t="array" ref="I206">SUMPRODUCT(('TREASURY FILE'!D110:D5106=$I$4)*('TREASURY FILE'!F110:F5106="INCOME")*('TREASURY FILE'!C110:C5106=C206)*('TREASURY FILE'!H110:H5106))</f>
        <v>0</v>
      </c>
      <c r="J206" s="31">
        <f t="shared" si="12"/>
        <v>168177.24019809745</v>
      </c>
      <c r="K206" s="33">
        <f t="shared" si="13"/>
        <v>2.7070878544410823E-4</v>
      </c>
    </row>
    <row r="207" spans="1:11" x14ac:dyDescent="0.3">
      <c r="A207" s="30">
        <v>45860</v>
      </c>
      <c r="B207" s="24" cm="1">
        <f t="array" ref="B207">SUMPRODUCT(('TREASURY FILE'!B106:B5107=$B$4)*('TREASURY FILE'!D106:D5107="TURNOVER")*('TREASURY FILE'!A106:A5107=A207)*('TREASURY FILE'!F106:F5107))</f>
        <v>0</v>
      </c>
      <c r="C207" s="24" cm="1">
        <f t="array" ref="C207">SUMPRODUCT(('TREASURY FILE'!B106:B5107=$C$4)*('TREASURY FILE'!D106:D5107="TURNOVER")*('TREASURY FILE'!A106:A5107=A207)*('TREASURY FILE'!F106:F5107))</f>
        <v>428528177.05325651</v>
      </c>
      <c r="D207" s="24" cm="1">
        <f t="array" ref="D207">SUMPRODUCT(('TREASURY FILE'!B106:B5107=$D$4)*('TREASURY FILE'!D106:D5107="TURNOVER")*('TREASURY FILE'!A106:A5107=A207)*('TREASURY FILE'!F106:F5107))</f>
        <v>0</v>
      </c>
      <c r="E207" s="31">
        <f t="shared" si="11"/>
        <v>428528177.05325651</v>
      </c>
      <c r="G207" s="24" cm="1">
        <f t="array" ref="G207">SUMPRODUCT(('TREASURY FILE'!B106:B5107=$G$4)*('TREASURY FILE'!D106:D5107="INCOME")*('TREASURY FILE'!A106:A5107=A207)*('TREASURY FILE'!F106:F5107))</f>
        <v>0</v>
      </c>
      <c r="H207" s="24" cm="1">
        <f t="array" ref="H207">SUMPRODUCT(('TREASURY FILE'!B106:B5107=$H$4)*('TREASURY FILE'!D106:D5107="INCOME")*('TREASURY FILE'!A106:A5107=A207)*('TREASURY FILE'!F106:F5107))</f>
        <v>115131.05947237082</v>
      </c>
      <c r="I207" s="24" cm="1">
        <f t="array" ref="I207">SUMPRODUCT(('TREASURY FILE'!D111:D5107=$I$4)*('TREASURY FILE'!F111:F5107="INCOME")*('TREASURY FILE'!C111:C5107=C207)*('TREASURY FILE'!H111:H5107))</f>
        <v>0</v>
      </c>
      <c r="J207" s="31">
        <f t="shared" si="12"/>
        <v>115131.05947237082</v>
      </c>
      <c r="K207" s="33">
        <f t="shared" si="13"/>
        <v>2.6866625262324955E-4</v>
      </c>
    </row>
    <row r="208" spans="1:11" x14ac:dyDescent="0.3">
      <c r="A208" s="30">
        <v>45861</v>
      </c>
      <c r="B208" s="24" cm="1">
        <f t="array" ref="B208">SUMPRODUCT(('TREASURY FILE'!B107:B5108=$B$4)*('TREASURY FILE'!D107:D5108="TURNOVER")*('TREASURY FILE'!A107:A5108=A208)*('TREASURY FILE'!F107:F5108))</f>
        <v>0</v>
      </c>
      <c r="C208" s="24" cm="1">
        <f t="array" ref="C208">SUMPRODUCT(('TREASURY FILE'!B107:B5108=$C$4)*('TREASURY FILE'!D107:D5108="TURNOVER")*('TREASURY FILE'!A107:A5108=A208)*('TREASURY FILE'!F107:F5108))</f>
        <v>388961564.76882595</v>
      </c>
      <c r="D208" s="24" cm="1">
        <f t="array" ref="D208">SUMPRODUCT(('TREASURY FILE'!B107:B5108=$D$4)*('TREASURY FILE'!D107:D5108="TURNOVER")*('TREASURY FILE'!A107:A5108=A208)*('TREASURY FILE'!F107:F5108))</f>
        <v>0</v>
      </c>
      <c r="E208" s="31">
        <f t="shared" si="11"/>
        <v>388961564.76882595</v>
      </c>
      <c r="G208" s="24" cm="1">
        <f t="array" ref="G208">SUMPRODUCT(('TREASURY FILE'!B107:B5108=$G$4)*('TREASURY FILE'!D107:D5108="INCOME")*('TREASURY FILE'!A107:A5108=A208)*('TREASURY FILE'!F107:F5108))</f>
        <v>0</v>
      </c>
      <c r="H208" s="24" cm="1">
        <f t="array" ref="H208">SUMPRODUCT(('TREASURY FILE'!B107:B5108=$H$4)*('TREASURY FILE'!D107:D5108="INCOME")*('TREASURY FILE'!A107:A5108=A208)*('TREASURY FILE'!F107:F5108))</f>
        <v>102659.99205871625</v>
      </c>
      <c r="I208" s="24" cm="1">
        <f t="array" ref="I208">SUMPRODUCT(('TREASURY FILE'!D112:D5108=$I$4)*('TREASURY FILE'!F112:F5108="INCOME")*('TREASURY FILE'!C112:C5108=C208)*('TREASURY FILE'!H112:H5108))</f>
        <v>0</v>
      </c>
      <c r="J208" s="31">
        <f t="shared" si="12"/>
        <v>102659.99205871625</v>
      </c>
      <c r="K208" s="33">
        <f t="shared" si="13"/>
        <v>2.639335126074239E-4</v>
      </c>
    </row>
    <row r="209" spans="1:11" x14ac:dyDescent="0.3">
      <c r="A209" s="30">
        <v>45862</v>
      </c>
      <c r="B209" s="24" cm="1">
        <f t="array" ref="B209">SUMPRODUCT(('TREASURY FILE'!B108:B5109=$B$4)*('TREASURY FILE'!D108:D5109="TURNOVER")*('TREASURY FILE'!A108:A5109=A209)*('TREASURY FILE'!F108:F5109))</f>
        <v>0</v>
      </c>
      <c r="C209" s="24" cm="1">
        <f t="array" ref="C209">SUMPRODUCT(('TREASURY FILE'!B108:B5109=$C$4)*('TREASURY FILE'!D108:D5109="TURNOVER")*('TREASURY FILE'!A108:A5109=A209)*('TREASURY FILE'!F108:F5109))</f>
        <v>295482252.00168371</v>
      </c>
      <c r="D209" s="24" cm="1">
        <f t="array" ref="D209">SUMPRODUCT(('TREASURY FILE'!B108:B5109=$D$4)*('TREASURY FILE'!D108:D5109="TURNOVER")*('TREASURY FILE'!A108:A5109=A209)*('TREASURY FILE'!F108:F5109))</f>
        <v>0</v>
      </c>
      <c r="E209" s="31">
        <f t="shared" si="11"/>
        <v>295482252.00168371</v>
      </c>
      <c r="G209" s="24" cm="1">
        <f t="array" ref="G209">SUMPRODUCT(('TREASURY FILE'!B108:B5109=$G$4)*('TREASURY FILE'!D108:D5109="INCOME")*('TREASURY FILE'!A108:A5109=A209)*('TREASURY FILE'!F108:F5109))</f>
        <v>0</v>
      </c>
      <c r="H209" s="24" cm="1">
        <f t="array" ref="H209">SUMPRODUCT(('TREASURY FILE'!B108:B5109=$H$4)*('TREASURY FILE'!D108:D5109="INCOME")*('TREASURY FILE'!A108:A5109=A209)*('TREASURY FILE'!F108:F5109))</f>
        <v>74477.312329427499</v>
      </c>
      <c r="I209" s="24" cm="1">
        <f t="array" ref="I209">SUMPRODUCT(('TREASURY FILE'!D113:D5109=$I$4)*('TREASURY FILE'!F113:F5109="INCOME")*('TREASURY FILE'!C113:C5109=C209)*('TREASURY FILE'!H113:H5109))</f>
        <v>0</v>
      </c>
      <c r="J209" s="31">
        <f t="shared" si="12"/>
        <v>74477.312329427499</v>
      </c>
      <c r="K209" s="33">
        <f t="shared" si="13"/>
        <v>2.5205342055198334E-4</v>
      </c>
    </row>
    <row r="210" spans="1:11" x14ac:dyDescent="0.3">
      <c r="A210" s="30">
        <v>45863</v>
      </c>
      <c r="B210" s="24" cm="1">
        <f t="array" ref="B210">SUMPRODUCT(('TREASURY FILE'!B109:B5110=$B$4)*('TREASURY FILE'!D109:D5110="TURNOVER")*('TREASURY FILE'!A109:A5110=A210)*('TREASURY FILE'!F109:F5110))</f>
        <v>0</v>
      </c>
      <c r="C210" s="24" cm="1">
        <f t="array" ref="C210">SUMPRODUCT(('TREASURY FILE'!B109:B5110=$C$4)*('TREASURY FILE'!D109:D5110="TURNOVER")*('TREASURY FILE'!A109:A5110=A210)*('TREASURY FILE'!F109:F5110))</f>
        <v>218029744.72861141</v>
      </c>
      <c r="D210" s="24" cm="1">
        <f t="array" ref="D210">SUMPRODUCT(('TREASURY FILE'!B109:B5110=$D$4)*('TREASURY FILE'!D109:D5110="TURNOVER")*('TREASURY FILE'!A109:A5110=A210)*('TREASURY FILE'!F109:F5110))</f>
        <v>213885</v>
      </c>
      <c r="E210" s="31">
        <f t="shared" si="11"/>
        <v>218243629.72861141</v>
      </c>
      <c r="G210" s="24" cm="1">
        <f t="array" ref="G210">SUMPRODUCT(('TREASURY FILE'!B109:B5110=$G$4)*('TREASURY FILE'!D109:D5110="INCOME")*('TREASURY FILE'!A109:A5110=A210)*('TREASURY FILE'!F109:F5110))</f>
        <v>0</v>
      </c>
      <c r="H210" s="24" cm="1">
        <f t="array" ref="H210">SUMPRODUCT(('TREASURY FILE'!B109:B5110=$H$4)*('TREASURY FILE'!D109:D5110="INCOME")*('TREASURY FILE'!A109:A5110=A210)*('TREASURY FILE'!F109:F5110))</f>
        <v>56326.070756768459</v>
      </c>
      <c r="I210" s="24" cm="1">
        <f t="array" ref="I210">SUMPRODUCT(('TREASURY FILE'!D114:D5110=$I$4)*('TREASURY FILE'!F114:F5110="INCOME")*('TREASURY FILE'!C114:C5110=C210)*('TREASURY FILE'!H114:H5110))</f>
        <v>0</v>
      </c>
      <c r="J210" s="31">
        <f t="shared" si="12"/>
        <v>56326.070756768459</v>
      </c>
      <c r="K210" s="33">
        <f t="shared" si="13"/>
        <v>2.5808804053896375E-4</v>
      </c>
    </row>
    <row r="211" spans="1:11" x14ac:dyDescent="0.3">
      <c r="A211" s="30">
        <v>45864</v>
      </c>
      <c r="B211" s="24" cm="1">
        <f t="array" ref="B211">SUMPRODUCT(('TREASURY FILE'!B110:B5111=$B$4)*('TREASURY FILE'!D110:D5111="TURNOVER")*('TREASURY FILE'!A110:A5111=A211)*('TREASURY FILE'!F110:F5111))</f>
        <v>0</v>
      </c>
      <c r="C211" s="24" cm="1">
        <f t="array" ref="C211">SUMPRODUCT(('TREASURY FILE'!B110:B5111=$C$4)*('TREASURY FILE'!D110:D5111="TURNOVER")*('TREASURY FILE'!A110:A5111=A211)*('TREASURY FILE'!F110:F5111))</f>
        <v>247044861.93800679</v>
      </c>
      <c r="D211" s="24" cm="1">
        <f t="array" ref="D211">SUMPRODUCT(('TREASURY FILE'!B110:B5111=$D$4)*('TREASURY FILE'!D110:D5111="TURNOVER")*('TREASURY FILE'!A110:A5111=A211)*('TREASURY FILE'!F110:F5111))</f>
        <v>0</v>
      </c>
      <c r="E211" s="31">
        <f t="shared" si="11"/>
        <v>247044861.93800679</v>
      </c>
      <c r="G211" s="24" cm="1">
        <f t="array" ref="G211">SUMPRODUCT(('TREASURY FILE'!B110:B5111=$G$4)*('TREASURY FILE'!D110:D5111="INCOME")*('TREASURY FILE'!A110:A5111=A211)*('TREASURY FILE'!F110:F5111))</f>
        <v>0</v>
      </c>
      <c r="H211" s="24" cm="1">
        <f t="array" ref="H211">SUMPRODUCT(('TREASURY FILE'!B110:B5111=$H$4)*('TREASURY FILE'!D110:D5111="INCOME")*('TREASURY FILE'!A110:A5111=A211)*('TREASURY FILE'!F110:F5111))</f>
        <v>63717.66352080927</v>
      </c>
      <c r="I211" s="24" cm="1">
        <f t="array" ref="I211">SUMPRODUCT(('TREASURY FILE'!D115:D5111=$I$4)*('TREASURY FILE'!F115:F5111="INCOME")*('TREASURY FILE'!C115:C5111=C211)*('TREASURY FILE'!H115:H5111))</f>
        <v>0</v>
      </c>
      <c r="J211" s="31">
        <f t="shared" si="12"/>
        <v>63717.66352080927</v>
      </c>
      <c r="K211" s="33">
        <f t="shared" si="13"/>
        <v>2.5791940387247773E-4</v>
      </c>
    </row>
    <row r="212" spans="1:11" x14ac:dyDescent="0.3">
      <c r="A212" s="30">
        <v>45865</v>
      </c>
      <c r="B212" s="24" cm="1">
        <f t="array" ref="B212">SUMPRODUCT(('TREASURY FILE'!B111:B5112=$B$4)*('TREASURY FILE'!D111:D5112="TURNOVER")*('TREASURY FILE'!A111:A5112=A212)*('TREASURY FILE'!F111:F5112))</f>
        <v>0</v>
      </c>
      <c r="C212" s="24" cm="1">
        <f t="array" ref="C212">SUMPRODUCT(('TREASURY FILE'!B111:B5112=$C$4)*('TREASURY FILE'!D111:D5112="TURNOVER")*('TREASURY FILE'!A111:A5112=A212)*('TREASURY FILE'!F111:F5112))</f>
        <v>324390089.78258091</v>
      </c>
      <c r="D212" s="24" cm="1">
        <f t="array" ref="D212">SUMPRODUCT(('TREASURY FILE'!B111:B5112=$D$4)*('TREASURY FILE'!D111:D5112="TURNOVER")*('TREASURY FILE'!A111:A5112=A212)*('TREASURY FILE'!F111:F5112))</f>
        <v>11054.545354828624</v>
      </c>
      <c r="E212" s="31">
        <f t="shared" si="11"/>
        <v>324401144.32793576</v>
      </c>
      <c r="G212" s="24" cm="1">
        <f t="array" ref="G212">SUMPRODUCT(('TREASURY FILE'!B111:B5112=$G$4)*('TREASURY FILE'!D111:D5112="INCOME")*('TREASURY FILE'!A111:A5112=A212)*('TREASURY FILE'!F111:F5112))</f>
        <v>0</v>
      </c>
      <c r="H212" s="24" cm="1">
        <f t="array" ref="H212">SUMPRODUCT(('TREASURY FILE'!B111:B5112=$H$4)*('TREASURY FILE'!D111:D5112="INCOME")*('TREASURY FILE'!A111:A5112=A212)*('TREASURY FILE'!F111:F5112))</f>
        <v>82814.76713981721</v>
      </c>
      <c r="I212" s="24" cm="1">
        <f t="array" ref="I212">SUMPRODUCT(('TREASURY FILE'!D116:D5112=$I$4)*('TREASURY FILE'!F116:F5112="INCOME")*('TREASURY FILE'!C116:C5112=C212)*('TREASURY FILE'!H116:H5112))</f>
        <v>0</v>
      </c>
      <c r="J212" s="31">
        <f t="shared" si="12"/>
        <v>82814.76713981721</v>
      </c>
      <c r="K212" s="33">
        <f t="shared" si="13"/>
        <v>2.5528506476567823E-4</v>
      </c>
    </row>
    <row r="213" spans="1:11" x14ac:dyDescent="0.3">
      <c r="A213" s="30">
        <v>45866</v>
      </c>
      <c r="B213" s="24" cm="1">
        <f t="array" ref="B213">SUMPRODUCT(('TREASURY FILE'!B112:B5113=$B$4)*('TREASURY FILE'!D112:D5113="TURNOVER")*('TREASURY FILE'!A112:A5113=A213)*('TREASURY FILE'!F112:F5113))</f>
        <v>0</v>
      </c>
      <c r="C213" s="24" cm="1">
        <f t="array" ref="C213">SUMPRODUCT(('TREASURY FILE'!B112:B5113=$C$4)*('TREASURY FILE'!D112:D5113="TURNOVER")*('TREASURY FILE'!A112:A5113=A213)*('TREASURY FILE'!F112:F5113))</f>
        <v>372648626.85912156</v>
      </c>
      <c r="D213" s="24" cm="1">
        <f t="array" ref="D213">SUMPRODUCT(('TREASURY FILE'!B112:B5113=$D$4)*('TREASURY FILE'!D112:D5113="TURNOVER")*('TREASURY FILE'!A112:A5113=A213)*('TREASURY FILE'!F112:F5113))</f>
        <v>61400.14643416358</v>
      </c>
      <c r="E213" s="31">
        <f t="shared" si="11"/>
        <v>372710027.00555575</v>
      </c>
      <c r="G213" s="24" cm="1">
        <f t="array" ref="G213">SUMPRODUCT(('TREASURY FILE'!B112:B5113=$G$4)*('TREASURY FILE'!D112:D5113="INCOME")*('TREASURY FILE'!A112:A5113=A213)*('TREASURY FILE'!F112:F5113))</f>
        <v>0</v>
      </c>
      <c r="H213" s="24" cm="1">
        <f t="array" ref="H213">SUMPRODUCT(('TREASURY FILE'!B112:B5113=$H$4)*('TREASURY FILE'!D112:D5113="INCOME")*('TREASURY FILE'!A112:A5113=A213)*('TREASURY FILE'!F112:F5113))</f>
        <v>96560.024720856454</v>
      </c>
      <c r="I213" s="24" cm="1">
        <f t="array" ref="I213">SUMPRODUCT(('TREASURY FILE'!D117:D5113=$I$4)*('TREASURY FILE'!F117:F5113="INCOME")*('TREASURY FILE'!C117:C5113=C213)*('TREASURY FILE'!H117:H5113))</f>
        <v>0</v>
      </c>
      <c r="J213" s="31">
        <f t="shared" si="12"/>
        <v>96560.024720856454</v>
      </c>
      <c r="K213" s="33">
        <f t="shared" si="13"/>
        <v>2.5907546812368722E-4</v>
      </c>
    </row>
    <row r="214" spans="1:11" x14ac:dyDescent="0.3">
      <c r="A214" s="30">
        <v>45867</v>
      </c>
      <c r="B214" s="24" cm="1">
        <f t="array" ref="B214">SUMPRODUCT(('TREASURY FILE'!B113:B5114=$B$4)*('TREASURY FILE'!D113:D5114="TURNOVER")*('TREASURY FILE'!A113:A5114=A214)*('TREASURY FILE'!F113:F5114))</f>
        <v>0</v>
      </c>
      <c r="C214" s="24" cm="1">
        <f t="array" ref="C214">SUMPRODUCT(('TREASURY FILE'!B113:B5114=$C$4)*('TREASURY FILE'!D113:D5114="TURNOVER")*('TREASURY FILE'!A113:A5114=A214)*('TREASURY FILE'!F113:F5114))</f>
        <v>244325347.14357403</v>
      </c>
      <c r="D214" s="24" cm="1">
        <f t="array" ref="D214">SUMPRODUCT(('TREASURY FILE'!B113:B5114=$D$4)*('TREASURY FILE'!D113:D5114="TURNOVER")*('TREASURY FILE'!A113:A5114=A214)*('TREASURY FILE'!F113:F5114))</f>
        <v>32548.722265945278</v>
      </c>
      <c r="E214" s="31">
        <f t="shared" si="11"/>
        <v>244357895.86583999</v>
      </c>
      <c r="G214" s="24" cm="1">
        <f t="array" ref="G214">SUMPRODUCT(('TREASURY FILE'!B113:B5114=$G$4)*('TREASURY FILE'!D113:D5114="INCOME")*('TREASURY FILE'!A113:A5114=A214)*('TREASURY FILE'!F113:F5114))</f>
        <v>0</v>
      </c>
      <c r="H214" s="24" cm="1">
        <f t="array" ref="H214">SUMPRODUCT(('TREASURY FILE'!B113:B5114=$H$4)*('TREASURY FILE'!D113:D5114="INCOME")*('TREASURY FILE'!A113:A5114=A214)*('TREASURY FILE'!F113:F5114))</f>
        <v>61216.39235092645</v>
      </c>
      <c r="I214" s="24" cm="1">
        <f t="array" ref="I214">SUMPRODUCT(('TREASURY FILE'!D118:D5114=$I$4)*('TREASURY FILE'!F118:F5114="INCOME")*('TREASURY FILE'!C118:C5114=C214)*('TREASURY FILE'!H118:H5114))</f>
        <v>0</v>
      </c>
      <c r="J214" s="31">
        <f t="shared" si="12"/>
        <v>61216.39235092645</v>
      </c>
      <c r="K214" s="33">
        <f t="shared" si="13"/>
        <v>2.5051939547120726E-4</v>
      </c>
    </row>
    <row r="215" spans="1:11" x14ac:dyDescent="0.3">
      <c r="A215" s="30">
        <v>45868</v>
      </c>
      <c r="B215" s="24" cm="1">
        <f t="array" ref="B215">SUMPRODUCT(('TREASURY FILE'!B114:B5115=$B$4)*('TREASURY FILE'!D114:D5115="TURNOVER")*('TREASURY FILE'!A114:A5115=A215)*('TREASURY FILE'!F114:F5115))</f>
        <v>0</v>
      </c>
      <c r="C215" s="24" cm="1">
        <f t="array" ref="C215">SUMPRODUCT(('TREASURY FILE'!B114:B5115=$C$4)*('TREASURY FILE'!D114:D5115="TURNOVER")*('TREASURY FILE'!A114:A5115=A215)*('TREASURY FILE'!F114:F5115))</f>
        <v>195224953.71156034</v>
      </c>
      <c r="D215" s="24" cm="1">
        <f t="array" ref="D215">SUMPRODUCT(('TREASURY FILE'!B114:B5115=$D$4)*('TREASURY FILE'!D114:D5115="TURNOVER")*('TREASURY FILE'!A114:A5115=A215)*('TREASURY FILE'!F114:F5115))</f>
        <v>6860.3582975246036</v>
      </c>
      <c r="E215" s="31">
        <f t="shared" si="11"/>
        <v>195231814.06985787</v>
      </c>
      <c r="G215" s="24" cm="1">
        <f t="array" ref="G215">SUMPRODUCT(('TREASURY FILE'!B114:B5115=$G$4)*('TREASURY FILE'!D114:D5115="INCOME")*('TREASURY FILE'!A114:A5115=A215)*('TREASURY FILE'!F114:F5115))</f>
        <v>0</v>
      </c>
      <c r="H215" s="24" cm="1">
        <f t="array" ref="H215">SUMPRODUCT(('TREASURY FILE'!B114:B5115=$H$4)*('TREASURY FILE'!D114:D5115="INCOME")*('TREASURY FILE'!A114:A5115=A215)*('TREASURY FILE'!F114:F5115))</f>
        <v>48840.150846164601</v>
      </c>
      <c r="I215" s="24" cm="1">
        <f t="array" ref="I215">SUMPRODUCT(('TREASURY FILE'!D119:D5115=$I$4)*('TREASURY FILE'!F119:F5115="INCOME")*('TREASURY FILE'!C119:C5115=C215)*('TREASURY FILE'!H119:H5115))</f>
        <v>0</v>
      </c>
      <c r="J215" s="31">
        <f t="shared" si="12"/>
        <v>48840.150846164601</v>
      </c>
      <c r="K215" s="33">
        <f t="shared" si="13"/>
        <v>2.501649184527303E-4</v>
      </c>
    </row>
    <row r="216" spans="1:11" x14ac:dyDescent="0.3">
      <c r="A216" s="30">
        <v>45869</v>
      </c>
      <c r="B216" s="24" cm="1">
        <f t="array" ref="B216">SUMPRODUCT(('TREASURY FILE'!B115:B5116=$B$4)*('TREASURY FILE'!D115:D5116="TURNOVER")*('TREASURY FILE'!A115:A5116=A216)*('TREASURY FILE'!F115:F5116))</f>
        <v>0</v>
      </c>
      <c r="C216" s="24" cm="1">
        <f t="array" ref="C216">SUMPRODUCT(('TREASURY FILE'!B115:B5116=$C$4)*('TREASURY FILE'!D115:D5116="TURNOVER")*('TREASURY FILE'!A115:A5116=A216)*('TREASURY FILE'!F115:F5116))</f>
        <v>215512670.08634403</v>
      </c>
      <c r="D216" s="24" cm="1">
        <f t="array" ref="D216">SUMPRODUCT(('TREASURY FILE'!B115:B5116=$D$4)*('TREASURY FILE'!D115:D5116="TURNOVER")*('TREASURY FILE'!A115:A5116=A216)*('TREASURY FILE'!F115:F5116))</f>
        <v>130.77632044401909</v>
      </c>
      <c r="E216" s="31">
        <f t="shared" si="11"/>
        <v>215512800.86266449</v>
      </c>
      <c r="G216" s="24" cm="1">
        <f t="array" ref="G216">SUMPRODUCT(('TREASURY FILE'!B115:B5116=$G$4)*('TREASURY FILE'!D115:D5116="INCOME")*('TREASURY FILE'!A115:A5116=A216)*('TREASURY FILE'!F115:F5116))</f>
        <v>0</v>
      </c>
      <c r="H216" s="24" cm="1">
        <f t="array" ref="H216">SUMPRODUCT(('TREASURY FILE'!B115:B5116=$H$4)*('TREASURY FILE'!D115:D5116="INCOME")*('TREASURY FILE'!A115:A5116=A216)*('TREASURY FILE'!F115:F5116))</f>
        <v>53946.605877741182</v>
      </c>
      <c r="I216" s="24" cm="1">
        <f t="array" ref="I216">SUMPRODUCT(('TREASURY FILE'!D120:D5116=$I$4)*('TREASURY FILE'!F120:F5116="INCOME")*('TREASURY FILE'!C120:C5116=C216)*('TREASURY FILE'!H120:H5116))</f>
        <v>0</v>
      </c>
      <c r="J216" s="31">
        <f t="shared" si="12"/>
        <v>53946.605877741182</v>
      </c>
      <c r="K216" s="33">
        <f t="shared" si="13"/>
        <v>2.5031740881191857E-4</v>
      </c>
    </row>
    <row r="217" spans="1:11" x14ac:dyDescent="0.3">
      <c r="A217" s="30">
        <v>45870</v>
      </c>
      <c r="B217" s="24" cm="1">
        <f t="array" ref="B217">SUMPRODUCT(('TREASURY FILE'!B116:B5117=$B$4)*('TREASURY FILE'!D116:D5117="TURNOVER")*('TREASURY FILE'!A116:A5117=A217)*('TREASURY FILE'!F116:F5117))</f>
        <v>0</v>
      </c>
      <c r="C217" s="24" cm="1">
        <f t="array" ref="C217">SUMPRODUCT(('TREASURY FILE'!B116:B5117=$C$4)*('TREASURY FILE'!D116:D5117="TURNOVER")*('TREASURY FILE'!A116:A5117=A217)*('TREASURY FILE'!F116:F5117))</f>
        <v>220408484.8304188</v>
      </c>
      <c r="D217" s="24" cm="1">
        <f t="array" ref="D217">SUMPRODUCT(('TREASURY FILE'!B116:B5117=$D$4)*('TREASURY FILE'!D116:D5117="TURNOVER")*('TREASURY FILE'!A116:A5117=A217)*('TREASURY FILE'!F116:F5117))</f>
        <v>47879.137447932233</v>
      </c>
      <c r="E217" s="31">
        <f t="shared" si="11"/>
        <v>220456363.96786672</v>
      </c>
      <c r="G217" s="24" cm="1">
        <f t="array" ref="G217">SUMPRODUCT(('TREASURY FILE'!B116:B5117=$G$4)*('TREASURY FILE'!D116:D5117="INCOME")*('TREASURY FILE'!A116:A5117=A217)*('TREASURY FILE'!F116:F5117))</f>
        <v>0</v>
      </c>
      <c r="H217" s="24" cm="1">
        <f t="array" ref="H217">SUMPRODUCT(('TREASURY FILE'!B116:B5117=$H$4)*('TREASURY FILE'!D116:D5117="INCOME")*('TREASURY FILE'!A116:A5117=A217)*('TREASURY FILE'!F116:F5117))</f>
        <v>55092.846033087539</v>
      </c>
      <c r="I217" s="24" cm="1">
        <f t="array" ref="I217">SUMPRODUCT(('TREASURY FILE'!D121:D5117=$I$4)*('TREASURY FILE'!F121:F5117="INCOME")*('TREASURY FILE'!C121:C5117=C217)*('TREASURY FILE'!H121:H5117))</f>
        <v>0</v>
      </c>
      <c r="J217" s="31">
        <f t="shared" si="12"/>
        <v>55092.846033087539</v>
      </c>
      <c r="K217" s="33">
        <f t="shared" si="13"/>
        <v>2.4990363190929594E-4</v>
      </c>
    </row>
    <row r="218" spans="1:11" x14ac:dyDescent="0.3">
      <c r="A218" s="30">
        <v>45871</v>
      </c>
      <c r="B218" s="24" cm="1">
        <f t="array" ref="B218">SUMPRODUCT(('TREASURY FILE'!B117:B5118=$B$4)*('TREASURY FILE'!D117:D5118="TURNOVER")*('TREASURY FILE'!A117:A5118=A218)*('TREASURY FILE'!F117:F5118))</f>
        <v>0</v>
      </c>
      <c r="C218" s="24" cm="1">
        <f t="array" ref="C218">SUMPRODUCT(('TREASURY FILE'!B117:B5118=$C$4)*('TREASURY FILE'!D117:D5118="TURNOVER")*('TREASURY FILE'!A117:A5118=A218)*('TREASURY FILE'!F117:F5118))</f>
        <v>209706493.99871662</v>
      </c>
      <c r="D218" s="24" cm="1">
        <f t="array" ref="D218">SUMPRODUCT(('TREASURY FILE'!B117:B5118=$D$4)*('TREASURY FILE'!D117:D5118="TURNOVER")*('TREASURY FILE'!A117:A5118=A218)*('TREASURY FILE'!F117:F5118))</f>
        <v>3433.5246483797632</v>
      </c>
      <c r="E218" s="31">
        <f t="shared" si="11"/>
        <v>209709927.52336499</v>
      </c>
      <c r="G218" s="24" cm="1">
        <f t="array" ref="G218">SUMPRODUCT(('TREASURY FILE'!B117:B5118=$G$4)*('TREASURY FILE'!D117:D5118="INCOME")*('TREASURY FILE'!A117:A5118=A218)*('TREASURY FILE'!F117:F5118))</f>
        <v>0</v>
      </c>
      <c r="H218" s="24" cm="1">
        <f t="array" ref="H218">SUMPRODUCT(('TREASURY FILE'!B117:B5118=$H$4)*('TREASURY FILE'!D117:D5118="INCOME")*('TREASURY FILE'!A117:A5118=A218)*('TREASURY FILE'!F117:F5118))</f>
        <v>51846.347611313264</v>
      </c>
      <c r="I218" s="24" cm="1">
        <f t="array" ref="I218">SUMPRODUCT(('TREASURY FILE'!D122:D5118=$I$4)*('TREASURY FILE'!F122:F5118="INCOME")*('TREASURY FILE'!C122:C5118=C218)*('TREASURY FILE'!H122:H5118))</f>
        <v>0</v>
      </c>
      <c r="J218" s="31">
        <f t="shared" si="12"/>
        <v>51846.347611313264</v>
      </c>
      <c r="K218" s="33">
        <f t="shared" si="13"/>
        <v>2.4722886619440922E-4</v>
      </c>
    </row>
    <row r="219" spans="1:11" x14ac:dyDescent="0.3">
      <c r="A219" s="30">
        <v>45872</v>
      </c>
      <c r="B219" s="24" cm="1">
        <f t="array" ref="B219">SUMPRODUCT(('TREASURY FILE'!B118:B5119=$B$4)*('TREASURY FILE'!D118:D5119="TURNOVER")*('TREASURY FILE'!A118:A5119=A219)*('TREASURY FILE'!F118:F5119))</f>
        <v>0</v>
      </c>
      <c r="C219" s="24" cm="1">
        <f t="array" ref="C219">SUMPRODUCT(('TREASURY FILE'!B118:B5119=$C$4)*('TREASURY FILE'!D118:D5119="TURNOVER")*('TREASURY FILE'!A118:A5119=A219)*('TREASURY FILE'!F118:F5119))</f>
        <v>167878577.11895171</v>
      </c>
      <c r="D219" s="24" cm="1">
        <f t="array" ref="D219">SUMPRODUCT(('TREASURY FILE'!B118:B5119=$D$4)*('TREASURY FILE'!D118:D5119="TURNOVER")*('TREASURY FILE'!A118:A5119=A219)*('TREASURY FILE'!F118:F5119))</f>
        <v>0</v>
      </c>
      <c r="E219" s="31">
        <f t="shared" si="11"/>
        <v>167878577.11895171</v>
      </c>
      <c r="G219" s="24" cm="1">
        <f t="array" ref="G219">SUMPRODUCT(('TREASURY FILE'!B118:B5119=$G$4)*('TREASURY FILE'!D118:D5119="INCOME")*('TREASURY FILE'!A118:A5119=A219)*('TREASURY FILE'!F118:F5119))</f>
        <v>0</v>
      </c>
      <c r="H219" s="24" cm="1">
        <f t="array" ref="H219">SUMPRODUCT(('TREASURY FILE'!B118:B5119=$H$4)*('TREASURY FILE'!D118:D5119="INCOME")*('TREASURY FILE'!A118:A5119=A219)*('TREASURY FILE'!F118:F5119))</f>
        <v>41359.488483583744</v>
      </c>
      <c r="I219" s="24" cm="1">
        <f t="array" ref="I219">SUMPRODUCT(('TREASURY FILE'!D123:D5119=$I$4)*('TREASURY FILE'!F123:F5119="INCOME")*('TREASURY FILE'!C123:C5119=C219)*('TREASURY FILE'!H123:H5119))</f>
        <v>0</v>
      </c>
      <c r="J219" s="31">
        <f t="shared" si="12"/>
        <v>41359.488483583744</v>
      </c>
      <c r="K219" s="33">
        <f t="shared" si="13"/>
        <v>2.4636549340228291E-4</v>
      </c>
    </row>
    <row r="220" spans="1:11" x14ac:dyDescent="0.3">
      <c r="A220" s="30">
        <v>45873</v>
      </c>
      <c r="B220" s="24" cm="1">
        <f t="array" ref="B220">SUMPRODUCT(('TREASURY FILE'!B119:B5120=$B$4)*('TREASURY FILE'!D119:D5120="TURNOVER")*('TREASURY FILE'!A119:A5120=A220)*('TREASURY FILE'!F119:F5120))</f>
        <v>0</v>
      </c>
      <c r="C220" s="24" cm="1">
        <f t="array" ref="C220">SUMPRODUCT(('TREASURY FILE'!B119:B5120=$C$4)*('TREASURY FILE'!D119:D5120="TURNOVER")*('TREASURY FILE'!A119:A5120=A220)*('TREASURY FILE'!F119:F5120))</f>
        <v>248430269.39475247</v>
      </c>
      <c r="D220" s="24" cm="1">
        <f t="array" ref="D220">SUMPRODUCT(('TREASURY FILE'!B119:B5120=$D$4)*('TREASURY FILE'!D119:D5120="TURNOVER")*('TREASURY FILE'!A119:A5120=A220)*('TREASURY FILE'!F119:F5120))</f>
        <v>25.484425602395596</v>
      </c>
      <c r="E220" s="31">
        <f t="shared" si="11"/>
        <v>248430294.87917808</v>
      </c>
      <c r="G220" s="24" cm="1">
        <f t="array" ref="G220">SUMPRODUCT(('TREASURY FILE'!B119:B5120=$G$4)*('TREASURY FILE'!D119:D5120="INCOME")*('TREASURY FILE'!A119:A5120=A220)*('TREASURY FILE'!F119:F5120))</f>
        <v>0</v>
      </c>
      <c r="H220" s="24" cm="1">
        <f t="array" ref="H220">SUMPRODUCT(('TREASURY FILE'!B119:B5120=$H$4)*('TREASURY FILE'!D119:D5120="INCOME")*('TREASURY FILE'!A119:A5120=A220)*('TREASURY FILE'!F119:F5120))</f>
        <v>63906.399842213068</v>
      </c>
      <c r="I220" s="24" cm="1">
        <f t="array" ref="I220">SUMPRODUCT(('TREASURY FILE'!D124:D5120=$I$4)*('TREASURY FILE'!F124:F5120="INCOME")*('TREASURY FILE'!C124:C5120=C220)*('TREASURY FILE'!H124:H5120))</f>
        <v>0</v>
      </c>
      <c r="J220" s="31">
        <f t="shared" si="12"/>
        <v>63906.399842213068</v>
      </c>
      <c r="K220" s="33">
        <f t="shared" si="13"/>
        <v>2.5724076797193111E-4</v>
      </c>
    </row>
    <row r="221" spans="1:11" x14ac:dyDescent="0.3">
      <c r="A221" s="30">
        <v>45874</v>
      </c>
      <c r="B221" s="24" cm="1">
        <f t="array" ref="B221">SUMPRODUCT(('TREASURY FILE'!B120:B5121=$B$4)*('TREASURY FILE'!D120:D5121="TURNOVER")*('TREASURY FILE'!A120:A5121=A221)*('TREASURY FILE'!F120:F5121))</f>
        <v>0</v>
      </c>
      <c r="C221" s="24" cm="1">
        <f t="array" ref="C221">SUMPRODUCT(('TREASURY FILE'!B120:B5121=$C$4)*('TREASURY FILE'!D120:D5121="TURNOVER")*('TREASURY FILE'!A120:A5121=A221)*('TREASURY FILE'!F120:F5121))</f>
        <v>247951406.49083689</v>
      </c>
      <c r="D221" s="24" cm="1">
        <f t="array" ref="D221">SUMPRODUCT(('TREASURY FILE'!B120:B5121=$D$4)*('TREASURY FILE'!D120:D5121="TURNOVER")*('TREASURY FILE'!A120:A5121=A221)*('TREASURY FILE'!F120:F5121))</f>
        <v>10928.094853140792</v>
      </c>
      <c r="E221" s="31">
        <f t="shared" si="11"/>
        <v>247962334.58569002</v>
      </c>
      <c r="G221" s="24" cm="1">
        <f t="array" ref="G221">SUMPRODUCT(('TREASURY FILE'!B120:B5121=$G$4)*('TREASURY FILE'!D120:D5121="INCOME")*('TREASURY FILE'!A120:A5121=A221)*('TREASURY FILE'!F120:F5121))</f>
        <v>0</v>
      </c>
      <c r="H221" s="24" cm="1">
        <f t="array" ref="H221">SUMPRODUCT(('TREASURY FILE'!B120:B5121=$H$4)*('TREASURY FILE'!D120:D5121="INCOME")*('TREASURY FILE'!A120:A5121=A221)*('TREASURY FILE'!F120:F5121))</f>
        <v>62978.876008051135</v>
      </c>
      <c r="I221" s="24" cm="1">
        <f t="array" ref="I221">SUMPRODUCT(('TREASURY FILE'!D125:D5121=$I$4)*('TREASURY FILE'!F125:F5121="INCOME")*('TREASURY FILE'!C125:C5121=C221)*('TREASURY FILE'!H125:H5121))</f>
        <v>0</v>
      </c>
      <c r="J221" s="31">
        <f t="shared" si="12"/>
        <v>62978.876008051135</v>
      </c>
      <c r="K221" s="33">
        <f t="shared" si="13"/>
        <v>2.5398565517331461E-4</v>
      </c>
    </row>
    <row r="222" spans="1:11" x14ac:dyDescent="0.3">
      <c r="A222" s="30">
        <v>45875</v>
      </c>
      <c r="B222" s="24" cm="1">
        <f t="array" ref="B222">SUMPRODUCT(('TREASURY FILE'!B121:B5122=$B$4)*('TREASURY FILE'!D121:D5122="TURNOVER")*('TREASURY FILE'!A121:A5122=A222)*('TREASURY FILE'!F121:F5122))</f>
        <v>0</v>
      </c>
      <c r="C222" s="24" cm="1">
        <f t="array" ref="C222">SUMPRODUCT(('TREASURY FILE'!B121:B5122=$C$4)*('TREASURY FILE'!D121:D5122="TURNOVER")*('TREASURY FILE'!A121:A5122=A222)*('TREASURY FILE'!F121:F5122))</f>
        <v>175273708.53825521</v>
      </c>
      <c r="D222" s="24" cm="1">
        <f t="array" ref="D222">SUMPRODUCT(('TREASURY FILE'!B121:B5122=$D$4)*('TREASURY FILE'!D121:D5122="TURNOVER")*('TREASURY FILE'!A121:A5122=A222)*('TREASURY FILE'!F121:F5122))</f>
        <v>274.0213042512525</v>
      </c>
      <c r="E222" s="31">
        <f t="shared" si="11"/>
        <v>175273982.55955946</v>
      </c>
      <c r="G222" s="24" cm="1">
        <f t="array" ref="G222">SUMPRODUCT(('TREASURY FILE'!B121:B5122=$G$4)*('TREASURY FILE'!D121:D5122="INCOME")*('TREASURY FILE'!A121:A5122=A222)*('TREASURY FILE'!F121:F5122))</f>
        <v>0</v>
      </c>
      <c r="H222" s="24" cm="1">
        <f t="array" ref="H222">SUMPRODUCT(('TREASURY FILE'!B121:B5122=$H$4)*('TREASURY FILE'!D121:D5122="INCOME")*('TREASURY FILE'!A121:A5122=A222)*('TREASURY FILE'!F121:F5122))</f>
        <v>43828.549340278449</v>
      </c>
      <c r="I222" s="24" cm="1">
        <f t="array" ref="I222">SUMPRODUCT(('TREASURY FILE'!D126:D5122=$I$4)*('TREASURY FILE'!F126:F5122="INCOME")*('TREASURY FILE'!C126:C5122=C222)*('TREASURY FILE'!H126:H5122))</f>
        <v>0</v>
      </c>
      <c r="J222" s="31">
        <f t="shared" si="12"/>
        <v>43828.549340278449</v>
      </c>
      <c r="K222" s="33">
        <f t="shared" si="13"/>
        <v>2.5005735991298747E-4</v>
      </c>
    </row>
    <row r="223" spans="1:11" x14ac:dyDescent="0.3">
      <c r="A223" s="30">
        <v>45876</v>
      </c>
      <c r="B223" s="24" cm="1">
        <f t="array" ref="B223">SUMPRODUCT(('TREASURY FILE'!B122:B5123=$B$4)*('TREASURY FILE'!D122:D5123="TURNOVER")*('TREASURY FILE'!A122:A5123=A223)*('TREASURY FILE'!F122:F5123))</f>
        <v>0</v>
      </c>
      <c r="C223" s="24" cm="1">
        <f t="array" ref="C223">SUMPRODUCT(('TREASURY FILE'!B122:B5123=$C$4)*('TREASURY FILE'!D122:D5123="TURNOVER")*('TREASURY FILE'!A122:A5123=A223)*('TREASURY FILE'!F122:F5123))</f>
        <v>282286164.69394708</v>
      </c>
      <c r="D223" s="24" cm="1">
        <f t="array" ref="D223">SUMPRODUCT(('TREASURY FILE'!B122:B5123=$D$4)*('TREASURY FILE'!D122:D5123="TURNOVER")*('TREASURY FILE'!A122:A5123=A223)*('TREASURY FILE'!F122:F5123))</f>
        <v>392.58054290329039</v>
      </c>
      <c r="E223" s="31">
        <f t="shared" si="11"/>
        <v>282286557.27449</v>
      </c>
      <c r="G223" s="24" cm="1">
        <f t="array" ref="G223">SUMPRODUCT(('TREASURY FILE'!B122:B5123=$G$4)*('TREASURY FILE'!D122:D5123="INCOME")*('TREASURY FILE'!A122:A5123=A223)*('TREASURY FILE'!F122:F5123))</f>
        <v>0</v>
      </c>
      <c r="H223" s="24" cm="1">
        <f t="array" ref="H223">SUMPRODUCT(('TREASURY FILE'!B122:B5123=$H$4)*('TREASURY FILE'!D122:D5123="INCOME")*('TREASURY FILE'!A122:A5123=A223)*('TREASURY FILE'!F122:F5123))</f>
        <v>72234.741574606</v>
      </c>
      <c r="I223" s="24" cm="1">
        <f t="array" ref="I223">SUMPRODUCT(('TREASURY FILE'!D127:D5123=$I$4)*('TREASURY FILE'!F127:F5123="INCOME")*('TREASURY FILE'!C127:C5123=C223)*('TREASURY FILE'!H127:H5123))</f>
        <v>0</v>
      </c>
      <c r="J223" s="31">
        <f t="shared" si="12"/>
        <v>72234.741574606</v>
      </c>
      <c r="K223" s="33">
        <f t="shared" si="13"/>
        <v>2.5589153898095943E-4</v>
      </c>
    </row>
    <row r="224" spans="1:11" x14ac:dyDescent="0.3">
      <c r="A224" s="30">
        <v>45877</v>
      </c>
      <c r="B224" s="24" cm="1">
        <f t="array" ref="B224">SUMPRODUCT(('TREASURY FILE'!B123:B5124=$B$4)*('TREASURY FILE'!D123:D5124="TURNOVER")*('TREASURY FILE'!A123:A5124=A224)*('TREASURY FILE'!F123:F5124))</f>
        <v>0</v>
      </c>
      <c r="C224" s="24" cm="1">
        <f t="array" ref="C224">SUMPRODUCT(('TREASURY FILE'!B123:B5124=$C$4)*('TREASURY FILE'!D123:D5124="TURNOVER")*('TREASURY FILE'!A123:A5124=A224)*('TREASURY FILE'!F123:F5124))</f>
        <v>342600339.13721484</v>
      </c>
      <c r="D224" s="24" cm="1">
        <f t="array" ref="D224">SUMPRODUCT(('TREASURY FILE'!B123:B5124=$D$4)*('TREASURY FILE'!D123:D5124="TURNOVER")*('TREASURY FILE'!A123:A5124=A224)*('TREASURY FILE'!F123:F5124))</f>
        <v>609.1379662104539</v>
      </c>
      <c r="E224" s="31">
        <f t="shared" si="11"/>
        <v>342600948.27518106</v>
      </c>
      <c r="G224" s="24" cm="1">
        <f t="array" ref="G224">SUMPRODUCT(('TREASURY FILE'!B123:B5124=$G$4)*('TREASURY FILE'!D123:D5124="INCOME")*('TREASURY FILE'!A123:A5124=A224)*('TREASURY FILE'!F123:F5124))</f>
        <v>0</v>
      </c>
      <c r="H224" s="24" cm="1">
        <f t="array" ref="H224">SUMPRODUCT(('TREASURY FILE'!B123:B5124=$H$4)*('TREASURY FILE'!D123:D5124="INCOME")*('TREASURY FILE'!A123:A5124=A224)*('TREASURY FILE'!F123:F5124))</f>
        <v>91589.595846452532</v>
      </c>
      <c r="I224" s="24" cm="1">
        <f t="array" ref="I224">SUMPRODUCT(('TREASURY FILE'!D128:D5124=$I$4)*('TREASURY FILE'!F128:F5124="INCOME")*('TREASURY FILE'!C128:C5124=C224)*('TREASURY FILE'!H128:H5124))</f>
        <v>0</v>
      </c>
      <c r="J224" s="31">
        <f t="shared" si="12"/>
        <v>91589.595846452532</v>
      </c>
      <c r="K224" s="33">
        <f t="shared" si="13"/>
        <v>2.6733608388289311E-4</v>
      </c>
    </row>
    <row r="225" spans="1:11" x14ac:dyDescent="0.3">
      <c r="A225" s="30">
        <v>45878</v>
      </c>
      <c r="B225" s="24" cm="1">
        <f t="array" ref="B225">SUMPRODUCT(('TREASURY FILE'!B124:B5125=$B$4)*('TREASURY FILE'!D124:D5125="TURNOVER")*('TREASURY FILE'!A124:A5125=A225)*('TREASURY FILE'!F124:F5125))</f>
        <v>0</v>
      </c>
      <c r="C225" s="24" cm="1">
        <f t="array" ref="C225">SUMPRODUCT(('TREASURY FILE'!B124:B5125=$C$4)*('TREASURY FILE'!D124:D5125="TURNOVER")*('TREASURY FILE'!A124:A5125=A225)*('TREASURY FILE'!F124:F5125))</f>
        <v>314424559.67658889</v>
      </c>
      <c r="D225" s="24" cm="1">
        <f t="array" ref="D225">SUMPRODUCT(('TREASURY FILE'!B124:B5125=$D$4)*('TREASURY FILE'!D124:D5125="TURNOVER")*('TREASURY FILE'!A124:A5125=A225)*('TREASURY FILE'!F124:F5125))</f>
        <v>0</v>
      </c>
      <c r="E225" s="31">
        <f t="shared" si="11"/>
        <v>314424559.67658889</v>
      </c>
      <c r="G225" s="24" cm="1">
        <f t="array" ref="G225">SUMPRODUCT(('TREASURY FILE'!B124:B5125=$G$4)*('TREASURY FILE'!D124:D5125="INCOME")*('TREASURY FILE'!A124:A5125=A225)*('TREASURY FILE'!F124:F5125))</f>
        <v>0</v>
      </c>
      <c r="H225" s="24" cm="1">
        <f t="array" ref="H225">SUMPRODUCT(('TREASURY FILE'!B124:B5125=$H$4)*('TREASURY FILE'!D124:D5125="INCOME")*('TREASURY FILE'!A124:A5125=A225)*('TREASURY FILE'!F124:F5125))</f>
        <v>83527.491577622437</v>
      </c>
      <c r="I225" s="24" cm="1">
        <f t="array" ref="I225">SUMPRODUCT(('TREASURY FILE'!D129:D5125=$I$4)*('TREASURY FILE'!F129:F5125="INCOME")*('TREASURY FILE'!C129:C5125=C225)*('TREASURY FILE'!H129:H5125))</f>
        <v>0</v>
      </c>
      <c r="J225" s="31">
        <f t="shared" si="12"/>
        <v>83527.491577622437</v>
      </c>
      <c r="K225" s="33">
        <f t="shared" si="13"/>
        <v>2.6565193146342391E-4</v>
      </c>
    </row>
    <row r="226" spans="1:11" x14ac:dyDescent="0.3">
      <c r="A226" s="30">
        <v>45879</v>
      </c>
      <c r="B226" s="24" cm="1">
        <f t="array" ref="B226">SUMPRODUCT(('TREASURY FILE'!B125:B5126=$B$4)*('TREASURY FILE'!D125:D5126="TURNOVER")*('TREASURY FILE'!A125:A5126=A226)*('TREASURY FILE'!F125:F5126))</f>
        <v>0</v>
      </c>
      <c r="C226" s="24" cm="1">
        <f t="array" ref="C226">SUMPRODUCT(('TREASURY FILE'!B125:B5126=$C$4)*('TREASURY FILE'!D125:D5126="TURNOVER")*('TREASURY FILE'!A125:A5126=A226)*('TREASURY FILE'!F125:F5126))</f>
        <v>266600961.86726865</v>
      </c>
      <c r="D226" s="24" cm="1">
        <f t="array" ref="D226">SUMPRODUCT(('TREASURY FILE'!B125:B5126=$D$4)*('TREASURY FILE'!D125:D5126="TURNOVER")*('TREASURY FILE'!A125:A5126=A226)*('TREASURY FILE'!F125:F5126))</f>
        <v>106.69950009460634</v>
      </c>
      <c r="E226" s="31">
        <f t="shared" si="11"/>
        <v>266601068.56676874</v>
      </c>
      <c r="G226" s="24" cm="1">
        <f t="array" ref="G226">SUMPRODUCT(('TREASURY FILE'!B125:B5126=$G$4)*('TREASURY FILE'!D125:D5126="INCOME")*('TREASURY FILE'!A125:A5126=A226)*('TREASURY FILE'!F125:F5126))</f>
        <v>0</v>
      </c>
      <c r="H226" s="24" cm="1">
        <f t="array" ref="H226">SUMPRODUCT(('TREASURY FILE'!B125:B5126=$H$4)*('TREASURY FILE'!D125:D5126="INCOME")*('TREASURY FILE'!A125:A5126=A226)*('TREASURY FILE'!F125:F5126))</f>
        <v>67787.451042973218</v>
      </c>
      <c r="I226" s="24" cm="1">
        <f t="array" ref="I226">SUMPRODUCT(('TREASURY FILE'!D130:D5126=$I$4)*('TREASURY FILE'!F130:F5126="INCOME")*('TREASURY FILE'!C130:C5126=C226)*('TREASURY FILE'!H130:H5126))</f>
        <v>0</v>
      </c>
      <c r="J226" s="31">
        <f t="shared" si="12"/>
        <v>67787.451042973218</v>
      </c>
      <c r="K226" s="33">
        <f t="shared" si="13"/>
        <v>2.5426548890968243E-4</v>
      </c>
    </row>
    <row r="227" spans="1:11" x14ac:dyDescent="0.3">
      <c r="A227" s="30">
        <v>45880</v>
      </c>
      <c r="B227" s="24" cm="1">
        <f t="array" ref="B227">SUMPRODUCT(('TREASURY FILE'!B126:B5127=$B$4)*('TREASURY FILE'!D126:D5127="TURNOVER")*('TREASURY FILE'!A126:A5127=A227)*('TREASURY FILE'!F126:F5127))</f>
        <v>0</v>
      </c>
      <c r="C227" s="24" cm="1">
        <f t="array" ref="C227">SUMPRODUCT(('TREASURY FILE'!B126:B5127=$C$4)*('TREASURY FILE'!D126:D5127="TURNOVER")*('TREASURY FILE'!A126:A5127=A227)*('TREASURY FILE'!F126:F5127))</f>
        <v>317411369.57999444</v>
      </c>
      <c r="D227" s="24" cm="1">
        <f t="array" ref="D227">SUMPRODUCT(('TREASURY FILE'!B126:B5127=$D$4)*('TREASURY FILE'!D126:D5127="TURNOVER")*('TREASURY FILE'!A126:A5127=A227)*('TREASURY FILE'!F126:F5127))</f>
        <v>6512.0081279187425</v>
      </c>
      <c r="E227" s="31">
        <f t="shared" si="11"/>
        <v>317417881.58812237</v>
      </c>
      <c r="G227" s="24" cm="1">
        <f t="array" ref="G227">SUMPRODUCT(('TREASURY FILE'!B126:B5127=$G$4)*('TREASURY FILE'!D126:D5127="INCOME")*('TREASURY FILE'!A126:A5127=A227)*('TREASURY FILE'!F126:F5127))</f>
        <v>0</v>
      </c>
      <c r="H227" s="24" cm="1">
        <f t="array" ref="H227">SUMPRODUCT(('TREASURY FILE'!B126:B5127=$H$4)*('TREASURY FILE'!D126:D5127="INCOME")*('TREASURY FILE'!A126:A5127=A227)*('TREASURY FILE'!F126:F5127))</f>
        <v>82332.662267453488</v>
      </c>
      <c r="I227" s="24" cm="1">
        <f t="array" ref="I227">SUMPRODUCT(('TREASURY FILE'!D131:D5127=$I$4)*('TREASURY FILE'!F131:F5127="INCOME")*('TREASURY FILE'!C131:C5127=C227)*('TREASURY FILE'!H131:H5127))</f>
        <v>0</v>
      </c>
      <c r="J227" s="31">
        <f t="shared" si="12"/>
        <v>82332.662267453488</v>
      </c>
      <c r="K227" s="33">
        <f t="shared" si="13"/>
        <v>2.5938255858656183E-4</v>
      </c>
    </row>
    <row r="228" spans="1:11" x14ac:dyDescent="0.3">
      <c r="A228" s="30">
        <v>45881</v>
      </c>
      <c r="B228" s="24" cm="1">
        <f t="array" ref="B228">SUMPRODUCT(('TREASURY FILE'!B127:B5128=$B$4)*('TREASURY FILE'!D127:D5128="TURNOVER")*('TREASURY FILE'!A127:A5128=A228)*('TREASURY FILE'!F127:F5128))</f>
        <v>0</v>
      </c>
      <c r="C228" s="24" cm="1">
        <f t="array" ref="C228">SUMPRODUCT(('TREASURY FILE'!B127:B5128=$C$4)*('TREASURY FILE'!D127:D5128="TURNOVER")*('TREASURY FILE'!A127:A5128=A228)*('TREASURY FILE'!F127:F5128))</f>
        <v>274436594.30070555</v>
      </c>
      <c r="D228" s="24" cm="1">
        <f t="array" ref="D228">SUMPRODUCT(('TREASURY FILE'!B127:B5128=$D$4)*('TREASURY FILE'!D127:D5128="TURNOVER")*('TREASURY FILE'!A127:A5128=A228)*('TREASURY FILE'!F127:F5128))</f>
        <v>44</v>
      </c>
      <c r="E228" s="31">
        <f t="shared" si="11"/>
        <v>274436638.30070555</v>
      </c>
      <c r="G228" s="24" cm="1">
        <f t="array" ref="G228">SUMPRODUCT(('TREASURY FILE'!B127:B5128=$G$4)*('TREASURY FILE'!D127:D5128="INCOME")*('TREASURY FILE'!A127:A5128=A228)*('TREASURY FILE'!F127:F5128))</f>
        <v>0</v>
      </c>
      <c r="H228" s="24" cm="1">
        <f t="array" ref="H228">SUMPRODUCT(('TREASURY FILE'!B127:B5128=$H$4)*('TREASURY FILE'!D127:D5128="INCOME")*('TREASURY FILE'!A127:A5128=A228)*('TREASURY FILE'!F127:F5128))</f>
        <v>69403.484633846034</v>
      </c>
      <c r="I228" s="24" cm="1">
        <f t="array" ref="I228">SUMPRODUCT(('TREASURY FILE'!D136:D5128=$I$4)*('TREASURY FILE'!F136:F5128="INCOME")*('TREASURY FILE'!C136:C5128=C228)*('TREASURY FILE'!H136:H5128))</f>
        <v>0</v>
      </c>
      <c r="J228" s="31">
        <f t="shared" si="12"/>
        <v>69403.484633846034</v>
      </c>
      <c r="K228" s="33">
        <f t="shared" si="13"/>
        <v>2.5289438415944772E-4</v>
      </c>
    </row>
    <row r="229" spans="1:11" x14ac:dyDescent="0.3">
      <c r="A229" s="30">
        <v>45882</v>
      </c>
      <c r="B229" s="24" cm="1">
        <f t="array" ref="B229">SUMPRODUCT(('TREASURY FILE'!B128:B5129=$B$4)*('TREASURY FILE'!D128:D5129="TURNOVER")*('TREASURY FILE'!A128:A5129=A229)*('TREASURY FILE'!F128:F5129))</f>
        <v>0</v>
      </c>
      <c r="C229" s="24" cm="1">
        <f t="array" ref="C229">SUMPRODUCT(('TREASURY FILE'!B128:B5129=$C$4)*('TREASURY FILE'!D128:D5129="TURNOVER")*('TREASURY FILE'!A128:A5129=A229)*('TREASURY FILE'!F128:F5129))</f>
        <v>339499147.99182546</v>
      </c>
      <c r="D229" s="24" cm="1">
        <f t="array" ref="D229">SUMPRODUCT(('TREASURY FILE'!B128:B5129=$D$4)*('TREASURY FILE'!D128:D5129="TURNOVER")*('TREASURY FILE'!A128:A5129=A229)*('TREASURY FILE'!F128:F5129))</f>
        <v>154.72864159004467</v>
      </c>
      <c r="E229" s="31">
        <f t="shared" si="11"/>
        <v>339499302.72046703</v>
      </c>
      <c r="G229" s="24" cm="1">
        <f t="array" ref="G229">SUMPRODUCT(('TREASURY FILE'!B128:B5129=$G$4)*('TREASURY FILE'!D128:D5129="INCOME")*('TREASURY FILE'!A128:A5129=A229)*('TREASURY FILE'!F128:F5129))</f>
        <v>0</v>
      </c>
      <c r="H229" s="24" cm="1">
        <f t="array" ref="H229">SUMPRODUCT(('TREASURY FILE'!B128:B5129=$H$4)*('TREASURY FILE'!D128:D5129="INCOME")*('TREASURY FILE'!A128:A5129=A229)*('TREASURY FILE'!F128:F5129))</f>
        <v>89555.175896854402</v>
      </c>
      <c r="I229" s="24" cm="1">
        <f t="array" ref="I229">SUMPRODUCT(('TREASURY FILE'!D137:D5129=$I$4)*('TREASURY FILE'!F137:F5129="INCOME")*('TREASURY FILE'!C137:C5129=C229)*('TREASURY FILE'!H137:H5129))</f>
        <v>0</v>
      </c>
      <c r="J229" s="31">
        <f t="shared" si="12"/>
        <v>89555.175896854402</v>
      </c>
      <c r="K229" s="33">
        <f t="shared" si="13"/>
        <v>2.6378603778927725E-4</v>
      </c>
    </row>
    <row r="230" spans="1:11" x14ac:dyDescent="0.3">
      <c r="A230" s="30">
        <v>45883</v>
      </c>
      <c r="B230" s="24" cm="1">
        <f t="array" ref="B230">SUMPRODUCT(('TREASURY FILE'!B129:B5130=$B$4)*('TREASURY FILE'!D129:D5130="TURNOVER")*('TREASURY FILE'!A129:A5130=A230)*('TREASURY FILE'!F129:F5130))</f>
        <v>0</v>
      </c>
      <c r="C230" s="24" cm="1">
        <f t="array" ref="C230">SUMPRODUCT(('TREASURY FILE'!B129:B5130=$C$4)*('TREASURY FILE'!D129:D5130="TURNOVER")*('TREASURY FILE'!A129:A5130=A230)*('TREASURY FILE'!F129:F5130))</f>
        <v>387912136.55047452</v>
      </c>
      <c r="D230" s="24" cm="1">
        <f t="array" ref="D230">SUMPRODUCT(('TREASURY FILE'!B129:B5130=$D$4)*('TREASURY FILE'!D129:D5130="TURNOVER")*('TREASURY FILE'!A129:A5130=A230)*('TREASURY FILE'!F129:F5130))</f>
        <v>31822.338676992011</v>
      </c>
      <c r="E230" s="31">
        <f t="shared" si="11"/>
        <v>387943958.88915151</v>
      </c>
      <c r="G230" s="24" cm="1">
        <f t="array" ref="G230">SUMPRODUCT(('TREASURY FILE'!B129:B5130=$G$4)*('TREASURY FILE'!D129:D5130="INCOME")*('TREASURY FILE'!A129:A5130=A230)*('TREASURY FILE'!F129:F5130))</f>
        <v>0</v>
      </c>
      <c r="H230" s="24" cm="1">
        <f t="array" ref="H230">SUMPRODUCT(('TREASURY FILE'!B129:B5130=$H$4)*('TREASURY FILE'!D129:D5130="INCOME")*('TREASURY FILE'!A129:A5130=A230)*('TREASURY FILE'!F129:F5130))</f>
        <v>107546.08883782278</v>
      </c>
      <c r="I230" s="24" cm="1">
        <f t="array" ref="I230">SUMPRODUCT(('TREASURY FILE'!D138:D5130=$I$4)*('TREASURY FILE'!F138:F5130="INCOME")*('TREASURY FILE'!C138:C5130=C230)*('TREASURY FILE'!H138:H5130))</f>
        <v>0</v>
      </c>
      <c r="J230" s="31">
        <f t="shared" si="12"/>
        <v>107546.08883782278</v>
      </c>
      <c r="K230" s="33">
        <f t="shared" si="13"/>
        <v>2.7722068194017756E-4</v>
      </c>
    </row>
    <row r="231" spans="1:11" x14ac:dyDescent="0.3">
      <c r="A231" s="30">
        <v>45884</v>
      </c>
      <c r="B231" s="24" cm="1">
        <f t="array" ref="B231">SUMPRODUCT(('TREASURY FILE'!B130:B5131=$B$4)*('TREASURY FILE'!D130:D5131="TURNOVER")*('TREASURY FILE'!A130:A5131=A231)*('TREASURY FILE'!F130:F5131))</f>
        <v>0</v>
      </c>
      <c r="C231" s="24" cm="1">
        <f t="array" ref="C231">SUMPRODUCT(('TREASURY FILE'!B130:B5131=$C$4)*('TREASURY FILE'!D130:D5131="TURNOVER")*('TREASURY FILE'!A130:A5131=A231)*('TREASURY FILE'!F130:F5131))</f>
        <v>224061485.86403012</v>
      </c>
      <c r="D231" s="24" cm="1">
        <f t="array" ref="D231">SUMPRODUCT(('TREASURY FILE'!B130:B5131=$D$4)*('TREASURY FILE'!D130:D5131="TURNOVER")*('TREASURY FILE'!A130:A5131=A231)*('TREASURY FILE'!F130:F5131))</f>
        <v>26000.455207324998</v>
      </c>
      <c r="E231" s="31">
        <f t="shared" si="11"/>
        <v>224087486.31923744</v>
      </c>
      <c r="G231" s="24" cm="1">
        <f t="array" ref="G231">SUMPRODUCT(('TREASURY FILE'!B130:B5131=$G$4)*('TREASURY FILE'!D130:D5131="INCOME")*('TREASURY FILE'!A130:A5131=A231)*('TREASURY FILE'!F130:F5131))</f>
        <v>0</v>
      </c>
      <c r="H231" s="24" cm="1">
        <f t="array" ref="H231">SUMPRODUCT(('TREASURY FILE'!B130:B5131=$H$4)*('TREASURY FILE'!D130:D5131="INCOME")*('TREASURY FILE'!A130:A5131=A231)*('TREASURY FILE'!F130:F5131))</f>
        <v>64701.887038739238</v>
      </c>
      <c r="I231" s="24" cm="1">
        <f t="array" ref="I231">SUMPRODUCT(('TREASURY FILE'!D139:D5131=$I$4)*('TREASURY FILE'!F139:F5131="INCOME")*('TREASURY FILE'!C139:C5131=C231)*('TREASURY FILE'!H139:H5131))</f>
        <v>0</v>
      </c>
      <c r="J231" s="31">
        <f t="shared" si="12"/>
        <v>64701.887038739238</v>
      </c>
      <c r="K231" s="33">
        <f t="shared" si="13"/>
        <v>2.8873494054266037E-4</v>
      </c>
    </row>
    <row r="232" spans="1:11" x14ac:dyDescent="0.3">
      <c r="A232" s="30">
        <v>45885</v>
      </c>
      <c r="B232" s="24" cm="1">
        <f t="array" ref="B232">SUMPRODUCT(('TREASURY FILE'!B131:B5132=$B$4)*('TREASURY FILE'!D131:D5132="TURNOVER")*('TREASURY FILE'!A131:A5132=A232)*('TREASURY FILE'!F131:F5132))</f>
        <v>0</v>
      </c>
      <c r="C232" s="24" cm="1">
        <f t="array" ref="C232">SUMPRODUCT(('TREASURY FILE'!B131:B5132=$C$4)*('TREASURY FILE'!D131:D5132="TURNOVER")*('TREASURY FILE'!A131:A5132=A232)*('TREASURY FILE'!F131:F5132))</f>
        <v>205800168.00032631</v>
      </c>
      <c r="D232" s="24" cm="1">
        <f t="array" ref="D232">SUMPRODUCT(('TREASURY FILE'!B131:B5132=$D$4)*('TREASURY FILE'!D131:D5132="TURNOVER")*('TREASURY FILE'!A131:A5132=A232)*('TREASURY FILE'!F131:F5132))</f>
        <v>105913.66417216707</v>
      </c>
      <c r="E232" s="31">
        <f t="shared" si="11"/>
        <v>205906081.66449848</v>
      </c>
      <c r="G232" s="24" cm="1">
        <f t="array" ref="G232">SUMPRODUCT(('TREASURY FILE'!B131:B5132=$G$4)*('TREASURY FILE'!D131:D5132="INCOME")*('TREASURY FILE'!A131:A5132=A232)*('TREASURY FILE'!F131:F5132))</f>
        <v>0</v>
      </c>
      <c r="H232" s="24" cm="1">
        <f t="array" ref="H232">SUMPRODUCT(('TREASURY FILE'!B131:B5132=$H$4)*('TREASURY FILE'!D131:D5132="INCOME")*('TREASURY FILE'!A131:A5132=A232)*('TREASURY FILE'!F131:F5132))</f>
        <v>54317.747337914647</v>
      </c>
      <c r="I232" s="24" cm="1">
        <f t="array" ref="I232">SUMPRODUCT(('TREASURY FILE'!D140:D5132=$I$4)*('TREASURY FILE'!F140:F5132="INCOME")*('TREASURY FILE'!C140:C5132=C232)*('TREASURY FILE'!H140:H5132))</f>
        <v>0</v>
      </c>
      <c r="J232" s="31">
        <f t="shared" si="12"/>
        <v>54317.747337914647</v>
      </c>
      <c r="K232" s="33">
        <f t="shared" si="13"/>
        <v>2.6379865470131913E-4</v>
      </c>
    </row>
    <row r="233" spans="1:11" x14ac:dyDescent="0.3">
      <c r="A233" s="30">
        <v>45886</v>
      </c>
      <c r="B233" s="24" cm="1">
        <f t="array" ref="B233">SUMPRODUCT(('TREASURY FILE'!B132:B5133=$B$4)*('TREASURY FILE'!D132:D5133="TURNOVER")*('TREASURY FILE'!A132:A5133=A233)*('TREASURY FILE'!F132:F5133))</f>
        <v>0</v>
      </c>
      <c r="C233" s="24" cm="1">
        <f t="array" ref="C233">SUMPRODUCT(('TREASURY FILE'!B132:B5133=$C$4)*('TREASURY FILE'!D132:D5133="TURNOVER")*('TREASURY FILE'!A132:A5133=A233)*('TREASURY FILE'!F132:F5133))</f>
        <v>205535409.0649164</v>
      </c>
      <c r="D233" s="24" cm="1">
        <f t="array" ref="D233">SUMPRODUCT(('TREASURY FILE'!B132:B5133=$D$4)*('TREASURY FILE'!D132:D5133="TURNOVER")*('TREASURY FILE'!A132:A5133=A233)*('TREASURY FILE'!F132:F5133))</f>
        <v>2512.7902015252184</v>
      </c>
      <c r="E233" s="31">
        <f t="shared" si="11"/>
        <v>205537921.85511792</v>
      </c>
      <c r="G233" s="24" cm="1">
        <f t="array" ref="G233">SUMPRODUCT(('TREASURY FILE'!B132:B5133=$G$4)*('TREASURY FILE'!D132:D5133="INCOME")*('TREASURY FILE'!A132:A5133=A233)*('TREASURY FILE'!F132:F5133))</f>
        <v>0</v>
      </c>
      <c r="H233" s="24" cm="1">
        <f t="array" ref="H233">SUMPRODUCT(('TREASURY FILE'!B132:B5133=$H$4)*('TREASURY FILE'!D132:D5133="INCOME")*('TREASURY FILE'!A132:A5133=A233)*('TREASURY FILE'!F132:F5133))</f>
        <v>53837.275891945843</v>
      </c>
      <c r="I233" s="24" cm="1">
        <f t="array" ref="I233">SUMPRODUCT(('TREASURY FILE'!D141:D5133=$I$4)*('TREASURY FILE'!F141:F5133="INCOME")*('TREASURY FILE'!C141:C5133=C233)*('TREASURY FILE'!H141:H5133))</f>
        <v>0</v>
      </c>
      <c r="J233" s="31">
        <f t="shared" si="12"/>
        <v>53837.275891945843</v>
      </c>
      <c r="K233" s="33">
        <f t="shared" si="13"/>
        <v>2.6193354202488884E-4</v>
      </c>
    </row>
    <row r="234" spans="1:11" x14ac:dyDescent="0.3">
      <c r="A234" s="30">
        <v>45887</v>
      </c>
      <c r="B234" s="24" cm="1">
        <f t="array" ref="B234">SUMPRODUCT(('TREASURY FILE'!B133:B5134=$B$4)*('TREASURY FILE'!D133:D5134="TURNOVER")*('TREASURY FILE'!A133:A5134=A234)*('TREASURY FILE'!F133:F5134))</f>
        <v>0</v>
      </c>
      <c r="C234" s="24" cm="1">
        <f t="array" ref="C234">SUMPRODUCT(('TREASURY FILE'!B133:B5134=$C$4)*('TREASURY FILE'!D133:D5134="TURNOVER")*('TREASURY FILE'!A133:A5134=A234)*('TREASURY FILE'!F133:F5134))</f>
        <v>218635398.88191208</v>
      </c>
      <c r="D234" s="24" cm="1">
        <f t="array" ref="D234">SUMPRODUCT(('TREASURY FILE'!B133:B5134=$D$4)*('TREASURY FILE'!D133:D5134="TURNOVER")*('TREASURY FILE'!A133:A5134=A234)*('TREASURY FILE'!F133:F5134))</f>
        <v>92</v>
      </c>
      <c r="E234" s="31">
        <f t="shared" si="11"/>
        <v>218635490.88191208</v>
      </c>
      <c r="G234" s="24" cm="1">
        <f t="array" ref="G234">SUMPRODUCT(('TREASURY FILE'!B133:B5134=$G$4)*('TREASURY FILE'!D133:D5134="INCOME")*('TREASURY FILE'!A133:A5134=A234)*('TREASURY FILE'!F133:F5134))</f>
        <v>0</v>
      </c>
      <c r="H234" s="24" cm="1">
        <f t="array" ref="H234">SUMPRODUCT(('TREASURY FILE'!B133:B5134=$H$4)*('TREASURY FILE'!D133:D5134="INCOME")*('TREASURY FILE'!A133:A5134=A234)*('TREASURY FILE'!F133:F5134))</f>
        <v>58854.781350238161</v>
      </c>
      <c r="I234" s="24" cm="1">
        <f t="array" ref="I234">SUMPRODUCT(('TREASURY FILE'!D142:D5134=$I$4)*('TREASURY FILE'!F142:F5134="INCOME")*('TREASURY FILE'!C142:C5134=C234)*('TREASURY FILE'!H142:H5134))</f>
        <v>0</v>
      </c>
      <c r="J234" s="31">
        <f t="shared" si="12"/>
        <v>58854.781350238161</v>
      </c>
      <c r="K234" s="33">
        <f t="shared" si="13"/>
        <v>2.6919134269022408E-4</v>
      </c>
    </row>
    <row r="235" spans="1:11" x14ac:dyDescent="0.3">
      <c r="A235" s="30">
        <v>45888</v>
      </c>
      <c r="B235" s="24" cm="1">
        <f t="array" ref="B235">SUMPRODUCT(('TREASURY FILE'!B134:B5135=$B$4)*('TREASURY FILE'!D134:D5135="TURNOVER")*('TREASURY FILE'!A134:A5135=A235)*('TREASURY FILE'!F134:F5135))</f>
        <v>0</v>
      </c>
      <c r="C235" s="24" cm="1">
        <f t="array" ref="C235">SUMPRODUCT(('TREASURY FILE'!B134:B5135=$C$4)*('TREASURY FILE'!D134:D5135="TURNOVER")*('TREASURY FILE'!A134:A5135=A235)*('TREASURY FILE'!F134:F5135))</f>
        <v>268950995.26142883</v>
      </c>
      <c r="D235" s="24" cm="1">
        <f t="array" ref="D235">SUMPRODUCT(('TREASURY FILE'!B134:B5135=$D$4)*('TREASURY FILE'!D134:D5135="TURNOVER")*('TREASURY FILE'!A134:A5135=A235)*('TREASURY FILE'!F134:F5135))</f>
        <v>5764.4830380427175</v>
      </c>
      <c r="E235" s="31">
        <f t="shared" si="11"/>
        <v>268956759.7444669</v>
      </c>
      <c r="G235" s="24" cm="1">
        <f t="array" ref="G235">SUMPRODUCT(('TREASURY FILE'!B134:B5135=$G$4)*('TREASURY FILE'!D134:D5135="INCOME")*('TREASURY FILE'!A134:A5135=A235)*('TREASURY FILE'!F134:F5135))</f>
        <v>0</v>
      </c>
      <c r="H235" s="24" cm="1">
        <f t="array" ref="H235">SUMPRODUCT(('TREASURY FILE'!B134:B5135=$H$4)*('TREASURY FILE'!D134:D5135="INCOME")*('TREASURY FILE'!A134:A5135=A235)*('TREASURY FILE'!F134:F5135))</f>
        <v>74475.953203480414</v>
      </c>
      <c r="I235" s="24" cm="1">
        <f t="array" ref="I235">SUMPRODUCT(('TREASURY FILE'!D143:D5135=$I$4)*('TREASURY FILE'!F143:F5135="INCOME")*('TREASURY FILE'!C143:C5135=C235)*('TREASURY FILE'!H143:H5135))</f>
        <v>0</v>
      </c>
      <c r="J235" s="31">
        <f t="shared" si="12"/>
        <v>74475.953203480414</v>
      </c>
      <c r="K235" s="33">
        <f t="shared" si="13"/>
        <v>2.7690679079506782E-4</v>
      </c>
    </row>
    <row r="236" spans="1:11" x14ac:dyDescent="0.3">
      <c r="A236" s="30">
        <v>45889</v>
      </c>
      <c r="B236" s="24" cm="1">
        <f t="array" ref="B236">SUMPRODUCT(('TREASURY FILE'!B135:B5136=$B$4)*('TREASURY FILE'!D135:D5136="TURNOVER")*('TREASURY FILE'!A135:A5136=A236)*('TREASURY FILE'!F135:F5136))</f>
        <v>0</v>
      </c>
      <c r="C236" s="24" cm="1">
        <f t="array" ref="C236">SUMPRODUCT(('TREASURY FILE'!B135:B5136=$C$4)*('TREASURY FILE'!D135:D5136="TURNOVER")*('TREASURY FILE'!A135:A5136=A236)*('TREASURY FILE'!F135:F5136))</f>
        <v>229482083.355048</v>
      </c>
      <c r="D236" s="24" cm="1">
        <f t="array" ref="D236">SUMPRODUCT(('TREASURY FILE'!B135:B5136=$D$4)*('TREASURY FILE'!D135:D5136="TURNOVER")*('TREASURY FILE'!A135:A5136=A236)*('TREASURY FILE'!F135:F5136))</f>
        <v>1304.7655243522208</v>
      </c>
      <c r="E236" s="31">
        <f t="shared" si="11"/>
        <v>229483388.12057236</v>
      </c>
      <c r="G236" s="24" cm="1">
        <f t="array" ref="G236">SUMPRODUCT(('TREASURY FILE'!B135:B5136=$G$4)*('TREASURY FILE'!D135:D5136="INCOME")*('TREASURY FILE'!A135:A5136=A236)*('TREASURY FILE'!F135:F5136))</f>
        <v>0</v>
      </c>
      <c r="H236" s="24" cm="1">
        <f t="array" ref="H236">SUMPRODUCT(('TREASURY FILE'!B135:B5136=$H$4)*('TREASURY FILE'!D135:D5136="INCOME")*('TREASURY FILE'!A135:A5136=A236)*('TREASURY FILE'!F135:F5136))</f>
        <v>61435.960674584341</v>
      </c>
      <c r="I236" s="24" cm="1">
        <f t="array" ref="I236">SUMPRODUCT(('TREASURY FILE'!D144:D5136=$I$4)*('TREASURY FILE'!F144:F5136="INCOME")*('TREASURY FILE'!C144:C5136=C236)*('TREASURY FILE'!H144:H5136))</f>
        <v>0</v>
      </c>
      <c r="J236" s="31">
        <f t="shared" si="12"/>
        <v>61435.960674584341</v>
      </c>
      <c r="K236" s="33">
        <f t="shared" si="13"/>
        <v>2.6771419568855857E-4</v>
      </c>
    </row>
    <row r="237" spans="1:11" x14ac:dyDescent="0.3">
      <c r="A237" s="30">
        <v>45890</v>
      </c>
      <c r="B237" s="24" cm="1">
        <f t="array" ref="B237">SUMPRODUCT(('TREASURY FILE'!B136:B5137=$B$4)*('TREASURY FILE'!D136:D5137="TURNOVER")*('TREASURY FILE'!A136:A5137=A237)*('TREASURY FILE'!F136:F5137))</f>
        <v>0</v>
      </c>
      <c r="C237" s="24" cm="1">
        <f t="array" ref="C237">SUMPRODUCT(('TREASURY FILE'!B136:B5137=$C$4)*('TREASURY FILE'!D136:D5137="TURNOVER")*('TREASURY FILE'!A136:A5137=A237)*('TREASURY FILE'!F136:F5137))</f>
        <v>217904442.52579463</v>
      </c>
      <c r="D237" s="24" cm="1">
        <f t="array" ref="D237">SUMPRODUCT(('TREASURY FILE'!B136:B5137=$D$4)*('TREASURY FILE'!D136:D5137="TURNOVER")*('TREASURY FILE'!A136:A5137=A237)*('TREASURY FILE'!F136:F5137))</f>
        <v>5667.4834054992334</v>
      </c>
      <c r="E237" s="31">
        <f t="shared" si="11"/>
        <v>217910110.00920013</v>
      </c>
      <c r="G237" s="24" cm="1">
        <f t="array" ref="G237">SUMPRODUCT(('TREASURY FILE'!B136:B5137=$G$4)*('TREASURY FILE'!D136:D5137="INCOME")*('TREASURY FILE'!A136:A5137=A237)*('TREASURY FILE'!F136:F5137))</f>
        <v>0</v>
      </c>
      <c r="H237" s="24" cm="1">
        <f t="array" ref="H237">SUMPRODUCT(('TREASURY FILE'!B136:B5137=$H$4)*('TREASURY FILE'!D136:D5137="INCOME")*('TREASURY FILE'!A136:A5137=A237)*('TREASURY FILE'!F136:F5137))</f>
        <v>58494.19587817994</v>
      </c>
      <c r="I237" s="24" cm="1">
        <f t="array" ref="I237">SUMPRODUCT(('TREASURY FILE'!D145:D5137=$I$4)*('TREASURY FILE'!F145:F5137="INCOME")*('TREASURY FILE'!C145:C5137=C237)*('TREASURY FILE'!H145:H5137))</f>
        <v>0</v>
      </c>
      <c r="J237" s="31">
        <f t="shared" si="12"/>
        <v>58494.19587817994</v>
      </c>
      <c r="K237" s="33">
        <f t="shared" si="13"/>
        <v>2.6843268481535951E-4</v>
      </c>
    </row>
    <row r="238" spans="1:11" x14ac:dyDescent="0.3">
      <c r="A238" s="30">
        <v>45891</v>
      </c>
      <c r="B238" s="24" cm="1">
        <f t="array" ref="B238">SUMPRODUCT(('TREASURY FILE'!B137:B5138=$B$4)*('TREASURY FILE'!D137:D5138="TURNOVER")*('TREASURY FILE'!A137:A5138=A238)*('TREASURY FILE'!F137:F5138))</f>
        <v>0</v>
      </c>
      <c r="C238" s="24" cm="1">
        <f t="array" ref="C238">SUMPRODUCT(('TREASURY FILE'!B137:B5138=$C$4)*('TREASURY FILE'!D137:D5138="TURNOVER")*('TREASURY FILE'!A137:A5138=A238)*('TREASURY FILE'!F137:F5138))</f>
        <v>332086494.49576735</v>
      </c>
      <c r="D238" s="24" cm="1">
        <f t="array" ref="D238">SUMPRODUCT(('TREASURY FILE'!B137:B5138=$D$4)*('TREASURY FILE'!D137:D5138="TURNOVER")*('TREASURY FILE'!A137:A5138=A238)*('TREASURY FILE'!F137:F5138))</f>
        <v>2066.1002662688629</v>
      </c>
      <c r="E238" s="31">
        <f t="shared" si="11"/>
        <v>332088560.59603363</v>
      </c>
      <c r="G238" s="24" cm="1">
        <f t="array" ref="G238">SUMPRODUCT(('TREASURY FILE'!B137:B5138=$G$4)*('TREASURY FILE'!D137:D5138="INCOME")*('TREASURY FILE'!A137:A5138=A238)*('TREASURY FILE'!F137:F5138))</f>
        <v>0</v>
      </c>
      <c r="H238" s="24" cm="1">
        <f t="array" ref="H238">SUMPRODUCT(('TREASURY FILE'!B137:B5138=$H$4)*('TREASURY FILE'!D137:D5138="INCOME")*('TREASURY FILE'!A137:A5138=A238)*('TREASURY FILE'!F137:F5138))</f>
        <v>94711.310706558535</v>
      </c>
      <c r="I238" s="24" cm="1">
        <f t="array" ref="I238">SUMPRODUCT(('TREASURY FILE'!D146:D5138=$I$4)*('TREASURY FILE'!F146:F5138="INCOME")*('TREASURY FILE'!C146:C5138=C238)*('TREASURY FILE'!H146:H5138))</f>
        <v>0</v>
      </c>
      <c r="J238" s="31">
        <f t="shared" si="12"/>
        <v>94711.310706558535</v>
      </c>
      <c r="K238" s="33">
        <f t="shared" si="13"/>
        <v>2.8519895577423793E-4</v>
      </c>
    </row>
    <row r="239" spans="1:11" x14ac:dyDescent="0.3">
      <c r="A239" s="30">
        <v>45892</v>
      </c>
      <c r="B239" s="24" cm="1">
        <f t="array" ref="B239">SUMPRODUCT(('TREASURY FILE'!B138:B5139=$B$4)*('TREASURY FILE'!D138:D5139="TURNOVER")*('TREASURY FILE'!A138:A5139=A239)*('TREASURY FILE'!F138:F5139))</f>
        <v>0</v>
      </c>
      <c r="C239" s="24" cm="1">
        <f t="array" ref="C239">SUMPRODUCT(('TREASURY FILE'!B138:B5139=$C$4)*('TREASURY FILE'!D138:D5139="TURNOVER")*('TREASURY FILE'!A138:A5139=A239)*('TREASURY FILE'!F138:F5139))</f>
        <v>301774657.85168743</v>
      </c>
      <c r="D239" s="24" cm="1">
        <f t="array" ref="D239">SUMPRODUCT(('TREASURY FILE'!B138:B5139=$D$4)*('TREASURY FILE'!D138:D5139="TURNOVER")*('TREASURY FILE'!A138:A5139=A239)*('TREASURY FILE'!F138:F5139))</f>
        <v>35605.028121392272</v>
      </c>
      <c r="E239" s="31">
        <f t="shared" si="11"/>
        <v>301810262.87980884</v>
      </c>
      <c r="G239" s="24" cm="1">
        <f t="array" ref="G239">SUMPRODUCT(('TREASURY FILE'!B138:B5139=$G$4)*('TREASURY FILE'!D138:D5139="INCOME")*('TREASURY FILE'!A138:A5139=A239)*('TREASURY FILE'!F138:F5139))</f>
        <v>0</v>
      </c>
      <c r="H239" s="24" cm="1">
        <f t="array" ref="H239">SUMPRODUCT(('TREASURY FILE'!B138:B5139=$H$4)*('TREASURY FILE'!D138:D5139="INCOME")*('TREASURY FILE'!A138:A5139=A239)*('TREASURY FILE'!F138:F5139))</f>
        <v>80790.952094118213</v>
      </c>
      <c r="I239" s="24" cm="1">
        <f t="array" ref="I239">SUMPRODUCT(('TREASURY FILE'!D147:D5139=$I$4)*('TREASURY FILE'!F147:F5139="INCOME")*('TREASURY FILE'!C147:C5139=C239)*('TREASURY FILE'!H147:H5139))</f>
        <v>0</v>
      </c>
      <c r="J239" s="31">
        <f t="shared" si="12"/>
        <v>80790.952094118213</v>
      </c>
      <c r="K239" s="33">
        <f t="shared" si="13"/>
        <v>2.6768788881871764E-4</v>
      </c>
    </row>
    <row r="240" spans="1:11" x14ac:dyDescent="0.3">
      <c r="A240" s="30">
        <v>45893</v>
      </c>
      <c r="B240" s="24" cm="1">
        <f t="array" ref="B240">SUMPRODUCT(('TREASURY FILE'!B139:B5140=$B$4)*('TREASURY FILE'!D139:D5140="TURNOVER")*('TREASURY FILE'!A139:A5140=A240)*('TREASURY FILE'!F139:F5140))</f>
        <v>0</v>
      </c>
      <c r="C240" s="24" cm="1">
        <f t="array" ref="C240">SUMPRODUCT(('TREASURY FILE'!B139:B5140=$C$4)*('TREASURY FILE'!D139:D5140="TURNOVER")*('TREASURY FILE'!A139:A5140=A240)*('TREASURY FILE'!F139:F5140))</f>
        <v>279172025.32301617</v>
      </c>
      <c r="D240" s="24" cm="1">
        <f t="array" ref="D240">SUMPRODUCT(('TREASURY FILE'!B139:B5140=$D$4)*('TREASURY FILE'!D139:D5140="TURNOVER")*('TREASURY FILE'!A139:A5140=A240)*('TREASURY FILE'!F139:F5140))</f>
        <v>25733.555635384415</v>
      </c>
      <c r="E240" s="31">
        <f t="shared" si="11"/>
        <v>279197758.87865156</v>
      </c>
      <c r="G240" s="24" cm="1">
        <f t="array" ref="G240">SUMPRODUCT(('TREASURY FILE'!B139:B5140=$G$4)*('TREASURY FILE'!D139:D5140="INCOME")*('TREASURY FILE'!A139:A5140=A240)*('TREASURY FILE'!F139:F5140))</f>
        <v>0</v>
      </c>
      <c r="H240" s="24" cm="1">
        <f t="array" ref="H240">SUMPRODUCT(('TREASURY FILE'!B139:B5140=$H$4)*('TREASURY FILE'!D139:D5140="INCOME")*('TREASURY FILE'!A139:A5140=A240)*('TREASURY FILE'!F139:F5140))</f>
        <v>76080.421583847259</v>
      </c>
      <c r="I240" s="24" cm="1">
        <f t="array" ref="I240">SUMPRODUCT(('TREASURY FILE'!D148:D5140=$I$4)*('TREASURY FILE'!F148:F5140="INCOME")*('TREASURY FILE'!C148:C5140=C240)*('TREASURY FILE'!H148:H5140))</f>
        <v>0</v>
      </c>
      <c r="J240" s="31">
        <f t="shared" si="12"/>
        <v>76080.421583847259</v>
      </c>
      <c r="K240" s="33">
        <f t="shared" si="13"/>
        <v>2.7249653396005337E-4</v>
      </c>
    </row>
    <row r="241" spans="1:11" x14ac:dyDescent="0.3">
      <c r="A241" s="30">
        <v>45894</v>
      </c>
      <c r="B241" s="24" cm="1">
        <f t="array" ref="B241">SUMPRODUCT(('TREASURY FILE'!B140:B5141=$B$4)*('TREASURY FILE'!D140:D5141="TURNOVER")*('TREASURY FILE'!A140:A5141=A241)*('TREASURY FILE'!F140:F5141))</f>
        <v>0</v>
      </c>
      <c r="C241" s="24" cm="1">
        <f t="array" ref="C241">SUMPRODUCT(('TREASURY FILE'!B140:B5141=$C$4)*('TREASURY FILE'!D140:D5141="TURNOVER")*('TREASURY FILE'!A140:A5141=A241)*('TREASURY FILE'!F140:F5141))</f>
        <v>232647651.97943065</v>
      </c>
      <c r="D241" s="24" cm="1">
        <f t="array" ref="D241">SUMPRODUCT(('TREASURY FILE'!B140:B5141=$D$4)*('TREASURY FILE'!D140:D5141="TURNOVER")*('TREASURY FILE'!A140:A5141=A241)*('TREASURY FILE'!F140:F5141))</f>
        <v>179.14217276489092</v>
      </c>
      <c r="E241" s="31">
        <f t="shared" si="11"/>
        <v>232647831.1216034</v>
      </c>
      <c r="G241" s="24" cm="1">
        <f t="array" ref="G241">SUMPRODUCT(('TREASURY FILE'!B140:B5141=$G$4)*('TREASURY FILE'!D140:D5141="INCOME")*('TREASURY FILE'!A140:A5141=A241)*('TREASURY FILE'!F140:F5141))</f>
        <v>0</v>
      </c>
      <c r="H241" s="24" cm="1">
        <f t="array" ref="H241">SUMPRODUCT(('TREASURY FILE'!B140:B5141=$H$4)*('TREASURY FILE'!D140:D5141="INCOME")*('TREASURY FILE'!A140:A5141=A241)*('TREASURY FILE'!F140:F5141))</f>
        <v>62993.252695211268</v>
      </c>
      <c r="I241" s="24" cm="1">
        <f t="array" ref="I241">SUMPRODUCT(('TREASURY FILE'!D149:D5141=$I$4)*('TREASURY FILE'!F149:F5141="INCOME")*('TREASURY FILE'!C149:C5141=C241)*('TREASURY FILE'!H149:H5141))</f>
        <v>0</v>
      </c>
      <c r="J241" s="31">
        <f t="shared" si="12"/>
        <v>62993.252695211268</v>
      </c>
      <c r="K241" s="33">
        <f t="shared" si="13"/>
        <v>2.7076655901548091E-4</v>
      </c>
    </row>
    <row r="242" spans="1:11" x14ac:dyDescent="0.3">
      <c r="A242" s="30">
        <v>45895</v>
      </c>
      <c r="B242" s="24" cm="1">
        <f t="array" ref="B242">SUMPRODUCT(('TREASURY FILE'!B141:B5142=$B$4)*('TREASURY FILE'!D141:D5142="TURNOVER")*('TREASURY FILE'!A141:A5142=A242)*('TREASURY FILE'!F141:F5142))</f>
        <v>0</v>
      </c>
      <c r="C242" s="24" cm="1">
        <f t="array" ref="C242">SUMPRODUCT(('TREASURY FILE'!B141:B5142=$C$4)*('TREASURY FILE'!D141:D5142="TURNOVER")*('TREASURY FILE'!A141:A5142=A242)*('TREASURY FILE'!F141:F5142))</f>
        <v>206897385.82187957</v>
      </c>
      <c r="D242" s="24" cm="1">
        <f t="array" ref="D242">SUMPRODUCT(('TREASURY FILE'!B141:B5142=$D$4)*('TREASURY FILE'!D141:D5142="TURNOVER")*('TREASURY FILE'!A141:A5142=A242)*('TREASURY FILE'!F141:F5142))</f>
        <v>0</v>
      </c>
      <c r="E242" s="31">
        <f t="shared" si="11"/>
        <v>206897385.82187957</v>
      </c>
      <c r="G242" s="24" cm="1">
        <f t="array" ref="G242">SUMPRODUCT(('TREASURY FILE'!B141:B5142=$G$4)*('TREASURY FILE'!D141:D5142="INCOME")*('TREASURY FILE'!A141:A5142=A242)*('TREASURY FILE'!F141:F5142))</f>
        <v>0</v>
      </c>
      <c r="H242" s="24" cm="1">
        <f t="array" ref="H242">SUMPRODUCT(('TREASURY FILE'!B141:B5142=$H$4)*('TREASURY FILE'!D141:D5142="INCOME")*('TREASURY FILE'!A141:A5142=A242)*('TREASURY FILE'!F141:F5142))</f>
        <v>54583.594653836757</v>
      </c>
      <c r="I242" s="24" cm="1">
        <f t="array" ref="I242">SUMPRODUCT(('TREASURY FILE'!D150:D5142=$I$4)*('TREASURY FILE'!F150:F5142="INCOME")*('TREASURY FILE'!C150:C5142=C242)*('TREASURY FILE'!H150:H5142))</f>
        <v>0</v>
      </c>
      <c r="J242" s="31">
        <f t="shared" si="12"/>
        <v>54583.594653836757</v>
      </c>
      <c r="K242" s="33">
        <f t="shared" si="13"/>
        <v>2.6381964391192659E-4</v>
      </c>
    </row>
    <row r="243" spans="1:11" x14ac:dyDescent="0.3">
      <c r="A243" s="30">
        <v>45896</v>
      </c>
      <c r="B243" s="24" cm="1">
        <f t="array" ref="B243">SUMPRODUCT(('TREASURY FILE'!B142:B5143=$B$4)*('TREASURY FILE'!D142:D5143="TURNOVER")*('TREASURY FILE'!A142:A5143=A243)*('TREASURY FILE'!F142:F5143))</f>
        <v>0</v>
      </c>
      <c r="C243" s="24" cm="1">
        <f t="array" ref="C243">SUMPRODUCT(('TREASURY FILE'!B142:B5143=$C$4)*('TREASURY FILE'!D142:D5143="TURNOVER")*('TREASURY FILE'!A142:A5143=A243)*('TREASURY FILE'!F142:F5143))</f>
        <v>285270169.50911921</v>
      </c>
      <c r="D243" s="24" cm="1">
        <f t="array" ref="D243">SUMPRODUCT(('TREASURY FILE'!B142:B5143=$D$4)*('TREASURY FILE'!D142:D5143="TURNOVER")*('TREASURY FILE'!A142:A5143=A243)*('TREASURY FILE'!F142:F5143))</f>
        <v>44257.230529603556</v>
      </c>
      <c r="E243" s="31">
        <f t="shared" si="11"/>
        <v>285314426.73964882</v>
      </c>
      <c r="G243" s="24" cm="1">
        <f t="array" ref="G243">SUMPRODUCT(('TREASURY FILE'!B142:B5143=$G$4)*('TREASURY FILE'!D142:D5143="INCOME")*('TREASURY FILE'!A142:A5143=A243)*('TREASURY FILE'!F142:F5143))</f>
        <v>0</v>
      </c>
      <c r="H243" s="24" cm="1">
        <f t="array" ref="H243">SUMPRODUCT(('TREASURY FILE'!B142:B5143=$H$4)*('TREASURY FILE'!D142:D5143="INCOME")*('TREASURY FILE'!A142:A5143=A243)*('TREASURY FILE'!F142:F5143))</f>
        <v>80052.092314098525</v>
      </c>
      <c r="I243" s="24" cm="1">
        <f t="array" ref="I243">SUMPRODUCT(('TREASURY FILE'!D151:D5143=$I$4)*('TREASURY FILE'!F151:F5143="INCOME")*('TREASURY FILE'!C151:C5143=C243)*('TREASURY FILE'!H151:H5143))</f>
        <v>0</v>
      </c>
      <c r="J243" s="31">
        <f t="shared" si="12"/>
        <v>80052.092314098525</v>
      </c>
      <c r="K243" s="33">
        <f t="shared" si="13"/>
        <v>2.8057498959611514E-4</v>
      </c>
    </row>
    <row r="244" spans="1:11" x14ac:dyDescent="0.3">
      <c r="A244" s="30">
        <v>45897</v>
      </c>
      <c r="B244" s="24" cm="1">
        <f t="array" ref="B244">SUMPRODUCT(('TREASURY FILE'!B143:B5144=$B$4)*('TREASURY FILE'!D143:D5144="TURNOVER")*('TREASURY FILE'!A143:A5144=A244)*('TREASURY FILE'!F143:F5144))</f>
        <v>0</v>
      </c>
      <c r="C244" s="24" cm="1">
        <f t="array" ref="C244">SUMPRODUCT(('TREASURY FILE'!B143:B5144=$C$4)*('TREASURY FILE'!D143:D5144="TURNOVER")*('TREASURY FILE'!A143:A5144=A244)*('TREASURY FILE'!F143:F5144))</f>
        <v>312622021.0115639</v>
      </c>
      <c r="D244" s="24" cm="1">
        <f t="array" ref="D244">SUMPRODUCT(('TREASURY FILE'!B143:B5144=$D$4)*('TREASURY FILE'!D143:D5144="TURNOVER")*('TREASURY FILE'!A143:A5144=A244)*('TREASURY FILE'!F143:F5144))</f>
        <v>69676.144668178531</v>
      </c>
      <c r="E244" s="31">
        <f t="shared" si="11"/>
        <v>312691697.15623206</v>
      </c>
      <c r="G244" s="24" cm="1">
        <f t="array" ref="G244">SUMPRODUCT(('TREASURY FILE'!B143:B5144=$G$4)*('TREASURY FILE'!D143:D5144="INCOME")*('TREASURY FILE'!A143:A5144=A244)*('TREASURY FILE'!F143:F5144))</f>
        <v>0</v>
      </c>
      <c r="H244" s="24" cm="1">
        <f t="array" ref="H244">SUMPRODUCT(('TREASURY FILE'!B143:B5144=$H$4)*('TREASURY FILE'!D143:D5144="INCOME")*('TREASURY FILE'!A143:A5144=A244)*('TREASURY FILE'!F143:F5144))</f>
        <v>86551.614449130575</v>
      </c>
      <c r="I244" s="24" cm="1">
        <f t="array" ref="I244">SUMPRODUCT(('TREASURY FILE'!D152:D5144=$I$4)*('TREASURY FILE'!F152:F5144="INCOME")*('TREASURY FILE'!C152:C5144=C244)*('TREASURY FILE'!H152:H5144))</f>
        <v>0</v>
      </c>
      <c r="J244" s="31">
        <f t="shared" si="12"/>
        <v>86551.614449130575</v>
      </c>
      <c r="K244" s="33">
        <f t="shared" si="13"/>
        <v>2.7679537140343788E-4</v>
      </c>
    </row>
    <row r="245" spans="1:11" x14ac:dyDescent="0.3">
      <c r="A245" s="30">
        <v>45898</v>
      </c>
      <c r="B245" s="24" cm="1">
        <f t="array" ref="B245">SUMPRODUCT(('TREASURY FILE'!B144:B5145=$B$4)*('TREASURY FILE'!D144:D5145="TURNOVER")*('TREASURY FILE'!A144:A5145=A245)*('TREASURY FILE'!F144:F5145))</f>
        <v>0</v>
      </c>
      <c r="C245" s="24" cm="1">
        <f t="array" ref="C245">SUMPRODUCT(('TREASURY FILE'!B144:B5145=$C$4)*('TREASURY FILE'!D144:D5145="TURNOVER")*('TREASURY FILE'!A144:A5145=A245)*('TREASURY FILE'!F144:F5145))</f>
        <v>337362456.92812932</v>
      </c>
      <c r="D245" s="24" cm="1">
        <f t="array" ref="D245">SUMPRODUCT(('TREASURY FILE'!B144:B5145=$D$4)*('TREASURY FILE'!D144:D5145="TURNOVER")*('TREASURY FILE'!A144:A5145=A245)*('TREASURY FILE'!F144:F5145))</f>
        <v>873.77871165358169</v>
      </c>
      <c r="E245" s="31">
        <f t="shared" si="11"/>
        <v>337363330.70684099</v>
      </c>
      <c r="G245" s="24" cm="1">
        <f t="array" ref="G245">SUMPRODUCT(('TREASURY FILE'!B144:B5145=$G$4)*('TREASURY FILE'!D144:D5145="INCOME")*('TREASURY FILE'!A144:A5145=A245)*('TREASURY FILE'!F144:F5145))</f>
        <v>0</v>
      </c>
      <c r="H245" s="24" cm="1">
        <f t="array" ref="H245">SUMPRODUCT(('TREASURY FILE'!B144:B5145=$H$4)*('TREASURY FILE'!D144:D5145="INCOME")*('TREASURY FILE'!A144:A5145=A245)*('TREASURY FILE'!F144:F5145))</f>
        <v>88756.135661791923</v>
      </c>
      <c r="I245" s="24" cm="1">
        <f t="array" ref="I245">SUMPRODUCT(('TREASURY FILE'!D153:D5145=$I$4)*('TREASURY FILE'!F153:F5145="INCOME")*('TREASURY FILE'!C153:C5145=C245)*('TREASURY FILE'!H153:H5145))</f>
        <v>0</v>
      </c>
      <c r="J245" s="31">
        <f t="shared" si="12"/>
        <v>88756.135661791923</v>
      </c>
      <c r="K245" s="33">
        <f t="shared" si="13"/>
        <v>2.63087679019029E-4</v>
      </c>
    </row>
    <row r="246" spans="1:11" x14ac:dyDescent="0.3">
      <c r="A246" s="30">
        <v>45899</v>
      </c>
      <c r="B246" s="24" cm="1">
        <f t="array" ref="B246">SUMPRODUCT(('TREASURY FILE'!B145:B5146=$B$4)*('TREASURY FILE'!D145:D5146="TURNOVER")*('TREASURY FILE'!A145:A5146=A246)*('TREASURY FILE'!F145:F5146))</f>
        <v>0</v>
      </c>
      <c r="C246" s="24" cm="1">
        <f t="array" ref="C246">SUMPRODUCT(('TREASURY FILE'!B145:B5146=$C$4)*('TREASURY FILE'!D145:D5146="TURNOVER")*('TREASURY FILE'!A145:A5146=A246)*('TREASURY FILE'!F145:F5146))</f>
        <v>198537501.98315182</v>
      </c>
      <c r="D246" s="24" cm="1">
        <f t="array" ref="D246">SUMPRODUCT(('TREASURY FILE'!B145:B5146=$D$4)*('TREASURY FILE'!D145:D5146="TURNOVER")*('TREASURY FILE'!A145:A5146=A246)*('TREASURY FILE'!F145:F5146))</f>
        <v>0</v>
      </c>
      <c r="E246" s="31">
        <f t="shared" si="11"/>
        <v>198537501.98315182</v>
      </c>
      <c r="G246" s="24" cm="1">
        <f t="array" ref="G246">SUMPRODUCT(('TREASURY FILE'!B145:B5146=$G$4)*('TREASURY FILE'!D145:D5146="INCOME")*('TREASURY FILE'!A145:A5146=A246)*('TREASURY FILE'!F145:F5146))</f>
        <v>0</v>
      </c>
      <c r="H246" s="24" cm="1">
        <f t="array" ref="H246">SUMPRODUCT(('TREASURY FILE'!B145:B5146=$H$4)*('TREASURY FILE'!D145:D5146="INCOME")*('TREASURY FILE'!A145:A5146=A246)*('TREASURY FILE'!F145:F5146))</f>
        <v>50596.814190814126</v>
      </c>
      <c r="I246" s="24" cm="1">
        <f t="array" ref="I246">SUMPRODUCT(('TREASURY FILE'!D154:D5146=$I$4)*('TREASURY FILE'!F154:F5146="INCOME")*('TREASURY FILE'!C154:C5146=C246)*('TREASURY FILE'!H154:H5146))</f>
        <v>0</v>
      </c>
      <c r="J246" s="31">
        <f t="shared" si="12"/>
        <v>50596.814190814126</v>
      </c>
      <c r="K246" s="33">
        <f t="shared" si="13"/>
        <v>2.5484764180778221E-4</v>
      </c>
    </row>
    <row r="247" spans="1:11" x14ac:dyDescent="0.3">
      <c r="A247" s="30">
        <v>45900</v>
      </c>
      <c r="B247" s="24" cm="1">
        <f t="array" ref="B247">SUMPRODUCT(('TREASURY FILE'!B146:B5147=$B$4)*('TREASURY FILE'!D146:D5147="TURNOVER")*('TREASURY FILE'!A146:A5147=A247)*('TREASURY FILE'!F146:F5147))</f>
        <v>0</v>
      </c>
      <c r="C247" s="24" cm="1">
        <f t="array" ref="C247">SUMPRODUCT(('TREASURY FILE'!B146:B5147=$C$4)*('TREASURY FILE'!D146:D5147="TURNOVER")*('TREASURY FILE'!A146:A5147=A247)*('TREASURY FILE'!F146:F5147))</f>
        <v>153273063.80384678</v>
      </c>
      <c r="D247" s="24" cm="1">
        <f t="array" ref="D247">SUMPRODUCT(('TREASURY FILE'!B146:B5147=$D$4)*('TREASURY FILE'!D146:D5147="TURNOVER")*('TREASURY FILE'!A146:A5147=A247)*('TREASURY FILE'!F146:F5147))</f>
        <v>0</v>
      </c>
      <c r="E247" s="31">
        <f t="shared" si="11"/>
        <v>153273063.80384678</v>
      </c>
      <c r="G247" s="24" cm="1">
        <f t="array" ref="G247">SUMPRODUCT(('TREASURY FILE'!B146:B5147=$G$4)*('TREASURY FILE'!D146:D5147="INCOME")*('TREASURY FILE'!A146:A5147=A247)*('TREASURY FILE'!F146:F5147))</f>
        <v>0</v>
      </c>
      <c r="H247" s="24" cm="1">
        <f t="array" ref="H247">SUMPRODUCT(('TREASURY FILE'!B146:B5147=$H$4)*('TREASURY FILE'!D146:D5147="INCOME")*('TREASURY FILE'!A146:A5147=A247)*('TREASURY FILE'!F146:F5147))</f>
        <v>39325.974906421987</v>
      </c>
      <c r="I247" s="24" cm="1">
        <f t="array" ref="I247">SUMPRODUCT(('TREASURY FILE'!D155:D5147=$I$4)*('TREASURY FILE'!F155:F5147="INCOME")*('TREASURY FILE'!C155:C5147=C247)*('TREASURY FILE'!H155:H5147))</f>
        <v>0</v>
      </c>
      <c r="J247" s="31">
        <f t="shared" si="12"/>
        <v>39325.974906421987</v>
      </c>
      <c r="K247" s="33">
        <f t="shared" si="13"/>
        <v>2.5657459915298572E-4</v>
      </c>
    </row>
    <row r="248" spans="1:11" x14ac:dyDescent="0.3">
      <c r="A248" s="30">
        <v>45901</v>
      </c>
      <c r="B248" s="24" cm="1">
        <f t="array" ref="B248">SUMPRODUCT(('TREASURY FILE'!B147:B5148=$B$4)*('TREASURY FILE'!D147:D5148="TURNOVER")*('TREASURY FILE'!A147:A5148=A248)*('TREASURY FILE'!F147:F5148))</f>
        <v>0</v>
      </c>
      <c r="C248" s="24" cm="1">
        <f t="array" ref="C248">SUMPRODUCT(('TREASURY FILE'!B147:B5148=$C$4)*('TREASURY FILE'!D147:D5148="TURNOVER")*('TREASURY FILE'!A147:A5148=A248)*('TREASURY FILE'!F147:F5148))</f>
        <v>186674585.16574207</v>
      </c>
      <c r="D248" s="24" cm="1">
        <f t="array" ref="D248">SUMPRODUCT(('TREASURY FILE'!B147:B5148=$D$4)*('TREASURY FILE'!D147:D5148="TURNOVER")*('TREASURY FILE'!A147:A5148=A248)*('TREASURY FILE'!F147:F5148))</f>
        <v>0</v>
      </c>
      <c r="E248" s="31">
        <f t="shared" si="11"/>
        <v>186674585.16574207</v>
      </c>
      <c r="G248" s="24" cm="1">
        <f t="array" ref="G248">SUMPRODUCT(('TREASURY FILE'!B147:B5148=$G$4)*('TREASURY FILE'!D147:D5148="INCOME")*('TREASURY FILE'!A147:A5148=A248)*('TREASURY FILE'!F147:F5148))</f>
        <v>0</v>
      </c>
      <c r="H248" s="24" cm="1">
        <f t="array" ref="H248">SUMPRODUCT(('TREASURY FILE'!B147:B5148=$H$4)*('TREASURY FILE'!D147:D5148="INCOME")*('TREASURY FILE'!A147:A5148=A248)*('TREASURY FILE'!F147:F5148))</f>
        <v>48015.335871927688</v>
      </c>
      <c r="I248" s="24" cm="1">
        <f t="array" ref="I248">SUMPRODUCT(('TREASURY FILE'!D156:D5148=$I$4)*('TREASURY FILE'!F156:F5148="INCOME")*('TREASURY FILE'!C156:C5148=C248)*('TREASURY FILE'!H156:H5148))</f>
        <v>0</v>
      </c>
      <c r="J248" s="31">
        <f t="shared" si="12"/>
        <v>48015.335871927688</v>
      </c>
      <c r="K248" s="33">
        <f t="shared" si="13"/>
        <v>2.5721410244086782E-4</v>
      </c>
    </row>
    <row r="249" spans="1:11" x14ac:dyDescent="0.3">
      <c r="A249" s="30">
        <v>45902</v>
      </c>
      <c r="B249" s="24" cm="1">
        <f t="array" ref="B249">SUMPRODUCT(('TREASURY FILE'!B148:B5149=$B$4)*('TREASURY FILE'!D148:D5149="TURNOVER")*('TREASURY FILE'!A148:A5149=A249)*('TREASURY FILE'!F148:F5149))</f>
        <v>0</v>
      </c>
      <c r="C249" s="24" cm="1">
        <f t="array" ref="C249">SUMPRODUCT(('TREASURY FILE'!B148:B5149=$C$4)*('TREASURY FILE'!D148:D5149="TURNOVER")*('TREASURY FILE'!A148:A5149=A249)*('TREASURY FILE'!F148:F5149))</f>
        <v>160314543.27873221</v>
      </c>
      <c r="D249" s="24" cm="1">
        <f t="array" ref="D249">SUMPRODUCT(('TREASURY FILE'!B148:B5149=$D$4)*('TREASURY FILE'!D148:D5149="TURNOVER")*('TREASURY FILE'!A148:A5149=A249)*('TREASURY FILE'!F148:F5149))</f>
        <v>0</v>
      </c>
      <c r="E249" s="31">
        <f t="shared" si="11"/>
        <v>160314543.27873221</v>
      </c>
      <c r="G249" s="24" cm="1">
        <f t="array" ref="G249">SUMPRODUCT(('TREASURY FILE'!B148:B5149=$G$4)*('TREASURY FILE'!D148:D5149="INCOME")*('TREASURY FILE'!A148:A5149=A249)*('TREASURY FILE'!F148:F5149))</f>
        <v>0</v>
      </c>
      <c r="H249" s="24" cm="1">
        <f t="array" ref="H249">SUMPRODUCT(('TREASURY FILE'!B148:B5149=$H$4)*('TREASURY FILE'!D148:D5149="INCOME")*('TREASURY FILE'!A148:A5149=A249)*('TREASURY FILE'!F148:F5149))</f>
        <v>41864.500674886003</v>
      </c>
      <c r="I249" s="24" cm="1">
        <f t="array" ref="I249">SUMPRODUCT(('TREASURY FILE'!D157:D5149=$I$4)*('TREASURY FILE'!F157:F5149="INCOME")*('TREASURY FILE'!C157:C5149=C249)*('TREASURY FILE'!H157:H5149))</f>
        <v>0</v>
      </c>
      <c r="J249" s="31">
        <f t="shared" si="12"/>
        <v>41864.500674886003</v>
      </c>
      <c r="K249" s="33">
        <f t="shared" si="13"/>
        <v>2.6113975574940785E-4</v>
      </c>
    </row>
    <row r="250" spans="1:11" x14ac:dyDescent="0.3">
      <c r="A250" s="30">
        <v>45903</v>
      </c>
      <c r="B250" s="24" cm="1">
        <f t="array" ref="B250">SUMPRODUCT(('TREASURY FILE'!B149:B5150=$B$4)*('TREASURY FILE'!D149:D5150="TURNOVER")*('TREASURY FILE'!A149:A5150=A250)*('TREASURY FILE'!F149:F5150))</f>
        <v>0</v>
      </c>
      <c r="C250" s="24" cm="1">
        <f t="array" ref="C250">SUMPRODUCT(('TREASURY FILE'!B149:B5150=$C$4)*('TREASURY FILE'!D149:D5150="TURNOVER")*('TREASURY FILE'!A149:A5150=A250)*('TREASURY FILE'!F149:F5150))</f>
        <v>144603388.9196175</v>
      </c>
      <c r="D250" s="24" cm="1">
        <f t="array" ref="D250">SUMPRODUCT(('TREASURY FILE'!B149:B5150=$D$4)*('TREASURY FILE'!D149:D5150="TURNOVER")*('TREASURY FILE'!A149:A5150=A250)*('TREASURY FILE'!F149:F5150))</f>
        <v>0</v>
      </c>
      <c r="E250" s="31">
        <f t="shared" si="11"/>
        <v>144603388.9196175</v>
      </c>
      <c r="G250" s="24" cm="1">
        <f t="array" ref="G250">SUMPRODUCT(('TREASURY FILE'!B149:B5150=$G$4)*('TREASURY FILE'!D149:D5150="INCOME")*('TREASURY FILE'!A149:A5150=A250)*('TREASURY FILE'!F149:F5150))</f>
        <v>0</v>
      </c>
      <c r="H250" s="24" cm="1">
        <f t="array" ref="H250">SUMPRODUCT(('TREASURY FILE'!B149:B5150=$H$4)*('TREASURY FILE'!D149:D5150="INCOME")*('TREASURY FILE'!A149:A5150=A250)*('TREASURY FILE'!F149:F5150))</f>
        <v>38852.384356800278</v>
      </c>
      <c r="I250" s="24" cm="1">
        <f t="array" ref="I250">SUMPRODUCT(('TREASURY FILE'!D158:D5150=$I$4)*('TREASURY FILE'!F158:F5150="INCOME")*('TREASURY FILE'!C158:C5150=C250)*('TREASURY FILE'!H158:H5150))</f>
        <v>0</v>
      </c>
      <c r="J250" s="31">
        <f t="shared" si="12"/>
        <v>38852.384356800278</v>
      </c>
      <c r="K250" s="33">
        <f t="shared" si="13"/>
        <v>2.6868239151986705E-4</v>
      </c>
    </row>
    <row r="251" spans="1:11" x14ac:dyDescent="0.3">
      <c r="A251" s="30">
        <v>45904</v>
      </c>
      <c r="B251" s="24" cm="1">
        <f t="array" ref="B251">SUMPRODUCT(('TREASURY FILE'!B150:B5151=$B$4)*('TREASURY FILE'!D150:D5151="TURNOVER")*('TREASURY FILE'!A150:A5151=A251)*('TREASURY FILE'!F150:F5151))</f>
        <v>0</v>
      </c>
      <c r="C251" s="24" cm="1">
        <f t="array" ref="C251">SUMPRODUCT(('TREASURY FILE'!B150:B5151=$C$4)*('TREASURY FILE'!D150:D5151="TURNOVER")*('TREASURY FILE'!A150:A5151=A251)*('TREASURY FILE'!F150:F5151))</f>
        <v>126817421.97629356</v>
      </c>
      <c r="D251" s="24" cm="1">
        <f t="array" ref="D251">SUMPRODUCT(('TREASURY FILE'!B150:B5151=$D$4)*('TREASURY FILE'!D150:D5151="TURNOVER")*('TREASURY FILE'!A150:A5151=A251)*('TREASURY FILE'!F150:F5151))</f>
        <v>13515.626499647624</v>
      </c>
      <c r="E251" s="31">
        <f t="shared" si="11"/>
        <v>126830937.60279322</v>
      </c>
      <c r="G251" s="24" cm="1">
        <f t="array" ref="G251">SUMPRODUCT(('TREASURY FILE'!B150:B5151=$G$4)*('TREASURY FILE'!D150:D5151="INCOME")*('TREASURY FILE'!A150:A5151=A251)*('TREASURY FILE'!F150:F5151))</f>
        <v>0</v>
      </c>
      <c r="H251" s="24" cm="1">
        <f t="array" ref="H251">SUMPRODUCT(('TREASURY FILE'!B150:B5151=$H$4)*('TREASURY FILE'!D150:D5151="INCOME")*('TREASURY FILE'!A150:A5151=A251)*('TREASURY FILE'!F150:F5151))</f>
        <v>33689.476049595658</v>
      </c>
      <c r="I251" s="24" cm="1">
        <f t="array" ref="I251">SUMPRODUCT(('TREASURY FILE'!D159:D5151=$I$4)*('TREASURY FILE'!F159:F5151="INCOME")*('TREASURY FILE'!C159:C5151=C251)*('TREASURY FILE'!H159:H5151))</f>
        <v>0</v>
      </c>
      <c r="J251" s="31">
        <f t="shared" si="12"/>
        <v>33689.476049595658</v>
      </c>
      <c r="K251" s="33">
        <f t="shared" si="13"/>
        <v>2.6562506503818287E-4</v>
      </c>
    </row>
    <row r="252" spans="1:11" x14ac:dyDescent="0.3">
      <c r="A252" s="30">
        <v>45905</v>
      </c>
      <c r="B252" s="24" cm="1">
        <f t="array" ref="B252">SUMPRODUCT(('TREASURY FILE'!B151:B5152=$B$4)*('TREASURY FILE'!D151:D5152="TURNOVER")*('TREASURY FILE'!A151:A5152=A252)*('TREASURY FILE'!F151:F5152))</f>
        <v>0</v>
      </c>
      <c r="C252" s="24" cm="1">
        <f t="array" ref="C252">SUMPRODUCT(('TREASURY FILE'!B151:B5152=$C$4)*('TREASURY FILE'!D151:D5152="TURNOVER")*('TREASURY FILE'!A151:A5152=A252)*('TREASURY FILE'!F151:F5152))</f>
        <v>154415632.25100571</v>
      </c>
      <c r="D252" s="24" cm="1">
        <f t="array" ref="D252">SUMPRODUCT(('TREASURY FILE'!B151:B5152=$D$4)*('TREASURY FILE'!D151:D5152="TURNOVER")*('TREASURY FILE'!A151:A5152=A252)*('TREASURY FILE'!F151:F5152))</f>
        <v>102</v>
      </c>
      <c r="E252" s="31">
        <f t="shared" si="11"/>
        <v>154415734.25100571</v>
      </c>
      <c r="G252" s="24" cm="1">
        <f t="array" ref="G252">SUMPRODUCT(('TREASURY FILE'!B151:B5152=$G$4)*('TREASURY FILE'!D151:D5152="INCOME")*('TREASURY FILE'!A151:A5152=A252)*('TREASURY FILE'!F151:F5152))</f>
        <v>0</v>
      </c>
      <c r="H252" s="24" cm="1">
        <f t="array" ref="H252">SUMPRODUCT(('TREASURY FILE'!B151:B5152=$H$4)*('TREASURY FILE'!D151:D5152="INCOME")*('TREASURY FILE'!A151:A5152=A252)*('TREASURY FILE'!F151:F5152))</f>
        <v>42058.102100178519</v>
      </c>
      <c r="I252" s="24" cm="1">
        <f t="array" ref="I252">SUMPRODUCT(('TREASURY FILE'!D160:D5152=$I$4)*('TREASURY FILE'!F160:F5152="INCOME")*('TREASURY FILE'!C160:C5152=C252)*('TREASURY FILE'!H160:H5152))</f>
        <v>0</v>
      </c>
      <c r="J252" s="31">
        <f t="shared" si="12"/>
        <v>42058.102100178519</v>
      </c>
      <c r="K252" s="33">
        <f t="shared" si="13"/>
        <v>2.7236927832634126E-4</v>
      </c>
    </row>
    <row r="253" spans="1:11" x14ac:dyDescent="0.3">
      <c r="A253" s="30">
        <v>45906</v>
      </c>
      <c r="B253" s="24" cm="1">
        <f t="array" ref="B253">SUMPRODUCT(('TREASURY FILE'!B152:B5153=$B$4)*('TREASURY FILE'!D152:D5153="TURNOVER")*('TREASURY FILE'!A152:A5153=A253)*('TREASURY FILE'!F152:F5153))</f>
        <v>0</v>
      </c>
      <c r="C253" s="24" cm="1">
        <f t="array" ref="C253">SUMPRODUCT(('TREASURY FILE'!B152:B5153=$C$4)*('TREASURY FILE'!D152:D5153="TURNOVER")*('TREASURY FILE'!A152:A5153=A253)*('TREASURY FILE'!F152:F5153))</f>
        <v>173790649.44793221</v>
      </c>
      <c r="D253" s="24" cm="1">
        <f t="array" ref="D253">SUMPRODUCT(('TREASURY FILE'!B152:B5153=$D$4)*('TREASURY FILE'!D152:D5153="TURNOVER")*('TREASURY FILE'!A152:A5153=A253)*('TREASURY FILE'!F152:F5153))</f>
        <v>44060.641293885688</v>
      </c>
      <c r="E253" s="31">
        <f t="shared" si="11"/>
        <v>173834710.0892261</v>
      </c>
      <c r="G253" s="24" cm="1">
        <f t="array" ref="G253">SUMPRODUCT(('TREASURY FILE'!B152:B5153=$G$4)*('TREASURY FILE'!D152:D5153="INCOME")*('TREASURY FILE'!A152:A5153=A253)*('TREASURY FILE'!F152:F5153))</f>
        <v>0</v>
      </c>
      <c r="H253" s="24" cm="1">
        <f t="array" ref="H253">SUMPRODUCT(('TREASURY FILE'!B152:B5153=$H$4)*('TREASURY FILE'!D152:D5153="INCOME")*('TREASURY FILE'!A152:A5153=A253)*('TREASURY FILE'!F152:F5153))</f>
        <v>46536.179476795623</v>
      </c>
      <c r="I253" s="24" cm="1">
        <f t="array" ref="I253">SUMPRODUCT(('TREASURY FILE'!D161:D5153=$I$4)*('TREASURY FILE'!F161:F5153="INCOME")*('TREASURY FILE'!C161:C5153=C253)*('TREASURY FILE'!H161:H5153))</f>
        <v>0</v>
      </c>
      <c r="J253" s="31">
        <f t="shared" si="12"/>
        <v>46536.179476795623</v>
      </c>
      <c r="K253" s="33">
        <f t="shared" si="13"/>
        <v>2.6770361024509707E-4</v>
      </c>
    </row>
    <row r="254" spans="1:11" x14ac:dyDescent="0.3">
      <c r="A254" s="30">
        <v>45907</v>
      </c>
      <c r="B254" s="24" cm="1">
        <f t="array" ref="B254">SUMPRODUCT(('TREASURY FILE'!B153:B5154=$B$4)*('TREASURY FILE'!D153:D5154="TURNOVER")*('TREASURY FILE'!A153:A5154=A254)*('TREASURY FILE'!F153:F5154))</f>
        <v>0</v>
      </c>
      <c r="C254" s="24" cm="1">
        <f t="array" ref="C254">SUMPRODUCT(('TREASURY FILE'!B153:B5154=$C$4)*('TREASURY FILE'!D153:D5154="TURNOVER")*('TREASURY FILE'!A153:A5154=A254)*('TREASURY FILE'!F153:F5154))</f>
        <v>188348173.55463171</v>
      </c>
      <c r="D254" s="24" cm="1">
        <f t="array" ref="D254">SUMPRODUCT(('TREASURY FILE'!B153:B5154=$D$4)*('TREASURY FILE'!D153:D5154="TURNOVER")*('TREASURY FILE'!A153:A5154=A254)*('TREASURY FILE'!F153:F5154))</f>
        <v>112724.99170480626</v>
      </c>
      <c r="E254" s="31">
        <f t="shared" si="11"/>
        <v>188460898.5463365</v>
      </c>
      <c r="G254" s="24" cm="1">
        <f t="array" ref="G254">SUMPRODUCT(('TREASURY FILE'!B153:B5154=$G$4)*('TREASURY FILE'!D153:D5154="INCOME")*('TREASURY FILE'!A153:A5154=A254)*('TREASURY FILE'!F153:F5154))</f>
        <v>0</v>
      </c>
      <c r="H254" s="24" cm="1">
        <f t="array" ref="H254">SUMPRODUCT(('TREASURY FILE'!B153:B5154=$H$4)*('TREASURY FILE'!D153:D5154="INCOME")*('TREASURY FILE'!A153:A5154=A254)*('TREASURY FILE'!F153:F5154))</f>
        <v>50752.934896193532</v>
      </c>
      <c r="I254" s="24" cm="1">
        <f t="array" ref="I254">SUMPRODUCT(('TREASURY FILE'!D162:D5154=$I$4)*('TREASURY FILE'!F162:F5154="INCOME")*('TREASURY FILE'!C162:C5154=C254)*('TREASURY FILE'!H162:H5154))</f>
        <v>0</v>
      </c>
      <c r="J254" s="31">
        <f t="shared" si="12"/>
        <v>50752.934896193532</v>
      </c>
      <c r="K254" s="33">
        <f t="shared" si="13"/>
        <v>2.6930220161141286E-4</v>
      </c>
    </row>
    <row r="255" spans="1:11" x14ac:dyDescent="0.3">
      <c r="A255" s="30">
        <v>45908</v>
      </c>
      <c r="B255" s="24" cm="1">
        <f t="array" ref="B255">SUMPRODUCT(('TREASURY FILE'!B154:B5155=$B$4)*('TREASURY FILE'!D154:D5155="TURNOVER")*('TREASURY FILE'!A154:A5155=A255)*('TREASURY FILE'!F154:F5155))</f>
        <v>0</v>
      </c>
      <c r="C255" s="24" cm="1">
        <f t="array" ref="C255">SUMPRODUCT(('TREASURY FILE'!B154:B5155=$C$4)*('TREASURY FILE'!D154:D5155="TURNOVER")*('TREASURY FILE'!A154:A5155=A255)*('TREASURY FILE'!F154:F5155))</f>
        <v>281327877.0040009</v>
      </c>
      <c r="D255" s="24" cm="1">
        <f t="array" ref="D255">SUMPRODUCT(('TREASURY FILE'!B154:B5155=$D$4)*('TREASURY FILE'!D154:D5155="TURNOVER")*('TREASURY FILE'!A154:A5155=A255)*('TREASURY FILE'!F154:F5155))</f>
        <v>3179.1569889406555</v>
      </c>
      <c r="E255" s="31">
        <f t="shared" si="11"/>
        <v>281331056.16098982</v>
      </c>
      <c r="G255" s="24" cm="1">
        <f t="array" ref="G255">SUMPRODUCT(('TREASURY FILE'!B154:B5155=$G$4)*('TREASURY FILE'!D154:D5155="INCOME")*('TREASURY FILE'!A154:A5155=A255)*('TREASURY FILE'!F154:F5155))</f>
        <v>0</v>
      </c>
      <c r="H255" s="24" cm="1">
        <f t="array" ref="H255">SUMPRODUCT(('TREASURY FILE'!B154:B5155=$H$4)*('TREASURY FILE'!D154:D5155="INCOME")*('TREASURY FILE'!A154:A5155=A255)*('TREASURY FILE'!F154:F5155))</f>
        <v>75796.889503961123</v>
      </c>
      <c r="I255" s="24" cm="1">
        <f t="array" ref="I255">SUMPRODUCT(('TREASURY FILE'!D163:D5155=$I$4)*('TREASURY FILE'!F163:F5155="INCOME")*('TREASURY FILE'!C163:C5155=C255)*('TREASURY FILE'!H163:H5155))</f>
        <v>0</v>
      </c>
      <c r="J255" s="31">
        <f t="shared" si="12"/>
        <v>75796.889503961123</v>
      </c>
      <c r="K255" s="33">
        <f t="shared" si="13"/>
        <v>2.6942240411803971E-4</v>
      </c>
    </row>
    <row r="256" spans="1:11" x14ac:dyDescent="0.3">
      <c r="A256" s="30">
        <v>45909</v>
      </c>
      <c r="B256" s="24" cm="1">
        <f t="array" ref="B256">SUMPRODUCT(('TREASURY FILE'!B155:B5156=$B$4)*('TREASURY FILE'!D155:D5156="TURNOVER")*('TREASURY FILE'!A155:A5156=A256)*('TREASURY FILE'!F155:F5156))</f>
        <v>0</v>
      </c>
      <c r="C256" s="24" cm="1">
        <f t="array" ref="C256">SUMPRODUCT(('TREASURY FILE'!B155:B5156=$C$4)*('TREASURY FILE'!D155:D5156="TURNOVER")*('TREASURY FILE'!A155:A5156=A256)*('TREASURY FILE'!F155:F5156))</f>
        <v>343983902.59987551</v>
      </c>
      <c r="D256" s="24" cm="1">
        <f t="array" ref="D256">SUMPRODUCT(('TREASURY FILE'!B155:B5156=$D$4)*('TREASURY FILE'!D155:D5156="TURNOVER")*('TREASURY FILE'!A155:A5156=A256)*('TREASURY FILE'!F155:F5156))</f>
        <v>7892.0335975912394</v>
      </c>
      <c r="E256" s="31">
        <f t="shared" si="11"/>
        <v>343991794.6334731</v>
      </c>
      <c r="G256" s="24" cm="1">
        <f t="array" ref="G256">SUMPRODUCT(('TREASURY FILE'!B155:B5156=$G$4)*('TREASURY FILE'!D155:D5156="INCOME")*('TREASURY FILE'!A155:A5156=A256)*('TREASURY FILE'!F155:F5156))</f>
        <v>0</v>
      </c>
      <c r="H256" s="24" cm="1">
        <f t="array" ref="H256">SUMPRODUCT(('TREASURY FILE'!B155:B5156=$H$4)*('TREASURY FILE'!D155:D5156="INCOME")*('TREASURY FILE'!A155:A5156=A256)*('TREASURY FILE'!F155:F5156))</f>
        <v>96282.234933624743</v>
      </c>
      <c r="I256" s="24" cm="1">
        <f t="array" ref="I256">SUMPRODUCT(('TREASURY FILE'!D164:D5156=$I$4)*('TREASURY FILE'!F164:F5156="INCOME")*('TREASURY FILE'!C164:C5156=C256)*('TREASURY FILE'!H164:H5156))</f>
        <v>0</v>
      </c>
      <c r="J256" s="31">
        <f t="shared" si="12"/>
        <v>96282.234933624743</v>
      </c>
      <c r="K256" s="33">
        <f t="shared" si="13"/>
        <v>2.7989689415764839E-4</v>
      </c>
    </row>
    <row r="257" spans="1:11" x14ac:dyDescent="0.3">
      <c r="A257" s="30">
        <v>45910</v>
      </c>
      <c r="B257" s="24" cm="1">
        <f t="array" ref="B257">SUMPRODUCT(('TREASURY FILE'!B156:B5157=$B$4)*('TREASURY FILE'!D156:D5157="TURNOVER")*('TREASURY FILE'!A156:A5157=A257)*('TREASURY FILE'!F156:F5157))</f>
        <v>0</v>
      </c>
      <c r="C257" s="24" cm="1">
        <f t="array" ref="C257">SUMPRODUCT(('TREASURY FILE'!B156:B5157=$C$4)*('TREASURY FILE'!D156:D5157="TURNOVER")*('TREASURY FILE'!A156:A5157=A257)*('TREASURY FILE'!F156:F5157))</f>
        <v>251803483.31939372</v>
      </c>
      <c r="D257" s="24" cm="1">
        <f t="array" ref="D257">SUMPRODUCT(('TREASURY FILE'!B156:B5157=$D$4)*('TREASURY FILE'!D156:D5157="TURNOVER")*('TREASURY FILE'!A156:A5157=A257)*('TREASURY FILE'!F156:F5157))</f>
        <v>363176.82194263837</v>
      </c>
      <c r="E257" s="31">
        <f t="shared" si="11"/>
        <v>252166660.14133635</v>
      </c>
      <c r="G257" s="24" cm="1">
        <f t="array" ref="G257">SUMPRODUCT(('TREASURY FILE'!B156:B5157=$G$4)*('TREASURY FILE'!D156:D5157="INCOME")*('TREASURY FILE'!A156:A5157=A257)*('TREASURY FILE'!F156:F5157))</f>
        <v>0</v>
      </c>
      <c r="H257" s="24" cm="1">
        <f t="array" ref="H257">SUMPRODUCT(('TREASURY FILE'!B156:B5157=$H$4)*('TREASURY FILE'!D156:D5157="INCOME")*('TREASURY FILE'!A156:A5157=A257)*('TREASURY FILE'!F156:F5157))</f>
        <v>68932.777142998166</v>
      </c>
      <c r="I257" s="24" cm="1">
        <f t="array" ref="I257">SUMPRODUCT(('TREASURY FILE'!D165:D5157=$I$4)*('TREASURY FILE'!F165:F5157="INCOME")*('TREASURY FILE'!C165:C5157=C257)*('TREASURY FILE'!H165:H5157))</f>
        <v>0</v>
      </c>
      <c r="J257" s="31">
        <f t="shared" si="12"/>
        <v>68932.777142998166</v>
      </c>
      <c r="K257" s="33">
        <f t="shared" si="13"/>
        <v>2.733619785595851E-4</v>
      </c>
    </row>
    <row r="258" spans="1:11" x14ac:dyDescent="0.3">
      <c r="A258" s="30">
        <v>45911</v>
      </c>
      <c r="B258" s="24" cm="1">
        <f t="array" ref="B258">SUMPRODUCT(('TREASURY FILE'!B157:B5158=$B$4)*('TREASURY FILE'!D157:D5158="TURNOVER")*('TREASURY FILE'!A157:A5158=A258)*('TREASURY FILE'!F157:F5158))</f>
        <v>0</v>
      </c>
      <c r="C258" s="24" cm="1">
        <f t="array" ref="C258">SUMPRODUCT(('TREASURY FILE'!B157:B5158=$C$4)*('TREASURY FILE'!D157:D5158="TURNOVER")*('TREASURY FILE'!A157:A5158=A258)*('TREASURY FILE'!F157:F5158))</f>
        <v>260533805.45914239</v>
      </c>
      <c r="D258" s="24" cm="1">
        <f t="array" ref="D258">SUMPRODUCT(('TREASURY FILE'!B157:B5158=$D$4)*('TREASURY FILE'!D157:D5158="TURNOVER")*('TREASURY FILE'!A157:A5158=A258)*('TREASURY FILE'!F157:F5158))</f>
        <v>75522.132147234894</v>
      </c>
      <c r="E258" s="31">
        <f t="shared" si="11"/>
        <v>260609327.59128961</v>
      </c>
      <c r="G258" s="24" cm="1">
        <f t="array" ref="G258">SUMPRODUCT(('TREASURY FILE'!B157:B5158=$G$4)*('TREASURY FILE'!D157:D5158="INCOME")*('TREASURY FILE'!A157:A5158=A258)*('TREASURY FILE'!F157:F5158))</f>
        <v>0</v>
      </c>
      <c r="H258" s="24" cm="1">
        <f t="array" ref="H258">SUMPRODUCT(('TREASURY FILE'!B157:B5158=$H$4)*('TREASURY FILE'!D157:D5158="INCOME")*('TREASURY FILE'!A157:A5158=A258)*('TREASURY FILE'!F157:F5158))</f>
        <v>73465.838144344598</v>
      </c>
      <c r="I258" s="24" cm="1">
        <f t="array" ref="I258">SUMPRODUCT(('TREASURY FILE'!D166:D5158=$I$4)*('TREASURY FILE'!F166:F5158="INCOME")*('TREASURY FILE'!C166:C5158=C258)*('TREASURY FILE'!H166:H5158))</f>
        <v>0</v>
      </c>
      <c r="J258" s="31">
        <f t="shared" si="12"/>
        <v>73465.838144344598</v>
      </c>
      <c r="K258" s="33">
        <f t="shared" si="13"/>
        <v>2.8190026359900734E-4</v>
      </c>
    </row>
    <row r="259" spans="1:11" x14ac:dyDescent="0.3">
      <c r="A259" s="30">
        <v>45912</v>
      </c>
      <c r="B259" s="24" cm="1">
        <f t="array" ref="B259">SUMPRODUCT(('TREASURY FILE'!B158:B5159=$B$4)*('TREASURY FILE'!D158:D5159="TURNOVER")*('TREASURY FILE'!A158:A5159=A259)*('TREASURY FILE'!F158:F5159))</f>
        <v>0</v>
      </c>
      <c r="C259" s="24" cm="1">
        <f t="array" ref="C259">SUMPRODUCT(('TREASURY FILE'!B158:B5159=$C$4)*('TREASURY FILE'!D158:D5159="TURNOVER")*('TREASURY FILE'!A158:A5159=A259)*('TREASURY FILE'!F158:F5159))</f>
        <v>267386134.57533541</v>
      </c>
      <c r="D259" s="24" cm="1">
        <f t="array" ref="D259">SUMPRODUCT(('TREASURY FILE'!B158:B5159=$D$4)*('TREASURY FILE'!D158:D5159="TURNOVER")*('TREASURY FILE'!A158:A5159=A259)*('TREASURY FILE'!F158:F5159))</f>
        <v>50733.267703040285</v>
      </c>
      <c r="E259" s="31">
        <f t="shared" si="11"/>
        <v>267436867.84303844</v>
      </c>
      <c r="G259" s="24" cm="1">
        <f t="array" ref="G259">SUMPRODUCT(('TREASURY FILE'!B158:B5159=$G$4)*('TREASURY FILE'!D158:D5159="INCOME")*('TREASURY FILE'!A158:A5159=A259)*('TREASURY FILE'!F158:F5159))</f>
        <v>0</v>
      </c>
      <c r="H259" s="24" cm="1">
        <f t="array" ref="H259">SUMPRODUCT(('TREASURY FILE'!B158:B5159=$H$4)*('TREASURY FILE'!D158:D5159="INCOME")*('TREASURY FILE'!A158:A5159=A259)*('TREASURY FILE'!F158:F5159))</f>
        <v>74336.642578914019</v>
      </c>
      <c r="I259" s="24" cm="1">
        <f t="array" ref="I259">SUMPRODUCT(('TREASURY FILE'!D167:D5159=$I$4)*('TREASURY FILE'!F167:F5159="INCOME")*('TREASURY FILE'!C167:C5159=C259)*('TREASURY FILE'!H167:H5159))</f>
        <v>0</v>
      </c>
      <c r="J259" s="31">
        <f t="shared" si="12"/>
        <v>74336.642578914019</v>
      </c>
      <c r="K259" s="33">
        <f t="shared" si="13"/>
        <v>2.779595916541432E-4</v>
      </c>
    </row>
    <row r="260" spans="1:11" x14ac:dyDescent="0.3">
      <c r="A260" s="30">
        <v>45913</v>
      </c>
      <c r="B260" s="24" cm="1">
        <f t="array" ref="B260">SUMPRODUCT(('TREASURY FILE'!B159:B5160=$B$4)*('TREASURY FILE'!D159:D5160="TURNOVER")*('TREASURY FILE'!A159:A5160=A260)*('TREASURY FILE'!F159:F5160))</f>
        <v>0</v>
      </c>
      <c r="C260" s="24" cm="1">
        <f t="array" ref="C260">SUMPRODUCT(('TREASURY FILE'!B159:B5160=$C$4)*('TREASURY FILE'!D159:D5160="TURNOVER")*('TREASURY FILE'!A159:A5160=A260)*('TREASURY FILE'!F159:F5160))</f>
        <v>277740356.04476112</v>
      </c>
      <c r="D260" s="24" cm="1">
        <f t="array" ref="D260">SUMPRODUCT(('TREASURY FILE'!B159:B5160=$D$4)*('TREASURY FILE'!D159:D5160="TURNOVER")*('TREASURY FILE'!A159:A5160=A260)*('TREASURY FILE'!F159:F5160))</f>
        <v>92.083505864222076</v>
      </c>
      <c r="E260" s="31">
        <f t="shared" si="11"/>
        <v>277740448.12826699</v>
      </c>
      <c r="G260" s="24" cm="1">
        <f t="array" ref="G260">SUMPRODUCT(('TREASURY FILE'!B159:B5160=$G$4)*('TREASURY FILE'!D159:D5160="INCOME")*('TREASURY FILE'!A159:A5160=A260)*('TREASURY FILE'!F159:F5160))</f>
        <v>0</v>
      </c>
      <c r="H260" s="24" cm="1">
        <f t="array" ref="H260">SUMPRODUCT(('TREASURY FILE'!B159:B5160=$H$4)*('TREASURY FILE'!D159:D5160="INCOME")*('TREASURY FILE'!A159:A5160=A260)*('TREASURY FILE'!F159:F5160))</f>
        <v>75627.855828682994</v>
      </c>
      <c r="I260" s="24" cm="1">
        <f t="array" ref="I260">SUMPRODUCT(('TREASURY FILE'!D168:D5160=$I$4)*('TREASURY FILE'!F168:F5160="INCOME")*('TREASURY FILE'!C168:C5160=C260)*('TREASURY FILE'!H168:H5160))</f>
        <v>0</v>
      </c>
      <c r="J260" s="31">
        <f t="shared" si="12"/>
        <v>75627.855828682994</v>
      </c>
      <c r="K260" s="33">
        <f t="shared" si="13"/>
        <v>2.7229687407199794E-4</v>
      </c>
    </row>
    <row r="261" spans="1:11" x14ac:dyDescent="0.3">
      <c r="A261" s="30">
        <v>45914</v>
      </c>
      <c r="B261" s="24" cm="1">
        <f t="array" ref="B261">SUMPRODUCT(('TREASURY FILE'!B160:B5161=$B$4)*('TREASURY FILE'!D160:D5161="TURNOVER")*('TREASURY FILE'!A160:A5161=A261)*('TREASURY FILE'!F160:F5161))</f>
        <v>0</v>
      </c>
      <c r="C261" s="24" cm="1">
        <f t="array" ref="C261">SUMPRODUCT(('TREASURY FILE'!B160:B5161=$C$4)*('TREASURY FILE'!D160:D5161="TURNOVER")*('TREASURY FILE'!A160:A5161=A261)*('TREASURY FILE'!F160:F5161))</f>
        <v>225792867.74504822</v>
      </c>
      <c r="D261" s="24" cm="1">
        <f t="array" ref="D261">SUMPRODUCT(('TREASURY FILE'!B160:B5161=$D$4)*('TREASURY FILE'!D160:D5161="TURNOVER")*('TREASURY FILE'!A160:A5161=A261)*('TREASURY FILE'!F160:F5161))</f>
        <v>31712.978070524226</v>
      </c>
      <c r="E261" s="31">
        <f t="shared" si="11"/>
        <v>225824580.72311875</v>
      </c>
      <c r="G261" s="24" cm="1">
        <f t="array" ref="G261">SUMPRODUCT(('TREASURY FILE'!B160:B5161=$G$4)*('TREASURY FILE'!D160:D5161="INCOME")*('TREASURY FILE'!A160:A5161=A261)*('TREASURY FILE'!F160:F5161))</f>
        <v>0</v>
      </c>
      <c r="H261" s="24" cm="1">
        <f t="array" ref="H261">SUMPRODUCT(('TREASURY FILE'!B160:B5161=$H$4)*('TREASURY FILE'!D160:D5161="INCOME")*('TREASURY FILE'!A160:A5161=A261)*('TREASURY FILE'!F160:F5161))</f>
        <v>61769.839121203055</v>
      </c>
      <c r="I261" s="24" cm="1">
        <f t="array" ref="I261">SUMPRODUCT(('TREASURY FILE'!D169:D5161=$I$4)*('TREASURY FILE'!F169:F5161="INCOME")*('TREASURY FILE'!C169:C5161=C261)*('TREASURY FILE'!H169:H5161))</f>
        <v>0</v>
      </c>
      <c r="J261" s="31">
        <f t="shared" si="12"/>
        <v>61769.839121203055</v>
      </c>
      <c r="K261" s="33">
        <f t="shared" si="13"/>
        <v>2.7353018401897727E-4</v>
      </c>
    </row>
    <row r="262" spans="1:11" x14ac:dyDescent="0.3">
      <c r="A262" s="30">
        <v>45915</v>
      </c>
      <c r="B262" s="24" cm="1">
        <f t="array" ref="B262">SUMPRODUCT(('TREASURY FILE'!B161:B5162=$B$4)*('TREASURY FILE'!D161:D5162="TURNOVER")*('TREASURY FILE'!A161:A5162=A262)*('TREASURY FILE'!F161:F5162))</f>
        <v>0</v>
      </c>
      <c r="C262" s="24" cm="1">
        <f t="array" ref="C262">SUMPRODUCT(('TREASURY FILE'!B161:B5162=$C$4)*('TREASURY FILE'!D161:D5162="TURNOVER")*('TREASURY FILE'!A161:A5162=A262)*('TREASURY FILE'!F161:F5162))</f>
        <v>234244117.67760625</v>
      </c>
      <c r="D262" s="24" cm="1">
        <f t="array" ref="D262">SUMPRODUCT(('TREASURY FILE'!B161:B5162=$D$4)*('TREASURY FILE'!D161:D5162="TURNOVER")*('TREASURY FILE'!A161:A5162=A262)*('TREASURY FILE'!F161:F5162))</f>
        <v>639610.2570714812</v>
      </c>
      <c r="E262" s="31">
        <f t="shared" ref="E262:E325" si="14">SUM(B262:D262)</f>
        <v>234883727.93467775</v>
      </c>
      <c r="G262" s="24" cm="1">
        <f t="array" ref="G262">SUMPRODUCT(('TREASURY FILE'!B161:B5162=$G$4)*('TREASURY FILE'!D161:D5162="INCOME")*('TREASURY FILE'!A161:A5162=A262)*('TREASURY FILE'!F161:F5162))</f>
        <v>0</v>
      </c>
      <c r="H262" s="24" cm="1">
        <f t="array" ref="H262">SUMPRODUCT(('TREASURY FILE'!B161:B5162=$H$4)*('TREASURY FILE'!D161:D5162="INCOME")*('TREASURY FILE'!A161:A5162=A262)*('TREASURY FILE'!F161:F5162))</f>
        <v>62248.966485552643</v>
      </c>
      <c r="I262" s="24" cm="1">
        <f t="array" ref="I262">SUMPRODUCT(('TREASURY FILE'!D170:D5162=$I$4)*('TREASURY FILE'!F170:F5162="INCOME")*('TREASURY FILE'!C170:C5162=C262)*('TREASURY FILE'!H170:H5162))</f>
        <v>0</v>
      </c>
      <c r="J262" s="31">
        <f t="shared" ref="J262:J325" si="15">SUM(G262:I262)</f>
        <v>62248.966485552643</v>
      </c>
      <c r="K262" s="33">
        <f t="shared" ref="K262:K325" si="16">+J262/E262</f>
        <v>2.6502034446108745E-4</v>
      </c>
    </row>
    <row r="263" spans="1:11" x14ac:dyDescent="0.3">
      <c r="A263" s="30">
        <v>45916</v>
      </c>
      <c r="B263" s="24" cm="1">
        <f t="array" ref="B263">SUMPRODUCT(('TREASURY FILE'!B162:B5163=$B$4)*('TREASURY FILE'!D162:D5163="TURNOVER")*('TREASURY FILE'!A162:A5163=A263)*('TREASURY FILE'!F162:F5163))</f>
        <v>0</v>
      </c>
      <c r="C263" s="24" cm="1">
        <f t="array" ref="C263">SUMPRODUCT(('TREASURY FILE'!B162:B5163=$C$4)*('TREASURY FILE'!D162:D5163="TURNOVER")*('TREASURY FILE'!A162:A5163=A263)*('TREASURY FILE'!F162:F5163))</f>
        <v>181648167.50634411</v>
      </c>
      <c r="D263" s="24" cm="1">
        <f t="array" ref="D263">SUMPRODUCT(('TREASURY FILE'!B162:B5163=$D$4)*('TREASURY FILE'!D162:D5163="TURNOVER")*('TREASURY FILE'!A162:A5163=A263)*('TREASURY FILE'!F162:F5163))</f>
        <v>348728.90273096971</v>
      </c>
      <c r="E263" s="31">
        <f t="shared" si="14"/>
        <v>181996896.40907508</v>
      </c>
      <c r="G263" s="24" cm="1">
        <f t="array" ref="G263">SUMPRODUCT(('TREASURY FILE'!B162:B5163=$G$4)*('TREASURY FILE'!D162:D5163="INCOME")*('TREASURY FILE'!A162:A5163=A263)*('TREASURY FILE'!F162:F5163))</f>
        <v>0</v>
      </c>
      <c r="H263" s="24" cm="1">
        <f t="array" ref="H263">SUMPRODUCT(('TREASURY FILE'!B162:B5163=$H$4)*('TREASURY FILE'!D162:D5163="INCOME")*('TREASURY FILE'!A162:A5163=A263)*('TREASURY FILE'!F162:F5163))</f>
        <v>46420.569023086689</v>
      </c>
      <c r="I263" s="24" cm="1">
        <f t="array" ref="I263">SUMPRODUCT(('TREASURY FILE'!D171:D5163=$I$4)*('TREASURY FILE'!F171:F5163="INCOME")*('TREASURY FILE'!C171:C5163=C263)*('TREASURY FILE'!H171:H5163))</f>
        <v>0</v>
      </c>
      <c r="J263" s="31">
        <f t="shared" si="15"/>
        <v>46420.569023086689</v>
      </c>
      <c r="K263" s="33">
        <f t="shared" si="16"/>
        <v>2.5506242105770315E-4</v>
      </c>
    </row>
    <row r="264" spans="1:11" x14ac:dyDescent="0.3">
      <c r="A264" s="30">
        <v>45917</v>
      </c>
      <c r="B264" s="24" cm="1">
        <f t="array" ref="B264">SUMPRODUCT(('TREASURY FILE'!B163:B5164=$B$4)*('TREASURY FILE'!D163:D5164="TURNOVER")*('TREASURY FILE'!A163:A5164=A264)*('TREASURY FILE'!F163:F5164))</f>
        <v>0</v>
      </c>
      <c r="C264" s="24" cm="1">
        <f t="array" ref="C264">SUMPRODUCT(('TREASURY FILE'!B163:B5164=$C$4)*('TREASURY FILE'!D163:D5164="TURNOVER")*('TREASURY FILE'!A163:A5164=A264)*('TREASURY FILE'!F163:F5164))</f>
        <v>196309631.60096416</v>
      </c>
      <c r="D264" s="24" cm="1">
        <f t="array" ref="D264">SUMPRODUCT(('TREASURY FILE'!B163:B5164=$D$4)*('TREASURY FILE'!D163:D5164="TURNOVER")*('TREASURY FILE'!A163:A5164=A264)*('TREASURY FILE'!F163:F5164))</f>
        <v>1250789.1773882615</v>
      </c>
      <c r="E264" s="31">
        <f t="shared" si="14"/>
        <v>197560420.77835241</v>
      </c>
      <c r="G264" s="24" cm="1">
        <f t="array" ref="G264">SUMPRODUCT(('TREASURY FILE'!B163:B5164=$G$4)*('TREASURY FILE'!D163:D5164="INCOME")*('TREASURY FILE'!A163:A5164=A264)*('TREASURY FILE'!F163:F5164))</f>
        <v>0</v>
      </c>
      <c r="H264" s="24" cm="1">
        <f t="array" ref="H264">SUMPRODUCT(('TREASURY FILE'!B163:B5164=$H$4)*('TREASURY FILE'!D163:D5164="INCOME")*('TREASURY FILE'!A163:A5164=A264)*('TREASURY FILE'!F163:F5164))</f>
        <v>50416.114602146059</v>
      </c>
      <c r="I264" s="24" cm="1">
        <f t="array" ref="I264">SUMPRODUCT(('TREASURY FILE'!D172:D5164=$I$4)*('TREASURY FILE'!F172:F5164="INCOME")*('TREASURY FILE'!C172:C5164=C264)*('TREASURY FILE'!H172:H5164))</f>
        <v>0</v>
      </c>
      <c r="J264" s="31">
        <f t="shared" si="15"/>
        <v>50416.114602146059</v>
      </c>
      <c r="K264" s="33">
        <f t="shared" si="16"/>
        <v>2.5519339553699906E-4</v>
      </c>
    </row>
    <row r="265" spans="1:11" x14ac:dyDescent="0.3">
      <c r="A265" s="30">
        <v>45918</v>
      </c>
      <c r="B265" s="24" cm="1">
        <f t="array" ref="B265">SUMPRODUCT(('TREASURY FILE'!B164:B5165=$B$4)*('TREASURY FILE'!D164:D5165="TURNOVER")*('TREASURY FILE'!A164:A5165=A265)*('TREASURY FILE'!F164:F5165))</f>
        <v>0</v>
      </c>
      <c r="C265" s="24" cm="1">
        <f t="array" ref="C265">SUMPRODUCT(('TREASURY FILE'!B164:B5165=$C$4)*('TREASURY FILE'!D164:D5165="TURNOVER")*('TREASURY FILE'!A164:A5165=A265)*('TREASURY FILE'!F164:F5165))</f>
        <v>290368011.14021206</v>
      </c>
      <c r="D265" s="24" cm="1">
        <f t="array" ref="D265">SUMPRODUCT(('TREASURY FILE'!B164:B5165=$D$4)*('TREASURY FILE'!D164:D5165="TURNOVER")*('TREASURY FILE'!A164:A5165=A265)*('TREASURY FILE'!F164:F5165))</f>
        <v>253252.38697010165</v>
      </c>
      <c r="E265" s="31">
        <f t="shared" si="14"/>
        <v>290621263.52718216</v>
      </c>
      <c r="G265" s="24" cm="1">
        <f t="array" ref="G265">SUMPRODUCT(('TREASURY FILE'!B164:B5165=$G$4)*('TREASURY FILE'!D164:D5165="INCOME")*('TREASURY FILE'!A164:A5165=A265)*('TREASURY FILE'!F164:F5165))</f>
        <v>0</v>
      </c>
      <c r="H265" s="24" cm="1">
        <f t="array" ref="H265">SUMPRODUCT(('TREASURY FILE'!B164:B5165=$H$4)*('TREASURY FILE'!D164:D5165="INCOME")*('TREASURY FILE'!A164:A5165=A265)*('TREASURY FILE'!F164:F5165))</f>
        <v>75318.936066048933</v>
      </c>
      <c r="I265" s="24" cm="1">
        <f t="array" ref="I265">SUMPRODUCT(('TREASURY FILE'!D173:D5165=$I$4)*('TREASURY FILE'!F173:F5165="INCOME")*('TREASURY FILE'!C173:C5165=C265)*('TREASURY FILE'!H173:H5165))</f>
        <v>0</v>
      </c>
      <c r="J265" s="31">
        <f t="shared" si="15"/>
        <v>75318.936066048933</v>
      </c>
      <c r="K265" s="33">
        <f t="shared" si="16"/>
        <v>2.5916526255486555E-4</v>
      </c>
    </row>
    <row r="266" spans="1:11" x14ac:dyDescent="0.3">
      <c r="A266" s="30">
        <v>45919</v>
      </c>
      <c r="B266" s="24" cm="1">
        <f t="array" ref="B266">SUMPRODUCT(('TREASURY FILE'!B165:B5166=$B$4)*('TREASURY FILE'!D165:D5166="TURNOVER")*('TREASURY FILE'!A165:A5166=A266)*('TREASURY FILE'!F165:F5166))</f>
        <v>0</v>
      </c>
      <c r="C266" s="24" cm="1">
        <f t="array" ref="C266">SUMPRODUCT(('TREASURY FILE'!B165:B5166=$C$4)*('TREASURY FILE'!D165:D5166="TURNOVER")*('TREASURY FILE'!A165:A5166=A266)*('TREASURY FILE'!F165:F5166))</f>
        <v>191779147.2120553</v>
      </c>
      <c r="D266" s="24" cm="1">
        <f t="array" ref="D266">SUMPRODUCT(('TREASURY FILE'!B165:B5166=$D$4)*('TREASURY FILE'!D165:D5166="TURNOVER")*('TREASURY FILE'!A165:A5166=A266)*('TREASURY FILE'!F165:F5166))</f>
        <v>17440.5183796813</v>
      </c>
      <c r="E266" s="31">
        <f t="shared" si="14"/>
        <v>191796587.73043498</v>
      </c>
      <c r="G266" s="24" cm="1">
        <f t="array" ref="G266">SUMPRODUCT(('TREASURY FILE'!B165:B5166=$G$4)*('TREASURY FILE'!D165:D5166="INCOME")*('TREASURY FILE'!A165:A5166=A266)*('TREASURY FILE'!F165:F5166))</f>
        <v>0</v>
      </c>
      <c r="H266" s="24" cm="1">
        <f t="array" ref="H266">SUMPRODUCT(('TREASURY FILE'!B165:B5166=$H$4)*('TREASURY FILE'!D165:D5166="INCOME")*('TREASURY FILE'!A165:A5166=A266)*('TREASURY FILE'!F165:F5166))</f>
        <v>48335.264689156465</v>
      </c>
      <c r="I266" s="24" cm="1">
        <f t="array" ref="I266">SUMPRODUCT(('TREASURY FILE'!D174:D5166=$I$4)*('TREASURY FILE'!F174:F5166="INCOME")*('TREASURY FILE'!C174:C5166=C266)*('TREASURY FILE'!H174:H5166))</f>
        <v>0</v>
      </c>
      <c r="J266" s="31">
        <f t="shared" si="15"/>
        <v>48335.264689156465</v>
      </c>
      <c r="K266" s="33">
        <f t="shared" si="16"/>
        <v>2.5201316280501506E-4</v>
      </c>
    </row>
    <row r="267" spans="1:11" x14ac:dyDescent="0.3">
      <c r="A267" s="30">
        <v>45920</v>
      </c>
      <c r="B267" s="24" cm="1">
        <f t="array" ref="B267">SUMPRODUCT(('TREASURY FILE'!B166:B5167=$B$4)*('TREASURY FILE'!D166:D5167="TURNOVER")*('TREASURY FILE'!A166:A5167=A267)*('TREASURY FILE'!F166:F5167))</f>
        <v>0</v>
      </c>
      <c r="C267" s="24" cm="1">
        <f t="array" ref="C267">SUMPRODUCT(('TREASURY FILE'!B166:B5167=$C$4)*('TREASURY FILE'!D166:D5167="TURNOVER")*('TREASURY FILE'!A166:A5167=A267)*('TREASURY FILE'!F166:F5167))</f>
        <v>132291877.33658193</v>
      </c>
      <c r="D267" s="24" cm="1">
        <f t="array" ref="D267">SUMPRODUCT(('TREASURY FILE'!B166:B5167=$D$4)*('TREASURY FILE'!D166:D5167="TURNOVER")*('TREASURY FILE'!A166:A5167=A267)*('TREASURY FILE'!F166:F5167))</f>
        <v>8198.6952551491904</v>
      </c>
      <c r="E267" s="31">
        <f t="shared" si="14"/>
        <v>132300076.03183708</v>
      </c>
      <c r="G267" s="24" cm="1">
        <f t="array" ref="G267">SUMPRODUCT(('TREASURY FILE'!B166:B5167=$G$4)*('TREASURY FILE'!D166:D5167="INCOME")*('TREASURY FILE'!A166:A5167=A267)*('TREASURY FILE'!F166:F5167))</f>
        <v>0</v>
      </c>
      <c r="H267" s="24" cm="1">
        <f t="array" ref="H267">SUMPRODUCT(('TREASURY FILE'!B166:B5167=$H$4)*('TREASURY FILE'!D166:D5167="INCOME")*('TREASURY FILE'!A166:A5167=A267)*('TREASURY FILE'!F166:F5167))</f>
        <v>32547.137303911215</v>
      </c>
      <c r="I267" s="24" cm="1">
        <f t="array" ref="I267">SUMPRODUCT(('TREASURY FILE'!D175:D5167=$I$4)*('TREASURY FILE'!F175:F5167="INCOME")*('TREASURY FILE'!C175:C5167=C267)*('TREASURY FILE'!H175:H5167))</f>
        <v>0</v>
      </c>
      <c r="J267" s="31">
        <f t="shared" si="15"/>
        <v>32547.137303911215</v>
      </c>
      <c r="K267" s="33">
        <f t="shared" si="16"/>
        <v>2.46009966737124E-4</v>
      </c>
    </row>
    <row r="268" spans="1:11" x14ac:dyDescent="0.3">
      <c r="A268" s="30">
        <v>45921</v>
      </c>
      <c r="B268" s="24" cm="1">
        <f t="array" ref="B268">SUMPRODUCT(('TREASURY FILE'!B167:B5168=$B$4)*('TREASURY FILE'!D167:D5168="TURNOVER")*('TREASURY FILE'!A167:A5168=A268)*('TREASURY FILE'!F167:F5168))</f>
        <v>0</v>
      </c>
      <c r="C268" s="24" cm="1">
        <f t="array" ref="C268">SUMPRODUCT(('TREASURY FILE'!B167:B5168=$C$4)*('TREASURY FILE'!D167:D5168="TURNOVER")*('TREASURY FILE'!A167:A5168=A268)*('TREASURY FILE'!F167:F5168))</f>
        <v>132147239.68895628</v>
      </c>
      <c r="D268" s="24" cm="1">
        <f t="array" ref="D268">SUMPRODUCT(('TREASURY FILE'!B167:B5168=$D$4)*('TREASURY FILE'!D167:D5168="TURNOVER")*('TREASURY FILE'!A167:A5168=A268)*('TREASURY FILE'!F167:F5168))</f>
        <v>74428.591407550397</v>
      </c>
      <c r="E268" s="31">
        <f t="shared" si="14"/>
        <v>132221668.28036383</v>
      </c>
      <c r="G268" s="24" cm="1">
        <f t="array" ref="G268">SUMPRODUCT(('TREASURY FILE'!B167:B5168=$G$4)*('TREASURY FILE'!D167:D5168="INCOME")*('TREASURY FILE'!A167:A5168=A268)*('TREASURY FILE'!F167:F5168))</f>
        <v>0</v>
      </c>
      <c r="H268" s="24" cm="1">
        <f t="array" ref="H268">SUMPRODUCT(('TREASURY FILE'!B167:B5168=$H$4)*('TREASURY FILE'!D167:D5168="INCOME")*('TREASURY FILE'!A167:A5168=A268)*('TREASURY FILE'!F167:F5168))</f>
        <v>32895.608618144121</v>
      </c>
      <c r="I268" s="24" cm="1">
        <f t="array" ref="I268">SUMPRODUCT(('TREASURY FILE'!D176:D5168=$I$4)*('TREASURY FILE'!F176:F5168="INCOME")*('TREASURY FILE'!C176:C5168=C268)*('TREASURY FILE'!H176:H5168))</f>
        <v>0</v>
      </c>
      <c r="J268" s="31">
        <f t="shared" si="15"/>
        <v>32895.608618144121</v>
      </c>
      <c r="K268" s="33">
        <f t="shared" si="16"/>
        <v>2.4879135958557128E-4</v>
      </c>
    </row>
    <row r="269" spans="1:11" x14ac:dyDescent="0.3">
      <c r="A269" s="30">
        <v>45922</v>
      </c>
      <c r="B269" s="24" cm="1">
        <f t="array" ref="B269">SUMPRODUCT(('TREASURY FILE'!B168:B5169=$B$4)*('TREASURY FILE'!D168:D5169="TURNOVER")*('TREASURY FILE'!A168:A5169=A269)*('TREASURY FILE'!F168:F5169))</f>
        <v>0</v>
      </c>
      <c r="C269" s="24" cm="1">
        <f t="array" ref="C269">SUMPRODUCT(('TREASURY FILE'!B168:B5169=$C$4)*('TREASURY FILE'!D168:D5169="TURNOVER")*('TREASURY FILE'!A168:A5169=A269)*('TREASURY FILE'!F168:F5169))</f>
        <v>237114544.36723164</v>
      </c>
      <c r="D269" s="24" cm="1">
        <f t="array" ref="D269">SUMPRODUCT(('TREASURY FILE'!B168:B5169=$D$4)*('TREASURY FILE'!D168:D5169="TURNOVER")*('TREASURY FILE'!A168:A5169=A269)*('TREASURY FILE'!F168:F5169))</f>
        <v>215505.74014517272</v>
      </c>
      <c r="E269" s="31">
        <f t="shared" si="14"/>
        <v>237330050.10737681</v>
      </c>
      <c r="G269" s="24" cm="1">
        <f t="array" ref="G269">SUMPRODUCT(('TREASURY FILE'!B168:B5169=$G$4)*('TREASURY FILE'!D168:D5169="INCOME")*('TREASURY FILE'!A168:A5169=A269)*('TREASURY FILE'!F168:F5169))</f>
        <v>0</v>
      </c>
      <c r="H269" s="24" cm="1">
        <f t="array" ref="H269">SUMPRODUCT(('TREASURY FILE'!B168:B5169=$H$4)*('TREASURY FILE'!D168:D5169="INCOME")*('TREASURY FILE'!A168:A5169=A269)*('TREASURY FILE'!F168:F5169))</f>
        <v>56822.169603695409</v>
      </c>
      <c r="I269" s="24" cm="1">
        <f t="array" ref="I269">SUMPRODUCT(('TREASURY FILE'!D177:D5169=$I$4)*('TREASURY FILE'!F177:F5169="INCOME")*('TREASURY FILE'!C177:C5169=C269)*('TREASURY FILE'!H177:H5169))</f>
        <v>0</v>
      </c>
      <c r="J269" s="31">
        <f t="shared" si="15"/>
        <v>56822.169603695409</v>
      </c>
      <c r="K269" s="33">
        <f t="shared" si="16"/>
        <v>2.3942256607617526E-4</v>
      </c>
    </row>
    <row r="270" spans="1:11" x14ac:dyDescent="0.3">
      <c r="A270" s="30">
        <v>45923</v>
      </c>
      <c r="B270" s="24" cm="1">
        <f t="array" ref="B270">SUMPRODUCT(('TREASURY FILE'!B169:B5170=$B$4)*('TREASURY FILE'!D169:D5170="TURNOVER")*('TREASURY FILE'!A169:A5170=A270)*('TREASURY FILE'!F169:F5170))</f>
        <v>0</v>
      </c>
      <c r="C270" s="24" cm="1">
        <f t="array" ref="C270">SUMPRODUCT(('TREASURY FILE'!B169:B5170=$C$4)*('TREASURY FILE'!D169:D5170="TURNOVER")*('TREASURY FILE'!A169:A5170=A270)*('TREASURY FILE'!F169:F5170))</f>
        <v>173779259.84416279</v>
      </c>
      <c r="D270" s="24" cm="1">
        <f t="array" ref="D270">SUMPRODUCT(('TREASURY FILE'!B169:B5170=$D$4)*('TREASURY FILE'!D169:D5170="TURNOVER")*('TREASURY FILE'!A169:A5170=A270)*('TREASURY FILE'!F169:F5170))</f>
        <v>0</v>
      </c>
      <c r="E270" s="31">
        <f t="shared" si="14"/>
        <v>173779259.84416279</v>
      </c>
      <c r="G270" s="24" cm="1">
        <f t="array" ref="G270">SUMPRODUCT(('TREASURY FILE'!B169:B5170=$G$4)*('TREASURY FILE'!D169:D5170="INCOME")*('TREASURY FILE'!A169:A5170=A270)*('TREASURY FILE'!F169:F5170))</f>
        <v>0</v>
      </c>
      <c r="H270" s="24" cm="1">
        <f t="array" ref="H270">SUMPRODUCT(('TREASURY FILE'!B169:B5170=$H$4)*('TREASURY FILE'!D169:D5170="INCOME")*('TREASURY FILE'!A169:A5170=A270)*('TREASURY FILE'!F169:F5170))</f>
        <v>42779.553393488342</v>
      </c>
      <c r="I270" s="24" cm="1">
        <f t="array" ref="I270">SUMPRODUCT(('TREASURY FILE'!D178:D5170=$I$4)*('TREASURY FILE'!F178:F5170="INCOME")*('TREASURY FILE'!C178:C5170=C270)*('TREASURY FILE'!H178:H5170))</f>
        <v>0</v>
      </c>
      <c r="J270" s="31">
        <f t="shared" si="15"/>
        <v>42779.553393488342</v>
      </c>
      <c r="K270" s="33">
        <f t="shared" si="16"/>
        <v>2.4617180112201578E-4</v>
      </c>
    </row>
    <row r="271" spans="1:11" x14ac:dyDescent="0.3">
      <c r="A271" s="30">
        <v>45924</v>
      </c>
      <c r="B271" s="24" cm="1">
        <f t="array" ref="B271">SUMPRODUCT(('TREASURY FILE'!B170:B5171=$B$4)*('TREASURY FILE'!D170:D5171="TURNOVER")*('TREASURY FILE'!A170:A5171=A271)*('TREASURY FILE'!F170:F5171))</f>
        <v>0</v>
      </c>
      <c r="C271" s="24" cm="1">
        <f t="array" ref="C271">SUMPRODUCT(('TREASURY FILE'!B170:B5171=$C$4)*('TREASURY FILE'!D170:D5171="TURNOVER")*('TREASURY FILE'!A170:A5171=A271)*('TREASURY FILE'!F170:F5171))</f>
        <v>158914238.75742385</v>
      </c>
      <c r="D271" s="24" cm="1">
        <f t="array" ref="D271">SUMPRODUCT(('TREASURY FILE'!B170:B5171=$D$4)*('TREASURY FILE'!D170:D5171="TURNOVER")*('TREASURY FILE'!A170:A5171=A271)*('TREASURY FILE'!F170:F5171))</f>
        <v>0</v>
      </c>
      <c r="E271" s="31">
        <f t="shared" si="14"/>
        <v>158914238.75742385</v>
      </c>
      <c r="G271" s="24" cm="1">
        <f t="array" ref="G271">SUMPRODUCT(('TREASURY FILE'!B170:B5171=$G$4)*('TREASURY FILE'!D170:D5171="INCOME")*('TREASURY FILE'!A170:A5171=A271)*('TREASURY FILE'!F170:F5171))</f>
        <v>0</v>
      </c>
      <c r="H271" s="24" cm="1">
        <f t="array" ref="H271">SUMPRODUCT(('TREASURY FILE'!B170:B5171=$H$4)*('TREASURY FILE'!D170:D5171="INCOME")*('TREASURY FILE'!A170:A5171=A271)*('TREASURY FILE'!F170:F5171))</f>
        <v>40032.618150130664</v>
      </c>
      <c r="I271" s="24" cm="1">
        <f t="array" ref="I271">SUMPRODUCT(('TREASURY FILE'!D179:D5171=$I$4)*('TREASURY FILE'!F179:F5171="INCOME")*('TREASURY FILE'!C179:C5171=C271)*('TREASURY FILE'!H179:H5171))</f>
        <v>0</v>
      </c>
      <c r="J271" s="31">
        <f t="shared" si="15"/>
        <v>40032.618150130664</v>
      </c>
      <c r="K271" s="33">
        <f t="shared" si="16"/>
        <v>2.5191334938361838E-4</v>
      </c>
    </row>
    <row r="272" spans="1:11" x14ac:dyDescent="0.3">
      <c r="A272" s="30">
        <v>45925</v>
      </c>
      <c r="B272" s="24" cm="1">
        <f t="array" ref="B272">SUMPRODUCT(('TREASURY FILE'!B171:B5172=$B$4)*('TREASURY FILE'!D171:D5172="TURNOVER")*('TREASURY FILE'!A171:A5172=A272)*('TREASURY FILE'!F171:F5172))</f>
        <v>0</v>
      </c>
      <c r="C272" s="24" cm="1">
        <f t="array" ref="C272">SUMPRODUCT(('TREASURY FILE'!B171:B5172=$C$4)*('TREASURY FILE'!D171:D5172="TURNOVER")*('TREASURY FILE'!A171:A5172=A272)*('TREASURY FILE'!F171:F5172))</f>
        <v>230661069.11454496</v>
      </c>
      <c r="D272" s="24" cm="1">
        <f t="array" ref="D272">SUMPRODUCT(('TREASURY FILE'!B171:B5172=$D$4)*('TREASURY FILE'!D171:D5172="TURNOVER")*('TREASURY FILE'!A171:A5172=A272)*('TREASURY FILE'!F171:F5172))</f>
        <v>0</v>
      </c>
      <c r="E272" s="31">
        <f t="shared" si="14"/>
        <v>230661069.11454496</v>
      </c>
      <c r="G272" s="24" cm="1">
        <f t="array" ref="G272">SUMPRODUCT(('TREASURY FILE'!B171:B5172=$G$4)*('TREASURY FILE'!D171:D5172="INCOME")*('TREASURY FILE'!A171:A5172=A272)*('TREASURY FILE'!F171:F5172))</f>
        <v>0</v>
      </c>
      <c r="H272" s="24" cm="1">
        <f t="array" ref="H272">SUMPRODUCT(('TREASURY FILE'!B171:B5172=$H$4)*('TREASURY FILE'!D171:D5172="INCOME")*('TREASURY FILE'!A171:A5172=A272)*('TREASURY FILE'!F171:F5172))</f>
        <v>58785.520563332771</v>
      </c>
      <c r="I272" s="24" cm="1">
        <f t="array" ref="I272">SUMPRODUCT(('TREASURY FILE'!D180:D5172=$I$4)*('TREASURY FILE'!F180:F5172="INCOME")*('TREASURY FILE'!C180:C5172=C272)*('TREASURY FILE'!H180:H5172))</f>
        <v>0</v>
      </c>
      <c r="J272" s="31">
        <f t="shared" si="15"/>
        <v>58785.520563332771</v>
      </c>
      <c r="K272" s="33">
        <f t="shared" si="16"/>
        <v>2.5485670724148177E-4</v>
      </c>
    </row>
    <row r="273" spans="1:11" x14ac:dyDescent="0.3">
      <c r="A273" s="30">
        <v>45926</v>
      </c>
      <c r="B273" s="24" cm="1">
        <f t="array" ref="B273">SUMPRODUCT(('TREASURY FILE'!B172:B5173=$B$4)*('TREASURY FILE'!D172:D5173="TURNOVER")*('TREASURY FILE'!A172:A5173=A273)*('TREASURY FILE'!F172:F5173))</f>
        <v>0</v>
      </c>
      <c r="C273" s="24" cm="1">
        <f t="array" ref="C273">SUMPRODUCT(('TREASURY FILE'!B172:B5173=$C$4)*('TREASURY FILE'!D172:D5173="TURNOVER")*('TREASURY FILE'!A172:A5173=A273)*('TREASURY FILE'!F172:F5173))</f>
        <v>216937495.94069415</v>
      </c>
      <c r="D273" s="24" cm="1">
        <f t="array" ref="D273">SUMPRODUCT(('TREASURY FILE'!B172:B5173=$D$4)*('TREASURY FILE'!D172:D5173="TURNOVER")*('TREASURY FILE'!A172:A5173=A273)*('TREASURY FILE'!F172:F5173))</f>
        <v>802.09343815898796</v>
      </c>
      <c r="E273" s="31">
        <f t="shared" si="14"/>
        <v>216938298.0341323</v>
      </c>
      <c r="G273" s="24" cm="1">
        <f t="array" ref="G273">SUMPRODUCT(('TREASURY FILE'!B172:B5173=$G$4)*('TREASURY FILE'!D172:D5173="INCOME")*('TREASURY FILE'!A172:A5173=A273)*('TREASURY FILE'!F172:F5173))</f>
        <v>0</v>
      </c>
      <c r="H273" s="24" cm="1">
        <f t="array" ref="H273">SUMPRODUCT(('TREASURY FILE'!B172:B5173=$H$4)*('TREASURY FILE'!D172:D5173="INCOME")*('TREASURY FILE'!A172:A5173=A273)*('TREASURY FILE'!F172:F5173))</f>
        <v>55593.042225031466</v>
      </c>
      <c r="I273" s="24" cm="1">
        <f t="array" ref="I273">SUMPRODUCT(('TREASURY FILE'!D181:D5173=$I$4)*('TREASURY FILE'!F181:F5173="INCOME")*('TREASURY FILE'!C181:C5173=C273)*('TREASURY FILE'!H181:H5173))</f>
        <v>0</v>
      </c>
      <c r="J273" s="31">
        <f t="shared" si="15"/>
        <v>55593.042225031466</v>
      </c>
      <c r="K273" s="33">
        <f t="shared" si="16"/>
        <v>2.5626200043426476E-4</v>
      </c>
    </row>
    <row r="274" spans="1:11" x14ac:dyDescent="0.3">
      <c r="A274" s="30">
        <v>45927</v>
      </c>
      <c r="B274" s="24" cm="1">
        <f t="array" ref="B274">SUMPRODUCT(('TREASURY FILE'!B173:B5174=$B$4)*('TREASURY FILE'!D173:D5174="TURNOVER")*('TREASURY FILE'!A173:A5174=A274)*('TREASURY FILE'!F173:F5174))</f>
        <v>0</v>
      </c>
      <c r="C274" s="24" cm="1">
        <f t="array" ref="C274">SUMPRODUCT(('TREASURY FILE'!B173:B5174=$C$4)*('TREASURY FILE'!D173:D5174="TURNOVER")*('TREASURY FILE'!A173:A5174=A274)*('TREASURY FILE'!F173:F5174))</f>
        <v>171203941.99862614</v>
      </c>
      <c r="D274" s="24" cm="1">
        <f t="array" ref="D274">SUMPRODUCT(('TREASURY FILE'!B173:B5174=$D$4)*('TREASURY FILE'!D173:D5174="TURNOVER")*('TREASURY FILE'!A173:A5174=A274)*('TREASURY FILE'!F173:F5174))</f>
        <v>37099.780897197183</v>
      </c>
      <c r="E274" s="31">
        <f t="shared" si="14"/>
        <v>171241041.77952334</v>
      </c>
      <c r="G274" s="24" cm="1">
        <f t="array" ref="G274">SUMPRODUCT(('TREASURY FILE'!B173:B5174=$G$4)*('TREASURY FILE'!D173:D5174="INCOME")*('TREASURY FILE'!A173:A5174=A274)*('TREASURY FILE'!F173:F5174))</f>
        <v>0</v>
      </c>
      <c r="H274" s="24" cm="1">
        <f t="array" ref="H274">SUMPRODUCT(('TREASURY FILE'!B173:B5174=$H$4)*('TREASURY FILE'!D173:D5174="INCOME")*('TREASURY FILE'!A173:A5174=A274)*('TREASURY FILE'!F173:F5174))</f>
        <v>45859.651715062151</v>
      </c>
      <c r="I274" s="24" cm="1">
        <f t="array" ref="I274">SUMPRODUCT(('TREASURY FILE'!D182:D5174=$I$4)*('TREASURY FILE'!F182:F5174="INCOME")*('TREASURY FILE'!C182:C5174=C274)*('TREASURY FILE'!H182:H5174))</f>
        <v>0</v>
      </c>
      <c r="J274" s="31">
        <f t="shared" si="15"/>
        <v>45859.651715062151</v>
      </c>
      <c r="K274" s="33">
        <f t="shared" si="16"/>
        <v>2.6780759588059195E-4</v>
      </c>
    </row>
    <row r="275" spans="1:11" x14ac:dyDescent="0.3">
      <c r="A275" s="30">
        <v>45928</v>
      </c>
      <c r="B275" s="24" cm="1">
        <f t="array" ref="B275">SUMPRODUCT(('TREASURY FILE'!B174:B5175=$B$4)*('TREASURY FILE'!D174:D5175="TURNOVER")*('TREASURY FILE'!A174:A5175=A275)*('TREASURY FILE'!F174:F5175))</f>
        <v>0</v>
      </c>
      <c r="C275" s="24" cm="1">
        <f t="array" ref="C275">SUMPRODUCT(('TREASURY FILE'!B174:B5175=$C$4)*('TREASURY FILE'!D174:D5175="TURNOVER")*('TREASURY FILE'!A174:A5175=A275)*('TREASURY FILE'!F174:F5175))</f>
        <v>180905339.16067171</v>
      </c>
      <c r="D275" s="24" cm="1">
        <f t="array" ref="D275">SUMPRODUCT(('TREASURY FILE'!B174:B5175=$D$4)*('TREASURY FILE'!D174:D5175="TURNOVER")*('TREASURY FILE'!A174:A5175=A275)*('TREASURY FILE'!F174:F5175))</f>
        <v>0</v>
      </c>
      <c r="E275" s="31">
        <f t="shared" si="14"/>
        <v>180905339.16067171</v>
      </c>
      <c r="G275" s="24" cm="1">
        <f t="array" ref="G275">SUMPRODUCT(('TREASURY FILE'!B174:B5175=$G$4)*('TREASURY FILE'!D174:D5175="INCOME")*('TREASURY FILE'!A174:A5175=A275)*('TREASURY FILE'!F174:F5175))</f>
        <v>0</v>
      </c>
      <c r="H275" s="24" cm="1">
        <f t="array" ref="H275">SUMPRODUCT(('TREASURY FILE'!B174:B5175=$H$4)*('TREASURY FILE'!D174:D5175="INCOME")*('TREASURY FILE'!A174:A5175=A275)*('TREASURY FILE'!F174:F5175))</f>
        <v>48528.437660974741</v>
      </c>
      <c r="I275" s="24" cm="1">
        <f t="array" ref="I275">SUMPRODUCT(('TREASURY FILE'!D183:D5175=$I$4)*('TREASURY FILE'!F183:F5175="INCOME")*('TREASURY FILE'!C183:C5175=C275)*('TREASURY FILE'!H183:H5175))</f>
        <v>0</v>
      </c>
      <c r="J275" s="31">
        <f t="shared" si="15"/>
        <v>48528.437660974741</v>
      </c>
      <c r="K275" s="33">
        <f t="shared" si="16"/>
        <v>2.6825320847978973E-4</v>
      </c>
    </row>
    <row r="276" spans="1:11" x14ac:dyDescent="0.3">
      <c r="A276" s="30">
        <v>45929</v>
      </c>
      <c r="B276" s="24" cm="1">
        <f t="array" ref="B276">SUMPRODUCT(('TREASURY FILE'!B175:B5176=$B$4)*('TREASURY FILE'!D175:D5176="TURNOVER")*('TREASURY FILE'!A175:A5176=A276)*('TREASURY FILE'!F175:F5176))</f>
        <v>0</v>
      </c>
      <c r="C276" s="24" cm="1">
        <f t="array" ref="C276">SUMPRODUCT(('TREASURY FILE'!B175:B5176=$C$4)*('TREASURY FILE'!D175:D5176="TURNOVER")*('TREASURY FILE'!A175:A5176=A276)*('TREASURY FILE'!F175:F5176))</f>
        <v>234967380.14048082</v>
      </c>
      <c r="D276" s="24" cm="1">
        <f t="array" ref="D276">SUMPRODUCT(('TREASURY FILE'!B175:B5176=$D$4)*('TREASURY FILE'!D175:D5176="TURNOVER")*('TREASURY FILE'!A175:A5176=A276)*('TREASURY FILE'!F175:F5176))</f>
        <v>297.58493318598505</v>
      </c>
      <c r="E276" s="31">
        <f t="shared" si="14"/>
        <v>234967677.72541401</v>
      </c>
      <c r="G276" s="24" cm="1">
        <f t="array" ref="G276">SUMPRODUCT(('TREASURY FILE'!B175:B5176=$G$4)*('TREASURY FILE'!D175:D5176="INCOME")*('TREASURY FILE'!A175:A5176=A276)*('TREASURY FILE'!F175:F5176))</f>
        <v>0</v>
      </c>
      <c r="H276" s="24" cm="1">
        <f t="array" ref="H276">SUMPRODUCT(('TREASURY FILE'!B175:B5176=$H$4)*('TREASURY FILE'!D175:D5176="INCOME")*('TREASURY FILE'!A175:A5176=A276)*('TREASURY FILE'!F175:F5176))</f>
        <v>60663.187120128117</v>
      </c>
      <c r="I276" s="24" cm="1">
        <f t="array" ref="I276">SUMPRODUCT(('TREASURY FILE'!D184:D5176=$I$4)*('TREASURY FILE'!F184:F5176="INCOME")*('TREASURY FILE'!C184:C5176=C276)*('TREASURY FILE'!H184:H5176))</f>
        <v>0</v>
      </c>
      <c r="J276" s="31">
        <f t="shared" si="15"/>
        <v>60663.187120128117</v>
      </c>
      <c r="K276" s="33">
        <f t="shared" si="16"/>
        <v>2.5817673182700404E-4</v>
      </c>
    </row>
    <row r="277" spans="1:11" x14ac:dyDescent="0.3">
      <c r="A277" s="30">
        <v>45930</v>
      </c>
      <c r="B277" s="24" cm="1">
        <f t="array" ref="B277">SUMPRODUCT(('TREASURY FILE'!B176:B5177=$B$4)*('TREASURY FILE'!D176:D5177="TURNOVER")*('TREASURY FILE'!A176:A5177=A277)*('TREASURY FILE'!F176:F5177))</f>
        <v>0</v>
      </c>
      <c r="C277" s="24" cm="1">
        <f t="array" ref="C277">SUMPRODUCT(('TREASURY FILE'!B176:B5177=$C$4)*('TREASURY FILE'!D176:D5177="TURNOVER")*('TREASURY FILE'!A176:A5177=A277)*('TREASURY FILE'!F176:F5177))</f>
        <v>187896538.53672233</v>
      </c>
      <c r="D277" s="24" cm="1">
        <f t="array" ref="D277">SUMPRODUCT(('TREASURY FILE'!B176:B5177=$D$4)*('TREASURY FILE'!D176:D5177="TURNOVER")*('TREASURY FILE'!A176:A5177=A277)*('TREASURY FILE'!F176:F5177))</f>
        <v>62069.246357655844</v>
      </c>
      <c r="E277" s="31">
        <f t="shared" si="14"/>
        <v>187958607.78307998</v>
      </c>
      <c r="G277" s="24" cm="1">
        <f t="array" ref="G277">SUMPRODUCT(('TREASURY FILE'!B176:B5177=$G$4)*('TREASURY FILE'!D176:D5177="INCOME")*('TREASURY FILE'!A176:A5177=A277)*('TREASURY FILE'!F176:F5177))</f>
        <v>0</v>
      </c>
      <c r="H277" s="24" cm="1">
        <f t="array" ref="H277">SUMPRODUCT(('TREASURY FILE'!B176:B5177=$H$4)*('TREASURY FILE'!D176:D5177="INCOME")*('TREASURY FILE'!A176:A5177=A277)*('TREASURY FILE'!F176:F5177))</f>
        <v>47514.494036372707</v>
      </c>
      <c r="I277" s="24" cm="1">
        <f t="array" ref="I277">SUMPRODUCT(('TREASURY FILE'!D185:D5177=$I$4)*('TREASURY FILE'!F185:F5177="INCOME")*('TREASURY FILE'!C185:C5177=C277)*('TREASURY FILE'!H185:H5177))</f>
        <v>0</v>
      </c>
      <c r="J277" s="31">
        <f t="shared" si="15"/>
        <v>47514.494036372707</v>
      </c>
      <c r="K277" s="33">
        <f t="shared" si="16"/>
        <v>2.5279232803856701E-4</v>
      </c>
    </row>
    <row r="278" spans="1:11" x14ac:dyDescent="0.3">
      <c r="A278" s="30">
        <v>45931</v>
      </c>
      <c r="B278" s="24" cm="1">
        <f t="array" ref="B278">SUMPRODUCT(('TREASURY FILE'!B177:B5178=$B$4)*('TREASURY FILE'!D177:D5178="TURNOVER")*('TREASURY FILE'!A177:A5178=A278)*('TREASURY FILE'!F177:F5178))</f>
        <v>0</v>
      </c>
      <c r="C278" s="24" cm="1">
        <f t="array" ref="C278">SUMPRODUCT(('TREASURY FILE'!B177:B5178=$C$4)*('TREASURY FILE'!D177:D5178="TURNOVER")*('TREASURY FILE'!A177:A5178=A278)*('TREASURY FILE'!F177:F5178))</f>
        <v>248513679.10537499</v>
      </c>
      <c r="D278" s="24" cm="1">
        <f t="array" ref="D278">SUMPRODUCT(('TREASURY FILE'!B177:B5178=$D$4)*('TREASURY FILE'!D177:D5178="TURNOVER")*('TREASURY FILE'!A177:A5178=A278)*('TREASURY FILE'!F177:F5178))</f>
        <v>0</v>
      </c>
      <c r="E278" s="31">
        <f t="shared" si="14"/>
        <v>248513679.10537499</v>
      </c>
      <c r="G278" s="24" cm="1">
        <f t="array" ref="G278">SUMPRODUCT(('TREASURY FILE'!B177:B5178=$G$4)*('TREASURY FILE'!D177:D5178="INCOME")*('TREASURY FILE'!A177:A5178=A278)*('TREASURY FILE'!F177:F5178))</f>
        <v>0</v>
      </c>
      <c r="H278" s="24" cm="1">
        <f t="array" ref="H278">SUMPRODUCT(('TREASURY FILE'!B177:B5178=$H$4)*('TREASURY FILE'!D177:D5178="INCOME")*('TREASURY FILE'!A177:A5178=A278)*('TREASURY FILE'!F177:F5178))</f>
        <v>69611.579979488248</v>
      </c>
      <c r="I278" s="24" cm="1">
        <f t="array" ref="I278">SUMPRODUCT(('TREASURY FILE'!D186:D5178=$I$4)*('TREASURY FILE'!F186:F5178="INCOME")*('TREASURY FILE'!C186:C5178=C278)*('TREASURY FILE'!H186:H5178))</f>
        <v>0</v>
      </c>
      <c r="J278" s="31">
        <f t="shared" si="15"/>
        <v>69611.579979488248</v>
      </c>
      <c r="K278" s="33">
        <f t="shared" si="16"/>
        <v>2.8011166318925844E-4</v>
      </c>
    </row>
    <row r="279" spans="1:11" x14ac:dyDescent="0.3">
      <c r="A279" s="30">
        <v>45932</v>
      </c>
      <c r="B279" s="24" cm="1">
        <f t="array" ref="B279">SUMPRODUCT(('TREASURY FILE'!B178:B5179=$B$4)*('TREASURY FILE'!D178:D5179="TURNOVER")*('TREASURY FILE'!A178:A5179=A279)*('TREASURY FILE'!F178:F5179))</f>
        <v>0</v>
      </c>
      <c r="C279" s="24" cm="1">
        <f t="array" ref="C279">SUMPRODUCT(('TREASURY FILE'!B178:B5179=$C$4)*('TREASURY FILE'!D178:D5179="TURNOVER")*('TREASURY FILE'!A178:A5179=A279)*('TREASURY FILE'!F178:F5179))</f>
        <v>298185163.65125906</v>
      </c>
      <c r="D279" s="24" cm="1">
        <f t="array" ref="D279">SUMPRODUCT(('TREASURY FILE'!B178:B5179=$D$4)*('TREASURY FILE'!D178:D5179="TURNOVER")*('TREASURY FILE'!A178:A5179=A279)*('TREASURY FILE'!F178:F5179))</f>
        <v>198906.58136282492</v>
      </c>
      <c r="E279" s="31">
        <f t="shared" si="14"/>
        <v>298384070.23262191</v>
      </c>
      <c r="G279" s="24" cm="1">
        <f t="array" ref="G279">SUMPRODUCT(('TREASURY FILE'!B178:B5179=$G$4)*('TREASURY FILE'!D178:D5179="INCOME")*('TREASURY FILE'!A178:A5179=A279)*('TREASURY FILE'!F178:F5179))</f>
        <v>0</v>
      </c>
      <c r="H279" s="24" cm="1">
        <f t="array" ref="H279">SUMPRODUCT(('TREASURY FILE'!B178:B5179=$H$4)*('TREASURY FILE'!D178:D5179="INCOME")*('TREASURY FILE'!A178:A5179=A279)*('TREASURY FILE'!F178:F5179))</f>
        <v>85318.462175781315</v>
      </c>
      <c r="I279" s="24" cm="1">
        <f t="array" ref="I279">SUMPRODUCT(('TREASURY FILE'!D187:D5179=$I$4)*('TREASURY FILE'!F187:F5179="INCOME")*('TREASURY FILE'!C187:C5179=C279)*('TREASURY FILE'!H187:H5179))</f>
        <v>0</v>
      </c>
      <c r="J279" s="31">
        <f t="shared" si="15"/>
        <v>85318.462175781315</v>
      </c>
      <c r="K279" s="33">
        <f t="shared" si="16"/>
        <v>2.8593504374836953E-4</v>
      </c>
    </row>
    <row r="280" spans="1:11" x14ac:dyDescent="0.3">
      <c r="A280" s="30">
        <v>45933</v>
      </c>
      <c r="B280" s="24" cm="1">
        <f t="array" ref="B280">SUMPRODUCT(('TREASURY FILE'!B179:B5180=$B$4)*('TREASURY FILE'!D179:D5180="TURNOVER")*('TREASURY FILE'!A179:A5180=A280)*('TREASURY FILE'!F179:F5180))</f>
        <v>0</v>
      </c>
      <c r="C280" s="24" cm="1">
        <f t="array" ref="C280">SUMPRODUCT(('TREASURY FILE'!B179:B5180=$C$4)*('TREASURY FILE'!D179:D5180="TURNOVER")*('TREASURY FILE'!A179:A5180=A280)*('TREASURY FILE'!F179:F5180))</f>
        <v>225473343.73387647</v>
      </c>
      <c r="D280" s="24" cm="1">
        <f t="array" ref="D280">SUMPRODUCT(('TREASURY FILE'!B179:B5180=$D$4)*('TREASURY FILE'!D179:D5180="TURNOVER")*('TREASURY FILE'!A179:A5180=A280)*('TREASURY FILE'!F179:F5180))</f>
        <v>202979.93152420412</v>
      </c>
      <c r="E280" s="31">
        <f t="shared" si="14"/>
        <v>225676323.66540068</v>
      </c>
      <c r="G280" s="24" cm="1">
        <f t="array" ref="G280">SUMPRODUCT(('TREASURY FILE'!B179:B5180=$G$4)*('TREASURY FILE'!D179:D5180="INCOME")*('TREASURY FILE'!A179:A5180=A280)*('TREASURY FILE'!F179:F5180))</f>
        <v>0</v>
      </c>
      <c r="H280" s="24" cm="1">
        <f t="array" ref="H280">SUMPRODUCT(('TREASURY FILE'!B179:B5180=$H$4)*('TREASURY FILE'!D179:D5180="INCOME")*('TREASURY FILE'!A179:A5180=A280)*('TREASURY FILE'!F179:F5180))</f>
        <v>62206.88786639391</v>
      </c>
      <c r="I280" s="24" cm="1">
        <f t="array" ref="I280">SUMPRODUCT(('TREASURY FILE'!D188:D5180=$I$4)*('TREASURY FILE'!F188:F5180="INCOME")*('TREASURY FILE'!C188:C5180=C280)*('TREASURY FILE'!H188:H5180))</f>
        <v>0</v>
      </c>
      <c r="J280" s="31">
        <f t="shared" si="15"/>
        <v>62206.88786639391</v>
      </c>
      <c r="K280" s="33">
        <f t="shared" si="16"/>
        <v>2.7564649607915908E-4</v>
      </c>
    </row>
    <row r="281" spans="1:11" x14ac:dyDescent="0.3">
      <c r="A281" s="30">
        <v>45934</v>
      </c>
      <c r="B281" s="24" cm="1">
        <f t="array" ref="B281">SUMPRODUCT(('TREASURY FILE'!B180:B5181=$B$4)*('TREASURY FILE'!D180:D5181="TURNOVER")*('TREASURY FILE'!A180:A5181=A281)*('TREASURY FILE'!F180:F5181))</f>
        <v>0</v>
      </c>
      <c r="C281" s="24" cm="1">
        <f t="array" ref="C281">SUMPRODUCT(('TREASURY FILE'!B180:B5181=$C$4)*('TREASURY FILE'!D180:D5181="TURNOVER")*('TREASURY FILE'!A180:A5181=A281)*('TREASURY FILE'!F180:F5181))</f>
        <v>202010251.79588339</v>
      </c>
      <c r="D281" s="24" cm="1">
        <f t="array" ref="D281">SUMPRODUCT(('TREASURY FILE'!B180:B5181=$D$4)*('TREASURY FILE'!D180:D5181="TURNOVER")*('TREASURY FILE'!A180:A5181=A281)*('TREASURY FILE'!F180:F5181))</f>
        <v>91971.830295418593</v>
      </c>
      <c r="E281" s="31">
        <f t="shared" si="14"/>
        <v>202102223.6261788</v>
      </c>
      <c r="G281" s="24" cm="1">
        <f t="array" ref="G281">SUMPRODUCT(('TREASURY FILE'!B180:B5181=$G$4)*('TREASURY FILE'!D180:D5181="INCOME")*('TREASURY FILE'!A180:A5181=A281)*('TREASURY FILE'!F180:F5181))</f>
        <v>0</v>
      </c>
      <c r="H281" s="24" cm="1">
        <f t="array" ref="H281">SUMPRODUCT(('TREASURY FILE'!B180:B5181=$H$4)*('TREASURY FILE'!D180:D5181="INCOME")*('TREASURY FILE'!A180:A5181=A281)*('TREASURY FILE'!F180:F5181))</f>
        <v>55391.009584746716</v>
      </c>
      <c r="I281" s="24" cm="1">
        <f t="array" ref="I281">SUMPRODUCT(('TREASURY FILE'!D189:D5181=$I$4)*('TREASURY FILE'!F189:F5181="INCOME")*('TREASURY FILE'!C189:C5181=C281)*('TREASURY FILE'!H189:H5181))</f>
        <v>0</v>
      </c>
      <c r="J281" s="31">
        <f t="shared" si="15"/>
        <v>55391.009584746716</v>
      </c>
      <c r="K281" s="33">
        <f t="shared" si="16"/>
        <v>2.7407422140590334E-4</v>
      </c>
    </row>
    <row r="282" spans="1:11" x14ac:dyDescent="0.3">
      <c r="A282" s="30">
        <v>45935</v>
      </c>
      <c r="B282" s="24" cm="1">
        <f t="array" ref="B282">SUMPRODUCT(('TREASURY FILE'!B181:B5182=$B$4)*('TREASURY FILE'!D181:D5182="TURNOVER")*('TREASURY FILE'!A181:A5182=A282)*('TREASURY FILE'!F181:F5182))</f>
        <v>0</v>
      </c>
      <c r="C282" s="24" cm="1">
        <f t="array" ref="C282">SUMPRODUCT(('TREASURY FILE'!B181:B5182=$C$4)*('TREASURY FILE'!D181:D5182="TURNOVER")*('TREASURY FILE'!A181:A5182=A282)*('TREASURY FILE'!F181:F5182))</f>
        <v>180104877.90783697</v>
      </c>
      <c r="D282" s="24" cm="1">
        <f t="array" ref="D282">SUMPRODUCT(('TREASURY FILE'!B181:B5182=$D$4)*('TREASURY FILE'!D181:D5182="TURNOVER")*('TREASURY FILE'!A181:A5182=A282)*('TREASURY FILE'!F181:F5182))</f>
        <v>96371.421755071031</v>
      </c>
      <c r="E282" s="31">
        <f t="shared" si="14"/>
        <v>180201249.32959205</v>
      </c>
      <c r="G282" s="24" cm="1">
        <f t="array" ref="G282">SUMPRODUCT(('TREASURY FILE'!B181:B5182=$G$4)*('TREASURY FILE'!D181:D5182="INCOME")*('TREASURY FILE'!A181:A5182=A282)*('TREASURY FILE'!F181:F5182))</f>
        <v>0</v>
      </c>
      <c r="H282" s="24" cm="1">
        <f t="array" ref="H282">SUMPRODUCT(('TREASURY FILE'!B181:B5182=$H$4)*('TREASURY FILE'!D181:D5182="INCOME")*('TREASURY FILE'!A181:A5182=A282)*('TREASURY FILE'!F181:F5182))</f>
        <v>48220.034341635837</v>
      </c>
      <c r="I282" s="24" cm="1">
        <f t="array" ref="I282">SUMPRODUCT(('TREASURY FILE'!D190:D5182=$I$4)*('TREASURY FILE'!F190:F5182="INCOME")*('TREASURY FILE'!C190:C5182=C282)*('TREASURY FILE'!H190:H5182))</f>
        <v>0</v>
      </c>
      <c r="J282" s="31">
        <f t="shared" si="15"/>
        <v>48220.034341635837</v>
      </c>
      <c r="K282" s="33">
        <f t="shared" si="16"/>
        <v>2.6758990029775176E-4</v>
      </c>
    </row>
    <row r="283" spans="1:11" x14ac:dyDescent="0.3">
      <c r="A283" s="30">
        <v>45936</v>
      </c>
      <c r="B283" s="24" cm="1">
        <f t="array" ref="B283">SUMPRODUCT(('TREASURY FILE'!B182:B5183=$B$4)*('TREASURY FILE'!D182:D5183="TURNOVER")*('TREASURY FILE'!A182:A5183=A283)*('TREASURY FILE'!F182:F5183))</f>
        <v>0</v>
      </c>
      <c r="C283" s="24" cm="1">
        <f t="array" ref="C283">SUMPRODUCT(('TREASURY FILE'!B182:B5183=$C$4)*('TREASURY FILE'!D182:D5183="TURNOVER")*('TREASURY FILE'!A182:A5183=A283)*('TREASURY FILE'!F182:F5183))</f>
        <v>215349360.86913884</v>
      </c>
      <c r="D283" s="24" cm="1">
        <f t="array" ref="D283">SUMPRODUCT(('TREASURY FILE'!B182:B5183=$D$4)*('TREASURY FILE'!D182:D5183="TURNOVER")*('TREASURY FILE'!A182:A5183=A283)*('TREASURY FILE'!F182:F5183))</f>
        <v>23315.182499746345</v>
      </c>
      <c r="E283" s="31">
        <f t="shared" si="14"/>
        <v>215372676.05163857</v>
      </c>
      <c r="G283" s="24" cm="1">
        <f t="array" ref="G283">SUMPRODUCT(('TREASURY FILE'!B182:B5183=$G$4)*('TREASURY FILE'!D182:D5183="INCOME")*('TREASURY FILE'!A182:A5183=A283)*('TREASURY FILE'!F182:F5183))</f>
        <v>0</v>
      </c>
      <c r="H283" s="24" cm="1">
        <f t="array" ref="H283">SUMPRODUCT(('TREASURY FILE'!B182:B5183=$H$4)*('TREASURY FILE'!D182:D5183="INCOME")*('TREASURY FILE'!A182:A5183=A283)*('TREASURY FILE'!F182:F5183))</f>
        <v>57121.584410575066</v>
      </c>
      <c r="I283" s="24" cm="1">
        <f t="array" ref="I283">SUMPRODUCT(('TREASURY FILE'!D191:D5183=$I$4)*('TREASURY FILE'!F191:F5183="INCOME")*('TREASURY FILE'!C191:C5183=C283)*('TREASURY FILE'!H191:H5183))</f>
        <v>0</v>
      </c>
      <c r="J283" s="31">
        <f t="shared" si="15"/>
        <v>57121.584410575066</v>
      </c>
      <c r="K283" s="33">
        <f t="shared" si="16"/>
        <v>2.6522205814482881E-4</v>
      </c>
    </row>
    <row r="284" spans="1:11" x14ac:dyDescent="0.3">
      <c r="A284" s="30">
        <v>45937</v>
      </c>
      <c r="B284" s="24" cm="1">
        <f t="array" ref="B284">SUMPRODUCT(('TREASURY FILE'!B183:B5184=$B$4)*('TREASURY FILE'!D183:D5184="TURNOVER")*('TREASURY FILE'!A183:A5184=A284)*('TREASURY FILE'!F183:F5184))</f>
        <v>0</v>
      </c>
      <c r="C284" s="24" cm="1">
        <f t="array" ref="C284">SUMPRODUCT(('TREASURY FILE'!B183:B5184=$C$4)*('TREASURY FILE'!D183:D5184="TURNOVER")*('TREASURY FILE'!A183:A5184=A284)*('TREASURY FILE'!F183:F5184))</f>
        <v>240238591.48072085</v>
      </c>
      <c r="D284" s="24" cm="1">
        <f t="array" ref="D284">SUMPRODUCT(('TREASURY FILE'!B183:B5184=$D$4)*('TREASURY FILE'!D183:D5184="TURNOVER")*('TREASURY FILE'!A183:A5184=A284)*('TREASURY FILE'!F183:F5184))</f>
        <v>46606.033158837192</v>
      </c>
      <c r="E284" s="31">
        <f t="shared" si="14"/>
        <v>240285197.51387969</v>
      </c>
      <c r="G284" s="24" cm="1">
        <f t="array" ref="G284">SUMPRODUCT(('TREASURY FILE'!B183:B5184=$G$4)*('TREASURY FILE'!D183:D5184="INCOME")*('TREASURY FILE'!A183:A5184=A284)*('TREASURY FILE'!F183:F5184))</f>
        <v>0</v>
      </c>
      <c r="H284" s="24" cm="1">
        <f t="array" ref="H284">SUMPRODUCT(('TREASURY FILE'!B183:B5184=$H$4)*('TREASURY FILE'!D183:D5184="INCOME")*('TREASURY FILE'!A183:A5184=A284)*('TREASURY FILE'!F183:F5184))</f>
        <v>63565.272777779297</v>
      </c>
      <c r="I284" s="24" cm="1">
        <f t="array" ref="I284">SUMPRODUCT(('TREASURY FILE'!D192:D5184=$I$4)*('TREASURY FILE'!F192:F5184="INCOME")*('TREASURY FILE'!C192:C5184=C284)*('TREASURY FILE'!H192:H5184))</f>
        <v>0</v>
      </c>
      <c r="J284" s="31">
        <f t="shared" si="15"/>
        <v>63565.272777779297</v>
      </c>
      <c r="K284" s="33">
        <f t="shared" si="16"/>
        <v>2.6454094316029413E-4</v>
      </c>
    </row>
    <row r="285" spans="1:11" x14ac:dyDescent="0.3">
      <c r="A285" s="30">
        <v>45938</v>
      </c>
      <c r="B285" s="24" cm="1">
        <f t="array" ref="B285">SUMPRODUCT(('TREASURY FILE'!B184:B5185=$B$4)*('TREASURY FILE'!D184:D5185="TURNOVER")*('TREASURY FILE'!A184:A5185=A285)*('TREASURY FILE'!F184:F5185))</f>
        <v>0</v>
      </c>
      <c r="C285" s="24" cm="1">
        <f t="array" ref="C285">SUMPRODUCT(('TREASURY FILE'!B184:B5185=$C$4)*('TREASURY FILE'!D184:D5185="TURNOVER")*('TREASURY FILE'!A184:A5185=A285)*('TREASURY FILE'!F184:F5185))</f>
        <v>178442339.20038718</v>
      </c>
      <c r="D285" s="24" cm="1">
        <f t="array" ref="D285">SUMPRODUCT(('TREASURY FILE'!B184:B5185=$D$4)*('TREASURY FILE'!D184:D5185="TURNOVER")*('TREASURY FILE'!A184:A5185=A285)*('TREASURY FILE'!F184:F5185))</f>
        <v>135</v>
      </c>
      <c r="E285" s="31">
        <f t="shared" si="14"/>
        <v>178442474.20038718</v>
      </c>
      <c r="G285" s="24" cm="1">
        <f t="array" ref="G285">SUMPRODUCT(('TREASURY FILE'!B184:B5185=$G$4)*('TREASURY FILE'!D184:D5185="INCOME")*('TREASURY FILE'!A184:A5185=A285)*('TREASURY FILE'!F184:F5185))</f>
        <v>0</v>
      </c>
      <c r="H285" s="24" cm="1">
        <f t="array" ref="H285">SUMPRODUCT(('TREASURY FILE'!B184:B5185=$H$4)*('TREASURY FILE'!D184:D5185="INCOME")*('TREASURY FILE'!A184:A5185=A285)*('TREASURY FILE'!F184:F5185))</f>
        <v>44731.610645983063</v>
      </c>
      <c r="I285" s="24" cm="1">
        <f t="array" ref="I285">SUMPRODUCT(('TREASURY FILE'!D193:D5185=$I$4)*('TREASURY FILE'!F193:F5185="INCOME")*('TREASURY FILE'!C193:C5185=C285)*('TREASURY FILE'!H193:H5185))</f>
        <v>0</v>
      </c>
      <c r="J285" s="31">
        <f t="shared" si="15"/>
        <v>44731.610645983063</v>
      </c>
      <c r="K285" s="33">
        <f t="shared" si="16"/>
        <v>2.5067804538369263E-4</v>
      </c>
    </row>
    <row r="286" spans="1:11" x14ac:dyDescent="0.3">
      <c r="A286" s="30">
        <v>45939</v>
      </c>
      <c r="B286" s="24" cm="1">
        <f t="array" ref="B286">SUMPRODUCT(('TREASURY FILE'!B185:B5186=$B$4)*('TREASURY FILE'!D185:D5186="TURNOVER")*('TREASURY FILE'!A185:A5186=A286)*('TREASURY FILE'!F185:F5186))</f>
        <v>0</v>
      </c>
      <c r="C286" s="24" cm="1">
        <f t="array" ref="C286">SUMPRODUCT(('TREASURY FILE'!B185:B5186=$C$4)*('TREASURY FILE'!D185:D5186="TURNOVER")*('TREASURY FILE'!A185:A5186=A286)*('TREASURY FILE'!F185:F5186))</f>
        <v>162646449.55257231</v>
      </c>
      <c r="D286" s="24" cm="1">
        <f t="array" ref="D286">SUMPRODUCT(('TREASURY FILE'!B185:B5186=$D$4)*('TREASURY FILE'!D185:D5186="TURNOVER")*('TREASURY FILE'!A185:A5186=A286)*('TREASURY FILE'!F185:F5186))</f>
        <v>0</v>
      </c>
      <c r="E286" s="31">
        <f t="shared" si="14"/>
        <v>162646449.55257231</v>
      </c>
      <c r="G286" s="24" cm="1">
        <f t="array" ref="G286">SUMPRODUCT(('TREASURY FILE'!B185:B5186=$G$4)*('TREASURY FILE'!D185:D5186="INCOME")*('TREASURY FILE'!A185:A5186=A286)*('TREASURY FILE'!F185:F5186))</f>
        <v>0</v>
      </c>
      <c r="H286" s="24" cm="1">
        <f t="array" ref="H286">SUMPRODUCT(('TREASURY FILE'!B185:B5186=$H$4)*('TREASURY FILE'!D185:D5186="INCOME")*('TREASURY FILE'!A185:A5186=A286)*('TREASURY FILE'!F185:F5186))</f>
        <v>40824.778545475485</v>
      </c>
      <c r="I286" s="24" cm="1">
        <f t="array" ref="I286">SUMPRODUCT(('TREASURY FILE'!D194:D5186=$I$4)*('TREASURY FILE'!F194:F5186="INCOME")*('TREASURY FILE'!C194:C5186=C286)*('TREASURY FILE'!H194:H5186))</f>
        <v>0</v>
      </c>
      <c r="J286" s="31">
        <f t="shared" si="15"/>
        <v>40824.778545475485</v>
      </c>
      <c r="K286" s="33">
        <f t="shared" si="16"/>
        <v>2.5100319532200837E-4</v>
      </c>
    </row>
    <row r="287" spans="1:11" x14ac:dyDescent="0.3">
      <c r="A287" s="30">
        <v>45940</v>
      </c>
      <c r="B287" s="24" cm="1">
        <f t="array" ref="B287">SUMPRODUCT(('TREASURY FILE'!B186:B5187=$B$4)*('TREASURY FILE'!D186:D5187="TURNOVER")*('TREASURY FILE'!A186:A5187=A287)*('TREASURY FILE'!F186:F5187))</f>
        <v>0</v>
      </c>
      <c r="C287" s="24" cm="1">
        <f t="array" ref="C287">SUMPRODUCT(('TREASURY FILE'!B186:B5187=$C$4)*('TREASURY FILE'!D186:D5187="TURNOVER")*('TREASURY FILE'!A186:A5187=A287)*('TREASURY FILE'!F186:F5187))</f>
        <v>263454204.35564578</v>
      </c>
      <c r="D287" s="24" cm="1">
        <f t="array" ref="D287">SUMPRODUCT(('TREASURY FILE'!B186:B5187=$D$4)*('TREASURY FILE'!D186:D5187="TURNOVER")*('TREASURY FILE'!A186:A5187=A287)*('TREASURY FILE'!F186:F5187))</f>
        <v>105209.81864375639</v>
      </c>
      <c r="E287" s="31">
        <f t="shared" si="14"/>
        <v>263559414.17428952</v>
      </c>
      <c r="G287" s="24" cm="1">
        <f t="array" ref="G287">SUMPRODUCT(('TREASURY FILE'!B186:B5187=$G$4)*('TREASURY FILE'!D186:D5187="INCOME")*('TREASURY FILE'!A186:A5187=A287)*('TREASURY FILE'!F186:F5187))</f>
        <v>0</v>
      </c>
      <c r="H287" s="24" cm="1">
        <f t="array" ref="H287">SUMPRODUCT(('TREASURY FILE'!B186:B5187=$H$4)*('TREASURY FILE'!D186:D5187="INCOME")*('TREASURY FILE'!A186:A5187=A287)*('TREASURY FILE'!F186:F5187))</f>
        <v>72760.213886812417</v>
      </c>
      <c r="I287" s="24" cm="1">
        <f t="array" ref="I287">SUMPRODUCT(('TREASURY FILE'!D195:D5187=$I$4)*('TREASURY FILE'!F195:F5187="INCOME")*('TREASURY FILE'!C195:C5187=C287)*('TREASURY FILE'!H195:H5187))</f>
        <v>0</v>
      </c>
      <c r="J287" s="31">
        <f t="shared" si="15"/>
        <v>72760.213886812417</v>
      </c>
      <c r="K287" s="33">
        <f t="shared" si="16"/>
        <v>2.7606759604760972E-4</v>
      </c>
    </row>
    <row r="288" spans="1:11" x14ac:dyDescent="0.3">
      <c r="A288" s="30">
        <v>45941</v>
      </c>
      <c r="B288" s="24" cm="1">
        <f t="array" ref="B288">SUMPRODUCT(('TREASURY FILE'!B187:B5188=$B$4)*('TREASURY FILE'!D187:D5188="TURNOVER")*('TREASURY FILE'!A187:A5188=A288)*('TREASURY FILE'!F187:F5188))</f>
        <v>0</v>
      </c>
      <c r="C288" s="24" cm="1">
        <f t="array" ref="C288">SUMPRODUCT(('TREASURY FILE'!B187:B5188=$C$4)*('TREASURY FILE'!D187:D5188="TURNOVER")*('TREASURY FILE'!A187:A5188=A288)*('TREASURY FILE'!F187:F5188))</f>
        <v>612413607.21688437</v>
      </c>
      <c r="D288" s="24" cm="1">
        <f t="array" ref="D288">SUMPRODUCT(('TREASURY FILE'!B187:B5188=$D$4)*('TREASURY FILE'!D187:D5188="TURNOVER")*('TREASURY FILE'!A187:A5188=A288)*('TREASURY FILE'!F187:F5188))</f>
        <v>1088757.6514565262</v>
      </c>
      <c r="E288" s="31">
        <f t="shared" si="14"/>
        <v>613502364.86834085</v>
      </c>
      <c r="G288" s="24" cm="1">
        <f t="array" ref="G288">SUMPRODUCT(('TREASURY FILE'!B187:B5188=$G$4)*('TREASURY FILE'!D187:D5188="INCOME")*('TREASURY FILE'!A187:A5188=A288)*('TREASURY FILE'!F187:F5188))</f>
        <v>0</v>
      </c>
      <c r="H288" s="24" cm="1">
        <f t="array" ref="H288">SUMPRODUCT(('TREASURY FILE'!B187:B5188=$H$4)*('TREASURY FILE'!D187:D5188="INCOME")*('TREASURY FILE'!A187:A5188=A288)*('TREASURY FILE'!F187:F5188))</f>
        <v>175648.13975709479</v>
      </c>
      <c r="I288" s="24" cm="1">
        <f t="array" ref="I288">SUMPRODUCT(('TREASURY FILE'!D196:D5188=$I$4)*('TREASURY FILE'!F196:F5188="INCOME")*('TREASURY FILE'!C196:C5188=C288)*('TREASURY FILE'!H196:H5188))</f>
        <v>0</v>
      </c>
      <c r="J288" s="31">
        <f t="shared" si="15"/>
        <v>175648.13975709479</v>
      </c>
      <c r="K288" s="33">
        <f t="shared" si="16"/>
        <v>2.8630393265849808E-4</v>
      </c>
    </row>
    <row r="289" spans="1:11" x14ac:dyDescent="0.3">
      <c r="A289" s="30">
        <v>45942</v>
      </c>
      <c r="B289" s="24" cm="1">
        <f t="array" ref="B289">SUMPRODUCT(('TREASURY FILE'!B188:B5189=$B$4)*('TREASURY FILE'!D188:D5189="TURNOVER")*('TREASURY FILE'!A188:A5189=A289)*('TREASURY FILE'!F188:F5189))</f>
        <v>0</v>
      </c>
      <c r="C289" s="24" cm="1">
        <f t="array" ref="C289">SUMPRODUCT(('TREASURY FILE'!B188:B5189=$C$4)*('TREASURY FILE'!D188:D5189="TURNOVER")*('TREASURY FILE'!A188:A5189=A289)*('TREASURY FILE'!F188:F5189))</f>
        <v>360496682.01716077</v>
      </c>
      <c r="D289" s="24" cm="1">
        <f t="array" ref="D289">SUMPRODUCT(('TREASURY FILE'!B188:B5189=$D$4)*('TREASURY FILE'!D188:D5189="TURNOVER")*('TREASURY FILE'!A188:A5189=A289)*('TREASURY FILE'!F188:F5189))</f>
        <v>359735.59730879235</v>
      </c>
      <c r="E289" s="31">
        <f t="shared" si="14"/>
        <v>360856417.61446959</v>
      </c>
      <c r="G289" s="24" cm="1">
        <f t="array" ref="G289">SUMPRODUCT(('TREASURY FILE'!B188:B5189=$G$4)*('TREASURY FILE'!D188:D5189="INCOME")*('TREASURY FILE'!A188:A5189=A289)*('TREASURY FILE'!F188:F5189))</f>
        <v>0</v>
      </c>
      <c r="H289" s="24" cm="1">
        <f t="array" ref="H289">SUMPRODUCT(('TREASURY FILE'!B188:B5189=$H$4)*('TREASURY FILE'!D188:D5189="INCOME")*('TREASURY FILE'!A188:A5189=A289)*('TREASURY FILE'!F188:F5189))</f>
        <v>98762.392238824788</v>
      </c>
      <c r="I289" s="24" cm="1">
        <f t="array" ref="I289">SUMPRODUCT(('TREASURY FILE'!D197:D5189=$I$4)*('TREASURY FILE'!F197:F5189="INCOME")*('TREASURY FILE'!C197:C5189=C289)*('TREASURY FILE'!H197:H5189))</f>
        <v>0</v>
      </c>
      <c r="J289" s="31">
        <f t="shared" si="15"/>
        <v>98762.392238824788</v>
      </c>
      <c r="K289" s="33">
        <f t="shared" si="16"/>
        <v>2.7368888959137253E-4</v>
      </c>
    </row>
    <row r="290" spans="1:11" x14ac:dyDescent="0.3">
      <c r="A290" s="30">
        <v>45943</v>
      </c>
      <c r="B290" s="24" cm="1">
        <f t="array" ref="B290">SUMPRODUCT(('TREASURY FILE'!B189:B5190=$B$4)*('TREASURY FILE'!D189:D5190="TURNOVER")*('TREASURY FILE'!A189:A5190=A290)*('TREASURY FILE'!F189:F5190))</f>
        <v>0</v>
      </c>
      <c r="C290" s="24" cm="1">
        <f t="array" ref="C290">SUMPRODUCT(('TREASURY FILE'!B189:B5190=$C$4)*('TREASURY FILE'!D189:D5190="TURNOVER")*('TREASURY FILE'!A189:A5190=A290)*('TREASURY FILE'!F189:F5190))</f>
        <v>424223091.13774955</v>
      </c>
      <c r="D290" s="24" cm="1">
        <f t="array" ref="D290">SUMPRODUCT(('TREASURY FILE'!B189:B5190=$D$4)*('TREASURY FILE'!D189:D5190="TURNOVER")*('TREASURY FILE'!A189:A5190=A290)*('TREASURY FILE'!F189:F5190))</f>
        <v>196000.06184512528</v>
      </c>
      <c r="E290" s="31">
        <f t="shared" si="14"/>
        <v>424419091.19959468</v>
      </c>
      <c r="G290" s="24" cm="1">
        <f t="array" ref="G290">SUMPRODUCT(('TREASURY FILE'!B189:B5190=$G$4)*('TREASURY FILE'!D189:D5190="INCOME")*('TREASURY FILE'!A189:A5190=A290)*('TREASURY FILE'!F189:F5190))</f>
        <v>0</v>
      </c>
      <c r="H290" s="24" cm="1">
        <f t="array" ref="H290">SUMPRODUCT(('TREASURY FILE'!B189:B5190=$H$4)*('TREASURY FILE'!D189:D5190="INCOME")*('TREASURY FILE'!A189:A5190=A290)*('TREASURY FILE'!F189:F5190))</f>
        <v>114837.95775574562</v>
      </c>
      <c r="I290" s="24" cm="1">
        <f t="array" ref="I290">SUMPRODUCT(('TREASURY FILE'!D198:D5190=$I$4)*('TREASURY FILE'!F198:F5190="INCOME")*('TREASURY FILE'!C198:C5190=C290)*('TREASURY FILE'!H198:H5190))</f>
        <v>0</v>
      </c>
      <c r="J290" s="31">
        <f t="shared" si="15"/>
        <v>114837.95775574562</v>
      </c>
      <c r="K290" s="33">
        <f t="shared" si="16"/>
        <v>2.7057679575902944E-4</v>
      </c>
    </row>
    <row r="291" spans="1:11" x14ac:dyDescent="0.3">
      <c r="A291" s="30">
        <v>45944</v>
      </c>
      <c r="B291" s="24" cm="1">
        <f t="array" ref="B291">SUMPRODUCT(('TREASURY FILE'!B190:B5191=$B$4)*('TREASURY FILE'!D190:D5191="TURNOVER")*('TREASURY FILE'!A190:A5191=A291)*('TREASURY FILE'!F190:F5191))</f>
        <v>0</v>
      </c>
      <c r="C291" s="24" cm="1">
        <f t="array" ref="C291">SUMPRODUCT(('TREASURY FILE'!B190:B5191=$C$4)*('TREASURY FILE'!D190:D5191="TURNOVER")*('TREASURY FILE'!A190:A5191=A291)*('TREASURY FILE'!F190:F5191))</f>
        <v>341507068.58778507</v>
      </c>
      <c r="D291" s="24" cm="1">
        <f t="array" ref="D291">SUMPRODUCT(('TREASURY FILE'!B190:B5191=$D$4)*('TREASURY FILE'!D190:D5191="TURNOVER")*('TREASURY FILE'!A190:A5191=A291)*('TREASURY FILE'!F190:F5191))</f>
        <v>432374.8245587094</v>
      </c>
      <c r="E291" s="31">
        <f t="shared" si="14"/>
        <v>341939443.4123438</v>
      </c>
      <c r="G291" s="24" cm="1">
        <f t="array" ref="G291">SUMPRODUCT(('TREASURY FILE'!B190:B5191=$G$4)*('TREASURY FILE'!D190:D5191="INCOME")*('TREASURY FILE'!A190:A5191=A291)*('TREASURY FILE'!F190:F5191))</f>
        <v>0</v>
      </c>
      <c r="H291" s="24" cm="1">
        <f t="array" ref="H291">SUMPRODUCT(('TREASURY FILE'!B190:B5191=$H$4)*('TREASURY FILE'!D190:D5191="INCOME")*('TREASURY FILE'!A190:A5191=A291)*('TREASURY FILE'!F190:F5191))</f>
        <v>90853.957161480677</v>
      </c>
      <c r="I291" s="24" cm="1">
        <f t="array" ref="I291">SUMPRODUCT(('TREASURY FILE'!D199:D5191=$I$4)*('TREASURY FILE'!F199:F5191="INCOME")*('TREASURY FILE'!C199:C5191=C291)*('TREASURY FILE'!H199:H5191))</f>
        <v>0</v>
      </c>
      <c r="J291" s="31">
        <f t="shared" si="15"/>
        <v>90853.957161480677</v>
      </c>
      <c r="K291" s="33">
        <f t="shared" si="16"/>
        <v>2.6570189228482819E-4</v>
      </c>
    </row>
    <row r="292" spans="1:11" x14ac:dyDescent="0.3">
      <c r="A292" s="30">
        <v>45945</v>
      </c>
      <c r="B292" s="24" cm="1">
        <f t="array" ref="B292">SUMPRODUCT(('TREASURY FILE'!B191:B5192=$B$4)*('TREASURY FILE'!D191:D5192="TURNOVER")*('TREASURY FILE'!A191:A5192=A292)*('TREASURY FILE'!F191:F5192))</f>
        <v>0</v>
      </c>
      <c r="C292" s="24" cm="1">
        <f t="array" ref="C292">SUMPRODUCT(('TREASURY FILE'!B191:B5192=$C$4)*('TREASURY FILE'!D191:D5192="TURNOVER")*('TREASURY FILE'!A191:A5192=A292)*('TREASURY FILE'!F191:F5192))</f>
        <v>236822694.50806895</v>
      </c>
      <c r="D292" s="24" cm="1">
        <f t="array" ref="D292">SUMPRODUCT(('TREASURY FILE'!B191:B5192=$D$4)*('TREASURY FILE'!D191:D5192="TURNOVER")*('TREASURY FILE'!A191:A5192=A292)*('TREASURY FILE'!F191:F5192))</f>
        <v>65812.750741083</v>
      </c>
      <c r="E292" s="31">
        <f t="shared" si="14"/>
        <v>236888507.25881004</v>
      </c>
      <c r="G292" s="24" cm="1">
        <f t="array" ref="G292">SUMPRODUCT(('TREASURY FILE'!B191:B5192=$G$4)*('TREASURY FILE'!D191:D5192="INCOME")*('TREASURY FILE'!A191:A5192=A292)*('TREASURY FILE'!F191:F5192))</f>
        <v>0</v>
      </c>
      <c r="H292" s="24" cm="1">
        <f t="array" ref="H292">SUMPRODUCT(('TREASURY FILE'!B191:B5192=$H$4)*('TREASURY FILE'!D191:D5192="INCOME")*('TREASURY FILE'!A191:A5192=A292)*('TREASURY FILE'!F191:F5192))</f>
        <v>61185.031816140116</v>
      </c>
      <c r="I292" s="24" cm="1">
        <f t="array" ref="I292">SUMPRODUCT(('TREASURY FILE'!D200:D5192=$I$4)*('TREASURY FILE'!F200:F5192="INCOME")*('TREASURY FILE'!C200:C5192=C292)*('TREASURY FILE'!H200:H5192))</f>
        <v>0</v>
      </c>
      <c r="J292" s="31">
        <f t="shared" si="15"/>
        <v>61185.031816140116</v>
      </c>
      <c r="K292" s="33">
        <f t="shared" si="16"/>
        <v>2.5828619768916461E-4</v>
      </c>
    </row>
    <row r="293" spans="1:11" x14ac:dyDescent="0.3">
      <c r="A293" s="30">
        <v>45946</v>
      </c>
      <c r="B293" s="24" cm="1">
        <f t="array" ref="B293">SUMPRODUCT(('TREASURY FILE'!B192:B5193=$B$4)*('TREASURY FILE'!D192:D5193="TURNOVER")*('TREASURY FILE'!A192:A5193=A293)*('TREASURY FILE'!F192:F5193))</f>
        <v>0</v>
      </c>
      <c r="C293" s="24" cm="1">
        <f t="array" ref="C293">SUMPRODUCT(('TREASURY FILE'!B192:B5193=$C$4)*('TREASURY FILE'!D192:D5193="TURNOVER")*('TREASURY FILE'!A192:A5193=A293)*('TREASURY FILE'!F192:F5193))</f>
        <v>248131862.37952498</v>
      </c>
      <c r="D293" s="24" cm="1">
        <f t="array" ref="D293">SUMPRODUCT(('TREASURY FILE'!B192:B5193=$D$4)*('TREASURY FILE'!D192:D5193="TURNOVER")*('TREASURY FILE'!A192:A5193=A293)*('TREASURY FILE'!F192:F5193))</f>
        <v>130760.19623274804</v>
      </c>
      <c r="E293" s="31">
        <f t="shared" si="14"/>
        <v>248262622.57575771</v>
      </c>
      <c r="G293" s="24" cm="1">
        <f t="array" ref="G293">SUMPRODUCT(('TREASURY FILE'!B192:B5193=$G$4)*('TREASURY FILE'!D192:D5193="INCOME")*('TREASURY FILE'!A192:A5193=A293)*('TREASURY FILE'!F192:F5193))</f>
        <v>0</v>
      </c>
      <c r="H293" s="24" cm="1">
        <f t="array" ref="H293">SUMPRODUCT(('TREASURY FILE'!B192:B5193=$H$4)*('TREASURY FILE'!D192:D5193="INCOME")*('TREASURY FILE'!A192:A5193=A293)*('TREASURY FILE'!F192:F5193))</f>
        <v>66009.170550060458</v>
      </c>
      <c r="I293" s="24" cm="1">
        <f t="array" ref="I293">SUMPRODUCT(('TREASURY FILE'!D201:D5193=$I$4)*('TREASURY FILE'!F201:F5193="INCOME")*('TREASURY FILE'!C201:C5193=C293)*('TREASURY FILE'!H201:H5193))</f>
        <v>0</v>
      </c>
      <c r="J293" s="31">
        <f t="shared" si="15"/>
        <v>66009.170550060458</v>
      </c>
      <c r="K293" s="33">
        <f t="shared" si="16"/>
        <v>2.6588444875513898E-4</v>
      </c>
    </row>
    <row r="294" spans="1:11" x14ac:dyDescent="0.3">
      <c r="A294" s="30">
        <v>45947</v>
      </c>
      <c r="B294" s="24" cm="1">
        <f t="array" ref="B294">SUMPRODUCT(('TREASURY FILE'!B193:B5194=$B$4)*('TREASURY FILE'!D193:D5194="TURNOVER")*('TREASURY FILE'!A193:A5194=A294)*('TREASURY FILE'!F193:F5194))</f>
        <v>0</v>
      </c>
      <c r="C294" s="24" cm="1">
        <f t="array" ref="C294">SUMPRODUCT(('TREASURY FILE'!B193:B5194=$C$4)*('TREASURY FILE'!D193:D5194="TURNOVER")*('TREASURY FILE'!A193:A5194=A294)*('TREASURY FILE'!F193:F5194))</f>
        <v>280092937.43238115</v>
      </c>
      <c r="D294" s="24" cm="1">
        <f t="array" ref="D294">SUMPRODUCT(('TREASURY FILE'!B193:B5194=$D$4)*('TREASURY FILE'!D193:D5194="TURNOVER")*('TREASURY FILE'!A193:A5194=A294)*('TREASURY FILE'!F193:F5194))</f>
        <v>210115.02866160817</v>
      </c>
      <c r="E294" s="31">
        <f t="shared" si="14"/>
        <v>280303052.46104276</v>
      </c>
      <c r="G294" s="24" cm="1">
        <f t="array" ref="G294">SUMPRODUCT(('TREASURY FILE'!B193:B5194=$G$4)*('TREASURY FILE'!D193:D5194="INCOME")*('TREASURY FILE'!A193:A5194=A294)*('TREASURY FILE'!F193:F5194))</f>
        <v>0</v>
      </c>
      <c r="H294" s="24" cm="1">
        <f t="array" ref="H294">SUMPRODUCT(('TREASURY FILE'!B193:B5194=$H$4)*('TREASURY FILE'!D193:D5194="INCOME")*('TREASURY FILE'!A193:A5194=A294)*('TREASURY FILE'!F193:F5194))</f>
        <v>76683.166657215173</v>
      </c>
      <c r="I294" s="24" cm="1">
        <f t="array" ref="I294">SUMPRODUCT(('TREASURY FILE'!D202:D5194=$I$4)*('TREASURY FILE'!F202:F5194="INCOME")*('TREASURY FILE'!C202:C5194=C294)*('TREASURY FILE'!H202:H5194))</f>
        <v>0</v>
      </c>
      <c r="J294" s="31">
        <f t="shared" si="15"/>
        <v>76683.166657215173</v>
      </c>
      <c r="K294" s="33">
        <f t="shared" si="16"/>
        <v>2.735723567187082E-4</v>
      </c>
    </row>
    <row r="295" spans="1:11" x14ac:dyDescent="0.3">
      <c r="A295" s="30">
        <v>45948</v>
      </c>
      <c r="B295" s="24" cm="1">
        <f t="array" ref="B295">SUMPRODUCT(('TREASURY FILE'!B194:B5195=$B$4)*('TREASURY FILE'!D194:D5195="TURNOVER")*('TREASURY FILE'!A194:A5195=A295)*('TREASURY FILE'!F194:F5195))</f>
        <v>0</v>
      </c>
      <c r="C295" s="24" cm="1">
        <f t="array" ref="C295">SUMPRODUCT(('TREASURY FILE'!B194:B5195=$C$4)*('TREASURY FILE'!D194:D5195="TURNOVER")*('TREASURY FILE'!A194:A5195=A295)*('TREASURY FILE'!F194:F5195))</f>
        <v>148591049.37277365</v>
      </c>
      <c r="D295" s="24" cm="1">
        <f t="array" ref="D295">SUMPRODUCT(('TREASURY FILE'!B194:B5195=$D$4)*('TREASURY FILE'!D194:D5195="TURNOVER")*('TREASURY FILE'!A194:A5195=A295)*('TREASURY FILE'!F194:F5195))</f>
        <v>4.1133192017966973</v>
      </c>
      <c r="E295" s="31">
        <f t="shared" si="14"/>
        <v>148591053.48609284</v>
      </c>
      <c r="G295" s="24" cm="1">
        <f t="array" ref="G295">SUMPRODUCT(('TREASURY FILE'!B194:B5195=$G$4)*('TREASURY FILE'!D194:D5195="INCOME")*('TREASURY FILE'!A194:A5195=A295)*('TREASURY FILE'!F194:F5195))</f>
        <v>0</v>
      </c>
      <c r="H295" s="24" cm="1">
        <f t="array" ref="H295">SUMPRODUCT(('TREASURY FILE'!B194:B5195=$H$4)*('TREASURY FILE'!D194:D5195="INCOME")*('TREASURY FILE'!A194:A5195=A295)*('TREASURY FILE'!F194:F5195))</f>
        <v>39118.446228086286</v>
      </c>
      <c r="I295" s="24" cm="1">
        <f t="array" ref="I295">SUMPRODUCT(('TREASURY FILE'!D203:D5195=$I$4)*('TREASURY FILE'!F203:F5195="INCOME")*('TREASURY FILE'!C203:C5195=C295)*('TREASURY FILE'!H203:H5195))</f>
        <v>0</v>
      </c>
      <c r="J295" s="31">
        <f t="shared" si="15"/>
        <v>39118.446228086286</v>
      </c>
      <c r="K295" s="33">
        <f t="shared" si="16"/>
        <v>2.6326245968602357E-4</v>
      </c>
    </row>
    <row r="296" spans="1:11" x14ac:dyDescent="0.3">
      <c r="A296" s="30">
        <v>45949</v>
      </c>
      <c r="B296" s="24" cm="1">
        <f t="array" ref="B296">SUMPRODUCT(('TREASURY FILE'!B195:B5196=$B$4)*('TREASURY FILE'!D195:D5196="TURNOVER")*('TREASURY FILE'!A195:A5196=A296)*('TREASURY FILE'!F195:F5196))</f>
        <v>0</v>
      </c>
      <c r="C296" s="24" cm="1">
        <f t="array" ref="C296">SUMPRODUCT(('TREASURY FILE'!B195:B5196=$C$4)*('TREASURY FILE'!D195:D5196="TURNOVER")*('TREASURY FILE'!A195:A5196=A296)*('TREASURY FILE'!F195:F5196))</f>
        <v>181876058.10288781</v>
      </c>
      <c r="D296" s="24" cm="1">
        <f t="array" ref="D296">SUMPRODUCT(('TREASURY FILE'!B195:B5196=$D$4)*('TREASURY FILE'!D195:D5196="TURNOVER")*('TREASURY FILE'!A195:A5196=A296)*('TREASURY FILE'!F195:F5196))</f>
        <v>23330.828778974905</v>
      </c>
      <c r="E296" s="31">
        <f t="shared" si="14"/>
        <v>181899388.93166679</v>
      </c>
      <c r="G296" s="24" cm="1">
        <f t="array" ref="G296">SUMPRODUCT(('TREASURY FILE'!B195:B5196=$G$4)*('TREASURY FILE'!D195:D5196="INCOME")*('TREASURY FILE'!A195:A5196=A296)*('TREASURY FILE'!F195:F5196))</f>
        <v>0</v>
      </c>
      <c r="H296" s="24" cm="1">
        <f t="array" ref="H296">SUMPRODUCT(('TREASURY FILE'!B195:B5196=$H$4)*('TREASURY FILE'!D195:D5196="INCOME")*('TREASURY FILE'!A195:A5196=A296)*('TREASURY FILE'!F195:F5196))</f>
        <v>49476.968944220644</v>
      </c>
      <c r="I296" s="24" cm="1">
        <f t="array" ref="I296">SUMPRODUCT(('TREASURY FILE'!D204:D5196=$I$4)*('TREASURY FILE'!F204:F5196="INCOME")*('TREASURY FILE'!C204:C5196=C296)*('TREASURY FILE'!H204:H5196))</f>
        <v>0</v>
      </c>
      <c r="J296" s="31">
        <f t="shared" si="15"/>
        <v>49476.968944220644</v>
      </c>
      <c r="K296" s="33">
        <f t="shared" si="16"/>
        <v>2.7200184252849468E-4</v>
      </c>
    </row>
    <row r="297" spans="1:11" x14ac:dyDescent="0.3">
      <c r="A297" s="30">
        <v>45950</v>
      </c>
      <c r="B297" s="24" cm="1">
        <f t="array" ref="B297">SUMPRODUCT(('TREASURY FILE'!B196:B5197=$B$4)*('TREASURY FILE'!D196:D5197="TURNOVER")*('TREASURY FILE'!A196:A5197=A297)*('TREASURY FILE'!F196:F5197))</f>
        <v>0</v>
      </c>
      <c r="C297" s="24" cm="1">
        <f t="array" ref="C297">SUMPRODUCT(('TREASURY FILE'!B196:B5197=$C$4)*('TREASURY FILE'!D196:D5197="TURNOVER")*('TREASURY FILE'!A196:A5197=A297)*('TREASURY FILE'!F196:F5197))</f>
        <v>263993066.85015452</v>
      </c>
      <c r="D297" s="24" cm="1">
        <f t="array" ref="D297">SUMPRODUCT(('TREASURY FILE'!B196:B5197=$D$4)*('TREASURY FILE'!D196:D5197="TURNOVER")*('TREASURY FILE'!A196:A5197=A297)*('TREASURY FILE'!F196:F5197))</f>
        <v>0</v>
      </c>
      <c r="E297" s="31">
        <f t="shared" si="14"/>
        <v>263993066.85015452</v>
      </c>
      <c r="G297" s="24" cm="1">
        <f t="array" ref="G297">SUMPRODUCT(('TREASURY FILE'!B196:B5197=$G$4)*('TREASURY FILE'!D196:D5197="INCOME")*('TREASURY FILE'!A196:A5197=A297)*('TREASURY FILE'!F196:F5197))</f>
        <v>0</v>
      </c>
      <c r="H297" s="24" cm="1">
        <f t="array" ref="H297">SUMPRODUCT(('TREASURY FILE'!B196:B5197=$H$4)*('TREASURY FILE'!D196:D5197="INCOME")*('TREASURY FILE'!A196:A5197=A297)*('TREASURY FILE'!F196:F5197))</f>
        <v>73067.384820810097</v>
      </c>
      <c r="I297" s="24" cm="1">
        <f t="array" ref="I297">SUMPRODUCT(('TREASURY FILE'!D205:D5197=$I$4)*('TREASURY FILE'!F205:F5197="INCOME")*('TREASURY FILE'!C205:C5197=C297)*('TREASURY FILE'!H205:H5197))</f>
        <v>0</v>
      </c>
      <c r="J297" s="31">
        <f t="shared" si="15"/>
        <v>73067.384820810097</v>
      </c>
      <c r="K297" s="33">
        <f t="shared" si="16"/>
        <v>2.7677766576454822E-4</v>
      </c>
    </row>
    <row r="298" spans="1:11" x14ac:dyDescent="0.3">
      <c r="A298" s="30">
        <v>45951</v>
      </c>
      <c r="B298" s="24" cm="1">
        <f t="array" ref="B298">SUMPRODUCT(('TREASURY FILE'!B197:B5198=$B$4)*('TREASURY FILE'!D197:D5198="TURNOVER")*('TREASURY FILE'!A197:A5198=A298)*('TREASURY FILE'!F197:F5198))</f>
        <v>0</v>
      </c>
      <c r="C298" s="24" cm="1">
        <f t="array" ref="C298">SUMPRODUCT(('TREASURY FILE'!B197:B5198=$C$4)*('TREASURY FILE'!D197:D5198="TURNOVER")*('TREASURY FILE'!A197:A5198=A298)*('TREASURY FILE'!F197:F5198))</f>
        <v>234991687.65055707</v>
      </c>
      <c r="D298" s="24" cm="1">
        <f t="array" ref="D298">SUMPRODUCT(('TREASURY FILE'!B197:B5198=$D$4)*('TREASURY FILE'!D197:D5198="TURNOVER")*('TREASURY FILE'!A197:A5198=A298)*('TREASURY FILE'!F197:F5198))</f>
        <v>81273.428780620234</v>
      </c>
      <c r="E298" s="31">
        <f t="shared" si="14"/>
        <v>235072961.07933769</v>
      </c>
      <c r="G298" s="24" cm="1">
        <f t="array" ref="G298">SUMPRODUCT(('TREASURY FILE'!B197:B5198=$G$4)*('TREASURY FILE'!D197:D5198="INCOME")*('TREASURY FILE'!A197:A5198=A298)*('TREASURY FILE'!F197:F5198))</f>
        <v>0</v>
      </c>
      <c r="H298" s="24" cm="1">
        <f t="array" ref="H298">SUMPRODUCT(('TREASURY FILE'!B197:B5198=$H$4)*('TREASURY FILE'!D197:D5198="INCOME")*('TREASURY FILE'!A197:A5198=A298)*('TREASURY FILE'!F197:F5198))</f>
        <v>64195.580566212091</v>
      </c>
      <c r="I298" s="24" cm="1">
        <f t="array" ref="I298">SUMPRODUCT(('TREASURY FILE'!D206:D5198=$I$4)*('TREASURY FILE'!F206:F5198="INCOME")*('TREASURY FILE'!C206:C5198=C298)*('TREASURY FILE'!H206:H5198))</f>
        <v>0</v>
      </c>
      <c r="J298" s="31">
        <f t="shared" si="15"/>
        <v>64195.580566212091</v>
      </c>
      <c r="K298" s="33">
        <f t="shared" si="16"/>
        <v>2.7308789692977886E-4</v>
      </c>
    </row>
    <row r="299" spans="1:11" x14ac:dyDescent="0.3">
      <c r="A299" s="30">
        <v>45952</v>
      </c>
      <c r="B299" s="24" cm="1">
        <f t="array" ref="B299">SUMPRODUCT(('TREASURY FILE'!B198:B5199=$B$4)*('TREASURY FILE'!D198:D5199="TURNOVER")*('TREASURY FILE'!A198:A5199=A299)*('TREASURY FILE'!F198:F5199))</f>
        <v>0</v>
      </c>
      <c r="C299" s="24" cm="1">
        <f t="array" ref="C299">SUMPRODUCT(('TREASURY FILE'!B198:B5199=$C$4)*('TREASURY FILE'!D198:D5199="TURNOVER")*('TREASURY FILE'!A198:A5199=A299)*('TREASURY FILE'!F198:F5199))</f>
        <v>158118258.42216915</v>
      </c>
      <c r="D299" s="24" cm="1">
        <f t="array" ref="D299">SUMPRODUCT(('TREASURY FILE'!B198:B5199=$D$4)*('TREASURY FILE'!D198:D5199="TURNOVER")*('TREASURY FILE'!A198:A5199=A299)*('TREASURY FILE'!F198:F5199))</f>
        <v>14014.513306587618</v>
      </c>
      <c r="E299" s="31">
        <f t="shared" si="14"/>
        <v>158132272.93547574</v>
      </c>
      <c r="G299" s="24" cm="1">
        <f t="array" ref="G299">SUMPRODUCT(('TREASURY FILE'!B198:B5199=$G$4)*('TREASURY FILE'!D198:D5199="INCOME")*('TREASURY FILE'!A198:A5199=A299)*('TREASURY FILE'!F198:F5199))</f>
        <v>0</v>
      </c>
      <c r="H299" s="24" cm="1">
        <f t="array" ref="H299">SUMPRODUCT(('TREASURY FILE'!B198:B5199=$H$4)*('TREASURY FILE'!D198:D5199="INCOME")*('TREASURY FILE'!A198:A5199=A299)*('TREASURY FILE'!F198:F5199))</f>
        <v>43934.480138372055</v>
      </c>
      <c r="I299" s="24" cm="1">
        <f t="array" ref="I299">SUMPRODUCT(('TREASURY FILE'!D207:D5199=$I$4)*('TREASURY FILE'!F207:F5199="INCOME")*('TREASURY FILE'!C207:C5199=C299)*('TREASURY FILE'!H207:H5199))</f>
        <v>0</v>
      </c>
      <c r="J299" s="31">
        <f t="shared" si="15"/>
        <v>43934.480138372055</v>
      </c>
      <c r="K299" s="33">
        <f t="shared" si="16"/>
        <v>2.7783373578838693E-4</v>
      </c>
    </row>
    <row r="300" spans="1:11" x14ac:dyDescent="0.3">
      <c r="A300" s="30">
        <v>45953</v>
      </c>
      <c r="B300" s="24" cm="1">
        <f t="array" ref="B300">SUMPRODUCT(('TREASURY FILE'!B199:B5200=$B$4)*('TREASURY FILE'!D199:D5200="TURNOVER")*('TREASURY FILE'!A199:A5200=A300)*('TREASURY FILE'!F199:F5200))</f>
        <v>0</v>
      </c>
      <c r="C300" s="24" cm="1">
        <f t="array" ref="C300">SUMPRODUCT(('TREASURY FILE'!B199:B5200=$C$4)*('TREASURY FILE'!D199:D5200="TURNOVER")*('TREASURY FILE'!A199:A5200=A300)*('TREASURY FILE'!F199:F5200))</f>
        <v>143452086.59971642</v>
      </c>
      <c r="D300" s="24" cm="1">
        <f t="array" ref="D300">SUMPRODUCT(('TREASURY FILE'!B199:B5200=$D$4)*('TREASURY FILE'!D199:D5200="TURNOVER")*('TREASURY FILE'!A199:A5200=A300)*('TREASURY FILE'!F199:F5200))</f>
        <v>4696.7893761191654</v>
      </c>
      <c r="E300" s="31">
        <f t="shared" si="14"/>
        <v>143456783.38909253</v>
      </c>
      <c r="G300" s="24" cm="1">
        <f t="array" ref="G300">SUMPRODUCT(('TREASURY FILE'!B199:B5200=$G$4)*('TREASURY FILE'!D199:D5200="INCOME")*('TREASURY FILE'!A199:A5200=A300)*('TREASURY FILE'!F199:F5200))</f>
        <v>0</v>
      </c>
      <c r="H300" s="24" cm="1">
        <f t="array" ref="H300">SUMPRODUCT(('TREASURY FILE'!B199:B5200=$H$4)*('TREASURY FILE'!D199:D5200="INCOME")*('TREASURY FILE'!A199:A5200=A300)*('TREASURY FILE'!F199:F5200))</f>
        <v>39588.173571595056</v>
      </c>
      <c r="I300" s="24" cm="1">
        <f t="array" ref="I300">SUMPRODUCT(('TREASURY FILE'!D208:D5200=$I$4)*('TREASURY FILE'!F208:F5200="INCOME")*('TREASURY FILE'!C208:C5200=C300)*('TREASURY FILE'!H208:H5200))</f>
        <v>0</v>
      </c>
      <c r="J300" s="31">
        <f t="shared" si="15"/>
        <v>39588.173571595056</v>
      </c>
      <c r="K300" s="33">
        <f t="shared" si="16"/>
        <v>2.7595888208521669E-4</v>
      </c>
    </row>
    <row r="301" spans="1:11" x14ac:dyDescent="0.3">
      <c r="A301" s="30">
        <v>45954</v>
      </c>
      <c r="B301" s="24" cm="1">
        <f t="array" ref="B301">SUMPRODUCT(('TREASURY FILE'!B200:B5201=$B$4)*('TREASURY FILE'!D200:D5201="TURNOVER")*('TREASURY FILE'!A200:A5201=A301)*('TREASURY FILE'!F200:F5201))</f>
        <v>0</v>
      </c>
      <c r="C301" s="24" cm="1">
        <f t="array" ref="C301">SUMPRODUCT(('TREASURY FILE'!B200:B5201=$C$4)*('TREASURY FILE'!D200:D5201="TURNOVER")*('TREASURY FILE'!A200:A5201=A301)*('TREASURY FILE'!F200:F5201))</f>
        <v>170937804.36404246</v>
      </c>
      <c r="D301" s="24" cm="1">
        <f t="array" ref="D301">SUMPRODUCT(('TREASURY FILE'!B200:B5201=$D$4)*('TREASURY FILE'!D200:D5201="TURNOVER")*('TREASURY FILE'!A200:A5201=A301)*('TREASURY FILE'!F200:F5201))</f>
        <v>0</v>
      </c>
      <c r="E301" s="31">
        <f t="shared" si="14"/>
        <v>170937804.36404246</v>
      </c>
      <c r="G301" s="24" cm="1">
        <f t="array" ref="G301">SUMPRODUCT(('TREASURY FILE'!B200:B5201=$G$4)*('TREASURY FILE'!D200:D5201="INCOME")*('TREASURY FILE'!A200:A5201=A301)*('TREASURY FILE'!F200:F5201))</f>
        <v>0</v>
      </c>
      <c r="H301" s="24" cm="1">
        <f t="array" ref="H301">SUMPRODUCT(('TREASURY FILE'!B200:B5201=$H$4)*('TREASURY FILE'!D200:D5201="INCOME")*('TREASURY FILE'!A200:A5201=A301)*('TREASURY FILE'!F200:F5201))</f>
        <v>47683.312392388711</v>
      </c>
      <c r="I301" s="24" cm="1">
        <f t="array" ref="I301">SUMPRODUCT(('TREASURY FILE'!D209:D5201=$I$4)*('TREASURY FILE'!F209:F5201="INCOME")*('TREASURY FILE'!C209:C5201=C301)*('TREASURY FILE'!H209:H5201))</f>
        <v>0</v>
      </c>
      <c r="J301" s="31">
        <f t="shared" si="15"/>
        <v>47683.312392388711</v>
      </c>
      <c r="K301" s="33">
        <f t="shared" si="16"/>
        <v>2.7895123942763776E-4</v>
      </c>
    </row>
    <row r="302" spans="1:11" x14ac:dyDescent="0.3">
      <c r="A302" s="30">
        <v>45955</v>
      </c>
      <c r="B302" s="24" cm="1">
        <f t="array" ref="B302">SUMPRODUCT(('TREASURY FILE'!B201:B5202=$B$4)*('TREASURY FILE'!D201:D5202="TURNOVER")*('TREASURY FILE'!A201:A5202=A302)*('TREASURY FILE'!F201:F5202))</f>
        <v>0</v>
      </c>
      <c r="C302" s="24" cm="1">
        <f t="array" ref="C302">SUMPRODUCT(('TREASURY FILE'!B201:B5202=$C$4)*('TREASURY FILE'!D201:D5202="TURNOVER")*('TREASURY FILE'!A201:A5202=A302)*('TREASURY FILE'!F201:F5202))</f>
        <v>173881592.35062754</v>
      </c>
      <c r="D302" s="24" cm="1">
        <f t="array" ref="D302">SUMPRODUCT(('TREASURY FILE'!B201:B5202=$D$4)*('TREASURY FILE'!D201:D5202="TURNOVER")*('TREASURY FILE'!A201:A5202=A302)*('TREASURY FILE'!F201:F5202))</f>
        <v>0</v>
      </c>
      <c r="E302" s="31">
        <f t="shared" si="14"/>
        <v>173881592.35062754</v>
      </c>
      <c r="G302" s="24" cm="1">
        <f t="array" ref="G302">SUMPRODUCT(('TREASURY FILE'!B201:B5202=$G$4)*('TREASURY FILE'!D201:D5202="INCOME")*('TREASURY FILE'!A201:A5202=A302)*('TREASURY FILE'!F201:F5202))</f>
        <v>0</v>
      </c>
      <c r="H302" s="24" cm="1">
        <f t="array" ref="H302">SUMPRODUCT(('TREASURY FILE'!B201:B5202=$H$4)*('TREASURY FILE'!D201:D5202="INCOME")*('TREASURY FILE'!A201:A5202=A302)*('TREASURY FILE'!F201:F5202))</f>
        <v>47020.28827838396</v>
      </c>
      <c r="I302" s="24" cm="1">
        <f t="array" ref="I302">SUMPRODUCT(('TREASURY FILE'!D210:D5202=$I$4)*('TREASURY FILE'!F210:F5202="INCOME")*('TREASURY FILE'!C210:C5202=C302)*('TREASURY FILE'!H210:H5202))</f>
        <v>0</v>
      </c>
      <c r="J302" s="31">
        <f t="shared" si="15"/>
        <v>47020.28827838396</v>
      </c>
      <c r="K302" s="33">
        <f t="shared" si="16"/>
        <v>2.7041556062799805E-4</v>
      </c>
    </row>
    <row r="303" spans="1:11" x14ac:dyDescent="0.3">
      <c r="A303" s="30">
        <v>45956</v>
      </c>
      <c r="B303" s="24" cm="1">
        <f t="array" ref="B303">SUMPRODUCT(('TREASURY FILE'!B202:B5203=$B$4)*('TREASURY FILE'!D202:D5203="TURNOVER")*('TREASURY FILE'!A202:A5203=A303)*('TREASURY FILE'!F202:F5203))</f>
        <v>0</v>
      </c>
      <c r="C303" s="24" cm="1">
        <f t="array" ref="C303">SUMPRODUCT(('TREASURY FILE'!B202:B5203=$C$4)*('TREASURY FILE'!D202:D5203="TURNOVER")*('TREASURY FILE'!A202:A5203=A303)*('TREASURY FILE'!F202:F5203))</f>
        <v>196498485.78718781</v>
      </c>
      <c r="D303" s="24" cm="1">
        <f t="array" ref="D303">SUMPRODUCT(('TREASURY FILE'!B202:B5203=$D$4)*('TREASURY FILE'!D202:D5203="TURNOVER")*('TREASURY FILE'!A202:A5203=A303)*('TREASURY FILE'!F202:F5203))</f>
        <v>0</v>
      </c>
      <c r="E303" s="31">
        <f t="shared" si="14"/>
        <v>196498485.78718781</v>
      </c>
      <c r="G303" s="24" cm="1">
        <f t="array" ref="G303">SUMPRODUCT(('TREASURY FILE'!B202:B5203=$G$4)*('TREASURY FILE'!D202:D5203="INCOME")*('TREASURY FILE'!A202:A5203=A303)*('TREASURY FILE'!F202:F5203))</f>
        <v>0</v>
      </c>
      <c r="H303" s="24" cm="1">
        <f t="array" ref="H303">SUMPRODUCT(('TREASURY FILE'!B202:B5203=$H$4)*('TREASURY FILE'!D202:D5203="INCOME")*('TREASURY FILE'!A202:A5203=A303)*('TREASURY FILE'!F202:F5203))</f>
        <v>55020.755707586883</v>
      </c>
      <c r="I303" s="24" cm="1">
        <f t="array" ref="I303">SUMPRODUCT(('TREASURY FILE'!D211:D5203=$I$4)*('TREASURY FILE'!F211:F5203="INCOME")*('TREASURY FILE'!C211:C5203=C303)*('TREASURY FILE'!H211:H5203))</f>
        <v>0</v>
      </c>
      <c r="J303" s="31">
        <f t="shared" si="15"/>
        <v>55020.755707586883</v>
      </c>
      <c r="K303" s="33">
        <f t="shared" si="16"/>
        <v>2.8000600354333301E-4</v>
      </c>
    </row>
    <row r="304" spans="1:11" x14ac:dyDescent="0.3">
      <c r="A304" s="30">
        <v>45957</v>
      </c>
      <c r="B304" s="24" cm="1">
        <f t="array" ref="B304">SUMPRODUCT(('TREASURY FILE'!B203:B5204=$B$4)*('TREASURY FILE'!D203:D5204="TURNOVER")*('TREASURY FILE'!A203:A5204=A304)*('TREASURY FILE'!F203:F5204))</f>
        <v>0</v>
      </c>
      <c r="C304" s="24" cm="1">
        <f t="array" ref="C304">SUMPRODUCT(('TREASURY FILE'!B203:B5204=$C$4)*('TREASURY FILE'!D203:D5204="TURNOVER")*('TREASURY FILE'!A203:A5204=A304)*('TREASURY FILE'!F203:F5204))</f>
        <v>281629240.13231999</v>
      </c>
      <c r="D304" s="24" cm="1">
        <f t="array" ref="D304">SUMPRODUCT(('TREASURY FILE'!B203:B5204=$D$4)*('TREASURY FILE'!D203:D5204="TURNOVER")*('TREASURY FILE'!A203:A5204=A304)*('TREASURY FILE'!F203:F5204))</f>
        <v>37992.672807395196</v>
      </c>
      <c r="E304" s="31">
        <f t="shared" si="14"/>
        <v>281667232.80512738</v>
      </c>
      <c r="G304" s="24" cm="1">
        <f t="array" ref="G304">SUMPRODUCT(('TREASURY FILE'!B203:B5204=$G$4)*('TREASURY FILE'!D203:D5204="INCOME")*('TREASURY FILE'!A203:A5204=A304)*('TREASURY FILE'!F203:F5204))</f>
        <v>0</v>
      </c>
      <c r="H304" s="24" cm="1">
        <f t="array" ref="H304">SUMPRODUCT(('TREASURY FILE'!B203:B5204=$H$4)*('TREASURY FILE'!D203:D5204="INCOME")*('TREASURY FILE'!A203:A5204=A304)*('TREASURY FILE'!F203:F5204))</f>
        <v>78859.623884316999</v>
      </c>
      <c r="I304" s="24" cm="1">
        <f t="array" ref="I304">SUMPRODUCT(('TREASURY FILE'!D212:D5204=$I$4)*('TREASURY FILE'!F212:F5204="INCOME")*('TREASURY FILE'!C212:C5204=C304)*('TREASURY FILE'!H212:H5204))</f>
        <v>0</v>
      </c>
      <c r="J304" s="31">
        <f t="shared" si="15"/>
        <v>78859.623884316999</v>
      </c>
      <c r="K304" s="33">
        <f t="shared" si="16"/>
        <v>2.799744333018543E-4</v>
      </c>
    </row>
    <row r="305" spans="1:11" x14ac:dyDescent="0.3">
      <c r="A305" s="30">
        <v>45958</v>
      </c>
      <c r="B305" s="24" cm="1">
        <f t="array" ref="B305">SUMPRODUCT(('TREASURY FILE'!B204:B5205=$B$4)*('TREASURY FILE'!D204:D5205="TURNOVER")*('TREASURY FILE'!A204:A5205=A305)*('TREASURY FILE'!F204:F5205))</f>
        <v>0</v>
      </c>
      <c r="C305" s="24" cm="1">
        <f t="array" ref="C305">SUMPRODUCT(('TREASURY FILE'!B204:B5205=$C$4)*('TREASURY FILE'!D204:D5205="TURNOVER")*('TREASURY FILE'!A204:A5205=A305)*('TREASURY FILE'!F204:F5205))</f>
        <v>230373891.13571483</v>
      </c>
      <c r="D305" s="24" cm="1">
        <f t="array" ref="D305">SUMPRODUCT(('TREASURY FILE'!B204:B5205=$D$4)*('TREASURY FILE'!D204:D5205="TURNOVER")*('TREASURY FILE'!A204:A5205=A305)*('TREASURY FILE'!F204:F5205))</f>
        <v>0</v>
      </c>
      <c r="E305" s="31">
        <f t="shared" si="14"/>
        <v>230373891.13571483</v>
      </c>
      <c r="G305" s="24" cm="1">
        <f t="array" ref="G305">SUMPRODUCT(('TREASURY FILE'!B204:B5205=$G$4)*('TREASURY FILE'!D204:D5205="INCOME")*('TREASURY FILE'!A204:A5205=A305)*('TREASURY FILE'!F204:F5205))</f>
        <v>0</v>
      </c>
      <c r="H305" s="24" cm="1">
        <f t="array" ref="H305">SUMPRODUCT(('TREASURY FILE'!B204:B5205=$H$4)*('TREASURY FILE'!D204:D5205="INCOME")*('TREASURY FILE'!A204:A5205=A305)*('TREASURY FILE'!F204:F5205))</f>
        <v>62351.041930654916</v>
      </c>
      <c r="I305" s="24" cm="1">
        <f t="array" ref="I305">SUMPRODUCT(('TREASURY FILE'!D213:D5205=$I$4)*('TREASURY FILE'!F213:F5205="INCOME")*('TREASURY FILE'!C213:C5205=C305)*('TREASURY FILE'!H213:H5205))</f>
        <v>0</v>
      </c>
      <c r="J305" s="31">
        <f t="shared" si="15"/>
        <v>62351.041930654916</v>
      </c>
      <c r="K305" s="33">
        <f t="shared" si="16"/>
        <v>2.7065151186739077E-4</v>
      </c>
    </row>
    <row r="306" spans="1:11" x14ac:dyDescent="0.3">
      <c r="A306" s="30">
        <v>45959</v>
      </c>
      <c r="B306" s="24" cm="1">
        <f t="array" ref="B306">SUMPRODUCT(('TREASURY FILE'!B205:B5206=$B$4)*('TREASURY FILE'!D205:D5206="TURNOVER")*('TREASURY FILE'!A205:A5206=A306)*('TREASURY FILE'!F205:F5206))</f>
        <v>0</v>
      </c>
      <c r="C306" s="24" cm="1">
        <f t="array" ref="C306">SUMPRODUCT(('TREASURY FILE'!B205:B5206=$C$4)*('TREASURY FILE'!D205:D5206="TURNOVER")*('TREASURY FILE'!A205:A5206=A306)*('TREASURY FILE'!F205:F5206))</f>
        <v>206333748.05944568</v>
      </c>
      <c r="D306" s="24" cm="1">
        <f t="array" ref="D306">SUMPRODUCT(('TREASURY FILE'!B205:B5206=$D$4)*('TREASURY FILE'!D205:D5206="TURNOVER")*('TREASURY FILE'!A205:A5206=A306)*('TREASURY FILE'!F205:F5206))</f>
        <v>42915.164162569337</v>
      </c>
      <c r="E306" s="31">
        <f t="shared" si="14"/>
        <v>206376663.22360826</v>
      </c>
      <c r="G306" s="24" cm="1">
        <f t="array" ref="G306">SUMPRODUCT(('TREASURY FILE'!B205:B5206=$G$4)*('TREASURY FILE'!D205:D5206="INCOME")*('TREASURY FILE'!A205:A5206=A306)*('TREASURY FILE'!F205:F5206))</f>
        <v>0</v>
      </c>
      <c r="H306" s="24" cm="1">
        <f t="array" ref="H306">SUMPRODUCT(('TREASURY FILE'!B205:B5206=$H$4)*('TREASURY FILE'!D205:D5206="INCOME")*('TREASURY FILE'!A205:A5206=A306)*('TREASURY FILE'!F205:F5206))</f>
        <v>56500.789768639501</v>
      </c>
      <c r="I306" s="24" cm="1">
        <f t="array" ref="I306">SUMPRODUCT(('TREASURY FILE'!D214:D5206=$I$4)*('TREASURY FILE'!F214:F5206="INCOME")*('TREASURY FILE'!C214:C5206=C306)*('TREASURY FILE'!H214:H5206))</f>
        <v>0</v>
      </c>
      <c r="J306" s="31">
        <f t="shared" si="15"/>
        <v>56500.789768639501</v>
      </c>
      <c r="K306" s="33">
        <f t="shared" si="16"/>
        <v>2.7377509106938671E-4</v>
      </c>
    </row>
    <row r="307" spans="1:11" x14ac:dyDescent="0.3">
      <c r="A307" s="30">
        <v>45960</v>
      </c>
      <c r="B307" s="24" cm="1">
        <f t="array" ref="B307">SUMPRODUCT(('TREASURY FILE'!B206:B5207=$B$4)*('TREASURY FILE'!D206:D5207="TURNOVER")*('TREASURY FILE'!A206:A5207=A307)*('TREASURY FILE'!F206:F5207))</f>
        <v>0</v>
      </c>
      <c r="C307" s="24" cm="1">
        <f t="array" ref="C307">SUMPRODUCT(('TREASURY FILE'!B206:B5207=$C$4)*('TREASURY FILE'!D206:D5207="TURNOVER")*('TREASURY FILE'!A206:A5207=A307)*('TREASURY FILE'!F206:F5207))</f>
        <v>189456625.2257691</v>
      </c>
      <c r="D307" s="24" cm="1">
        <f t="array" ref="D307">SUMPRODUCT(('TREASURY FILE'!B206:B5207=$D$4)*('TREASURY FILE'!D206:D5207="TURNOVER")*('TREASURY FILE'!A206:A5207=A307)*('TREASURY FILE'!F206:F5207))</f>
        <v>150911.37442447807</v>
      </c>
      <c r="E307" s="31">
        <f t="shared" si="14"/>
        <v>189607536.60019359</v>
      </c>
      <c r="G307" s="24" cm="1">
        <f t="array" ref="G307">SUMPRODUCT(('TREASURY FILE'!B206:B5207=$G$4)*('TREASURY FILE'!D206:D5207="INCOME")*('TREASURY FILE'!A206:A5207=A307)*('TREASURY FILE'!F206:F5207))</f>
        <v>0</v>
      </c>
      <c r="H307" s="24" cm="1">
        <f t="array" ref="H307">SUMPRODUCT(('TREASURY FILE'!B206:B5207=$H$4)*('TREASURY FILE'!D206:D5207="INCOME")*('TREASURY FILE'!A206:A5207=A307)*('TREASURY FILE'!F206:F5207))</f>
        <v>51042.130853239505</v>
      </c>
      <c r="I307" s="24" cm="1">
        <f t="array" ref="I307">SUMPRODUCT(('TREASURY FILE'!D215:D5207=$I$4)*('TREASURY FILE'!F215:F5207="INCOME")*('TREASURY FILE'!C215:C5207=C307)*('TREASURY FILE'!H215:H5207))</f>
        <v>0</v>
      </c>
      <c r="J307" s="31">
        <f t="shared" si="15"/>
        <v>51042.130853239505</v>
      </c>
      <c r="K307" s="33">
        <f t="shared" si="16"/>
        <v>2.6919885025913779E-4</v>
      </c>
    </row>
    <row r="308" spans="1:11" x14ac:dyDescent="0.3">
      <c r="A308" s="30">
        <v>45961</v>
      </c>
      <c r="B308" s="24" cm="1">
        <f t="array" ref="B308">SUMPRODUCT(('TREASURY FILE'!B207:B5208=$B$4)*('TREASURY FILE'!D207:D5208="TURNOVER")*('TREASURY FILE'!A207:A5208=A308)*('TREASURY FILE'!F207:F5208))</f>
        <v>0</v>
      </c>
      <c r="C308" s="24" cm="1">
        <f t="array" ref="C308">SUMPRODUCT(('TREASURY FILE'!B207:B5208=$C$4)*('TREASURY FILE'!D207:D5208="TURNOVER")*('TREASURY FILE'!A207:A5208=A308)*('TREASURY FILE'!F207:F5208))</f>
        <v>184435035.78641725</v>
      </c>
      <c r="D308" s="24" cm="1">
        <f t="array" ref="D308">SUMPRODUCT(('TREASURY FILE'!B207:B5208=$D$4)*('TREASURY FILE'!D207:D5208="TURNOVER")*('TREASURY FILE'!A207:A5208=A308)*('TREASURY FILE'!F207:F5208))</f>
        <v>49143.716630697971</v>
      </c>
      <c r="E308" s="31">
        <f t="shared" si="14"/>
        <v>184484179.50304794</v>
      </c>
      <c r="G308" s="24" cm="1">
        <f t="array" ref="G308">SUMPRODUCT(('TREASURY FILE'!B207:B5208=$G$4)*('TREASURY FILE'!D207:D5208="INCOME")*('TREASURY FILE'!A207:A5208=A308)*('TREASURY FILE'!F207:F5208))</f>
        <v>0</v>
      </c>
      <c r="H308" s="24" cm="1">
        <f t="array" ref="H308">SUMPRODUCT(('TREASURY FILE'!B207:B5208=$H$4)*('TREASURY FILE'!D207:D5208="INCOME")*('TREASURY FILE'!A207:A5208=A308)*('TREASURY FILE'!F207:F5208))</f>
        <v>49021.317258856652</v>
      </c>
      <c r="I308" s="24" cm="1">
        <f t="array" ref="I308">SUMPRODUCT(('TREASURY FILE'!D216:D5208=$I$4)*('TREASURY FILE'!F216:F5208="INCOME")*('TREASURY FILE'!C216:C5208=C308)*('TREASURY FILE'!H216:H5208))</f>
        <v>0</v>
      </c>
      <c r="J308" s="31">
        <f t="shared" si="15"/>
        <v>49021.317258856652</v>
      </c>
      <c r="K308" s="33">
        <f t="shared" si="16"/>
        <v>2.6572098155466361E-4</v>
      </c>
    </row>
    <row r="309" spans="1:11" x14ac:dyDescent="0.3">
      <c r="A309" s="30">
        <v>45962</v>
      </c>
      <c r="B309" s="24" cm="1">
        <f t="array" ref="B309">SUMPRODUCT(('TREASURY FILE'!B208:B5209=$B$4)*('TREASURY FILE'!D208:D5209="TURNOVER")*('TREASURY FILE'!A208:A5209=A309)*('TREASURY FILE'!F208:F5209))</f>
        <v>0</v>
      </c>
      <c r="C309" s="24" cm="1">
        <f t="array" ref="C309">SUMPRODUCT(('TREASURY FILE'!B208:B5209=$C$4)*('TREASURY FILE'!D208:D5209="TURNOVER")*('TREASURY FILE'!A208:A5209=A309)*('TREASURY FILE'!F208:F5209))</f>
        <v>205461573.01482713</v>
      </c>
      <c r="D309" s="24" cm="1">
        <f t="array" ref="D309">SUMPRODUCT(('TREASURY FILE'!B208:B5209=$D$4)*('TREASURY FILE'!D208:D5209="TURNOVER")*('TREASURY FILE'!A208:A5209=A309)*('TREASURY FILE'!F208:F5209))</f>
        <v>0</v>
      </c>
      <c r="E309" s="31">
        <f t="shared" si="14"/>
        <v>205461573.01482713</v>
      </c>
      <c r="G309" s="24" cm="1">
        <f t="array" ref="G309">SUMPRODUCT(('TREASURY FILE'!B208:B5209=$G$4)*('TREASURY FILE'!D208:D5209="INCOME")*('TREASURY FILE'!A208:A5209=A309)*('TREASURY FILE'!F208:F5209))</f>
        <v>0</v>
      </c>
      <c r="H309" s="24" cm="1">
        <f t="array" ref="H309">SUMPRODUCT(('TREASURY FILE'!B208:B5209=$H$4)*('TREASURY FILE'!D208:D5209="INCOME")*('TREASURY FILE'!A208:A5209=A309)*('TREASURY FILE'!F208:F5209))</f>
        <v>55563.26365517771</v>
      </c>
      <c r="I309" s="24" cm="1">
        <f t="array" ref="I309">SUMPRODUCT(('TREASURY FILE'!D217:D5209=$I$4)*('TREASURY FILE'!F217:F5209="INCOME")*('TREASURY FILE'!C217:C5209=C309)*('TREASURY FILE'!H217:H5209))</f>
        <v>0</v>
      </c>
      <c r="J309" s="31">
        <f t="shared" si="15"/>
        <v>55563.26365517771</v>
      </c>
      <c r="K309" s="33">
        <f t="shared" si="16"/>
        <v>2.7043141371826246E-4</v>
      </c>
    </row>
    <row r="310" spans="1:11" x14ac:dyDescent="0.3">
      <c r="A310" s="30">
        <v>45963</v>
      </c>
      <c r="B310" s="24" cm="1">
        <f t="array" ref="B310">SUMPRODUCT(('TREASURY FILE'!B209:B5210=$B$4)*('TREASURY FILE'!D209:D5210="TURNOVER")*('TREASURY FILE'!A209:A5210=A310)*('TREASURY FILE'!F209:F5210))</f>
        <v>0</v>
      </c>
      <c r="C310" s="24" cm="1">
        <f t="array" ref="C310">SUMPRODUCT(('TREASURY FILE'!B209:B5210=$C$4)*('TREASURY FILE'!D209:D5210="TURNOVER")*('TREASURY FILE'!A209:A5210=A310)*('TREASURY FILE'!F209:F5210))</f>
        <v>245504190.1073494</v>
      </c>
      <c r="D310" s="24" cm="1">
        <f t="array" ref="D310">SUMPRODUCT(('TREASURY FILE'!B209:B5210=$D$4)*('TREASURY FILE'!D209:D5210="TURNOVER")*('TREASURY FILE'!A209:A5210=A310)*('TREASURY FILE'!F209:F5210))</f>
        <v>0</v>
      </c>
      <c r="E310" s="31">
        <f t="shared" si="14"/>
        <v>245504190.1073494</v>
      </c>
      <c r="G310" s="24" cm="1">
        <f t="array" ref="G310">SUMPRODUCT(('TREASURY FILE'!B209:B5210=$G$4)*('TREASURY FILE'!D209:D5210="INCOME")*('TREASURY FILE'!A209:A5210=A310)*('TREASURY FILE'!F209:F5210))</f>
        <v>0</v>
      </c>
      <c r="H310" s="24" cm="1">
        <f t="array" ref="H310">SUMPRODUCT(('TREASURY FILE'!B209:B5210=$H$4)*('TREASURY FILE'!D209:D5210="INCOME")*('TREASURY FILE'!A209:A5210=A310)*('TREASURY FILE'!F209:F5210))</f>
        <v>67582.631449396576</v>
      </c>
      <c r="I310" s="24" cm="1">
        <f t="array" ref="I310">SUMPRODUCT(('TREASURY FILE'!D218:D5210=$I$4)*('TREASURY FILE'!F218:F5210="INCOME")*('TREASURY FILE'!C218:C5210=C310)*('TREASURY FILE'!H218:H5210))</f>
        <v>0</v>
      </c>
      <c r="J310" s="31">
        <f t="shared" si="15"/>
        <v>67582.631449396576</v>
      </c>
      <c r="K310" s="33">
        <f t="shared" si="16"/>
        <v>2.7528096941989189E-4</v>
      </c>
    </row>
    <row r="311" spans="1:11" x14ac:dyDescent="0.3">
      <c r="A311" s="30">
        <v>45964</v>
      </c>
      <c r="B311" s="24" cm="1">
        <f t="array" ref="B311">SUMPRODUCT(('TREASURY FILE'!B210:B5211=$B$4)*('TREASURY FILE'!D210:D5211="TURNOVER")*('TREASURY FILE'!A210:A5211=A311)*('TREASURY FILE'!F210:F5211))</f>
        <v>0</v>
      </c>
      <c r="C311" s="24" cm="1">
        <f t="array" ref="C311">SUMPRODUCT(('TREASURY FILE'!B210:B5211=$C$4)*('TREASURY FILE'!D210:D5211="TURNOVER")*('TREASURY FILE'!A210:A5211=A311)*('TREASURY FILE'!F210:F5211))</f>
        <v>249914393.34152889</v>
      </c>
      <c r="D311" s="24" cm="1">
        <f t="array" ref="D311">SUMPRODUCT(('TREASURY FILE'!B210:B5211=$D$4)*('TREASURY FILE'!D210:D5211="TURNOVER")*('TREASURY FILE'!A210:A5211=A311)*('TREASURY FILE'!F210:F5211))</f>
        <v>49199.808566124346</v>
      </c>
      <c r="E311" s="31">
        <f t="shared" si="14"/>
        <v>249963593.15009502</v>
      </c>
      <c r="G311" s="24" cm="1">
        <f t="array" ref="G311">SUMPRODUCT(('TREASURY FILE'!B210:B5211=$G$4)*('TREASURY FILE'!D210:D5211="INCOME")*('TREASURY FILE'!A210:A5211=A311)*('TREASURY FILE'!F210:F5211))</f>
        <v>0</v>
      </c>
      <c r="H311" s="24" cm="1">
        <f t="array" ref="H311">SUMPRODUCT(('TREASURY FILE'!B210:B5211=$H$4)*('TREASURY FILE'!D210:D5211="INCOME")*('TREASURY FILE'!A210:A5211=A311)*('TREASURY FILE'!F210:F5211))</f>
        <v>67977.17700202101</v>
      </c>
      <c r="I311" s="24" cm="1">
        <f t="array" ref="I311">SUMPRODUCT(('TREASURY FILE'!D219:D5211=$I$4)*('TREASURY FILE'!F219:F5211="INCOME")*('TREASURY FILE'!C219:C5211=C311)*('TREASURY FILE'!H219:H5211))</f>
        <v>0</v>
      </c>
      <c r="J311" s="31">
        <f t="shared" si="15"/>
        <v>67977.17700202101</v>
      </c>
      <c r="K311" s="33">
        <f t="shared" si="16"/>
        <v>2.7194831113346545E-4</v>
      </c>
    </row>
    <row r="312" spans="1:11" x14ac:dyDescent="0.3">
      <c r="A312" s="30">
        <v>45965</v>
      </c>
      <c r="B312" s="24" cm="1">
        <f t="array" ref="B312">SUMPRODUCT(('TREASURY FILE'!B211:B5212=$B$4)*('TREASURY FILE'!D211:D5212="TURNOVER")*('TREASURY FILE'!A211:A5212=A312)*('TREASURY FILE'!F211:F5212))</f>
        <v>0</v>
      </c>
      <c r="C312" s="24" cm="1">
        <f t="array" ref="C312">SUMPRODUCT(('TREASURY FILE'!B211:B5212=$C$4)*('TREASURY FILE'!D211:D5212="TURNOVER")*('TREASURY FILE'!A211:A5212=A312)*('TREASURY FILE'!F211:F5212))</f>
        <v>310783925.13802654</v>
      </c>
      <c r="D312" s="24" cm="1">
        <f t="array" ref="D312">SUMPRODUCT(('TREASURY FILE'!B211:B5212=$D$4)*('TREASURY FILE'!D211:D5212="TURNOVER")*('TREASURY FILE'!A211:A5212=A312)*('TREASURY FILE'!F211:F5212))</f>
        <v>119275.06862387534</v>
      </c>
      <c r="E312" s="31">
        <f t="shared" si="14"/>
        <v>310903200.20665044</v>
      </c>
      <c r="G312" s="24" cm="1">
        <f t="array" ref="G312">SUMPRODUCT(('TREASURY FILE'!B211:B5212=$G$4)*('TREASURY FILE'!D211:D5212="INCOME")*('TREASURY FILE'!A211:A5212=A312)*('TREASURY FILE'!F211:F5212))</f>
        <v>0</v>
      </c>
      <c r="H312" s="24" cm="1">
        <f t="array" ref="H312">SUMPRODUCT(('TREASURY FILE'!B211:B5212=$H$4)*('TREASURY FILE'!D211:D5212="INCOME")*('TREASURY FILE'!A211:A5212=A312)*('TREASURY FILE'!F211:F5212))</f>
        <v>86938.722390578856</v>
      </c>
      <c r="I312" s="24" cm="1">
        <f t="array" ref="I312">SUMPRODUCT(('TREASURY FILE'!D220:D5212=$I$4)*('TREASURY FILE'!F220:F5212="INCOME")*('TREASURY FILE'!C220:C5212=C312)*('TREASURY FILE'!H220:H5212))</f>
        <v>0</v>
      </c>
      <c r="J312" s="31">
        <f t="shared" si="15"/>
        <v>86938.722390578856</v>
      </c>
      <c r="K312" s="33">
        <f t="shared" si="16"/>
        <v>2.7963276779651228E-4</v>
      </c>
    </row>
    <row r="313" spans="1:11" x14ac:dyDescent="0.3">
      <c r="A313" s="30">
        <v>45966</v>
      </c>
      <c r="B313" s="24" cm="1">
        <f t="array" ref="B313">SUMPRODUCT(('TREASURY FILE'!B212:B5213=$B$4)*('TREASURY FILE'!D212:D5213="TURNOVER")*('TREASURY FILE'!A212:A5213=A313)*('TREASURY FILE'!F212:F5213))</f>
        <v>0</v>
      </c>
      <c r="C313" s="24" cm="1">
        <f t="array" ref="C313">SUMPRODUCT(('TREASURY FILE'!B212:B5213=$C$4)*('TREASURY FILE'!D212:D5213="TURNOVER")*('TREASURY FILE'!A212:A5213=A313)*('TREASURY FILE'!F212:F5213))</f>
        <v>293218634.76795667</v>
      </c>
      <c r="D313" s="24" cm="1">
        <f t="array" ref="D313">SUMPRODUCT(('TREASURY FILE'!B212:B5213=$D$4)*('TREASURY FILE'!D212:D5213="TURNOVER")*('TREASURY FILE'!A212:A5213=A313)*('TREASURY FILE'!F212:F5213))</f>
        <v>276227.7390729675</v>
      </c>
      <c r="E313" s="31">
        <f t="shared" si="14"/>
        <v>293494862.50702965</v>
      </c>
      <c r="G313" s="24" cm="1">
        <f t="array" ref="G313">SUMPRODUCT(('TREASURY FILE'!B212:B5213=$G$4)*('TREASURY FILE'!D212:D5213="INCOME")*('TREASURY FILE'!A212:A5213=A313)*('TREASURY FILE'!F212:F5213))</f>
        <v>0</v>
      </c>
      <c r="H313" s="24" cm="1">
        <f t="array" ref="H313">SUMPRODUCT(('TREASURY FILE'!B212:B5213=$H$4)*('TREASURY FILE'!D212:D5213="INCOME")*('TREASURY FILE'!A212:A5213=A313)*('TREASURY FILE'!F212:F5213))</f>
        <v>80552.347807491169</v>
      </c>
      <c r="I313" s="24" cm="1">
        <f t="array" ref="I313">SUMPRODUCT(('TREASURY FILE'!D221:D5213=$I$4)*('TREASURY FILE'!F221:F5213="INCOME")*('TREASURY FILE'!C221:C5213=C313)*('TREASURY FILE'!H221:H5213))</f>
        <v>0</v>
      </c>
      <c r="J313" s="31">
        <f t="shared" si="15"/>
        <v>80552.347807491169</v>
      </c>
      <c r="K313" s="33">
        <f t="shared" si="16"/>
        <v>2.7445914084973743E-4</v>
      </c>
    </row>
    <row r="314" spans="1:11" x14ac:dyDescent="0.3">
      <c r="A314" s="30">
        <v>45967</v>
      </c>
      <c r="B314" s="24" cm="1">
        <f t="array" ref="B314">SUMPRODUCT(('TREASURY FILE'!B213:B5214=$B$4)*('TREASURY FILE'!D213:D5214="TURNOVER")*('TREASURY FILE'!A213:A5214=A314)*('TREASURY FILE'!F213:F5214))</f>
        <v>0</v>
      </c>
      <c r="C314" s="24" cm="1">
        <f t="array" ref="C314">SUMPRODUCT(('TREASURY FILE'!B213:B5214=$C$4)*('TREASURY FILE'!D213:D5214="TURNOVER")*('TREASURY FILE'!A213:A5214=A314)*('TREASURY FILE'!F213:F5214))</f>
        <v>251366654.49247399</v>
      </c>
      <c r="D314" s="24" cm="1">
        <f t="array" ref="D314">SUMPRODUCT(('TREASURY FILE'!B213:B5214=$D$4)*('TREASURY FILE'!D213:D5214="TURNOVER")*('TREASURY FILE'!A213:A5214=A314)*('TREASURY FILE'!F213:F5214))</f>
        <v>152834.87071289305</v>
      </c>
      <c r="E314" s="31">
        <f t="shared" si="14"/>
        <v>251519489.3631869</v>
      </c>
      <c r="G314" s="24" cm="1">
        <f t="array" ref="G314">SUMPRODUCT(('TREASURY FILE'!B213:B5214=$G$4)*('TREASURY FILE'!D213:D5214="INCOME")*('TREASURY FILE'!A213:A5214=A314)*('TREASURY FILE'!F213:F5214))</f>
        <v>0</v>
      </c>
      <c r="H314" s="24" cm="1">
        <f t="array" ref="H314">SUMPRODUCT(('TREASURY FILE'!B213:B5214=$H$4)*('TREASURY FILE'!D213:D5214="INCOME")*('TREASURY FILE'!A213:A5214=A314)*('TREASURY FILE'!F213:F5214))</f>
        <v>70699.726843329161</v>
      </c>
      <c r="I314" s="24" cm="1">
        <f t="array" ref="I314">SUMPRODUCT(('TREASURY FILE'!D222:D5214=$I$4)*('TREASURY FILE'!F222:F5214="INCOME")*('TREASURY FILE'!C222:C5214=C314)*('TREASURY FILE'!H222:H5214))</f>
        <v>0</v>
      </c>
      <c r="J314" s="31">
        <f t="shared" si="15"/>
        <v>70699.726843329161</v>
      </c>
      <c r="K314" s="33">
        <f t="shared" si="16"/>
        <v>2.8109045156831085E-4</v>
      </c>
    </row>
    <row r="315" spans="1:11" x14ac:dyDescent="0.3">
      <c r="A315" s="30">
        <v>45968</v>
      </c>
      <c r="B315" s="24" cm="1">
        <f t="array" ref="B315">SUMPRODUCT(('TREASURY FILE'!B214:B5215=$B$4)*('TREASURY FILE'!D214:D5215="TURNOVER")*('TREASURY FILE'!A214:A5215=A315)*('TREASURY FILE'!F214:F5215))</f>
        <v>0</v>
      </c>
      <c r="C315" s="24" cm="1">
        <f t="array" ref="C315">SUMPRODUCT(('TREASURY FILE'!B214:B5215=$C$4)*('TREASURY FILE'!D214:D5215="TURNOVER")*('TREASURY FILE'!A214:A5215=A315)*('TREASURY FILE'!F214:F5215))</f>
        <v>433360873.67015839</v>
      </c>
      <c r="D315" s="24" cm="1">
        <f t="array" ref="D315">SUMPRODUCT(('TREASURY FILE'!B214:B5215=$D$4)*('TREASURY FILE'!D214:D5215="TURNOVER")*('TREASURY FILE'!A214:A5215=A315)*('TREASURY FILE'!F214:F5215))</f>
        <v>68204.508746287727</v>
      </c>
      <c r="E315" s="31">
        <f t="shared" si="14"/>
        <v>433429078.17890465</v>
      </c>
      <c r="G315" s="24" cm="1">
        <f t="array" ref="G315">SUMPRODUCT(('TREASURY FILE'!B214:B5215=$G$4)*('TREASURY FILE'!D214:D5215="INCOME")*('TREASURY FILE'!A214:A5215=A315)*('TREASURY FILE'!F214:F5215))</f>
        <v>0</v>
      </c>
      <c r="H315" s="24" cm="1">
        <f t="array" ref="H315">SUMPRODUCT(('TREASURY FILE'!B214:B5215=$H$4)*('TREASURY FILE'!D214:D5215="INCOME")*('TREASURY FILE'!A214:A5215=A315)*('TREASURY FILE'!F214:F5215))</f>
        <v>124117.66554258793</v>
      </c>
      <c r="I315" s="24" cm="1">
        <f t="array" ref="I315">SUMPRODUCT(('TREASURY FILE'!D223:D5215=$I$4)*('TREASURY FILE'!F223:F5215="INCOME")*('TREASURY FILE'!C223:C5215=C315)*('TREASURY FILE'!H223:H5215))</f>
        <v>0</v>
      </c>
      <c r="J315" s="31">
        <f t="shared" si="15"/>
        <v>124117.66554258793</v>
      </c>
      <c r="K315" s="33">
        <f t="shared" si="16"/>
        <v>2.8636211041511251E-4</v>
      </c>
    </row>
    <row r="316" spans="1:11" x14ac:dyDescent="0.3">
      <c r="A316" s="30">
        <v>45969</v>
      </c>
      <c r="B316" s="24" cm="1">
        <f t="array" ref="B316">SUMPRODUCT(('TREASURY FILE'!B215:B5216=$B$4)*('TREASURY FILE'!D215:D5216="TURNOVER")*('TREASURY FILE'!A215:A5216=A316)*('TREASURY FILE'!F215:F5216))</f>
        <v>0</v>
      </c>
      <c r="C316" s="24" cm="1">
        <f t="array" ref="C316">SUMPRODUCT(('TREASURY FILE'!B215:B5216=$C$4)*('TREASURY FILE'!D215:D5216="TURNOVER")*('TREASURY FILE'!A215:A5216=A316)*('TREASURY FILE'!F215:F5216))</f>
        <v>349416029.58352917</v>
      </c>
      <c r="D316" s="24" cm="1">
        <f t="array" ref="D316">SUMPRODUCT(('TREASURY FILE'!B215:B5216=$D$4)*('TREASURY FILE'!D215:D5216="TURNOVER")*('TREASURY FILE'!A215:A5216=A316)*('TREASURY FILE'!F215:F5216))</f>
        <v>0</v>
      </c>
      <c r="E316" s="31">
        <f t="shared" si="14"/>
        <v>349416029.58352917</v>
      </c>
      <c r="G316" s="24" cm="1">
        <f t="array" ref="G316">SUMPRODUCT(('TREASURY FILE'!B215:B5216=$G$4)*('TREASURY FILE'!D215:D5216="INCOME")*('TREASURY FILE'!A215:A5216=A316)*('TREASURY FILE'!F215:F5216))</f>
        <v>0</v>
      </c>
      <c r="H316" s="24" cm="1">
        <f t="array" ref="H316">SUMPRODUCT(('TREASURY FILE'!B215:B5216=$H$4)*('TREASURY FILE'!D215:D5216="INCOME")*('TREASURY FILE'!A215:A5216=A316)*('TREASURY FILE'!F215:F5216))</f>
        <v>94753.048354672312</v>
      </c>
      <c r="I316" s="24" cm="1">
        <f t="array" ref="I316">SUMPRODUCT(('TREASURY FILE'!D224:D5216=$I$4)*('TREASURY FILE'!F224:F5216="INCOME")*('TREASURY FILE'!C224:C5216=C316)*('TREASURY FILE'!H224:H5216))</f>
        <v>0</v>
      </c>
      <c r="J316" s="31">
        <f t="shared" si="15"/>
        <v>94753.048354672312</v>
      </c>
      <c r="K316" s="33">
        <f t="shared" si="16"/>
        <v>2.7117544798276418E-4</v>
      </c>
    </row>
    <row r="317" spans="1:11" x14ac:dyDescent="0.3">
      <c r="A317" s="30">
        <v>45970</v>
      </c>
      <c r="B317" s="24" cm="1">
        <f t="array" ref="B317">SUMPRODUCT(('TREASURY FILE'!B216:B5217=$B$4)*('TREASURY FILE'!D216:D5217="TURNOVER")*('TREASURY FILE'!A216:A5217=A317)*('TREASURY FILE'!F216:F5217))</f>
        <v>0</v>
      </c>
      <c r="C317" s="24" cm="1">
        <f t="array" ref="C317">SUMPRODUCT(('TREASURY FILE'!B216:B5217=$C$4)*('TREASURY FILE'!D216:D5217="TURNOVER")*('TREASURY FILE'!A216:A5217=A317)*('TREASURY FILE'!F216:F5217))</f>
        <v>296767210.62526834</v>
      </c>
      <c r="D317" s="24" cm="1">
        <f t="array" ref="D317">SUMPRODUCT(('TREASURY FILE'!B216:B5217=$D$4)*('TREASURY FILE'!D216:D5217="TURNOVER")*('TREASURY FILE'!A216:A5217=A317)*('TREASURY FILE'!F216:F5217))</f>
        <v>171015.55108879559</v>
      </c>
      <c r="E317" s="31">
        <f t="shared" si="14"/>
        <v>296938226.17635715</v>
      </c>
      <c r="G317" s="24" cm="1">
        <f t="array" ref="G317">SUMPRODUCT(('TREASURY FILE'!B216:B5217=$G$4)*('TREASURY FILE'!D216:D5217="INCOME")*('TREASURY FILE'!A216:A5217=A317)*('TREASURY FILE'!F216:F5217))</f>
        <v>0</v>
      </c>
      <c r="H317" s="24" cm="1">
        <f t="array" ref="H317">SUMPRODUCT(('TREASURY FILE'!B216:B5217=$H$4)*('TREASURY FILE'!D216:D5217="INCOME")*('TREASURY FILE'!A216:A5217=A317)*('TREASURY FILE'!F216:F5217))</f>
        <v>81036.740287493594</v>
      </c>
      <c r="I317" s="24" cm="1">
        <f t="array" ref="I317">SUMPRODUCT(('TREASURY FILE'!D225:D5217=$I$4)*('TREASURY FILE'!F225:F5217="INCOME")*('TREASURY FILE'!C225:C5217=C317)*('TREASURY FILE'!H225:H5217))</f>
        <v>0</v>
      </c>
      <c r="J317" s="31">
        <f t="shared" si="15"/>
        <v>81036.740287493594</v>
      </c>
      <c r="K317" s="33">
        <f t="shared" si="16"/>
        <v>2.7290774020911798E-4</v>
      </c>
    </row>
    <row r="318" spans="1:11" x14ac:dyDescent="0.3">
      <c r="A318" s="30">
        <v>45971</v>
      </c>
      <c r="B318" s="24" cm="1">
        <f t="array" ref="B318">SUMPRODUCT(('TREASURY FILE'!B217:B5218=$B$4)*('TREASURY FILE'!D217:D5218="TURNOVER")*('TREASURY FILE'!A217:A5218=A318)*('TREASURY FILE'!F217:F5218))</f>
        <v>0</v>
      </c>
      <c r="C318" s="24" cm="1">
        <f t="array" ref="C318">SUMPRODUCT(('TREASURY FILE'!B217:B5218=$C$4)*('TREASURY FILE'!D217:D5218="TURNOVER")*('TREASURY FILE'!A217:A5218=A318)*('TREASURY FILE'!F217:F5218))</f>
        <v>336312044.07376003</v>
      </c>
      <c r="D318" s="24" cm="1">
        <f t="array" ref="D318">SUMPRODUCT(('TREASURY FILE'!B217:B5218=$D$4)*('TREASURY FILE'!D217:D5218="TURNOVER")*('TREASURY FILE'!A217:A5218=A318)*('TREASURY FILE'!F217:F5218))</f>
        <v>46448.039180736501</v>
      </c>
      <c r="E318" s="31">
        <f t="shared" si="14"/>
        <v>336358492.11294079</v>
      </c>
      <c r="G318" s="24" cm="1">
        <f t="array" ref="G318">SUMPRODUCT(('TREASURY FILE'!B217:B5218=$G$4)*('TREASURY FILE'!D217:D5218="INCOME")*('TREASURY FILE'!A217:A5218=A318)*('TREASURY FILE'!F217:F5218))</f>
        <v>0</v>
      </c>
      <c r="H318" s="24" cm="1">
        <f t="array" ref="H318">SUMPRODUCT(('TREASURY FILE'!B217:B5218=$H$4)*('TREASURY FILE'!D217:D5218="INCOME")*('TREASURY FILE'!A217:A5218=A318)*('TREASURY FILE'!F217:F5218))</f>
        <v>94201.681386956392</v>
      </c>
      <c r="I318" s="24" cm="1">
        <f t="array" ref="I318">SUMPRODUCT(('TREASURY FILE'!D226:D5218=$I$4)*('TREASURY FILE'!F226:F5218="INCOME")*('TREASURY FILE'!C226:C5218=C318)*('TREASURY FILE'!H226:H5218))</f>
        <v>0</v>
      </c>
      <c r="J318" s="31">
        <f t="shared" si="15"/>
        <v>94201.681386956392</v>
      </c>
      <c r="K318" s="33">
        <f t="shared" si="16"/>
        <v>2.8006333598179473E-4</v>
      </c>
    </row>
    <row r="319" spans="1:11" x14ac:dyDescent="0.3">
      <c r="A319" s="30">
        <v>45972</v>
      </c>
      <c r="B319" s="24" cm="1">
        <f t="array" ref="B319">SUMPRODUCT(('TREASURY FILE'!B218:B5219=$B$4)*('TREASURY FILE'!D218:D5219="TURNOVER")*('TREASURY FILE'!A218:A5219=A319)*('TREASURY FILE'!F218:F5219))</f>
        <v>0</v>
      </c>
      <c r="C319" s="24" cm="1">
        <f t="array" ref="C319">SUMPRODUCT(('TREASURY FILE'!B218:B5219=$C$4)*('TREASURY FILE'!D218:D5219="TURNOVER")*('TREASURY FILE'!A218:A5219=A319)*('TREASURY FILE'!F218:F5219))</f>
        <v>310088182.06766135</v>
      </c>
      <c r="D319" s="24" cm="1">
        <f t="array" ref="D319">SUMPRODUCT(('TREASURY FILE'!B218:B5219=$D$4)*('TREASURY FILE'!D218:D5219="TURNOVER")*('TREASURY FILE'!A218:A5219=A319)*('TREASURY FILE'!F218:F5219))</f>
        <v>195998.25273604281</v>
      </c>
      <c r="E319" s="31">
        <f t="shared" si="14"/>
        <v>310284180.32039738</v>
      </c>
      <c r="G319" s="24" cm="1">
        <f t="array" ref="G319">SUMPRODUCT(('TREASURY FILE'!B218:B5219=$G$4)*('TREASURY FILE'!D218:D5219="INCOME")*('TREASURY FILE'!A218:A5219=A319)*('TREASURY FILE'!F218:F5219))</f>
        <v>0</v>
      </c>
      <c r="H319" s="24" cm="1">
        <f t="array" ref="H319">SUMPRODUCT(('TREASURY FILE'!B218:B5219=$H$4)*('TREASURY FILE'!D218:D5219="INCOME")*('TREASURY FILE'!A218:A5219=A319)*('TREASURY FILE'!F218:F5219))</f>
        <v>84072.540499521478</v>
      </c>
      <c r="I319" s="24" cm="1">
        <f t="array" ref="I319">SUMPRODUCT(('TREASURY FILE'!D227:D5219=$I$4)*('TREASURY FILE'!F227:F5219="INCOME")*('TREASURY FILE'!C227:C5219=C319)*('TREASURY FILE'!H227:H5219))</f>
        <v>0</v>
      </c>
      <c r="J319" s="31">
        <f t="shared" si="15"/>
        <v>84072.540499521478</v>
      </c>
      <c r="K319" s="33">
        <f t="shared" si="16"/>
        <v>2.7095335770166797E-4</v>
      </c>
    </row>
    <row r="320" spans="1:11" x14ac:dyDescent="0.3">
      <c r="A320" s="30">
        <v>45973</v>
      </c>
      <c r="B320" s="24" cm="1">
        <f t="array" ref="B320">SUMPRODUCT(('TREASURY FILE'!B219:B5220=$B$4)*('TREASURY FILE'!D219:D5220="TURNOVER")*('TREASURY FILE'!A219:A5220=A320)*('TREASURY FILE'!F219:F5220))</f>
        <v>0</v>
      </c>
      <c r="C320" s="24" cm="1">
        <f t="array" ref="C320">SUMPRODUCT(('TREASURY FILE'!B219:B5220=$C$4)*('TREASURY FILE'!D219:D5220="TURNOVER")*('TREASURY FILE'!A219:A5220=A320)*('TREASURY FILE'!F219:F5220))</f>
        <v>209721786.91190365</v>
      </c>
      <c r="D320" s="24" cm="1">
        <f t="array" ref="D320">SUMPRODUCT(('TREASURY FILE'!B219:B5220=$D$4)*('TREASURY FILE'!D219:D5220="TURNOVER")*('TREASURY FILE'!A219:A5220=A320)*('TREASURY FILE'!F219:F5220))</f>
        <v>369485.72206850594</v>
      </c>
      <c r="E320" s="31">
        <f t="shared" si="14"/>
        <v>210091272.63397217</v>
      </c>
      <c r="G320" s="24" cm="1">
        <f t="array" ref="G320">SUMPRODUCT(('TREASURY FILE'!B219:B5220=$G$4)*('TREASURY FILE'!D219:D5220="INCOME")*('TREASURY FILE'!A219:A5220=A320)*('TREASURY FILE'!F219:F5220))</f>
        <v>0</v>
      </c>
      <c r="H320" s="24" cm="1">
        <f t="array" ref="H320">SUMPRODUCT(('TREASURY FILE'!B219:B5220=$H$4)*('TREASURY FILE'!D219:D5220="INCOME")*('TREASURY FILE'!A219:A5220=A320)*('TREASURY FILE'!F219:F5220))</f>
        <v>57046.700230757211</v>
      </c>
      <c r="I320" s="24" cm="1">
        <f t="array" ref="I320">SUMPRODUCT(('TREASURY FILE'!D228:D5220=$I$4)*('TREASURY FILE'!F228:F5220="INCOME")*('TREASURY FILE'!C228:C5220=C320)*('TREASURY FILE'!H228:H5220))</f>
        <v>0</v>
      </c>
      <c r="J320" s="31">
        <f t="shared" si="15"/>
        <v>57046.700230757211</v>
      </c>
      <c r="K320" s="33">
        <f t="shared" si="16"/>
        <v>2.7153293668769301E-4</v>
      </c>
    </row>
    <row r="321" spans="1:11" x14ac:dyDescent="0.3">
      <c r="A321" s="30">
        <v>45974</v>
      </c>
      <c r="B321" s="24" cm="1">
        <f t="array" ref="B321">SUMPRODUCT(('TREASURY FILE'!B220:B5221=$B$4)*('TREASURY FILE'!D220:D5221="TURNOVER")*('TREASURY FILE'!A220:A5221=A321)*('TREASURY FILE'!F220:F5221))</f>
        <v>0</v>
      </c>
      <c r="C321" s="24" cm="1">
        <f t="array" ref="C321">SUMPRODUCT(('TREASURY FILE'!B220:B5221=$C$4)*('TREASURY FILE'!D220:D5221="TURNOVER")*('TREASURY FILE'!A220:A5221=A321)*('TREASURY FILE'!F220:F5221))</f>
        <v>196500295.89877668</v>
      </c>
      <c r="D321" s="24" cm="1">
        <f t="array" ref="D321">SUMPRODUCT(('TREASURY FILE'!B220:B5221=$D$4)*('TREASURY FILE'!D220:D5221="TURNOVER")*('TREASURY FILE'!A220:A5221=A321)*('TREASURY FILE'!F220:F5221))</f>
        <v>22822.806435425002</v>
      </c>
      <c r="E321" s="31">
        <f t="shared" si="14"/>
        <v>196523118.70521212</v>
      </c>
      <c r="G321" s="24" cm="1">
        <f t="array" ref="G321">SUMPRODUCT(('TREASURY FILE'!B220:B5221=$G$4)*('TREASURY FILE'!D220:D5221="INCOME")*('TREASURY FILE'!A220:A5221=A321)*('TREASURY FILE'!F220:F5221))</f>
        <v>0</v>
      </c>
      <c r="H321" s="24" cm="1">
        <f t="array" ref="H321">SUMPRODUCT(('TREASURY FILE'!B220:B5221=$H$4)*('TREASURY FILE'!D220:D5221="INCOME")*('TREASURY FILE'!A220:A5221=A321)*('TREASURY FILE'!F220:F5221))</f>
        <v>55174.802550559543</v>
      </c>
      <c r="I321" s="24" cm="1">
        <f t="array" ref="I321">SUMPRODUCT(('TREASURY FILE'!D229:D5221=$I$4)*('TREASURY FILE'!F229:F5221="INCOME")*('TREASURY FILE'!C229:C5221=C321)*('TREASURY FILE'!H229:H5221))</f>
        <v>0</v>
      </c>
      <c r="J321" s="31">
        <f t="shared" si="15"/>
        <v>55174.802550559543</v>
      </c>
      <c r="K321" s="33">
        <f t="shared" si="16"/>
        <v>2.8075476775494618E-4</v>
      </c>
    </row>
    <row r="322" spans="1:11" x14ac:dyDescent="0.3">
      <c r="A322" s="30">
        <v>45975</v>
      </c>
      <c r="B322" s="24" cm="1">
        <f t="array" ref="B322">SUMPRODUCT(('TREASURY FILE'!B221:B5222=$B$4)*('TREASURY FILE'!D221:D5222="TURNOVER")*('TREASURY FILE'!A221:A5222=A322)*('TREASURY FILE'!F221:F5222))</f>
        <v>0</v>
      </c>
      <c r="C322" s="24" cm="1">
        <f t="array" ref="C322">SUMPRODUCT(('TREASURY FILE'!B221:B5222=$C$4)*('TREASURY FILE'!D221:D5222="TURNOVER")*('TREASURY FILE'!A221:A5222=A322)*('TREASURY FILE'!F221:F5222))</f>
        <v>214505557.90383881</v>
      </c>
      <c r="D322" s="24" cm="1">
        <f t="array" ref="D322">SUMPRODUCT(('TREASURY FILE'!B221:B5222=$D$4)*('TREASURY FILE'!D221:D5222="TURNOVER")*('TREASURY FILE'!A221:A5222=A322)*('TREASURY FILE'!F221:F5222))</f>
        <v>1248029.9120572354</v>
      </c>
      <c r="E322" s="31">
        <f t="shared" si="14"/>
        <v>215753587.81589603</v>
      </c>
      <c r="G322" s="24" cm="1">
        <f t="array" ref="G322">SUMPRODUCT(('TREASURY FILE'!B221:B5222=$G$4)*('TREASURY FILE'!D221:D5222="INCOME")*('TREASURY FILE'!A221:A5222=A322)*('TREASURY FILE'!F221:F5222))</f>
        <v>0</v>
      </c>
      <c r="H322" s="24" cm="1">
        <f t="array" ref="H322">SUMPRODUCT(('TREASURY FILE'!B221:B5222=$H$4)*('TREASURY FILE'!D221:D5222="INCOME")*('TREASURY FILE'!A221:A5222=A322)*('TREASURY FILE'!F221:F5222))</f>
        <v>60078.683964828371</v>
      </c>
      <c r="I322" s="24" cm="1">
        <f t="array" ref="I322">SUMPRODUCT(('TREASURY FILE'!D230:D5222=$I$4)*('TREASURY FILE'!F230:F5222="INCOME")*('TREASURY FILE'!C230:C5222=C322)*('TREASURY FILE'!H230:H5222))</f>
        <v>0</v>
      </c>
      <c r="J322" s="31">
        <f t="shared" si="15"/>
        <v>60078.683964828371</v>
      </c>
      <c r="K322" s="33">
        <f t="shared" si="16"/>
        <v>2.7845972144896106E-4</v>
      </c>
    </row>
    <row r="323" spans="1:11" x14ac:dyDescent="0.3">
      <c r="A323" s="30">
        <v>45976</v>
      </c>
      <c r="B323" s="24" cm="1">
        <f t="array" ref="B323">SUMPRODUCT(('TREASURY FILE'!B222:B5223=$B$4)*('TREASURY FILE'!D222:D5223="TURNOVER")*('TREASURY FILE'!A222:A5223=A323)*('TREASURY FILE'!F222:F5223))</f>
        <v>0</v>
      </c>
      <c r="C323" s="24" cm="1">
        <f t="array" ref="C323">SUMPRODUCT(('TREASURY FILE'!B222:B5223=$C$4)*('TREASURY FILE'!D222:D5223="TURNOVER")*('TREASURY FILE'!A222:A5223=A323)*('TREASURY FILE'!F222:F5223))</f>
        <v>188553343.90251708</v>
      </c>
      <c r="D323" s="24" cm="1">
        <f t="array" ref="D323">SUMPRODUCT(('TREASURY FILE'!B222:B5223=$D$4)*('TREASURY FILE'!D222:D5223="TURNOVER")*('TREASURY FILE'!A222:A5223=A323)*('TREASURY FILE'!F222:F5223))</f>
        <v>904976.43068097369</v>
      </c>
      <c r="E323" s="31">
        <f t="shared" si="14"/>
        <v>189458320.33319804</v>
      </c>
      <c r="G323" s="24" cm="1">
        <f t="array" ref="G323">SUMPRODUCT(('TREASURY FILE'!B222:B5223=$G$4)*('TREASURY FILE'!D222:D5223="INCOME")*('TREASURY FILE'!A222:A5223=A323)*('TREASURY FILE'!F222:F5223))</f>
        <v>0</v>
      </c>
      <c r="H323" s="24" cm="1">
        <f t="array" ref="H323">SUMPRODUCT(('TREASURY FILE'!B222:B5223=$H$4)*('TREASURY FILE'!D222:D5223="INCOME")*('TREASURY FILE'!A222:A5223=A323)*('TREASURY FILE'!F222:F5223))</f>
        <v>51650.342538055054</v>
      </c>
      <c r="I323" s="24" cm="1">
        <f t="array" ref="I323">SUMPRODUCT(('TREASURY FILE'!D231:D5223=$I$4)*('TREASURY FILE'!F231:F5223="INCOME")*('TREASURY FILE'!C231:C5223=C323)*('TREASURY FILE'!H231:H5223))</f>
        <v>0</v>
      </c>
      <c r="J323" s="31">
        <f t="shared" si="15"/>
        <v>51650.342538055054</v>
      </c>
      <c r="K323" s="33">
        <f t="shared" si="16"/>
        <v>2.7262113612755684E-4</v>
      </c>
    </row>
    <row r="324" spans="1:11" x14ac:dyDescent="0.3">
      <c r="A324" s="30">
        <v>45977</v>
      </c>
      <c r="B324" s="24" cm="1">
        <f t="array" ref="B324">SUMPRODUCT(('TREASURY FILE'!B223:B5224=$B$4)*('TREASURY FILE'!D223:D5224="TURNOVER")*('TREASURY FILE'!A223:A5224=A324)*('TREASURY FILE'!F223:F5224))</f>
        <v>0</v>
      </c>
      <c r="C324" s="24" cm="1">
        <f t="array" ref="C324">SUMPRODUCT(('TREASURY FILE'!B223:B5224=$C$4)*('TREASURY FILE'!D223:D5224="TURNOVER")*('TREASURY FILE'!A223:A5224=A324)*('TREASURY FILE'!F223:F5224))</f>
        <v>217705663.49382588</v>
      </c>
      <c r="D324" s="24" cm="1">
        <f t="array" ref="D324">SUMPRODUCT(('TREASURY FILE'!B223:B5224=$D$4)*('TREASURY FILE'!D223:D5224="TURNOVER")*('TREASURY FILE'!A223:A5224=A324)*('TREASURY FILE'!F223:F5224))</f>
        <v>758476.87900534447</v>
      </c>
      <c r="E324" s="31">
        <f t="shared" si="14"/>
        <v>218464140.37283123</v>
      </c>
      <c r="G324" s="24" cm="1">
        <f t="array" ref="G324">SUMPRODUCT(('TREASURY FILE'!B223:B5224=$G$4)*('TREASURY FILE'!D223:D5224="INCOME")*('TREASURY FILE'!A223:A5224=A324)*('TREASURY FILE'!F223:F5224))</f>
        <v>0</v>
      </c>
      <c r="H324" s="24" cm="1">
        <f t="array" ref="H324">SUMPRODUCT(('TREASURY FILE'!B223:B5224=$H$4)*('TREASURY FILE'!D223:D5224="INCOME")*('TREASURY FILE'!A223:A5224=A324)*('TREASURY FILE'!F223:F5224))</f>
        <v>61013.054755271209</v>
      </c>
      <c r="I324" s="24" cm="1">
        <f t="array" ref="I324">SUMPRODUCT(('TREASURY FILE'!D232:D5224=$I$4)*('TREASURY FILE'!F232:F5224="INCOME")*('TREASURY FILE'!C232:C5224=C324)*('TREASURY FILE'!H232:H5224))</f>
        <v>0</v>
      </c>
      <c r="J324" s="31">
        <f t="shared" si="15"/>
        <v>61013.054755271209</v>
      </c>
      <c r="K324" s="33">
        <f t="shared" si="16"/>
        <v>2.7928178350527567E-4</v>
      </c>
    </row>
    <row r="325" spans="1:11" x14ac:dyDescent="0.3">
      <c r="A325" s="30">
        <v>45978</v>
      </c>
      <c r="B325" s="24" cm="1">
        <f t="array" ref="B325">SUMPRODUCT(('TREASURY FILE'!B224:B5225=$B$4)*('TREASURY FILE'!D224:D5225="TURNOVER")*('TREASURY FILE'!A224:A5225=A325)*('TREASURY FILE'!F224:F5225))</f>
        <v>0</v>
      </c>
      <c r="C325" s="24" cm="1">
        <f t="array" ref="C325">SUMPRODUCT(('TREASURY FILE'!B224:B5225=$C$4)*('TREASURY FILE'!D224:D5225="TURNOVER")*('TREASURY FILE'!A224:A5225=A325)*('TREASURY FILE'!F224:F5225))</f>
        <v>243832143.57611695</v>
      </c>
      <c r="D325" s="24" cm="1">
        <f t="array" ref="D325">SUMPRODUCT(('TREASURY FILE'!B224:B5225=$D$4)*('TREASURY FILE'!D224:D5225="TURNOVER")*('TREASURY FILE'!A224:A5225=A325)*('TREASURY FILE'!F224:F5225))</f>
        <v>825889.94403143669</v>
      </c>
      <c r="E325" s="31">
        <f t="shared" si="14"/>
        <v>244658033.5201484</v>
      </c>
      <c r="G325" s="24" cm="1">
        <f t="array" ref="G325">SUMPRODUCT(('TREASURY FILE'!B224:B5225=$G$4)*('TREASURY FILE'!D224:D5225="INCOME")*('TREASURY FILE'!A224:A5225=A325)*('TREASURY FILE'!F224:F5225))</f>
        <v>0</v>
      </c>
      <c r="H325" s="24" cm="1">
        <f t="array" ref="H325">SUMPRODUCT(('TREASURY FILE'!B224:B5225=$H$4)*('TREASURY FILE'!D224:D5225="INCOME")*('TREASURY FILE'!A224:A5225=A325)*('TREASURY FILE'!F224:F5225))</f>
        <v>67045.459625770221</v>
      </c>
      <c r="I325" s="24" cm="1">
        <f t="array" ref="I325">SUMPRODUCT(('TREASURY FILE'!D233:D5225=$I$4)*('TREASURY FILE'!F233:F5225="INCOME")*('TREASURY FILE'!C233:C5225=C325)*('TREASURY FILE'!H233:H5225))</f>
        <v>0</v>
      </c>
      <c r="J325" s="31">
        <f t="shared" si="15"/>
        <v>67045.459625770221</v>
      </c>
      <c r="K325" s="33">
        <f t="shared" si="16"/>
        <v>2.7403743364204228E-4</v>
      </c>
    </row>
    <row r="326" spans="1:11" x14ac:dyDescent="0.3">
      <c r="A326" s="30">
        <v>45979</v>
      </c>
      <c r="B326" s="24" cm="1">
        <f t="array" ref="B326">SUMPRODUCT(('TREASURY FILE'!B225:B5226=$B$4)*('TREASURY FILE'!D225:D5226="TURNOVER")*('TREASURY FILE'!A225:A5226=A326)*('TREASURY FILE'!F225:F5226))</f>
        <v>0</v>
      </c>
      <c r="C326" s="24" cm="1">
        <f t="array" ref="C326">SUMPRODUCT(('TREASURY FILE'!B225:B5226=$C$4)*('TREASURY FILE'!D225:D5226="TURNOVER")*('TREASURY FILE'!A225:A5226=A326)*('TREASURY FILE'!F225:F5226))</f>
        <v>190389570.78201875</v>
      </c>
      <c r="D326" s="24" cm="1">
        <f t="array" ref="D326">SUMPRODUCT(('TREASURY FILE'!B225:B5226=$D$4)*('TREASURY FILE'!D225:D5226="TURNOVER")*('TREASURY FILE'!A225:A5226=A326)*('TREASURY FILE'!F225:F5226))</f>
        <v>30962.606988803542</v>
      </c>
      <c r="E326" s="31">
        <f t="shared" ref="E326:E389" si="17">SUM(B326:D326)</f>
        <v>190420533.38900757</v>
      </c>
      <c r="G326" s="24" cm="1">
        <f t="array" ref="G326">SUMPRODUCT(('TREASURY FILE'!B225:B5226=$G$4)*('TREASURY FILE'!D225:D5226="INCOME")*('TREASURY FILE'!A225:A5226=A326)*('TREASURY FILE'!F225:F5226))</f>
        <v>0</v>
      </c>
      <c r="H326" s="24" cm="1">
        <f t="array" ref="H326">SUMPRODUCT(('TREASURY FILE'!B225:B5226=$H$4)*('TREASURY FILE'!D225:D5226="INCOME")*('TREASURY FILE'!A225:A5226=A326)*('TREASURY FILE'!F225:F5226))</f>
        <v>52359.957115905105</v>
      </c>
      <c r="I326" s="24" cm="1">
        <f t="array" ref="I326">SUMPRODUCT(('TREASURY FILE'!D234:D5226=$I$4)*('TREASURY FILE'!F234:F5226="INCOME")*('TREASURY FILE'!C234:C5226=C326)*('TREASURY FILE'!H234:H5226))</f>
        <v>0</v>
      </c>
      <c r="J326" s="31">
        <f t="shared" ref="J326:J389" si="18">SUM(G326:I326)</f>
        <v>52359.957115905105</v>
      </c>
      <c r="K326" s="33">
        <f t="shared" ref="K326:K389" si="19">+J326/E326</f>
        <v>2.7497012104750094E-4</v>
      </c>
    </row>
    <row r="327" spans="1:11" x14ac:dyDescent="0.3">
      <c r="A327" s="30">
        <v>45980</v>
      </c>
      <c r="B327" s="24" cm="1">
        <f t="array" ref="B327">SUMPRODUCT(('TREASURY FILE'!B226:B5227=$B$4)*('TREASURY FILE'!D226:D5227="TURNOVER")*('TREASURY FILE'!A226:A5227=A327)*('TREASURY FILE'!F226:F5227))</f>
        <v>0</v>
      </c>
      <c r="C327" s="24" cm="1">
        <f t="array" ref="C327">SUMPRODUCT(('TREASURY FILE'!B226:B5227=$C$4)*('TREASURY FILE'!D226:D5227="TURNOVER")*('TREASURY FILE'!A226:A5227=A327)*('TREASURY FILE'!F226:F5227))</f>
        <v>206034979.96871957</v>
      </c>
      <c r="D327" s="24" cm="1">
        <f t="array" ref="D327">SUMPRODUCT(('TREASURY FILE'!B226:B5227=$D$4)*('TREASURY FILE'!D226:D5227="TURNOVER")*('TREASURY FILE'!A226:A5227=A327)*('TREASURY FILE'!F226:F5227))</f>
        <v>0</v>
      </c>
      <c r="E327" s="31">
        <f t="shared" si="17"/>
        <v>206034979.96871957</v>
      </c>
      <c r="G327" s="24" cm="1">
        <f t="array" ref="G327">SUMPRODUCT(('TREASURY FILE'!B226:B5227=$G$4)*('TREASURY FILE'!D226:D5227="INCOME")*('TREASURY FILE'!A226:A5227=A327)*('TREASURY FILE'!F226:F5227))</f>
        <v>0</v>
      </c>
      <c r="H327" s="24" cm="1">
        <f t="array" ref="H327">SUMPRODUCT(('TREASURY FILE'!B226:B5227=$H$4)*('TREASURY FILE'!D226:D5227="INCOME")*('TREASURY FILE'!A226:A5227=A327)*('TREASURY FILE'!F226:F5227))</f>
        <v>57123.441802045141</v>
      </c>
      <c r="I327" s="24" cm="1">
        <f t="array" ref="I327">SUMPRODUCT(('TREASURY FILE'!D235:D5227=$I$4)*('TREASURY FILE'!F235:F5227="INCOME")*('TREASURY FILE'!C235:C5227=C327)*('TREASURY FILE'!H235:H5227))</f>
        <v>0</v>
      </c>
      <c r="J327" s="31">
        <f t="shared" si="18"/>
        <v>57123.441802045141</v>
      </c>
      <c r="K327" s="33">
        <f t="shared" si="19"/>
        <v>2.7725118235125742E-4</v>
      </c>
    </row>
    <row r="328" spans="1:11" x14ac:dyDescent="0.3">
      <c r="A328" s="30">
        <v>45981</v>
      </c>
      <c r="B328" s="24" cm="1">
        <f t="array" ref="B328">SUMPRODUCT(('TREASURY FILE'!B227:B5228=$B$4)*('TREASURY FILE'!D227:D5228="TURNOVER")*('TREASURY FILE'!A227:A5228=A328)*('TREASURY FILE'!F227:F5228))</f>
        <v>0</v>
      </c>
      <c r="C328" s="24" cm="1">
        <f t="array" ref="C328">SUMPRODUCT(('TREASURY FILE'!B227:B5228=$C$4)*('TREASURY FILE'!D227:D5228="TURNOVER")*('TREASURY FILE'!A227:A5228=A328)*('TREASURY FILE'!F227:F5228))</f>
        <v>296852826.55667192</v>
      </c>
      <c r="D328" s="24" cm="1">
        <f t="array" ref="D328">SUMPRODUCT(('TREASURY FILE'!B227:B5228=$D$4)*('TREASURY FILE'!D227:D5228="TURNOVER")*('TREASURY FILE'!A227:A5228=A328)*('TREASURY FILE'!F227:F5228))</f>
        <v>6999.7175520814762</v>
      </c>
      <c r="E328" s="31">
        <f t="shared" si="17"/>
        <v>296859826.27422398</v>
      </c>
      <c r="G328" s="24" cm="1">
        <f t="array" ref="G328">SUMPRODUCT(('TREASURY FILE'!B227:B5228=$G$4)*('TREASURY FILE'!D227:D5228="INCOME")*('TREASURY FILE'!A227:A5228=A328)*('TREASURY FILE'!F227:F5228))</f>
        <v>0</v>
      </c>
      <c r="H328" s="24" cm="1">
        <f t="array" ref="H328">SUMPRODUCT(('TREASURY FILE'!B227:B5228=$H$4)*('TREASURY FILE'!D227:D5228="INCOME")*('TREASURY FILE'!A227:A5228=A328)*('TREASURY FILE'!F227:F5228))</f>
        <v>84225.745860328127</v>
      </c>
      <c r="I328" s="24" cm="1">
        <f t="array" ref="I328">SUMPRODUCT(('TREASURY FILE'!D236:D5228=$I$4)*('TREASURY FILE'!F236:F5228="INCOME")*('TREASURY FILE'!C236:C5228=C328)*('TREASURY FILE'!H236:H5228))</f>
        <v>0</v>
      </c>
      <c r="J328" s="31">
        <f t="shared" si="18"/>
        <v>84225.745860328127</v>
      </c>
      <c r="K328" s="33">
        <f t="shared" si="19"/>
        <v>2.8372227699993555E-4</v>
      </c>
    </row>
    <row r="329" spans="1:11" x14ac:dyDescent="0.3">
      <c r="A329" s="30">
        <v>45982</v>
      </c>
      <c r="B329" s="24" cm="1">
        <f t="array" ref="B329">SUMPRODUCT(('TREASURY FILE'!B228:B5229=$B$4)*('TREASURY FILE'!D228:D5229="TURNOVER")*('TREASURY FILE'!A228:A5229=A329)*('TREASURY FILE'!F228:F5229))</f>
        <v>0</v>
      </c>
      <c r="C329" s="24" cm="1">
        <f t="array" ref="C329">SUMPRODUCT(('TREASURY FILE'!B228:B5229=$C$4)*('TREASURY FILE'!D228:D5229="TURNOVER")*('TREASURY FILE'!A228:A5229=A329)*('TREASURY FILE'!F228:F5229))</f>
        <v>324339822.46622825</v>
      </c>
      <c r="D329" s="24" cm="1">
        <f t="array" ref="D329">SUMPRODUCT(('TREASURY FILE'!B228:B5229=$D$4)*('TREASURY FILE'!D228:D5229="TURNOVER")*('TREASURY FILE'!A228:A5229=A329)*('TREASURY FILE'!F228:F5229))</f>
        <v>617332.93864024628</v>
      </c>
      <c r="E329" s="31">
        <f t="shared" si="17"/>
        <v>324957155.40486848</v>
      </c>
      <c r="G329" s="24" cm="1">
        <f t="array" ref="G329">SUMPRODUCT(('TREASURY FILE'!B228:B5229=$G$4)*('TREASURY FILE'!D228:D5229="INCOME")*('TREASURY FILE'!A228:A5229=A329)*('TREASURY FILE'!F228:F5229))</f>
        <v>0</v>
      </c>
      <c r="H329" s="24" cm="1">
        <f t="array" ref="H329">SUMPRODUCT(('TREASURY FILE'!B228:B5229=$H$4)*('TREASURY FILE'!D228:D5229="INCOME")*('TREASURY FILE'!A228:A5229=A329)*('TREASURY FILE'!F228:F5229))</f>
        <v>89252.101361782872</v>
      </c>
      <c r="I329" s="24" cm="1">
        <f t="array" ref="I329">SUMPRODUCT(('TREASURY FILE'!D237:D5229=$I$4)*('TREASURY FILE'!F237:F5229="INCOME")*('TREASURY FILE'!C237:C5229=C329)*('TREASURY FILE'!H237:H5229))</f>
        <v>0</v>
      </c>
      <c r="J329" s="31">
        <f t="shared" si="18"/>
        <v>89252.101361782872</v>
      </c>
      <c r="K329" s="33">
        <f t="shared" si="19"/>
        <v>2.7465805838490455E-4</v>
      </c>
    </row>
    <row r="330" spans="1:11" x14ac:dyDescent="0.3">
      <c r="A330" s="30">
        <v>45983</v>
      </c>
      <c r="B330" s="24" cm="1">
        <f t="array" ref="B330">SUMPRODUCT(('TREASURY FILE'!B229:B5230=$B$4)*('TREASURY FILE'!D229:D5230="TURNOVER")*('TREASURY FILE'!A229:A5230=A330)*('TREASURY FILE'!F229:F5230))</f>
        <v>0</v>
      </c>
      <c r="C330" s="24" cm="1">
        <f t="array" ref="C330">SUMPRODUCT(('TREASURY FILE'!B229:B5230=$C$4)*('TREASURY FILE'!D229:D5230="TURNOVER")*('TREASURY FILE'!A229:A5230=A330)*('TREASURY FILE'!F229:F5230))</f>
        <v>232050194.1873123</v>
      </c>
      <c r="D330" s="24" cm="1">
        <f t="array" ref="D330">SUMPRODUCT(('TREASURY FILE'!B229:B5230=$D$4)*('TREASURY FILE'!D229:D5230="TURNOVER")*('TREASURY FILE'!A229:A5230=A330)*('TREASURY FILE'!F229:F5230))</f>
        <v>90968.714094151132</v>
      </c>
      <c r="E330" s="31">
        <f t="shared" si="17"/>
        <v>232141162.90140647</v>
      </c>
      <c r="G330" s="24" cm="1">
        <f t="array" ref="G330">SUMPRODUCT(('TREASURY FILE'!B229:B5230=$G$4)*('TREASURY FILE'!D229:D5230="INCOME")*('TREASURY FILE'!A229:A5230=A330)*('TREASURY FILE'!F229:F5230))</f>
        <v>0</v>
      </c>
      <c r="H330" s="24" cm="1">
        <f t="array" ref="H330">SUMPRODUCT(('TREASURY FILE'!B229:B5230=$H$4)*('TREASURY FILE'!D229:D5230="INCOME")*('TREASURY FILE'!A229:A5230=A330)*('TREASURY FILE'!F229:F5230))</f>
        <v>62841.049219895292</v>
      </c>
      <c r="I330" s="24" cm="1">
        <f t="array" ref="I330">SUMPRODUCT(('TREASURY FILE'!D238:D5230=$I$4)*('TREASURY FILE'!F238:F5230="INCOME")*('TREASURY FILE'!C238:C5230=C330)*('TREASURY FILE'!H238:H5230))</f>
        <v>0</v>
      </c>
      <c r="J330" s="31">
        <f t="shared" si="18"/>
        <v>62841.049219895292</v>
      </c>
      <c r="K330" s="33">
        <f t="shared" si="19"/>
        <v>2.7070187998750033E-4</v>
      </c>
    </row>
    <row r="331" spans="1:11" x14ac:dyDescent="0.3">
      <c r="A331" s="30">
        <v>45984</v>
      </c>
      <c r="B331" s="24" cm="1">
        <f t="array" ref="B331">SUMPRODUCT(('TREASURY FILE'!B230:B5231=$B$4)*('TREASURY FILE'!D230:D5231="TURNOVER")*('TREASURY FILE'!A230:A5231=A331)*('TREASURY FILE'!F230:F5231))</f>
        <v>0</v>
      </c>
      <c r="C331" s="24" cm="1">
        <f t="array" ref="C331">SUMPRODUCT(('TREASURY FILE'!B230:B5231=$C$4)*('TREASURY FILE'!D230:D5231="TURNOVER")*('TREASURY FILE'!A230:A5231=A331)*('TREASURY FILE'!F230:F5231))</f>
        <v>170898907.69287217</v>
      </c>
      <c r="D331" s="24" cm="1">
        <f t="array" ref="D331">SUMPRODUCT(('TREASURY FILE'!B230:B5231=$D$4)*('TREASURY FILE'!D230:D5231="TURNOVER")*('TREASURY FILE'!A230:A5231=A331)*('TREASURY FILE'!F230:F5231))</f>
        <v>74656.359602817887</v>
      </c>
      <c r="E331" s="31">
        <f t="shared" si="17"/>
        <v>170973564.05247498</v>
      </c>
      <c r="G331" s="24" cm="1">
        <f t="array" ref="G331">SUMPRODUCT(('TREASURY FILE'!B230:B5231=$G$4)*('TREASURY FILE'!D230:D5231="INCOME")*('TREASURY FILE'!A230:A5231=A331)*('TREASURY FILE'!F230:F5231))</f>
        <v>0</v>
      </c>
      <c r="H331" s="24" cm="1">
        <f t="array" ref="H331">SUMPRODUCT(('TREASURY FILE'!B230:B5231=$H$4)*('TREASURY FILE'!D230:D5231="INCOME")*('TREASURY FILE'!A230:A5231=A331)*('TREASURY FILE'!F230:F5231))</f>
        <v>45550.110070228075</v>
      </c>
      <c r="I331" s="24" cm="1">
        <f t="array" ref="I331">SUMPRODUCT(('TREASURY FILE'!D239:D5231=$I$4)*('TREASURY FILE'!F239:F5231="INCOME")*('TREASURY FILE'!C239:C5231=C331)*('TREASURY FILE'!H239:H5231))</f>
        <v>0</v>
      </c>
      <c r="J331" s="31">
        <f t="shared" si="18"/>
        <v>45550.110070228075</v>
      </c>
      <c r="K331" s="33">
        <f t="shared" si="19"/>
        <v>2.6641609960384227E-4</v>
      </c>
    </row>
    <row r="332" spans="1:11" x14ac:dyDescent="0.3">
      <c r="A332" s="30">
        <v>45985</v>
      </c>
      <c r="B332" s="24" cm="1">
        <f t="array" ref="B332">SUMPRODUCT(('TREASURY FILE'!B231:B5232=$B$4)*('TREASURY FILE'!D231:D5232="TURNOVER")*('TREASURY FILE'!A231:A5232=A332)*('TREASURY FILE'!F231:F5232))</f>
        <v>0</v>
      </c>
      <c r="C332" s="24" cm="1">
        <f t="array" ref="C332">SUMPRODUCT(('TREASURY FILE'!B231:B5232=$C$4)*('TREASURY FILE'!D231:D5232="TURNOVER")*('TREASURY FILE'!A231:A5232=A332)*('TREASURY FILE'!F231:F5232))</f>
        <v>191933676.63268608</v>
      </c>
      <c r="D332" s="24" cm="1">
        <f t="array" ref="D332">SUMPRODUCT(('TREASURY FILE'!B231:B5232=$D$4)*('TREASURY FILE'!D231:D5232="TURNOVER")*('TREASURY FILE'!A231:A5232=A332)*('TREASURY FILE'!F231:F5232))</f>
        <v>2501.4739393806435</v>
      </c>
      <c r="E332" s="31">
        <f t="shared" si="17"/>
        <v>191936178.10662547</v>
      </c>
      <c r="G332" s="24" cm="1">
        <f t="array" ref="G332">SUMPRODUCT(('TREASURY FILE'!B231:B5232=$G$4)*('TREASURY FILE'!D231:D5232="INCOME")*('TREASURY FILE'!A231:A5232=A332)*('TREASURY FILE'!F231:F5232))</f>
        <v>0</v>
      </c>
      <c r="H332" s="24" cm="1">
        <f t="array" ref="H332">SUMPRODUCT(('TREASURY FILE'!B231:B5232=$H$4)*('TREASURY FILE'!D231:D5232="INCOME")*('TREASURY FILE'!A231:A5232=A332)*('TREASURY FILE'!F231:F5232))</f>
        <v>52321.534261179309</v>
      </c>
      <c r="I332" s="24" cm="1">
        <f t="array" ref="I332">SUMPRODUCT(('TREASURY FILE'!D240:D5232=$I$4)*('TREASURY FILE'!F240:F5232="INCOME")*('TREASURY FILE'!C240:C5232=C332)*('TREASURY FILE'!H240:H5232))</f>
        <v>0</v>
      </c>
      <c r="J332" s="31">
        <f t="shared" si="18"/>
        <v>52321.534261179309</v>
      </c>
      <c r="K332" s="33">
        <f t="shared" si="19"/>
        <v>2.7259860427205837E-4</v>
      </c>
    </row>
    <row r="333" spans="1:11" x14ac:dyDescent="0.3">
      <c r="A333" s="30">
        <v>45986</v>
      </c>
      <c r="B333" s="24" cm="1">
        <f t="array" ref="B333">SUMPRODUCT(('TREASURY FILE'!B232:B5233=$B$4)*('TREASURY FILE'!D232:D5233="TURNOVER")*('TREASURY FILE'!A232:A5233=A333)*('TREASURY FILE'!F232:F5233))</f>
        <v>0</v>
      </c>
      <c r="C333" s="24" cm="1">
        <f t="array" ref="C333">SUMPRODUCT(('TREASURY FILE'!B232:B5233=$C$4)*('TREASURY FILE'!D232:D5233="TURNOVER")*('TREASURY FILE'!A232:A5233=A333)*('TREASURY FILE'!F232:F5233))</f>
        <v>150634603.73673111</v>
      </c>
      <c r="D333" s="24" cm="1">
        <f t="array" ref="D333">SUMPRODUCT(('TREASURY FILE'!B232:B5233=$D$4)*('TREASURY FILE'!D232:D5233="TURNOVER")*('TREASURY FILE'!A232:A5233=A333)*('TREASURY FILE'!F232:F5233))</f>
        <v>2340.4679257079706</v>
      </c>
      <c r="E333" s="31">
        <f t="shared" si="17"/>
        <v>150636944.20465681</v>
      </c>
      <c r="G333" s="24" cm="1">
        <f t="array" ref="G333">SUMPRODUCT(('TREASURY FILE'!B232:B5233=$G$4)*('TREASURY FILE'!D232:D5233="INCOME")*('TREASURY FILE'!A232:A5233=A333)*('TREASURY FILE'!F232:F5233))</f>
        <v>0</v>
      </c>
      <c r="H333" s="24" cm="1">
        <f t="array" ref="H333">SUMPRODUCT(('TREASURY FILE'!B232:B5233=$H$4)*('TREASURY FILE'!D232:D5233="INCOME")*('TREASURY FILE'!A232:A5233=A333)*('TREASURY FILE'!F232:F5233))</f>
        <v>40583.851136811732</v>
      </c>
      <c r="I333" s="24" cm="1">
        <f t="array" ref="I333">SUMPRODUCT(('TREASURY FILE'!D241:D5233=$I$4)*('TREASURY FILE'!F241:F5233="INCOME")*('TREASURY FILE'!C241:C5233=C333)*('TREASURY FILE'!H241:H5233))</f>
        <v>0</v>
      </c>
      <c r="J333" s="31">
        <f t="shared" si="18"/>
        <v>40583.851136811732</v>
      </c>
      <c r="K333" s="33">
        <f t="shared" si="19"/>
        <v>2.6941499212619526E-4</v>
      </c>
    </row>
    <row r="334" spans="1:11" x14ac:dyDescent="0.3">
      <c r="A334" s="30">
        <v>45987</v>
      </c>
      <c r="B334" s="24" cm="1">
        <f t="array" ref="B334">SUMPRODUCT(('TREASURY FILE'!B233:B5234=$B$4)*('TREASURY FILE'!D233:D5234="TURNOVER")*('TREASURY FILE'!A233:A5234=A334)*('TREASURY FILE'!F233:F5234))</f>
        <v>0</v>
      </c>
      <c r="C334" s="24" cm="1">
        <f t="array" ref="C334">SUMPRODUCT(('TREASURY FILE'!B233:B5234=$C$4)*('TREASURY FILE'!D233:D5234="TURNOVER")*('TREASURY FILE'!A233:A5234=A334)*('TREASURY FILE'!F233:F5234))</f>
        <v>191901704.49201879</v>
      </c>
      <c r="D334" s="24" cm="1">
        <f t="array" ref="D334">SUMPRODUCT(('TREASURY FILE'!B233:B5234=$D$4)*('TREASURY FILE'!D233:D5234="TURNOVER")*('TREASURY FILE'!A233:A5234=A334)*('TREASURY FILE'!F233:F5234))</f>
        <v>23996.93969051386</v>
      </c>
      <c r="E334" s="31">
        <f t="shared" si="17"/>
        <v>191925701.43170929</v>
      </c>
      <c r="G334" s="24" cm="1">
        <f t="array" ref="G334">SUMPRODUCT(('TREASURY FILE'!B233:B5234=$G$4)*('TREASURY FILE'!D233:D5234="INCOME")*('TREASURY FILE'!A233:A5234=A334)*('TREASURY FILE'!F233:F5234))</f>
        <v>0</v>
      </c>
      <c r="H334" s="24" cm="1">
        <f t="array" ref="H334">SUMPRODUCT(('TREASURY FILE'!B233:B5234=$H$4)*('TREASURY FILE'!D233:D5234="INCOME")*('TREASURY FILE'!A233:A5234=A334)*('TREASURY FILE'!F233:F5234))</f>
        <v>53386.047779959365</v>
      </c>
      <c r="I334" s="24" cm="1">
        <f t="array" ref="I334">SUMPRODUCT(('TREASURY FILE'!D242:D5234=$I$4)*('TREASURY FILE'!F242:F5234="INCOME")*('TREASURY FILE'!C242:C5234=C334)*('TREASURY FILE'!H242:H5234))</f>
        <v>0</v>
      </c>
      <c r="J334" s="31">
        <f t="shared" si="18"/>
        <v>53386.047779959365</v>
      </c>
      <c r="K334" s="33">
        <f t="shared" si="19"/>
        <v>2.7815997222735227E-4</v>
      </c>
    </row>
    <row r="335" spans="1:11" x14ac:dyDescent="0.3">
      <c r="A335" s="30">
        <v>45988</v>
      </c>
      <c r="B335" s="24" cm="1">
        <f t="array" ref="B335">SUMPRODUCT(('TREASURY FILE'!B234:B5235=$B$4)*('TREASURY FILE'!D234:D5235="TURNOVER")*('TREASURY FILE'!A234:A5235=A335)*('TREASURY FILE'!F234:F5235))</f>
        <v>0</v>
      </c>
      <c r="C335" s="24" cm="1">
        <f t="array" ref="C335">SUMPRODUCT(('TREASURY FILE'!B234:B5235=$C$4)*('TREASURY FILE'!D234:D5235="TURNOVER")*('TREASURY FILE'!A234:A5235=A335)*('TREASURY FILE'!F234:F5235))</f>
        <v>176232643.66365936</v>
      </c>
      <c r="D335" s="24" cm="1">
        <f t="array" ref="D335">SUMPRODUCT(('TREASURY FILE'!B234:B5235=$D$4)*('TREASURY FILE'!D234:D5235="TURNOVER")*('TREASURY FILE'!A234:A5235=A335)*('TREASURY FILE'!F234:F5235))</f>
        <v>376.42355122042176</v>
      </c>
      <c r="E335" s="31">
        <f t="shared" si="17"/>
        <v>176233020.0872106</v>
      </c>
      <c r="G335" s="24" cm="1">
        <f t="array" ref="G335">SUMPRODUCT(('TREASURY FILE'!B234:B5235=$G$4)*('TREASURY FILE'!D234:D5235="INCOME")*('TREASURY FILE'!A234:A5235=A335)*('TREASURY FILE'!F234:F5235))</f>
        <v>0</v>
      </c>
      <c r="H335" s="24" cm="1">
        <f t="array" ref="H335">SUMPRODUCT(('TREASURY FILE'!B234:B5235=$H$4)*('TREASURY FILE'!D234:D5235="INCOME")*('TREASURY FILE'!A234:A5235=A335)*('TREASURY FILE'!F234:F5235))</f>
        <v>49143.504806578014</v>
      </c>
      <c r="I335" s="24" cm="1">
        <f t="array" ref="I335">SUMPRODUCT(('TREASURY FILE'!D243:D5235=$I$4)*('TREASURY FILE'!F243:F5235="INCOME")*('TREASURY FILE'!C243:C5235=C335)*('TREASURY FILE'!H243:H5235))</f>
        <v>0</v>
      </c>
      <c r="J335" s="31">
        <f t="shared" si="18"/>
        <v>49143.504806578014</v>
      </c>
      <c r="K335" s="33">
        <f t="shared" si="19"/>
        <v>2.7885526096221288E-4</v>
      </c>
    </row>
    <row r="336" spans="1:11" x14ac:dyDescent="0.3">
      <c r="A336" s="30">
        <v>45989</v>
      </c>
      <c r="B336" s="24" cm="1">
        <f t="array" ref="B336">SUMPRODUCT(('TREASURY FILE'!B235:B5236=$B$4)*('TREASURY FILE'!D235:D5236="TURNOVER")*('TREASURY FILE'!A235:A5236=A336)*('TREASURY FILE'!F235:F5236))</f>
        <v>0</v>
      </c>
      <c r="C336" s="24" cm="1">
        <f t="array" ref="C336">SUMPRODUCT(('TREASURY FILE'!B235:B5236=$C$4)*('TREASURY FILE'!D235:D5236="TURNOVER")*('TREASURY FILE'!A235:A5236=A336)*('TREASURY FILE'!F235:F5236))</f>
        <v>188023867.26401749</v>
      </c>
      <c r="D336" s="24" cm="1">
        <f t="array" ref="D336">SUMPRODUCT(('TREASURY FILE'!B235:B5236=$D$4)*('TREASURY FILE'!D235:D5236="TURNOVER")*('TREASURY FILE'!A235:A5236=A336)*('TREASURY FILE'!F235:F5236))</f>
        <v>525853.23569867457</v>
      </c>
      <c r="E336" s="31">
        <f t="shared" si="17"/>
        <v>188549720.49971616</v>
      </c>
      <c r="G336" s="24" cm="1">
        <f t="array" ref="G336">SUMPRODUCT(('TREASURY FILE'!B235:B5236=$G$4)*('TREASURY FILE'!D235:D5236="INCOME")*('TREASURY FILE'!A235:A5236=A336)*('TREASURY FILE'!F235:F5236))</f>
        <v>0</v>
      </c>
      <c r="H336" s="24" cm="1">
        <f t="array" ref="H336">SUMPRODUCT(('TREASURY FILE'!B235:B5236=$H$4)*('TREASURY FILE'!D235:D5236="INCOME")*('TREASURY FILE'!A235:A5236=A336)*('TREASURY FILE'!F235:F5236))</f>
        <v>52489.869056623953</v>
      </c>
      <c r="I336" s="24" cm="1">
        <f t="array" ref="I336">SUMPRODUCT(('TREASURY FILE'!D244:D5236=$I$4)*('TREASURY FILE'!F244:F5236="INCOME")*('TREASURY FILE'!C244:C5236=C336)*('TREASURY FILE'!H244:H5236))</f>
        <v>0</v>
      </c>
      <c r="J336" s="31">
        <f t="shared" si="18"/>
        <v>52489.869056623953</v>
      </c>
      <c r="K336" s="33">
        <f t="shared" si="19"/>
        <v>2.7838741376815229E-4</v>
      </c>
    </row>
    <row r="337" spans="1:11" x14ac:dyDescent="0.3">
      <c r="A337" s="30">
        <v>45990</v>
      </c>
      <c r="B337" s="24" cm="1">
        <f t="array" ref="B337">SUMPRODUCT(('TREASURY FILE'!B236:B5237=$B$4)*('TREASURY FILE'!D236:D5237="TURNOVER")*('TREASURY FILE'!A236:A5237=A337)*('TREASURY FILE'!F236:F5237))</f>
        <v>0</v>
      </c>
      <c r="C337" s="24" cm="1">
        <f t="array" ref="C337">SUMPRODUCT(('TREASURY FILE'!B236:B5237=$C$4)*('TREASURY FILE'!D236:D5237="TURNOVER")*('TREASURY FILE'!A236:A5237=A337)*('TREASURY FILE'!F236:F5237))</f>
        <v>139911357.50848028</v>
      </c>
      <c r="D337" s="24" cm="1">
        <f t="array" ref="D337">SUMPRODUCT(('TREASURY FILE'!B236:B5237=$D$4)*('TREASURY FILE'!D236:D5237="TURNOVER")*('TREASURY FILE'!A236:A5237=A337)*('TREASURY FILE'!F236:F5237))</f>
        <v>12172.710046645039</v>
      </c>
      <c r="E337" s="31">
        <f t="shared" si="17"/>
        <v>139923530.21852693</v>
      </c>
      <c r="G337" s="24" cm="1">
        <f t="array" ref="G337">SUMPRODUCT(('TREASURY FILE'!B236:B5237=$G$4)*('TREASURY FILE'!D236:D5237="INCOME")*('TREASURY FILE'!A236:A5237=A337)*('TREASURY FILE'!F236:F5237))</f>
        <v>0</v>
      </c>
      <c r="H337" s="24" cm="1">
        <f t="array" ref="H337">SUMPRODUCT(('TREASURY FILE'!B236:B5237=$H$4)*('TREASURY FILE'!D236:D5237="INCOME")*('TREASURY FILE'!A236:A5237=A337)*('TREASURY FILE'!F236:F5237))</f>
        <v>37770.688208868865</v>
      </c>
      <c r="I337" s="24" cm="1">
        <f t="array" ref="I337">SUMPRODUCT(('TREASURY FILE'!D245:D5237=$I$4)*('TREASURY FILE'!F245:F5237="INCOME")*('TREASURY FILE'!C245:C5237=C337)*('TREASURY FILE'!H245:H5237))</f>
        <v>0</v>
      </c>
      <c r="J337" s="31">
        <f t="shared" si="18"/>
        <v>37770.688208868865</v>
      </c>
      <c r="K337" s="33">
        <f t="shared" si="19"/>
        <v>2.6993807367409992E-4</v>
      </c>
    </row>
    <row r="338" spans="1:11" x14ac:dyDescent="0.3">
      <c r="A338" s="30">
        <v>45991</v>
      </c>
      <c r="B338" s="24" cm="1">
        <f t="array" ref="B338">SUMPRODUCT(('TREASURY FILE'!B237:B5238=$B$4)*('TREASURY FILE'!D237:D5238="TURNOVER")*('TREASURY FILE'!A237:A5238=A338)*('TREASURY FILE'!F237:F5238))</f>
        <v>0</v>
      </c>
      <c r="C338" s="24" cm="1">
        <f t="array" ref="C338">SUMPRODUCT(('TREASURY FILE'!B237:B5238=$C$4)*('TREASURY FILE'!D237:D5238="TURNOVER")*('TREASURY FILE'!A237:A5238=A338)*('TREASURY FILE'!F237:F5238))</f>
        <v>115847660.77802609</v>
      </c>
      <c r="D338" s="24" cm="1">
        <f t="array" ref="D338">SUMPRODUCT(('TREASURY FILE'!B237:B5238=$D$4)*('TREASURY FILE'!D237:D5238="TURNOVER")*('TREASURY FILE'!A237:A5238=A338)*('TREASURY FILE'!F237:F5238))</f>
        <v>2106025.8565904973</v>
      </c>
      <c r="E338" s="31">
        <f t="shared" si="17"/>
        <v>117953686.63461658</v>
      </c>
      <c r="G338" s="24" cm="1">
        <f t="array" ref="G338">SUMPRODUCT(('TREASURY FILE'!B237:B5238=$G$4)*('TREASURY FILE'!D237:D5238="INCOME")*('TREASURY FILE'!A237:A5238=A338)*('TREASURY FILE'!F237:F5238))</f>
        <v>0</v>
      </c>
      <c r="H338" s="24" cm="1">
        <f t="array" ref="H338">SUMPRODUCT(('TREASURY FILE'!B237:B5238=$H$4)*('TREASURY FILE'!D237:D5238="INCOME")*('TREASURY FILE'!A237:A5238=A338)*('TREASURY FILE'!F237:F5238))</f>
        <v>30706.839874105008</v>
      </c>
      <c r="I338" s="24" cm="1">
        <f t="array" ref="I338">SUMPRODUCT(('TREASURY FILE'!D246:D5238=$I$4)*('TREASURY FILE'!F246:F5238="INCOME")*('TREASURY FILE'!C246:C5238=C338)*('TREASURY FILE'!H246:H5238))</f>
        <v>0</v>
      </c>
      <c r="J338" s="31">
        <f t="shared" si="18"/>
        <v>30706.839874105008</v>
      </c>
      <c r="K338" s="33">
        <f t="shared" si="19"/>
        <v>2.6032963233463941E-4</v>
      </c>
    </row>
    <row r="339" spans="1:11" x14ac:dyDescent="0.3">
      <c r="A339" s="30">
        <v>45992</v>
      </c>
      <c r="B339" s="24" cm="1">
        <f t="array" ref="B339">SUMPRODUCT(('TREASURY FILE'!B238:B5239=$B$4)*('TREASURY FILE'!D238:D5239="TURNOVER")*('TREASURY FILE'!A238:A5239=A339)*('TREASURY FILE'!F238:F5239))</f>
        <v>0</v>
      </c>
      <c r="C339" s="24" cm="1">
        <f t="array" ref="C339">SUMPRODUCT(('TREASURY FILE'!B238:B5239=$C$4)*('TREASURY FILE'!D238:D5239="TURNOVER")*('TREASURY FILE'!A238:A5239=A339)*('TREASURY FILE'!F238:F5239))</f>
        <v>148426944.8589488</v>
      </c>
      <c r="D339" s="24" cm="1">
        <f t="array" ref="D339">SUMPRODUCT(('TREASURY FILE'!B238:B5239=$D$4)*('TREASURY FILE'!D238:D5239="TURNOVER")*('TREASURY FILE'!A238:A5239=A339)*('TREASURY FILE'!F238:F5239))</f>
        <v>35920.053527993878</v>
      </c>
      <c r="E339" s="31">
        <f t="shared" si="17"/>
        <v>148462864.91247678</v>
      </c>
      <c r="G339" s="24" cm="1">
        <f t="array" ref="G339">SUMPRODUCT(('TREASURY FILE'!B238:B5239=$G$4)*('TREASURY FILE'!D238:D5239="INCOME")*('TREASURY FILE'!A238:A5239=A339)*('TREASURY FILE'!F238:F5239))</f>
        <v>0</v>
      </c>
      <c r="H339" s="24" cm="1">
        <f t="array" ref="H339">SUMPRODUCT(('TREASURY FILE'!B238:B5239=$H$4)*('TREASURY FILE'!D238:D5239="INCOME")*('TREASURY FILE'!A238:A5239=A339)*('TREASURY FILE'!F238:F5239))</f>
        <v>39861.884184945797</v>
      </c>
      <c r="I339" s="24" cm="1">
        <f t="array" ref="I339">SUMPRODUCT(('TREASURY FILE'!D247:D5239=$I$4)*('TREASURY FILE'!F247:F5239="INCOME")*('TREASURY FILE'!C247:C5239=C339)*('TREASURY FILE'!H247:H5239))</f>
        <v>0</v>
      </c>
      <c r="J339" s="31">
        <f t="shared" si="18"/>
        <v>39861.884184945797</v>
      </c>
      <c r="K339" s="33">
        <f t="shared" si="19"/>
        <v>2.6849733910527422E-4</v>
      </c>
    </row>
    <row r="340" spans="1:11" x14ac:dyDescent="0.3">
      <c r="A340" s="30">
        <v>45993</v>
      </c>
      <c r="B340" s="24" cm="1">
        <f t="array" ref="B340">SUMPRODUCT(('TREASURY FILE'!B239:B5240=$B$4)*('TREASURY FILE'!D239:D5240="TURNOVER")*('TREASURY FILE'!A239:A5240=A340)*('TREASURY FILE'!F239:F5240))</f>
        <v>0</v>
      </c>
      <c r="C340" s="24" cm="1">
        <f t="array" ref="C340">SUMPRODUCT(('TREASURY FILE'!B239:B5240=$C$4)*('TREASURY FILE'!D239:D5240="TURNOVER")*('TREASURY FILE'!A239:A5240=A340)*('TREASURY FILE'!F239:F5240))</f>
        <v>186321599.01719368</v>
      </c>
      <c r="D340" s="24" cm="1">
        <f t="array" ref="D340">SUMPRODUCT(('TREASURY FILE'!B239:B5240=$D$4)*('TREASURY FILE'!D239:D5240="TURNOVER")*('TREASURY FILE'!A239:A5240=A340)*('TREASURY FILE'!F239:F5240))</f>
        <v>17245.282708428738</v>
      </c>
      <c r="E340" s="31">
        <f t="shared" si="17"/>
        <v>186338844.29990211</v>
      </c>
      <c r="G340" s="24" cm="1">
        <f t="array" ref="G340">SUMPRODUCT(('TREASURY FILE'!B239:B5240=$G$4)*('TREASURY FILE'!D239:D5240="INCOME")*('TREASURY FILE'!A239:A5240=A340)*('TREASURY FILE'!F239:F5240))</f>
        <v>0</v>
      </c>
      <c r="H340" s="24" cm="1">
        <f t="array" ref="H340">SUMPRODUCT(('TREASURY FILE'!B239:B5240=$H$4)*('TREASURY FILE'!D239:D5240="INCOME")*('TREASURY FILE'!A239:A5240=A340)*('TREASURY FILE'!F239:F5240))</f>
        <v>51972.716923867942</v>
      </c>
      <c r="I340" s="24" cm="1">
        <f t="array" ref="I340">SUMPRODUCT(('TREASURY FILE'!D248:D5240=$I$4)*('TREASURY FILE'!F248:F5240="INCOME")*('TREASURY FILE'!C248:C5240=C340)*('TREASURY FILE'!H248:H5240))</f>
        <v>0</v>
      </c>
      <c r="J340" s="31">
        <f t="shared" si="18"/>
        <v>51972.716923867942</v>
      </c>
      <c r="K340" s="33">
        <f t="shared" si="19"/>
        <v>2.7891509748885593E-4</v>
      </c>
    </row>
    <row r="341" spans="1:11" x14ac:dyDescent="0.3">
      <c r="A341" s="30">
        <v>45994</v>
      </c>
      <c r="B341" s="24" cm="1">
        <f t="array" ref="B341">SUMPRODUCT(('TREASURY FILE'!B240:B5241=$B$4)*('TREASURY FILE'!D240:D5241="TURNOVER")*('TREASURY FILE'!A240:A5241=A341)*('TREASURY FILE'!F240:F5241))</f>
        <v>0</v>
      </c>
      <c r="C341" s="24" cm="1">
        <f t="array" ref="C341">SUMPRODUCT(('TREASURY FILE'!B240:B5241=$C$4)*('TREASURY FILE'!D240:D5241="TURNOVER")*('TREASURY FILE'!A240:A5241=A341)*('TREASURY FILE'!F240:F5241))</f>
        <v>172965810.13683093</v>
      </c>
      <c r="D341" s="24" cm="1">
        <f t="array" ref="D341">SUMPRODUCT(('TREASURY FILE'!B240:B5241=$D$4)*('TREASURY FILE'!D240:D5241="TURNOVER")*('TREASURY FILE'!A240:A5241=A341)*('TREASURY FILE'!F240:F5241))</f>
        <v>175055.02249985602</v>
      </c>
      <c r="E341" s="31">
        <f t="shared" si="17"/>
        <v>173140865.15933079</v>
      </c>
      <c r="G341" s="24" cm="1">
        <f t="array" ref="G341">SUMPRODUCT(('TREASURY FILE'!B240:B5241=$G$4)*('TREASURY FILE'!D240:D5241="INCOME")*('TREASURY FILE'!A240:A5241=A341)*('TREASURY FILE'!F240:F5241))</f>
        <v>0</v>
      </c>
      <c r="H341" s="24" cm="1">
        <f t="array" ref="H341">SUMPRODUCT(('TREASURY FILE'!B240:B5241=$H$4)*('TREASURY FILE'!D240:D5241="INCOME")*('TREASURY FILE'!A240:A5241=A341)*('TREASURY FILE'!F240:F5241))</f>
        <v>49370.064793387966</v>
      </c>
      <c r="I341" s="24" cm="1">
        <f t="array" ref="I341">SUMPRODUCT(('TREASURY FILE'!D249:D5241=$I$4)*('TREASURY FILE'!F249:F5241="INCOME")*('TREASURY FILE'!C249:C5241=C341)*('TREASURY FILE'!H249:H5241))</f>
        <v>0</v>
      </c>
      <c r="J341" s="31">
        <f t="shared" si="18"/>
        <v>49370.064793387966</v>
      </c>
      <c r="K341" s="33">
        <f t="shared" si="19"/>
        <v>2.8514391878517968E-4</v>
      </c>
    </row>
    <row r="342" spans="1:11" x14ac:dyDescent="0.3">
      <c r="A342" s="30">
        <v>45995</v>
      </c>
      <c r="B342" s="24" cm="1">
        <f t="array" ref="B342">SUMPRODUCT(('TREASURY FILE'!B241:B5242=$B$4)*('TREASURY FILE'!D241:D5242="TURNOVER")*('TREASURY FILE'!A241:A5242=A342)*('TREASURY FILE'!F241:F5242))</f>
        <v>0</v>
      </c>
      <c r="C342" s="24" cm="1">
        <f t="array" ref="C342">SUMPRODUCT(('TREASURY FILE'!B241:B5242=$C$4)*('TREASURY FILE'!D241:D5242="TURNOVER")*('TREASURY FILE'!A241:A5242=A342)*('TREASURY FILE'!F241:F5242))</f>
        <v>144472782.07946658</v>
      </c>
      <c r="D342" s="24" cm="1">
        <f t="array" ref="D342">SUMPRODUCT(('TREASURY FILE'!B241:B5242=$D$4)*('TREASURY FILE'!D241:D5242="TURNOVER")*('TREASURY FILE'!A241:A5242=A342)*('TREASURY FILE'!F241:F5242))</f>
        <v>464342.1824147377</v>
      </c>
      <c r="E342" s="31">
        <f t="shared" si="17"/>
        <v>144937124.26188132</v>
      </c>
      <c r="G342" s="24" cm="1">
        <f t="array" ref="G342">SUMPRODUCT(('TREASURY FILE'!B241:B5242=$G$4)*('TREASURY FILE'!D241:D5242="INCOME")*('TREASURY FILE'!A241:A5242=A342)*('TREASURY FILE'!F241:F5242))</f>
        <v>0</v>
      </c>
      <c r="H342" s="24" cm="1">
        <f t="array" ref="H342">SUMPRODUCT(('TREASURY FILE'!B241:B5242=$H$4)*('TREASURY FILE'!D241:D5242="INCOME")*('TREASURY FILE'!A241:A5242=A342)*('TREASURY FILE'!F241:F5242))</f>
        <v>39755.217752838871</v>
      </c>
      <c r="I342" s="24" cm="1">
        <f t="array" ref="I342">SUMPRODUCT(('TREASURY FILE'!D250:D5242=$I$4)*('TREASURY FILE'!F250:F5242="INCOME")*('TREASURY FILE'!C250:C5242=C342)*('TREASURY FILE'!H250:H5242))</f>
        <v>0</v>
      </c>
      <c r="J342" s="31">
        <f t="shared" si="18"/>
        <v>39755.217752838871</v>
      </c>
      <c r="K342" s="33">
        <f t="shared" si="19"/>
        <v>2.7429285599048242E-4</v>
      </c>
    </row>
    <row r="343" spans="1:11" x14ac:dyDescent="0.3">
      <c r="A343" s="30">
        <v>45996</v>
      </c>
      <c r="B343" s="24" cm="1">
        <f t="array" ref="B343">SUMPRODUCT(('TREASURY FILE'!B242:B5243=$B$4)*('TREASURY FILE'!D242:D5243="TURNOVER")*('TREASURY FILE'!A242:A5243=A343)*('TREASURY FILE'!F242:F5243))</f>
        <v>0</v>
      </c>
      <c r="C343" s="24" cm="1">
        <f t="array" ref="C343">SUMPRODUCT(('TREASURY FILE'!B242:B5243=$C$4)*('TREASURY FILE'!D242:D5243="TURNOVER")*('TREASURY FILE'!A242:A5243=A343)*('TREASURY FILE'!F242:F5243))</f>
        <v>177052714.27145162</v>
      </c>
      <c r="D343" s="24" cm="1">
        <f t="array" ref="D343">SUMPRODUCT(('TREASURY FILE'!B242:B5243=$D$4)*('TREASURY FILE'!D242:D5243="TURNOVER")*('TREASURY FILE'!A242:A5243=A343)*('TREASURY FILE'!F242:F5243))</f>
        <v>7486.9539225983008</v>
      </c>
      <c r="E343" s="31">
        <f t="shared" si="17"/>
        <v>177060201.22537422</v>
      </c>
      <c r="G343" s="24" cm="1">
        <f t="array" ref="G343">SUMPRODUCT(('TREASURY FILE'!B242:B5243=$G$4)*('TREASURY FILE'!D242:D5243="INCOME")*('TREASURY FILE'!A242:A5243=A343)*('TREASURY FILE'!F242:F5243))</f>
        <v>0</v>
      </c>
      <c r="H343" s="24" cm="1">
        <f t="array" ref="H343">SUMPRODUCT(('TREASURY FILE'!B242:B5243=$H$4)*('TREASURY FILE'!D242:D5243="INCOME")*('TREASURY FILE'!A242:A5243=A343)*('TREASURY FILE'!F242:F5243))</f>
        <v>49467.884285639848</v>
      </c>
      <c r="I343" s="24" cm="1">
        <f t="array" ref="I343">SUMPRODUCT(('TREASURY FILE'!D251:D5243=$I$4)*('TREASURY FILE'!F251:F5243="INCOME")*('TREASURY FILE'!C251:C5243=C343)*('TREASURY FILE'!H251:H5243))</f>
        <v>0</v>
      </c>
      <c r="J343" s="31">
        <f t="shared" si="18"/>
        <v>49467.884285639848</v>
      </c>
      <c r="K343" s="33">
        <f t="shared" si="19"/>
        <v>2.7938454798587839E-4</v>
      </c>
    </row>
    <row r="344" spans="1:11" x14ac:dyDescent="0.3">
      <c r="A344" s="30">
        <v>45997</v>
      </c>
      <c r="B344" s="24" cm="1">
        <f t="array" ref="B344">SUMPRODUCT(('TREASURY FILE'!B243:B5244=$B$4)*('TREASURY FILE'!D243:D5244="TURNOVER")*('TREASURY FILE'!A243:A5244=A344)*('TREASURY FILE'!F243:F5244))</f>
        <v>0</v>
      </c>
      <c r="C344" s="24" cm="1">
        <f t="array" ref="C344">SUMPRODUCT(('TREASURY FILE'!B243:B5244=$C$4)*('TREASURY FILE'!D243:D5244="TURNOVER")*('TREASURY FILE'!A243:A5244=A344)*('TREASURY FILE'!F243:F5244))</f>
        <v>162051382.88119635</v>
      </c>
      <c r="D344" s="24" cm="1">
        <f t="array" ref="D344">SUMPRODUCT(('TREASURY FILE'!B243:B5244=$D$4)*('TREASURY FILE'!D243:D5244="TURNOVER")*('TREASURY FILE'!A243:A5244=A344)*('TREASURY FILE'!F243:F5244))</f>
        <v>476707.09602406563</v>
      </c>
      <c r="E344" s="31">
        <f t="shared" si="17"/>
        <v>162528089.97722042</v>
      </c>
      <c r="G344" s="24" cm="1">
        <f t="array" ref="G344">SUMPRODUCT(('TREASURY FILE'!B243:B5244=$G$4)*('TREASURY FILE'!D243:D5244="INCOME")*('TREASURY FILE'!A243:A5244=A344)*('TREASURY FILE'!F243:F5244))</f>
        <v>0</v>
      </c>
      <c r="H344" s="24" cm="1">
        <f t="array" ref="H344">SUMPRODUCT(('TREASURY FILE'!B243:B5244=$H$4)*('TREASURY FILE'!D243:D5244="INCOME")*('TREASURY FILE'!A243:A5244=A344)*('TREASURY FILE'!F243:F5244))</f>
        <v>44601.982535861287</v>
      </c>
      <c r="I344" s="24" cm="1">
        <f t="array" ref="I344">SUMPRODUCT(('TREASURY FILE'!D252:D5244=$I$4)*('TREASURY FILE'!F252:F5244="INCOME")*('TREASURY FILE'!C252:C5244=C344)*('TREASURY FILE'!H252:H5244))</f>
        <v>0</v>
      </c>
      <c r="J344" s="31">
        <f t="shared" si="18"/>
        <v>44601.982535861287</v>
      </c>
      <c r="K344" s="33">
        <f t="shared" si="19"/>
        <v>2.7442630096811331E-4</v>
      </c>
    </row>
    <row r="345" spans="1:11" x14ac:dyDescent="0.3">
      <c r="A345" s="30">
        <v>45998</v>
      </c>
      <c r="B345" s="24" cm="1">
        <f t="array" ref="B345">SUMPRODUCT(('TREASURY FILE'!B244:B5245=$B$4)*('TREASURY FILE'!D244:D5245="TURNOVER")*('TREASURY FILE'!A244:A5245=A345)*('TREASURY FILE'!F244:F5245))</f>
        <v>0</v>
      </c>
      <c r="C345" s="24" cm="1">
        <f t="array" ref="C345">SUMPRODUCT(('TREASURY FILE'!B244:B5245=$C$4)*('TREASURY FILE'!D244:D5245="TURNOVER")*('TREASURY FILE'!A244:A5245=A345)*('TREASURY FILE'!F244:F5245))</f>
        <v>162391797.31860673</v>
      </c>
      <c r="D345" s="24" cm="1">
        <f t="array" ref="D345">SUMPRODUCT(('TREASURY FILE'!B244:B5245=$D$4)*('TREASURY FILE'!D244:D5245="TURNOVER")*('TREASURY FILE'!A244:A5245=A345)*('TREASURY FILE'!F244:F5245))</f>
        <v>64666.318041840677</v>
      </c>
      <c r="E345" s="31">
        <f t="shared" si="17"/>
        <v>162456463.63664857</v>
      </c>
      <c r="G345" s="24" cm="1">
        <f t="array" ref="G345">SUMPRODUCT(('TREASURY FILE'!B244:B5245=$G$4)*('TREASURY FILE'!D244:D5245="INCOME")*('TREASURY FILE'!A244:A5245=A345)*('TREASURY FILE'!F244:F5245))</f>
        <v>0</v>
      </c>
      <c r="H345" s="24" cm="1">
        <f t="array" ref="H345">SUMPRODUCT(('TREASURY FILE'!B244:B5245=$H$4)*('TREASURY FILE'!D244:D5245="INCOME")*('TREASURY FILE'!A244:A5245=A345)*('TREASURY FILE'!F244:F5245))</f>
        <v>45385.59048350696</v>
      </c>
      <c r="I345" s="24" cm="1">
        <f t="array" ref="I345">SUMPRODUCT(('TREASURY FILE'!D253:D5245=$I$4)*('TREASURY FILE'!F253:F5245="INCOME")*('TREASURY FILE'!C253:C5245=C345)*('TREASURY FILE'!H253:H5245))</f>
        <v>0</v>
      </c>
      <c r="J345" s="31">
        <f t="shared" si="18"/>
        <v>45385.59048350696</v>
      </c>
      <c r="K345" s="33">
        <f t="shared" si="19"/>
        <v>2.7937078936432307E-4</v>
      </c>
    </row>
    <row r="346" spans="1:11" x14ac:dyDescent="0.3">
      <c r="A346" s="30">
        <v>45999</v>
      </c>
      <c r="B346" s="24" cm="1">
        <f t="array" ref="B346">SUMPRODUCT(('TREASURY FILE'!B245:B5246=$B$4)*('TREASURY FILE'!D245:D5246="TURNOVER")*('TREASURY FILE'!A245:A5246=A346)*('TREASURY FILE'!F245:F5246))</f>
        <v>0</v>
      </c>
      <c r="C346" s="24" cm="1">
        <f t="array" ref="C346">SUMPRODUCT(('TREASURY FILE'!B245:B5246=$C$4)*('TREASURY FILE'!D245:D5246="TURNOVER")*('TREASURY FILE'!A245:A5246=A346)*('TREASURY FILE'!F245:F5246))</f>
        <v>161870555.81778818</v>
      </c>
      <c r="D346" s="24" cm="1">
        <f t="array" ref="D346">SUMPRODUCT(('TREASURY FILE'!B245:B5246=$D$4)*('TREASURY FILE'!D245:D5246="TURNOVER")*('TREASURY FILE'!A245:A5246=A346)*('TREASURY FILE'!F245:F5246))</f>
        <v>4704.5677038629547</v>
      </c>
      <c r="E346" s="31">
        <f t="shared" si="17"/>
        <v>161875260.38549206</v>
      </c>
      <c r="G346" s="24" cm="1">
        <f t="array" ref="G346">SUMPRODUCT(('TREASURY FILE'!B245:B5246=$G$4)*('TREASURY FILE'!D245:D5246="INCOME")*('TREASURY FILE'!A245:A5246=A346)*('TREASURY FILE'!F245:F5246))</f>
        <v>0</v>
      </c>
      <c r="H346" s="24" cm="1">
        <f t="array" ref="H346">SUMPRODUCT(('TREASURY FILE'!B245:B5246=$H$4)*('TREASURY FILE'!D245:D5246="INCOME")*('TREASURY FILE'!A245:A5246=A346)*('TREASURY FILE'!F245:F5246))</f>
        <v>46162.491343355206</v>
      </c>
      <c r="I346" s="24" cm="1">
        <f t="array" ref="I346">SUMPRODUCT(('TREASURY FILE'!D254:D5246=$I$4)*('TREASURY FILE'!F254:F5246="INCOME")*('TREASURY FILE'!C254:C5246=C346)*('TREASURY FILE'!H254:H5246))</f>
        <v>0</v>
      </c>
      <c r="J346" s="31">
        <f t="shared" si="18"/>
        <v>46162.491343355206</v>
      </c>
      <c r="K346" s="33">
        <f t="shared" si="19"/>
        <v>2.8517323297842545E-4</v>
      </c>
    </row>
    <row r="347" spans="1:11" x14ac:dyDescent="0.3">
      <c r="A347" s="30">
        <v>46000</v>
      </c>
      <c r="B347" s="24" cm="1">
        <f t="array" ref="B347">SUMPRODUCT(('TREASURY FILE'!B246:B5247=$B$4)*('TREASURY FILE'!D246:D5247="TURNOVER")*('TREASURY FILE'!A246:A5247=A347)*('TREASURY FILE'!F246:F5247))</f>
        <v>0</v>
      </c>
      <c r="C347" s="24" cm="1">
        <f t="array" ref="C347">SUMPRODUCT(('TREASURY FILE'!B246:B5247=$C$4)*('TREASURY FILE'!D246:D5247="TURNOVER")*('TREASURY FILE'!A246:A5247=A347)*('TREASURY FILE'!F246:F5247))</f>
        <v>242182625.10568213</v>
      </c>
      <c r="D347" s="24" cm="1">
        <f t="array" ref="D347">SUMPRODUCT(('TREASURY FILE'!B246:B5247=$D$4)*('TREASURY FILE'!D246:D5247="TURNOVER")*('TREASURY FILE'!A246:A5247=A347)*('TREASURY FILE'!F246:F5247))</f>
        <v>702195.50909454876</v>
      </c>
      <c r="E347" s="31">
        <f t="shared" si="17"/>
        <v>242884820.61477667</v>
      </c>
      <c r="G347" s="24" cm="1">
        <f t="array" ref="G347">SUMPRODUCT(('TREASURY FILE'!B246:B5247=$G$4)*('TREASURY FILE'!D246:D5247="INCOME")*('TREASURY FILE'!A246:A5247=A347)*('TREASURY FILE'!F246:F5247))</f>
        <v>0</v>
      </c>
      <c r="H347" s="24" cm="1">
        <f t="array" ref="H347">SUMPRODUCT(('TREASURY FILE'!B246:B5247=$H$4)*('TREASURY FILE'!D246:D5247="INCOME")*('TREASURY FILE'!A246:A5247=A347)*('TREASURY FILE'!F246:F5247))</f>
        <v>74545.915331602082</v>
      </c>
      <c r="I347" s="24" cm="1">
        <f t="array" ref="I347">SUMPRODUCT(('TREASURY FILE'!D255:D5247=$I$4)*('TREASURY FILE'!F255:F5247="INCOME")*('TREASURY FILE'!C255:C5247=C347)*('TREASURY FILE'!H255:H5247))</f>
        <v>0</v>
      </c>
      <c r="J347" s="31">
        <f t="shared" si="18"/>
        <v>74545.915331602082</v>
      </c>
      <c r="K347" s="33">
        <f t="shared" si="19"/>
        <v>3.0691879032586545E-4</v>
      </c>
    </row>
    <row r="348" spans="1:11" x14ac:dyDescent="0.3">
      <c r="A348" s="30">
        <v>46001</v>
      </c>
      <c r="B348" s="24" cm="1">
        <f t="array" ref="B348">SUMPRODUCT(('TREASURY FILE'!B247:B5248=$B$4)*('TREASURY FILE'!D247:D5248="TURNOVER")*('TREASURY FILE'!A247:A5248=A348)*('TREASURY FILE'!F247:F5248))</f>
        <v>0</v>
      </c>
      <c r="C348" s="24" cm="1">
        <f t="array" ref="C348">SUMPRODUCT(('TREASURY FILE'!B247:B5248=$C$4)*('TREASURY FILE'!D247:D5248="TURNOVER")*('TREASURY FILE'!A247:A5248=A348)*('TREASURY FILE'!F247:F5248))</f>
        <v>245130550.50424629</v>
      </c>
      <c r="D348" s="24" cm="1">
        <f t="array" ref="D348">SUMPRODUCT(('TREASURY FILE'!B247:B5248=$D$4)*('TREASURY FILE'!D247:D5248="TURNOVER")*('TREASURY FILE'!A247:A5248=A348)*('TREASURY FILE'!F247:F5248))</f>
        <v>1643518.6604125933</v>
      </c>
      <c r="E348" s="31">
        <f t="shared" si="17"/>
        <v>246774069.16465887</v>
      </c>
      <c r="G348" s="24" cm="1">
        <f t="array" ref="G348">SUMPRODUCT(('TREASURY FILE'!B247:B5248=$G$4)*('TREASURY FILE'!D247:D5248="INCOME")*('TREASURY FILE'!A247:A5248=A348)*('TREASURY FILE'!F247:F5248))</f>
        <v>0</v>
      </c>
      <c r="H348" s="24" cm="1">
        <f t="array" ref="H348">SUMPRODUCT(('TREASURY FILE'!B247:B5248=$H$4)*('TREASURY FILE'!D247:D5248="INCOME")*('TREASURY FILE'!A247:A5248=A348)*('TREASURY FILE'!F247:F5248))</f>
        <v>73292.987210072693</v>
      </c>
      <c r="I348" s="24" cm="1">
        <f t="array" ref="I348">SUMPRODUCT(('TREASURY FILE'!D256:D5248=$I$4)*('TREASURY FILE'!F256:F5248="INCOME")*('TREASURY FILE'!C256:C5248=C348)*('TREASURY FILE'!H256:H5248))</f>
        <v>0</v>
      </c>
      <c r="J348" s="31">
        <f t="shared" si="18"/>
        <v>73292.987210072693</v>
      </c>
      <c r="K348" s="33">
        <f t="shared" si="19"/>
        <v>2.970044115987255E-4</v>
      </c>
    </row>
    <row r="349" spans="1:11" x14ac:dyDescent="0.3">
      <c r="A349" s="30">
        <v>46002</v>
      </c>
      <c r="B349" s="24" cm="1">
        <f t="array" ref="B349">SUMPRODUCT(('TREASURY FILE'!B248:B5249=$B$4)*('TREASURY FILE'!D248:D5249="TURNOVER")*('TREASURY FILE'!A248:A5249=A349)*('TREASURY FILE'!F248:F5249))</f>
        <v>0</v>
      </c>
      <c r="C349" s="24" cm="1">
        <f t="array" ref="C349">SUMPRODUCT(('TREASURY FILE'!B248:B5249=$C$4)*('TREASURY FILE'!D248:D5249="TURNOVER")*('TREASURY FILE'!A248:A5249=A349)*('TREASURY FILE'!F248:F5249))</f>
        <v>195962388.77754071</v>
      </c>
      <c r="D349" s="24" cm="1">
        <f t="array" ref="D349">SUMPRODUCT(('TREASURY FILE'!B248:B5249=$D$4)*('TREASURY FILE'!D248:D5249="TURNOVER")*('TREASURY FILE'!A248:A5249=A349)*('TREASURY FILE'!F248:F5249))</f>
        <v>1646150.0215154015</v>
      </c>
      <c r="E349" s="31">
        <f t="shared" si="17"/>
        <v>197608538.79905611</v>
      </c>
      <c r="G349" s="24" cm="1">
        <f t="array" ref="G349">SUMPRODUCT(('TREASURY FILE'!B248:B5249=$G$4)*('TREASURY FILE'!D248:D5249="INCOME")*('TREASURY FILE'!A248:A5249=A349)*('TREASURY FILE'!F248:F5249))</f>
        <v>0</v>
      </c>
      <c r="H349" s="24" cm="1">
        <f t="array" ref="H349">SUMPRODUCT(('TREASURY FILE'!B248:B5249=$H$4)*('TREASURY FILE'!D248:D5249="INCOME")*('TREASURY FILE'!A248:A5249=A349)*('TREASURY FILE'!F248:F5249))</f>
        <v>53955.837686888655</v>
      </c>
      <c r="I349" s="24" cm="1">
        <f t="array" ref="I349">SUMPRODUCT(('TREASURY FILE'!D257:D5249=$I$4)*('TREASURY FILE'!F257:F5249="INCOME")*('TREASURY FILE'!C257:C5249=C349)*('TREASURY FILE'!H257:H5249))</f>
        <v>0</v>
      </c>
      <c r="J349" s="31">
        <f t="shared" si="18"/>
        <v>53955.837686888655</v>
      </c>
      <c r="K349" s="33">
        <f t="shared" si="19"/>
        <v>2.7304405981036674E-4</v>
      </c>
    </row>
    <row r="350" spans="1:11" x14ac:dyDescent="0.3">
      <c r="A350" s="30">
        <v>46003</v>
      </c>
      <c r="B350" s="24" cm="1">
        <f t="array" ref="B350">SUMPRODUCT(('TREASURY FILE'!B249:B5250=$B$4)*('TREASURY FILE'!D249:D5250="TURNOVER")*('TREASURY FILE'!A249:A5250=A350)*('TREASURY FILE'!F249:F5250))</f>
        <v>0</v>
      </c>
      <c r="C350" s="24" cm="1">
        <f t="array" ref="C350">SUMPRODUCT(('TREASURY FILE'!B249:B5250=$C$4)*('TREASURY FILE'!D249:D5250="TURNOVER")*('TREASURY FILE'!A249:A5250=A350)*('TREASURY FILE'!F249:F5250))</f>
        <v>163552849.84154946</v>
      </c>
      <c r="D350" s="24" cm="1">
        <f t="array" ref="D350">SUMPRODUCT(('TREASURY FILE'!B249:B5250=$D$4)*('TREASURY FILE'!D249:D5250="TURNOVER")*('TREASURY FILE'!A249:A5250=A350)*('TREASURY FILE'!F249:F5250))</f>
        <v>746270.02237097197</v>
      </c>
      <c r="E350" s="31">
        <f t="shared" si="17"/>
        <v>164299119.86392042</v>
      </c>
      <c r="G350" s="24" cm="1">
        <f t="array" ref="G350">SUMPRODUCT(('TREASURY FILE'!B249:B5250=$G$4)*('TREASURY FILE'!D249:D5250="INCOME")*('TREASURY FILE'!A249:A5250=A350)*('TREASURY FILE'!F249:F5250))</f>
        <v>0</v>
      </c>
      <c r="H350" s="24" cm="1">
        <f t="array" ref="H350">SUMPRODUCT(('TREASURY FILE'!B249:B5250=$H$4)*('TREASURY FILE'!D249:D5250="INCOME")*('TREASURY FILE'!A249:A5250=A350)*('TREASURY FILE'!F249:F5250))</f>
        <v>45052.746771592872</v>
      </c>
      <c r="I350" s="24" cm="1">
        <f t="array" ref="I350">SUMPRODUCT(('TREASURY FILE'!D258:D5250=$I$4)*('TREASURY FILE'!F258:F5250="INCOME")*('TREASURY FILE'!C258:C5250=C350)*('TREASURY FILE'!H258:H5250))</f>
        <v>0</v>
      </c>
      <c r="J350" s="31">
        <f t="shared" si="18"/>
        <v>45052.746771592872</v>
      </c>
      <c r="K350" s="33">
        <f t="shared" si="19"/>
        <v>2.7421173533313808E-4</v>
      </c>
    </row>
    <row r="351" spans="1:11" x14ac:dyDescent="0.3">
      <c r="A351" s="30">
        <v>46004</v>
      </c>
      <c r="B351" s="24" cm="1">
        <f t="array" ref="B351">SUMPRODUCT(('TREASURY FILE'!B250:B5251=$B$4)*('TREASURY FILE'!D250:D5251="TURNOVER")*('TREASURY FILE'!A250:A5251=A351)*('TREASURY FILE'!F250:F5251))</f>
        <v>0</v>
      </c>
      <c r="C351" s="24" cm="1">
        <f t="array" ref="C351">SUMPRODUCT(('TREASURY FILE'!B250:B5251=$C$4)*('TREASURY FILE'!D250:D5251="TURNOVER")*('TREASURY FILE'!A250:A5251=A351)*('TREASURY FILE'!F250:F5251))</f>
        <v>127375814.34877929</v>
      </c>
      <c r="D351" s="24" cm="1">
        <f t="array" ref="D351">SUMPRODUCT(('TREASURY FILE'!B250:B5251=$D$4)*('TREASURY FILE'!D250:D5251="TURNOVER")*('TREASURY FILE'!A250:A5251=A351)*('TREASURY FILE'!F250:F5251))</f>
        <v>1146710.386679427</v>
      </c>
      <c r="E351" s="31">
        <f t="shared" si="17"/>
        <v>128522524.73545872</v>
      </c>
      <c r="G351" s="24" cm="1">
        <f t="array" ref="G351">SUMPRODUCT(('TREASURY FILE'!B250:B5251=$G$4)*('TREASURY FILE'!D250:D5251="INCOME")*('TREASURY FILE'!A250:A5251=A351)*('TREASURY FILE'!F250:F5251))</f>
        <v>0</v>
      </c>
      <c r="H351" s="24" cm="1">
        <f t="array" ref="H351">SUMPRODUCT(('TREASURY FILE'!B250:B5251=$H$4)*('TREASURY FILE'!D250:D5251="INCOME")*('TREASURY FILE'!A250:A5251=A351)*('TREASURY FILE'!F250:F5251))</f>
        <v>33161.884164461466</v>
      </c>
      <c r="I351" s="24" cm="1">
        <f t="array" ref="I351">SUMPRODUCT(('TREASURY FILE'!D259:D5251=$I$4)*('TREASURY FILE'!F259:F5251="INCOME")*('TREASURY FILE'!C259:C5251=C351)*('TREASURY FILE'!H259:H5251))</f>
        <v>0</v>
      </c>
      <c r="J351" s="31">
        <f t="shared" si="18"/>
        <v>33161.884164461466</v>
      </c>
      <c r="K351" s="33">
        <f t="shared" si="19"/>
        <v>2.5802390851502056E-4</v>
      </c>
    </row>
    <row r="352" spans="1:11" x14ac:dyDescent="0.3">
      <c r="A352" s="30">
        <v>46005</v>
      </c>
      <c r="B352" s="24" cm="1">
        <f t="array" ref="B352">SUMPRODUCT(('TREASURY FILE'!B251:B5252=$B$4)*('TREASURY FILE'!D251:D5252="TURNOVER")*('TREASURY FILE'!A251:A5252=A352)*('TREASURY FILE'!F251:F5252))</f>
        <v>0</v>
      </c>
      <c r="C352" s="24" cm="1">
        <f t="array" ref="C352">SUMPRODUCT(('TREASURY FILE'!B251:B5252=$C$4)*('TREASURY FILE'!D251:D5252="TURNOVER")*('TREASURY FILE'!A251:A5252=A352)*('TREASURY FILE'!F251:F5252))</f>
        <v>103065161.81220503</v>
      </c>
      <c r="D352" s="24" cm="1">
        <f t="array" ref="D352">SUMPRODUCT(('TREASURY FILE'!B251:B5252=$D$4)*('TREASURY FILE'!D251:D5252="TURNOVER")*('TREASURY FILE'!A251:A5252=A352)*('TREASURY FILE'!F251:F5252))</f>
        <v>140593.85360422739</v>
      </c>
      <c r="E352" s="31">
        <f t="shared" si="17"/>
        <v>103205755.66580926</v>
      </c>
      <c r="G352" s="24" cm="1">
        <f t="array" ref="G352">SUMPRODUCT(('TREASURY FILE'!B251:B5252=$G$4)*('TREASURY FILE'!D251:D5252="INCOME")*('TREASURY FILE'!A251:A5252=A352)*('TREASURY FILE'!F251:F5252))</f>
        <v>0</v>
      </c>
      <c r="H352" s="24" cm="1">
        <f t="array" ref="H352">SUMPRODUCT(('TREASURY FILE'!B251:B5252=$H$4)*('TREASURY FILE'!D251:D5252="INCOME")*('TREASURY FILE'!A251:A5252=A352)*('TREASURY FILE'!F251:F5252))</f>
        <v>26912.710105575192</v>
      </c>
      <c r="I352" s="24" cm="1">
        <f t="array" ref="I352">SUMPRODUCT(('TREASURY FILE'!D260:D5252=$I$4)*('TREASURY FILE'!F260:F5252="INCOME")*('TREASURY FILE'!C260:C5252=C352)*('TREASURY FILE'!H260:H5252))</f>
        <v>0</v>
      </c>
      <c r="J352" s="31">
        <f t="shared" si="18"/>
        <v>26912.710105575192</v>
      </c>
      <c r="K352" s="33">
        <f t="shared" si="19"/>
        <v>2.6076753115127885E-4</v>
      </c>
    </row>
    <row r="353" spans="1:11" x14ac:dyDescent="0.3">
      <c r="A353" s="30">
        <v>46006</v>
      </c>
      <c r="B353" s="24" cm="1">
        <f t="array" ref="B353">SUMPRODUCT(('TREASURY FILE'!B252:B5253=$B$4)*('TREASURY FILE'!D252:D5253="TURNOVER")*('TREASURY FILE'!A252:A5253=A353)*('TREASURY FILE'!F252:F5253))</f>
        <v>0</v>
      </c>
      <c r="C353" s="24" cm="1">
        <f t="array" ref="C353">SUMPRODUCT(('TREASURY FILE'!B252:B5253=$C$4)*('TREASURY FILE'!D252:D5253="TURNOVER")*('TREASURY FILE'!A252:A5253=A353)*('TREASURY FILE'!F252:F5253))</f>
        <v>129267707.49335973</v>
      </c>
      <c r="D353" s="24" cm="1">
        <f t="array" ref="D353">SUMPRODUCT(('TREASURY FILE'!B252:B5253=$D$4)*('TREASURY FILE'!D252:D5253="TURNOVER")*('TREASURY FILE'!A252:A5253=A353)*('TREASURY FILE'!F252:F5253))</f>
        <v>0</v>
      </c>
      <c r="E353" s="31">
        <f t="shared" si="17"/>
        <v>129267707.49335973</v>
      </c>
      <c r="G353" s="24" cm="1">
        <f t="array" ref="G353">SUMPRODUCT(('TREASURY FILE'!B252:B5253=$G$4)*('TREASURY FILE'!D252:D5253="INCOME")*('TREASURY FILE'!A252:A5253=A353)*('TREASURY FILE'!F252:F5253))</f>
        <v>0</v>
      </c>
      <c r="H353" s="24" cm="1">
        <f t="array" ref="H353">SUMPRODUCT(('TREASURY FILE'!B252:B5253=$H$4)*('TREASURY FILE'!D252:D5253="INCOME")*('TREASURY FILE'!A252:A5253=A353)*('TREASURY FILE'!F252:F5253))</f>
        <v>34360.131500703377</v>
      </c>
      <c r="I353" s="24" cm="1">
        <f t="array" ref="I353">SUMPRODUCT(('TREASURY FILE'!D261:D5253=$I$4)*('TREASURY FILE'!F261:F5253="INCOME")*('TREASURY FILE'!C261:C5253=C353)*('TREASURY FILE'!H261:H5253))</f>
        <v>0</v>
      </c>
      <c r="J353" s="31">
        <f t="shared" si="18"/>
        <v>34360.131500703377</v>
      </c>
      <c r="K353" s="33">
        <f t="shared" si="19"/>
        <v>2.6580599414179599E-4</v>
      </c>
    </row>
    <row r="354" spans="1:11" x14ac:dyDescent="0.3">
      <c r="A354" s="30">
        <v>46007</v>
      </c>
      <c r="B354" s="24" cm="1">
        <f t="array" ref="B354">SUMPRODUCT(('TREASURY FILE'!B253:B5254=$B$4)*('TREASURY FILE'!D253:D5254="TURNOVER")*('TREASURY FILE'!A253:A5254=A354)*('TREASURY FILE'!F253:F5254))</f>
        <v>0</v>
      </c>
      <c r="C354" s="24" cm="1">
        <f t="array" ref="C354">SUMPRODUCT(('TREASURY FILE'!B253:B5254=$C$4)*('TREASURY FILE'!D253:D5254="TURNOVER")*('TREASURY FILE'!A253:A5254=A354)*('TREASURY FILE'!F253:F5254))</f>
        <v>124868080.98996349</v>
      </c>
      <c r="D354" s="24" cm="1">
        <f t="array" ref="D354">SUMPRODUCT(('TREASURY FILE'!B253:B5254=$D$4)*('TREASURY FILE'!D253:D5254="TURNOVER")*('TREASURY FILE'!A253:A5254=A354)*('TREASURY FILE'!F253:F5254))</f>
        <v>511298.32807285507</v>
      </c>
      <c r="E354" s="31">
        <f t="shared" si="17"/>
        <v>125379379.31803635</v>
      </c>
      <c r="G354" s="24" cm="1">
        <f t="array" ref="G354">SUMPRODUCT(('TREASURY FILE'!B253:B5254=$G$4)*('TREASURY FILE'!D253:D5254="INCOME")*('TREASURY FILE'!A253:A5254=A354)*('TREASURY FILE'!F253:F5254))</f>
        <v>0</v>
      </c>
      <c r="H354" s="24" cm="1">
        <f t="array" ref="H354">SUMPRODUCT(('TREASURY FILE'!B253:B5254=$H$4)*('TREASURY FILE'!D253:D5254="INCOME")*('TREASURY FILE'!A253:A5254=A354)*('TREASURY FILE'!F253:F5254))</f>
        <v>33302.661614285833</v>
      </c>
      <c r="I354" s="24" cm="1">
        <f t="array" ref="I354">SUMPRODUCT(('TREASURY FILE'!D262:D5254=$I$4)*('TREASURY FILE'!F262:F5254="INCOME")*('TREASURY FILE'!C262:C5254=C354)*('TREASURY FILE'!H262:H5254))</f>
        <v>0</v>
      </c>
      <c r="J354" s="31">
        <f t="shared" si="18"/>
        <v>33302.661614285833</v>
      </c>
      <c r="K354" s="33">
        <f t="shared" si="19"/>
        <v>2.656151417834871E-4</v>
      </c>
    </row>
    <row r="355" spans="1:11" x14ac:dyDescent="0.3">
      <c r="A355" s="30">
        <v>46008</v>
      </c>
      <c r="B355" s="24" cm="1">
        <f t="array" ref="B355">SUMPRODUCT(('TREASURY FILE'!B254:B5255=$B$4)*('TREASURY FILE'!D254:D5255="TURNOVER")*('TREASURY FILE'!A254:A5255=A355)*('TREASURY FILE'!F254:F5255))</f>
        <v>0</v>
      </c>
      <c r="C355" s="24" cm="1">
        <f t="array" ref="C355">SUMPRODUCT(('TREASURY FILE'!B254:B5255=$C$4)*('TREASURY FILE'!D254:D5255="TURNOVER")*('TREASURY FILE'!A254:A5255=A355)*('TREASURY FILE'!F254:F5255))</f>
        <v>112961653.58510594</v>
      </c>
      <c r="D355" s="24" cm="1">
        <f t="array" ref="D355">SUMPRODUCT(('TREASURY FILE'!B254:B5255=$D$4)*('TREASURY FILE'!D254:D5255="TURNOVER")*('TREASURY FILE'!A254:A5255=A355)*('TREASURY FILE'!F254:F5255))</f>
        <v>26069.696080555241</v>
      </c>
      <c r="E355" s="31">
        <f t="shared" si="17"/>
        <v>112987723.28118649</v>
      </c>
      <c r="G355" s="24" cm="1">
        <f t="array" ref="G355">SUMPRODUCT(('TREASURY FILE'!B254:B5255=$G$4)*('TREASURY FILE'!D254:D5255="INCOME")*('TREASURY FILE'!A254:A5255=A355)*('TREASURY FILE'!F254:F5255))</f>
        <v>0</v>
      </c>
      <c r="H355" s="24" cm="1">
        <f t="array" ref="H355">SUMPRODUCT(('TREASURY FILE'!B254:B5255=$H$4)*('TREASURY FILE'!D254:D5255="INCOME")*('TREASURY FILE'!A254:A5255=A355)*('TREASURY FILE'!F254:F5255))</f>
        <v>30784.724172523573</v>
      </c>
      <c r="I355" s="24" cm="1">
        <f t="array" ref="I355">SUMPRODUCT(('TREASURY FILE'!D263:D5255=$I$4)*('TREASURY FILE'!F263:F5255="INCOME")*('TREASURY FILE'!C263:C5255=C355)*('TREASURY FILE'!H263:H5255))</f>
        <v>0</v>
      </c>
      <c r="J355" s="31">
        <f t="shared" si="18"/>
        <v>30784.724172523573</v>
      </c>
      <c r="K355" s="33">
        <f t="shared" si="19"/>
        <v>2.7246078846912666E-4</v>
      </c>
    </row>
    <row r="356" spans="1:11" x14ac:dyDescent="0.3">
      <c r="A356" s="30">
        <v>46009</v>
      </c>
      <c r="B356" s="24" cm="1">
        <f t="array" ref="B356">SUMPRODUCT(('TREASURY FILE'!B255:B5256=$B$4)*('TREASURY FILE'!D255:D5256="TURNOVER")*('TREASURY FILE'!A255:A5256=A356)*('TREASURY FILE'!F255:F5256))</f>
        <v>0</v>
      </c>
      <c r="C356" s="24" cm="1">
        <f t="array" ref="C356">SUMPRODUCT(('TREASURY FILE'!B255:B5256=$C$4)*('TREASURY FILE'!D255:D5256="TURNOVER")*('TREASURY FILE'!A255:A5256=A356)*('TREASURY FILE'!F255:F5256))</f>
        <v>128571317.78694376</v>
      </c>
      <c r="D356" s="24" cm="1">
        <f t="array" ref="D356">SUMPRODUCT(('TREASURY FILE'!B255:B5256=$D$4)*('TREASURY FILE'!D255:D5256="TURNOVER")*('TREASURY FILE'!A255:A5256=A356)*('TREASURY FILE'!F255:F5256))</f>
        <v>37105.813765359817</v>
      </c>
      <c r="E356" s="31">
        <f t="shared" si="17"/>
        <v>128608423.60070913</v>
      </c>
      <c r="G356" s="24" cm="1">
        <f t="array" ref="G356">SUMPRODUCT(('TREASURY FILE'!B255:B5256=$G$4)*('TREASURY FILE'!D255:D5256="INCOME")*('TREASURY FILE'!A255:A5256=A356)*('TREASURY FILE'!F255:F5256))</f>
        <v>0</v>
      </c>
      <c r="H356" s="24" cm="1">
        <f t="array" ref="H356">SUMPRODUCT(('TREASURY FILE'!B255:B5256=$H$4)*('TREASURY FILE'!D255:D5256="INCOME")*('TREASURY FILE'!A255:A5256=A356)*('TREASURY FILE'!F255:F5256))</f>
        <v>35174.909080947378</v>
      </c>
      <c r="I356" s="24" cm="1">
        <f t="array" ref="I356">SUMPRODUCT(('TREASURY FILE'!D264:D5256=$I$4)*('TREASURY FILE'!F264:F5256="INCOME")*('TREASURY FILE'!C264:C5256=C356)*('TREASURY FILE'!H264:H5256))</f>
        <v>0</v>
      </c>
      <c r="J356" s="31">
        <f t="shared" si="18"/>
        <v>35174.909080947378</v>
      </c>
      <c r="K356" s="33">
        <f t="shared" si="19"/>
        <v>2.7350392840639275E-4</v>
      </c>
    </row>
    <row r="357" spans="1:11" x14ac:dyDescent="0.3">
      <c r="A357" s="30">
        <v>46010</v>
      </c>
      <c r="B357" s="24" cm="1">
        <f t="array" ref="B357">SUMPRODUCT(('TREASURY FILE'!B256:B5257=$B$4)*('TREASURY FILE'!D256:D5257="TURNOVER")*('TREASURY FILE'!A256:A5257=A357)*('TREASURY FILE'!F256:F5257))</f>
        <v>0</v>
      </c>
      <c r="C357" s="24" cm="1">
        <f t="array" ref="C357">SUMPRODUCT(('TREASURY FILE'!B256:B5257=$C$4)*('TREASURY FILE'!D256:D5257="TURNOVER")*('TREASURY FILE'!A256:A5257=A357)*('TREASURY FILE'!F256:F5257))</f>
        <v>124206071.43476686</v>
      </c>
      <c r="D357" s="24" cm="1">
        <f t="array" ref="D357">SUMPRODUCT(('TREASURY FILE'!B256:B5257=$D$4)*('TREASURY FILE'!D256:D5257="TURNOVER")*('TREASURY FILE'!A256:A5257=A357)*('TREASURY FILE'!F256:F5257))</f>
        <v>0</v>
      </c>
      <c r="E357" s="31">
        <f t="shared" si="17"/>
        <v>124206071.43476686</v>
      </c>
      <c r="G357" s="24" cm="1">
        <f t="array" ref="G357">SUMPRODUCT(('TREASURY FILE'!B256:B5257=$G$4)*('TREASURY FILE'!D256:D5257="INCOME")*('TREASURY FILE'!A256:A5257=A357)*('TREASURY FILE'!F256:F5257))</f>
        <v>0</v>
      </c>
      <c r="H357" s="24" cm="1">
        <f t="array" ref="H357">SUMPRODUCT(('TREASURY FILE'!B256:B5257=$H$4)*('TREASURY FILE'!D256:D5257="INCOME")*('TREASURY FILE'!A256:A5257=A357)*('TREASURY FILE'!F256:F5257))</f>
        <v>34370.540909400028</v>
      </c>
      <c r="I357" s="24" cm="1">
        <f t="array" ref="I357">SUMPRODUCT(('TREASURY FILE'!D265:D5257=$I$4)*('TREASURY FILE'!F265:F5257="INCOME")*('TREASURY FILE'!C265:C5257=C357)*('TREASURY FILE'!H265:H5257))</f>
        <v>0</v>
      </c>
      <c r="J357" s="31">
        <f t="shared" si="18"/>
        <v>34370.540909400028</v>
      </c>
      <c r="K357" s="33">
        <f t="shared" si="19"/>
        <v>2.7672190668595029E-4</v>
      </c>
    </row>
    <row r="358" spans="1:11" x14ac:dyDescent="0.3">
      <c r="A358" s="30">
        <v>46011</v>
      </c>
      <c r="B358" s="24" cm="1">
        <f t="array" ref="B358">SUMPRODUCT(('TREASURY FILE'!B257:B5258=$B$4)*('TREASURY FILE'!D257:D5258="TURNOVER")*('TREASURY FILE'!A257:A5258=A358)*('TREASURY FILE'!F257:F5258))</f>
        <v>0</v>
      </c>
      <c r="C358" s="24" cm="1">
        <f t="array" ref="C358">SUMPRODUCT(('TREASURY FILE'!B257:B5258=$C$4)*('TREASURY FILE'!D257:D5258="TURNOVER")*('TREASURY FILE'!A257:A5258=A358)*('TREASURY FILE'!F257:F5258))</f>
        <v>110376359.9721967</v>
      </c>
      <c r="D358" s="24" cm="1">
        <f t="array" ref="D358">SUMPRODUCT(('TREASURY FILE'!B257:B5258=$D$4)*('TREASURY FILE'!D257:D5258="TURNOVER")*('TREASURY FILE'!A257:A5258=A358)*('TREASURY FILE'!F257:F5258))</f>
        <v>705442.90850058536</v>
      </c>
      <c r="E358" s="31">
        <f t="shared" si="17"/>
        <v>111081802.88069728</v>
      </c>
      <c r="G358" s="24" cm="1">
        <f t="array" ref="G358">SUMPRODUCT(('TREASURY FILE'!B257:B5258=$G$4)*('TREASURY FILE'!D257:D5258="INCOME")*('TREASURY FILE'!A257:A5258=A358)*('TREASURY FILE'!F257:F5258))</f>
        <v>0</v>
      </c>
      <c r="H358" s="24" cm="1">
        <f t="array" ref="H358">SUMPRODUCT(('TREASURY FILE'!B257:B5258=$H$4)*('TREASURY FILE'!D257:D5258="INCOME")*('TREASURY FILE'!A257:A5258=A358)*('TREASURY FILE'!F257:F5258))</f>
        <v>29489.871684842969</v>
      </c>
      <c r="I358" s="24" cm="1">
        <f t="array" ref="I358">SUMPRODUCT(('TREASURY FILE'!D266:D5258=$I$4)*('TREASURY FILE'!F266:F5258="INCOME")*('TREASURY FILE'!C266:C5258=C358)*('TREASURY FILE'!H266:H5258))</f>
        <v>0</v>
      </c>
      <c r="J358" s="31">
        <f t="shared" si="18"/>
        <v>29489.871684842969</v>
      </c>
      <c r="K358" s="33">
        <f t="shared" si="19"/>
        <v>2.6547887160703826E-4</v>
      </c>
    </row>
    <row r="359" spans="1:11" x14ac:dyDescent="0.3">
      <c r="A359" s="30">
        <v>46012</v>
      </c>
      <c r="B359" s="24" cm="1">
        <f t="array" ref="B359">SUMPRODUCT(('TREASURY FILE'!B258:B5259=$B$4)*('TREASURY FILE'!D258:D5259="TURNOVER")*('TREASURY FILE'!A258:A5259=A359)*('TREASURY FILE'!F258:F5259))</f>
        <v>0</v>
      </c>
      <c r="C359" s="24" cm="1">
        <f t="array" ref="C359">SUMPRODUCT(('TREASURY FILE'!B258:B5259=$C$4)*('TREASURY FILE'!D258:D5259="TURNOVER")*('TREASURY FILE'!A258:A5259=A359)*('TREASURY FILE'!F258:F5259))</f>
        <v>132738062.88850984</v>
      </c>
      <c r="D359" s="24" cm="1">
        <f t="array" ref="D359">SUMPRODUCT(('TREASURY FILE'!B258:B5259=$D$4)*('TREASURY FILE'!D258:D5259="TURNOVER")*('TREASURY FILE'!A258:A5259=A359)*('TREASURY FILE'!F258:F5259))</f>
        <v>613920.30135273351</v>
      </c>
      <c r="E359" s="31">
        <f t="shared" si="17"/>
        <v>133351983.18986258</v>
      </c>
      <c r="G359" s="24" cm="1">
        <f t="array" ref="G359">SUMPRODUCT(('TREASURY FILE'!B258:B5259=$G$4)*('TREASURY FILE'!D258:D5259="INCOME")*('TREASURY FILE'!A258:A5259=A359)*('TREASURY FILE'!F258:F5259))</f>
        <v>0</v>
      </c>
      <c r="H359" s="24" cm="1">
        <f t="array" ref="H359">SUMPRODUCT(('TREASURY FILE'!B258:B5259=$H$4)*('TREASURY FILE'!D258:D5259="INCOME")*('TREASURY FILE'!A258:A5259=A359)*('TREASURY FILE'!F258:F5259))</f>
        <v>36602.969341018834</v>
      </c>
      <c r="I359" s="24" cm="1">
        <f t="array" ref="I359">SUMPRODUCT(('TREASURY FILE'!D267:D5259=$I$4)*('TREASURY FILE'!F267:F5259="INCOME")*('TREASURY FILE'!C267:C5259=C359)*('TREASURY FILE'!H267:H5259))</f>
        <v>0</v>
      </c>
      <c r="J359" s="31">
        <f t="shared" si="18"/>
        <v>36602.969341018834</v>
      </c>
      <c r="K359" s="33">
        <f t="shared" si="19"/>
        <v>2.7448387692071005E-4</v>
      </c>
    </row>
    <row r="360" spans="1:11" x14ac:dyDescent="0.3">
      <c r="A360" s="30">
        <v>46013</v>
      </c>
      <c r="B360" s="24" cm="1">
        <f t="array" ref="B360">SUMPRODUCT(('TREASURY FILE'!B259:B5260=$B$4)*('TREASURY FILE'!D259:D5260="TURNOVER")*('TREASURY FILE'!A259:A5260=A360)*('TREASURY FILE'!F259:F5260))</f>
        <v>0</v>
      </c>
      <c r="C360" s="24" cm="1">
        <f t="array" ref="C360">SUMPRODUCT(('TREASURY FILE'!B259:B5260=$C$4)*('TREASURY FILE'!D259:D5260="TURNOVER")*('TREASURY FILE'!A259:A5260=A360)*('TREASURY FILE'!F259:F5260))</f>
        <v>130630436.78045021</v>
      </c>
      <c r="D360" s="24" cm="1">
        <f t="array" ref="D360">SUMPRODUCT(('TREASURY FILE'!B259:B5260=$D$4)*('TREASURY FILE'!D259:D5260="TURNOVER")*('TREASURY FILE'!A259:A5260=A360)*('TREASURY FILE'!F259:F5260))</f>
        <v>187311.89105736982</v>
      </c>
      <c r="E360" s="31">
        <f t="shared" si="17"/>
        <v>130817748.67150758</v>
      </c>
      <c r="G360" s="24" cm="1">
        <f t="array" ref="G360">SUMPRODUCT(('TREASURY FILE'!B259:B5260=$G$4)*('TREASURY FILE'!D259:D5260="INCOME")*('TREASURY FILE'!A259:A5260=A360)*('TREASURY FILE'!F259:F5260))</f>
        <v>0</v>
      </c>
      <c r="H360" s="24" cm="1">
        <f t="array" ref="H360">SUMPRODUCT(('TREASURY FILE'!B259:B5260=$H$4)*('TREASURY FILE'!D259:D5260="INCOME")*('TREASURY FILE'!A259:A5260=A360)*('TREASURY FILE'!F259:F5260))</f>
        <v>36620.619636876181</v>
      </c>
      <c r="I360" s="24" cm="1">
        <f t="array" ref="I360">SUMPRODUCT(('TREASURY FILE'!D268:D5260=$I$4)*('TREASURY FILE'!F268:F5260="INCOME")*('TREASURY FILE'!C268:C5260=C360)*('TREASURY FILE'!H268:H5260))</f>
        <v>0</v>
      </c>
      <c r="J360" s="31">
        <f t="shared" si="18"/>
        <v>36620.619636876181</v>
      </c>
      <c r="K360" s="33">
        <f t="shared" si="19"/>
        <v>2.7993617080839E-4</v>
      </c>
    </row>
    <row r="361" spans="1:11" x14ac:dyDescent="0.3">
      <c r="A361" s="30">
        <v>46014</v>
      </c>
      <c r="B361" s="24" cm="1">
        <f t="array" ref="B361">SUMPRODUCT(('TREASURY FILE'!B260:B5261=$B$4)*('TREASURY FILE'!D260:D5261="TURNOVER")*('TREASURY FILE'!A260:A5261=A361)*('TREASURY FILE'!F260:F5261))</f>
        <v>0</v>
      </c>
      <c r="C361" s="24" cm="1">
        <f t="array" ref="C361">SUMPRODUCT(('TREASURY FILE'!B260:B5261=$C$4)*('TREASURY FILE'!D260:D5261="TURNOVER")*('TREASURY FILE'!A260:A5261=A361)*('TREASURY FILE'!F260:F5261))</f>
        <v>120089660.75508748</v>
      </c>
      <c r="D361" s="24" cm="1">
        <f t="array" ref="D361">SUMPRODUCT(('TREASURY FILE'!B260:B5261=$D$4)*('TREASURY FILE'!D260:D5261="TURNOVER")*('TREASURY FILE'!A260:A5261=A361)*('TREASURY FILE'!F260:F5261))</f>
        <v>536351.3761794942</v>
      </c>
      <c r="E361" s="31">
        <f t="shared" si="17"/>
        <v>120626012.13126698</v>
      </c>
      <c r="G361" s="24" cm="1">
        <f t="array" ref="G361">SUMPRODUCT(('TREASURY FILE'!B260:B5261=$G$4)*('TREASURY FILE'!D260:D5261="INCOME")*('TREASURY FILE'!A260:A5261=A361)*('TREASURY FILE'!F260:F5261))</f>
        <v>0</v>
      </c>
      <c r="H361" s="24" cm="1">
        <f t="array" ref="H361">SUMPRODUCT(('TREASURY FILE'!B260:B5261=$H$4)*('TREASURY FILE'!D260:D5261="INCOME")*('TREASURY FILE'!A260:A5261=A361)*('TREASURY FILE'!F260:F5261))</f>
        <v>32800.375578456078</v>
      </c>
      <c r="I361" s="24" cm="1">
        <f t="array" ref="I361">SUMPRODUCT(('TREASURY FILE'!D269:D5261=$I$4)*('TREASURY FILE'!F269:F5261="INCOME")*('TREASURY FILE'!C269:C5261=C361)*('TREASURY FILE'!H269:H5261))</f>
        <v>0</v>
      </c>
      <c r="J361" s="31">
        <f t="shared" si="18"/>
        <v>32800.375578456078</v>
      </c>
      <c r="K361" s="33">
        <f t="shared" si="19"/>
        <v>2.7191793046065578E-4</v>
      </c>
    </row>
    <row r="362" spans="1:11" x14ac:dyDescent="0.3">
      <c r="A362" s="30">
        <v>46015</v>
      </c>
      <c r="B362" s="24" cm="1">
        <f t="array" ref="B362">SUMPRODUCT(('TREASURY FILE'!B261:B5262=$B$4)*('TREASURY FILE'!D261:D5262="TURNOVER")*('TREASURY FILE'!A261:A5262=A362)*('TREASURY FILE'!F261:F5262))</f>
        <v>0</v>
      </c>
      <c r="C362" s="24" cm="1">
        <f t="array" ref="C362">SUMPRODUCT(('TREASURY FILE'!B261:B5262=$C$4)*('TREASURY FILE'!D261:D5262="TURNOVER")*('TREASURY FILE'!A261:A5262=A362)*('TREASURY FILE'!F261:F5262))</f>
        <v>100793697.70058601</v>
      </c>
      <c r="D362" s="24" cm="1">
        <f t="array" ref="D362">SUMPRODUCT(('TREASURY FILE'!B261:B5262=$D$4)*('TREASURY FILE'!D261:D5262="TURNOVER")*('TREASURY FILE'!A261:A5262=A362)*('TREASURY FILE'!F261:F5262))</f>
        <v>314997.49087528687</v>
      </c>
      <c r="E362" s="31">
        <f t="shared" si="17"/>
        <v>101108695.19146129</v>
      </c>
      <c r="G362" s="24" cm="1">
        <f t="array" ref="G362">SUMPRODUCT(('TREASURY FILE'!B261:B5262=$G$4)*('TREASURY FILE'!D261:D5262="INCOME")*('TREASURY FILE'!A261:A5262=A362)*('TREASURY FILE'!F261:F5262))</f>
        <v>0</v>
      </c>
      <c r="H362" s="24" cm="1">
        <f t="array" ref="H362">SUMPRODUCT(('TREASURY FILE'!B261:B5262=$H$4)*('TREASURY FILE'!D261:D5262="INCOME")*('TREASURY FILE'!A261:A5262=A362)*('TREASURY FILE'!F261:F5262))</f>
        <v>27693.035415568636</v>
      </c>
      <c r="I362" s="24" cm="1">
        <f t="array" ref="I362">SUMPRODUCT(('TREASURY FILE'!D270:D5262=$I$4)*('TREASURY FILE'!F270:F5262="INCOME")*('TREASURY FILE'!C270:C5262=C362)*('TREASURY FILE'!H270:H5262))</f>
        <v>0</v>
      </c>
      <c r="J362" s="31">
        <f t="shared" si="18"/>
        <v>27693.035415568636</v>
      </c>
      <c r="K362" s="33">
        <f t="shared" si="19"/>
        <v>2.7389370778772875E-4</v>
      </c>
    </row>
    <row r="363" spans="1:11" x14ac:dyDescent="0.3">
      <c r="A363" s="30">
        <v>46016</v>
      </c>
      <c r="B363" s="24" cm="1">
        <f t="array" ref="B363">SUMPRODUCT(('TREASURY FILE'!B262:B5263=$B$4)*('TREASURY FILE'!D262:D5263="TURNOVER")*('TREASURY FILE'!A262:A5263=A363)*('TREASURY FILE'!F262:F5263))</f>
        <v>0</v>
      </c>
      <c r="C363" s="24" cm="1">
        <f t="array" ref="C363">SUMPRODUCT(('TREASURY FILE'!B262:B5263=$C$4)*('TREASURY FILE'!D262:D5263="TURNOVER")*('TREASURY FILE'!A262:A5263=A363)*('TREASURY FILE'!F262:F5263))</f>
        <v>102299177.45962228</v>
      </c>
      <c r="D363" s="24" cm="1">
        <f t="array" ref="D363">SUMPRODUCT(('TREASURY FILE'!B262:B5263=$D$4)*('TREASURY FILE'!D262:D5263="TURNOVER")*('TREASURY FILE'!A262:A5263=A363)*('TREASURY FILE'!F262:F5263))</f>
        <v>438801.95464928466</v>
      </c>
      <c r="E363" s="31">
        <f t="shared" si="17"/>
        <v>102737979.41427156</v>
      </c>
      <c r="G363" s="24" cm="1">
        <f t="array" ref="G363">SUMPRODUCT(('TREASURY FILE'!B262:B5263=$G$4)*('TREASURY FILE'!D262:D5263="INCOME")*('TREASURY FILE'!A262:A5263=A363)*('TREASURY FILE'!F262:F5263))</f>
        <v>0</v>
      </c>
      <c r="H363" s="24" cm="1">
        <f t="array" ref="H363">SUMPRODUCT(('TREASURY FILE'!B262:B5263=$H$4)*('TREASURY FILE'!D262:D5263="INCOME")*('TREASURY FILE'!A262:A5263=A363)*('TREASURY FILE'!F262:F5263))</f>
        <v>28601.850456194519</v>
      </c>
      <c r="I363" s="24" cm="1">
        <f t="array" ref="I363">SUMPRODUCT(('TREASURY FILE'!D271:D5263=$I$4)*('TREASURY FILE'!F271:F5263="INCOME")*('TREASURY FILE'!C271:C5263=C363)*('TREASURY FILE'!H271:H5263))</f>
        <v>0</v>
      </c>
      <c r="J363" s="31">
        <f t="shared" si="18"/>
        <v>28601.850456194519</v>
      </c>
      <c r="K363" s="33">
        <f t="shared" si="19"/>
        <v>2.7839607727598908E-4</v>
      </c>
    </row>
    <row r="364" spans="1:11" x14ac:dyDescent="0.3">
      <c r="A364" s="30">
        <v>46017</v>
      </c>
      <c r="B364" s="24" cm="1">
        <f t="array" ref="B364">SUMPRODUCT(('TREASURY FILE'!B263:B5264=$B$4)*('TREASURY FILE'!D263:D5264="TURNOVER")*('TREASURY FILE'!A263:A5264=A364)*('TREASURY FILE'!F263:F5264))</f>
        <v>0</v>
      </c>
      <c r="C364" s="24" cm="1">
        <f t="array" ref="C364">SUMPRODUCT(('TREASURY FILE'!B263:B5264=$C$4)*('TREASURY FILE'!D263:D5264="TURNOVER")*('TREASURY FILE'!A263:A5264=A364)*('TREASURY FILE'!F263:F5264))</f>
        <v>106482330.01871011</v>
      </c>
      <c r="D364" s="24" cm="1">
        <f t="array" ref="D364">SUMPRODUCT(('TREASURY FILE'!B263:B5264=$D$4)*('TREASURY FILE'!D263:D5264="TURNOVER")*('TREASURY FILE'!A263:A5264=A364)*('TREASURY FILE'!F263:F5264))</f>
        <v>485216.20976831042</v>
      </c>
      <c r="E364" s="31">
        <f t="shared" si="17"/>
        <v>106967546.22847842</v>
      </c>
      <c r="G364" s="24" cm="1">
        <f t="array" ref="G364">SUMPRODUCT(('TREASURY FILE'!B263:B5264=$G$4)*('TREASURY FILE'!D263:D5264="INCOME")*('TREASURY FILE'!A263:A5264=A364)*('TREASURY FILE'!F263:F5264))</f>
        <v>0</v>
      </c>
      <c r="H364" s="24" cm="1">
        <f t="array" ref="H364">SUMPRODUCT(('TREASURY FILE'!B263:B5264=$H$4)*('TREASURY FILE'!D263:D5264="INCOME")*('TREASURY FILE'!A263:A5264=A364)*('TREASURY FILE'!F263:F5264))</f>
        <v>30160.551282670036</v>
      </c>
      <c r="I364" s="24" cm="1">
        <f t="array" ref="I364">SUMPRODUCT(('TREASURY FILE'!D272:D5264=$I$4)*('TREASURY FILE'!F272:F5264="INCOME")*('TREASURY FILE'!C272:C5264=C364)*('TREASURY FILE'!H272:H5264))</f>
        <v>0</v>
      </c>
      <c r="J364" s="31">
        <f t="shared" si="18"/>
        <v>30160.551282670036</v>
      </c>
      <c r="K364" s="33">
        <f t="shared" si="19"/>
        <v>2.8195983123935835E-4</v>
      </c>
    </row>
    <row r="365" spans="1:11" x14ac:dyDescent="0.3">
      <c r="A365" s="30">
        <v>46018</v>
      </c>
      <c r="B365" s="24" cm="1">
        <f t="array" ref="B365">SUMPRODUCT(('TREASURY FILE'!B264:B5265=$B$4)*('TREASURY FILE'!D264:D5265="TURNOVER")*('TREASURY FILE'!A264:A5265=A365)*('TREASURY FILE'!F264:F5265))</f>
        <v>0</v>
      </c>
      <c r="C365" s="24" cm="1">
        <f t="array" ref="C365">SUMPRODUCT(('TREASURY FILE'!B264:B5265=$C$4)*('TREASURY FILE'!D264:D5265="TURNOVER")*('TREASURY FILE'!A264:A5265=A365)*('TREASURY FILE'!F264:F5265))</f>
        <v>99065010.29185918</v>
      </c>
      <c r="D365" s="24" cm="1">
        <f t="array" ref="D365">SUMPRODUCT(('TREASURY FILE'!B264:B5265=$D$4)*('TREASURY FILE'!D264:D5265="TURNOVER")*('TREASURY FILE'!A264:A5265=A365)*('TREASURY FILE'!F264:F5265))</f>
        <v>434549.029393779</v>
      </c>
      <c r="E365" s="31">
        <f t="shared" si="17"/>
        <v>99499559.321252957</v>
      </c>
      <c r="G365" s="24" cm="1">
        <f t="array" ref="G365">SUMPRODUCT(('TREASURY FILE'!B264:B5265=$G$4)*('TREASURY FILE'!D264:D5265="INCOME")*('TREASURY FILE'!A264:A5265=A365)*('TREASURY FILE'!F264:F5265))</f>
        <v>0</v>
      </c>
      <c r="H365" s="24" cm="1">
        <f t="array" ref="H365">SUMPRODUCT(('TREASURY FILE'!B264:B5265=$H$4)*('TREASURY FILE'!D264:D5265="INCOME")*('TREASURY FILE'!A264:A5265=A365)*('TREASURY FILE'!F264:F5265))</f>
        <v>27769.212773583717</v>
      </c>
      <c r="I365" s="24" cm="1">
        <f t="array" ref="I365">SUMPRODUCT(('TREASURY FILE'!D273:D5265=$I$4)*('TREASURY FILE'!F273:F5265="INCOME")*('TREASURY FILE'!C273:C5265=C365)*('TREASURY FILE'!H273:H5265))</f>
        <v>0</v>
      </c>
      <c r="J365" s="31">
        <f t="shared" si="18"/>
        <v>27769.212773583717</v>
      </c>
      <c r="K365" s="33">
        <f t="shared" si="19"/>
        <v>2.790888016290164E-4</v>
      </c>
    </row>
    <row r="366" spans="1:11" x14ac:dyDescent="0.3">
      <c r="A366" s="30">
        <v>46019</v>
      </c>
      <c r="B366" s="24" cm="1">
        <f t="array" ref="B366">SUMPRODUCT(('TREASURY FILE'!B265:B5266=$B$4)*('TREASURY FILE'!D265:D5266="TURNOVER")*('TREASURY FILE'!A265:A5266=A366)*('TREASURY FILE'!F265:F5266))</f>
        <v>0</v>
      </c>
      <c r="C366" s="24" cm="1">
        <f t="array" ref="C366">SUMPRODUCT(('TREASURY FILE'!B265:B5266=$C$4)*('TREASURY FILE'!D265:D5266="TURNOVER")*('TREASURY FILE'!A265:A5266=A366)*('TREASURY FILE'!F265:F5266))</f>
        <v>98991285.384362251</v>
      </c>
      <c r="D366" s="24" cm="1">
        <f t="array" ref="D366">SUMPRODUCT(('TREASURY FILE'!B265:B5266=$D$4)*('TREASURY FILE'!D265:D5266="TURNOVER")*('TREASURY FILE'!A265:A5266=A366)*('TREASURY FILE'!F265:F5266))</f>
        <v>169055.21819238816</v>
      </c>
      <c r="E366" s="31">
        <f t="shared" si="17"/>
        <v>99160340.602554634</v>
      </c>
      <c r="G366" s="24" cm="1">
        <f t="array" ref="G366">SUMPRODUCT(('TREASURY FILE'!B265:B5266=$G$4)*('TREASURY FILE'!D265:D5266="INCOME")*('TREASURY FILE'!A265:A5266=A366)*('TREASURY FILE'!F265:F5266))</f>
        <v>0</v>
      </c>
      <c r="H366" s="24" cm="1">
        <f t="array" ref="H366">SUMPRODUCT(('TREASURY FILE'!B265:B5266=$H$4)*('TREASURY FILE'!D265:D5266="INCOME")*('TREASURY FILE'!A265:A5266=A366)*('TREASURY FILE'!F265:F5266))</f>
        <v>28005.137606295022</v>
      </c>
      <c r="I366" s="24" cm="1">
        <f t="array" ref="I366">SUMPRODUCT(('TREASURY FILE'!D274:D5266=$I$4)*('TREASURY FILE'!F274:F5266="INCOME")*('TREASURY FILE'!C274:C5266=C366)*('TREASURY FILE'!H274:H5266))</f>
        <v>0</v>
      </c>
      <c r="J366" s="31">
        <f t="shared" si="18"/>
        <v>28005.137606295022</v>
      </c>
      <c r="K366" s="33">
        <f t="shared" si="19"/>
        <v>2.8242276535275974E-4</v>
      </c>
    </row>
    <row r="367" spans="1:11" x14ac:dyDescent="0.3">
      <c r="A367" s="30">
        <v>46020</v>
      </c>
      <c r="B367" s="24" cm="1">
        <f t="array" ref="B367">SUMPRODUCT(('TREASURY FILE'!B266:B5267=$B$4)*('TREASURY FILE'!D266:D5267="TURNOVER")*('TREASURY FILE'!A266:A5267=A367)*('TREASURY FILE'!F266:F5267))</f>
        <v>0</v>
      </c>
      <c r="C367" s="24" cm="1">
        <f t="array" ref="C367">SUMPRODUCT(('TREASURY FILE'!B266:B5267=$C$4)*('TREASURY FILE'!D266:D5267="TURNOVER")*('TREASURY FILE'!A266:A5267=A367)*('TREASURY FILE'!F266:F5267))</f>
        <v>115038118.83606777</v>
      </c>
      <c r="D367" s="24" cm="1">
        <f t="array" ref="D367">SUMPRODUCT(('TREASURY FILE'!B266:B5267=$D$4)*('TREASURY FILE'!D266:D5267="TURNOVER")*('TREASURY FILE'!A266:A5267=A367)*('TREASURY FILE'!F266:F5267))</f>
        <v>170416.50746567434</v>
      </c>
      <c r="E367" s="31">
        <f t="shared" si="17"/>
        <v>115208535.34353344</v>
      </c>
      <c r="G367" s="24" cm="1">
        <f t="array" ref="G367">SUMPRODUCT(('TREASURY FILE'!B266:B5267=$G$4)*('TREASURY FILE'!D266:D5267="INCOME")*('TREASURY FILE'!A266:A5267=A367)*('TREASURY FILE'!F266:F5267))</f>
        <v>0</v>
      </c>
      <c r="H367" s="24" cm="1">
        <f t="array" ref="H367">SUMPRODUCT(('TREASURY FILE'!B266:B5267=$H$4)*('TREASURY FILE'!D266:D5267="INCOME")*('TREASURY FILE'!A266:A5267=A367)*('TREASURY FILE'!F266:F5267))</f>
        <v>34191.060637372517</v>
      </c>
      <c r="I367" s="24" cm="1">
        <f t="array" ref="I367">SUMPRODUCT(('TREASURY FILE'!D275:D5267=$I$4)*('TREASURY FILE'!F275:F5267="INCOME")*('TREASURY FILE'!C275:C5267=C367)*('TREASURY FILE'!H275:H5267))</f>
        <v>0</v>
      </c>
      <c r="J367" s="31">
        <f t="shared" si="18"/>
        <v>34191.060637372517</v>
      </c>
      <c r="K367" s="33">
        <f t="shared" si="19"/>
        <v>2.9677541282353983E-4</v>
      </c>
    </row>
    <row r="368" spans="1:11" x14ac:dyDescent="0.3">
      <c r="A368" s="30">
        <v>46021</v>
      </c>
      <c r="B368" s="24" cm="1">
        <f t="array" ref="B368">SUMPRODUCT(('TREASURY FILE'!B267:B5268=$B$4)*('TREASURY FILE'!D267:D5268="TURNOVER")*('TREASURY FILE'!A267:A5268=A368)*('TREASURY FILE'!F267:F5268))</f>
        <v>0</v>
      </c>
      <c r="C368" s="24" cm="1">
        <f t="array" ref="C368">SUMPRODUCT(('TREASURY FILE'!B267:B5268=$C$4)*('TREASURY FILE'!D267:D5268="TURNOVER")*('TREASURY FILE'!A267:A5268=A368)*('TREASURY FILE'!F267:F5268))</f>
        <v>84882225.341059968</v>
      </c>
      <c r="D368" s="24" cm="1">
        <f t="array" ref="D368">SUMPRODUCT(('TREASURY FILE'!B267:B5268=$D$4)*('TREASURY FILE'!D267:D5268="TURNOVER")*('TREASURY FILE'!A267:A5268=A368)*('TREASURY FILE'!F267:F5268))</f>
        <v>366623.89747963217</v>
      </c>
      <c r="E368" s="31">
        <f t="shared" si="17"/>
        <v>85248849.238539606</v>
      </c>
      <c r="G368" s="24" cm="1">
        <f t="array" ref="G368">SUMPRODUCT(('TREASURY FILE'!B267:B5268=$G$4)*('TREASURY FILE'!D267:D5268="INCOME")*('TREASURY FILE'!A267:A5268=A368)*('TREASURY FILE'!F267:F5268))</f>
        <v>0</v>
      </c>
      <c r="H368" s="24" cm="1">
        <f t="array" ref="H368">SUMPRODUCT(('TREASURY FILE'!B267:B5268=$H$4)*('TREASURY FILE'!D267:D5268="INCOME")*('TREASURY FILE'!A267:A5268=A368)*('TREASURY FILE'!F267:F5268))</f>
        <v>23368.36853340975</v>
      </c>
      <c r="I368" s="24" cm="1">
        <f t="array" ref="I368">SUMPRODUCT(('TREASURY FILE'!D276:D5268=$I$4)*('TREASURY FILE'!F276:F5268="INCOME")*('TREASURY FILE'!C276:C5268=C368)*('TREASURY FILE'!H276:H5268))</f>
        <v>0</v>
      </c>
      <c r="J368" s="31">
        <f t="shared" si="18"/>
        <v>23368.36853340975</v>
      </c>
      <c r="K368" s="33">
        <f t="shared" si="19"/>
        <v>2.7411946017032326E-4</v>
      </c>
    </row>
    <row r="369" spans="1:11" x14ac:dyDescent="0.3">
      <c r="A369" s="30">
        <v>46022</v>
      </c>
      <c r="B369" s="24" cm="1">
        <f t="array" ref="B369">SUMPRODUCT(('TREASURY FILE'!B268:B5269=$B$4)*('TREASURY FILE'!D268:D5269="TURNOVER")*('TREASURY FILE'!A268:A5269=A369)*('TREASURY FILE'!F268:F5269))</f>
        <v>0</v>
      </c>
      <c r="C369" s="24" cm="1">
        <f t="array" ref="C369">SUMPRODUCT(('TREASURY FILE'!B268:B5269=$C$4)*('TREASURY FILE'!D268:D5269="TURNOVER")*('TREASURY FILE'!A268:A5269=A369)*('TREASURY FILE'!F268:F5269))</f>
        <v>109619689.06124732</v>
      </c>
      <c r="D369" s="24" cm="1">
        <f t="array" ref="D369">SUMPRODUCT(('TREASURY FILE'!B268:B5269=$D$4)*('TREASURY FILE'!D268:D5269="TURNOVER")*('TREASURY FILE'!A268:A5269=A369)*('TREASURY FILE'!F268:F5269))</f>
        <v>47804.173099440857</v>
      </c>
      <c r="E369" s="31">
        <f t="shared" si="17"/>
        <v>109667493.23434676</v>
      </c>
      <c r="G369" s="24" cm="1">
        <f t="array" ref="G369">SUMPRODUCT(('TREASURY FILE'!B268:B5269=$G$4)*('TREASURY FILE'!D268:D5269="INCOME")*('TREASURY FILE'!A268:A5269=A369)*('TREASURY FILE'!F268:F5269))</f>
        <v>0</v>
      </c>
      <c r="H369" s="24" cm="1">
        <f t="array" ref="H369">SUMPRODUCT(('TREASURY FILE'!B268:B5269=$H$4)*('TREASURY FILE'!D268:D5269="INCOME")*('TREASURY FILE'!A268:A5269=A369)*('TREASURY FILE'!F268:F5269))</f>
        <v>31236.555353512362</v>
      </c>
      <c r="I369" s="24" cm="1">
        <f t="array" ref="I369">SUMPRODUCT(('TREASURY FILE'!D277:D5269=$I$4)*('TREASURY FILE'!F277:F5269="INCOME")*('TREASURY FILE'!C277:C5269=C369)*('TREASURY FILE'!H277:H5269))</f>
        <v>0</v>
      </c>
      <c r="J369" s="31">
        <f t="shared" si="18"/>
        <v>31236.555353512362</v>
      </c>
      <c r="K369" s="33">
        <f t="shared" si="19"/>
        <v>2.8482966494696338E-4</v>
      </c>
    </row>
    <row r="370" spans="1:11" x14ac:dyDescent="0.3">
      <c r="A370" s="30">
        <v>46023</v>
      </c>
      <c r="B370" s="24" cm="1">
        <f t="array" ref="B370">SUMPRODUCT(('TREASURY FILE'!B269:B5270=$B$4)*('TREASURY FILE'!D269:D5270="TURNOVER")*('TREASURY FILE'!A269:A5270=A370)*('TREASURY FILE'!F269:F5270))</f>
        <v>0</v>
      </c>
      <c r="C370" s="24" cm="1">
        <f t="array" ref="C370">SUMPRODUCT(('TREASURY FILE'!B269:B5270=$C$4)*('TREASURY FILE'!D269:D5270="TURNOVER")*('TREASURY FILE'!A269:A5270=A370)*('TREASURY FILE'!F269:F5270))</f>
        <v>129813767.17222467</v>
      </c>
      <c r="D370" s="24" cm="1">
        <f t="array" ref="D370">SUMPRODUCT(('TREASURY FILE'!B269:B5270=$D$4)*('TREASURY FILE'!D269:D5270="TURNOVER")*('TREASURY FILE'!A269:A5270=A370)*('TREASURY FILE'!F269:F5270))</f>
        <v>311153.4295484398</v>
      </c>
      <c r="E370" s="31">
        <f t="shared" si="17"/>
        <v>130124920.60177311</v>
      </c>
      <c r="G370" s="24" cm="1">
        <f t="array" ref="G370">SUMPRODUCT(('TREASURY FILE'!B269:B5270=$G$4)*('TREASURY FILE'!D269:D5270="INCOME")*('TREASURY FILE'!A269:A5270=A370)*('TREASURY FILE'!F269:F5270))</f>
        <v>0</v>
      </c>
      <c r="H370" s="24" cm="1">
        <f t="array" ref="H370">SUMPRODUCT(('TREASURY FILE'!B269:B5270=$H$4)*('TREASURY FILE'!D269:D5270="INCOME")*('TREASURY FILE'!A269:A5270=A370)*('TREASURY FILE'!F269:F5270))</f>
        <v>37228.043936172253</v>
      </c>
      <c r="I370" s="24" cm="1">
        <f t="array" ref="I370">SUMPRODUCT(('TREASURY FILE'!D278:D5270=$I$4)*('TREASURY FILE'!F278:F5270="INCOME")*('TREASURY FILE'!C278:C5270=C370)*('TREASURY FILE'!H278:H5270))</f>
        <v>0</v>
      </c>
      <c r="J370" s="31">
        <f t="shared" si="18"/>
        <v>37228.043936172253</v>
      </c>
      <c r="K370" s="33">
        <f t="shared" si="19"/>
        <v>2.8609465246171283E-4</v>
      </c>
    </row>
    <row r="371" spans="1:11" x14ac:dyDescent="0.3">
      <c r="A371" s="30">
        <v>46024</v>
      </c>
      <c r="B371" s="24" cm="1">
        <f t="array" ref="B371">SUMPRODUCT(('TREASURY FILE'!B270:B5271=$B$4)*('TREASURY FILE'!D270:D5271="TURNOVER")*('TREASURY FILE'!A270:A5271=A371)*('TREASURY FILE'!F270:F5271))</f>
        <v>0</v>
      </c>
      <c r="C371" s="24" cm="1">
        <f t="array" ref="C371">SUMPRODUCT(('TREASURY FILE'!B270:B5271=$C$4)*('TREASURY FILE'!D270:D5271="TURNOVER")*('TREASURY FILE'!A270:A5271=A371)*('TREASURY FILE'!F270:F5271))</f>
        <v>168744423.10597554</v>
      </c>
      <c r="D371" s="24" cm="1">
        <f t="array" ref="D371">SUMPRODUCT(('TREASURY FILE'!B270:B5271=$D$4)*('TREASURY FILE'!D270:D5271="TURNOVER")*('TREASURY FILE'!A270:A5271=A371)*('TREASURY FILE'!F270:F5271))</f>
        <v>90144.4871924951</v>
      </c>
      <c r="E371" s="31">
        <f t="shared" si="17"/>
        <v>168834567.59316802</v>
      </c>
      <c r="G371" s="24" cm="1">
        <f t="array" ref="G371">SUMPRODUCT(('TREASURY FILE'!B270:B5271=$G$4)*('TREASURY FILE'!D270:D5271="INCOME")*('TREASURY FILE'!A270:A5271=A371)*('TREASURY FILE'!F270:F5271))</f>
        <v>0</v>
      </c>
      <c r="H371" s="24" cm="1">
        <f t="array" ref="H371">SUMPRODUCT(('TREASURY FILE'!B270:B5271=$H$4)*('TREASURY FILE'!D270:D5271="INCOME")*('TREASURY FILE'!A270:A5271=A371)*('TREASURY FILE'!F270:F5271))</f>
        <v>51056.71067529732</v>
      </c>
      <c r="I371" s="24" cm="1">
        <f t="array" ref="I371">SUMPRODUCT(('TREASURY FILE'!D279:D5271=$I$4)*('TREASURY FILE'!F279:F5271="INCOME")*('TREASURY FILE'!C279:C5271=C371)*('TREASURY FILE'!H279:H5271))</f>
        <v>0</v>
      </c>
      <c r="J371" s="31">
        <f t="shared" si="18"/>
        <v>51056.71067529732</v>
      </c>
      <c r="K371" s="33">
        <f t="shared" si="19"/>
        <v>3.0240673698010738E-4</v>
      </c>
    </row>
    <row r="372" spans="1:11" x14ac:dyDescent="0.3">
      <c r="A372" s="30">
        <v>46025</v>
      </c>
      <c r="B372" s="24" cm="1">
        <f t="array" ref="B372">SUMPRODUCT(('TREASURY FILE'!B271:B5272=$B$4)*('TREASURY FILE'!D271:D5272="TURNOVER")*('TREASURY FILE'!A271:A5272=A372)*('TREASURY FILE'!F271:F5272))</f>
        <v>0</v>
      </c>
      <c r="C372" s="24" cm="1">
        <f t="array" ref="C372">SUMPRODUCT(('TREASURY FILE'!B271:B5272=$C$4)*('TREASURY FILE'!D271:D5272="TURNOVER")*('TREASURY FILE'!A271:A5272=A372)*('TREASURY FILE'!F271:F5272))</f>
        <v>147878118.26671308</v>
      </c>
      <c r="D372" s="24" cm="1">
        <f t="array" ref="D372">SUMPRODUCT(('TREASURY FILE'!B271:B5272=$D$4)*('TREASURY FILE'!D271:D5272="TURNOVER")*('TREASURY FILE'!A271:A5272=A372)*('TREASURY FILE'!F271:F5272))</f>
        <v>106204.31130696603</v>
      </c>
      <c r="E372" s="31">
        <f t="shared" si="17"/>
        <v>147984322.57802004</v>
      </c>
      <c r="G372" s="24" cm="1">
        <f t="array" ref="G372">SUMPRODUCT(('TREASURY FILE'!B271:B5272=$G$4)*('TREASURY FILE'!D271:D5272="INCOME")*('TREASURY FILE'!A271:A5272=A372)*('TREASURY FILE'!F271:F5272))</f>
        <v>0</v>
      </c>
      <c r="H372" s="24" cm="1">
        <f t="array" ref="H372">SUMPRODUCT(('TREASURY FILE'!B271:B5272=$H$4)*('TREASURY FILE'!D271:D5272="INCOME")*('TREASURY FILE'!A271:A5272=A372)*('TREASURY FILE'!F271:F5272))</f>
        <v>44170.965873490743</v>
      </c>
      <c r="I372" s="24" cm="1">
        <f t="array" ref="I372">SUMPRODUCT(('TREASURY FILE'!D280:D5272=$I$4)*('TREASURY FILE'!F280:F5272="INCOME")*('TREASURY FILE'!C280:C5272=C372)*('TREASURY FILE'!H280:H5272))</f>
        <v>0</v>
      </c>
      <c r="J372" s="31">
        <f t="shared" si="18"/>
        <v>44170.965873490743</v>
      </c>
      <c r="K372" s="33">
        <f t="shared" si="19"/>
        <v>2.9848409009814537E-4</v>
      </c>
    </row>
    <row r="373" spans="1:11" x14ac:dyDescent="0.3">
      <c r="A373" s="30">
        <v>46026</v>
      </c>
      <c r="B373" s="24" cm="1">
        <f t="array" ref="B373">SUMPRODUCT(('TREASURY FILE'!B272:B5273=$B$4)*('TREASURY FILE'!D272:D5273="TURNOVER")*('TREASURY FILE'!A272:A5273=A373)*('TREASURY FILE'!F272:F5273))</f>
        <v>0</v>
      </c>
      <c r="C373" s="24" cm="1">
        <f t="array" ref="C373">SUMPRODUCT(('TREASURY FILE'!B272:B5273=$C$4)*('TREASURY FILE'!D272:D5273="TURNOVER")*('TREASURY FILE'!A272:A5273=A373)*('TREASURY FILE'!F272:F5273))</f>
        <v>192318032.9375461</v>
      </c>
      <c r="D373" s="24" cm="1">
        <f t="array" ref="D373">SUMPRODUCT(('TREASURY FILE'!B272:B5273=$D$4)*('TREASURY FILE'!D272:D5273="TURNOVER")*('TREASURY FILE'!A272:A5273=A373)*('TREASURY FILE'!F272:F5273))</f>
        <v>0</v>
      </c>
      <c r="E373" s="31">
        <f t="shared" si="17"/>
        <v>192318032.9375461</v>
      </c>
      <c r="G373" s="24" cm="1">
        <f t="array" ref="G373">SUMPRODUCT(('TREASURY FILE'!B272:B5273=$G$4)*('TREASURY FILE'!D272:D5273="INCOME")*('TREASURY FILE'!A272:A5273=A373)*('TREASURY FILE'!F272:F5273))</f>
        <v>0</v>
      </c>
      <c r="H373" s="24" cm="1">
        <f t="array" ref="H373">SUMPRODUCT(('TREASURY FILE'!B272:B5273=$H$4)*('TREASURY FILE'!D272:D5273="INCOME")*('TREASURY FILE'!A272:A5273=A373)*('TREASURY FILE'!F272:F5273))</f>
        <v>58276.453620790358</v>
      </c>
      <c r="I373" s="24" cm="1">
        <f t="array" ref="I373">SUMPRODUCT(('TREASURY FILE'!D281:D5273=$I$4)*('TREASURY FILE'!F281:F5273="INCOME")*('TREASURY FILE'!C281:C5273=C373)*('TREASURY FILE'!H281:H5273))</f>
        <v>0</v>
      </c>
      <c r="J373" s="31">
        <f t="shared" si="18"/>
        <v>58276.453620790358</v>
      </c>
      <c r="K373" s="33">
        <f t="shared" si="19"/>
        <v>3.0302126498826668E-4</v>
      </c>
    </row>
    <row r="374" spans="1:11" x14ac:dyDescent="0.3">
      <c r="A374" s="30">
        <v>46027</v>
      </c>
      <c r="B374" s="24" cm="1">
        <f t="array" ref="B374">SUMPRODUCT(('TREASURY FILE'!B273:B5274=$B$4)*('TREASURY FILE'!D273:D5274="TURNOVER")*('TREASURY FILE'!A273:A5274=A374)*('TREASURY FILE'!F273:F5274))</f>
        <v>0</v>
      </c>
      <c r="C374" s="24" cm="1">
        <f t="array" ref="C374">SUMPRODUCT(('TREASURY FILE'!B273:B5274=$C$4)*('TREASURY FILE'!D273:D5274="TURNOVER")*('TREASURY FILE'!A273:A5274=A374)*('TREASURY FILE'!F273:F5274))</f>
        <v>214886217.30797791</v>
      </c>
      <c r="D374" s="24" cm="1">
        <f t="array" ref="D374">SUMPRODUCT(('TREASURY FILE'!B273:B5274=$D$4)*('TREASURY FILE'!D273:D5274="TURNOVER")*('TREASURY FILE'!A273:A5274=A374)*('TREASURY FILE'!F273:F5274))</f>
        <v>451314.19284063077</v>
      </c>
      <c r="E374" s="31">
        <f t="shared" si="17"/>
        <v>215337531.50081855</v>
      </c>
      <c r="G374" s="24" cm="1">
        <f t="array" ref="G374">SUMPRODUCT(('TREASURY FILE'!B273:B5274=$G$4)*('TREASURY FILE'!D273:D5274="INCOME")*('TREASURY FILE'!A273:A5274=A374)*('TREASURY FILE'!F273:F5274))</f>
        <v>0</v>
      </c>
      <c r="H374" s="24" cm="1">
        <f t="array" ref="H374">SUMPRODUCT(('TREASURY FILE'!B273:B5274=$H$4)*('TREASURY FILE'!D273:D5274="INCOME")*('TREASURY FILE'!A273:A5274=A374)*('TREASURY FILE'!F273:F5274))</f>
        <v>66399.294279305337</v>
      </c>
      <c r="I374" s="24" cm="1">
        <f t="array" ref="I374">SUMPRODUCT(('TREASURY FILE'!D282:D5274=$I$4)*('TREASURY FILE'!F282:F5274="INCOME")*('TREASURY FILE'!C282:C5274=C374)*('TREASURY FILE'!H282:H5274))</f>
        <v>0</v>
      </c>
      <c r="J374" s="31">
        <f t="shared" si="18"/>
        <v>66399.294279305337</v>
      </c>
      <c r="K374" s="33">
        <f t="shared" si="19"/>
        <v>3.0834984415641884E-4</v>
      </c>
    </row>
    <row r="375" spans="1:11" x14ac:dyDescent="0.3">
      <c r="A375" s="30">
        <v>46028</v>
      </c>
      <c r="B375" s="24" cm="1">
        <f t="array" ref="B375">SUMPRODUCT(('TREASURY FILE'!B274:B5275=$B$4)*('TREASURY FILE'!D274:D5275="TURNOVER")*('TREASURY FILE'!A274:A5275=A375)*('TREASURY FILE'!F274:F5275))</f>
        <v>0</v>
      </c>
      <c r="C375" s="24" cm="1">
        <f t="array" ref="C375">SUMPRODUCT(('TREASURY FILE'!B274:B5275=$C$4)*('TREASURY FILE'!D274:D5275="TURNOVER")*('TREASURY FILE'!A274:A5275=A375)*('TREASURY FILE'!F274:F5275))</f>
        <v>269467039.38115108</v>
      </c>
      <c r="D375" s="24" cm="1">
        <f t="array" ref="D375">SUMPRODUCT(('TREASURY FILE'!B274:B5275=$D$4)*('TREASURY FILE'!D274:D5275="TURNOVER")*('TREASURY FILE'!A274:A5275=A375)*('TREASURY FILE'!F274:F5275))</f>
        <v>1141217.6498221674</v>
      </c>
      <c r="E375" s="31">
        <f t="shared" si="17"/>
        <v>270608257.03097326</v>
      </c>
      <c r="G375" s="24" cm="1">
        <f t="array" ref="G375">SUMPRODUCT(('TREASURY FILE'!B274:B5275=$G$4)*('TREASURY FILE'!D274:D5275="INCOME")*('TREASURY FILE'!A274:A5275=A375)*('TREASURY FILE'!F274:F5275))</f>
        <v>0</v>
      </c>
      <c r="H375" s="24" cm="1">
        <f t="array" ref="H375">SUMPRODUCT(('TREASURY FILE'!B274:B5275=$H$4)*('TREASURY FILE'!D274:D5275="INCOME")*('TREASURY FILE'!A274:A5275=A375)*('TREASURY FILE'!F274:F5275))</f>
        <v>83619.871948040556</v>
      </c>
      <c r="I375" s="24" cm="1">
        <f t="array" ref="I375">SUMPRODUCT(('TREASURY FILE'!D283:D5275=$I$4)*('TREASURY FILE'!F283:F5275="INCOME")*('TREASURY FILE'!C283:C5275=C375)*('TREASURY FILE'!H283:H5275))</f>
        <v>0</v>
      </c>
      <c r="J375" s="31">
        <f t="shared" si="18"/>
        <v>83619.871948040556</v>
      </c>
      <c r="K375" s="33">
        <f t="shared" si="19"/>
        <v>3.0900709706899149E-4</v>
      </c>
    </row>
    <row r="376" spans="1:11" x14ac:dyDescent="0.3">
      <c r="A376" s="30">
        <v>46029</v>
      </c>
      <c r="B376" s="24" cm="1">
        <f t="array" ref="B376">SUMPRODUCT(('TREASURY FILE'!B275:B5276=$B$4)*('TREASURY FILE'!D275:D5276="TURNOVER")*('TREASURY FILE'!A275:A5276=A376)*('TREASURY FILE'!F275:F5276))</f>
        <v>0</v>
      </c>
      <c r="C376" s="24" cm="1">
        <f t="array" ref="C376">SUMPRODUCT(('TREASURY FILE'!B275:B5276=$C$4)*('TREASURY FILE'!D275:D5276="TURNOVER")*('TREASURY FILE'!A275:A5276=A376)*('TREASURY FILE'!F275:F5276))</f>
        <v>172066130.84195805</v>
      </c>
      <c r="D376" s="24" cm="1">
        <f t="array" ref="D376">SUMPRODUCT(('TREASURY FILE'!B275:B5276=$D$4)*('TREASURY FILE'!D275:D5276="TURNOVER")*('TREASURY FILE'!A275:A5276=A376)*('TREASURY FILE'!F275:F5276))</f>
        <v>328748.61063868878</v>
      </c>
      <c r="E376" s="31">
        <f t="shared" si="17"/>
        <v>172394879.45259672</v>
      </c>
      <c r="G376" s="24" cm="1">
        <f t="array" ref="G376">SUMPRODUCT(('TREASURY FILE'!B275:B5276=$G$4)*('TREASURY FILE'!D275:D5276="INCOME")*('TREASURY FILE'!A275:A5276=A376)*('TREASURY FILE'!F275:F5276))</f>
        <v>0</v>
      </c>
      <c r="H376" s="24" cm="1">
        <f t="array" ref="H376">SUMPRODUCT(('TREASURY FILE'!B275:B5276=$H$4)*('TREASURY FILE'!D275:D5276="INCOME")*('TREASURY FILE'!A275:A5276=A376)*('TREASURY FILE'!F275:F5276))</f>
        <v>48581.725052691618</v>
      </c>
      <c r="I376" s="24" cm="1">
        <f t="array" ref="I376">SUMPRODUCT(('TREASURY FILE'!D284:D5276=$I$4)*('TREASURY FILE'!F284:F5276="INCOME")*('TREASURY FILE'!C284:C5276=C376)*('TREASURY FILE'!H284:H5276))</f>
        <v>0</v>
      </c>
      <c r="J376" s="31">
        <f t="shared" si="18"/>
        <v>48581.725052691618</v>
      </c>
      <c r="K376" s="33">
        <f t="shared" si="19"/>
        <v>2.818049190727274E-4</v>
      </c>
    </row>
    <row r="377" spans="1:11" x14ac:dyDescent="0.3">
      <c r="A377" s="30">
        <v>46030</v>
      </c>
      <c r="B377" s="24" cm="1">
        <f t="array" ref="B377">SUMPRODUCT(('TREASURY FILE'!B276:B5277=$B$4)*('TREASURY FILE'!D276:D5277="TURNOVER")*('TREASURY FILE'!A276:A5277=A377)*('TREASURY FILE'!F276:F5277))</f>
        <v>0</v>
      </c>
      <c r="C377" s="24" cm="1">
        <f t="array" ref="C377">SUMPRODUCT(('TREASURY FILE'!B276:B5277=$C$4)*('TREASURY FILE'!D276:D5277="TURNOVER")*('TREASURY FILE'!A276:A5277=A377)*('TREASURY FILE'!F276:F5277))</f>
        <v>157664209.20439082</v>
      </c>
      <c r="D377" s="24" cm="1">
        <f t="array" ref="D377">SUMPRODUCT(('TREASURY FILE'!B276:B5277=$D$4)*('TREASURY FILE'!D276:D5277="TURNOVER")*('TREASURY FILE'!A276:A5277=A377)*('TREASURY FILE'!F276:F5277))</f>
        <v>1550060.6577471623</v>
      </c>
      <c r="E377" s="31">
        <f t="shared" si="17"/>
        <v>159214269.86213797</v>
      </c>
      <c r="G377" s="24" cm="1">
        <f t="array" ref="G377">SUMPRODUCT(('TREASURY FILE'!B276:B5277=$G$4)*('TREASURY FILE'!D276:D5277="INCOME")*('TREASURY FILE'!A276:A5277=A377)*('TREASURY FILE'!F276:F5277))</f>
        <v>0</v>
      </c>
      <c r="H377" s="24" cm="1">
        <f t="array" ref="H377">SUMPRODUCT(('TREASURY FILE'!B276:B5277=$H$4)*('TREASURY FILE'!D276:D5277="INCOME")*('TREASURY FILE'!A276:A5277=A377)*('TREASURY FILE'!F276:F5277))</f>
        <v>45688.538005725743</v>
      </c>
      <c r="I377" s="24" cm="1">
        <f t="array" ref="I377">SUMPRODUCT(('TREASURY FILE'!D285:D5277=$I$4)*('TREASURY FILE'!F285:F5277="INCOME")*('TREASURY FILE'!C285:C5277=C377)*('TREASURY FILE'!H285:H5277))</f>
        <v>0</v>
      </c>
      <c r="J377" s="31">
        <f t="shared" si="18"/>
        <v>45688.538005725743</v>
      </c>
      <c r="K377" s="33">
        <f t="shared" si="19"/>
        <v>2.8696258221883622E-4</v>
      </c>
    </row>
    <row r="378" spans="1:11" x14ac:dyDescent="0.3">
      <c r="A378" s="30">
        <v>46031</v>
      </c>
      <c r="B378" s="24" cm="1">
        <f t="array" ref="B378">SUMPRODUCT(('TREASURY FILE'!B277:B5278=$B$4)*('TREASURY FILE'!D277:D5278="TURNOVER")*('TREASURY FILE'!A277:A5278=A378)*('TREASURY FILE'!F277:F5278))</f>
        <v>0</v>
      </c>
      <c r="C378" s="24" cm="1">
        <f t="array" ref="C378">SUMPRODUCT(('TREASURY FILE'!B277:B5278=$C$4)*('TREASURY FILE'!D277:D5278="TURNOVER")*('TREASURY FILE'!A277:A5278=A378)*('TREASURY FILE'!F277:F5278))</f>
        <v>132252779.39771134</v>
      </c>
      <c r="D378" s="24" cm="1">
        <f t="array" ref="D378">SUMPRODUCT(('TREASURY FILE'!B277:B5278=$D$4)*('TREASURY FILE'!D277:D5278="TURNOVER")*('TREASURY FILE'!A277:A5278=A378)*('TREASURY FILE'!F277:F5278))</f>
        <v>45969.828417002813</v>
      </c>
      <c r="E378" s="31">
        <f t="shared" si="17"/>
        <v>132298749.22612834</v>
      </c>
      <c r="G378" s="24" cm="1">
        <f t="array" ref="G378">SUMPRODUCT(('TREASURY FILE'!B277:B5278=$G$4)*('TREASURY FILE'!D277:D5278="INCOME")*('TREASURY FILE'!A277:A5278=A378)*('TREASURY FILE'!F277:F5278))</f>
        <v>0</v>
      </c>
      <c r="H378" s="24" cm="1">
        <f t="array" ref="H378">SUMPRODUCT(('TREASURY FILE'!B277:B5278=$H$4)*('TREASURY FILE'!D277:D5278="INCOME")*('TREASURY FILE'!A277:A5278=A378)*('TREASURY FILE'!F277:F5278))</f>
        <v>38464.512903564595</v>
      </c>
      <c r="I378" s="24" cm="1">
        <f t="array" ref="I378">SUMPRODUCT(('TREASURY FILE'!D286:D5278=$I$4)*('TREASURY FILE'!F286:F5278="INCOME")*('TREASURY FILE'!C286:C5278=C378)*('TREASURY FILE'!H286:H5278))</f>
        <v>0</v>
      </c>
      <c r="J378" s="31">
        <f t="shared" si="18"/>
        <v>38464.512903564595</v>
      </c>
      <c r="K378" s="33">
        <f t="shared" si="19"/>
        <v>2.9073980765925521E-4</v>
      </c>
    </row>
    <row r="379" spans="1:11" x14ac:dyDescent="0.3">
      <c r="A379" s="30">
        <v>46032</v>
      </c>
      <c r="B379" s="24" cm="1">
        <f t="array" ref="B379">SUMPRODUCT(('TREASURY FILE'!B278:B5279=$B$4)*('TREASURY FILE'!D278:D5279="TURNOVER")*('TREASURY FILE'!A278:A5279=A379)*('TREASURY FILE'!F278:F5279))</f>
        <v>0</v>
      </c>
      <c r="C379" s="24" cm="1">
        <f t="array" ref="C379">SUMPRODUCT(('TREASURY FILE'!B278:B5279=$C$4)*('TREASURY FILE'!D278:D5279="TURNOVER")*('TREASURY FILE'!A278:A5279=A379)*('TREASURY FILE'!F278:F5279))</f>
        <v>87067726.92448768</v>
      </c>
      <c r="D379" s="24" cm="1">
        <f t="array" ref="D379">SUMPRODUCT(('TREASURY FILE'!B278:B5279=$D$4)*('TREASURY FILE'!D278:D5279="TURNOVER")*('TREASURY FILE'!A278:A5279=A379)*('TREASURY FILE'!F278:F5279))</f>
        <v>53028.444973386824</v>
      </c>
      <c r="E379" s="31">
        <f t="shared" si="17"/>
        <v>87120755.36946106</v>
      </c>
      <c r="G379" s="24" cm="1">
        <f t="array" ref="G379">SUMPRODUCT(('TREASURY FILE'!B278:B5279=$G$4)*('TREASURY FILE'!D278:D5279="INCOME")*('TREASURY FILE'!A278:A5279=A379)*('TREASURY FILE'!F278:F5279))</f>
        <v>0</v>
      </c>
      <c r="H379" s="24" cm="1">
        <f t="array" ref="H379">SUMPRODUCT(('TREASURY FILE'!B278:B5279=$H$4)*('TREASURY FILE'!D278:D5279="INCOME")*('TREASURY FILE'!A278:A5279=A379)*('TREASURY FILE'!F278:F5279))</f>
        <v>23844.308106913391</v>
      </c>
      <c r="I379" s="24" cm="1">
        <f t="array" ref="I379">SUMPRODUCT(('TREASURY FILE'!D287:D5279=$I$4)*('TREASURY FILE'!F287:F5279="INCOME")*('TREASURY FILE'!C287:C5279=C379)*('TREASURY FILE'!H287:H5279))</f>
        <v>0</v>
      </c>
      <c r="J379" s="31">
        <f t="shared" si="18"/>
        <v>23844.308106913391</v>
      </c>
      <c r="K379" s="33">
        <f t="shared" si="19"/>
        <v>2.7369262359806942E-4</v>
      </c>
    </row>
    <row r="380" spans="1:11" x14ac:dyDescent="0.3">
      <c r="A380" s="30">
        <v>46033</v>
      </c>
      <c r="B380" s="24" cm="1">
        <f t="array" ref="B380">SUMPRODUCT(('TREASURY FILE'!B279:B5280=$B$4)*('TREASURY FILE'!D279:D5280="TURNOVER")*('TREASURY FILE'!A279:A5280=A380)*('TREASURY FILE'!F279:F5280))</f>
        <v>0</v>
      </c>
      <c r="C380" s="24" cm="1">
        <f t="array" ref="C380">SUMPRODUCT(('TREASURY FILE'!B279:B5280=$C$4)*('TREASURY FILE'!D279:D5280="TURNOVER")*('TREASURY FILE'!A279:A5280=A380)*('TREASURY FILE'!F279:F5280))</f>
        <v>130490297.68844897</v>
      </c>
      <c r="D380" s="24" cm="1">
        <f t="array" ref="D380">SUMPRODUCT(('TREASURY FILE'!B279:B5280=$D$4)*('TREASURY FILE'!D279:D5280="TURNOVER")*('TREASURY FILE'!A279:A5280=A380)*('TREASURY FILE'!F279:F5280))</f>
        <v>269312.08849669149</v>
      </c>
      <c r="E380" s="31">
        <f t="shared" si="17"/>
        <v>130759609.77694565</v>
      </c>
      <c r="G380" s="24" cm="1">
        <f t="array" ref="G380">SUMPRODUCT(('TREASURY FILE'!B279:B5280=$G$4)*('TREASURY FILE'!D279:D5280="INCOME")*('TREASURY FILE'!A279:A5280=A380)*('TREASURY FILE'!F279:F5280))</f>
        <v>0</v>
      </c>
      <c r="H380" s="24" cm="1">
        <f t="array" ref="H380">SUMPRODUCT(('TREASURY FILE'!B279:B5280=$H$4)*('TREASURY FILE'!D279:D5280="INCOME")*('TREASURY FILE'!A279:A5280=A380)*('TREASURY FILE'!F279:F5280))</f>
        <v>37780.200382950017</v>
      </c>
      <c r="I380" s="24" cm="1">
        <f t="array" ref="I380">SUMPRODUCT(('TREASURY FILE'!D288:D5280=$I$4)*('TREASURY FILE'!F288:F5280="INCOME")*('TREASURY FILE'!C288:C5280=C380)*('TREASURY FILE'!H288:H5280))</f>
        <v>0</v>
      </c>
      <c r="J380" s="31">
        <f t="shared" si="18"/>
        <v>37780.200382950017</v>
      </c>
      <c r="K380" s="33">
        <f t="shared" si="19"/>
        <v>2.8892867183832085E-4</v>
      </c>
    </row>
    <row r="381" spans="1:11" x14ac:dyDescent="0.3">
      <c r="A381" s="30">
        <v>46034</v>
      </c>
      <c r="B381" s="24" cm="1">
        <f t="array" ref="B381">SUMPRODUCT(('TREASURY FILE'!B280:B5281=$B$4)*('TREASURY FILE'!D280:D5281="TURNOVER")*('TREASURY FILE'!A280:A5281=A381)*('TREASURY FILE'!F280:F5281))</f>
        <v>0</v>
      </c>
      <c r="C381" s="24" cm="1">
        <f t="array" ref="C381">SUMPRODUCT(('TREASURY FILE'!B280:B5281=$C$4)*('TREASURY FILE'!D280:D5281="TURNOVER")*('TREASURY FILE'!A280:A5281=A381)*('TREASURY FILE'!F280:F5281))</f>
        <v>140995473.59815064</v>
      </c>
      <c r="D381" s="24" cm="1">
        <f t="array" ref="D381">SUMPRODUCT(('TREASURY FILE'!B280:B5281=$D$4)*('TREASURY FILE'!D280:D5281="TURNOVER")*('TREASURY FILE'!A280:A5281=A381)*('TREASURY FILE'!F280:F5281))</f>
        <v>246121.1674148337</v>
      </c>
      <c r="E381" s="31">
        <f t="shared" si="17"/>
        <v>141241594.76556548</v>
      </c>
      <c r="G381" s="24" cm="1">
        <f t="array" ref="G381">SUMPRODUCT(('TREASURY FILE'!B280:B5281=$G$4)*('TREASURY FILE'!D280:D5281="INCOME")*('TREASURY FILE'!A280:A5281=A381)*('TREASURY FILE'!F280:F5281))</f>
        <v>0</v>
      </c>
      <c r="H381" s="24" cm="1">
        <f t="array" ref="H381">SUMPRODUCT(('TREASURY FILE'!B280:B5281=$H$4)*('TREASURY FILE'!D280:D5281="INCOME")*('TREASURY FILE'!A280:A5281=A381)*('TREASURY FILE'!F280:F5281))</f>
        <v>41791.957054506966</v>
      </c>
      <c r="I381" s="24" cm="1">
        <f t="array" ref="I381">SUMPRODUCT(('TREASURY FILE'!D289:D5281=$I$4)*('TREASURY FILE'!F289:F5281="INCOME")*('TREASURY FILE'!C289:C5281=C381)*('TREASURY FILE'!H289:H5281))</f>
        <v>0</v>
      </c>
      <c r="J381" s="31">
        <f t="shared" si="18"/>
        <v>41791.957054506966</v>
      </c>
      <c r="K381" s="33">
        <f t="shared" si="19"/>
        <v>2.9588986958037231E-4</v>
      </c>
    </row>
    <row r="382" spans="1:11" x14ac:dyDescent="0.3">
      <c r="A382" s="30">
        <v>46035</v>
      </c>
      <c r="B382" s="24" cm="1">
        <f t="array" ref="B382">SUMPRODUCT(('TREASURY FILE'!B281:B5282=$B$4)*('TREASURY FILE'!D281:D5282="TURNOVER")*('TREASURY FILE'!A281:A5282=A382)*('TREASURY FILE'!F281:F5282))</f>
        <v>0</v>
      </c>
      <c r="C382" s="24" cm="1">
        <f t="array" ref="C382">SUMPRODUCT(('TREASURY FILE'!B281:B5282=$C$4)*('TREASURY FILE'!D281:D5282="TURNOVER")*('TREASURY FILE'!A281:A5282=A382)*('TREASURY FILE'!F281:F5282))</f>
        <v>200515901.26299465</v>
      </c>
      <c r="D382" s="24" cm="1">
        <f t="array" ref="D382">SUMPRODUCT(('TREASURY FILE'!B281:B5282=$D$4)*('TREASURY FILE'!D281:D5282="TURNOVER")*('TREASURY FILE'!A281:A5282=A382)*('TREASURY FILE'!F281:F5282))</f>
        <v>284049.69986480888</v>
      </c>
      <c r="E382" s="31">
        <f t="shared" si="17"/>
        <v>200799950.96285945</v>
      </c>
      <c r="G382" s="24" cm="1">
        <f t="array" ref="G382">SUMPRODUCT(('TREASURY FILE'!B281:B5282=$G$4)*('TREASURY FILE'!D281:D5282="INCOME")*('TREASURY FILE'!A281:A5282=A382)*('TREASURY FILE'!F281:F5282))</f>
        <v>0</v>
      </c>
      <c r="H382" s="24" cm="1">
        <f t="array" ref="H382">SUMPRODUCT(('TREASURY FILE'!B281:B5282=$H$4)*('TREASURY FILE'!D281:D5282="INCOME")*('TREASURY FILE'!A281:A5282=A382)*('TREASURY FILE'!F281:F5282))</f>
        <v>62186.289723722053</v>
      </c>
      <c r="I382" s="24" cm="1">
        <f t="array" ref="I382">SUMPRODUCT(('TREASURY FILE'!D290:D5282=$I$4)*('TREASURY FILE'!F290:F5282="INCOME")*('TREASURY FILE'!C290:C5282=C382)*('TREASURY FILE'!H290:H5282))</f>
        <v>0</v>
      </c>
      <c r="J382" s="31">
        <f t="shared" si="18"/>
        <v>62186.289723722053</v>
      </c>
      <c r="K382" s="33">
        <f t="shared" si="19"/>
        <v>3.0969275353669889E-4</v>
      </c>
    </row>
    <row r="383" spans="1:11" x14ac:dyDescent="0.3">
      <c r="A383" s="30">
        <v>46036</v>
      </c>
      <c r="B383" s="24" cm="1">
        <f t="array" ref="B383">SUMPRODUCT(('TREASURY FILE'!B282:B5283=$B$4)*('TREASURY FILE'!D282:D5283="TURNOVER")*('TREASURY FILE'!A282:A5283=A383)*('TREASURY FILE'!F282:F5283))</f>
        <v>0</v>
      </c>
      <c r="C383" s="24" cm="1">
        <f t="array" ref="C383">SUMPRODUCT(('TREASURY FILE'!B282:B5283=$C$4)*('TREASURY FILE'!D282:D5283="TURNOVER")*('TREASURY FILE'!A282:A5283=A383)*('TREASURY FILE'!F282:F5283))</f>
        <v>285671450.30475581</v>
      </c>
      <c r="D383" s="24" cm="1">
        <f t="array" ref="D383">SUMPRODUCT(('TREASURY FILE'!B282:B5283=$D$4)*('TREASURY FILE'!D282:D5283="TURNOVER")*('TREASURY FILE'!A282:A5283=A383)*('TREASURY FILE'!F282:F5283))</f>
        <v>360802.1264187523</v>
      </c>
      <c r="E383" s="31">
        <f t="shared" si="17"/>
        <v>286032252.43117458</v>
      </c>
      <c r="G383" s="24" cm="1">
        <f t="array" ref="G383">SUMPRODUCT(('TREASURY FILE'!B282:B5283=$G$4)*('TREASURY FILE'!D282:D5283="INCOME")*('TREASURY FILE'!A282:A5283=A383)*('TREASURY FILE'!F282:F5283))</f>
        <v>0</v>
      </c>
      <c r="H383" s="24" cm="1">
        <f t="array" ref="H383">SUMPRODUCT(('TREASURY FILE'!B282:B5283=$H$4)*('TREASURY FILE'!D282:D5283="INCOME")*('TREASURY FILE'!A282:A5283=A383)*('TREASURY FILE'!F282:F5283))</f>
        <v>89710.514039882735</v>
      </c>
      <c r="I383" s="24" cm="1">
        <f t="array" ref="I383">SUMPRODUCT(('TREASURY FILE'!D291:D5283=$I$4)*('TREASURY FILE'!F291:F5283="INCOME")*('TREASURY FILE'!C291:C5283=C383)*('TREASURY FILE'!H291:H5283))</f>
        <v>0</v>
      </c>
      <c r="J383" s="31">
        <f t="shared" si="18"/>
        <v>89710.514039882735</v>
      </c>
      <c r="K383" s="33">
        <f t="shared" si="19"/>
        <v>3.1363775685215426E-4</v>
      </c>
    </row>
    <row r="384" spans="1:11" x14ac:dyDescent="0.3">
      <c r="A384" s="30">
        <v>46037</v>
      </c>
      <c r="B384" s="24" cm="1">
        <f t="array" ref="B384">SUMPRODUCT(('TREASURY FILE'!B283:B5284=$B$4)*('TREASURY FILE'!D283:D5284="TURNOVER")*('TREASURY FILE'!A283:A5284=A384)*('TREASURY FILE'!F283:F5284))</f>
        <v>0</v>
      </c>
      <c r="C384" s="24" cm="1">
        <f t="array" ref="C384">SUMPRODUCT(('TREASURY FILE'!B283:B5284=$C$4)*('TREASURY FILE'!D283:D5284="TURNOVER")*('TREASURY FILE'!A283:A5284=A384)*('TREASURY FILE'!F283:F5284))</f>
        <v>198192810.49181038</v>
      </c>
      <c r="D384" s="24" cm="1">
        <f t="array" ref="D384">SUMPRODUCT(('TREASURY FILE'!B283:B5284=$D$4)*('TREASURY FILE'!D283:D5284="TURNOVER")*('TREASURY FILE'!A283:A5284=A384)*('TREASURY FILE'!F283:F5284))</f>
        <v>417744.28317186265</v>
      </c>
      <c r="E384" s="31">
        <f t="shared" si="17"/>
        <v>198610554.77498224</v>
      </c>
      <c r="G384" s="24" cm="1">
        <f t="array" ref="G384">SUMPRODUCT(('TREASURY FILE'!B283:B5284=$G$4)*('TREASURY FILE'!D283:D5284="INCOME")*('TREASURY FILE'!A283:A5284=A384)*('TREASURY FILE'!F283:F5284))</f>
        <v>0</v>
      </c>
      <c r="H384" s="24" cm="1">
        <f t="array" ref="H384">SUMPRODUCT(('TREASURY FILE'!B283:B5284=$H$4)*('TREASURY FILE'!D283:D5284="INCOME")*('TREASURY FILE'!A283:A5284=A384)*('TREASURY FILE'!F283:F5284))</f>
        <v>57640.80409903227</v>
      </c>
      <c r="I384" s="24" cm="1">
        <f t="array" ref="I384">SUMPRODUCT(('TREASURY FILE'!D292:D5284=$I$4)*('TREASURY FILE'!F292:F5284="INCOME")*('TREASURY FILE'!C292:C5284=C384)*('TREASURY FILE'!H292:H5284))</f>
        <v>0</v>
      </c>
      <c r="J384" s="31">
        <f t="shared" si="18"/>
        <v>57640.80409903227</v>
      </c>
      <c r="K384" s="33">
        <f t="shared" si="19"/>
        <v>2.9022024617139295E-4</v>
      </c>
    </row>
    <row r="385" spans="1:11" x14ac:dyDescent="0.3">
      <c r="A385" s="30">
        <v>46038</v>
      </c>
      <c r="B385" s="24" cm="1">
        <f t="array" ref="B385">SUMPRODUCT(('TREASURY FILE'!B284:B5285=$B$4)*('TREASURY FILE'!D284:D5285="TURNOVER")*('TREASURY FILE'!A284:A5285=A385)*('TREASURY FILE'!F284:F5285))</f>
        <v>0</v>
      </c>
      <c r="C385" s="24" cm="1">
        <f t="array" ref="C385">SUMPRODUCT(('TREASURY FILE'!B284:B5285=$C$4)*('TREASURY FILE'!D284:D5285="TURNOVER")*('TREASURY FILE'!A284:A5285=A385)*('TREASURY FILE'!F284:F5285))</f>
        <v>170945457.11540326</v>
      </c>
      <c r="D385" s="24" cm="1">
        <f t="array" ref="D385">SUMPRODUCT(('TREASURY FILE'!B284:B5285=$D$4)*('TREASURY FILE'!D284:D5285="TURNOVER")*('TREASURY FILE'!A284:A5285=A385)*('TREASURY FILE'!F284:F5285))</f>
        <v>513630.19615048164</v>
      </c>
      <c r="E385" s="31">
        <f t="shared" si="17"/>
        <v>171459087.31155375</v>
      </c>
      <c r="G385" s="24" cm="1">
        <f t="array" ref="G385">SUMPRODUCT(('TREASURY FILE'!B284:B5285=$G$4)*('TREASURY FILE'!D284:D5285="INCOME")*('TREASURY FILE'!A284:A5285=A385)*('TREASURY FILE'!F284:F5285))</f>
        <v>0</v>
      </c>
      <c r="H385" s="24" cm="1">
        <f t="array" ref="H385">SUMPRODUCT(('TREASURY FILE'!B284:B5285=$H$4)*('TREASURY FILE'!D284:D5285="INCOME")*('TREASURY FILE'!A284:A5285=A385)*('TREASURY FILE'!F284:F5285))</f>
        <v>50050.461996440608</v>
      </c>
      <c r="I385" s="24" cm="1">
        <f t="array" ref="I385">SUMPRODUCT(('TREASURY FILE'!D293:D5285=$I$4)*('TREASURY FILE'!F293:F5285="INCOME")*('TREASURY FILE'!C293:C5285=C385)*('TREASURY FILE'!H293:H5285))</f>
        <v>0</v>
      </c>
      <c r="J385" s="31">
        <f t="shared" si="18"/>
        <v>50050.461996440608</v>
      </c>
      <c r="K385" s="33">
        <f t="shared" si="19"/>
        <v>2.9190906577902895E-4</v>
      </c>
    </row>
    <row r="386" spans="1:11" x14ac:dyDescent="0.3">
      <c r="A386" s="30">
        <v>46039</v>
      </c>
      <c r="B386" s="24" cm="1">
        <f t="array" ref="B386">SUMPRODUCT(('TREASURY FILE'!B285:B5286=$B$4)*('TREASURY FILE'!D285:D5286="TURNOVER")*('TREASURY FILE'!A285:A5286=A386)*('TREASURY FILE'!F285:F5286))</f>
        <v>0</v>
      </c>
      <c r="C386" s="24" cm="1">
        <f t="array" ref="C386">SUMPRODUCT(('TREASURY FILE'!B285:B5286=$C$4)*('TREASURY FILE'!D285:D5286="TURNOVER")*('TREASURY FILE'!A285:A5286=A386)*('TREASURY FILE'!F285:F5286))</f>
        <v>171943901.86707944</v>
      </c>
      <c r="D386" s="24" cm="1">
        <f t="array" ref="D386">SUMPRODUCT(('TREASURY FILE'!B285:B5286=$D$4)*('TREASURY FILE'!D285:D5286="TURNOVER")*('TREASURY FILE'!A285:A5286=A386)*('TREASURY FILE'!F285:F5286))</f>
        <v>899749.79745742027</v>
      </c>
      <c r="E386" s="31">
        <f t="shared" si="17"/>
        <v>172843651.66453686</v>
      </c>
      <c r="G386" s="24" cm="1">
        <f t="array" ref="G386">SUMPRODUCT(('TREASURY FILE'!B285:B5286=$G$4)*('TREASURY FILE'!D285:D5286="INCOME")*('TREASURY FILE'!A285:A5286=A386)*('TREASURY FILE'!F285:F5286))</f>
        <v>0</v>
      </c>
      <c r="H386" s="24" cm="1">
        <f t="array" ref="H386">SUMPRODUCT(('TREASURY FILE'!B285:B5286=$H$4)*('TREASURY FILE'!D285:D5286="INCOME")*('TREASURY FILE'!A285:A5286=A386)*('TREASURY FILE'!F285:F5286))</f>
        <v>48587.155355185103</v>
      </c>
      <c r="I386" s="24" cm="1">
        <f t="array" ref="I386">SUMPRODUCT(('TREASURY FILE'!D294:D5286=$I$4)*('TREASURY FILE'!F294:F5286="INCOME")*('TREASURY FILE'!C294:C5286=C386)*('TREASURY FILE'!H294:H5286))</f>
        <v>0</v>
      </c>
      <c r="J386" s="31">
        <f t="shared" si="18"/>
        <v>48587.155355185103</v>
      </c>
      <c r="K386" s="33">
        <f t="shared" si="19"/>
        <v>2.811046566493825E-4</v>
      </c>
    </row>
    <row r="387" spans="1:11" x14ac:dyDescent="0.3">
      <c r="A387" s="30">
        <v>46040</v>
      </c>
      <c r="B387" s="24" cm="1">
        <f t="array" ref="B387">SUMPRODUCT(('TREASURY FILE'!B286:B5287=$B$4)*('TREASURY FILE'!D286:D5287="TURNOVER")*('TREASURY FILE'!A286:A5287=A387)*('TREASURY FILE'!F286:F5287))</f>
        <v>0</v>
      </c>
      <c r="C387" s="24" cm="1">
        <f t="array" ref="C387">SUMPRODUCT(('TREASURY FILE'!B286:B5287=$C$4)*('TREASURY FILE'!D286:D5287="TURNOVER")*('TREASURY FILE'!A286:A5287=A387)*('TREASURY FILE'!F286:F5287))</f>
        <v>174069743.21917409</v>
      </c>
      <c r="D387" s="24" cm="1">
        <f t="array" ref="D387">SUMPRODUCT(('TREASURY FILE'!B286:B5287=$D$4)*('TREASURY FILE'!D286:D5287="TURNOVER")*('TREASURY FILE'!A286:A5287=A387)*('TREASURY FILE'!F286:F5287))</f>
        <v>1796205.8469461347</v>
      </c>
      <c r="E387" s="31">
        <f t="shared" si="17"/>
        <v>175865949.06612021</v>
      </c>
      <c r="G387" s="24" cm="1">
        <f t="array" ref="G387">SUMPRODUCT(('TREASURY FILE'!B286:B5287=$G$4)*('TREASURY FILE'!D286:D5287="INCOME")*('TREASURY FILE'!A286:A5287=A387)*('TREASURY FILE'!F286:F5287))</f>
        <v>0</v>
      </c>
      <c r="H387" s="24" cm="1">
        <f t="array" ref="H387">SUMPRODUCT(('TREASURY FILE'!B286:B5287=$H$4)*('TREASURY FILE'!D286:D5287="INCOME")*('TREASURY FILE'!A286:A5287=A387)*('TREASURY FILE'!F286:F5287))</f>
        <v>49026.735939742612</v>
      </c>
      <c r="I387" s="24" cm="1">
        <f t="array" ref="I387">SUMPRODUCT(('TREASURY FILE'!D295:D5287=$I$4)*('TREASURY FILE'!F295:F5287="INCOME")*('TREASURY FILE'!C295:C5287=C387)*('TREASURY FILE'!H295:H5287))</f>
        <v>0</v>
      </c>
      <c r="J387" s="31">
        <f t="shared" si="18"/>
        <v>49026.735939742612</v>
      </c>
      <c r="K387" s="33">
        <f t="shared" si="19"/>
        <v>2.7877332820869184E-4</v>
      </c>
    </row>
    <row r="388" spans="1:11" x14ac:dyDescent="0.3">
      <c r="A388" s="30">
        <v>46041</v>
      </c>
      <c r="B388" s="24" cm="1">
        <f t="array" ref="B388">SUMPRODUCT(('TREASURY FILE'!B287:B5288=$B$4)*('TREASURY FILE'!D287:D5288="TURNOVER")*('TREASURY FILE'!A287:A5288=A388)*('TREASURY FILE'!F287:F5288))</f>
        <v>0</v>
      </c>
      <c r="C388" s="24" cm="1">
        <f t="array" ref="C388">SUMPRODUCT(('TREASURY FILE'!B287:B5288=$C$4)*('TREASURY FILE'!D287:D5288="TURNOVER")*('TREASURY FILE'!A287:A5288=A388)*('TREASURY FILE'!F287:F5288))</f>
        <v>214655861.86844781</v>
      </c>
      <c r="D388" s="24" cm="1">
        <f t="array" ref="D388">SUMPRODUCT(('TREASURY FILE'!B287:B5288=$D$4)*('TREASURY FILE'!D287:D5288="TURNOVER")*('TREASURY FILE'!A287:A5288=A388)*('TREASURY FILE'!F287:F5288))</f>
        <v>2517439.1845756015</v>
      </c>
      <c r="E388" s="31">
        <f t="shared" si="17"/>
        <v>217173301.0530234</v>
      </c>
      <c r="G388" s="24" cm="1">
        <f t="array" ref="G388">SUMPRODUCT(('TREASURY FILE'!B287:B5288=$G$4)*('TREASURY FILE'!D287:D5288="INCOME")*('TREASURY FILE'!A287:A5288=A388)*('TREASURY FILE'!F287:F5288))</f>
        <v>0</v>
      </c>
      <c r="H388" s="24" cm="1">
        <f t="array" ref="H388">SUMPRODUCT(('TREASURY FILE'!B287:B5288=$H$4)*('TREASURY FILE'!D287:D5288="INCOME")*('TREASURY FILE'!A287:A5288=A388)*('TREASURY FILE'!F287:F5288))</f>
        <v>61157.407048282133</v>
      </c>
      <c r="I388" s="24" cm="1">
        <f t="array" ref="I388">SUMPRODUCT(('TREASURY FILE'!D296:D5288=$I$4)*('TREASURY FILE'!F296:F5288="INCOME")*('TREASURY FILE'!C296:C5288=C388)*('TREASURY FILE'!H296:H5288))</f>
        <v>0</v>
      </c>
      <c r="J388" s="31">
        <f t="shared" si="18"/>
        <v>61157.407048282133</v>
      </c>
      <c r="K388" s="33">
        <f t="shared" si="19"/>
        <v>2.8160647165993209E-4</v>
      </c>
    </row>
    <row r="389" spans="1:11" x14ac:dyDescent="0.3">
      <c r="A389" s="30">
        <v>46042</v>
      </c>
      <c r="B389" s="24" cm="1">
        <f t="array" ref="B389">SUMPRODUCT(('TREASURY FILE'!B288:B5289=$B$4)*('TREASURY FILE'!D288:D5289="TURNOVER")*('TREASURY FILE'!A288:A5289=A389)*('TREASURY FILE'!F288:F5289))</f>
        <v>0</v>
      </c>
      <c r="C389" s="24" cm="1">
        <f t="array" ref="C389">SUMPRODUCT(('TREASURY FILE'!B288:B5289=$C$4)*('TREASURY FILE'!D288:D5289="TURNOVER")*('TREASURY FILE'!A288:A5289=A389)*('TREASURY FILE'!F288:F5289))</f>
        <v>164753020.62796399</v>
      </c>
      <c r="D389" s="24" cm="1">
        <f t="array" ref="D389">SUMPRODUCT(('TREASURY FILE'!B288:B5289=$D$4)*('TREASURY FILE'!D288:D5289="TURNOVER")*('TREASURY FILE'!A288:A5289=A389)*('TREASURY FILE'!F288:F5289))</f>
        <v>1169465.8169463265</v>
      </c>
      <c r="E389" s="31">
        <f t="shared" si="17"/>
        <v>165922486.44491032</v>
      </c>
      <c r="G389" s="24" cm="1">
        <f t="array" ref="G389">SUMPRODUCT(('TREASURY FILE'!B288:B5289=$G$4)*('TREASURY FILE'!D288:D5289="INCOME")*('TREASURY FILE'!A288:A5289=A389)*('TREASURY FILE'!F288:F5289))</f>
        <v>0</v>
      </c>
      <c r="H389" s="24" cm="1">
        <f t="array" ref="H389">SUMPRODUCT(('TREASURY FILE'!B288:B5289=$H$4)*('TREASURY FILE'!D288:D5289="INCOME")*('TREASURY FILE'!A288:A5289=A389)*('TREASURY FILE'!F288:F5289))</f>
        <v>44808.58306502609</v>
      </c>
      <c r="I389" s="24" cm="1">
        <f t="array" ref="I389">SUMPRODUCT(('TREASURY FILE'!D297:D5289=$I$4)*('TREASURY FILE'!F297:F5289="INCOME")*('TREASURY FILE'!C297:C5289=C389)*('TREASURY FILE'!H297:H5289))</f>
        <v>0</v>
      </c>
      <c r="J389" s="31">
        <f t="shared" si="18"/>
        <v>44808.58306502609</v>
      </c>
      <c r="K389" s="33">
        <f t="shared" si="19"/>
        <v>2.7005732631606546E-4</v>
      </c>
    </row>
    <row r="390" spans="1:11" x14ac:dyDescent="0.3">
      <c r="A390" s="30">
        <v>46043</v>
      </c>
      <c r="B390" s="24" cm="1">
        <f t="array" ref="B390">SUMPRODUCT(('TREASURY FILE'!B289:B5290=$B$4)*('TREASURY FILE'!D289:D5290="TURNOVER")*('TREASURY FILE'!A289:A5290=A390)*('TREASURY FILE'!F289:F5290))</f>
        <v>0</v>
      </c>
      <c r="C390" s="24" cm="1">
        <f t="array" ref="C390">SUMPRODUCT(('TREASURY FILE'!B289:B5290=$C$4)*('TREASURY FILE'!D289:D5290="TURNOVER")*('TREASURY FILE'!A289:A5290=A390)*('TREASURY FILE'!F289:F5290))</f>
        <v>153598841.99186933</v>
      </c>
      <c r="D390" s="24" cm="1">
        <f t="array" ref="D390">SUMPRODUCT(('TREASURY FILE'!B289:B5290=$D$4)*('TREASURY FILE'!D289:D5290="TURNOVER")*('TREASURY FILE'!A289:A5290=A390)*('TREASURY FILE'!F289:F5290))</f>
        <v>257765.04172276775</v>
      </c>
      <c r="E390" s="31">
        <f t="shared" ref="E390:E453" si="20">SUM(B390:D390)</f>
        <v>153856607.0335921</v>
      </c>
      <c r="G390" s="24" cm="1">
        <f t="array" ref="G390">SUMPRODUCT(('TREASURY FILE'!B289:B5290=$G$4)*('TREASURY FILE'!D289:D5290="INCOME")*('TREASURY FILE'!A289:A5290=A390)*('TREASURY FILE'!F289:F5290))</f>
        <v>0</v>
      </c>
      <c r="H390" s="24" cm="1">
        <f t="array" ref="H390">SUMPRODUCT(('TREASURY FILE'!B289:B5290=$H$4)*('TREASURY FILE'!D289:D5290="INCOME")*('TREASURY FILE'!A289:A5290=A390)*('TREASURY FILE'!F289:F5290))</f>
        <v>44003.46922559911</v>
      </c>
      <c r="I390" s="24" cm="1">
        <f t="array" ref="I390">SUMPRODUCT(('TREASURY FILE'!D298:D5290=$I$4)*('TREASURY FILE'!F298:F5290="INCOME")*('TREASURY FILE'!C298:C5290=C390)*('TREASURY FILE'!H298:H5290))</f>
        <v>0</v>
      </c>
      <c r="J390" s="31">
        <f t="shared" ref="J390:J453" si="21">SUM(G390:I390)</f>
        <v>44003.46922559911</v>
      </c>
      <c r="K390" s="33">
        <f t="shared" ref="K390:K453" si="22">+J390/E390</f>
        <v>2.8600311727914072E-4</v>
      </c>
    </row>
    <row r="391" spans="1:11" x14ac:dyDescent="0.3">
      <c r="A391" s="30">
        <v>46044</v>
      </c>
      <c r="B391" s="24" cm="1">
        <f t="array" ref="B391">SUMPRODUCT(('TREASURY FILE'!B290:B5291=$B$4)*('TREASURY FILE'!D290:D5291="TURNOVER")*('TREASURY FILE'!A290:A5291=A391)*('TREASURY FILE'!F290:F5291))</f>
        <v>0</v>
      </c>
      <c r="C391" s="24" cm="1">
        <f t="array" ref="C391">SUMPRODUCT(('TREASURY FILE'!B290:B5291=$C$4)*('TREASURY FILE'!D290:D5291="TURNOVER")*('TREASURY FILE'!A290:A5291=A391)*('TREASURY FILE'!F290:F5291))</f>
        <v>111253970.17471734</v>
      </c>
      <c r="D391" s="24" cm="1">
        <f t="array" ref="D391">SUMPRODUCT(('TREASURY FILE'!B290:B5291=$D$4)*('TREASURY FILE'!D290:D5291="TURNOVER")*('TREASURY FILE'!A290:A5291=A391)*('TREASURY FILE'!F290:F5291))</f>
        <v>674950.79759178869</v>
      </c>
      <c r="E391" s="31">
        <f t="shared" si="20"/>
        <v>111928920.97230913</v>
      </c>
      <c r="G391" s="24" cm="1">
        <f t="array" ref="G391">SUMPRODUCT(('TREASURY FILE'!B290:B5291=$G$4)*('TREASURY FILE'!D290:D5291="INCOME")*('TREASURY FILE'!A290:A5291=A391)*('TREASURY FILE'!F290:F5291))</f>
        <v>0</v>
      </c>
      <c r="H391" s="24" cm="1">
        <f t="array" ref="H391">SUMPRODUCT(('TREASURY FILE'!B290:B5291=$H$4)*('TREASURY FILE'!D290:D5291="INCOME")*('TREASURY FILE'!A290:A5291=A391)*('TREASURY FILE'!F290:F5291))</f>
        <v>31161.066101258948</v>
      </c>
      <c r="I391" s="24" cm="1">
        <f t="array" ref="I391">SUMPRODUCT(('TREASURY FILE'!D299:D5291=$I$4)*('TREASURY FILE'!F299:F5291="INCOME")*('TREASURY FILE'!C299:C5291=C391)*('TREASURY FILE'!H299:H5291))</f>
        <v>0</v>
      </c>
      <c r="J391" s="31">
        <f t="shared" si="21"/>
        <v>31161.066101258948</v>
      </c>
      <c r="K391" s="33">
        <f t="shared" si="22"/>
        <v>2.7840048693910041E-4</v>
      </c>
    </row>
    <row r="392" spans="1:11" x14ac:dyDescent="0.3">
      <c r="A392" s="30">
        <v>46045</v>
      </c>
      <c r="B392" s="24" cm="1">
        <f t="array" ref="B392">SUMPRODUCT(('TREASURY FILE'!B291:B5292=$B$4)*('TREASURY FILE'!D291:D5292="TURNOVER")*('TREASURY FILE'!A291:A5292=A392)*('TREASURY FILE'!F291:F5292))</f>
        <v>0</v>
      </c>
      <c r="C392" s="24" cm="1">
        <f t="array" ref="C392">SUMPRODUCT(('TREASURY FILE'!B291:B5292=$C$4)*('TREASURY FILE'!D291:D5292="TURNOVER")*('TREASURY FILE'!A291:A5292=A392)*('TREASURY FILE'!F291:F5292))</f>
        <v>151236378.81109717</v>
      </c>
      <c r="D392" s="24" cm="1">
        <f t="array" ref="D392">SUMPRODUCT(('TREASURY FILE'!B291:B5292=$D$4)*('TREASURY FILE'!D291:D5292="TURNOVER")*('TREASURY FILE'!A291:A5292=A392)*('TREASURY FILE'!F291:F5292))</f>
        <v>472219.05344298523</v>
      </c>
      <c r="E392" s="31">
        <f t="shared" si="20"/>
        <v>151708597.86454016</v>
      </c>
      <c r="G392" s="24" cm="1">
        <f t="array" ref="G392">SUMPRODUCT(('TREASURY FILE'!B291:B5292=$G$4)*('TREASURY FILE'!D291:D5292="INCOME")*('TREASURY FILE'!A291:A5292=A392)*('TREASURY FILE'!F291:F5292))</f>
        <v>0</v>
      </c>
      <c r="H392" s="24" cm="1">
        <f t="array" ref="H392">SUMPRODUCT(('TREASURY FILE'!B291:B5292=$H$4)*('TREASURY FILE'!D291:D5292="INCOME")*('TREASURY FILE'!A291:A5292=A392)*('TREASURY FILE'!F291:F5292))</f>
        <v>42333.715256246076</v>
      </c>
      <c r="I392" s="24" cm="1">
        <f t="array" ref="I392">SUMPRODUCT(('TREASURY FILE'!D300:D5292=$I$4)*('TREASURY FILE'!F300:F5292="INCOME")*('TREASURY FILE'!C300:C5292=C392)*('TREASURY FILE'!H300:H5292))</f>
        <v>0</v>
      </c>
      <c r="J392" s="31">
        <f t="shared" si="21"/>
        <v>42333.715256246076</v>
      </c>
      <c r="K392" s="33">
        <f t="shared" si="22"/>
        <v>2.7904624953455597E-4</v>
      </c>
    </row>
    <row r="393" spans="1:11" x14ac:dyDescent="0.3">
      <c r="A393" s="30">
        <v>46046</v>
      </c>
      <c r="B393" s="24" cm="1">
        <f t="array" ref="B393">SUMPRODUCT(('TREASURY FILE'!B292:B5293=$B$4)*('TREASURY FILE'!D292:D5293="TURNOVER")*('TREASURY FILE'!A292:A5293=A393)*('TREASURY FILE'!F292:F5293))</f>
        <v>0</v>
      </c>
      <c r="C393" s="24" cm="1">
        <f t="array" ref="C393">SUMPRODUCT(('TREASURY FILE'!B292:B5293=$C$4)*('TREASURY FILE'!D292:D5293="TURNOVER")*('TREASURY FILE'!A292:A5293=A393)*('TREASURY FILE'!F292:F5293))</f>
        <v>124583748.70650919</v>
      </c>
      <c r="D393" s="24" cm="1">
        <f t="array" ref="D393">SUMPRODUCT(('TREASURY FILE'!B292:B5293=$D$4)*('TREASURY FILE'!D292:D5293="TURNOVER")*('TREASURY FILE'!A292:A5293=A393)*('TREASURY FILE'!F292:F5293))</f>
        <v>203336.20351606523</v>
      </c>
      <c r="E393" s="31">
        <f t="shared" si="20"/>
        <v>124787084.91002525</v>
      </c>
      <c r="G393" s="24" cm="1">
        <f t="array" ref="G393">SUMPRODUCT(('TREASURY FILE'!B292:B5293=$G$4)*('TREASURY FILE'!D292:D5293="INCOME")*('TREASURY FILE'!A292:A5293=A393)*('TREASURY FILE'!F292:F5293))</f>
        <v>0</v>
      </c>
      <c r="H393" s="24" cm="1">
        <f t="array" ref="H393">SUMPRODUCT(('TREASURY FILE'!B292:B5293=$H$4)*('TREASURY FILE'!D292:D5293="INCOME")*('TREASURY FILE'!A292:A5293=A393)*('TREASURY FILE'!F292:F5293))</f>
        <v>34367.498451801497</v>
      </c>
      <c r="I393" s="24" cm="1">
        <f t="array" ref="I393">SUMPRODUCT(('TREASURY FILE'!D301:D5293=$I$4)*('TREASURY FILE'!F301:F5293="INCOME")*('TREASURY FILE'!C301:C5293=C393)*('TREASURY FILE'!H301:H5293))</f>
        <v>0</v>
      </c>
      <c r="J393" s="31">
        <f t="shared" si="21"/>
        <v>34367.498451801497</v>
      </c>
      <c r="K393" s="33">
        <f t="shared" si="22"/>
        <v>2.7540909763683764E-4</v>
      </c>
    </row>
    <row r="394" spans="1:11" x14ac:dyDescent="0.3">
      <c r="A394" s="30">
        <v>46047</v>
      </c>
      <c r="B394" s="24" cm="1">
        <f t="array" ref="B394">SUMPRODUCT(('TREASURY FILE'!B293:B5294=$B$4)*('TREASURY FILE'!D293:D5294="TURNOVER")*('TREASURY FILE'!A293:A5294=A394)*('TREASURY FILE'!F293:F5294))</f>
        <v>0</v>
      </c>
      <c r="C394" s="24" cm="1">
        <f t="array" ref="C394">SUMPRODUCT(('TREASURY FILE'!B293:B5294=$C$4)*('TREASURY FILE'!D293:D5294="TURNOVER")*('TREASURY FILE'!A293:A5294=A394)*('TREASURY FILE'!F293:F5294))</f>
        <v>192210086.72802731</v>
      </c>
      <c r="D394" s="24" cm="1">
        <f t="array" ref="D394">SUMPRODUCT(('TREASURY FILE'!B293:B5294=$D$4)*('TREASURY FILE'!D293:D5294="TURNOVER")*('TREASURY FILE'!A293:A5294=A394)*('TREASURY FILE'!F293:F5294))</f>
        <v>1429972.0842736836</v>
      </c>
      <c r="E394" s="31">
        <f t="shared" si="20"/>
        <v>193640058.81230101</v>
      </c>
      <c r="G394" s="24" cm="1">
        <f t="array" ref="G394">SUMPRODUCT(('TREASURY FILE'!B293:B5294=$G$4)*('TREASURY FILE'!D293:D5294="INCOME")*('TREASURY FILE'!A293:A5294=A394)*('TREASURY FILE'!F293:F5294))</f>
        <v>0</v>
      </c>
      <c r="H394" s="24" cm="1">
        <f t="array" ref="H394">SUMPRODUCT(('TREASURY FILE'!B293:B5294=$H$4)*('TREASURY FILE'!D293:D5294="INCOME")*('TREASURY FILE'!A293:A5294=A394)*('TREASURY FILE'!F293:F5294))</f>
        <v>53687.686805651145</v>
      </c>
      <c r="I394" s="24" cm="1">
        <f t="array" ref="I394">SUMPRODUCT(('TREASURY FILE'!D302:D5294=$I$4)*('TREASURY FILE'!F302:F5294="INCOME")*('TREASURY FILE'!C302:C5294=C394)*('TREASURY FILE'!H302:H5294))</f>
        <v>0</v>
      </c>
      <c r="J394" s="31">
        <f t="shared" si="21"/>
        <v>53687.686805651145</v>
      </c>
      <c r="K394" s="33">
        <f t="shared" si="22"/>
        <v>2.7725506351808973E-4</v>
      </c>
    </row>
    <row r="395" spans="1:11" x14ac:dyDescent="0.3">
      <c r="A395" s="30">
        <v>46048</v>
      </c>
      <c r="B395" s="24" cm="1">
        <f t="array" ref="B395">SUMPRODUCT(('TREASURY FILE'!B294:B5295=$B$4)*('TREASURY FILE'!D294:D5295="TURNOVER")*('TREASURY FILE'!A294:A5295=A395)*('TREASURY FILE'!F294:F5295))</f>
        <v>0</v>
      </c>
      <c r="C395" s="24" cm="1">
        <f t="array" ref="C395">SUMPRODUCT(('TREASURY FILE'!B294:B5295=$C$4)*('TREASURY FILE'!D294:D5295="TURNOVER")*('TREASURY FILE'!A294:A5295=A395)*('TREASURY FILE'!F294:F5295))</f>
        <v>138362421.9032273</v>
      </c>
      <c r="D395" s="24" cm="1">
        <f t="array" ref="D395">SUMPRODUCT(('TREASURY FILE'!B294:B5295=$D$4)*('TREASURY FILE'!D294:D5295="TURNOVER")*('TREASURY FILE'!A294:A5295=A395)*('TREASURY FILE'!F294:F5295))</f>
        <v>601648.50864756806</v>
      </c>
      <c r="E395" s="31">
        <f t="shared" si="20"/>
        <v>138964070.41187486</v>
      </c>
      <c r="G395" s="24" cm="1">
        <f t="array" ref="G395">SUMPRODUCT(('TREASURY FILE'!B294:B5295=$G$4)*('TREASURY FILE'!D294:D5295="INCOME")*('TREASURY FILE'!A294:A5295=A395)*('TREASURY FILE'!F294:F5295))</f>
        <v>0</v>
      </c>
      <c r="H395" s="24" cm="1">
        <f t="array" ref="H395">SUMPRODUCT(('TREASURY FILE'!B294:B5295=$H$4)*('TREASURY FILE'!D294:D5295="INCOME")*('TREASURY FILE'!A294:A5295=A395)*('TREASURY FILE'!F294:F5295))</f>
        <v>37047.019504564407</v>
      </c>
      <c r="I395" s="24" cm="1">
        <f t="array" ref="I395">SUMPRODUCT(('TREASURY FILE'!D303:D5295=$I$4)*('TREASURY FILE'!F303:F5295="INCOME")*('TREASURY FILE'!C303:C5295=C395)*('TREASURY FILE'!H303:H5295))</f>
        <v>0</v>
      </c>
      <c r="J395" s="31">
        <f t="shared" si="21"/>
        <v>37047.019504564407</v>
      </c>
      <c r="K395" s="33">
        <f t="shared" si="22"/>
        <v>2.6659423111859739E-4</v>
      </c>
    </row>
    <row r="396" spans="1:11" x14ac:dyDescent="0.3">
      <c r="A396" s="30">
        <v>46049</v>
      </c>
      <c r="B396" s="24" cm="1">
        <f t="array" ref="B396">SUMPRODUCT(('TREASURY FILE'!B295:B5296=$B$4)*('TREASURY FILE'!D295:D5296="TURNOVER")*('TREASURY FILE'!A295:A5296=A396)*('TREASURY FILE'!F295:F5296))</f>
        <v>0</v>
      </c>
      <c r="C396" s="24" cm="1">
        <f t="array" ref="C396">SUMPRODUCT(('TREASURY FILE'!B295:B5296=$C$4)*('TREASURY FILE'!D295:D5296="TURNOVER")*('TREASURY FILE'!A295:A5296=A396)*('TREASURY FILE'!F295:F5296))</f>
        <v>132499267.55992968</v>
      </c>
      <c r="D396" s="24" cm="1">
        <f t="array" ref="D396">SUMPRODUCT(('TREASURY FILE'!B295:B5296=$D$4)*('TREASURY FILE'!D295:D5296="TURNOVER")*('TREASURY FILE'!A295:A5296=A396)*('TREASURY FILE'!F295:F5296))</f>
        <v>343271.02111778077</v>
      </c>
      <c r="E396" s="31">
        <f t="shared" si="20"/>
        <v>132842538.58104746</v>
      </c>
      <c r="G396" s="24" cm="1">
        <f t="array" ref="G396">SUMPRODUCT(('TREASURY FILE'!B295:B5296=$G$4)*('TREASURY FILE'!D295:D5296="INCOME")*('TREASURY FILE'!A295:A5296=A396)*('TREASURY FILE'!F295:F5296))</f>
        <v>0</v>
      </c>
      <c r="H396" s="24" cm="1">
        <f t="array" ref="H396">SUMPRODUCT(('TREASURY FILE'!B295:B5296=$H$4)*('TREASURY FILE'!D295:D5296="INCOME")*('TREASURY FILE'!A295:A5296=A396)*('TREASURY FILE'!F295:F5296))</f>
        <v>37033.558524086227</v>
      </c>
      <c r="I396" s="24" cm="1">
        <f t="array" ref="I396">SUMPRODUCT(('TREASURY FILE'!D304:D5296=$I$4)*('TREASURY FILE'!F304:F5296="INCOME")*('TREASURY FILE'!C304:C5296=C396)*('TREASURY FILE'!H304:H5296))</f>
        <v>0</v>
      </c>
      <c r="J396" s="31">
        <f t="shared" si="21"/>
        <v>37033.558524086227</v>
      </c>
      <c r="K396" s="33">
        <f t="shared" si="22"/>
        <v>2.7877785925847835E-4</v>
      </c>
    </row>
    <row r="397" spans="1:11" x14ac:dyDescent="0.3">
      <c r="A397" s="30">
        <v>46050</v>
      </c>
      <c r="B397" s="24" cm="1">
        <f t="array" ref="B397">SUMPRODUCT(('TREASURY FILE'!B296:B5297=$B$4)*('TREASURY FILE'!D296:D5297="TURNOVER")*('TREASURY FILE'!A296:A5297=A397)*('TREASURY FILE'!F296:F5297))</f>
        <v>0</v>
      </c>
      <c r="C397" s="24" cm="1">
        <f t="array" ref="C397">SUMPRODUCT(('TREASURY FILE'!B296:B5297=$C$4)*('TREASURY FILE'!D296:D5297="TURNOVER")*('TREASURY FILE'!A296:A5297=A397)*('TREASURY FILE'!F296:F5297))</f>
        <v>133437414.90807828</v>
      </c>
      <c r="D397" s="24" cm="1">
        <f t="array" ref="D397">SUMPRODUCT(('TREASURY FILE'!B296:B5297=$D$4)*('TREASURY FILE'!D296:D5297="TURNOVER")*('TREASURY FILE'!A296:A5297=A397)*('TREASURY FILE'!F296:F5297))</f>
        <v>272972.84235841269</v>
      </c>
      <c r="E397" s="31">
        <f t="shared" si="20"/>
        <v>133710387.75043669</v>
      </c>
      <c r="G397" s="24" cm="1">
        <f t="array" ref="G397">SUMPRODUCT(('TREASURY FILE'!B296:B5297=$G$4)*('TREASURY FILE'!D296:D5297="INCOME")*('TREASURY FILE'!A296:A5297=A397)*('TREASURY FILE'!F296:F5297))</f>
        <v>0</v>
      </c>
      <c r="H397" s="24" cm="1">
        <f t="array" ref="H397">SUMPRODUCT(('TREASURY FILE'!B296:B5297=$H$4)*('TREASURY FILE'!D296:D5297="INCOME")*('TREASURY FILE'!A296:A5297=A397)*('TREASURY FILE'!F296:F5297))</f>
        <v>37572.470272795326</v>
      </c>
      <c r="I397" s="24" cm="1">
        <f t="array" ref="I397">SUMPRODUCT(('TREASURY FILE'!D305:D5297=$I$4)*('TREASURY FILE'!F305:F5297="INCOME")*('TREASURY FILE'!C305:C5297=C397)*('TREASURY FILE'!H305:H5297))</f>
        <v>0</v>
      </c>
      <c r="J397" s="31">
        <f t="shared" si="21"/>
        <v>37572.470272795326</v>
      </c>
      <c r="K397" s="33">
        <f t="shared" si="22"/>
        <v>2.8099888800653497E-4</v>
      </c>
    </row>
    <row r="398" spans="1:11" x14ac:dyDescent="0.3">
      <c r="A398" s="30">
        <v>46051</v>
      </c>
      <c r="B398" s="24" cm="1">
        <f t="array" ref="B398">SUMPRODUCT(('TREASURY FILE'!B297:B5298=$B$4)*('TREASURY FILE'!D297:D5298="TURNOVER")*('TREASURY FILE'!A297:A5298=A398)*('TREASURY FILE'!F297:F5298))</f>
        <v>0</v>
      </c>
      <c r="C398" s="24" cm="1">
        <f t="array" ref="C398">SUMPRODUCT(('TREASURY FILE'!B297:B5298=$C$4)*('TREASURY FILE'!D297:D5298="TURNOVER")*('TREASURY FILE'!A297:A5298=A398)*('TREASURY FILE'!F297:F5298))</f>
        <v>177753095.49131951</v>
      </c>
      <c r="D398" s="24" cm="1">
        <f t="array" ref="D398">SUMPRODUCT(('TREASURY FILE'!B297:B5298=$D$4)*('TREASURY FILE'!D297:D5298="TURNOVER")*('TREASURY FILE'!A297:A5298=A398)*('TREASURY FILE'!F297:F5298))</f>
        <v>339260.6665825721</v>
      </c>
      <c r="E398" s="31">
        <f t="shared" si="20"/>
        <v>178092356.15790209</v>
      </c>
      <c r="G398" s="24" cm="1">
        <f t="array" ref="G398">SUMPRODUCT(('TREASURY FILE'!B297:B5298=$G$4)*('TREASURY FILE'!D297:D5298="INCOME")*('TREASURY FILE'!A297:A5298=A398)*('TREASURY FILE'!F297:F5298))</f>
        <v>0</v>
      </c>
      <c r="H398" s="24" cm="1">
        <f t="array" ref="H398">SUMPRODUCT(('TREASURY FILE'!B297:B5298=$H$4)*('TREASURY FILE'!D297:D5298="INCOME")*('TREASURY FILE'!A297:A5298=A398)*('TREASURY FILE'!F297:F5298))</f>
        <v>50852.405670018568</v>
      </c>
      <c r="I398" s="24" cm="1">
        <f t="array" ref="I398">SUMPRODUCT(('TREASURY FILE'!D306:D5298=$I$4)*('TREASURY FILE'!F306:F5298="INCOME")*('TREASURY FILE'!C306:C5298=C398)*('TREASURY FILE'!H306:H5298))</f>
        <v>0</v>
      </c>
      <c r="J398" s="31">
        <f t="shared" si="21"/>
        <v>50852.405670018568</v>
      </c>
      <c r="K398" s="33">
        <f t="shared" si="22"/>
        <v>2.8553951874796512E-4</v>
      </c>
    </row>
    <row r="399" spans="1:11" x14ac:dyDescent="0.3">
      <c r="A399" s="30">
        <v>46052</v>
      </c>
      <c r="B399" s="24" cm="1">
        <f t="array" ref="B399">SUMPRODUCT(('TREASURY FILE'!B298:B5299=$B$4)*('TREASURY FILE'!D298:D5299="TURNOVER")*('TREASURY FILE'!A298:A5299=A399)*('TREASURY FILE'!F298:F5299))</f>
        <v>0</v>
      </c>
      <c r="C399" s="24" cm="1">
        <f t="array" ref="C399">SUMPRODUCT(('TREASURY FILE'!B298:B5299=$C$4)*('TREASURY FILE'!D298:D5299="TURNOVER")*('TREASURY FILE'!A298:A5299=A399)*('TREASURY FILE'!F298:F5299))</f>
        <v>149220951.19853622</v>
      </c>
      <c r="D399" s="24" cm="1">
        <f t="array" ref="D399">SUMPRODUCT(('TREASURY FILE'!B298:B5299=$D$4)*('TREASURY FILE'!D298:D5299="TURNOVER")*('TREASURY FILE'!A298:A5299=A399)*('TREASURY FILE'!F298:F5299))</f>
        <v>213807.37051956705</v>
      </c>
      <c r="E399" s="31">
        <f t="shared" si="20"/>
        <v>149434758.5690558</v>
      </c>
      <c r="G399" s="24" cm="1">
        <f t="array" ref="G399">SUMPRODUCT(('TREASURY FILE'!B298:B5299=$G$4)*('TREASURY FILE'!D298:D5299="INCOME")*('TREASURY FILE'!A298:A5299=A399)*('TREASURY FILE'!F298:F5299))</f>
        <v>0</v>
      </c>
      <c r="H399" s="24" cm="1">
        <f t="array" ref="H399">SUMPRODUCT(('TREASURY FILE'!B298:B5299=$H$4)*('TREASURY FILE'!D298:D5299="INCOME")*('TREASURY FILE'!A298:A5299=A399)*('TREASURY FILE'!F298:F5299))</f>
        <v>41636.891156418555</v>
      </c>
      <c r="I399" s="24" cm="1">
        <f t="array" ref="I399">SUMPRODUCT(('TREASURY FILE'!D307:D5299=$I$4)*('TREASURY FILE'!F307:F5299="INCOME")*('TREASURY FILE'!C307:C5299=C399)*('TREASURY FILE'!H307:H5299))</f>
        <v>0</v>
      </c>
      <c r="J399" s="31">
        <f t="shared" si="21"/>
        <v>41636.891156418555</v>
      </c>
      <c r="K399" s="33">
        <f t="shared" si="22"/>
        <v>2.7862922625981689E-4</v>
      </c>
    </row>
    <row r="400" spans="1:11" x14ac:dyDescent="0.3">
      <c r="A400" s="30">
        <v>46053</v>
      </c>
      <c r="B400" s="24" cm="1">
        <f t="array" ref="B400">SUMPRODUCT(('TREASURY FILE'!B299:B5300=$B$4)*('TREASURY FILE'!D299:D5300="TURNOVER")*('TREASURY FILE'!A299:A5300=A400)*('TREASURY FILE'!F299:F5300))</f>
        <v>0</v>
      </c>
      <c r="C400" s="24" cm="1">
        <f t="array" ref="C400">SUMPRODUCT(('TREASURY FILE'!B299:B5300=$C$4)*('TREASURY FILE'!D299:D5300="TURNOVER")*('TREASURY FILE'!A299:A5300=A400)*('TREASURY FILE'!F299:F5300))</f>
        <v>161047862.5354856</v>
      </c>
      <c r="D400" s="24" cm="1">
        <f t="array" ref="D400">SUMPRODUCT(('TREASURY FILE'!B299:B5300=$D$4)*('TREASURY FILE'!D299:D5300="TURNOVER")*('TREASURY FILE'!A299:A5300=A400)*('TREASURY FILE'!F299:F5300))</f>
        <v>216407.61896404682</v>
      </c>
      <c r="E400" s="31">
        <f t="shared" si="20"/>
        <v>161264270.15444964</v>
      </c>
      <c r="G400" s="24" cm="1">
        <f t="array" ref="G400">SUMPRODUCT(('TREASURY FILE'!B299:B5300=$G$4)*('TREASURY FILE'!D299:D5300="INCOME")*('TREASURY FILE'!A299:A5300=A400)*('TREASURY FILE'!F299:F5300))</f>
        <v>0</v>
      </c>
      <c r="H400" s="24" cm="1">
        <f t="array" ref="H400">SUMPRODUCT(('TREASURY FILE'!B299:B5300=$H$4)*('TREASURY FILE'!D299:D5300="INCOME")*('TREASURY FILE'!A299:A5300=A400)*('TREASURY FILE'!F299:F5300))</f>
        <v>46568.050992434233</v>
      </c>
      <c r="I400" s="24" cm="1">
        <f t="array" ref="I400">SUMPRODUCT(('TREASURY FILE'!D308:D5300=$I$4)*('TREASURY FILE'!F308:F5300="INCOME")*('TREASURY FILE'!C308:C5300=C400)*('TREASURY FILE'!H308:H5300))</f>
        <v>0</v>
      </c>
      <c r="J400" s="31">
        <f t="shared" si="21"/>
        <v>46568.050992434233</v>
      </c>
      <c r="K400" s="33">
        <f t="shared" si="22"/>
        <v>2.887685595069139E-4</v>
      </c>
    </row>
    <row r="401" spans="1:11" x14ac:dyDescent="0.3">
      <c r="A401" s="30">
        <v>46054</v>
      </c>
      <c r="B401" s="24" cm="1">
        <f t="array" ref="B401">SUMPRODUCT(('TREASURY FILE'!B300:B5301=$B$4)*('TREASURY FILE'!D300:D5301="TURNOVER")*('TREASURY FILE'!A300:A5301=A401)*('TREASURY FILE'!F300:F5301))</f>
        <v>0</v>
      </c>
      <c r="C401" s="24" cm="1">
        <f t="array" ref="C401">SUMPRODUCT(('TREASURY FILE'!B300:B5301=$C$4)*('TREASURY FILE'!D300:D5301="TURNOVER")*('TREASURY FILE'!A300:A5301=A401)*('TREASURY FILE'!F300:F5301))</f>
        <v>136444693.34914675</v>
      </c>
      <c r="D401" s="24" cm="1">
        <f t="array" ref="D401">SUMPRODUCT(('TREASURY FILE'!B300:B5301=$D$4)*('TREASURY FILE'!D300:D5301="TURNOVER")*('TREASURY FILE'!A300:A5301=A401)*('TREASURY FILE'!F300:F5301))</f>
        <v>1243093.5451052871</v>
      </c>
      <c r="E401" s="31">
        <f t="shared" si="20"/>
        <v>137687786.89425203</v>
      </c>
      <c r="G401" s="24" cm="1">
        <f t="array" ref="G401">SUMPRODUCT(('TREASURY FILE'!B300:B5301=$G$4)*('TREASURY FILE'!D300:D5301="INCOME")*('TREASURY FILE'!A300:A5301=A401)*('TREASURY FILE'!F300:F5301))</f>
        <v>0</v>
      </c>
      <c r="H401" s="24" cm="1">
        <f t="array" ref="H401">SUMPRODUCT(('TREASURY FILE'!B300:B5301=$H$4)*('TREASURY FILE'!D300:D5301="INCOME")*('TREASURY FILE'!A300:A5301=A401)*('TREASURY FILE'!F300:F5301))</f>
        <v>37401.055326501562</v>
      </c>
      <c r="I401" s="24" cm="1">
        <f t="array" ref="I401">SUMPRODUCT(('TREASURY FILE'!D309:D5301=$I$4)*('TREASURY FILE'!F309:F5301="INCOME")*('TREASURY FILE'!C309:C5301=C401)*('TREASURY FILE'!H309:H5301))</f>
        <v>0</v>
      </c>
      <c r="J401" s="31">
        <f t="shared" si="21"/>
        <v>37401.055326501562</v>
      </c>
      <c r="K401" s="33">
        <f t="shared" si="22"/>
        <v>2.7163669465634299E-4</v>
      </c>
    </row>
    <row r="402" spans="1:11" x14ac:dyDescent="0.3">
      <c r="A402" s="30">
        <v>46055</v>
      </c>
      <c r="B402" s="24" cm="1">
        <f t="array" ref="B402">SUMPRODUCT(('TREASURY FILE'!B301:B5302=$B$4)*('TREASURY FILE'!D301:D5302="TURNOVER")*('TREASURY FILE'!A301:A5302=A402)*('TREASURY FILE'!F301:F5302))</f>
        <v>0</v>
      </c>
      <c r="C402" s="24" cm="1">
        <f t="array" ref="C402">SUMPRODUCT(('TREASURY FILE'!B301:B5302=$C$4)*('TREASURY FILE'!D301:D5302="TURNOVER")*('TREASURY FILE'!A301:A5302=A402)*('TREASURY FILE'!F301:F5302))</f>
        <v>130084945.26277801</v>
      </c>
      <c r="D402" s="24" cm="1">
        <f t="array" ref="D402">SUMPRODUCT(('TREASURY FILE'!B301:B5302=$D$4)*('TREASURY FILE'!D301:D5302="TURNOVER")*('TREASURY FILE'!A301:A5302=A402)*('TREASURY FILE'!F301:F5302))</f>
        <v>593740.07661742566</v>
      </c>
      <c r="E402" s="31">
        <f t="shared" si="20"/>
        <v>130678685.33939543</v>
      </c>
      <c r="G402" s="24" cm="1">
        <f t="array" ref="G402">SUMPRODUCT(('TREASURY FILE'!B301:B5302=$G$4)*('TREASURY FILE'!D301:D5302="INCOME")*('TREASURY FILE'!A301:A5302=A402)*('TREASURY FILE'!F301:F5302))</f>
        <v>0</v>
      </c>
      <c r="H402" s="24" cm="1">
        <f t="array" ref="H402">SUMPRODUCT(('TREASURY FILE'!B301:B5302=$H$4)*('TREASURY FILE'!D301:D5302="INCOME")*('TREASURY FILE'!A301:A5302=A402)*('TREASURY FILE'!F301:F5302))</f>
        <v>36541.678907612106</v>
      </c>
      <c r="I402" s="24" cm="1">
        <f t="array" ref="I402">SUMPRODUCT(('TREASURY FILE'!D310:D5302=$I$4)*('TREASURY FILE'!F310:F5302="INCOME")*('TREASURY FILE'!C310:C5302=C402)*('TREASURY FILE'!H310:H5302))</f>
        <v>0</v>
      </c>
      <c r="J402" s="31">
        <f t="shared" si="21"/>
        <v>36541.678907612106</v>
      </c>
      <c r="K402" s="33">
        <f t="shared" si="22"/>
        <v>2.7962998566068343E-4</v>
      </c>
    </row>
    <row r="403" spans="1:11" x14ac:dyDescent="0.3">
      <c r="A403" s="30">
        <v>46056</v>
      </c>
      <c r="B403" s="24" cm="1">
        <f t="array" ref="B403">SUMPRODUCT(('TREASURY FILE'!B302:B5303=$B$4)*('TREASURY FILE'!D302:D5303="TURNOVER")*('TREASURY FILE'!A302:A5303=A403)*('TREASURY FILE'!F302:F5303))</f>
        <v>0</v>
      </c>
      <c r="C403" s="24" cm="1">
        <f t="array" ref="C403">SUMPRODUCT(('TREASURY FILE'!B302:B5303=$C$4)*('TREASURY FILE'!D302:D5303="TURNOVER")*('TREASURY FILE'!A302:A5303=A403)*('TREASURY FILE'!F302:F5303))</f>
        <v>134641107.8888965</v>
      </c>
      <c r="D403" s="24" cm="1">
        <f t="array" ref="D403">SUMPRODUCT(('TREASURY FILE'!B302:B5303=$D$4)*('TREASURY FILE'!D302:D5303="TURNOVER")*('TREASURY FILE'!A302:A5303=A403)*('TREASURY FILE'!F302:F5303))</f>
        <v>735114.80273892207</v>
      </c>
      <c r="E403" s="31">
        <f t="shared" si="20"/>
        <v>135376222.69163543</v>
      </c>
      <c r="G403" s="24" cm="1">
        <f t="array" ref="G403">SUMPRODUCT(('TREASURY FILE'!B302:B5303=$G$4)*('TREASURY FILE'!D302:D5303="INCOME")*('TREASURY FILE'!A302:A5303=A403)*('TREASURY FILE'!F302:F5303))</f>
        <v>0</v>
      </c>
      <c r="H403" s="24" cm="1">
        <f t="array" ref="H403">SUMPRODUCT(('TREASURY FILE'!B302:B5303=$H$4)*('TREASURY FILE'!D302:D5303="INCOME")*('TREASURY FILE'!A302:A5303=A403)*('TREASURY FILE'!F302:F5303))</f>
        <v>38719.186157145246</v>
      </c>
      <c r="I403" s="24" cm="1">
        <f t="array" ref="I403">SUMPRODUCT(('TREASURY FILE'!D311:D5303=$I$4)*('TREASURY FILE'!F311:F5303="INCOME")*('TREASURY FILE'!C311:C5303=C403)*('TREASURY FILE'!H311:H5303))</f>
        <v>0</v>
      </c>
      <c r="J403" s="31">
        <f t="shared" si="21"/>
        <v>38719.186157145246</v>
      </c>
      <c r="K403" s="33">
        <f t="shared" si="22"/>
        <v>2.8601171895112723E-4</v>
      </c>
    </row>
    <row r="404" spans="1:11" x14ac:dyDescent="0.3">
      <c r="A404" s="30">
        <v>46057</v>
      </c>
      <c r="B404" s="24" cm="1">
        <f t="array" ref="B404">SUMPRODUCT(('TREASURY FILE'!B303:B5304=$B$4)*('TREASURY FILE'!D303:D5304="TURNOVER")*('TREASURY FILE'!A303:A5304=A404)*('TREASURY FILE'!F303:F5304))</f>
        <v>0</v>
      </c>
      <c r="C404" s="24" cm="1">
        <f t="array" ref="C404">SUMPRODUCT(('TREASURY FILE'!B303:B5304=$C$4)*('TREASURY FILE'!D303:D5304="TURNOVER")*('TREASURY FILE'!A303:A5304=A404)*('TREASURY FILE'!F303:F5304))</f>
        <v>115822553.06537709</v>
      </c>
      <c r="D404" s="24" cm="1">
        <f t="array" ref="D404">SUMPRODUCT(('TREASURY FILE'!B303:B5304=$D$4)*('TREASURY FILE'!D303:D5304="TURNOVER")*('TREASURY FILE'!A303:A5304=A404)*('TREASURY FILE'!F303:F5304))</f>
        <v>205170.03090473826</v>
      </c>
      <c r="E404" s="31">
        <f t="shared" si="20"/>
        <v>116027723.09628183</v>
      </c>
      <c r="G404" s="24" cm="1">
        <f t="array" ref="G404">SUMPRODUCT(('TREASURY FILE'!B303:B5304=$G$4)*('TREASURY FILE'!D303:D5304="INCOME")*('TREASURY FILE'!A303:A5304=A404)*('TREASURY FILE'!F303:F5304))</f>
        <v>0</v>
      </c>
      <c r="H404" s="24" cm="1">
        <f t="array" ref="H404">SUMPRODUCT(('TREASURY FILE'!B303:B5304=$H$4)*('TREASURY FILE'!D303:D5304="INCOME")*('TREASURY FILE'!A303:A5304=A404)*('TREASURY FILE'!F303:F5304))</f>
        <v>33520.206246212314</v>
      </c>
      <c r="I404" s="24" cm="1">
        <f t="array" ref="I404">SUMPRODUCT(('TREASURY FILE'!D312:D5304=$I$4)*('TREASURY FILE'!F312:F5304="INCOME")*('TREASURY FILE'!C312:C5304=C404)*('TREASURY FILE'!H312:H5304))</f>
        <v>0</v>
      </c>
      <c r="J404" s="31">
        <f t="shared" si="21"/>
        <v>33520.206246212314</v>
      </c>
      <c r="K404" s="33">
        <f t="shared" si="22"/>
        <v>2.8889825079474033E-4</v>
      </c>
    </row>
    <row r="405" spans="1:11" x14ac:dyDescent="0.3">
      <c r="A405" s="30">
        <v>46058</v>
      </c>
      <c r="B405" s="24" cm="1">
        <f t="array" ref="B405">SUMPRODUCT(('TREASURY FILE'!B304:B5305=$B$4)*('TREASURY FILE'!D304:D5305="TURNOVER")*('TREASURY FILE'!A304:A5305=A405)*('TREASURY FILE'!F304:F5305))</f>
        <v>0</v>
      </c>
      <c r="C405" s="24" cm="1">
        <f t="array" ref="C405">SUMPRODUCT(('TREASURY FILE'!B304:B5305=$C$4)*('TREASURY FILE'!D304:D5305="TURNOVER")*('TREASURY FILE'!A304:A5305=A405)*('TREASURY FILE'!F304:F5305))</f>
        <v>169520979.23110545</v>
      </c>
      <c r="D405" s="24" cm="1">
        <f t="array" ref="D405">SUMPRODUCT(('TREASURY FILE'!B304:B5305=$D$4)*('TREASURY FILE'!D304:D5305="TURNOVER")*('TREASURY FILE'!A304:A5305=A405)*('TREASURY FILE'!F304:F5305))</f>
        <v>201982.15931707932</v>
      </c>
      <c r="E405" s="31">
        <f t="shared" si="20"/>
        <v>169722961.39042252</v>
      </c>
      <c r="G405" s="24" cm="1">
        <f t="array" ref="G405">SUMPRODUCT(('TREASURY FILE'!B304:B5305=$G$4)*('TREASURY FILE'!D304:D5305="INCOME")*('TREASURY FILE'!A304:A5305=A405)*('TREASURY FILE'!F304:F5305))</f>
        <v>0</v>
      </c>
      <c r="H405" s="24" cm="1">
        <f t="array" ref="H405">SUMPRODUCT(('TREASURY FILE'!B304:B5305=$H$4)*('TREASURY FILE'!D304:D5305="INCOME")*('TREASURY FILE'!A304:A5305=A405)*('TREASURY FILE'!F304:F5305))</f>
        <v>51660.881936770056</v>
      </c>
      <c r="I405" s="24" cm="1">
        <f t="array" ref="I405">SUMPRODUCT(('TREASURY FILE'!D313:D5305=$I$4)*('TREASURY FILE'!F313:F5305="INCOME")*('TREASURY FILE'!C313:C5305=C405)*('TREASURY FILE'!H313:H5305))</f>
        <v>0</v>
      </c>
      <c r="J405" s="31">
        <f t="shared" si="21"/>
        <v>51660.881936770056</v>
      </c>
      <c r="K405" s="33">
        <f t="shared" si="22"/>
        <v>3.0438357611455914E-4</v>
      </c>
    </row>
    <row r="406" spans="1:11" x14ac:dyDescent="0.3">
      <c r="A406" s="30">
        <v>46059</v>
      </c>
      <c r="B406" s="24" cm="1">
        <f t="array" ref="B406">SUMPRODUCT(('TREASURY FILE'!B305:B5306=$B$4)*('TREASURY FILE'!D305:D5306="TURNOVER")*('TREASURY FILE'!A305:A5306=A406)*('TREASURY FILE'!F305:F5306))</f>
        <v>0</v>
      </c>
      <c r="C406" s="24" cm="1">
        <f t="array" ref="C406">SUMPRODUCT(('TREASURY FILE'!B305:B5306=$C$4)*('TREASURY FILE'!D305:D5306="TURNOVER")*('TREASURY FILE'!A305:A5306=A406)*('TREASURY FILE'!F305:F5306))</f>
        <v>213568644.27956858</v>
      </c>
      <c r="D406" s="24" cm="1">
        <f t="array" ref="D406">SUMPRODUCT(('TREASURY FILE'!B305:B5306=$D$4)*('TREASURY FILE'!D305:D5306="TURNOVER")*('TREASURY FILE'!A305:A5306=A406)*('TREASURY FILE'!F305:F5306))</f>
        <v>804587.91397129989</v>
      </c>
      <c r="E406" s="31">
        <f t="shared" si="20"/>
        <v>214373232.19353989</v>
      </c>
      <c r="G406" s="24" cm="1">
        <f t="array" ref="G406">SUMPRODUCT(('TREASURY FILE'!B305:B5306=$G$4)*('TREASURY FILE'!D305:D5306="INCOME")*('TREASURY FILE'!A305:A5306=A406)*('TREASURY FILE'!F305:F5306))</f>
        <v>0</v>
      </c>
      <c r="H406" s="24" cm="1">
        <f t="array" ref="H406">SUMPRODUCT(('TREASURY FILE'!B305:B5306=$H$4)*('TREASURY FILE'!D305:D5306="INCOME")*('TREASURY FILE'!A305:A5306=A406)*('TREASURY FILE'!F305:F5306))</f>
        <v>64795.590171964162</v>
      </c>
      <c r="I406" s="24" cm="1">
        <f t="array" ref="I406">SUMPRODUCT(('TREASURY FILE'!D314:D5306=$I$4)*('TREASURY FILE'!F314:F5306="INCOME")*('TREASURY FILE'!C314:C5306=C406)*('TREASURY FILE'!H314:H5306))</f>
        <v>0</v>
      </c>
      <c r="J406" s="31">
        <f t="shared" si="21"/>
        <v>64795.590171964162</v>
      </c>
      <c r="K406" s="33">
        <f t="shared" si="22"/>
        <v>3.0225597435348448E-4</v>
      </c>
    </row>
    <row r="407" spans="1:11" x14ac:dyDescent="0.3">
      <c r="A407" s="30">
        <v>46060</v>
      </c>
      <c r="B407" s="24" cm="1">
        <f t="array" ref="B407">SUMPRODUCT(('TREASURY FILE'!B306:B5307=$B$4)*('TREASURY FILE'!D306:D5307="TURNOVER")*('TREASURY FILE'!A306:A5307=A407)*('TREASURY FILE'!F306:F5307))</f>
        <v>0</v>
      </c>
      <c r="C407" s="24" cm="1">
        <f t="array" ref="C407">SUMPRODUCT(('TREASURY FILE'!B306:B5307=$C$4)*('TREASURY FILE'!D306:D5307="TURNOVER")*('TREASURY FILE'!A306:A5307=A407)*('TREASURY FILE'!F306:F5307))</f>
        <v>138529598.46658474</v>
      </c>
      <c r="D407" s="24" cm="1">
        <f t="array" ref="D407">SUMPRODUCT(('TREASURY FILE'!B306:B5307=$D$4)*('TREASURY FILE'!D306:D5307="TURNOVER")*('TREASURY FILE'!A306:A5307=A407)*('TREASURY FILE'!F306:F5307))</f>
        <v>1130359.8880080292</v>
      </c>
      <c r="E407" s="31">
        <f t="shared" si="20"/>
        <v>139659958.35459277</v>
      </c>
      <c r="G407" s="24" cm="1">
        <f t="array" ref="G407">SUMPRODUCT(('TREASURY FILE'!B306:B5307=$G$4)*('TREASURY FILE'!D306:D5307="INCOME")*('TREASURY FILE'!A306:A5307=A407)*('TREASURY FILE'!F306:F5307))</f>
        <v>0</v>
      </c>
      <c r="H407" s="24" cm="1">
        <f t="array" ref="H407">SUMPRODUCT(('TREASURY FILE'!B306:B5307=$H$4)*('TREASURY FILE'!D306:D5307="INCOME")*('TREASURY FILE'!A306:A5307=A407)*('TREASURY FILE'!F306:F5307))</f>
        <v>41183.629189922918</v>
      </c>
      <c r="I407" s="24" cm="1">
        <f t="array" ref="I407">SUMPRODUCT(('TREASURY FILE'!D315:D5307=$I$4)*('TREASURY FILE'!F315:F5307="INCOME")*('TREASURY FILE'!C315:C5307=C407)*('TREASURY FILE'!H315:H5307))</f>
        <v>0</v>
      </c>
      <c r="J407" s="31">
        <f t="shared" si="21"/>
        <v>41183.629189922918</v>
      </c>
      <c r="K407" s="33">
        <f t="shared" si="22"/>
        <v>2.9488501697357537E-4</v>
      </c>
    </row>
    <row r="408" spans="1:11" x14ac:dyDescent="0.3">
      <c r="A408" s="30">
        <v>46061</v>
      </c>
      <c r="B408" s="24" cm="1">
        <f t="array" ref="B408">SUMPRODUCT(('TREASURY FILE'!B307:B5308=$B$4)*('TREASURY FILE'!D307:D5308="TURNOVER")*('TREASURY FILE'!A307:A5308=A408)*('TREASURY FILE'!F307:F5308))</f>
        <v>0</v>
      </c>
      <c r="C408" s="24" cm="1">
        <f t="array" ref="C408">SUMPRODUCT(('TREASURY FILE'!B307:B5308=$C$4)*('TREASURY FILE'!D307:D5308="TURNOVER")*('TREASURY FILE'!A307:A5308=A408)*('TREASURY FILE'!F307:F5308))</f>
        <v>95296078.537292719</v>
      </c>
      <c r="D408" s="24" cm="1">
        <f t="array" ref="D408">SUMPRODUCT(('TREASURY FILE'!B307:B5308=$D$4)*('TREASURY FILE'!D307:D5308="TURNOVER")*('TREASURY FILE'!A307:A5308=A408)*('TREASURY FILE'!F307:F5308))</f>
        <v>641658.16123662819</v>
      </c>
      <c r="E408" s="31">
        <f t="shared" si="20"/>
        <v>95937736.698529348</v>
      </c>
      <c r="G408" s="24" cm="1">
        <f t="array" ref="G408">SUMPRODUCT(('TREASURY FILE'!B307:B5308=$G$4)*('TREASURY FILE'!D307:D5308="INCOME")*('TREASURY FILE'!A307:A5308=A408)*('TREASURY FILE'!F307:F5308))</f>
        <v>0</v>
      </c>
      <c r="H408" s="24" cm="1">
        <f t="array" ref="H408">SUMPRODUCT(('TREASURY FILE'!B307:B5308=$H$4)*('TREASURY FILE'!D307:D5308="INCOME")*('TREASURY FILE'!A307:A5308=A408)*('TREASURY FILE'!F307:F5308))</f>
        <v>27190.150490664135</v>
      </c>
      <c r="I408" s="24" cm="1">
        <f t="array" ref="I408">SUMPRODUCT(('TREASURY FILE'!D316:D5308=$I$4)*('TREASURY FILE'!F316:F5308="INCOME")*('TREASURY FILE'!C316:C5308=C408)*('TREASURY FILE'!H316:H5308))</f>
        <v>0</v>
      </c>
      <c r="J408" s="31">
        <f t="shared" si="21"/>
        <v>27190.150490664135</v>
      </c>
      <c r="K408" s="33">
        <f t="shared" si="22"/>
        <v>2.834145501691926E-4</v>
      </c>
    </row>
    <row r="409" spans="1:11" x14ac:dyDescent="0.3">
      <c r="A409" s="30">
        <v>46062</v>
      </c>
      <c r="B409" s="24" cm="1">
        <f t="array" ref="B409">SUMPRODUCT(('TREASURY FILE'!B308:B5309=$B$4)*('TREASURY FILE'!D308:D5309="TURNOVER")*('TREASURY FILE'!A308:A5309=A409)*('TREASURY FILE'!F308:F5309))</f>
        <v>0</v>
      </c>
      <c r="C409" s="24" cm="1">
        <f t="array" ref="C409">SUMPRODUCT(('TREASURY FILE'!B308:B5309=$C$4)*('TREASURY FILE'!D308:D5309="TURNOVER")*('TREASURY FILE'!A308:A5309=A409)*('TREASURY FILE'!F308:F5309))</f>
        <v>106841278.78523538</v>
      </c>
      <c r="D409" s="24" cm="1">
        <f t="array" ref="D409">SUMPRODUCT(('TREASURY FILE'!B308:B5309=$D$4)*('TREASURY FILE'!D308:D5309="TURNOVER")*('TREASURY FILE'!A308:A5309=A409)*('TREASURY FILE'!F308:F5309))</f>
        <v>119659.88334626742</v>
      </c>
      <c r="E409" s="31">
        <f t="shared" si="20"/>
        <v>106960938.66858165</v>
      </c>
      <c r="G409" s="24" cm="1">
        <f t="array" ref="G409">SUMPRODUCT(('TREASURY FILE'!B308:B5309=$G$4)*('TREASURY FILE'!D308:D5309="INCOME")*('TREASURY FILE'!A308:A5309=A409)*('TREASURY FILE'!F308:F5309))</f>
        <v>0</v>
      </c>
      <c r="H409" s="24" cm="1">
        <f t="array" ref="H409">SUMPRODUCT(('TREASURY FILE'!B308:B5309=$H$4)*('TREASURY FILE'!D308:D5309="INCOME")*('TREASURY FILE'!A308:A5309=A409)*('TREASURY FILE'!F308:F5309))</f>
        <v>30980.829668521317</v>
      </c>
      <c r="I409" s="24" cm="1">
        <f t="array" ref="I409">SUMPRODUCT(('TREASURY FILE'!D317:D5309=$I$4)*('TREASURY FILE'!F317:F5309="INCOME")*('TREASURY FILE'!C317:C5309=C409)*('TREASURY FILE'!H317:H5309))</f>
        <v>0</v>
      </c>
      <c r="J409" s="31">
        <f t="shared" si="21"/>
        <v>30980.829668521317</v>
      </c>
      <c r="K409" s="33">
        <f t="shared" si="22"/>
        <v>2.8964620219457295E-4</v>
      </c>
    </row>
    <row r="410" spans="1:11" x14ac:dyDescent="0.3">
      <c r="A410" s="30">
        <v>46063</v>
      </c>
      <c r="B410" s="24" cm="1">
        <f t="array" ref="B410">SUMPRODUCT(('TREASURY FILE'!B309:B5310=$B$4)*('TREASURY FILE'!D309:D5310="TURNOVER")*('TREASURY FILE'!A309:A5310=A410)*('TREASURY FILE'!F309:F5310))</f>
        <v>0</v>
      </c>
      <c r="C410" s="24" cm="1">
        <f t="array" ref="C410">SUMPRODUCT(('TREASURY FILE'!B309:B5310=$C$4)*('TREASURY FILE'!D309:D5310="TURNOVER")*('TREASURY FILE'!A309:A5310=A410)*('TREASURY FILE'!F309:F5310))</f>
        <v>116319661.43423475</v>
      </c>
      <c r="D410" s="24" cm="1">
        <f t="array" ref="D410">SUMPRODUCT(('TREASURY FILE'!B309:B5310=$D$4)*('TREASURY FILE'!D309:D5310="TURNOVER")*('TREASURY FILE'!A309:A5310=A410)*('TREASURY FILE'!F309:F5310))</f>
        <v>584879.65799121943</v>
      </c>
      <c r="E410" s="31">
        <f t="shared" si="20"/>
        <v>116904541.09222597</v>
      </c>
      <c r="G410" s="24" cm="1">
        <f t="array" ref="G410">SUMPRODUCT(('TREASURY FILE'!B309:B5310=$G$4)*('TREASURY FILE'!D309:D5310="INCOME")*('TREASURY FILE'!A309:A5310=A410)*('TREASURY FILE'!F309:F5310))</f>
        <v>0</v>
      </c>
      <c r="H410" s="24" cm="1">
        <f t="array" ref="H410">SUMPRODUCT(('TREASURY FILE'!B309:B5310=$H$4)*('TREASURY FILE'!D309:D5310="INCOME")*('TREASURY FILE'!A309:A5310=A410)*('TREASURY FILE'!F309:F5310))</f>
        <v>33447.183813284159</v>
      </c>
      <c r="I410" s="24" cm="1">
        <f t="array" ref="I410">SUMPRODUCT(('TREASURY FILE'!D318:D5310=$I$4)*('TREASURY FILE'!F318:F5310="INCOME")*('TREASURY FILE'!C318:C5310=C410)*('TREASURY FILE'!H318:H5310))</f>
        <v>0</v>
      </c>
      <c r="J410" s="31">
        <f t="shared" si="21"/>
        <v>33447.183813284159</v>
      </c>
      <c r="K410" s="33">
        <f t="shared" si="22"/>
        <v>2.8610679705673436E-4</v>
      </c>
    </row>
    <row r="411" spans="1:11" x14ac:dyDescent="0.3">
      <c r="A411" s="30">
        <v>46064</v>
      </c>
      <c r="B411" s="24" cm="1">
        <f t="array" ref="B411">SUMPRODUCT(('TREASURY FILE'!B310:B5311=$B$4)*('TREASURY FILE'!D310:D5311="TURNOVER")*('TREASURY FILE'!A310:A5311=A411)*('TREASURY FILE'!F310:F5311))</f>
        <v>0</v>
      </c>
      <c r="C411" s="24" cm="1">
        <f t="array" ref="C411">SUMPRODUCT(('TREASURY FILE'!B310:B5311=$C$4)*('TREASURY FILE'!D310:D5311="TURNOVER")*('TREASURY FILE'!A310:A5311=A411)*('TREASURY FILE'!F310:F5311))</f>
        <v>110605643.70528342</v>
      </c>
      <c r="D411" s="24" cm="1">
        <f t="array" ref="D411">SUMPRODUCT(('TREASURY FILE'!B310:B5311=$D$4)*('TREASURY FILE'!D310:D5311="TURNOVER")*('TREASURY FILE'!A310:A5311=A411)*('TREASURY FILE'!F310:F5311))</f>
        <v>187905.16879690895</v>
      </c>
      <c r="E411" s="31">
        <f t="shared" si="20"/>
        <v>110793548.87408033</v>
      </c>
      <c r="G411" s="24" cm="1">
        <f t="array" ref="G411">SUMPRODUCT(('TREASURY FILE'!B310:B5311=$G$4)*('TREASURY FILE'!D310:D5311="INCOME")*('TREASURY FILE'!A310:A5311=A411)*('TREASURY FILE'!F310:F5311))</f>
        <v>0</v>
      </c>
      <c r="H411" s="24" cm="1">
        <f t="array" ref="H411">SUMPRODUCT(('TREASURY FILE'!B310:B5311=$H$4)*('TREASURY FILE'!D310:D5311="INCOME")*('TREASURY FILE'!A310:A5311=A411)*('TREASURY FILE'!F310:F5311))</f>
        <v>32959.142454691784</v>
      </c>
      <c r="I411" s="24" cm="1">
        <f t="array" ref="I411">SUMPRODUCT(('TREASURY FILE'!D319:D5311=$I$4)*('TREASURY FILE'!F319:F5311="INCOME")*('TREASURY FILE'!C319:C5311=C411)*('TREASURY FILE'!H319:H5311))</f>
        <v>0</v>
      </c>
      <c r="J411" s="31">
        <f t="shared" si="21"/>
        <v>32959.142454691784</v>
      </c>
      <c r="K411" s="33">
        <f t="shared" si="22"/>
        <v>2.9748250498005697E-4</v>
      </c>
    </row>
    <row r="412" spans="1:11" x14ac:dyDescent="0.3">
      <c r="A412" s="30">
        <v>46065</v>
      </c>
      <c r="B412" s="24" cm="1">
        <f t="array" ref="B412">SUMPRODUCT(('TREASURY FILE'!B311:B5312=$B$4)*('TREASURY FILE'!D311:D5312="TURNOVER")*('TREASURY FILE'!A311:A5312=A412)*('TREASURY FILE'!F311:F5312))</f>
        <v>0</v>
      </c>
      <c r="C412" s="24" cm="1">
        <f t="array" ref="C412">SUMPRODUCT(('TREASURY FILE'!B311:B5312=$C$4)*('TREASURY FILE'!D311:D5312="TURNOVER")*('TREASURY FILE'!A311:A5312=A412)*('TREASURY FILE'!F311:F5312))</f>
        <v>142493948.19144207</v>
      </c>
      <c r="D412" s="24" cm="1">
        <f t="array" ref="D412">SUMPRODUCT(('TREASURY FILE'!B311:B5312=$D$4)*('TREASURY FILE'!D311:D5312="TURNOVER")*('TREASURY FILE'!A311:A5312=A412)*('TREASURY FILE'!F311:F5312))</f>
        <v>939611.42844607017</v>
      </c>
      <c r="E412" s="31">
        <f t="shared" si="20"/>
        <v>143433559.61988816</v>
      </c>
      <c r="G412" s="24" cm="1">
        <f t="array" ref="G412">SUMPRODUCT(('TREASURY FILE'!B311:B5312=$G$4)*('TREASURY FILE'!D311:D5312="INCOME")*('TREASURY FILE'!A311:A5312=A412)*('TREASURY FILE'!F311:F5312))</f>
        <v>0</v>
      </c>
      <c r="H412" s="24" cm="1">
        <f t="array" ref="H412">SUMPRODUCT(('TREASURY FILE'!B311:B5312=$H$4)*('TREASURY FILE'!D311:D5312="INCOME")*('TREASURY FILE'!A311:A5312=A412)*('TREASURY FILE'!F311:F5312))</f>
        <v>42785.695602834341</v>
      </c>
      <c r="I412" s="24" cm="1">
        <f t="array" ref="I412">SUMPRODUCT(('TREASURY FILE'!D320:D5312=$I$4)*('TREASURY FILE'!F320:F5312="INCOME")*('TREASURY FILE'!C320:C5312=C412)*('TREASURY FILE'!H320:H5312))</f>
        <v>0</v>
      </c>
      <c r="J412" s="31">
        <f t="shared" si="21"/>
        <v>42785.695602834341</v>
      </c>
      <c r="K412" s="33">
        <f t="shared" si="22"/>
        <v>2.9829626843411183E-4</v>
      </c>
    </row>
    <row r="413" spans="1:11" x14ac:dyDescent="0.3">
      <c r="A413" s="30">
        <v>46066</v>
      </c>
      <c r="B413" s="24" cm="1">
        <f t="array" ref="B413">SUMPRODUCT(('TREASURY FILE'!B312:B5313=$B$4)*('TREASURY FILE'!D312:D5313="TURNOVER")*('TREASURY FILE'!A312:A5313=A413)*('TREASURY FILE'!F312:F5313))</f>
        <v>0</v>
      </c>
      <c r="C413" s="24" cm="1">
        <f t="array" ref="C413">SUMPRODUCT(('TREASURY FILE'!B312:B5313=$C$4)*('TREASURY FILE'!D312:D5313="TURNOVER")*('TREASURY FILE'!A312:A5313=A413)*('TREASURY FILE'!F312:F5313))</f>
        <v>146409024.52831745</v>
      </c>
      <c r="D413" s="24" cm="1">
        <f t="array" ref="D413">SUMPRODUCT(('TREASURY FILE'!B312:B5313=$D$4)*('TREASURY FILE'!D312:D5313="TURNOVER")*('TREASURY FILE'!A312:A5313=A413)*('TREASURY FILE'!F312:F5313))</f>
        <v>406592.66348387167</v>
      </c>
      <c r="E413" s="31">
        <f t="shared" si="20"/>
        <v>146815617.19180131</v>
      </c>
      <c r="G413" s="24" cm="1">
        <f t="array" ref="G413">SUMPRODUCT(('TREASURY FILE'!B312:B5313=$G$4)*('TREASURY FILE'!D312:D5313="INCOME")*('TREASURY FILE'!A312:A5313=A413)*('TREASURY FILE'!F312:F5313))</f>
        <v>0</v>
      </c>
      <c r="H413" s="24" cm="1">
        <f t="array" ref="H413">SUMPRODUCT(('TREASURY FILE'!B312:B5313=$H$4)*('TREASURY FILE'!D312:D5313="INCOME")*('TREASURY FILE'!A312:A5313=A413)*('TREASURY FILE'!F312:F5313))</f>
        <v>44691.955669579809</v>
      </c>
      <c r="I413" s="24" cm="1">
        <f t="array" ref="I413">SUMPRODUCT(('TREASURY FILE'!D321:D5313=$I$4)*('TREASURY FILE'!F321:F5313="INCOME")*('TREASURY FILE'!C321:C5313=C413)*('TREASURY FILE'!H321:H5313))</f>
        <v>0</v>
      </c>
      <c r="J413" s="31">
        <f t="shared" si="21"/>
        <v>44691.955669579809</v>
      </c>
      <c r="K413" s="33">
        <f t="shared" si="22"/>
        <v>3.0440873065427243E-4</v>
      </c>
    </row>
    <row r="414" spans="1:11" x14ac:dyDescent="0.3">
      <c r="A414" s="30">
        <v>46067</v>
      </c>
      <c r="B414" s="24" cm="1">
        <f t="array" ref="B414">SUMPRODUCT(('TREASURY FILE'!B313:B5314=$B$4)*('TREASURY FILE'!D313:D5314="TURNOVER")*('TREASURY FILE'!A313:A5314=A414)*('TREASURY FILE'!F313:F5314))</f>
        <v>0</v>
      </c>
      <c r="C414" s="24" cm="1">
        <f t="array" ref="C414">SUMPRODUCT(('TREASURY FILE'!B313:B5314=$C$4)*('TREASURY FILE'!D313:D5314="TURNOVER")*('TREASURY FILE'!A313:A5314=A414)*('TREASURY FILE'!F313:F5314))</f>
        <v>146602180.47205272</v>
      </c>
      <c r="D414" s="24" cm="1">
        <f t="array" ref="D414">SUMPRODUCT(('TREASURY FILE'!B313:B5314=$D$4)*('TREASURY FILE'!D313:D5314="TURNOVER")*('TREASURY FILE'!A313:A5314=A414)*('TREASURY FILE'!F313:F5314))</f>
        <v>410028.27221398032</v>
      </c>
      <c r="E414" s="31">
        <f t="shared" si="20"/>
        <v>147012208.74426669</v>
      </c>
      <c r="G414" s="24" cm="1">
        <f t="array" ref="G414">SUMPRODUCT(('TREASURY FILE'!B313:B5314=$G$4)*('TREASURY FILE'!D313:D5314="INCOME")*('TREASURY FILE'!A313:A5314=A414)*('TREASURY FILE'!F313:F5314))</f>
        <v>0</v>
      </c>
      <c r="H414" s="24" cm="1">
        <f t="array" ref="H414">SUMPRODUCT(('TREASURY FILE'!B313:B5314=$H$4)*('TREASURY FILE'!D313:D5314="INCOME")*('TREASURY FILE'!A313:A5314=A414)*('TREASURY FILE'!F313:F5314))</f>
        <v>44182.450561495483</v>
      </c>
      <c r="I414" s="24" cm="1">
        <f t="array" ref="I414">SUMPRODUCT(('TREASURY FILE'!D322:D5314=$I$4)*('TREASURY FILE'!F322:F5314="INCOME")*('TREASURY FILE'!C322:C5314=C414)*('TREASURY FILE'!H322:H5314))</f>
        <v>0</v>
      </c>
      <c r="J414" s="31">
        <f t="shared" si="21"/>
        <v>44182.450561495483</v>
      </c>
      <c r="K414" s="33">
        <f t="shared" si="22"/>
        <v>3.0053592785856672E-4</v>
      </c>
    </row>
    <row r="415" spans="1:11" x14ac:dyDescent="0.3">
      <c r="A415" s="30">
        <v>46068</v>
      </c>
      <c r="B415" s="24" cm="1">
        <f t="array" ref="B415">SUMPRODUCT(('TREASURY FILE'!B314:B5315=$B$4)*('TREASURY FILE'!D314:D5315="TURNOVER")*('TREASURY FILE'!A314:A5315=A415)*('TREASURY FILE'!F314:F5315))</f>
        <v>0</v>
      </c>
      <c r="C415" s="24" cm="1">
        <f t="array" ref="C415">SUMPRODUCT(('TREASURY FILE'!B314:B5315=$C$4)*('TREASURY FILE'!D314:D5315="TURNOVER")*('TREASURY FILE'!A314:A5315=A415)*('TREASURY FILE'!F314:F5315))</f>
        <v>175945415.54216838</v>
      </c>
      <c r="D415" s="24" cm="1">
        <f t="array" ref="D415">SUMPRODUCT(('TREASURY FILE'!B314:B5315=$D$4)*('TREASURY FILE'!D314:D5315="TURNOVER")*('TREASURY FILE'!A314:A5315=A415)*('TREASURY FILE'!F314:F5315))</f>
        <v>658232.808382396</v>
      </c>
      <c r="E415" s="31">
        <f t="shared" si="20"/>
        <v>176603648.35055077</v>
      </c>
      <c r="G415" s="24" cm="1">
        <f t="array" ref="G415">SUMPRODUCT(('TREASURY FILE'!B314:B5315=$G$4)*('TREASURY FILE'!D314:D5315="INCOME")*('TREASURY FILE'!A314:A5315=A415)*('TREASURY FILE'!F314:F5315))</f>
        <v>0</v>
      </c>
      <c r="H415" s="24" cm="1">
        <f t="array" ref="H415">SUMPRODUCT(('TREASURY FILE'!B314:B5315=$H$4)*('TREASURY FILE'!D314:D5315="INCOME")*('TREASURY FILE'!A314:A5315=A415)*('TREASURY FILE'!F314:F5315))</f>
        <v>51753.720008007258</v>
      </c>
      <c r="I415" s="24" cm="1">
        <f t="array" ref="I415">SUMPRODUCT(('TREASURY FILE'!D323:D5315=$I$4)*('TREASURY FILE'!F323:F5315="INCOME")*('TREASURY FILE'!C323:C5315=C415)*('TREASURY FILE'!H323:H5315))</f>
        <v>0</v>
      </c>
      <c r="J415" s="31">
        <f t="shared" si="21"/>
        <v>51753.720008007258</v>
      </c>
      <c r="K415" s="33">
        <f t="shared" si="22"/>
        <v>2.9305011811125395E-4</v>
      </c>
    </row>
    <row r="416" spans="1:11" x14ac:dyDescent="0.3">
      <c r="A416" s="30">
        <v>46069</v>
      </c>
      <c r="B416" s="24" cm="1">
        <f t="array" ref="B416">SUMPRODUCT(('TREASURY FILE'!B315:B5316=$B$4)*('TREASURY FILE'!D315:D5316="TURNOVER")*('TREASURY FILE'!A315:A5316=A416)*('TREASURY FILE'!F315:F5316))</f>
        <v>0</v>
      </c>
      <c r="C416" s="24" cm="1">
        <f t="array" ref="C416">SUMPRODUCT(('TREASURY FILE'!B315:B5316=$C$4)*('TREASURY FILE'!D315:D5316="TURNOVER")*('TREASURY FILE'!A315:A5316=A416)*('TREASURY FILE'!F315:F5316))</f>
        <v>126389905.25985757</v>
      </c>
      <c r="D416" s="24" cm="1">
        <f t="array" ref="D416">SUMPRODUCT(('TREASURY FILE'!B315:B5316=$D$4)*('TREASURY FILE'!D315:D5316="TURNOVER")*('TREASURY FILE'!A315:A5316=A416)*('TREASURY FILE'!F315:F5316))</f>
        <v>1839067.75026668</v>
      </c>
      <c r="E416" s="31">
        <f t="shared" si="20"/>
        <v>128228973.01012425</v>
      </c>
      <c r="G416" s="24" cm="1">
        <f t="array" ref="G416">SUMPRODUCT(('TREASURY FILE'!B315:B5316=$G$4)*('TREASURY FILE'!D315:D5316="INCOME")*('TREASURY FILE'!A315:A5316=A416)*('TREASURY FILE'!F315:F5316))</f>
        <v>0</v>
      </c>
      <c r="H416" s="24" cm="1">
        <f t="array" ref="H416">SUMPRODUCT(('TREASURY FILE'!B315:B5316=$H$4)*('TREASURY FILE'!D315:D5316="INCOME")*('TREASURY FILE'!A315:A5316=A416)*('TREASURY FILE'!F315:F5316))</f>
        <v>36115.528924312181</v>
      </c>
      <c r="I416" s="24" cm="1">
        <f t="array" ref="I416">SUMPRODUCT(('TREASURY FILE'!D324:D5316=$I$4)*('TREASURY FILE'!F324:F5316="INCOME")*('TREASURY FILE'!C324:C5316=C416)*('TREASURY FILE'!H324:H5316))</f>
        <v>0</v>
      </c>
      <c r="J416" s="31">
        <f t="shared" si="21"/>
        <v>36115.528924312181</v>
      </c>
      <c r="K416" s="33">
        <f t="shared" si="22"/>
        <v>2.8164874190687541E-4</v>
      </c>
    </row>
    <row r="417" spans="1:11" x14ac:dyDescent="0.3">
      <c r="A417" s="30">
        <v>46070</v>
      </c>
      <c r="B417" s="24" cm="1">
        <f t="array" ref="B417">SUMPRODUCT(('TREASURY FILE'!B316:B5317=$B$4)*('TREASURY FILE'!D316:D5317="TURNOVER")*('TREASURY FILE'!A316:A5317=A417)*('TREASURY FILE'!F316:F5317))</f>
        <v>0</v>
      </c>
      <c r="C417" s="24" cm="1">
        <f t="array" ref="C417">SUMPRODUCT(('TREASURY FILE'!B316:B5317=$C$4)*('TREASURY FILE'!D316:D5317="TURNOVER")*('TREASURY FILE'!A316:A5317=A417)*('TREASURY FILE'!F316:F5317))</f>
        <v>108282796.11685117</v>
      </c>
      <c r="D417" s="24" cm="1">
        <f t="array" ref="D417">SUMPRODUCT(('TREASURY FILE'!B316:B5317=$D$4)*('TREASURY FILE'!D316:D5317="TURNOVER")*('TREASURY FILE'!A316:A5317=A417)*('TREASURY FILE'!F316:F5317))</f>
        <v>844016.05291373818</v>
      </c>
      <c r="E417" s="31">
        <f t="shared" si="20"/>
        <v>109126812.16976491</v>
      </c>
      <c r="G417" s="24" cm="1">
        <f t="array" ref="G417">SUMPRODUCT(('TREASURY FILE'!B316:B5317=$G$4)*('TREASURY FILE'!D316:D5317="INCOME")*('TREASURY FILE'!A316:A5317=A417)*('TREASURY FILE'!F316:F5317))</f>
        <v>0</v>
      </c>
      <c r="H417" s="24" cm="1">
        <f t="array" ref="H417">SUMPRODUCT(('TREASURY FILE'!B316:B5317=$H$4)*('TREASURY FILE'!D316:D5317="INCOME")*('TREASURY FILE'!A316:A5317=A417)*('TREASURY FILE'!F316:F5317))</f>
        <v>31936.819859132524</v>
      </c>
      <c r="I417" s="24" cm="1">
        <f t="array" ref="I417">SUMPRODUCT(('TREASURY FILE'!D325:D5317=$I$4)*('TREASURY FILE'!F325:F5317="INCOME")*('TREASURY FILE'!C325:C5317=C417)*('TREASURY FILE'!H325:H5317))</f>
        <v>0</v>
      </c>
      <c r="J417" s="31">
        <f t="shared" si="21"/>
        <v>31936.819859132524</v>
      </c>
      <c r="K417" s="33">
        <f t="shared" si="22"/>
        <v>2.9265786495668444E-4</v>
      </c>
    </row>
    <row r="418" spans="1:11" x14ac:dyDescent="0.3">
      <c r="A418" s="30">
        <v>46071</v>
      </c>
      <c r="B418" s="24" cm="1">
        <f t="array" ref="B418">SUMPRODUCT(('TREASURY FILE'!B317:B5318=$B$4)*('TREASURY FILE'!D317:D5318="TURNOVER")*('TREASURY FILE'!A317:A5318=A418)*('TREASURY FILE'!F317:F5318))</f>
        <v>0</v>
      </c>
      <c r="C418" s="24" cm="1">
        <f t="array" ref="C418">SUMPRODUCT(('TREASURY FILE'!B317:B5318=$C$4)*('TREASURY FILE'!D317:D5318="TURNOVER")*('TREASURY FILE'!A317:A5318=A418)*('TREASURY FILE'!F317:F5318))</f>
        <v>97343127.347410932</v>
      </c>
      <c r="D418" s="24" cm="1">
        <f t="array" ref="D418">SUMPRODUCT(('TREASURY FILE'!B317:B5318=$D$4)*('TREASURY FILE'!D317:D5318="TURNOVER")*('TREASURY FILE'!A317:A5318=A418)*('TREASURY FILE'!F317:F5318))</f>
        <v>234269.40595444085</v>
      </c>
      <c r="E418" s="31">
        <f t="shared" si="20"/>
        <v>97577396.753365368</v>
      </c>
      <c r="G418" s="24" cm="1">
        <f t="array" ref="G418">SUMPRODUCT(('TREASURY FILE'!B317:B5318=$G$4)*('TREASURY FILE'!D317:D5318="INCOME")*('TREASURY FILE'!A317:A5318=A418)*('TREASURY FILE'!F317:F5318))</f>
        <v>0</v>
      </c>
      <c r="H418" s="24" cm="1">
        <f t="array" ref="H418">SUMPRODUCT(('TREASURY FILE'!B317:B5318=$H$4)*('TREASURY FILE'!D317:D5318="INCOME")*('TREASURY FILE'!A317:A5318=A418)*('TREASURY FILE'!F317:F5318))</f>
        <v>29127.979078753608</v>
      </c>
      <c r="I418" s="24" cm="1">
        <f t="array" ref="I418">SUMPRODUCT(('TREASURY FILE'!D326:D5318=$I$4)*('TREASURY FILE'!F326:F5318="INCOME")*('TREASURY FILE'!C326:C5318=C418)*('TREASURY FILE'!H326:H5318))</f>
        <v>0</v>
      </c>
      <c r="J418" s="31">
        <f t="shared" si="21"/>
        <v>29127.979078753608</v>
      </c>
      <c r="K418" s="33">
        <f t="shared" si="22"/>
        <v>2.9851154107315335E-4</v>
      </c>
    </row>
    <row r="419" spans="1:11" x14ac:dyDescent="0.3">
      <c r="A419" s="30">
        <v>46072</v>
      </c>
      <c r="B419" s="24" cm="1">
        <f t="array" ref="B419">SUMPRODUCT(('TREASURY FILE'!B318:B5319=$B$4)*('TREASURY FILE'!D318:D5319="TURNOVER")*('TREASURY FILE'!A318:A5319=A419)*('TREASURY FILE'!F318:F5319))</f>
        <v>0</v>
      </c>
      <c r="C419" s="24" cm="1">
        <f t="array" ref="C419">SUMPRODUCT(('TREASURY FILE'!B318:B5319=$C$4)*('TREASURY FILE'!D318:D5319="TURNOVER")*('TREASURY FILE'!A318:A5319=A419)*('TREASURY FILE'!F318:F5319))</f>
        <v>85977820.581143439</v>
      </c>
      <c r="D419" s="24" cm="1">
        <f t="array" ref="D419">SUMPRODUCT(('TREASURY FILE'!B318:B5319=$D$4)*('TREASURY FILE'!D318:D5319="TURNOVER")*('TREASURY FILE'!A318:A5319=A419)*('TREASURY FILE'!F318:F5319))</f>
        <v>149096.71510328545</v>
      </c>
      <c r="E419" s="31">
        <f t="shared" si="20"/>
        <v>86126917.296246722</v>
      </c>
      <c r="G419" s="24" cm="1">
        <f t="array" ref="G419">SUMPRODUCT(('TREASURY FILE'!B318:B5319=$G$4)*('TREASURY FILE'!D318:D5319="INCOME")*('TREASURY FILE'!A318:A5319=A419)*('TREASURY FILE'!F318:F5319))</f>
        <v>0</v>
      </c>
      <c r="H419" s="24" cm="1">
        <f t="array" ref="H419">SUMPRODUCT(('TREASURY FILE'!B318:B5319=$H$4)*('TREASURY FILE'!D318:D5319="INCOME")*('TREASURY FILE'!A318:A5319=A419)*('TREASURY FILE'!F318:F5319))</f>
        <v>25495.246139677351</v>
      </c>
      <c r="I419" s="24" cm="1">
        <f t="array" ref="I419">SUMPRODUCT(('TREASURY FILE'!D327:D5319=$I$4)*('TREASURY FILE'!F327:F5319="INCOME")*('TREASURY FILE'!C327:C5319=C419)*('TREASURY FILE'!H327:H5319))</f>
        <v>0</v>
      </c>
      <c r="J419" s="31">
        <f t="shared" si="21"/>
        <v>25495.246139677351</v>
      </c>
      <c r="K419" s="33">
        <f t="shared" si="22"/>
        <v>2.9601949007396314E-4</v>
      </c>
    </row>
    <row r="420" spans="1:11" x14ac:dyDescent="0.3">
      <c r="A420" s="30">
        <v>46073</v>
      </c>
      <c r="B420" s="24" cm="1">
        <f t="array" ref="B420">SUMPRODUCT(('TREASURY FILE'!B319:B5320=$B$4)*('TREASURY FILE'!D319:D5320="TURNOVER")*('TREASURY FILE'!A319:A5320=A420)*('TREASURY FILE'!F319:F5320))</f>
        <v>0</v>
      </c>
      <c r="C420" s="24" cm="1">
        <f t="array" ref="C420">SUMPRODUCT(('TREASURY FILE'!B319:B5320=$C$4)*('TREASURY FILE'!D319:D5320="TURNOVER")*('TREASURY FILE'!A319:A5320=A420)*('TREASURY FILE'!F319:F5320))</f>
        <v>125219741.12301292</v>
      </c>
      <c r="D420" s="24" cm="1">
        <f t="array" ref="D420">SUMPRODUCT(('TREASURY FILE'!B319:B5320=$D$4)*('TREASURY FILE'!D319:D5320="TURNOVER")*('TREASURY FILE'!A319:A5320=A420)*('TREASURY FILE'!F319:F5320))</f>
        <v>81915.956662068886</v>
      </c>
      <c r="E420" s="31">
        <f t="shared" si="20"/>
        <v>125301657.07967499</v>
      </c>
      <c r="G420" s="24" cm="1">
        <f t="array" ref="G420">SUMPRODUCT(('TREASURY FILE'!B319:B5320=$G$4)*('TREASURY FILE'!D319:D5320="INCOME")*('TREASURY FILE'!A319:A5320=A420)*('TREASURY FILE'!F319:F5320))</f>
        <v>0</v>
      </c>
      <c r="H420" s="24" cm="1">
        <f t="array" ref="H420">SUMPRODUCT(('TREASURY FILE'!B319:B5320=$H$4)*('TREASURY FILE'!D319:D5320="INCOME")*('TREASURY FILE'!A319:A5320=A420)*('TREASURY FILE'!F319:F5320))</f>
        <v>38514.191489844212</v>
      </c>
      <c r="I420" s="24" cm="1">
        <f t="array" ref="I420">SUMPRODUCT(('TREASURY FILE'!D328:D5320=$I$4)*('TREASURY FILE'!F328:F5320="INCOME")*('TREASURY FILE'!C328:C5320=C420)*('TREASURY FILE'!H328:H5320))</f>
        <v>0</v>
      </c>
      <c r="J420" s="31">
        <f t="shared" si="21"/>
        <v>38514.191489844212</v>
      </c>
      <c r="K420" s="33">
        <f t="shared" si="22"/>
        <v>3.0737176496679826E-4</v>
      </c>
    </row>
    <row r="421" spans="1:11" x14ac:dyDescent="0.3">
      <c r="A421" s="30">
        <v>46074</v>
      </c>
      <c r="B421" s="24" cm="1">
        <f t="array" ref="B421">SUMPRODUCT(('TREASURY FILE'!B320:B5321=$B$4)*('TREASURY FILE'!D320:D5321="TURNOVER")*('TREASURY FILE'!A320:A5321=A421)*('TREASURY FILE'!F320:F5321))</f>
        <v>0</v>
      </c>
      <c r="C421" s="24" cm="1">
        <f t="array" ref="C421">SUMPRODUCT(('TREASURY FILE'!B320:B5321=$C$4)*('TREASURY FILE'!D320:D5321="TURNOVER")*('TREASURY FILE'!A320:A5321=A421)*('TREASURY FILE'!F320:F5321))</f>
        <v>107760644.82844442</v>
      </c>
      <c r="D421" s="24" cm="1">
        <f t="array" ref="D421">SUMPRODUCT(('TREASURY FILE'!B320:B5321=$D$4)*('TREASURY FILE'!D320:D5321="TURNOVER")*('TREASURY FILE'!A320:A5321=A421)*('TREASURY FILE'!F320:F5321))</f>
        <v>567951.64930388925</v>
      </c>
      <c r="E421" s="31">
        <f t="shared" si="20"/>
        <v>108328596.4777483</v>
      </c>
      <c r="G421" s="24" cm="1">
        <f t="array" ref="G421">SUMPRODUCT(('TREASURY FILE'!B320:B5321=$G$4)*('TREASURY FILE'!D320:D5321="INCOME")*('TREASURY FILE'!A320:A5321=A421)*('TREASURY FILE'!F320:F5321))</f>
        <v>0</v>
      </c>
      <c r="H421" s="24" cm="1">
        <f t="array" ref="H421">SUMPRODUCT(('TREASURY FILE'!B320:B5321=$H$4)*('TREASURY FILE'!D320:D5321="INCOME")*('TREASURY FILE'!A320:A5321=A421)*('TREASURY FILE'!F320:F5321))</f>
        <v>31269.702530568815</v>
      </c>
      <c r="I421" s="24" cm="1">
        <f t="array" ref="I421">SUMPRODUCT(('TREASURY FILE'!D329:D5321=$I$4)*('TREASURY FILE'!F329:F5321="INCOME")*('TREASURY FILE'!C329:C5321=C421)*('TREASURY FILE'!H329:H5321))</f>
        <v>0</v>
      </c>
      <c r="J421" s="31">
        <f t="shared" si="21"/>
        <v>31269.702530568815</v>
      </c>
      <c r="K421" s="33">
        <f t="shared" si="22"/>
        <v>2.8865602940763571E-4</v>
      </c>
    </row>
    <row r="422" spans="1:11" x14ac:dyDescent="0.3">
      <c r="A422" s="30">
        <v>46075</v>
      </c>
      <c r="B422" s="24" cm="1">
        <f t="array" ref="B422">SUMPRODUCT(('TREASURY FILE'!B321:B5322=$B$4)*('TREASURY FILE'!D321:D5322="TURNOVER")*('TREASURY FILE'!A321:A5322=A422)*('TREASURY FILE'!F321:F5322))</f>
        <v>0</v>
      </c>
      <c r="C422" s="24" cm="1">
        <f t="array" ref="C422">SUMPRODUCT(('TREASURY FILE'!B321:B5322=$C$4)*('TREASURY FILE'!D321:D5322="TURNOVER")*('TREASURY FILE'!A321:A5322=A422)*('TREASURY FILE'!F321:F5322))</f>
        <v>79815573.419319987</v>
      </c>
      <c r="D422" s="24" cm="1">
        <f t="array" ref="D422">SUMPRODUCT(('TREASURY FILE'!B321:B5322=$D$4)*('TREASURY FILE'!D321:D5322="TURNOVER")*('TREASURY FILE'!A321:A5322=A422)*('TREASURY FILE'!F321:F5322))</f>
        <v>206987.13079532396</v>
      </c>
      <c r="E422" s="31">
        <f t="shared" si="20"/>
        <v>80022560.550115317</v>
      </c>
      <c r="G422" s="24" cm="1">
        <f t="array" ref="G422">SUMPRODUCT(('TREASURY FILE'!B321:B5322=$G$4)*('TREASURY FILE'!D321:D5322="INCOME")*('TREASURY FILE'!A321:A5322=A422)*('TREASURY FILE'!F321:F5322))</f>
        <v>0</v>
      </c>
      <c r="H422" s="24" cm="1">
        <f t="array" ref="H422">SUMPRODUCT(('TREASURY FILE'!B321:B5322=$H$4)*('TREASURY FILE'!D321:D5322="INCOME")*('TREASURY FILE'!A321:A5322=A422)*('TREASURY FILE'!F321:F5322))</f>
        <v>23350.354594413013</v>
      </c>
      <c r="I422" s="24" cm="1">
        <f t="array" ref="I422">SUMPRODUCT(('TREASURY FILE'!D330:D5322=$I$4)*('TREASURY FILE'!F330:F5322="INCOME")*('TREASURY FILE'!C330:C5322=C422)*('TREASURY FILE'!H330:H5322))</f>
        <v>0</v>
      </c>
      <c r="J422" s="31">
        <f t="shared" si="21"/>
        <v>23350.354594413013</v>
      </c>
      <c r="K422" s="33">
        <f t="shared" si="22"/>
        <v>2.9179714362913327E-4</v>
      </c>
    </row>
    <row r="423" spans="1:11" x14ac:dyDescent="0.3">
      <c r="A423" s="30">
        <v>46076</v>
      </c>
      <c r="B423" s="24" cm="1">
        <f t="array" ref="B423">SUMPRODUCT(('TREASURY FILE'!B322:B5323=$B$4)*('TREASURY FILE'!D322:D5323="TURNOVER")*('TREASURY FILE'!A322:A5323=A423)*('TREASURY FILE'!F322:F5323))</f>
        <v>0</v>
      </c>
      <c r="C423" s="24" cm="1">
        <f t="array" ref="C423">SUMPRODUCT(('TREASURY FILE'!B322:B5323=$C$4)*('TREASURY FILE'!D322:D5323="TURNOVER")*('TREASURY FILE'!A322:A5323=A423)*('TREASURY FILE'!F322:F5323))</f>
        <v>106578692.17998239</v>
      </c>
      <c r="D423" s="24" cm="1">
        <f t="array" ref="D423">SUMPRODUCT(('TREASURY FILE'!B322:B5323=$D$4)*('TREASURY FILE'!D322:D5323="TURNOVER")*('TREASURY FILE'!A322:A5323=A423)*('TREASURY FILE'!F322:F5323))</f>
        <v>675179.79318231053</v>
      </c>
      <c r="E423" s="31">
        <f t="shared" si="20"/>
        <v>107253871.97316471</v>
      </c>
      <c r="G423" s="24" cm="1">
        <f t="array" ref="G423">SUMPRODUCT(('TREASURY FILE'!B322:B5323=$G$4)*('TREASURY FILE'!D322:D5323="INCOME")*('TREASURY FILE'!A322:A5323=A423)*('TREASURY FILE'!F322:F5323))</f>
        <v>0</v>
      </c>
      <c r="H423" s="24" cm="1">
        <f t="array" ref="H423">SUMPRODUCT(('TREASURY FILE'!B322:B5323=$H$4)*('TREASURY FILE'!D322:D5323="INCOME")*('TREASURY FILE'!A322:A5323=A423)*('TREASURY FILE'!F322:F5323))</f>
        <v>31845.942516391577</v>
      </c>
      <c r="I423" s="24" cm="1">
        <f t="array" ref="I423">SUMPRODUCT(('TREASURY FILE'!D331:D5323=$I$4)*('TREASURY FILE'!F331:F5323="INCOME")*('TREASURY FILE'!C331:C5323=C423)*('TREASURY FILE'!H331:H5323))</f>
        <v>0</v>
      </c>
      <c r="J423" s="31">
        <f t="shared" si="21"/>
        <v>31845.942516391577</v>
      </c>
      <c r="K423" s="33">
        <f t="shared" si="22"/>
        <v>2.9692114541430767E-4</v>
      </c>
    </row>
    <row r="424" spans="1:11" x14ac:dyDescent="0.3">
      <c r="A424" s="30">
        <v>46077</v>
      </c>
      <c r="B424" s="24" cm="1">
        <f t="array" ref="B424">SUMPRODUCT(('TREASURY FILE'!B323:B5324=$B$4)*('TREASURY FILE'!D323:D5324="TURNOVER")*('TREASURY FILE'!A323:A5324=A424)*('TREASURY FILE'!F323:F5324))</f>
        <v>0</v>
      </c>
      <c r="C424" s="24" cm="1">
        <f t="array" ref="C424">SUMPRODUCT(('TREASURY FILE'!B323:B5324=$C$4)*('TREASURY FILE'!D323:D5324="TURNOVER")*('TREASURY FILE'!A323:A5324=A424)*('TREASURY FILE'!F323:F5324))</f>
        <v>91166080.149401233</v>
      </c>
      <c r="D424" s="24" cm="1">
        <f t="array" ref="D424">SUMPRODUCT(('TREASURY FILE'!B323:B5324=$D$4)*('TREASURY FILE'!D323:D5324="TURNOVER")*('TREASURY FILE'!A323:A5324=A424)*('TREASURY FILE'!F323:F5324))</f>
        <v>585164.60132339189</v>
      </c>
      <c r="E424" s="31">
        <f t="shared" si="20"/>
        <v>91751244.750724629</v>
      </c>
      <c r="G424" s="24" cm="1">
        <f t="array" ref="G424">SUMPRODUCT(('TREASURY FILE'!B323:B5324=$G$4)*('TREASURY FILE'!D323:D5324="INCOME")*('TREASURY FILE'!A323:A5324=A424)*('TREASURY FILE'!F323:F5324))</f>
        <v>0</v>
      </c>
      <c r="H424" s="24" cm="1">
        <f t="array" ref="H424">SUMPRODUCT(('TREASURY FILE'!B323:B5324=$H$4)*('TREASURY FILE'!D323:D5324="INCOME")*('TREASURY FILE'!A323:A5324=A424)*('TREASURY FILE'!F323:F5324))</f>
        <v>27853.934715810774</v>
      </c>
      <c r="I424" s="24" cm="1">
        <f t="array" ref="I424">SUMPRODUCT(('TREASURY FILE'!D332:D5324=$I$4)*('TREASURY FILE'!F332:F5324="INCOME")*('TREASURY FILE'!C332:C5324=C424)*('TREASURY FILE'!H332:H5324))</f>
        <v>0</v>
      </c>
      <c r="J424" s="31">
        <f t="shared" si="21"/>
        <v>27853.934715810774</v>
      </c>
      <c r="K424" s="33">
        <f t="shared" si="22"/>
        <v>3.0358100090615707E-4</v>
      </c>
    </row>
    <row r="425" spans="1:11" x14ac:dyDescent="0.3">
      <c r="A425" s="30">
        <v>46078</v>
      </c>
      <c r="B425" s="24" cm="1">
        <f t="array" ref="B425">SUMPRODUCT(('TREASURY FILE'!B324:B5325=$B$4)*('TREASURY FILE'!D324:D5325="TURNOVER")*('TREASURY FILE'!A324:A5325=A425)*('TREASURY FILE'!F324:F5325))</f>
        <v>0</v>
      </c>
      <c r="C425" s="24" cm="1">
        <f t="array" ref="C425">SUMPRODUCT(('TREASURY FILE'!B324:B5325=$C$4)*('TREASURY FILE'!D324:D5325="TURNOVER")*('TREASURY FILE'!A324:A5325=A425)*('TREASURY FILE'!F324:F5325))</f>
        <v>151063896.04195035</v>
      </c>
      <c r="D425" s="24" cm="1">
        <f t="array" ref="D425">SUMPRODUCT(('TREASURY FILE'!B324:B5325=$D$4)*('TREASURY FILE'!D324:D5325="TURNOVER")*('TREASURY FILE'!A324:A5325=A425)*('TREASURY FILE'!F324:F5325))</f>
        <v>124380.16392948125</v>
      </c>
      <c r="E425" s="31">
        <f t="shared" si="20"/>
        <v>151188276.20587984</v>
      </c>
      <c r="G425" s="24" cm="1">
        <f t="array" ref="G425">SUMPRODUCT(('TREASURY FILE'!B324:B5325=$G$4)*('TREASURY FILE'!D324:D5325="INCOME")*('TREASURY FILE'!A324:A5325=A425)*('TREASURY FILE'!F324:F5325))</f>
        <v>0</v>
      </c>
      <c r="H425" s="24" cm="1">
        <f t="array" ref="H425">SUMPRODUCT(('TREASURY FILE'!B324:B5325=$H$4)*('TREASURY FILE'!D324:D5325="INCOME")*('TREASURY FILE'!A324:A5325=A425)*('TREASURY FILE'!F324:F5325))</f>
        <v>47963.519471794971</v>
      </c>
      <c r="I425" s="24" cm="1">
        <f t="array" ref="I425">SUMPRODUCT(('TREASURY FILE'!D333:D5325=$I$4)*('TREASURY FILE'!F333:F5325="INCOME")*('TREASURY FILE'!C333:C5325=C425)*('TREASURY FILE'!H333:H5325))</f>
        <v>0</v>
      </c>
      <c r="J425" s="31">
        <f t="shared" si="21"/>
        <v>47963.519471794971</v>
      </c>
      <c r="K425" s="33">
        <f t="shared" si="22"/>
        <v>3.1724364266499672E-4</v>
      </c>
    </row>
    <row r="426" spans="1:11" x14ac:dyDescent="0.3">
      <c r="A426" s="30">
        <v>46079</v>
      </c>
      <c r="B426" s="24" cm="1">
        <f t="array" ref="B426">SUMPRODUCT(('TREASURY FILE'!B325:B5326=$B$4)*('TREASURY FILE'!D325:D5326="TURNOVER")*('TREASURY FILE'!A325:A5326=A426)*('TREASURY FILE'!F325:F5326))</f>
        <v>0</v>
      </c>
      <c r="C426" s="24" cm="1">
        <f t="array" ref="C426">SUMPRODUCT(('TREASURY FILE'!B325:B5326=$C$4)*('TREASURY FILE'!D325:D5326="TURNOVER")*('TREASURY FILE'!A325:A5326=A426)*('TREASURY FILE'!F325:F5326))</f>
        <v>160174518.07361469</v>
      </c>
      <c r="D426" s="24" cm="1">
        <f t="array" ref="D426">SUMPRODUCT(('TREASURY FILE'!B325:B5326=$D$4)*('TREASURY FILE'!D325:D5326="TURNOVER")*('TREASURY FILE'!A325:A5326=A426)*('TREASURY FILE'!F325:F5326))</f>
        <v>2388993.1605675281</v>
      </c>
      <c r="E426" s="31">
        <f t="shared" si="20"/>
        <v>162563511.23418221</v>
      </c>
      <c r="G426" s="24" cm="1">
        <f t="array" ref="G426">SUMPRODUCT(('TREASURY FILE'!B325:B5326=$G$4)*('TREASURY FILE'!D325:D5326="INCOME")*('TREASURY FILE'!A325:A5326=A426)*('TREASURY FILE'!F325:F5326))</f>
        <v>0</v>
      </c>
      <c r="H426" s="24" cm="1">
        <f t="array" ref="H426">SUMPRODUCT(('TREASURY FILE'!B325:B5326=$H$4)*('TREASURY FILE'!D325:D5326="INCOME")*('TREASURY FILE'!A325:A5326=A426)*('TREASURY FILE'!F325:F5326))</f>
        <v>49538.028980938878</v>
      </c>
      <c r="I426" s="24" cm="1">
        <f t="array" ref="I426">SUMPRODUCT(('TREASURY FILE'!D334:D5326=$I$4)*('TREASURY FILE'!F334:F5326="INCOME")*('TREASURY FILE'!C334:C5326=C426)*('TREASURY FILE'!H334:H5326))</f>
        <v>0</v>
      </c>
      <c r="J426" s="31">
        <f t="shared" si="21"/>
        <v>49538.028980938878</v>
      </c>
      <c r="K426" s="33">
        <f t="shared" si="22"/>
        <v>3.0473030881804998E-4</v>
      </c>
    </row>
    <row r="427" spans="1:11" x14ac:dyDescent="0.3">
      <c r="A427" s="30">
        <v>46080</v>
      </c>
      <c r="B427" s="24" cm="1">
        <f t="array" ref="B427">SUMPRODUCT(('TREASURY FILE'!B326:B5327=$B$4)*('TREASURY FILE'!D326:D5327="TURNOVER")*('TREASURY FILE'!A326:A5327=A427)*('TREASURY FILE'!F326:F5327))</f>
        <v>0</v>
      </c>
      <c r="C427" s="24" cm="1">
        <f t="array" ref="C427">SUMPRODUCT(('TREASURY FILE'!B326:B5327=$C$4)*('TREASURY FILE'!D326:D5327="TURNOVER")*('TREASURY FILE'!A326:A5327=A427)*('TREASURY FILE'!F326:F5327))</f>
        <v>155643828.42228431</v>
      </c>
      <c r="D427" s="24" cm="1">
        <f t="array" ref="D427">SUMPRODUCT(('TREASURY FILE'!B326:B5327=$D$4)*('TREASURY FILE'!D326:D5327="TURNOVER")*('TREASURY FILE'!A326:A5327=A427)*('TREASURY FILE'!F326:F5327))</f>
        <v>1522249.1080952864</v>
      </c>
      <c r="E427" s="31">
        <f t="shared" si="20"/>
        <v>157166077.53037959</v>
      </c>
      <c r="G427" s="24" cm="1">
        <f t="array" ref="G427">SUMPRODUCT(('TREASURY FILE'!B326:B5327=$G$4)*('TREASURY FILE'!D326:D5327="INCOME")*('TREASURY FILE'!A326:A5327=A427)*('TREASURY FILE'!F326:F5327))</f>
        <v>0</v>
      </c>
      <c r="H427" s="24" cm="1">
        <f t="array" ref="H427">SUMPRODUCT(('TREASURY FILE'!B326:B5327=$H$4)*('TREASURY FILE'!D326:D5327="INCOME")*('TREASURY FILE'!A326:A5327=A427)*('TREASURY FILE'!F326:F5327))</f>
        <v>46211.914143593225</v>
      </c>
      <c r="I427" s="24" cm="1">
        <f t="array" ref="I427">SUMPRODUCT(('TREASURY FILE'!D335:D5327=$I$4)*('TREASURY FILE'!F335:F5327="INCOME")*('TREASURY FILE'!C335:C5327=C427)*('TREASURY FILE'!H335:H5327))</f>
        <v>0</v>
      </c>
      <c r="J427" s="31">
        <f t="shared" si="21"/>
        <v>46211.914143593225</v>
      </c>
      <c r="K427" s="33">
        <f t="shared" si="22"/>
        <v>2.9403236926022185E-4</v>
      </c>
    </row>
    <row r="428" spans="1:11" x14ac:dyDescent="0.3">
      <c r="A428" s="30">
        <v>46081</v>
      </c>
      <c r="B428" s="24" cm="1">
        <f t="array" ref="B428">SUMPRODUCT(('TREASURY FILE'!B327:B5328=$B$4)*('TREASURY FILE'!D327:D5328="TURNOVER")*('TREASURY FILE'!A327:A5328=A428)*('TREASURY FILE'!F327:F5328))</f>
        <v>0</v>
      </c>
      <c r="C428" s="24" cm="1">
        <f t="array" ref="C428">SUMPRODUCT(('TREASURY FILE'!B327:B5328=$C$4)*('TREASURY FILE'!D327:D5328="TURNOVER")*('TREASURY FILE'!A327:A5328=A428)*('TREASURY FILE'!F327:F5328))</f>
        <v>157057722.51987693</v>
      </c>
      <c r="D428" s="24" cm="1">
        <f t="array" ref="D428">SUMPRODUCT(('TREASURY FILE'!B327:B5328=$D$4)*('TREASURY FILE'!D327:D5328="TURNOVER")*('TREASURY FILE'!A327:A5328=A428)*('TREASURY FILE'!F327:F5328))</f>
        <v>1074191.5819551428</v>
      </c>
      <c r="E428" s="31">
        <f t="shared" si="20"/>
        <v>158131914.10183206</v>
      </c>
      <c r="G428" s="24" cm="1">
        <f t="array" ref="G428">SUMPRODUCT(('TREASURY FILE'!B327:B5328=$G$4)*('TREASURY FILE'!D327:D5328="INCOME")*('TREASURY FILE'!A327:A5328=A428)*('TREASURY FILE'!F327:F5328))</f>
        <v>0</v>
      </c>
      <c r="H428" s="24" cm="1">
        <f t="array" ref="H428">SUMPRODUCT(('TREASURY FILE'!B327:B5328=$H$4)*('TREASURY FILE'!D327:D5328="INCOME")*('TREASURY FILE'!A327:A5328=A428)*('TREASURY FILE'!F327:F5328))</f>
        <v>46776.334807537794</v>
      </c>
      <c r="I428" s="24" cm="1">
        <f t="array" ref="I428">SUMPRODUCT(('TREASURY FILE'!D336:D5328=$I$4)*('TREASURY FILE'!F336:F5328="INCOME")*('TREASURY FILE'!C336:C5328=C428)*('TREASURY FILE'!H336:H5328))</f>
        <v>0</v>
      </c>
      <c r="J428" s="31">
        <f t="shared" si="21"/>
        <v>46776.334807537794</v>
      </c>
      <c r="K428" s="33">
        <f t="shared" si="22"/>
        <v>2.9580578388126817E-4</v>
      </c>
    </row>
    <row r="429" spans="1:11" x14ac:dyDescent="0.3">
      <c r="A429" s="30">
        <v>46082</v>
      </c>
      <c r="B429" s="24" cm="1">
        <f t="array" ref="B429">SUMPRODUCT(('TREASURY FILE'!B328:B5329=$B$4)*('TREASURY FILE'!D328:D5329="TURNOVER")*('TREASURY FILE'!A328:A5329=A429)*('TREASURY FILE'!F328:F5329))</f>
        <v>0</v>
      </c>
      <c r="C429" s="24" cm="1">
        <f t="array" ref="C429">SUMPRODUCT(('TREASURY FILE'!B328:B5329=$C$4)*('TREASURY FILE'!D328:D5329="TURNOVER")*('TREASURY FILE'!A328:A5329=A429)*('TREASURY FILE'!F328:F5329))</f>
        <v>135710727.57628697</v>
      </c>
      <c r="D429" s="24" cm="1">
        <f t="array" ref="D429">SUMPRODUCT(('TREASURY FILE'!B328:B5329=$D$4)*('TREASURY FILE'!D328:D5329="TURNOVER")*('TREASURY FILE'!A328:A5329=A429)*('TREASURY FILE'!F328:F5329))</f>
        <v>315806.22427461616</v>
      </c>
      <c r="E429" s="31">
        <f t="shared" si="20"/>
        <v>136026533.80056158</v>
      </c>
      <c r="G429" s="24" cm="1">
        <f t="array" ref="G429">SUMPRODUCT(('TREASURY FILE'!B328:B5329=$G$4)*('TREASURY FILE'!D328:D5329="INCOME")*('TREASURY FILE'!A328:A5329=A429)*('TREASURY FILE'!F328:F5329))</f>
        <v>0</v>
      </c>
      <c r="H429" s="24" cm="1">
        <f t="array" ref="H429">SUMPRODUCT(('TREASURY FILE'!B328:B5329=$H$4)*('TREASURY FILE'!D328:D5329="INCOME")*('TREASURY FILE'!A328:A5329=A429)*('TREASURY FILE'!F328:F5329))</f>
        <v>40891.161045852539</v>
      </c>
      <c r="I429" s="24" cm="1">
        <f t="array" ref="I429">SUMPRODUCT(('TREASURY FILE'!D337:D5329=$I$4)*('TREASURY FILE'!F337:F5329="INCOME")*('TREASURY FILE'!C337:C5329=C429)*('TREASURY FILE'!H337:H5329))</f>
        <v>0</v>
      </c>
      <c r="J429" s="31">
        <f t="shared" si="21"/>
        <v>40891.161045852539</v>
      </c>
      <c r="K429" s="33">
        <f t="shared" si="22"/>
        <v>3.0061165203111074E-4</v>
      </c>
    </row>
    <row r="430" spans="1:11" x14ac:dyDescent="0.3">
      <c r="A430" s="30">
        <v>46083</v>
      </c>
      <c r="B430" s="24" cm="1">
        <f t="array" ref="B430">SUMPRODUCT(('TREASURY FILE'!B329:B5330=$B$4)*('TREASURY FILE'!D329:D5330="TURNOVER")*('TREASURY FILE'!A329:A5330=A430)*('TREASURY FILE'!F329:F5330))</f>
        <v>0</v>
      </c>
      <c r="C430" s="24" cm="1">
        <f t="array" ref="C430">SUMPRODUCT(('TREASURY FILE'!B329:B5330=$C$4)*('TREASURY FILE'!D329:D5330="TURNOVER")*('TREASURY FILE'!A329:A5330=A430)*('TREASURY FILE'!F329:F5330))</f>
        <v>114302241.20126195</v>
      </c>
      <c r="D430" s="24" cm="1">
        <f t="array" ref="D430">SUMPRODUCT(('TREASURY FILE'!B329:B5330=$D$4)*('TREASURY FILE'!D329:D5330="TURNOVER")*('TREASURY FILE'!A329:A5330=A430)*('TREASURY FILE'!F329:F5330))</f>
        <v>265712.77166965109</v>
      </c>
      <c r="E430" s="31">
        <f t="shared" si="20"/>
        <v>114567953.97293161</v>
      </c>
      <c r="G430" s="24" cm="1">
        <f t="array" ref="G430">SUMPRODUCT(('TREASURY FILE'!B329:B5330=$G$4)*('TREASURY FILE'!D329:D5330="INCOME")*('TREASURY FILE'!A329:A5330=A430)*('TREASURY FILE'!F329:F5330))</f>
        <v>0</v>
      </c>
      <c r="H430" s="24" cm="1">
        <f t="array" ref="H430">SUMPRODUCT(('TREASURY FILE'!B329:B5330=$H$4)*('TREASURY FILE'!D329:D5330="INCOME")*('TREASURY FILE'!A329:A5330=A430)*('TREASURY FILE'!F329:F5330))</f>
        <v>34922.919091312942</v>
      </c>
      <c r="I430" s="24" cm="1">
        <f t="array" ref="I430">SUMPRODUCT(('TREASURY FILE'!D338:D5330=$I$4)*('TREASURY FILE'!F338:F5330="INCOME")*('TREASURY FILE'!C338:C5330=C430)*('TREASURY FILE'!H338:H5330))</f>
        <v>0</v>
      </c>
      <c r="J430" s="31">
        <f t="shared" si="21"/>
        <v>34922.919091312942</v>
      </c>
      <c r="K430" s="33">
        <f t="shared" si="22"/>
        <v>3.048227526133879E-4</v>
      </c>
    </row>
    <row r="431" spans="1:11" x14ac:dyDescent="0.3">
      <c r="A431" s="30">
        <v>46084</v>
      </c>
      <c r="B431" s="24" cm="1">
        <f t="array" ref="B431">SUMPRODUCT(('TREASURY FILE'!B330:B5331=$B$4)*('TREASURY FILE'!D330:D5331="TURNOVER")*('TREASURY FILE'!A330:A5331=A431)*('TREASURY FILE'!F330:F5331))</f>
        <v>0</v>
      </c>
      <c r="C431" s="24" cm="1">
        <f t="array" ref="C431">SUMPRODUCT(('TREASURY FILE'!B330:B5331=$C$4)*('TREASURY FILE'!D330:D5331="TURNOVER")*('TREASURY FILE'!A330:A5331=A431)*('TREASURY FILE'!F330:F5331))</f>
        <v>125393649.28135926</v>
      </c>
      <c r="D431" s="24" cm="1">
        <f t="array" ref="D431">SUMPRODUCT(('TREASURY FILE'!B330:B5331=$D$4)*('TREASURY FILE'!D330:D5331="TURNOVER")*('TREASURY FILE'!A330:A5331=A431)*('TREASURY FILE'!F330:F5331))</f>
        <v>455627.18520082592</v>
      </c>
      <c r="E431" s="31">
        <f t="shared" si="20"/>
        <v>125849276.46656008</v>
      </c>
      <c r="G431" s="24" cm="1">
        <f t="array" ref="G431">SUMPRODUCT(('TREASURY FILE'!B330:B5331=$G$4)*('TREASURY FILE'!D330:D5331="INCOME")*('TREASURY FILE'!A330:A5331=A431)*('TREASURY FILE'!F330:F5331))</f>
        <v>0</v>
      </c>
      <c r="H431" s="24" cm="1">
        <f t="array" ref="H431">SUMPRODUCT(('TREASURY FILE'!B330:B5331=$H$4)*('TREASURY FILE'!D330:D5331="INCOME")*('TREASURY FILE'!A330:A5331=A431)*('TREASURY FILE'!F330:F5331))</f>
        <v>38573.380704474461</v>
      </c>
      <c r="I431" s="24" cm="1">
        <f t="array" ref="I431">SUMPRODUCT(('TREASURY FILE'!D339:D5331=$I$4)*('TREASURY FILE'!F339:F5331="INCOME")*('TREASURY FILE'!C339:C5331=C431)*('TREASURY FILE'!H339:H5331))</f>
        <v>0</v>
      </c>
      <c r="J431" s="31">
        <f t="shared" si="21"/>
        <v>38573.380704474461</v>
      </c>
      <c r="K431" s="33">
        <f t="shared" si="22"/>
        <v>3.0650458856411425E-4</v>
      </c>
    </row>
    <row r="432" spans="1:11" x14ac:dyDescent="0.3">
      <c r="A432" s="30">
        <v>46085</v>
      </c>
      <c r="B432" s="24" cm="1">
        <f t="array" ref="B432">SUMPRODUCT(('TREASURY FILE'!B331:B5332=$B$4)*('TREASURY FILE'!D331:D5332="TURNOVER")*('TREASURY FILE'!A331:A5332=A432)*('TREASURY FILE'!F331:F5332))</f>
        <v>0</v>
      </c>
      <c r="C432" s="24" cm="1">
        <f t="array" ref="C432">SUMPRODUCT(('TREASURY FILE'!B331:B5332=$C$4)*('TREASURY FILE'!D331:D5332="TURNOVER")*('TREASURY FILE'!A331:A5332=A432)*('TREASURY FILE'!F331:F5332))</f>
        <v>150729557.69232371</v>
      </c>
      <c r="D432" s="24" cm="1">
        <f t="array" ref="D432">SUMPRODUCT(('TREASURY FILE'!B331:B5332=$D$4)*('TREASURY FILE'!D331:D5332="TURNOVER")*('TREASURY FILE'!A331:A5332=A432)*('TREASURY FILE'!F331:F5332))</f>
        <v>74398.536755249283</v>
      </c>
      <c r="E432" s="31">
        <f t="shared" si="20"/>
        <v>150803956.22907898</v>
      </c>
      <c r="G432" s="24" cm="1">
        <f t="array" ref="G432">SUMPRODUCT(('TREASURY FILE'!B331:B5332=$G$4)*('TREASURY FILE'!D331:D5332="INCOME")*('TREASURY FILE'!A331:A5332=A432)*('TREASURY FILE'!F331:F5332))</f>
        <v>0</v>
      </c>
      <c r="H432" s="24" cm="1">
        <f t="array" ref="H432">SUMPRODUCT(('TREASURY FILE'!B331:B5332=$H$4)*('TREASURY FILE'!D331:D5332="INCOME")*('TREASURY FILE'!A331:A5332=A432)*('TREASURY FILE'!F331:F5332))</f>
        <v>47394.572517844943</v>
      </c>
      <c r="I432" s="24" cm="1">
        <f t="array" ref="I432">SUMPRODUCT(('TREASURY FILE'!D340:D5332=$I$4)*('TREASURY FILE'!F340:F5332="INCOME")*('TREASURY FILE'!C340:C5332=C432)*('TREASURY FILE'!H340:H5332))</f>
        <v>0</v>
      </c>
      <c r="J432" s="31">
        <f t="shared" si="21"/>
        <v>47394.572517844943</v>
      </c>
      <c r="K432" s="33">
        <f t="shared" si="22"/>
        <v>3.1427937106537276E-4</v>
      </c>
    </row>
    <row r="433" spans="1:11" x14ac:dyDescent="0.3">
      <c r="A433" s="30">
        <v>46086</v>
      </c>
      <c r="B433" s="24" cm="1">
        <f t="array" ref="B433">SUMPRODUCT(('TREASURY FILE'!B332:B5333=$B$4)*('TREASURY FILE'!D332:D5333="TURNOVER")*('TREASURY FILE'!A332:A5333=A433)*('TREASURY FILE'!F332:F5333))</f>
        <v>0</v>
      </c>
      <c r="C433" s="24" cm="1">
        <f t="array" ref="C433">SUMPRODUCT(('TREASURY FILE'!B332:B5333=$C$4)*('TREASURY FILE'!D332:D5333="TURNOVER")*('TREASURY FILE'!A332:A5333=A433)*('TREASURY FILE'!F332:F5333))</f>
        <v>128125481.1200431</v>
      </c>
      <c r="D433" s="24" cm="1">
        <f t="array" ref="D433">SUMPRODUCT(('TREASURY FILE'!B332:B5333=$D$4)*('TREASURY FILE'!D332:D5333="TURNOVER")*('TREASURY FILE'!A332:A5333=A433)*('TREASURY FILE'!F332:F5333))</f>
        <v>695323.84162075736</v>
      </c>
      <c r="E433" s="31">
        <f t="shared" si="20"/>
        <v>128820804.96166386</v>
      </c>
      <c r="G433" s="24" cm="1">
        <f t="array" ref="G433">SUMPRODUCT(('TREASURY FILE'!B332:B5333=$G$4)*('TREASURY FILE'!D332:D5333="INCOME")*('TREASURY FILE'!A332:A5333=A433)*('TREASURY FILE'!F332:F5333))</f>
        <v>0</v>
      </c>
      <c r="H433" s="24" cm="1">
        <f t="array" ref="H433">SUMPRODUCT(('TREASURY FILE'!B332:B5333=$H$4)*('TREASURY FILE'!D332:D5333="INCOME")*('TREASURY FILE'!A332:A5333=A433)*('TREASURY FILE'!F332:F5333))</f>
        <v>39852.962366036045</v>
      </c>
      <c r="I433" s="24" cm="1">
        <f t="array" ref="I433">SUMPRODUCT(('TREASURY FILE'!D341:D5333=$I$4)*('TREASURY FILE'!F341:F5333="INCOME")*('TREASURY FILE'!C341:C5333=C433)*('TREASURY FILE'!H341:H5333))</f>
        <v>0</v>
      </c>
      <c r="J433" s="31">
        <f t="shared" si="21"/>
        <v>39852.962366036045</v>
      </c>
      <c r="K433" s="33">
        <f t="shared" si="22"/>
        <v>3.0936743779776875E-4</v>
      </c>
    </row>
    <row r="434" spans="1:11" x14ac:dyDescent="0.3">
      <c r="A434" s="30">
        <v>46087</v>
      </c>
      <c r="B434" s="24" cm="1">
        <f t="array" ref="B434">SUMPRODUCT(('TREASURY FILE'!B333:B5334=$B$4)*('TREASURY FILE'!D333:D5334="TURNOVER")*('TREASURY FILE'!A333:A5334=A434)*('TREASURY FILE'!F333:F5334))</f>
        <v>0</v>
      </c>
      <c r="C434" s="24" cm="1">
        <f t="array" ref="C434">SUMPRODUCT(('TREASURY FILE'!B333:B5334=$C$4)*('TREASURY FILE'!D333:D5334="TURNOVER")*('TREASURY FILE'!A333:A5334=A434)*('TREASURY FILE'!F333:F5334))</f>
        <v>150559376.30080155</v>
      </c>
      <c r="D434" s="24" cm="1">
        <f t="array" ref="D434">SUMPRODUCT(('TREASURY FILE'!B333:B5334=$D$4)*('TREASURY FILE'!D333:D5334="TURNOVER")*('TREASURY FILE'!A333:A5334=A434)*('TREASURY FILE'!F333:F5334))</f>
        <v>442482.07169241144</v>
      </c>
      <c r="E434" s="31">
        <f t="shared" si="20"/>
        <v>151001858.37249395</v>
      </c>
      <c r="G434" s="24" cm="1">
        <f t="array" ref="G434">SUMPRODUCT(('TREASURY FILE'!B333:B5334=$G$4)*('TREASURY FILE'!D333:D5334="INCOME")*('TREASURY FILE'!A333:A5334=A434)*('TREASURY FILE'!F333:F5334))</f>
        <v>0</v>
      </c>
      <c r="H434" s="24" cm="1">
        <f t="array" ref="H434">SUMPRODUCT(('TREASURY FILE'!B333:B5334=$H$4)*('TREASURY FILE'!D333:D5334="INCOME")*('TREASURY FILE'!A333:A5334=A434)*('TREASURY FILE'!F333:F5334))</f>
        <v>46654.297830909672</v>
      </c>
      <c r="I434" s="24" cm="1">
        <f t="array" ref="I434">SUMPRODUCT(('TREASURY FILE'!D342:D5334=$I$4)*('TREASURY FILE'!F342:F5334="INCOME")*('TREASURY FILE'!C342:C5334=C434)*('TREASURY FILE'!H342:H5334))</f>
        <v>0</v>
      </c>
      <c r="J434" s="31">
        <f t="shared" si="21"/>
        <v>46654.297830909672</v>
      </c>
      <c r="K434" s="33">
        <f t="shared" si="22"/>
        <v>3.0896505734268553E-4</v>
      </c>
    </row>
    <row r="435" spans="1:11" x14ac:dyDescent="0.3">
      <c r="A435" s="30">
        <v>46088</v>
      </c>
      <c r="B435" s="24" cm="1">
        <f t="array" ref="B435">SUMPRODUCT(('TREASURY FILE'!B334:B5335=$B$4)*('TREASURY FILE'!D334:D5335="TURNOVER")*('TREASURY FILE'!A334:A5335=A435)*('TREASURY FILE'!F334:F5335))</f>
        <v>0</v>
      </c>
      <c r="C435" s="24" cm="1">
        <f t="array" ref="C435">SUMPRODUCT(('TREASURY FILE'!B334:B5335=$C$4)*('TREASURY FILE'!D334:D5335="TURNOVER")*('TREASURY FILE'!A334:A5335=A435)*('TREASURY FILE'!F334:F5335))</f>
        <v>79012328.450973347</v>
      </c>
      <c r="D435" s="24" cm="1">
        <f t="array" ref="D435">SUMPRODUCT(('TREASURY FILE'!B334:B5335=$D$4)*('TREASURY FILE'!D334:D5335="TURNOVER")*('TREASURY FILE'!A334:A5335=A435)*('TREASURY FILE'!F334:F5335))</f>
        <v>240914.8844568636</v>
      </c>
      <c r="E435" s="31">
        <f t="shared" si="20"/>
        <v>79253243.335430205</v>
      </c>
      <c r="G435" s="24" cm="1">
        <f t="array" ref="G435">SUMPRODUCT(('TREASURY FILE'!B334:B5335=$G$4)*('TREASURY FILE'!D334:D5335="INCOME")*('TREASURY FILE'!A334:A5335=A435)*('TREASURY FILE'!F334:F5335))</f>
        <v>0</v>
      </c>
      <c r="H435" s="24" cm="1">
        <f t="array" ref="H435">SUMPRODUCT(('TREASURY FILE'!B334:B5335=$H$4)*('TREASURY FILE'!D334:D5335="INCOME")*('TREASURY FILE'!A334:A5335=A435)*('TREASURY FILE'!F334:F5335))</f>
        <v>23000.642714955204</v>
      </c>
      <c r="I435" s="24" cm="1">
        <f t="array" ref="I435">SUMPRODUCT(('TREASURY FILE'!D343:D5335=$I$4)*('TREASURY FILE'!F343:F5335="INCOME")*('TREASURY FILE'!C343:C5335=C435)*('TREASURY FILE'!H343:H5335))</f>
        <v>0</v>
      </c>
      <c r="J435" s="31">
        <f t="shared" si="21"/>
        <v>23000.642714955204</v>
      </c>
      <c r="K435" s="33">
        <f t="shared" si="22"/>
        <v>2.9021705291741356E-4</v>
      </c>
    </row>
    <row r="436" spans="1:11" x14ac:dyDescent="0.3">
      <c r="A436" s="30">
        <v>46089</v>
      </c>
      <c r="B436" s="24" cm="1">
        <f t="array" ref="B436">SUMPRODUCT(('TREASURY FILE'!B335:B5336=$B$4)*('TREASURY FILE'!D335:D5336="TURNOVER")*('TREASURY FILE'!A335:A5336=A436)*('TREASURY FILE'!F335:F5336))</f>
        <v>0</v>
      </c>
      <c r="C436" s="24" cm="1">
        <f t="array" ref="C436">SUMPRODUCT(('TREASURY FILE'!B335:B5336=$C$4)*('TREASURY FILE'!D335:D5336="TURNOVER")*('TREASURY FILE'!A335:A5336=A436)*('TREASURY FILE'!F335:F5336))</f>
        <v>78441003.564328194</v>
      </c>
      <c r="D436" s="24" cm="1">
        <f t="array" ref="D436">SUMPRODUCT(('TREASURY FILE'!B335:B5336=$D$4)*('TREASURY FILE'!D335:D5336="TURNOVER")*('TREASURY FILE'!A335:A5336=A436)*('TREASURY FILE'!F335:F5336))</f>
        <v>203612.04270173772</v>
      </c>
      <c r="E436" s="31">
        <f t="shared" si="20"/>
        <v>78644615.60702993</v>
      </c>
      <c r="G436" s="24" cm="1">
        <f t="array" ref="G436">SUMPRODUCT(('TREASURY FILE'!B335:B5336=$G$4)*('TREASURY FILE'!D335:D5336="INCOME")*('TREASURY FILE'!A335:A5336=A436)*('TREASURY FILE'!F335:F5336))</f>
        <v>0</v>
      </c>
      <c r="H436" s="24" cm="1">
        <f t="array" ref="H436">SUMPRODUCT(('TREASURY FILE'!B335:B5336=$H$4)*('TREASURY FILE'!D335:D5336="INCOME")*('TREASURY FILE'!A335:A5336=A436)*('TREASURY FILE'!F335:F5336))</f>
        <v>23104.97070156772</v>
      </c>
      <c r="I436" s="24" cm="1">
        <f t="array" ref="I436">SUMPRODUCT(('TREASURY FILE'!D344:D5336=$I$4)*('TREASURY FILE'!F344:F5336="INCOME")*('TREASURY FILE'!C344:C5336=C436)*('TREASURY FILE'!H344:H5336))</f>
        <v>0</v>
      </c>
      <c r="J436" s="31">
        <f t="shared" si="21"/>
        <v>23104.97070156772</v>
      </c>
      <c r="K436" s="33">
        <f t="shared" si="22"/>
        <v>2.9378960686918785E-4</v>
      </c>
    </row>
    <row r="437" spans="1:11" x14ac:dyDescent="0.3">
      <c r="A437" s="30">
        <v>46090</v>
      </c>
      <c r="B437" s="24" cm="1">
        <f t="array" ref="B437">SUMPRODUCT(('TREASURY FILE'!B336:B5337=$B$4)*('TREASURY FILE'!D336:D5337="TURNOVER")*('TREASURY FILE'!A336:A5337=A437)*('TREASURY FILE'!F336:F5337))</f>
        <v>0</v>
      </c>
      <c r="C437" s="24" cm="1">
        <f t="array" ref="C437">SUMPRODUCT(('TREASURY FILE'!B336:B5337=$C$4)*('TREASURY FILE'!D336:D5337="TURNOVER")*('TREASURY FILE'!A336:A5337=A437)*('TREASURY FILE'!F336:F5337))</f>
        <v>108312839.46441567</v>
      </c>
      <c r="D437" s="24" cm="1">
        <f t="array" ref="D437">SUMPRODUCT(('TREASURY FILE'!B336:B5337=$D$4)*('TREASURY FILE'!D336:D5337="TURNOVER")*('TREASURY FILE'!A336:A5337=A437)*('TREASURY FILE'!F336:F5337))</f>
        <v>289624.92013305216</v>
      </c>
      <c r="E437" s="31">
        <f t="shared" si="20"/>
        <v>108602464.38454872</v>
      </c>
      <c r="G437" s="24" cm="1">
        <f t="array" ref="G437">SUMPRODUCT(('TREASURY FILE'!B336:B5337=$G$4)*('TREASURY FILE'!D336:D5337="INCOME")*('TREASURY FILE'!A336:A5337=A437)*('TREASURY FILE'!F336:F5337))</f>
        <v>0</v>
      </c>
      <c r="H437" s="24" cm="1">
        <f t="array" ref="H437">SUMPRODUCT(('TREASURY FILE'!B336:B5337=$H$4)*('TREASURY FILE'!D336:D5337="INCOME")*('TREASURY FILE'!A336:A5337=A437)*('TREASURY FILE'!F336:F5337))</f>
        <v>33130.837131563138</v>
      </c>
      <c r="I437" s="24" cm="1">
        <f t="array" ref="I437">SUMPRODUCT(('TREASURY FILE'!D345:D5337=$I$4)*('TREASURY FILE'!F345:F5337="INCOME")*('TREASURY FILE'!C345:C5337=C437)*('TREASURY FILE'!H345:H5337))</f>
        <v>0</v>
      </c>
      <c r="J437" s="31">
        <f t="shared" si="21"/>
        <v>33130.837131563138</v>
      </c>
      <c r="K437" s="33">
        <f t="shared" si="22"/>
        <v>3.0506524248152128E-4</v>
      </c>
    </row>
    <row r="438" spans="1:11" x14ac:dyDescent="0.3">
      <c r="A438" s="30">
        <v>46091</v>
      </c>
      <c r="B438" s="24" cm="1">
        <f t="array" ref="B438">SUMPRODUCT(('TREASURY FILE'!B337:B5338=$B$4)*('TREASURY FILE'!D337:D5338="TURNOVER")*('TREASURY FILE'!A337:A5338=A438)*('TREASURY FILE'!F337:F5338))</f>
        <v>0</v>
      </c>
      <c r="C438" s="24" cm="1">
        <f t="array" ref="C438">SUMPRODUCT(('TREASURY FILE'!B337:B5338=$C$4)*('TREASURY FILE'!D337:D5338="TURNOVER")*('TREASURY FILE'!A337:A5338=A438)*('TREASURY FILE'!F337:F5338))</f>
        <v>126725165.42146987</v>
      </c>
      <c r="D438" s="24" cm="1">
        <f t="array" ref="D438">SUMPRODUCT(('TREASURY FILE'!B337:B5338=$D$4)*('TREASURY FILE'!D337:D5338="TURNOVER")*('TREASURY FILE'!A337:A5338=A438)*('TREASURY FILE'!F337:F5338))</f>
        <v>872508.27462712757</v>
      </c>
      <c r="E438" s="31">
        <f t="shared" si="20"/>
        <v>127597673.696097</v>
      </c>
      <c r="G438" s="24" cm="1">
        <f t="array" ref="G438">SUMPRODUCT(('TREASURY FILE'!B337:B5338=$G$4)*('TREASURY FILE'!D337:D5338="INCOME")*('TREASURY FILE'!A337:A5338=A438)*('TREASURY FILE'!F337:F5338))</f>
        <v>0</v>
      </c>
      <c r="H438" s="24" cm="1">
        <f t="array" ref="H438">SUMPRODUCT(('TREASURY FILE'!B337:B5338=$H$4)*('TREASURY FILE'!D337:D5338="INCOME")*('TREASURY FILE'!A337:A5338=A438)*('TREASURY FILE'!F337:F5338))</f>
        <v>38880.903230162148</v>
      </c>
      <c r="I438" s="24" cm="1">
        <f t="array" ref="I438">SUMPRODUCT(('TREASURY FILE'!D346:D5338=$I$4)*('TREASURY FILE'!F346:F5338="INCOME")*('TREASURY FILE'!C346:C5338=C438)*('TREASURY FILE'!H346:H5338))</f>
        <v>0</v>
      </c>
      <c r="J438" s="31">
        <f t="shared" si="21"/>
        <v>38880.903230162148</v>
      </c>
      <c r="K438" s="33">
        <f t="shared" si="22"/>
        <v>3.0471482828727659E-4</v>
      </c>
    </row>
    <row r="439" spans="1:11" x14ac:dyDescent="0.3">
      <c r="A439" s="30">
        <v>46092</v>
      </c>
      <c r="B439" s="24" cm="1">
        <f t="array" ref="B439">SUMPRODUCT(('TREASURY FILE'!B338:B5339=$B$4)*('TREASURY FILE'!D338:D5339="TURNOVER")*('TREASURY FILE'!A338:A5339=A439)*('TREASURY FILE'!F338:F5339))</f>
        <v>0</v>
      </c>
      <c r="C439" s="24" cm="1">
        <f t="array" ref="C439">SUMPRODUCT(('TREASURY FILE'!B338:B5339=$C$4)*('TREASURY FILE'!D338:D5339="TURNOVER")*('TREASURY FILE'!A338:A5339=A439)*('TREASURY FILE'!F338:F5339))</f>
        <v>115971878.57766083</v>
      </c>
      <c r="D439" s="24" cm="1">
        <f t="array" ref="D439">SUMPRODUCT(('TREASURY FILE'!B338:B5339=$D$4)*('TREASURY FILE'!D338:D5339="TURNOVER")*('TREASURY FILE'!A338:A5339=A439)*('TREASURY FILE'!F338:F5339))</f>
        <v>569323.5509462005</v>
      </c>
      <c r="E439" s="31">
        <f t="shared" si="20"/>
        <v>116541202.12860703</v>
      </c>
      <c r="G439" s="24" cm="1">
        <f t="array" ref="G439">SUMPRODUCT(('TREASURY FILE'!B338:B5339=$G$4)*('TREASURY FILE'!D338:D5339="INCOME")*('TREASURY FILE'!A338:A5339=A439)*('TREASURY FILE'!F338:F5339))</f>
        <v>0</v>
      </c>
      <c r="H439" s="24" cm="1">
        <f t="array" ref="H439">SUMPRODUCT(('TREASURY FILE'!B338:B5339=$H$4)*('TREASURY FILE'!D338:D5339="INCOME")*('TREASURY FILE'!A338:A5339=A439)*('TREASURY FILE'!F338:F5339))</f>
        <v>33821.471896322415</v>
      </c>
      <c r="I439" s="24" cm="1">
        <f t="array" ref="I439">SUMPRODUCT(('TREASURY FILE'!D347:D5339=$I$4)*('TREASURY FILE'!F347:F5339="INCOME")*('TREASURY FILE'!C347:C5339=C439)*('TREASURY FILE'!H347:H5339))</f>
        <v>0</v>
      </c>
      <c r="J439" s="31">
        <f t="shared" si="21"/>
        <v>33821.471896322415</v>
      </c>
      <c r="K439" s="33">
        <f t="shared" si="22"/>
        <v>2.9021042582862079E-4</v>
      </c>
    </row>
    <row r="440" spans="1:11" x14ac:dyDescent="0.3">
      <c r="A440" s="30">
        <v>46093</v>
      </c>
      <c r="B440" s="24" cm="1">
        <f t="array" ref="B440">SUMPRODUCT(('TREASURY FILE'!B339:B5340=$B$4)*('TREASURY FILE'!D339:D5340="TURNOVER")*('TREASURY FILE'!A339:A5340=A440)*('TREASURY FILE'!F339:F5340))</f>
        <v>0</v>
      </c>
      <c r="C440" s="24" cm="1">
        <f t="array" ref="C440">SUMPRODUCT(('TREASURY FILE'!B339:B5340=$C$4)*('TREASURY FILE'!D339:D5340="TURNOVER")*('TREASURY FILE'!A339:A5340=A440)*('TREASURY FILE'!F339:F5340))</f>
        <v>130681548.57569741</v>
      </c>
      <c r="D440" s="24" cm="1">
        <f t="array" ref="D440">SUMPRODUCT(('TREASURY FILE'!B339:B5340=$D$4)*('TREASURY FILE'!D339:D5340="TURNOVER")*('TREASURY FILE'!A339:A5340=A440)*('TREASURY FILE'!F339:F5340))</f>
        <v>607687.38225623779</v>
      </c>
      <c r="E440" s="31">
        <f t="shared" si="20"/>
        <v>131289235.95795365</v>
      </c>
      <c r="G440" s="24" cm="1">
        <f t="array" ref="G440">SUMPRODUCT(('TREASURY FILE'!B339:B5340=$G$4)*('TREASURY FILE'!D339:D5340="INCOME")*('TREASURY FILE'!A339:A5340=A440)*('TREASURY FILE'!F339:F5340))</f>
        <v>0</v>
      </c>
      <c r="H440" s="24" cm="1">
        <f t="array" ref="H440">SUMPRODUCT(('TREASURY FILE'!B339:B5340=$H$4)*('TREASURY FILE'!D339:D5340="INCOME")*('TREASURY FILE'!A339:A5340=A440)*('TREASURY FILE'!F339:F5340))</f>
        <v>38203.168670438128</v>
      </c>
      <c r="I440" s="24" cm="1">
        <f t="array" ref="I440">SUMPRODUCT(('TREASURY FILE'!D348:D5340=$I$4)*('TREASURY FILE'!F348:F5340="INCOME")*('TREASURY FILE'!C348:C5340=C440)*('TREASURY FILE'!H348:H5340))</f>
        <v>0</v>
      </c>
      <c r="J440" s="31">
        <f t="shared" si="21"/>
        <v>38203.168670438128</v>
      </c>
      <c r="K440" s="33">
        <f t="shared" si="22"/>
        <v>2.9098477412628845E-4</v>
      </c>
    </row>
    <row r="441" spans="1:11" x14ac:dyDescent="0.3">
      <c r="A441" s="30">
        <v>46094</v>
      </c>
      <c r="B441" s="24" cm="1">
        <f t="array" ref="B441">SUMPRODUCT(('TREASURY FILE'!B340:B5341=$B$4)*('TREASURY FILE'!D340:D5341="TURNOVER")*('TREASURY FILE'!A340:A5341=A441)*('TREASURY FILE'!F340:F5341))</f>
        <v>0</v>
      </c>
      <c r="C441" s="24" cm="1">
        <f t="array" ref="C441">SUMPRODUCT(('TREASURY FILE'!B340:B5341=$C$4)*('TREASURY FILE'!D340:D5341="TURNOVER")*('TREASURY FILE'!A340:A5341=A441)*('TREASURY FILE'!F340:F5341))</f>
        <v>185789640.22953692</v>
      </c>
      <c r="D441" s="24" cm="1">
        <f t="array" ref="D441">SUMPRODUCT(('TREASURY FILE'!B340:B5341=$D$4)*('TREASURY FILE'!D340:D5341="TURNOVER")*('TREASURY FILE'!A340:A5341=A441)*('TREASURY FILE'!F340:F5341))</f>
        <v>542231.64019974275</v>
      </c>
      <c r="E441" s="31">
        <f t="shared" si="20"/>
        <v>186331871.86973667</v>
      </c>
      <c r="G441" s="24" cm="1">
        <f t="array" ref="G441">SUMPRODUCT(('TREASURY FILE'!B340:B5341=$G$4)*('TREASURY FILE'!D340:D5341="INCOME")*('TREASURY FILE'!A340:A5341=A441)*('TREASURY FILE'!F340:F5341))</f>
        <v>0</v>
      </c>
      <c r="H441" s="24" cm="1">
        <f t="array" ref="H441">SUMPRODUCT(('TREASURY FILE'!B340:B5341=$H$4)*('TREASURY FILE'!D340:D5341="INCOME")*('TREASURY FILE'!A340:A5341=A441)*('TREASURY FILE'!F340:F5341))</f>
        <v>55755.600427264173</v>
      </c>
      <c r="I441" s="24" cm="1">
        <f t="array" ref="I441">SUMPRODUCT(('TREASURY FILE'!D349:D5341=$I$4)*('TREASURY FILE'!F349:F5341="INCOME")*('TREASURY FILE'!C349:C5341=C441)*('TREASURY FILE'!H349:H5341))</f>
        <v>0</v>
      </c>
      <c r="J441" s="31">
        <f t="shared" si="21"/>
        <v>55755.600427264173</v>
      </c>
      <c r="K441" s="33">
        <f t="shared" si="22"/>
        <v>2.9922739393850199E-4</v>
      </c>
    </row>
    <row r="442" spans="1:11" x14ac:dyDescent="0.3">
      <c r="A442" s="30">
        <v>46095</v>
      </c>
      <c r="B442" s="24" cm="1">
        <f t="array" ref="B442">SUMPRODUCT(('TREASURY FILE'!B341:B5342=$B$4)*('TREASURY FILE'!D341:D5342="TURNOVER")*('TREASURY FILE'!A341:A5342=A442)*('TREASURY FILE'!F341:F5342))</f>
        <v>0</v>
      </c>
      <c r="C442" s="24" cm="1">
        <f t="array" ref="C442">SUMPRODUCT(('TREASURY FILE'!B341:B5342=$C$4)*('TREASURY FILE'!D341:D5342="TURNOVER")*('TREASURY FILE'!A341:A5342=A442)*('TREASURY FILE'!F341:F5342))</f>
        <v>103850064.90540737</v>
      </c>
      <c r="D442" s="24" cm="1">
        <f t="array" ref="D442">SUMPRODUCT(('TREASURY FILE'!B341:B5342=$D$4)*('TREASURY FILE'!D341:D5342="TURNOVER")*('TREASURY FILE'!A341:A5342=A442)*('TREASURY FILE'!F341:F5342))</f>
        <v>753098.59077684139</v>
      </c>
      <c r="E442" s="31">
        <f t="shared" si="20"/>
        <v>104603163.49618421</v>
      </c>
      <c r="G442" s="24" cm="1">
        <f t="array" ref="G442">SUMPRODUCT(('TREASURY FILE'!B341:B5342=$G$4)*('TREASURY FILE'!D341:D5342="INCOME")*('TREASURY FILE'!A341:A5342=A442)*('TREASURY FILE'!F341:F5342))</f>
        <v>0</v>
      </c>
      <c r="H442" s="24" cm="1">
        <f t="array" ref="H442">SUMPRODUCT(('TREASURY FILE'!B341:B5342=$H$4)*('TREASURY FILE'!D341:D5342="INCOME")*('TREASURY FILE'!A341:A5342=A442)*('TREASURY FILE'!F341:F5342))</f>
        <v>29489.581232103632</v>
      </c>
      <c r="I442" s="24" cm="1">
        <f t="array" ref="I442">SUMPRODUCT(('TREASURY FILE'!D350:D5342=$I$4)*('TREASURY FILE'!F350:F5342="INCOME")*('TREASURY FILE'!C350:C5342=C442)*('TREASURY FILE'!H350:H5342))</f>
        <v>0</v>
      </c>
      <c r="J442" s="31">
        <f t="shared" si="21"/>
        <v>29489.581232103632</v>
      </c>
      <c r="K442" s="33">
        <f t="shared" si="22"/>
        <v>2.8191863655423167E-4</v>
      </c>
    </row>
    <row r="443" spans="1:11" x14ac:dyDescent="0.3">
      <c r="A443" s="30">
        <v>46096</v>
      </c>
      <c r="B443" s="24" cm="1">
        <f t="array" ref="B443">SUMPRODUCT(('TREASURY FILE'!B342:B5343=$B$4)*('TREASURY FILE'!D342:D5343="TURNOVER")*('TREASURY FILE'!A342:A5343=A443)*('TREASURY FILE'!F342:F5343))</f>
        <v>0</v>
      </c>
      <c r="C443" s="24" cm="1">
        <f t="array" ref="C443">SUMPRODUCT(('TREASURY FILE'!B342:B5343=$C$4)*('TREASURY FILE'!D342:D5343="TURNOVER")*('TREASURY FILE'!A342:A5343=A443)*('TREASURY FILE'!F342:F5343))</f>
        <v>120722330.47788817</v>
      </c>
      <c r="D443" s="24" cm="1">
        <f t="array" ref="D443">SUMPRODUCT(('TREASURY FILE'!B342:B5343=$D$4)*('TREASURY FILE'!D342:D5343="TURNOVER")*('TREASURY FILE'!A342:A5343=A443)*('TREASURY FILE'!F342:F5343))</f>
        <v>1057506.8075432789</v>
      </c>
      <c r="E443" s="31">
        <f t="shared" si="20"/>
        <v>121779837.28543144</v>
      </c>
      <c r="G443" s="24" cm="1">
        <f t="array" ref="G443">SUMPRODUCT(('TREASURY FILE'!B342:B5343=$G$4)*('TREASURY FILE'!D342:D5343="INCOME")*('TREASURY FILE'!A342:A5343=A443)*('TREASURY FILE'!F342:F5343))</f>
        <v>0</v>
      </c>
      <c r="H443" s="24" cm="1">
        <f t="array" ref="H443">SUMPRODUCT(('TREASURY FILE'!B342:B5343=$H$4)*('TREASURY FILE'!D342:D5343="INCOME")*('TREASURY FILE'!A342:A5343=A443)*('TREASURY FILE'!F342:F5343))</f>
        <v>33934.68391272633</v>
      </c>
      <c r="I443" s="24" cm="1">
        <f t="array" ref="I443">SUMPRODUCT(('TREASURY FILE'!D351:D5343=$I$4)*('TREASURY FILE'!F351:F5343="INCOME")*('TREASURY FILE'!C351:C5343=C443)*('TREASURY FILE'!H351:H5343))</f>
        <v>0</v>
      </c>
      <c r="J443" s="31">
        <f t="shared" si="21"/>
        <v>33934.68391272633</v>
      </c>
      <c r="K443" s="33">
        <f t="shared" si="22"/>
        <v>2.7865601292592586E-4</v>
      </c>
    </row>
    <row r="444" spans="1:11" x14ac:dyDescent="0.3">
      <c r="A444" s="30">
        <v>46097</v>
      </c>
      <c r="B444" s="24" cm="1">
        <f t="array" ref="B444">SUMPRODUCT(('TREASURY FILE'!B343:B5344=$B$4)*('TREASURY FILE'!D343:D5344="TURNOVER")*('TREASURY FILE'!A343:A5344=A444)*('TREASURY FILE'!F343:F5344))</f>
        <v>0</v>
      </c>
      <c r="C444" s="24" cm="1">
        <f t="array" ref="C444">SUMPRODUCT(('TREASURY FILE'!B343:B5344=$C$4)*('TREASURY FILE'!D343:D5344="TURNOVER")*('TREASURY FILE'!A343:A5344=A444)*('TREASURY FILE'!F343:F5344))</f>
        <v>193143952.30008855</v>
      </c>
      <c r="D444" s="24" cm="1">
        <f t="array" ref="D444">SUMPRODUCT(('TREASURY FILE'!B343:B5344=$D$4)*('TREASURY FILE'!D343:D5344="TURNOVER")*('TREASURY FILE'!A343:A5344=A444)*('TREASURY FILE'!F343:F5344))</f>
        <v>386451.57663525001</v>
      </c>
      <c r="E444" s="31">
        <f t="shared" si="20"/>
        <v>193530403.8767238</v>
      </c>
      <c r="G444" s="24" cm="1">
        <f t="array" ref="G444">SUMPRODUCT(('TREASURY FILE'!B343:B5344=$G$4)*('TREASURY FILE'!D343:D5344="INCOME")*('TREASURY FILE'!A343:A5344=A444)*('TREASURY FILE'!F343:F5344))</f>
        <v>0</v>
      </c>
      <c r="H444" s="24" cm="1">
        <f t="array" ref="H444">SUMPRODUCT(('TREASURY FILE'!B343:B5344=$H$4)*('TREASURY FILE'!D343:D5344="INCOME")*('TREASURY FILE'!A343:A5344=A444)*('TREASURY FILE'!F343:F5344))</f>
        <v>58667.227968651016</v>
      </c>
      <c r="I444" s="24" cm="1">
        <f t="array" ref="I444">SUMPRODUCT(('TREASURY FILE'!D352:D5344=$I$4)*('TREASURY FILE'!F352:F5344="INCOME")*('TREASURY FILE'!C352:C5344=C444)*('TREASURY FILE'!H352:H5344))</f>
        <v>0</v>
      </c>
      <c r="J444" s="31">
        <f t="shared" si="21"/>
        <v>58667.227968651016</v>
      </c>
      <c r="K444" s="33">
        <f t="shared" si="22"/>
        <v>3.0314217711249769E-4</v>
      </c>
    </row>
    <row r="445" spans="1:11" x14ac:dyDescent="0.3">
      <c r="A445" s="30">
        <v>46098</v>
      </c>
      <c r="B445" s="24" cm="1">
        <f t="array" ref="B445">SUMPRODUCT(('TREASURY FILE'!B344:B5345=$B$4)*('TREASURY FILE'!D344:D5345="TURNOVER")*('TREASURY FILE'!A344:A5345=A445)*('TREASURY FILE'!F344:F5345))</f>
        <v>0</v>
      </c>
      <c r="C445" s="24" cm="1">
        <f t="array" ref="C445">SUMPRODUCT(('TREASURY FILE'!B344:B5345=$C$4)*('TREASURY FILE'!D344:D5345="TURNOVER")*('TREASURY FILE'!A344:A5345=A445)*('TREASURY FILE'!F344:F5345))</f>
        <v>153221207.14203292</v>
      </c>
      <c r="D445" s="24" cm="1">
        <f t="array" ref="D445">SUMPRODUCT(('TREASURY FILE'!B344:B5345=$D$4)*('TREASURY FILE'!D344:D5345="TURNOVER")*('TREASURY FILE'!A344:A5345=A445)*('TREASURY FILE'!F344:F5345))</f>
        <v>916469.45586271374</v>
      </c>
      <c r="E445" s="31">
        <f t="shared" si="20"/>
        <v>154137676.59789562</v>
      </c>
      <c r="G445" s="24" cm="1">
        <f t="array" ref="G445">SUMPRODUCT(('TREASURY FILE'!B344:B5345=$G$4)*('TREASURY FILE'!D344:D5345="INCOME")*('TREASURY FILE'!A344:A5345=A445)*('TREASURY FILE'!F344:F5345))</f>
        <v>0</v>
      </c>
      <c r="H445" s="24" cm="1">
        <f t="array" ref="H445">SUMPRODUCT(('TREASURY FILE'!B344:B5345=$H$4)*('TREASURY FILE'!D344:D5345="INCOME")*('TREASURY FILE'!A344:A5345=A445)*('TREASURY FILE'!F344:F5345))</f>
        <v>44491.20307328015</v>
      </c>
      <c r="I445" s="24" cm="1">
        <f t="array" ref="I445">SUMPRODUCT(('TREASURY FILE'!D353:D5345=$I$4)*('TREASURY FILE'!F353:F5345="INCOME")*('TREASURY FILE'!C353:C5345=C445)*('TREASURY FILE'!H353:H5345))</f>
        <v>0</v>
      </c>
      <c r="J445" s="31">
        <f t="shared" si="21"/>
        <v>44491.20307328015</v>
      </c>
      <c r="K445" s="33">
        <f t="shared" si="22"/>
        <v>2.886458655358217E-4</v>
      </c>
    </row>
    <row r="446" spans="1:11" x14ac:dyDescent="0.3">
      <c r="A446" s="30">
        <v>46099</v>
      </c>
      <c r="B446" s="24" cm="1">
        <f t="array" ref="B446">SUMPRODUCT(('TREASURY FILE'!B345:B5346=$B$4)*('TREASURY FILE'!D345:D5346="TURNOVER")*('TREASURY FILE'!A345:A5346=A446)*('TREASURY FILE'!F345:F5346))</f>
        <v>0</v>
      </c>
      <c r="C446" s="24" cm="1">
        <f t="array" ref="C446">SUMPRODUCT(('TREASURY FILE'!B345:B5346=$C$4)*('TREASURY FILE'!D345:D5346="TURNOVER")*('TREASURY FILE'!A345:A5346=A446)*('TREASURY FILE'!F345:F5346))</f>
        <v>0</v>
      </c>
      <c r="D446" s="24" cm="1">
        <f t="array" ref="D446">SUMPRODUCT(('TREASURY FILE'!B345:B5346=$D$4)*('TREASURY FILE'!D345:D5346="TURNOVER")*('TREASURY FILE'!A345:A5346=A446)*('TREASURY FILE'!F345:F5346))</f>
        <v>1439400.3603267621</v>
      </c>
      <c r="E446" s="31">
        <f t="shared" si="20"/>
        <v>1439400.3603267621</v>
      </c>
      <c r="G446" s="24" cm="1">
        <f t="array" ref="G446">SUMPRODUCT(('TREASURY FILE'!B345:B5346=$G$4)*('TREASURY FILE'!D345:D5346="INCOME")*('TREASURY FILE'!A345:A5346=A446)*('TREASURY FILE'!F345:F5346))</f>
        <v>0</v>
      </c>
      <c r="H446" s="24" cm="1">
        <f t="array" ref="H446">SUMPRODUCT(('TREASURY FILE'!B345:B5346=$H$4)*('TREASURY FILE'!D345:D5346="INCOME")*('TREASURY FILE'!A345:A5346=A446)*('TREASURY FILE'!F345:F5346))</f>
        <v>52855.342583712903</v>
      </c>
      <c r="I446" s="24" cm="1">
        <f t="array" ref="I446">SUMPRODUCT(('TREASURY FILE'!D354:D5346=$I$4)*('TREASURY FILE'!F354:F5346="INCOME")*('TREASURY FILE'!C354:C5346=C446)*('TREASURY FILE'!H354:H5346))</f>
        <v>0</v>
      </c>
      <c r="J446" s="31">
        <f t="shared" si="21"/>
        <v>52855.342583712903</v>
      </c>
      <c r="K446" s="33">
        <f t="shared" si="22"/>
        <v>3.6720389990533328E-2</v>
      </c>
    </row>
    <row r="447" spans="1:11" x14ac:dyDescent="0.3">
      <c r="A447" s="30">
        <v>46100</v>
      </c>
      <c r="B447" s="24" cm="1">
        <f t="array" ref="B447">SUMPRODUCT(('TREASURY FILE'!B346:B5347=$B$4)*('TREASURY FILE'!D346:D5347="TURNOVER")*('TREASURY FILE'!A346:A5347=A447)*('TREASURY FILE'!F346:F5347))</f>
        <v>0</v>
      </c>
      <c r="C447" s="24" cm="1">
        <f t="array" ref="C447">SUMPRODUCT(('TREASURY FILE'!B346:B5347=$C$4)*('TREASURY FILE'!D346:D5347="TURNOVER")*('TREASURY FILE'!A346:A5347=A447)*('TREASURY FILE'!F346:F5347))</f>
        <v>0</v>
      </c>
      <c r="D447" s="24" cm="1">
        <f t="array" ref="D447">SUMPRODUCT(('TREASURY FILE'!B346:B5347=$D$4)*('TREASURY FILE'!D346:D5347="TURNOVER")*('TREASURY FILE'!A346:A5347=A447)*('TREASURY FILE'!F346:F5347))</f>
        <v>623934.25270587846</v>
      </c>
      <c r="E447" s="31">
        <f t="shared" si="20"/>
        <v>623934.25270587846</v>
      </c>
      <c r="G447" s="24" cm="1">
        <f t="array" ref="G447">SUMPRODUCT(('TREASURY FILE'!B346:B5347=$G$4)*('TREASURY FILE'!D346:D5347="INCOME")*('TREASURY FILE'!A346:A5347=A447)*('TREASURY FILE'!F346:F5347))</f>
        <v>0</v>
      </c>
      <c r="H447" s="24" cm="1">
        <f t="array" ref="H447">SUMPRODUCT(('TREASURY FILE'!B346:B5347=$H$4)*('TREASURY FILE'!D346:D5347="INCOME")*('TREASURY FILE'!A346:A5347=A447)*('TREASURY FILE'!F346:F5347))</f>
        <v>36100.238967364923</v>
      </c>
      <c r="I447" s="24" cm="1">
        <f t="array" ref="I447">SUMPRODUCT(('TREASURY FILE'!D355:D5347=$I$4)*('TREASURY FILE'!F355:F5347="INCOME")*('TREASURY FILE'!C355:C5347=C447)*('TREASURY FILE'!H355:H5347))</f>
        <v>0</v>
      </c>
      <c r="J447" s="31">
        <f t="shared" si="21"/>
        <v>36100.238967364923</v>
      </c>
      <c r="K447" s="33">
        <f t="shared" si="22"/>
        <v>5.7859043337988553E-2</v>
      </c>
    </row>
    <row r="448" spans="1:11" x14ac:dyDescent="0.3">
      <c r="A448" s="30">
        <v>46101</v>
      </c>
      <c r="B448" s="24" cm="1">
        <f t="array" ref="B448">SUMPRODUCT(('TREASURY FILE'!B347:B5348=$B$4)*('TREASURY FILE'!D347:D5348="TURNOVER")*('TREASURY FILE'!A347:A5348=A448)*('TREASURY FILE'!F347:F5348))</f>
        <v>0</v>
      </c>
      <c r="C448" s="24" cm="1">
        <f t="array" ref="C448">SUMPRODUCT(('TREASURY FILE'!B347:B5348=$C$4)*('TREASURY FILE'!D347:D5348="TURNOVER")*('TREASURY FILE'!A347:A5348=A448)*('TREASURY FILE'!F347:F5348))</f>
        <v>0</v>
      </c>
      <c r="D448" s="24" cm="1">
        <f t="array" ref="D448">SUMPRODUCT(('TREASURY FILE'!B347:B5348=$D$4)*('TREASURY FILE'!D347:D5348="TURNOVER")*('TREASURY FILE'!A347:A5348=A448)*('TREASURY FILE'!F347:F5348))</f>
        <v>174590.87556112529</v>
      </c>
      <c r="E448" s="31">
        <f t="shared" si="20"/>
        <v>174590.87556112529</v>
      </c>
      <c r="G448" s="24" cm="1">
        <f t="array" ref="G448">SUMPRODUCT(('TREASURY FILE'!B347:B5348=$G$4)*('TREASURY FILE'!D347:D5348="INCOME")*('TREASURY FILE'!A347:A5348=A448)*('TREASURY FILE'!F347:F5348))</f>
        <v>0</v>
      </c>
      <c r="H448" s="24" cm="1">
        <f t="array" ref="H448">SUMPRODUCT(('TREASURY FILE'!B347:B5348=$H$4)*('TREASURY FILE'!D347:D5348="INCOME")*('TREASURY FILE'!A347:A5348=A448)*('TREASURY FILE'!F347:F5348))</f>
        <v>26094.300126854763</v>
      </c>
      <c r="I448" s="24" cm="1">
        <f t="array" ref="I448">SUMPRODUCT(('TREASURY FILE'!D356:D5348=$I$4)*('TREASURY FILE'!F356:F5348="INCOME")*('TREASURY FILE'!C356:C5348=C448)*('TREASURY FILE'!H356:H5348))</f>
        <v>0</v>
      </c>
      <c r="J448" s="31">
        <f t="shared" si="21"/>
        <v>26094.300126854763</v>
      </c>
      <c r="K448" s="33">
        <f t="shared" si="22"/>
        <v>0.14945970139040282</v>
      </c>
    </row>
    <row r="449" spans="1:11" x14ac:dyDescent="0.3">
      <c r="A449" s="30">
        <v>46102</v>
      </c>
      <c r="B449" s="24" cm="1">
        <f t="array" ref="B449">SUMPRODUCT(('TREASURY FILE'!B348:B5349=$B$4)*('TREASURY FILE'!D348:D5349="TURNOVER")*('TREASURY FILE'!A348:A5349=A449)*('TREASURY FILE'!F348:F5349))</f>
        <v>0</v>
      </c>
      <c r="C449" s="24" cm="1">
        <f t="array" ref="C449">SUMPRODUCT(('TREASURY FILE'!B348:B5349=$C$4)*('TREASURY FILE'!D348:D5349="TURNOVER")*('TREASURY FILE'!A348:A5349=A449)*('TREASURY FILE'!F348:F5349))</f>
        <v>0</v>
      </c>
      <c r="D449" s="24" cm="1">
        <f t="array" ref="D449">SUMPRODUCT(('TREASURY FILE'!B348:B5349=$D$4)*('TREASURY FILE'!D348:D5349="TURNOVER")*('TREASURY FILE'!A348:A5349=A449)*('TREASURY FILE'!F348:F5349))</f>
        <v>208421.03386907029</v>
      </c>
      <c r="E449" s="31">
        <f t="shared" si="20"/>
        <v>208421.03386907029</v>
      </c>
      <c r="G449" s="24" cm="1">
        <f t="array" ref="G449">SUMPRODUCT(('TREASURY FILE'!B348:B5349=$G$4)*('TREASURY FILE'!D348:D5349="INCOME")*('TREASURY FILE'!A348:A5349=A449)*('TREASURY FILE'!F348:F5349))</f>
        <v>0</v>
      </c>
      <c r="H449" s="24" cm="1">
        <f t="array" ref="H449">SUMPRODUCT(('TREASURY FILE'!B348:B5349=$H$4)*('TREASURY FILE'!D348:D5349="INCOME")*('TREASURY FILE'!A348:A5349=A449)*('TREASURY FILE'!F348:F5349))</f>
        <v>19917.58979033041</v>
      </c>
      <c r="I449" s="24" cm="1">
        <f t="array" ref="I449">SUMPRODUCT(('TREASURY FILE'!D357:D5349=$I$4)*('TREASURY FILE'!F357:F5349="INCOME")*('TREASURY FILE'!C357:C5349=C449)*('TREASURY FILE'!H357:H5349))</f>
        <v>0</v>
      </c>
      <c r="J449" s="31">
        <f t="shared" si="21"/>
        <v>19917.58979033041</v>
      </c>
      <c r="K449" s="33">
        <f t="shared" si="22"/>
        <v>9.5564202041347718E-2</v>
      </c>
    </row>
    <row r="450" spans="1:11" x14ac:dyDescent="0.3">
      <c r="A450" s="30">
        <v>46103</v>
      </c>
      <c r="B450" s="24" cm="1">
        <f t="array" ref="B450">SUMPRODUCT(('TREASURY FILE'!B349:B5350=$B$4)*('TREASURY FILE'!D349:D5350="TURNOVER")*('TREASURY FILE'!A349:A5350=A450)*('TREASURY FILE'!F349:F5350))</f>
        <v>0</v>
      </c>
      <c r="C450" s="24" cm="1">
        <f t="array" ref="C450">SUMPRODUCT(('TREASURY FILE'!B349:B5350=$C$4)*('TREASURY FILE'!D349:D5350="TURNOVER")*('TREASURY FILE'!A349:A5350=A450)*('TREASURY FILE'!F349:F5350))</f>
        <v>0</v>
      </c>
      <c r="D450" s="24" cm="1">
        <f t="array" ref="D450">SUMPRODUCT(('TREASURY FILE'!B349:B5350=$D$4)*('TREASURY FILE'!D349:D5350="TURNOVER")*('TREASURY FILE'!A349:A5350=A450)*('TREASURY FILE'!F349:F5350))</f>
        <v>182599.37093638341</v>
      </c>
      <c r="E450" s="31">
        <f t="shared" si="20"/>
        <v>182599.37093638341</v>
      </c>
      <c r="G450" s="24" cm="1">
        <f t="array" ref="G450">SUMPRODUCT(('TREASURY FILE'!B349:B5350=$G$4)*('TREASURY FILE'!D349:D5350="INCOME")*('TREASURY FILE'!A349:A5350=A450)*('TREASURY FILE'!F349:F5350))</f>
        <v>0</v>
      </c>
      <c r="H450" s="24" cm="1">
        <f t="array" ref="H450">SUMPRODUCT(('TREASURY FILE'!B349:B5350=$H$4)*('TREASURY FILE'!D349:D5350="INCOME")*('TREASURY FILE'!A349:A5350=A450)*('TREASURY FILE'!F349:F5350))</f>
        <v>24693.176905961296</v>
      </c>
      <c r="I450" s="24" cm="1">
        <f t="array" ref="I450">SUMPRODUCT(('TREASURY FILE'!D358:D5350=$I$4)*('TREASURY FILE'!F358:F5350="INCOME")*('TREASURY FILE'!C358:C5350=C450)*('TREASURY FILE'!H358:H5350))</f>
        <v>0</v>
      </c>
      <c r="J450" s="31">
        <f t="shared" si="21"/>
        <v>24693.176905961296</v>
      </c>
      <c r="K450" s="33">
        <f t="shared" si="22"/>
        <v>0.13523144564700751</v>
      </c>
    </row>
    <row r="451" spans="1:11" x14ac:dyDescent="0.3">
      <c r="A451" s="30">
        <v>46104</v>
      </c>
      <c r="B451" s="24" cm="1">
        <f t="array" ref="B451">SUMPRODUCT(('TREASURY FILE'!B350:B5351=$B$4)*('TREASURY FILE'!D350:D5351="TURNOVER")*('TREASURY FILE'!A350:A5351=A451)*('TREASURY FILE'!F350:F5351))</f>
        <v>0</v>
      </c>
      <c r="C451" s="24" cm="1">
        <f t="array" ref="C451">SUMPRODUCT(('TREASURY FILE'!B350:B5351=$C$4)*('TREASURY FILE'!D350:D5351="TURNOVER")*('TREASURY FILE'!A350:A5351=A451)*('TREASURY FILE'!F350:F5351))</f>
        <v>0</v>
      </c>
      <c r="D451" s="24" cm="1">
        <f t="array" ref="D451">SUMPRODUCT(('TREASURY FILE'!B350:B5351=$D$4)*('TREASURY FILE'!D350:D5351="TURNOVER")*('TREASURY FILE'!A350:A5351=A451)*('TREASURY FILE'!F350:F5351))</f>
        <v>301411.41692877648</v>
      </c>
      <c r="E451" s="31">
        <f t="shared" si="20"/>
        <v>301411.41692877648</v>
      </c>
      <c r="G451" s="24" cm="1">
        <f t="array" ref="G451">SUMPRODUCT(('TREASURY FILE'!B350:B5351=$G$4)*('TREASURY FILE'!D350:D5351="INCOME")*('TREASURY FILE'!A350:A5351=A451)*('TREASURY FILE'!F350:F5351))</f>
        <v>0</v>
      </c>
      <c r="H451" s="24" cm="1">
        <f t="array" ref="H451">SUMPRODUCT(('TREASURY FILE'!B350:B5351=$H$4)*('TREASURY FILE'!D350:D5351="INCOME")*('TREASURY FILE'!A350:A5351=A451)*('TREASURY FILE'!F350:F5351))</f>
        <v>38886.340579731208</v>
      </c>
      <c r="I451" s="24" cm="1">
        <f t="array" ref="I451">SUMPRODUCT(('TREASURY FILE'!D359:D5351=$I$4)*('TREASURY FILE'!F359:F5351="INCOME")*('TREASURY FILE'!C359:C5351=C451)*('TREASURY FILE'!H359:H5351))</f>
        <v>0</v>
      </c>
      <c r="J451" s="31">
        <f t="shared" si="21"/>
        <v>38886.340579731208</v>
      </c>
      <c r="K451" s="33">
        <f t="shared" si="22"/>
        <v>0.1290141593704795</v>
      </c>
    </row>
    <row r="452" spans="1:11" x14ac:dyDescent="0.3">
      <c r="A452" s="30">
        <v>46105</v>
      </c>
      <c r="B452" s="24" cm="1">
        <f t="array" ref="B452">SUMPRODUCT(('TREASURY FILE'!B351:B5352=$B$4)*('TREASURY FILE'!D351:D5352="TURNOVER")*('TREASURY FILE'!A351:A5352=A452)*('TREASURY FILE'!F351:F5352))</f>
        <v>0</v>
      </c>
      <c r="C452" s="24" cm="1">
        <f t="array" ref="C452">SUMPRODUCT(('TREASURY FILE'!B351:B5352=$C$4)*('TREASURY FILE'!D351:D5352="TURNOVER")*('TREASURY FILE'!A351:A5352=A452)*('TREASURY FILE'!F351:F5352))</f>
        <v>0</v>
      </c>
      <c r="D452" s="24" cm="1">
        <f t="array" ref="D452">SUMPRODUCT(('TREASURY FILE'!B351:B5352=$D$4)*('TREASURY FILE'!D351:D5352="TURNOVER")*('TREASURY FILE'!A351:A5352=A452)*('TREASURY FILE'!F351:F5352))</f>
        <v>593703.71487568179</v>
      </c>
      <c r="E452" s="31">
        <f t="shared" si="20"/>
        <v>593703.71487568179</v>
      </c>
      <c r="G452" s="24" cm="1">
        <f t="array" ref="G452">SUMPRODUCT(('TREASURY FILE'!B351:B5352=$G$4)*('TREASURY FILE'!D351:D5352="INCOME")*('TREASURY FILE'!A351:A5352=A452)*('TREASURY FILE'!F351:F5352))</f>
        <v>0</v>
      </c>
      <c r="H452" s="24" cm="1">
        <f t="array" ref="H452">SUMPRODUCT(('TREASURY FILE'!B351:B5352=$H$4)*('TREASURY FILE'!D351:D5352="INCOME")*('TREASURY FILE'!A351:A5352=A452)*('TREASURY FILE'!F351:F5352))</f>
        <v>31312.054868908512</v>
      </c>
      <c r="I452" s="24" cm="1">
        <f t="array" ref="I452">SUMPRODUCT(('TREASURY FILE'!D360:D5352=$I$4)*('TREASURY FILE'!F360:F5352="INCOME")*('TREASURY FILE'!C360:C5352=C452)*('TREASURY FILE'!H360:H5352))</f>
        <v>0</v>
      </c>
      <c r="J452" s="31">
        <f t="shared" si="21"/>
        <v>31312.054868908512</v>
      </c>
      <c r="K452" s="33">
        <f t="shared" si="22"/>
        <v>5.2740203715021521E-2</v>
      </c>
    </row>
    <row r="453" spans="1:11" x14ac:dyDescent="0.3">
      <c r="A453" s="30">
        <v>46106</v>
      </c>
      <c r="B453" s="24" cm="1">
        <f t="array" ref="B453">SUMPRODUCT(('TREASURY FILE'!B352:B5353=$B$4)*('TREASURY FILE'!D352:D5353="TURNOVER")*('TREASURY FILE'!A352:A5353=A453)*('TREASURY FILE'!F352:F5353))</f>
        <v>0</v>
      </c>
      <c r="C453" s="24" cm="1">
        <f t="array" ref="C453">SUMPRODUCT(('TREASURY FILE'!B352:B5353=$C$4)*('TREASURY FILE'!D352:D5353="TURNOVER")*('TREASURY FILE'!A352:A5353=A453)*('TREASURY FILE'!F352:F5353))</f>
        <v>0</v>
      </c>
      <c r="D453" s="24" cm="1">
        <f t="array" ref="D453">SUMPRODUCT(('TREASURY FILE'!B352:B5353=$D$4)*('TREASURY FILE'!D352:D5353="TURNOVER")*('TREASURY FILE'!A352:A5353=A453)*('TREASURY FILE'!F352:F5353))</f>
        <v>106009.97068574515</v>
      </c>
      <c r="E453" s="31">
        <f t="shared" si="20"/>
        <v>106009.97068574515</v>
      </c>
      <c r="G453" s="24" cm="1">
        <f t="array" ref="G453">SUMPRODUCT(('TREASURY FILE'!B352:B5353=$G$4)*('TREASURY FILE'!D352:D5353="INCOME")*('TREASURY FILE'!A352:A5353=A453)*('TREASURY FILE'!F352:F5353))</f>
        <v>0</v>
      </c>
      <c r="H453" s="24" cm="1">
        <f t="array" ref="H453">SUMPRODUCT(('TREASURY FILE'!B352:B5353=$H$4)*('TREASURY FILE'!D352:D5353="INCOME")*('TREASURY FILE'!A352:A5353=A453)*('TREASURY FILE'!F352:F5353))</f>
        <v>37666.885636316772</v>
      </c>
      <c r="I453" s="24" cm="1">
        <f t="array" ref="I453">SUMPRODUCT(('TREASURY FILE'!D361:D5353=$I$4)*('TREASURY FILE'!F361:F5353="INCOME")*('TREASURY FILE'!C361:C5353=C453)*('TREASURY FILE'!H361:H5353))</f>
        <v>0</v>
      </c>
      <c r="J453" s="31">
        <f t="shared" si="21"/>
        <v>37666.885636316772</v>
      </c>
      <c r="K453" s="33">
        <f t="shared" si="22"/>
        <v>0.35531455572208481</v>
      </c>
    </row>
    <row r="454" spans="1:11" x14ac:dyDescent="0.3">
      <c r="A454" s="30">
        <v>46107</v>
      </c>
      <c r="B454" s="24" cm="1">
        <f t="array" ref="B454">SUMPRODUCT(('TREASURY FILE'!B353:B5354=$B$4)*('TREASURY FILE'!D353:D5354="TURNOVER")*('TREASURY FILE'!A353:A5354=A454)*('TREASURY FILE'!F353:F5354))</f>
        <v>0</v>
      </c>
      <c r="C454" s="24" cm="1">
        <f t="array" ref="C454">SUMPRODUCT(('TREASURY FILE'!B353:B5354=$C$4)*('TREASURY FILE'!D353:D5354="TURNOVER")*('TREASURY FILE'!A353:A5354=A454)*('TREASURY FILE'!F353:F5354))</f>
        <v>0</v>
      </c>
      <c r="D454" s="24" cm="1">
        <f t="array" ref="D454">SUMPRODUCT(('TREASURY FILE'!B353:B5354=$D$4)*('TREASURY FILE'!D353:D5354="TURNOVER")*('TREASURY FILE'!A353:A5354=A454)*('TREASURY FILE'!F353:F5354))</f>
        <v>230849.1810381469</v>
      </c>
      <c r="E454" s="31">
        <f t="shared" ref="E454:E517" si="23">SUM(B454:D454)</f>
        <v>230849.1810381469</v>
      </c>
      <c r="G454" s="24" cm="1">
        <f t="array" ref="G454">SUMPRODUCT(('TREASURY FILE'!B353:B5354=$G$4)*('TREASURY FILE'!D353:D5354="INCOME")*('TREASURY FILE'!A353:A5354=A454)*('TREASURY FILE'!F353:F5354))</f>
        <v>0</v>
      </c>
      <c r="H454" s="24" cm="1">
        <f t="array" ref="H454">SUMPRODUCT(('TREASURY FILE'!B353:B5354=$H$4)*('TREASURY FILE'!D353:D5354="INCOME")*('TREASURY FILE'!A353:A5354=A454)*('TREASURY FILE'!F353:F5354))</f>
        <v>29449.885123001954</v>
      </c>
      <c r="I454" s="24" cm="1">
        <f t="array" ref="I454">SUMPRODUCT(('TREASURY FILE'!D362:D5354=$I$4)*('TREASURY FILE'!F362:F5354="INCOME")*('TREASURY FILE'!C362:C5354=C454)*('TREASURY FILE'!H362:H5354))</f>
        <v>0</v>
      </c>
      <c r="J454" s="31">
        <f t="shared" ref="J454:J517" si="24">SUM(G454:I454)</f>
        <v>29449.885123001954</v>
      </c>
      <c r="K454" s="33">
        <f t="shared" ref="K454:K517" si="25">+J454/E454</f>
        <v>0.12757197140818741</v>
      </c>
    </row>
    <row r="455" spans="1:11" x14ac:dyDescent="0.3">
      <c r="A455" s="30">
        <v>46108</v>
      </c>
      <c r="B455" s="24" cm="1">
        <f t="array" ref="B455">SUMPRODUCT(('TREASURY FILE'!B354:B5355=$B$4)*('TREASURY FILE'!D354:D5355="TURNOVER")*('TREASURY FILE'!A354:A5355=A455)*('TREASURY FILE'!F354:F5355))</f>
        <v>0</v>
      </c>
      <c r="C455" s="24" cm="1">
        <f t="array" ref="C455">SUMPRODUCT(('TREASURY FILE'!B354:B5355=$C$4)*('TREASURY FILE'!D354:D5355="TURNOVER")*('TREASURY FILE'!A354:A5355=A455)*('TREASURY FILE'!F354:F5355))</f>
        <v>0</v>
      </c>
      <c r="D455" s="24" cm="1">
        <f t="array" ref="D455">SUMPRODUCT(('TREASURY FILE'!B354:B5355=$D$4)*('TREASURY FILE'!D354:D5355="TURNOVER")*('TREASURY FILE'!A354:A5355=A455)*('TREASURY FILE'!F354:F5355))</f>
        <v>68119.445305194575</v>
      </c>
      <c r="E455" s="31">
        <f t="shared" si="23"/>
        <v>68119.445305194575</v>
      </c>
      <c r="G455" s="24" cm="1">
        <f t="array" ref="G455">SUMPRODUCT(('TREASURY FILE'!B354:B5355=$G$4)*('TREASURY FILE'!D354:D5355="INCOME")*('TREASURY FILE'!A354:A5355=A455)*('TREASURY FILE'!F354:F5355))</f>
        <v>0</v>
      </c>
      <c r="H455" s="24" cm="1">
        <f t="array" ref="H455">SUMPRODUCT(('TREASURY FILE'!B354:B5355=$H$4)*('TREASURY FILE'!D354:D5355="INCOME")*('TREASURY FILE'!A354:A5355=A455)*('TREASURY FILE'!F354:F5355))</f>
        <v>26036.073617746501</v>
      </c>
      <c r="I455" s="24" cm="1">
        <f t="array" ref="I455">SUMPRODUCT(('TREASURY FILE'!D363:D5355=$I$4)*('TREASURY FILE'!F363:F5355="INCOME")*('TREASURY FILE'!C363:C5355=C455)*('TREASURY FILE'!H363:H5355))</f>
        <v>0</v>
      </c>
      <c r="J455" s="31">
        <f t="shared" si="24"/>
        <v>26036.073617746501</v>
      </c>
      <c r="K455" s="33">
        <f t="shared" si="25"/>
        <v>0.382212061491362</v>
      </c>
    </row>
    <row r="456" spans="1:11" x14ac:dyDescent="0.3">
      <c r="A456" s="30">
        <v>46109</v>
      </c>
      <c r="B456" s="24" cm="1">
        <f t="array" ref="B456">SUMPRODUCT(('TREASURY FILE'!B355:B5356=$B$4)*('TREASURY FILE'!D355:D5356="TURNOVER")*('TREASURY FILE'!A355:A5356=A456)*('TREASURY FILE'!F355:F5356))</f>
        <v>0</v>
      </c>
      <c r="C456" s="24" cm="1">
        <f t="array" ref="C456">SUMPRODUCT(('TREASURY FILE'!B355:B5356=$C$4)*('TREASURY FILE'!D355:D5356="TURNOVER")*('TREASURY FILE'!A355:A5356=A456)*('TREASURY FILE'!F355:F5356))</f>
        <v>0</v>
      </c>
      <c r="D456" s="24" cm="1">
        <f t="array" ref="D456">SUMPRODUCT(('TREASURY FILE'!B355:B5356=$D$4)*('TREASURY FILE'!D355:D5356="TURNOVER")*('TREASURY FILE'!A355:A5356=A456)*('TREASURY FILE'!F355:F5356))</f>
        <v>179317.76487719</v>
      </c>
      <c r="E456" s="31">
        <f t="shared" si="23"/>
        <v>179317.76487719</v>
      </c>
      <c r="G456" s="24" cm="1">
        <f t="array" ref="G456">SUMPRODUCT(('TREASURY FILE'!B355:B5356=$G$4)*('TREASURY FILE'!D355:D5356="INCOME")*('TREASURY FILE'!A355:A5356=A456)*('TREASURY FILE'!F355:F5356))</f>
        <v>0</v>
      </c>
      <c r="H456" s="24" cm="1">
        <f t="array" ref="H456">SUMPRODUCT(('TREASURY FILE'!B355:B5356=$H$4)*('TREASURY FILE'!D355:D5356="INCOME")*('TREASURY FILE'!A355:A5356=A456)*('TREASURY FILE'!F355:F5356))</f>
        <v>19078.6162382599</v>
      </c>
      <c r="I456" s="24" cm="1">
        <f t="array" ref="I456">SUMPRODUCT(('TREASURY FILE'!D364:D5356=$I$4)*('TREASURY FILE'!F364:F5356="INCOME")*('TREASURY FILE'!C364:C5356=C456)*('TREASURY FILE'!H364:H5356))</f>
        <v>0</v>
      </c>
      <c r="J456" s="31">
        <f t="shared" si="24"/>
        <v>19078.6162382599</v>
      </c>
      <c r="K456" s="33">
        <f t="shared" si="25"/>
        <v>0.1063955724148488</v>
      </c>
    </row>
    <row r="457" spans="1:11" x14ac:dyDescent="0.3">
      <c r="A457" s="30">
        <v>46110</v>
      </c>
      <c r="B457" s="24" cm="1">
        <f t="array" ref="B457">SUMPRODUCT(('TREASURY FILE'!B356:B5357=$B$4)*('TREASURY FILE'!D356:D5357="TURNOVER")*('TREASURY FILE'!A356:A5357=A457)*('TREASURY FILE'!F356:F5357))</f>
        <v>0</v>
      </c>
      <c r="C457" s="24" cm="1">
        <f t="array" ref="C457">SUMPRODUCT(('TREASURY FILE'!B356:B5357=$C$4)*('TREASURY FILE'!D356:D5357="TURNOVER")*('TREASURY FILE'!A356:A5357=A457)*('TREASURY FILE'!F356:F5357))</f>
        <v>0</v>
      </c>
      <c r="D457" s="24" cm="1">
        <f t="array" ref="D457">SUMPRODUCT(('TREASURY FILE'!B356:B5357=$D$4)*('TREASURY FILE'!D356:D5357="TURNOVER")*('TREASURY FILE'!A356:A5357=A457)*('TREASURY FILE'!F356:F5357))</f>
        <v>2619162.6653211541</v>
      </c>
      <c r="E457" s="31">
        <f t="shared" si="23"/>
        <v>2619162.6653211541</v>
      </c>
      <c r="G457" s="24" cm="1">
        <f t="array" ref="G457">SUMPRODUCT(('TREASURY FILE'!B356:B5357=$G$4)*('TREASURY FILE'!D356:D5357="INCOME")*('TREASURY FILE'!A356:A5357=A457)*('TREASURY FILE'!F356:F5357))</f>
        <v>0</v>
      </c>
      <c r="H457" s="24" cm="1">
        <f t="array" ref="H457">SUMPRODUCT(('TREASURY FILE'!B356:B5357=$H$4)*('TREASURY FILE'!D356:D5357="INCOME")*('TREASURY FILE'!A356:A5357=A457)*('TREASURY FILE'!F356:F5357))</f>
        <v>19046.354012104126</v>
      </c>
      <c r="I457" s="24" cm="1">
        <f t="array" ref="I457">SUMPRODUCT(('TREASURY FILE'!D365:D5357=$I$4)*('TREASURY FILE'!F365:F5357="INCOME")*('TREASURY FILE'!C365:C5357=C457)*('TREASURY FILE'!H365:H5357))</f>
        <v>0</v>
      </c>
      <c r="J457" s="31">
        <f t="shared" si="24"/>
        <v>19046.354012104126</v>
      </c>
      <c r="K457" s="33">
        <f t="shared" si="25"/>
        <v>7.2719248270777855E-3</v>
      </c>
    </row>
    <row r="458" spans="1:11" x14ac:dyDescent="0.3">
      <c r="A458" s="30">
        <v>46111</v>
      </c>
      <c r="B458" s="24" cm="1">
        <f t="array" ref="B458">SUMPRODUCT(('TREASURY FILE'!B357:B5358=$B$4)*('TREASURY FILE'!D357:D5358="TURNOVER")*('TREASURY FILE'!A357:A5358=A458)*('TREASURY FILE'!F357:F5358))</f>
        <v>0</v>
      </c>
      <c r="C458" s="24" cm="1">
        <f t="array" ref="C458">SUMPRODUCT(('TREASURY FILE'!B357:B5358=$C$4)*('TREASURY FILE'!D357:D5358="TURNOVER")*('TREASURY FILE'!A357:A5358=A458)*('TREASURY FILE'!F357:F5358))</f>
        <v>0</v>
      </c>
      <c r="D458" s="24" cm="1">
        <f t="array" ref="D458">SUMPRODUCT(('TREASURY FILE'!B357:B5358=$D$4)*('TREASURY FILE'!D357:D5358="TURNOVER")*('TREASURY FILE'!A357:A5358=A458)*('TREASURY FILE'!F357:F5358))</f>
        <v>613691.12811892421</v>
      </c>
      <c r="E458" s="31">
        <f t="shared" si="23"/>
        <v>613691.12811892421</v>
      </c>
      <c r="G458" s="24" cm="1">
        <f t="array" ref="G458">SUMPRODUCT(('TREASURY FILE'!B357:B5358=$G$4)*('TREASURY FILE'!D357:D5358="INCOME")*('TREASURY FILE'!A357:A5358=A458)*('TREASURY FILE'!F357:F5358))</f>
        <v>0</v>
      </c>
      <c r="H458" s="24" cm="1">
        <f t="array" ref="H458">SUMPRODUCT(('TREASURY FILE'!B357:B5358=$H$4)*('TREASURY FILE'!D357:D5358="INCOME")*('TREASURY FILE'!A357:A5358=A458)*('TREASURY FILE'!F357:F5358))</f>
        <v>28787.250174541841</v>
      </c>
      <c r="I458" s="24" cm="1">
        <f t="array" ref="I458">SUMPRODUCT(('TREASURY FILE'!D366:D5358=$I$4)*('TREASURY FILE'!F366:F5358="INCOME")*('TREASURY FILE'!C366:C5358=C458)*('TREASURY FILE'!H366:H5358))</f>
        <v>0</v>
      </c>
      <c r="J458" s="31">
        <f t="shared" si="24"/>
        <v>28787.250174541841</v>
      </c>
      <c r="K458" s="33">
        <f t="shared" si="25"/>
        <v>4.6908369463935451E-2</v>
      </c>
    </row>
    <row r="459" spans="1:11" x14ac:dyDescent="0.3">
      <c r="A459" s="30">
        <v>46112</v>
      </c>
      <c r="B459" s="24" cm="1">
        <f t="array" ref="B459">SUMPRODUCT(('TREASURY FILE'!B358:B5359=$B$4)*('TREASURY FILE'!D358:D5359="TURNOVER")*('TREASURY FILE'!A358:A5359=A459)*('TREASURY FILE'!F358:F5359))</f>
        <v>0</v>
      </c>
      <c r="C459" s="24" cm="1">
        <f t="array" ref="C459">SUMPRODUCT(('TREASURY FILE'!B358:B5359=$C$4)*('TREASURY FILE'!D358:D5359="TURNOVER")*('TREASURY FILE'!A358:A5359=A459)*('TREASURY FILE'!F358:F5359))</f>
        <v>0</v>
      </c>
      <c r="D459" s="24" cm="1">
        <f t="array" ref="D459">SUMPRODUCT(('TREASURY FILE'!B358:B5359=$D$4)*('TREASURY FILE'!D358:D5359="TURNOVER")*('TREASURY FILE'!A358:A5359=A459)*('TREASURY FILE'!F358:F5359))</f>
        <v>393033.46018169902</v>
      </c>
      <c r="E459" s="31">
        <f t="shared" si="23"/>
        <v>393033.46018169902</v>
      </c>
      <c r="G459" s="24" cm="1">
        <f t="array" ref="G459">SUMPRODUCT(('TREASURY FILE'!B358:B5359=$G$4)*('TREASURY FILE'!D358:D5359="INCOME")*('TREASURY FILE'!A358:A5359=A459)*('TREASURY FILE'!F358:F5359))</f>
        <v>0</v>
      </c>
      <c r="H459" s="24" cm="1">
        <f t="array" ref="H459">SUMPRODUCT(('TREASURY FILE'!B358:B5359=$H$4)*('TREASURY FILE'!D358:D5359="INCOME")*('TREASURY FILE'!A358:A5359=A459)*('TREASURY FILE'!F358:F5359))</f>
        <v>26467.860307923074</v>
      </c>
      <c r="I459" s="24" cm="1">
        <f t="array" ref="I459">SUMPRODUCT(('TREASURY FILE'!D367:D5359=$I$4)*('TREASURY FILE'!F367:F5359="INCOME")*('TREASURY FILE'!C367:C5359=C459)*('TREASURY FILE'!H367:H5359))</f>
        <v>0</v>
      </c>
      <c r="J459" s="31">
        <f t="shared" si="24"/>
        <v>26467.860307923074</v>
      </c>
      <c r="K459" s="33">
        <f t="shared" si="25"/>
        <v>6.7342511489192305E-2</v>
      </c>
    </row>
    <row r="460" spans="1:11" x14ac:dyDescent="0.3">
      <c r="A460" s="30">
        <v>46113</v>
      </c>
      <c r="B460" s="24" cm="1">
        <f t="array" ref="B460">SUMPRODUCT(('TREASURY FILE'!B359:B5360=$B$4)*('TREASURY FILE'!D359:D5360="TURNOVER")*('TREASURY FILE'!A359:A5360=A460)*('TREASURY FILE'!F359:F5360))</f>
        <v>0</v>
      </c>
      <c r="C460" s="24" cm="1">
        <f t="array" ref="C460">SUMPRODUCT(('TREASURY FILE'!B359:B5360=$C$4)*('TREASURY FILE'!D359:D5360="TURNOVER")*('TREASURY FILE'!A359:A5360=A460)*('TREASURY FILE'!F359:F5360))</f>
        <v>0</v>
      </c>
      <c r="D460" s="24" cm="1">
        <f t="array" ref="D460">SUMPRODUCT(('TREASURY FILE'!B359:B5360=$D$4)*('TREASURY FILE'!D359:D5360="TURNOVER")*('TREASURY FILE'!A359:A5360=A460)*('TREASURY FILE'!F359:F5360))</f>
        <v>1228550.7131124388</v>
      </c>
      <c r="E460" s="31">
        <f t="shared" si="23"/>
        <v>1228550.7131124388</v>
      </c>
      <c r="G460" s="24" cm="1">
        <f t="array" ref="G460">SUMPRODUCT(('TREASURY FILE'!B359:B5360=$G$4)*('TREASURY FILE'!D359:D5360="INCOME")*('TREASURY FILE'!A359:A5360=A460)*('TREASURY FILE'!F359:F5360))</f>
        <v>0</v>
      </c>
      <c r="H460" s="24" cm="1">
        <f t="array" ref="H460">SUMPRODUCT(('TREASURY FILE'!B359:B5360=$H$4)*('TREASURY FILE'!D359:D5360="INCOME")*('TREASURY FILE'!A359:A5360=A460)*('TREASURY FILE'!F359:F5360))</f>
        <v>32372.942857605114</v>
      </c>
      <c r="I460" s="24" cm="1">
        <f t="array" ref="I460">SUMPRODUCT(('TREASURY FILE'!D368:D5360=$I$4)*('TREASURY FILE'!F368:F5360="INCOME")*('TREASURY FILE'!C368:C5360=C460)*('TREASURY FILE'!H368:H5360))</f>
        <v>0</v>
      </c>
      <c r="J460" s="31">
        <f t="shared" si="24"/>
        <v>32372.942857605114</v>
      </c>
      <c r="K460" s="33">
        <f t="shared" si="25"/>
        <v>2.6350514074905993E-2</v>
      </c>
    </row>
    <row r="461" spans="1:11" x14ac:dyDescent="0.3">
      <c r="A461" s="30">
        <v>46114</v>
      </c>
      <c r="B461" s="24" cm="1">
        <f t="array" ref="B461">SUMPRODUCT(('TREASURY FILE'!B360:B5361=$B$4)*('TREASURY FILE'!D360:D5361="TURNOVER")*('TREASURY FILE'!A360:A5361=A461)*('TREASURY FILE'!F360:F5361))</f>
        <v>0</v>
      </c>
      <c r="C461" s="24" cm="1">
        <f t="array" ref="C461">SUMPRODUCT(('TREASURY FILE'!B360:B5361=$C$4)*('TREASURY FILE'!D360:D5361="TURNOVER")*('TREASURY FILE'!A360:A5361=A461)*('TREASURY FILE'!F360:F5361))</f>
        <v>0</v>
      </c>
      <c r="D461" s="24" cm="1">
        <f t="array" ref="D461">SUMPRODUCT(('TREASURY FILE'!B360:B5361=$D$4)*('TREASURY FILE'!D360:D5361="TURNOVER")*('TREASURY FILE'!A360:A5361=A461)*('TREASURY FILE'!F360:F5361))</f>
        <v>1225331.7666157528</v>
      </c>
      <c r="E461" s="31">
        <f t="shared" si="23"/>
        <v>1225331.7666157528</v>
      </c>
      <c r="G461" s="24" cm="1">
        <f t="array" ref="G461">SUMPRODUCT(('TREASURY FILE'!B360:B5361=$G$4)*('TREASURY FILE'!D360:D5361="INCOME")*('TREASURY FILE'!A360:A5361=A461)*('TREASURY FILE'!F360:F5361))</f>
        <v>0</v>
      </c>
      <c r="H461" s="24" cm="1">
        <f t="array" ref="H461">SUMPRODUCT(('TREASURY FILE'!B360:B5361=$H$4)*('TREASURY FILE'!D360:D5361="INCOME")*('TREASURY FILE'!A360:A5361=A461)*('TREASURY FILE'!F360:F5361))</f>
        <v>47463.526686940757</v>
      </c>
      <c r="I461" s="24" cm="1">
        <f t="array" ref="I461">SUMPRODUCT(('TREASURY FILE'!D369:D5361=$I$4)*('TREASURY FILE'!F369:F5361="INCOME")*('TREASURY FILE'!C369:C5361=C461)*('TREASURY FILE'!H369:H5361))</f>
        <v>0</v>
      </c>
      <c r="J461" s="31">
        <f t="shared" si="24"/>
        <v>47463.526686940757</v>
      </c>
      <c r="K461" s="33">
        <f t="shared" si="25"/>
        <v>3.8735245408702983E-2</v>
      </c>
    </row>
    <row r="462" spans="1:11" x14ac:dyDescent="0.3">
      <c r="A462" s="30">
        <v>46115</v>
      </c>
      <c r="B462" s="24" cm="1">
        <f t="array" ref="B462">SUMPRODUCT(('TREASURY FILE'!B361:B5362=$B$4)*('TREASURY FILE'!D361:D5362="TURNOVER")*('TREASURY FILE'!A361:A5362=A462)*('TREASURY FILE'!F361:F5362))</f>
        <v>0</v>
      </c>
      <c r="C462" s="24" cm="1">
        <f t="array" ref="C462">SUMPRODUCT(('TREASURY FILE'!B361:B5362=$C$4)*('TREASURY FILE'!D361:D5362="TURNOVER")*('TREASURY FILE'!A361:A5362=A462)*('TREASURY FILE'!F361:F5362))</f>
        <v>0</v>
      </c>
      <c r="D462" s="24" cm="1">
        <f t="array" ref="D462">SUMPRODUCT(('TREASURY FILE'!B361:B5362=$D$4)*('TREASURY FILE'!D361:D5362="TURNOVER")*('TREASURY FILE'!A361:A5362=A462)*('TREASURY FILE'!F361:F5362))</f>
        <v>877137.76054449368</v>
      </c>
      <c r="E462" s="31">
        <f t="shared" si="23"/>
        <v>877137.76054449368</v>
      </c>
      <c r="G462" s="24" cm="1">
        <f t="array" ref="G462">SUMPRODUCT(('TREASURY FILE'!B361:B5362=$G$4)*('TREASURY FILE'!D361:D5362="INCOME")*('TREASURY FILE'!A361:A5362=A462)*('TREASURY FILE'!F361:F5362))</f>
        <v>0</v>
      </c>
      <c r="H462" s="24" cm="1">
        <f t="array" ref="H462">SUMPRODUCT(('TREASURY FILE'!B361:B5362=$H$4)*('TREASURY FILE'!D361:D5362="INCOME")*('TREASURY FILE'!A361:A5362=A462)*('TREASURY FILE'!F361:F5362))</f>
        <v>40962.134087131068</v>
      </c>
      <c r="I462" s="24" cm="1">
        <f t="array" ref="I462">SUMPRODUCT(('TREASURY FILE'!D370:D5362=$I$4)*('TREASURY FILE'!F370:F5362="INCOME")*('TREASURY FILE'!C370:C5362=C462)*('TREASURY FILE'!H370:H5362))</f>
        <v>0</v>
      </c>
      <c r="J462" s="31">
        <f t="shared" si="24"/>
        <v>40962.134087131068</v>
      </c>
      <c r="K462" s="33">
        <f t="shared" si="25"/>
        <v>4.6699772749155544E-2</v>
      </c>
    </row>
    <row r="463" spans="1:11" x14ac:dyDescent="0.3">
      <c r="A463" s="30">
        <v>46116</v>
      </c>
      <c r="B463" s="24" cm="1">
        <f t="array" ref="B463">SUMPRODUCT(('TREASURY FILE'!B362:B5363=$B$4)*('TREASURY FILE'!D362:D5363="TURNOVER")*('TREASURY FILE'!A362:A5363=A463)*('TREASURY FILE'!F362:F5363))</f>
        <v>0</v>
      </c>
      <c r="C463" s="24" cm="1">
        <f t="array" ref="C463">SUMPRODUCT(('TREASURY FILE'!B362:B5363=$C$4)*('TREASURY FILE'!D362:D5363="TURNOVER")*('TREASURY FILE'!A362:A5363=A463)*('TREASURY FILE'!F362:F5363))</f>
        <v>0</v>
      </c>
      <c r="D463" s="24" cm="1">
        <f t="array" ref="D463">SUMPRODUCT(('TREASURY FILE'!B362:B5363=$D$4)*('TREASURY FILE'!D362:D5363="TURNOVER")*('TREASURY FILE'!A362:A5363=A463)*('TREASURY FILE'!F362:F5363))</f>
        <v>1187096.0732445039</v>
      </c>
      <c r="E463" s="31">
        <f t="shared" si="23"/>
        <v>1187096.0732445039</v>
      </c>
      <c r="G463" s="24" cm="1">
        <f t="array" ref="G463">SUMPRODUCT(('TREASURY FILE'!B362:B5363=$G$4)*('TREASURY FILE'!D362:D5363="INCOME")*('TREASURY FILE'!A362:A5363=A463)*('TREASURY FILE'!F362:F5363))</f>
        <v>0</v>
      </c>
      <c r="H463" s="24" cm="1">
        <f t="array" ref="H463">SUMPRODUCT(('TREASURY FILE'!B362:B5363=$H$4)*('TREASURY FILE'!D362:D5363="INCOME")*('TREASURY FILE'!A362:A5363=A463)*('TREASURY FILE'!F362:F5363))</f>
        <v>29824.698054866192</v>
      </c>
      <c r="I463" s="24" cm="1">
        <f t="array" ref="I463">SUMPRODUCT(('TREASURY FILE'!D371:D5363=$I$4)*('TREASURY FILE'!F371:F5363="INCOME")*('TREASURY FILE'!C371:C5363=C463)*('TREASURY FILE'!H371:H5363))</f>
        <v>0</v>
      </c>
      <c r="J463" s="31">
        <f t="shared" si="24"/>
        <v>29824.698054866192</v>
      </c>
      <c r="K463" s="33">
        <f t="shared" si="25"/>
        <v>2.5124081131319906E-2</v>
      </c>
    </row>
    <row r="464" spans="1:11" x14ac:dyDescent="0.3">
      <c r="A464" s="30">
        <v>46117</v>
      </c>
      <c r="B464" s="24" cm="1">
        <f t="array" ref="B464">SUMPRODUCT(('TREASURY FILE'!B363:B5364=$B$4)*('TREASURY FILE'!D363:D5364="TURNOVER")*('TREASURY FILE'!A363:A5364=A464)*('TREASURY FILE'!F363:F5364))</f>
        <v>0</v>
      </c>
      <c r="C464" s="24" cm="1">
        <f t="array" ref="C464">SUMPRODUCT(('TREASURY FILE'!B363:B5364=$C$4)*('TREASURY FILE'!D363:D5364="TURNOVER")*('TREASURY FILE'!A363:A5364=A464)*('TREASURY FILE'!F363:F5364))</f>
        <v>0</v>
      </c>
      <c r="D464" s="24" cm="1">
        <f t="array" ref="D464">SUMPRODUCT(('TREASURY FILE'!B363:B5364=$D$4)*('TREASURY FILE'!D363:D5364="TURNOVER")*('TREASURY FILE'!A363:A5364=A464)*('TREASURY FILE'!F363:F5364))</f>
        <v>859911.28941588115</v>
      </c>
      <c r="E464" s="31">
        <f t="shared" si="23"/>
        <v>859911.28941588115</v>
      </c>
      <c r="G464" s="24" cm="1">
        <f t="array" ref="G464">SUMPRODUCT(('TREASURY FILE'!B363:B5364=$G$4)*('TREASURY FILE'!D363:D5364="INCOME")*('TREASURY FILE'!A363:A5364=A464)*('TREASURY FILE'!F363:F5364))</f>
        <v>0</v>
      </c>
      <c r="H464" s="24" cm="1">
        <f t="array" ref="H464">SUMPRODUCT(('TREASURY FILE'!B363:B5364=$H$4)*('TREASURY FILE'!D363:D5364="INCOME")*('TREASURY FILE'!A363:A5364=A464)*('TREASURY FILE'!F363:F5364))</f>
        <v>23954.645074985809</v>
      </c>
      <c r="I464" s="24" cm="1">
        <f t="array" ref="I464">SUMPRODUCT(('TREASURY FILE'!D372:D5364=$I$4)*('TREASURY FILE'!F372:F5364="INCOME")*('TREASURY FILE'!C372:C5364=C464)*('TREASURY FILE'!H372:H5364))</f>
        <v>0</v>
      </c>
      <c r="J464" s="31">
        <f t="shared" si="24"/>
        <v>23954.645074985809</v>
      </c>
      <c r="K464" s="33">
        <f t="shared" si="25"/>
        <v>2.7857111971698469E-2</v>
      </c>
    </row>
    <row r="465" spans="1:11" x14ac:dyDescent="0.3">
      <c r="A465" s="30">
        <v>46118</v>
      </c>
      <c r="B465" s="24" cm="1">
        <f t="array" ref="B465">SUMPRODUCT(('TREASURY FILE'!B364:B5365=$B$4)*('TREASURY FILE'!D364:D5365="TURNOVER")*('TREASURY FILE'!A364:A5365=A465)*('TREASURY FILE'!F364:F5365))</f>
        <v>0</v>
      </c>
      <c r="C465" s="24" cm="1">
        <f t="array" ref="C465">SUMPRODUCT(('TREASURY FILE'!B364:B5365=$C$4)*('TREASURY FILE'!D364:D5365="TURNOVER")*('TREASURY FILE'!A364:A5365=A465)*('TREASURY FILE'!F364:F5365))</f>
        <v>0</v>
      </c>
      <c r="D465" s="24" cm="1">
        <f t="array" ref="D465">SUMPRODUCT(('TREASURY FILE'!B364:B5365=$D$4)*('TREASURY FILE'!D364:D5365="TURNOVER")*('TREASURY FILE'!A364:A5365=A465)*('TREASURY FILE'!F364:F5365))</f>
        <v>1171107.4426397637</v>
      </c>
      <c r="E465" s="31">
        <f t="shared" si="23"/>
        <v>1171107.4426397637</v>
      </c>
      <c r="G465" s="24" cm="1">
        <f t="array" ref="G465">SUMPRODUCT(('TREASURY FILE'!B364:B5365=$G$4)*('TREASURY FILE'!D364:D5365="INCOME")*('TREASURY FILE'!A364:A5365=A465)*('TREASURY FILE'!F364:F5365))</f>
        <v>0</v>
      </c>
      <c r="H465" s="24" cm="1">
        <f t="array" ref="H465">SUMPRODUCT(('TREASURY FILE'!B364:B5365=$H$4)*('TREASURY FILE'!D364:D5365="INCOME")*('TREASURY FILE'!A364:A5365=A465)*('TREASURY FILE'!F364:F5365))</f>
        <v>40720.509382947275</v>
      </c>
      <c r="I465" s="24" cm="1">
        <f t="array" ref="I465">SUMPRODUCT(('TREASURY FILE'!D373:D5365=$I$4)*('TREASURY FILE'!F373:F5365="INCOME")*('TREASURY FILE'!C373:C5365=C465)*('TREASURY FILE'!H373:H5365))</f>
        <v>0</v>
      </c>
      <c r="J465" s="31">
        <f t="shared" si="24"/>
        <v>40720.509382947275</v>
      </c>
      <c r="K465" s="33">
        <f t="shared" si="25"/>
        <v>3.4770942357910561E-2</v>
      </c>
    </row>
    <row r="466" spans="1:11" x14ac:dyDescent="0.3">
      <c r="A466" s="30">
        <v>46119</v>
      </c>
      <c r="B466" s="24" cm="1">
        <f t="array" ref="B466">SUMPRODUCT(('TREASURY FILE'!B365:B5366=$B$4)*('TREASURY FILE'!D365:D5366="TURNOVER")*('TREASURY FILE'!A365:A5366=A466)*('TREASURY FILE'!F365:F5366))</f>
        <v>0</v>
      </c>
      <c r="C466" s="24" cm="1">
        <f t="array" ref="C466">SUMPRODUCT(('TREASURY FILE'!B365:B5366=$C$4)*('TREASURY FILE'!D365:D5366="TURNOVER")*('TREASURY FILE'!A365:A5366=A466)*('TREASURY FILE'!F365:F5366))</f>
        <v>0</v>
      </c>
      <c r="D466" s="24" cm="1">
        <f t="array" ref="D466">SUMPRODUCT(('TREASURY FILE'!B365:B5366=$D$4)*('TREASURY FILE'!D365:D5366="TURNOVER")*('TREASURY FILE'!A365:A5366=A466)*('TREASURY FILE'!F365:F5366))</f>
        <v>0</v>
      </c>
      <c r="E466" s="31">
        <f t="shared" si="23"/>
        <v>0</v>
      </c>
      <c r="G466" s="24" cm="1">
        <f t="array" ref="G466">SUMPRODUCT(('TREASURY FILE'!B365:B5366=$G$4)*('TREASURY FILE'!D365:D5366="INCOME")*('TREASURY FILE'!A365:A5366=A466)*('TREASURY FILE'!F365:F5366))</f>
        <v>0</v>
      </c>
      <c r="H466" s="24" cm="1">
        <f t="array" ref="H466">SUMPRODUCT(('TREASURY FILE'!B365:B5366=$H$4)*('TREASURY FILE'!D365:D5366="INCOME")*('TREASURY FILE'!A365:A5366=A466)*('TREASURY FILE'!F365:F5366))</f>
        <v>30566.417778423718</v>
      </c>
      <c r="I466" s="24" cm="1">
        <f t="array" ref="I466">SUMPRODUCT(('TREASURY FILE'!D374:D5366=$I$4)*('TREASURY FILE'!F374:F5366="INCOME")*('TREASURY FILE'!C374:C5366=C466)*('TREASURY FILE'!H374:H5366))</f>
        <v>0</v>
      </c>
      <c r="J466" s="31">
        <f t="shared" si="24"/>
        <v>30566.417778423718</v>
      </c>
      <c r="K466" s="33" t="e">
        <f t="shared" si="25"/>
        <v>#DIV/0!</v>
      </c>
    </row>
    <row r="467" spans="1:11" x14ac:dyDescent="0.3">
      <c r="A467" s="30">
        <v>46120</v>
      </c>
      <c r="B467" s="24" cm="1">
        <f t="array" ref="B467">SUMPRODUCT(('TREASURY FILE'!B366:B5367=$B$4)*('TREASURY FILE'!D366:D5367="TURNOVER")*('TREASURY FILE'!A366:A5367=A467)*('TREASURY FILE'!F366:F5367))</f>
        <v>0</v>
      </c>
      <c r="C467" s="24" cm="1">
        <f t="array" ref="C467">SUMPRODUCT(('TREASURY FILE'!B366:B5367=$C$4)*('TREASURY FILE'!D366:D5367="TURNOVER")*('TREASURY FILE'!A366:A5367=A467)*('TREASURY FILE'!F366:F5367))</f>
        <v>0</v>
      </c>
      <c r="D467" s="24" cm="1">
        <f t="array" ref="D467">SUMPRODUCT(('TREASURY FILE'!B366:B5367=$D$4)*('TREASURY FILE'!D366:D5367="TURNOVER")*('TREASURY FILE'!A366:A5367=A467)*('TREASURY FILE'!F366:F5367))</f>
        <v>0</v>
      </c>
      <c r="E467" s="31">
        <f t="shared" si="23"/>
        <v>0</v>
      </c>
      <c r="G467" s="24" cm="1">
        <f t="array" ref="G467">SUMPRODUCT(('TREASURY FILE'!B366:B5367=$G$4)*('TREASURY FILE'!D366:D5367="INCOME")*('TREASURY FILE'!A366:A5367=A467)*('TREASURY FILE'!F366:F5367))</f>
        <v>0</v>
      </c>
      <c r="H467" s="24" cm="1">
        <f t="array" ref="H467">SUMPRODUCT(('TREASURY FILE'!B366:B5367=$H$4)*('TREASURY FILE'!D366:D5367="INCOME")*('TREASURY FILE'!A366:A5367=A467)*('TREASURY FILE'!F366:F5367))</f>
        <v>45388.282740320676</v>
      </c>
      <c r="I467" s="24" cm="1">
        <f t="array" ref="I467">SUMPRODUCT(('TREASURY FILE'!D375:D5367=$I$4)*('TREASURY FILE'!F375:F5367="INCOME")*('TREASURY FILE'!C375:C5367=C467)*('TREASURY FILE'!H375:H5367))</f>
        <v>0</v>
      </c>
      <c r="J467" s="31">
        <f t="shared" si="24"/>
        <v>45388.282740320676</v>
      </c>
      <c r="K467" s="33" t="e">
        <f t="shared" si="25"/>
        <v>#DIV/0!</v>
      </c>
    </row>
    <row r="468" spans="1:11" x14ac:dyDescent="0.3">
      <c r="A468" s="30">
        <v>46121</v>
      </c>
      <c r="B468" s="24" cm="1">
        <f t="array" ref="B468">SUMPRODUCT(('TREASURY FILE'!B367:B5368=$B$4)*('TREASURY FILE'!D367:D5368="TURNOVER")*('TREASURY FILE'!A367:A5368=A468)*('TREASURY FILE'!F367:F5368))</f>
        <v>0</v>
      </c>
      <c r="C468" s="24" cm="1">
        <f t="array" ref="C468">SUMPRODUCT(('TREASURY FILE'!B367:B5368=$C$4)*('TREASURY FILE'!D367:D5368="TURNOVER")*('TREASURY FILE'!A367:A5368=A468)*('TREASURY FILE'!F367:F5368))</f>
        <v>0</v>
      </c>
      <c r="D468" s="24" cm="1">
        <f t="array" ref="D468">SUMPRODUCT(('TREASURY FILE'!B367:B5368=$D$4)*('TREASURY FILE'!D367:D5368="TURNOVER")*('TREASURY FILE'!A367:A5368=A468)*('TREASURY FILE'!F367:F5368))</f>
        <v>0</v>
      </c>
      <c r="E468" s="31">
        <f t="shared" si="23"/>
        <v>0</v>
      </c>
      <c r="G468" s="24" cm="1">
        <f t="array" ref="G468">SUMPRODUCT(('TREASURY FILE'!B367:B5368=$G$4)*('TREASURY FILE'!D367:D5368="INCOME")*('TREASURY FILE'!A367:A5368=A468)*('TREASURY FILE'!F367:F5368))</f>
        <v>0</v>
      </c>
      <c r="H468" s="24" cm="1">
        <f t="array" ref="H468">SUMPRODUCT(('TREASURY FILE'!B367:B5368=$H$4)*('TREASURY FILE'!D367:D5368="INCOME")*('TREASURY FILE'!A367:A5368=A468)*('TREASURY FILE'!F367:F5368))</f>
        <v>4787.2299999999996</v>
      </c>
      <c r="I468" s="24" cm="1">
        <f t="array" ref="I468">SUMPRODUCT(('TREASURY FILE'!D376:D5368=$I$4)*('TREASURY FILE'!F376:F5368="INCOME")*('TREASURY FILE'!C376:C5368=C468)*('TREASURY FILE'!H376:H5368))</f>
        <v>0</v>
      </c>
      <c r="J468" s="31">
        <f t="shared" si="24"/>
        <v>4787.2299999999996</v>
      </c>
      <c r="K468" s="33" t="e">
        <f t="shared" si="25"/>
        <v>#DIV/0!</v>
      </c>
    </row>
    <row r="469" spans="1:11" x14ac:dyDescent="0.3">
      <c r="A469" s="30">
        <v>46122</v>
      </c>
      <c r="B469" s="24" cm="1">
        <f t="array" ref="B469">SUMPRODUCT(('TREASURY FILE'!B368:B5369=$B$4)*('TREASURY FILE'!D368:D5369="TURNOVER")*('TREASURY FILE'!A368:A5369=A469)*('TREASURY FILE'!F368:F5369))</f>
        <v>0</v>
      </c>
      <c r="C469" s="24" cm="1">
        <f t="array" ref="C469">SUMPRODUCT(('TREASURY FILE'!B368:B5369=$C$4)*('TREASURY FILE'!D368:D5369="TURNOVER")*('TREASURY FILE'!A368:A5369=A469)*('TREASURY FILE'!F368:F5369))</f>
        <v>0</v>
      </c>
      <c r="D469" s="24" cm="1">
        <f t="array" ref="D469">SUMPRODUCT(('TREASURY FILE'!B368:B5369=$D$4)*('TREASURY FILE'!D368:D5369="TURNOVER")*('TREASURY FILE'!A368:A5369=A469)*('TREASURY FILE'!F368:F5369))</f>
        <v>0</v>
      </c>
      <c r="E469" s="31">
        <f t="shared" si="23"/>
        <v>0</v>
      </c>
      <c r="G469" s="24" cm="1">
        <f t="array" ref="G469">SUMPRODUCT(('TREASURY FILE'!B368:B5369=$G$4)*('TREASURY FILE'!D368:D5369="INCOME")*('TREASURY FILE'!A368:A5369=A469)*('TREASURY FILE'!F368:F5369))</f>
        <v>0</v>
      </c>
      <c r="H469" s="24" cm="1">
        <f t="array" ref="H469">SUMPRODUCT(('TREASURY FILE'!B368:B5369=$H$4)*('TREASURY FILE'!D368:D5369="INCOME")*('TREASURY FILE'!A368:A5369=A469)*('TREASURY FILE'!F368:F5369))</f>
        <v>0</v>
      </c>
      <c r="I469" s="24" cm="1">
        <f t="array" ref="I469">SUMPRODUCT(('TREASURY FILE'!D377:D5369=$I$4)*('TREASURY FILE'!F377:F5369="INCOME")*('TREASURY FILE'!C377:C5369=C469)*('TREASURY FILE'!H377:H5369))</f>
        <v>0</v>
      </c>
      <c r="J469" s="31">
        <f t="shared" si="24"/>
        <v>0</v>
      </c>
      <c r="K469" s="33" t="e">
        <f t="shared" si="25"/>
        <v>#DIV/0!</v>
      </c>
    </row>
    <row r="470" spans="1:11" x14ac:dyDescent="0.3">
      <c r="A470" s="30">
        <v>46123</v>
      </c>
      <c r="B470" s="24" cm="1">
        <f t="array" ref="B470">SUMPRODUCT(('TREASURY FILE'!B369:B5370=$B$4)*('TREASURY FILE'!D369:D5370="TURNOVER")*('TREASURY FILE'!A369:A5370=A470)*('TREASURY FILE'!F369:F5370))</f>
        <v>0</v>
      </c>
      <c r="C470" s="24" cm="1">
        <f t="array" ref="C470">SUMPRODUCT(('TREASURY FILE'!B369:B5370=$C$4)*('TREASURY FILE'!D369:D5370="TURNOVER")*('TREASURY FILE'!A369:A5370=A470)*('TREASURY FILE'!F369:F5370))</f>
        <v>0</v>
      </c>
      <c r="D470" s="24" cm="1">
        <f t="array" ref="D470">SUMPRODUCT(('TREASURY FILE'!B369:B5370=$D$4)*('TREASURY FILE'!D369:D5370="TURNOVER")*('TREASURY FILE'!A369:A5370=A470)*('TREASURY FILE'!F369:F5370))</f>
        <v>0</v>
      </c>
      <c r="E470" s="31">
        <f t="shared" si="23"/>
        <v>0</v>
      </c>
      <c r="G470" s="24" cm="1">
        <f t="array" ref="G470">SUMPRODUCT(('TREASURY FILE'!B369:B5370=$G$4)*('TREASURY FILE'!D369:D5370="INCOME")*('TREASURY FILE'!A369:A5370=A470)*('TREASURY FILE'!F369:F5370))</f>
        <v>0</v>
      </c>
      <c r="H470" s="24" cm="1">
        <f t="array" ref="H470">SUMPRODUCT(('TREASURY FILE'!B369:B5370=$H$4)*('TREASURY FILE'!D369:D5370="INCOME")*('TREASURY FILE'!A369:A5370=A470)*('TREASURY FILE'!F369:F5370))</f>
        <v>0</v>
      </c>
      <c r="I470" s="24" cm="1">
        <f t="array" ref="I470">SUMPRODUCT(('TREASURY FILE'!D378:D5370=$I$4)*('TREASURY FILE'!F378:F5370="INCOME")*('TREASURY FILE'!C378:C5370=C470)*('TREASURY FILE'!H378:H5370))</f>
        <v>0</v>
      </c>
      <c r="J470" s="31">
        <f t="shared" si="24"/>
        <v>0</v>
      </c>
      <c r="K470" s="33" t="e">
        <f t="shared" si="25"/>
        <v>#DIV/0!</v>
      </c>
    </row>
    <row r="471" spans="1:11" x14ac:dyDescent="0.3">
      <c r="A471" s="30">
        <v>46124</v>
      </c>
      <c r="B471" s="24" cm="1">
        <f t="array" ref="B471">SUMPRODUCT(('TREASURY FILE'!B370:B5371=$B$4)*('TREASURY FILE'!D370:D5371="TURNOVER")*('TREASURY FILE'!A370:A5371=A471)*('TREASURY FILE'!F370:F5371))</f>
        <v>0</v>
      </c>
      <c r="C471" s="24" cm="1">
        <f t="array" ref="C471">SUMPRODUCT(('TREASURY FILE'!B370:B5371=$C$4)*('TREASURY FILE'!D370:D5371="TURNOVER")*('TREASURY FILE'!A370:A5371=A471)*('TREASURY FILE'!F370:F5371))</f>
        <v>0</v>
      </c>
      <c r="D471" s="24" cm="1">
        <f t="array" ref="D471">SUMPRODUCT(('TREASURY FILE'!B370:B5371=$D$4)*('TREASURY FILE'!D370:D5371="TURNOVER")*('TREASURY FILE'!A370:A5371=A471)*('TREASURY FILE'!F370:F5371))</f>
        <v>0</v>
      </c>
      <c r="E471" s="31">
        <f t="shared" si="23"/>
        <v>0</v>
      </c>
      <c r="G471" s="24" cm="1">
        <f t="array" ref="G471">SUMPRODUCT(('TREASURY FILE'!B370:B5371=$G$4)*('TREASURY FILE'!D370:D5371="INCOME")*('TREASURY FILE'!A370:A5371=A471)*('TREASURY FILE'!F370:F5371))</f>
        <v>0</v>
      </c>
      <c r="H471" s="24" cm="1">
        <f t="array" ref="H471">SUMPRODUCT(('TREASURY FILE'!B370:B5371=$H$4)*('TREASURY FILE'!D370:D5371="INCOME")*('TREASURY FILE'!A370:A5371=A471)*('TREASURY FILE'!F370:F5371))</f>
        <v>0</v>
      </c>
      <c r="I471" s="24" cm="1">
        <f t="array" ref="I471">SUMPRODUCT(('TREASURY FILE'!D379:D5371=$I$4)*('TREASURY FILE'!F379:F5371="INCOME")*('TREASURY FILE'!C379:C5371=C471)*('TREASURY FILE'!H379:H5371))</f>
        <v>0</v>
      </c>
      <c r="J471" s="31">
        <f t="shared" si="24"/>
        <v>0</v>
      </c>
      <c r="K471" s="33" t="e">
        <f t="shared" si="25"/>
        <v>#DIV/0!</v>
      </c>
    </row>
    <row r="472" spans="1:11" x14ac:dyDescent="0.3">
      <c r="A472" s="30">
        <v>46125</v>
      </c>
      <c r="B472" s="24" cm="1">
        <f t="array" ref="B472">SUMPRODUCT(('TREASURY FILE'!B371:B5372=$B$4)*('TREASURY FILE'!D371:D5372="TURNOVER")*('TREASURY FILE'!A371:A5372=A472)*('TREASURY FILE'!F371:F5372))</f>
        <v>0</v>
      </c>
      <c r="C472" s="24" cm="1">
        <f t="array" ref="C472">SUMPRODUCT(('TREASURY FILE'!B371:B5372=$C$4)*('TREASURY FILE'!D371:D5372="TURNOVER")*('TREASURY FILE'!A371:A5372=A472)*('TREASURY FILE'!F371:F5372))</f>
        <v>0</v>
      </c>
      <c r="D472" s="24" cm="1">
        <f t="array" ref="D472">SUMPRODUCT(('TREASURY FILE'!B371:B5372=$D$4)*('TREASURY FILE'!D371:D5372="TURNOVER")*('TREASURY FILE'!A371:A5372=A472)*('TREASURY FILE'!F371:F5372))</f>
        <v>0</v>
      </c>
      <c r="E472" s="31">
        <f t="shared" si="23"/>
        <v>0</v>
      </c>
      <c r="G472" s="24" cm="1">
        <f t="array" ref="G472">SUMPRODUCT(('TREASURY FILE'!B371:B5372=$G$4)*('TREASURY FILE'!D371:D5372="INCOME")*('TREASURY FILE'!A371:A5372=A472)*('TREASURY FILE'!F371:F5372))</f>
        <v>0</v>
      </c>
      <c r="H472" s="24" cm="1">
        <f t="array" ref="H472">SUMPRODUCT(('TREASURY FILE'!B371:B5372=$H$4)*('TREASURY FILE'!D371:D5372="INCOME")*('TREASURY FILE'!A371:A5372=A472)*('TREASURY FILE'!F371:F5372))</f>
        <v>0</v>
      </c>
      <c r="I472" s="24" cm="1">
        <f t="array" ref="I472">SUMPRODUCT(('TREASURY FILE'!D380:D5372=$I$4)*('TREASURY FILE'!F380:F5372="INCOME")*('TREASURY FILE'!C380:C5372=C472)*('TREASURY FILE'!H380:H5372))</f>
        <v>0</v>
      </c>
      <c r="J472" s="31">
        <f t="shared" si="24"/>
        <v>0</v>
      </c>
      <c r="K472" s="33" t="e">
        <f t="shared" si="25"/>
        <v>#DIV/0!</v>
      </c>
    </row>
    <row r="473" spans="1:11" x14ac:dyDescent="0.3">
      <c r="A473" s="30">
        <v>46126</v>
      </c>
      <c r="B473" s="24" cm="1">
        <f t="array" ref="B473">SUMPRODUCT(('TREASURY FILE'!B372:B5373=$B$4)*('TREASURY FILE'!D372:D5373="TURNOVER")*('TREASURY FILE'!A372:A5373=A473)*('TREASURY FILE'!F372:F5373))</f>
        <v>0</v>
      </c>
      <c r="C473" s="24" cm="1">
        <f t="array" ref="C473">SUMPRODUCT(('TREASURY FILE'!B372:B5373=$C$4)*('TREASURY FILE'!D372:D5373="TURNOVER")*('TREASURY FILE'!A372:A5373=A473)*('TREASURY FILE'!F372:F5373))</f>
        <v>0</v>
      </c>
      <c r="D473" s="24" cm="1">
        <f t="array" ref="D473">SUMPRODUCT(('TREASURY FILE'!B372:B5373=$D$4)*('TREASURY FILE'!D372:D5373="TURNOVER")*('TREASURY FILE'!A372:A5373=A473)*('TREASURY FILE'!F372:F5373))</f>
        <v>0</v>
      </c>
      <c r="E473" s="31">
        <f t="shared" si="23"/>
        <v>0</v>
      </c>
      <c r="G473" s="24" cm="1">
        <f t="array" ref="G473">SUMPRODUCT(('TREASURY FILE'!B372:B5373=$G$4)*('TREASURY FILE'!D372:D5373="INCOME")*('TREASURY FILE'!A372:A5373=A473)*('TREASURY FILE'!F372:F5373))</f>
        <v>0</v>
      </c>
      <c r="H473" s="24" cm="1">
        <f t="array" ref="H473">SUMPRODUCT(('TREASURY FILE'!B372:B5373=$H$4)*('TREASURY FILE'!D372:D5373="INCOME")*('TREASURY FILE'!A372:A5373=A473)*('TREASURY FILE'!F372:F5373))</f>
        <v>0</v>
      </c>
      <c r="I473" s="24" cm="1">
        <f t="array" ref="I473">SUMPRODUCT(('TREASURY FILE'!D381:D5373=$I$4)*('TREASURY FILE'!F381:F5373="INCOME")*('TREASURY FILE'!C381:C5373=C473)*('TREASURY FILE'!H381:H5373))</f>
        <v>0</v>
      </c>
      <c r="J473" s="31">
        <f t="shared" si="24"/>
        <v>0</v>
      </c>
      <c r="K473" s="33" t="e">
        <f t="shared" si="25"/>
        <v>#DIV/0!</v>
      </c>
    </row>
    <row r="474" spans="1:11" x14ac:dyDescent="0.3">
      <c r="A474" s="30">
        <v>46127</v>
      </c>
      <c r="B474" s="24" cm="1">
        <f t="array" ref="B474">SUMPRODUCT(('TREASURY FILE'!B373:B5374=$B$4)*('TREASURY FILE'!D373:D5374="TURNOVER")*('TREASURY FILE'!A373:A5374=A474)*('TREASURY FILE'!F373:F5374))</f>
        <v>0</v>
      </c>
      <c r="C474" s="24" cm="1">
        <f t="array" ref="C474">SUMPRODUCT(('TREASURY FILE'!B373:B5374=$C$4)*('TREASURY FILE'!D373:D5374="TURNOVER")*('TREASURY FILE'!A373:A5374=A474)*('TREASURY FILE'!F373:F5374))</f>
        <v>0</v>
      </c>
      <c r="D474" s="24" cm="1">
        <f t="array" ref="D474">SUMPRODUCT(('TREASURY FILE'!B373:B5374=$D$4)*('TREASURY FILE'!D373:D5374="TURNOVER")*('TREASURY FILE'!A373:A5374=A474)*('TREASURY FILE'!F373:F5374))</f>
        <v>0</v>
      </c>
      <c r="E474" s="31">
        <f t="shared" si="23"/>
        <v>0</v>
      </c>
      <c r="G474" s="24" cm="1">
        <f t="array" ref="G474">SUMPRODUCT(('TREASURY FILE'!B373:B5374=$G$4)*('TREASURY FILE'!D373:D5374="INCOME")*('TREASURY FILE'!A373:A5374=A474)*('TREASURY FILE'!F373:F5374))</f>
        <v>0</v>
      </c>
      <c r="H474" s="24" cm="1">
        <f t="array" ref="H474">SUMPRODUCT(('TREASURY FILE'!B373:B5374=$H$4)*('TREASURY FILE'!D373:D5374="INCOME")*('TREASURY FILE'!A373:A5374=A474)*('TREASURY FILE'!F373:F5374))</f>
        <v>0</v>
      </c>
      <c r="I474" s="24" cm="1">
        <f t="array" ref="I474">SUMPRODUCT(('TREASURY FILE'!D382:D5374=$I$4)*('TREASURY FILE'!F382:F5374="INCOME")*('TREASURY FILE'!C382:C5374=C474)*('TREASURY FILE'!H382:H5374))</f>
        <v>0</v>
      </c>
      <c r="J474" s="31">
        <f t="shared" si="24"/>
        <v>0</v>
      </c>
      <c r="K474" s="33" t="e">
        <f t="shared" si="25"/>
        <v>#DIV/0!</v>
      </c>
    </row>
    <row r="475" spans="1:11" x14ac:dyDescent="0.3">
      <c r="A475" s="30">
        <v>46128</v>
      </c>
      <c r="B475" s="24" cm="1">
        <f t="array" ref="B475">SUMPRODUCT(('TREASURY FILE'!B374:B5375=$B$4)*('TREASURY FILE'!D374:D5375="TURNOVER")*('TREASURY FILE'!A374:A5375=A475)*('TREASURY FILE'!F374:F5375))</f>
        <v>0</v>
      </c>
      <c r="C475" s="24" cm="1">
        <f t="array" ref="C475">SUMPRODUCT(('TREASURY FILE'!B374:B5375=$C$4)*('TREASURY FILE'!D374:D5375="TURNOVER")*('TREASURY FILE'!A374:A5375=A475)*('TREASURY FILE'!F374:F5375))</f>
        <v>0</v>
      </c>
      <c r="D475" s="24" cm="1">
        <f t="array" ref="D475">SUMPRODUCT(('TREASURY FILE'!B374:B5375=$D$4)*('TREASURY FILE'!D374:D5375="TURNOVER")*('TREASURY FILE'!A374:A5375=A475)*('TREASURY FILE'!F374:F5375))</f>
        <v>0</v>
      </c>
      <c r="E475" s="31">
        <f t="shared" si="23"/>
        <v>0</v>
      </c>
      <c r="G475" s="24" cm="1">
        <f t="array" ref="G475">SUMPRODUCT(('TREASURY FILE'!B374:B5375=$G$4)*('TREASURY FILE'!D374:D5375="INCOME")*('TREASURY FILE'!A374:A5375=A475)*('TREASURY FILE'!F374:F5375))</f>
        <v>0</v>
      </c>
      <c r="H475" s="24" cm="1">
        <f t="array" ref="H475">SUMPRODUCT(('TREASURY FILE'!B374:B5375=$H$4)*('TREASURY FILE'!D374:D5375="INCOME")*('TREASURY FILE'!A374:A5375=A475)*('TREASURY FILE'!F374:F5375))</f>
        <v>0</v>
      </c>
      <c r="I475" s="24" cm="1">
        <f t="array" ref="I475">SUMPRODUCT(('TREASURY FILE'!D383:D5375=$I$4)*('TREASURY FILE'!F383:F5375="INCOME")*('TREASURY FILE'!C383:C5375=C475)*('TREASURY FILE'!H383:H5375))</f>
        <v>0</v>
      </c>
      <c r="J475" s="31">
        <f t="shared" si="24"/>
        <v>0</v>
      </c>
      <c r="K475" s="33" t="e">
        <f t="shared" si="25"/>
        <v>#DIV/0!</v>
      </c>
    </row>
    <row r="476" spans="1:11" x14ac:dyDescent="0.3">
      <c r="A476" s="30">
        <v>46129</v>
      </c>
      <c r="B476" s="24" cm="1">
        <f t="array" ref="B476">SUMPRODUCT(('TREASURY FILE'!B375:B5376=$B$4)*('TREASURY FILE'!D375:D5376="TURNOVER")*('TREASURY FILE'!A375:A5376=A476)*('TREASURY FILE'!F375:F5376))</f>
        <v>0</v>
      </c>
      <c r="C476" s="24" cm="1">
        <f t="array" ref="C476">SUMPRODUCT(('TREASURY FILE'!B375:B5376=$C$4)*('TREASURY FILE'!D375:D5376="TURNOVER")*('TREASURY FILE'!A375:A5376=A476)*('TREASURY FILE'!F375:F5376))</f>
        <v>0</v>
      </c>
      <c r="D476" s="24" cm="1">
        <f t="array" ref="D476">SUMPRODUCT(('TREASURY FILE'!B375:B5376=$D$4)*('TREASURY FILE'!D375:D5376="TURNOVER")*('TREASURY FILE'!A375:A5376=A476)*('TREASURY FILE'!F375:F5376))</f>
        <v>0</v>
      </c>
      <c r="E476" s="31">
        <f t="shared" si="23"/>
        <v>0</v>
      </c>
      <c r="G476" s="24" cm="1">
        <f t="array" ref="G476">SUMPRODUCT(('TREASURY FILE'!B375:B5376=$G$4)*('TREASURY FILE'!D375:D5376="INCOME")*('TREASURY FILE'!A375:A5376=A476)*('TREASURY FILE'!F375:F5376))</f>
        <v>0</v>
      </c>
      <c r="H476" s="24" cm="1">
        <f t="array" ref="H476">SUMPRODUCT(('TREASURY FILE'!B375:B5376=$H$4)*('TREASURY FILE'!D375:D5376="INCOME")*('TREASURY FILE'!A375:A5376=A476)*('TREASURY FILE'!F375:F5376))</f>
        <v>0</v>
      </c>
      <c r="I476" s="24" cm="1">
        <f t="array" ref="I476">SUMPRODUCT(('TREASURY FILE'!D384:D5376=$I$4)*('TREASURY FILE'!F384:F5376="INCOME")*('TREASURY FILE'!C384:C5376=C476)*('TREASURY FILE'!H384:H5376))</f>
        <v>0</v>
      </c>
      <c r="J476" s="31">
        <f t="shared" si="24"/>
        <v>0</v>
      </c>
      <c r="K476" s="33" t="e">
        <f t="shared" si="25"/>
        <v>#DIV/0!</v>
      </c>
    </row>
    <row r="477" spans="1:11" x14ac:dyDescent="0.3">
      <c r="A477" s="30">
        <v>46130</v>
      </c>
      <c r="B477" s="24" cm="1">
        <f t="array" ref="B477">SUMPRODUCT(('TREASURY FILE'!B376:B5377=$B$4)*('TREASURY FILE'!D376:D5377="TURNOVER")*('TREASURY FILE'!A376:A5377=A477)*('TREASURY FILE'!F376:F5377))</f>
        <v>0</v>
      </c>
      <c r="C477" s="24" cm="1">
        <f t="array" ref="C477">SUMPRODUCT(('TREASURY FILE'!B376:B5377=$C$4)*('TREASURY FILE'!D376:D5377="TURNOVER")*('TREASURY FILE'!A376:A5377=A477)*('TREASURY FILE'!F376:F5377))</f>
        <v>0</v>
      </c>
      <c r="D477" s="24" cm="1">
        <f t="array" ref="D477">SUMPRODUCT(('TREASURY FILE'!B376:B5377=$D$4)*('TREASURY FILE'!D376:D5377="TURNOVER")*('TREASURY FILE'!A376:A5377=A477)*('TREASURY FILE'!F376:F5377))</f>
        <v>0</v>
      </c>
      <c r="E477" s="31">
        <f t="shared" si="23"/>
        <v>0</v>
      </c>
      <c r="G477" s="24" cm="1">
        <f t="array" ref="G477">SUMPRODUCT(('TREASURY FILE'!B376:B5377=$G$4)*('TREASURY FILE'!D376:D5377="INCOME")*('TREASURY FILE'!A376:A5377=A477)*('TREASURY FILE'!F376:F5377))</f>
        <v>0</v>
      </c>
      <c r="H477" s="24" cm="1">
        <f t="array" ref="H477">SUMPRODUCT(('TREASURY FILE'!B376:B5377=$H$4)*('TREASURY FILE'!D376:D5377="INCOME")*('TREASURY FILE'!A376:A5377=A477)*('TREASURY FILE'!F376:F5377))</f>
        <v>0</v>
      </c>
      <c r="I477" s="24" cm="1">
        <f t="array" ref="I477">SUMPRODUCT(('TREASURY FILE'!D385:D5377=$I$4)*('TREASURY FILE'!F385:F5377="INCOME")*('TREASURY FILE'!C385:C5377=C477)*('TREASURY FILE'!H385:H5377))</f>
        <v>0</v>
      </c>
      <c r="J477" s="31">
        <f t="shared" si="24"/>
        <v>0</v>
      </c>
      <c r="K477" s="33" t="e">
        <f t="shared" si="25"/>
        <v>#DIV/0!</v>
      </c>
    </row>
    <row r="478" spans="1:11" x14ac:dyDescent="0.3">
      <c r="A478" s="30">
        <v>46131</v>
      </c>
      <c r="B478" s="24" cm="1">
        <f t="array" ref="B478">SUMPRODUCT(('TREASURY FILE'!B377:B5378=$B$4)*('TREASURY FILE'!D377:D5378="TURNOVER")*('TREASURY FILE'!A377:A5378=A478)*('TREASURY FILE'!F377:F5378))</f>
        <v>0</v>
      </c>
      <c r="C478" s="24" cm="1">
        <f t="array" ref="C478">SUMPRODUCT(('TREASURY FILE'!B377:B5378=$C$4)*('TREASURY FILE'!D377:D5378="TURNOVER")*('TREASURY FILE'!A377:A5378=A478)*('TREASURY FILE'!F377:F5378))</f>
        <v>0</v>
      </c>
      <c r="D478" s="24" cm="1">
        <f t="array" ref="D478">SUMPRODUCT(('TREASURY FILE'!B377:B5378=$D$4)*('TREASURY FILE'!D377:D5378="TURNOVER")*('TREASURY FILE'!A377:A5378=A478)*('TREASURY FILE'!F377:F5378))</f>
        <v>0</v>
      </c>
      <c r="E478" s="31">
        <f t="shared" si="23"/>
        <v>0</v>
      </c>
      <c r="G478" s="24" cm="1">
        <f t="array" ref="G478">SUMPRODUCT(('TREASURY FILE'!B377:B5378=$G$4)*('TREASURY FILE'!D377:D5378="INCOME")*('TREASURY FILE'!A377:A5378=A478)*('TREASURY FILE'!F377:F5378))</f>
        <v>0</v>
      </c>
      <c r="H478" s="24" cm="1">
        <f t="array" ref="H478">SUMPRODUCT(('TREASURY FILE'!B377:B5378=$H$4)*('TREASURY FILE'!D377:D5378="INCOME")*('TREASURY FILE'!A377:A5378=A478)*('TREASURY FILE'!F377:F5378))</f>
        <v>0</v>
      </c>
      <c r="I478" s="24" cm="1">
        <f t="array" ref="I478">SUMPRODUCT(('TREASURY FILE'!D386:D5378=$I$4)*('TREASURY FILE'!F386:F5378="INCOME")*('TREASURY FILE'!C386:C5378=C478)*('TREASURY FILE'!H386:H5378))</f>
        <v>0</v>
      </c>
      <c r="J478" s="31">
        <f t="shared" si="24"/>
        <v>0</v>
      </c>
      <c r="K478" s="33" t="e">
        <f t="shared" si="25"/>
        <v>#DIV/0!</v>
      </c>
    </row>
    <row r="479" spans="1:11" x14ac:dyDescent="0.3">
      <c r="A479" s="30">
        <v>46132</v>
      </c>
      <c r="B479" s="24" cm="1">
        <f t="array" ref="B479">SUMPRODUCT(('TREASURY FILE'!B378:B5379=$B$4)*('TREASURY FILE'!D378:D5379="TURNOVER")*('TREASURY FILE'!A378:A5379=A479)*('TREASURY FILE'!F378:F5379))</f>
        <v>0</v>
      </c>
      <c r="C479" s="24" cm="1">
        <f t="array" ref="C479">SUMPRODUCT(('TREASURY FILE'!B378:B5379=$C$4)*('TREASURY FILE'!D378:D5379="TURNOVER")*('TREASURY FILE'!A378:A5379=A479)*('TREASURY FILE'!F378:F5379))</f>
        <v>0</v>
      </c>
      <c r="D479" s="24" cm="1">
        <f t="array" ref="D479">SUMPRODUCT(('TREASURY FILE'!B378:B5379=$D$4)*('TREASURY FILE'!D378:D5379="TURNOVER")*('TREASURY FILE'!A378:A5379=A479)*('TREASURY FILE'!F378:F5379))</f>
        <v>0</v>
      </c>
      <c r="E479" s="31">
        <f t="shared" si="23"/>
        <v>0</v>
      </c>
      <c r="G479" s="24" cm="1">
        <f t="array" ref="G479">SUMPRODUCT(('TREASURY FILE'!B378:B5379=$G$4)*('TREASURY FILE'!D378:D5379="INCOME")*('TREASURY FILE'!A378:A5379=A479)*('TREASURY FILE'!F378:F5379))</f>
        <v>0</v>
      </c>
      <c r="H479" s="24" cm="1">
        <f t="array" ref="H479">SUMPRODUCT(('TREASURY FILE'!B378:B5379=$H$4)*('TREASURY FILE'!D378:D5379="INCOME")*('TREASURY FILE'!A378:A5379=A479)*('TREASURY FILE'!F378:F5379))</f>
        <v>0</v>
      </c>
      <c r="I479" s="24" cm="1">
        <f t="array" ref="I479">SUMPRODUCT(('TREASURY FILE'!D387:D5379=$I$4)*('TREASURY FILE'!F387:F5379="INCOME")*('TREASURY FILE'!C387:C5379=C479)*('TREASURY FILE'!H387:H5379))</f>
        <v>0</v>
      </c>
      <c r="J479" s="31">
        <f t="shared" si="24"/>
        <v>0</v>
      </c>
      <c r="K479" s="33" t="e">
        <f t="shared" si="25"/>
        <v>#DIV/0!</v>
      </c>
    </row>
    <row r="480" spans="1:11" x14ac:dyDescent="0.3">
      <c r="A480" s="30">
        <v>46133</v>
      </c>
      <c r="B480" s="24" cm="1">
        <f t="array" ref="B480">SUMPRODUCT(('TREASURY FILE'!B379:B5380=$B$4)*('TREASURY FILE'!D379:D5380="TURNOVER")*('TREASURY FILE'!A379:A5380=A480)*('TREASURY FILE'!F379:F5380))</f>
        <v>0</v>
      </c>
      <c r="C480" s="24" cm="1">
        <f t="array" ref="C480">SUMPRODUCT(('TREASURY FILE'!B379:B5380=$C$4)*('TREASURY FILE'!D379:D5380="TURNOVER")*('TREASURY FILE'!A379:A5380=A480)*('TREASURY FILE'!F379:F5380))</f>
        <v>0</v>
      </c>
      <c r="D480" s="24" cm="1">
        <f t="array" ref="D480">SUMPRODUCT(('TREASURY FILE'!B379:B5380=$D$4)*('TREASURY FILE'!D379:D5380="TURNOVER")*('TREASURY FILE'!A379:A5380=A480)*('TREASURY FILE'!F379:F5380))</f>
        <v>0</v>
      </c>
      <c r="E480" s="31">
        <f t="shared" si="23"/>
        <v>0</v>
      </c>
      <c r="G480" s="24" cm="1">
        <f t="array" ref="G480">SUMPRODUCT(('TREASURY FILE'!B379:B5380=$G$4)*('TREASURY FILE'!D379:D5380="INCOME")*('TREASURY FILE'!A379:A5380=A480)*('TREASURY FILE'!F379:F5380))</f>
        <v>0</v>
      </c>
      <c r="H480" s="24" cm="1">
        <f t="array" ref="H480">SUMPRODUCT(('TREASURY FILE'!B379:B5380=$H$4)*('TREASURY FILE'!D379:D5380="INCOME")*('TREASURY FILE'!A379:A5380=A480)*('TREASURY FILE'!F379:F5380))</f>
        <v>0</v>
      </c>
      <c r="I480" s="24" cm="1">
        <f t="array" ref="I480">SUMPRODUCT(('TREASURY FILE'!D388:D5380=$I$4)*('TREASURY FILE'!F388:F5380="INCOME")*('TREASURY FILE'!C388:C5380=C480)*('TREASURY FILE'!H388:H5380))</f>
        <v>0</v>
      </c>
      <c r="J480" s="31">
        <f t="shared" si="24"/>
        <v>0</v>
      </c>
      <c r="K480" s="33" t="e">
        <f t="shared" si="25"/>
        <v>#DIV/0!</v>
      </c>
    </row>
    <row r="481" spans="1:11" x14ac:dyDescent="0.3">
      <c r="A481" s="30">
        <v>46134</v>
      </c>
      <c r="B481" s="24" cm="1">
        <f t="array" ref="B481">SUMPRODUCT(('TREASURY FILE'!B380:B5381=$B$4)*('TREASURY FILE'!D380:D5381="TURNOVER")*('TREASURY FILE'!A380:A5381=A481)*('TREASURY FILE'!F380:F5381))</f>
        <v>0</v>
      </c>
      <c r="C481" s="24" cm="1">
        <f t="array" ref="C481">SUMPRODUCT(('TREASURY FILE'!B380:B5381=$C$4)*('TREASURY FILE'!D380:D5381="TURNOVER")*('TREASURY FILE'!A380:A5381=A481)*('TREASURY FILE'!F380:F5381))</f>
        <v>0</v>
      </c>
      <c r="D481" s="24" cm="1">
        <f t="array" ref="D481">SUMPRODUCT(('TREASURY FILE'!B380:B5381=$D$4)*('TREASURY FILE'!D380:D5381="TURNOVER")*('TREASURY FILE'!A380:A5381=A481)*('TREASURY FILE'!F380:F5381))</f>
        <v>0</v>
      </c>
      <c r="E481" s="31">
        <f t="shared" si="23"/>
        <v>0</v>
      </c>
      <c r="G481" s="24" cm="1">
        <f t="array" ref="G481">SUMPRODUCT(('TREASURY FILE'!B380:B5381=$G$4)*('TREASURY FILE'!D380:D5381="INCOME")*('TREASURY FILE'!A380:A5381=A481)*('TREASURY FILE'!F380:F5381))</f>
        <v>0</v>
      </c>
      <c r="H481" s="24" cm="1">
        <f t="array" ref="H481">SUMPRODUCT(('TREASURY FILE'!B380:B5381=$H$4)*('TREASURY FILE'!D380:D5381="INCOME")*('TREASURY FILE'!A380:A5381=A481)*('TREASURY FILE'!F380:F5381))</f>
        <v>0</v>
      </c>
      <c r="I481" s="24" cm="1">
        <f t="array" ref="I481">SUMPRODUCT(('TREASURY FILE'!D389:D5381=$I$4)*('TREASURY FILE'!F389:F5381="INCOME")*('TREASURY FILE'!C389:C5381=C481)*('TREASURY FILE'!H389:H5381))</f>
        <v>0</v>
      </c>
      <c r="J481" s="31">
        <f t="shared" si="24"/>
        <v>0</v>
      </c>
      <c r="K481" s="33" t="e">
        <f t="shared" si="25"/>
        <v>#DIV/0!</v>
      </c>
    </row>
    <row r="482" spans="1:11" x14ac:dyDescent="0.3">
      <c r="A482" s="30">
        <v>46135</v>
      </c>
      <c r="B482" s="24" cm="1">
        <f t="array" ref="B482">SUMPRODUCT(('TREASURY FILE'!B381:B5382=$B$4)*('TREASURY FILE'!D381:D5382="TURNOVER")*('TREASURY FILE'!A381:A5382=A482)*('TREASURY FILE'!F381:F5382))</f>
        <v>0</v>
      </c>
      <c r="C482" s="24" cm="1">
        <f t="array" ref="C482">SUMPRODUCT(('TREASURY FILE'!B381:B5382=$C$4)*('TREASURY FILE'!D381:D5382="TURNOVER")*('TREASURY FILE'!A381:A5382=A482)*('TREASURY FILE'!F381:F5382))</f>
        <v>0</v>
      </c>
      <c r="D482" s="24" cm="1">
        <f t="array" ref="D482">SUMPRODUCT(('TREASURY FILE'!B381:B5382=$D$4)*('TREASURY FILE'!D381:D5382="TURNOVER")*('TREASURY FILE'!A381:A5382=A482)*('TREASURY FILE'!F381:F5382))</f>
        <v>0</v>
      </c>
      <c r="E482" s="31">
        <f t="shared" si="23"/>
        <v>0</v>
      </c>
      <c r="G482" s="24" cm="1">
        <f t="array" ref="G482">SUMPRODUCT(('TREASURY FILE'!B381:B5382=$G$4)*('TREASURY FILE'!D381:D5382="INCOME")*('TREASURY FILE'!A381:A5382=A482)*('TREASURY FILE'!F381:F5382))</f>
        <v>0</v>
      </c>
      <c r="H482" s="24" cm="1">
        <f t="array" ref="H482">SUMPRODUCT(('TREASURY FILE'!B381:B5382=$H$4)*('TREASURY FILE'!D381:D5382="INCOME")*('TREASURY FILE'!A381:A5382=A482)*('TREASURY FILE'!F381:F5382))</f>
        <v>0</v>
      </c>
      <c r="I482" s="24" cm="1">
        <f t="array" ref="I482">SUMPRODUCT(('TREASURY FILE'!D390:D5382=$I$4)*('TREASURY FILE'!F390:F5382="INCOME")*('TREASURY FILE'!C390:C5382=C482)*('TREASURY FILE'!H390:H5382))</f>
        <v>0</v>
      </c>
      <c r="J482" s="31">
        <f t="shared" si="24"/>
        <v>0</v>
      </c>
      <c r="K482" s="33" t="e">
        <f t="shared" si="25"/>
        <v>#DIV/0!</v>
      </c>
    </row>
    <row r="483" spans="1:11" x14ac:dyDescent="0.3">
      <c r="A483" s="30">
        <v>46136</v>
      </c>
      <c r="B483" s="24" cm="1">
        <f t="array" ref="B483">SUMPRODUCT(('TREASURY FILE'!B382:B5383=$B$4)*('TREASURY FILE'!D382:D5383="TURNOVER")*('TREASURY FILE'!A382:A5383=A483)*('TREASURY FILE'!F382:F5383))</f>
        <v>0</v>
      </c>
      <c r="C483" s="24" cm="1">
        <f t="array" ref="C483">SUMPRODUCT(('TREASURY FILE'!B382:B5383=$C$4)*('TREASURY FILE'!D382:D5383="TURNOVER")*('TREASURY FILE'!A382:A5383=A483)*('TREASURY FILE'!F382:F5383))</f>
        <v>0</v>
      </c>
      <c r="D483" s="24" cm="1">
        <f t="array" ref="D483">SUMPRODUCT(('TREASURY FILE'!B382:B5383=$D$4)*('TREASURY FILE'!D382:D5383="TURNOVER")*('TREASURY FILE'!A382:A5383=A483)*('TREASURY FILE'!F382:F5383))</f>
        <v>0</v>
      </c>
      <c r="E483" s="31">
        <f t="shared" si="23"/>
        <v>0</v>
      </c>
      <c r="G483" s="24" cm="1">
        <f t="array" ref="G483">SUMPRODUCT(('TREASURY FILE'!B382:B5383=$G$4)*('TREASURY FILE'!D382:D5383="INCOME")*('TREASURY FILE'!A382:A5383=A483)*('TREASURY FILE'!F382:F5383))</f>
        <v>0</v>
      </c>
      <c r="H483" s="24" cm="1">
        <f t="array" ref="H483">SUMPRODUCT(('TREASURY FILE'!B382:B5383=$H$4)*('TREASURY FILE'!D382:D5383="INCOME")*('TREASURY FILE'!A382:A5383=A483)*('TREASURY FILE'!F382:F5383))</f>
        <v>0</v>
      </c>
      <c r="I483" s="24" cm="1">
        <f t="array" ref="I483">SUMPRODUCT(('TREASURY FILE'!D391:D5383=$I$4)*('TREASURY FILE'!F391:F5383="INCOME")*('TREASURY FILE'!C391:C5383=C483)*('TREASURY FILE'!H391:H5383))</f>
        <v>0</v>
      </c>
      <c r="J483" s="31">
        <f t="shared" si="24"/>
        <v>0</v>
      </c>
      <c r="K483" s="33" t="e">
        <f t="shared" si="25"/>
        <v>#DIV/0!</v>
      </c>
    </row>
    <row r="484" spans="1:11" x14ac:dyDescent="0.3">
      <c r="A484" s="30">
        <v>46137</v>
      </c>
      <c r="B484" s="24" cm="1">
        <f t="array" ref="B484">SUMPRODUCT(('TREASURY FILE'!B383:B5384=$B$4)*('TREASURY FILE'!D383:D5384="TURNOVER")*('TREASURY FILE'!A383:A5384=A484)*('TREASURY FILE'!F383:F5384))</f>
        <v>0</v>
      </c>
      <c r="C484" s="24" cm="1">
        <f t="array" ref="C484">SUMPRODUCT(('TREASURY FILE'!B383:B5384=$C$4)*('TREASURY FILE'!D383:D5384="TURNOVER")*('TREASURY FILE'!A383:A5384=A484)*('TREASURY FILE'!F383:F5384))</f>
        <v>0</v>
      </c>
      <c r="D484" s="24" cm="1">
        <f t="array" ref="D484">SUMPRODUCT(('TREASURY FILE'!B383:B5384=$D$4)*('TREASURY FILE'!D383:D5384="TURNOVER")*('TREASURY FILE'!A383:A5384=A484)*('TREASURY FILE'!F383:F5384))</f>
        <v>0</v>
      </c>
      <c r="E484" s="31">
        <f t="shared" si="23"/>
        <v>0</v>
      </c>
      <c r="G484" s="24" cm="1">
        <f t="array" ref="G484">SUMPRODUCT(('TREASURY FILE'!B383:B5384=$G$4)*('TREASURY FILE'!D383:D5384="INCOME")*('TREASURY FILE'!A383:A5384=A484)*('TREASURY FILE'!F383:F5384))</f>
        <v>0</v>
      </c>
      <c r="H484" s="24" cm="1">
        <f t="array" ref="H484">SUMPRODUCT(('TREASURY FILE'!B383:B5384=$H$4)*('TREASURY FILE'!D383:D5384="INCOME")*('TREASURY FILE'!A383:A5384=A484)*('TREASURY FILE'!F383:F5384))</f>
        <v>0</v>
      </c>
      <c r="I484" s="24" cm="1">
        <f t="array" ref="I484">SUMPRODUCT(('TREASURY FILE'!D392:D5384=$I$4)*('TREASURY FILE'!F392:F5384="INCOME")*('TREASURY FILE'!C392:C5384=C484)*('TREASURY FILE'!H392:H5384))</f>
        <v>0</v>
      </c>
      <c r="J484" s="31">
        <f t="shared" si="24"/>
        <v>0</v>
      </c>
      <c r="K484" s="33" t="e">
        <f t="shared" si="25"/>
        <v>#DIV/0!</v>
      </c>
    </row>
    <row r="485" spans="1:11" x14ac:dyDescent="0.3">
      <c r="A485" s="30">
        <v>46138</v>
      </c>
      <c r="B485" s="24" cm="1">
        <f t="array" ref="B485">SUMPRODUCT(('TREASURY FILE'!B384:B5385=$B$4)*('TREASURY FILE'!D384:D5385="TURNOVER")*('TREASURY FILE'!A384:A5385=A485)*('TREASURY FILE'!F384:F5385))</f>
        <v>0</v>
      </c>
      <c r="C485" s="24" cm="1">
        <f t="array" ref="C485">SUMPRODUCT(('TREASURY FILE'!B384:B5385=$C$4)*('TREASURY FILE'!D384:D5385="TURNOVER")*('TREASURY FILE'!A384:A5385=A485)*('TREASURY FILE'!F384:F5385))</f>
        <v>0</v>
      </c>
      <c r="D485" s="24" cm="1">
        <f t="array" ref="D485">SUMPRODUCT(('TREASURY FILE'!B384:B5385=$D$4)*('TREASURY FILE'!D384:D5385="TURNOVER")*('TREASURY FILE'!A384:A5385=A485)*('TREASURY FILE'!F384:F5385))</f>
        <v>0</v>
      </c>
      <c r="E485" s="31">
        <f t="shared" si="23"/>
        <v>0</v>
      </c>
      <c r="G485" s="24" cm="1">
        <f t="array" ref="G485">SUMPRODUCT(('TREASURY FILE'!B384:B5385=$G$4)*('TREASURY FILE'!D384:D5385="INCOME")*('TREASURY FILE'!A384:A5385=A485)*('TREASURY FILE'!F384:F5385))</f>
        <v>0</v>
      </c>
      <c r="H485" s="24" cm="1">
        <f t="array" ref="H485">SUMPRODUCT(('TREASURY FILE'!B384:B5385=$H$4)*('TREASURY FILE'!D384:D5385="INCOME")*('TREASURY FILE'!A384:A5385=A485)*('TREASURY FILE'!F384:F5385))</f>
        <v>0</v>
      </c>
      <c r="I485" s="24" cm="1">
        <f t="array" ref="I485">SUMPRODUCT(('TREASURY FILE'!D393:D5385=$I$4)*('TREASURY FILE'!F393:F5385="INCOME")*('TREASURY FILE'!C393:C5385=C485)*('TREASURY FILE'!H393:H5385))</f>
        <v>0</v>
      </c>
      <c r="J485" s="31">
        <f t="shared" si="24"/>
        <v>0</v>
      </c>
      <c r="K485" s="33" t="e">
        <f t="shared" si="25"/>
        <v>#DIV/0!</v>
      </c>
    </row>
    <row r="486" spans="1:11" x14ac:dyDescent="0.3">
      <c r="A486" s="30">
        <v>46139</v>
      </c>
      <c r="B486" s="24" cm="1">
        <f t="array" ref="B486">SUMPRODUCT(('TREASURY FILE'!B385:B5386=$B$4)*('TREASURY FILE'!D385:D5386="TURNOVER")*('TREASURY FILE'!A385:A5386=A486)*('TREASURY FILE'!F385:F5386))</f>
        <v>0</v>
      </c>
      <c r="C486" s="24" cm="1">
        <f t="array" ref="C486">SUMPRODUCT(('TREASURY FILE'!B385:B5386=$C$4)*('TREASURY FILE'!D385:D5386="TURNOVER")*('TREASURY FILE'!A385:A5386=A486)*('TREASURY FILE'!F385:F5386))</f>
        <v>0</v>
      </c>
      <c r="D486" s="24" cm="1">
        <f t="array" ref="D486">SUMPRODUCT(('TREASURY FILE'!B385:B5386=$D$4)*('TREASURY FILE'!D385:D5386="TURNOVER")*('TREASURY FILE'!A385:A5386=A486)*('TREASURY FILE'!F385:F5386))</f>
        <v>0</v>
      </c>
      <c r="E486" s="31">
        <f t="shared" si="23"/>
        <v>0</v>
      </c>
      <c r="G486" s="24" cm="1">
        <f t="array" ref="G486">SUMPRODUCT(('TREASURY FILE'!B385:B5386=$G$4)*('TREASURY FILE'!D385:D5386="INCOME")*('TREASURY FILE'!A385:A5386=A486)*('TREASURY FILE'!F385:F5386))</f>
        <v>0</v>
      </c>
      <c r="H486" s="24" cm="1">
        <f t="array" ref="H486">SUMPRODUCT(('TREASURY FILE'!B385:B5386=$H$4)*('TREASURY FILE'!D385:D5386="INCOME")*('TREASURY FILE'!A385:A5386=A486)*('TREASURY FILE'!F385:F5386))</f>
        <v>0</v>
      </c>
      <c r="I486" s="24" cm="1">
        <f t="array" ref="I486">SUMPRODUCT(('TREASURY FILE'!D394:D5386=$I$4)*('TREASURY FILE'!F394:F5386="INCOME")*('TREASURY FILE'!C394:C5386=C486)*('TREASURY FILE'!H394:H5386))</f>
        <v>0</v>
      </c>
      <c r="J486" s="31">
        <f t="shared" si="24"/>
        <v>0</v>
      </c>
      <c r="K486" s="33" t="e">
        <f t="shared" si="25"/>
        <v>#DIV/0!</v>
      </c>
    </row>
    <row r="487" spans="1:11" x14ac:dyDescent="0.3">
      <c r="A487" s="30">
        <v>46140</v>
      </c>
      <c r="B487" s="24" cm="1">
        <f t="array" ref="B487">SUMPRODUCT(('TREASURY FILE'!B386:B5387=$B$4)*('TREASURY FILE'!D386:D5387="TURNOVER")*('TREASURY FILE'!A386:A5387=A487)*('TREASURY FILE'!F386:F5387))</f>
        <v>0</v>
      </c>
      <c r="C487" s="24" cm="1">
        <f t="array" ref="C487">SUMPRODUCT(('TREASURY FILE'!B386:B5387=$C$4)*('TREASURY FILE'!D386:D5387="TURNOVER")*('TREASURY FILE'!A386:A5387=A487)*('TREASURY FILE'!F386:F5387))</f>
        <v>0</v>
      </c>
      <c r="D487" s="24" cm="1">
        <f t="array" ref="D487">SUMPRODUCT(('TREASURY FILE'!B386:B5387=$D$4)*('TREASURY FILE'!D386:D5387="TURNOVER")*('TREASURY FILE'!A386:A5387=A487)*('TREASURY FILE'!F386:F5387))</f>
        <v>0</v>
      </c>
      <c r="E487" s="31">
        <f t="shared" si="23"/>
        <v>0</v>
      </c>
      <c r="G487" s="24" cm="1">
        <f t="array" ref="G487">SUMPRODUCT(('TREASURY FILE'!B386:B5387=$G$4)*('TREASURY FILE'!D386:D5387="INCOME")*('TREASURY FILE'!A386:A5387=A487)*('TREASURY FILE'!F386:F5387))</f>
        <v>0</v>
      </c>
      <c r="H487" s="24" cm="1">
        <f t="array" ref="H487">SUMPRODUCT(('TREASURY FILE'!B386:B5387=$H$4)*('TREASURY FILE'!D386:D5387="INCOME")*('TREASURY FILE'!A386:A5387=A487)*('TREASURY FILE'!F386:F5387))</f>
        <v>0</v>
      </c>
      <c r="I487" s="24" cm="1">
        <f t="array" ref="I487">SUMPRODUCT(('TREASURY FILE'!D395:D5387=$I$4)*('TREASURY FILE'!F395:F5387="INCOME")*('TREASURY FILE'!C395:C5387=C487)*('TREASURY FILE'!H395:H5387))</f>
        <v>0</v>
      </c>
      <c r="J487" s="31">
        <f t="shared" si="24"/>
        <v>0</v>
      </c>
      <c r="K487" s="33" t="e">
        <f t="shared" si="25"/>
        <v>#DIV/0!</v>
      </c>
    </row>
    <row r="488" spans="1:11" x14ac:dyDescent="0.3">
      <c r="A488" s="30">
        <v>46141</v>
      </c>
      <c r="B488" s="24" cm="1">
        <f t="array" ref="B488">SUMPRODUCT(('TREASURY FILE'!B387:B5388=$B$4)*('TREASURY FILE'!D387:D5388="TURNOVER")*('TREASURY FILE'!A387:A5388=A488)*('TREASURY FILE'!F387:F5388))</f>
        <v>0</v>
      </c>
      <c r="C488" s="24" cm="1">
        <f t="array" ref="C488">SUMPRODUCT(('TREASURY FILE'!B387:B5388=$C$4)*('TREASURY FILE'!D387:D5388="TURNOVER")*('TREASURY FILE'!A387:A5388=A488)*('TREASURY FILE'!F387:F5388))</f>
        <v>0</v>
      </c>
      <c r="D488" s="24" cm="1">
        <f t="array" ref="D488">SUMPRODUCT(('TREASURY FILE'!B387:B5388=$D$4)*('TREASURY FILE'!D387:D5388="TURNOVER")*('TREASURY FILE'!A387:A5388=A488)*('TREASURY FILE'!F387:F5388))</f>
        <v>0</v>
      </c>
      <c r="E488" s="31">
        <f t="shared" si="23"/>
        <v>0</v>
      </c>
      <c r="G488" s="24" cm="1">
        <f t="array" ref="G488">SUMPRODUCT(('TREASURY FILE'!B387:B5388=$G$4)*('TREASURY FILE'!D387:D5388="INCOME")*('TREASURY FILE'!A387:A5388=A488)*('TREASURY FILE'!F387:F5388))</f>
        <v>0</v>
      </c>
      <c r="H488" s="24" cm="1">
        <f t="array" ref="H488">SUMPRODUCT(('TREASURY FILE'!B387:B5388=$H$4)*('TREASURY FILE'!D387:D5388="INCOME")*('TREASURY FILE'!A387:A5388=A488)*('TREASURY FILE'!F387:F5388))</f>
        <v>0</v>
      </c>
      <c r="I488" s="24" cm="1">
        <f t="array" ref="I488">SUMPRODUCT(('TREASURY FILE'!D396:D5388=$I$4)*('TREASURY FILE'!F396:F5388="INCOME")*('TREASURY FILE'!C396:C5388=C488)*('TREASURY FILE'!H396:H5388))</f>
        <v>0</v>
      </c>
      <c r="J488" s="31">
        <f t="shared" si="24"/>
        <v>0</v>
      </c>
      <c r="K488" s="33" t="e">
        <f t="shared" si="25"/>
        <v>#DIV/0!</v>
      </c>
    </row>
    <row r="489" spans="1:11" x14ac:dyDescent="0.3">
      <c r="A489" s="30">
        <v>46142</v>
      </c>
      <c r="B489" s="24" cm="1">
        <f t="array" ref="B489">SUMPRODUCT(('TREASURY FILE'!B388:B5389=$B$4)*('TREASURY FILE'!D388:D5389="TURNOVER")*('TREASURY FILE'!A388:A5389=A489)*('TREASURY FILE'!F388:F5389))</f>
        <v>0</v>
      </c>
      <c r="C489" s="24" cm="1">
        <f t="array" ref="C489">SUMPRODUCT(('TREASURY FILE'!B388:B5389=$C$4)*('TREASURY FILE'!D388:D5389="TURNOVER")*('TREASURY FILE'!A388:A5389=A489)*('TREASURY FILE'!F388:F5389))</f>
        <v>0</v>
      </c>
      <c r="D489" s="24" cm="1">
        <f t="array" ref="D489">SUMPRODUCT(('TREASURY FILE'!B388:B5389=$D$4)*('TREASURY FILE'!D388:D5389="TURNOVER")*('TREASURY FILE'!A388:A5389=A489)*('TREASURY FILE'!F388:F5389))</f>
        <v>0</v>
      </c>
      <c r="E489" s="31">
        <f t="shared" si="23"/>
        <v>0</v>
      </c>
      <c r="G489" s="24" cm="1">
        <f t="array" ref="G489">SUMPRODUCT(('TREASURY FILE'!B388:B5389=$G$4)*('TREASURY FILE'!D388:D5389="INCOME")*('TREASURY FILE'!A388:A5389=A489)*('TREASURY FILE'!F388:F5389))</f>
        <v>0</v>
      </c>
      <c r="H489" s="24" cm="1">
        <f t="array" ref="H489">SUMPRODUCT(('TREASURY FILE'!B388:B5389=$H$4)*('TREASURY FILE'!D388:D5389="INCOME")*('TREASURY FILE'!A388:A5389=A489)*('TREASURY FILE'!F388:F5389))</f>
        <v>0</v>
      </c>
      <c r="I489" s="24" cm="1">
        <f t="array" ref="I489">SUMPRODUCT(('TREASURY FILE'!D397:D5389=$I$4)*('TREASURY FILE'!F397:F5389="INCOME")*('TREASURY FILE'!C397:C5389=C489)*('TREASURY FILE'!H397:H5389))</f>
        <v>0</v>
      </c>
      <c r="J489" s="31">
        <f t="shared" si="24"/>
        <v>0</v>
      </c>
      <c r="K489" s="33" t="e">
        <f t="shared" si="25"/>
        <v>#DIV/0!</v>
      </c>
    </row>
    <row r="490" spans="1:11" x14ac:dyDescent="0.3">
      <c r="A490" s="30">
        <v>46143</v>
      </c>
      <c r="B490" s="24" cm="1">
        <f t="array" ref="B490">SUMPRODUCT(('TREASURY FILE'!B389:B5390=$B$4)*('TREASURY FILE'!D389:D5390="TURNOVER")*('TREASURY FILE'!A389:A5390=A490)*('TREASURY FILE'!F389:F5390))</f>
        <v>0</v>
      </c>
      <c r="C490" s="24" cm="1">
        <f t="array" ref="C490">SUMPRODUCT(('TREASURY FILE'!B389:B5390=$C$4)*('TREASURY FILE'!D389:D5390="TURNOVER")*('TREASURY FILE'!A389:A5390=A490)*('TREASURY FILE'!F389:F5390))</f>
        <v>0</v>
      </c>
      <c r="D490" s="24" cm="1">
        <f t="array" ref="D490">SUMPRODUCT(('TREASURY FILE'!B389:B5390=$D$4)*('TREASURY FILE'!D389:D5390="TURNOVER")*('TREASURY FILE'!A389:A5390=A490)*('TREASURY FILE'!F389:F5390))</f>
        <v>0</v>
      </c>
      <c r="E490" s="31">
        <f t="shared" si="23"/>
        <v>0</v>
      </c>
      <c r="G490" s="24" cm="1">
        <f t="array" ref="G490">SUMPRODUCT(('TREASURY FILE'!B389:B5390=$G$4)*('TREASURY FILE'!D389:D5390="INCOME")*('TREASURY FILE'!A389:A5390=A490)*('TREASURY FILE'!F389:F5390))</f>
        <v>0</v>
      </c>
      <c r="H490" s="24" cm="1">
        <f t="array" ref="H490">SUMPRODUCT(('TREASURY FILE'!B389:B5390=$H$4)*('TREASURY FILE'!D389:D5390="INCOME")*('TREASURY FILE'!A389:A5390=A490)*('TREASURY FILE'!F389:F5390))</f>
        <v>0</v>
      </c>
      <c r="I490" s="24" cm="1">
        <f t="array" ref="I490">SUMPRODUCT(('TREASURY FILE'!D398:D5390=$I$4)*('TREASURY FILE'!F398:F5390="INCOME")*('TREASURY FILE'!C398:C5390=C490)*('TREASURY FILE'!H398:H5390))</f>
        <v>0</v>
      </c>
      <c r="J490" s="31">
        <f t="shared" si="24"/>
        <v>0</v>
      </c>
      <c r="K490" s="33" t="e">
        <f t="shared" si="25"/>
        <v>#DIV/0!</v>
      </c>
    </row>
    <row r="491" spans="1:11" x14ac:dyDescent="0.3">
      <c r="A491" s="30">
        <v>46144</v>
      </c>
      <c r="B491" s="24" cm="1">
        <f t="array" ref="B491">SUMPRODUCT(('TREASURY FILE'!B390:B5391=$B$4)*('TREASURY FILE'!D390:D5391="TURNOVER")*('TREASURY FILE'!A390:A5391=A491)*('TREASURY FILE'!F390:F5391))</f>
        <v>0</v>
      </c>
      <c r="C491" s="24" cm="1">
        <f t="array" ref="C491">SUMPRODUCT(('TREASURY FILE'!B390:B5391=$C$4)*('TREASURY FILE'!D390:D5391="TURNOVER")*('TREASURY FILE'!A390:A5391=A491)*('TREASURY FILE'!F390:F5391))</f>
        <v>0</v>
      </c>
      <c r="D491" s="24" cm="1">
        <f t="array" ref="D491">SUMPRODUCT(('TREASURY FILE'!B390:B5391=$D$4)*('TREASURY FILE'!D390:D5391="TURNOVER")*('TREASURY FILE'!A390:A5391=A491)*('TREASURY FILE'!F390:F5391))</f>
        <v>0</v>
      </c>
      <c r="E491" s="31">
        <f t="shared" si="23"/>
        <v>0</v>
      </c>
      <c r="G491" s="24" cm="1">
        <f t="array" ref="G491">SUMPRODUCT(('TREASURY FILE'!B390:B5391=$G$4)*('TREASURY FILE'!D390:D5391="INCOME")*('TREASURY FILE'!A390:A5391=A491)*('TREASURY FILE'!F390:F5391))</f>
        <v>0</v>
      </c>
      <c r="H491" s="24" cm="1">
        <f t="array" ref="H491">SUMPRODUCT(('TREASURY FILE'!B390:B5391=$H$4)*('TREASURY FILE'!D390:D5391="INCOME")*('TREASURY FILE'!A390:A5391=A491)*('TREASURY FILE'!F390:F5391))</f>
        <v>0</v>
      </c>
      <c r="I491" s="24" cm="1">
        <f t="array" ref="I491">SUMPRODUCT(('TREASURY FILE'!D399:D5391=$I$4)*('TREASURY FILE'!F399:F5391="INCOME")*('TREASURY FILE'!C399:C5391=C491)*('TREASURY FILE'!H399:H5391))</f>
        <v>0</v>
      </c>
      <c r="J491" s="31">
        <f t="shared" si="24"/>
        <v>0</v>
      </c>
      <c r="K491" s="33" t="e">
        <f t="shared" si="25"/>
        <v>#DIV/0!</v>
      </c>
    </row>
    <row r="492" spans="1:11" x14ac:dyDescent="0.3">
      <c r="A492" s="30">
        <v>46145</v>
      </c>
      <c r="B492" s="24" cm="1">
        <f t="array" ref="B492">SUMPRODUCT(('TREASURY FILE'!B391:B5392=$B$4)*('TREASURY FILE'!D391:D5392="TURNOVER")*('TREASURY FILE'!A391:A5392=A492)*('TREASURY FILE'!F391:F5392))</f>
        <v>0</v>
      </c>
      <c r="C492" s="24" cm="1">
        <f t="array" ref="C492">SUMPRODUCT(('TREASURY FILE'!B391:B5392=$C$4)*('TREASURY FILE'!D391:D5392="TURNOVER")*('TREASURY FILE'!A391:A5392=A492)*('TREASURY FILE'!F391:F5392))</f>
        <v>0</v>
      </c>
      <c r="D492" s="24" cm="1">
        <f t="array" ref="D492">SUMPRODUCT(('TREASURY FILE'!B391:B5392=$D$4)*('TREASURY FILE'!D391:D5392="TURNOVER")*('TREASURY FILE'!A391:A5392=A492)*('TREASURY FILE'!F391:F5392))</f>
        <v>0</v>
      </c>
      <c r="E492" s="31">
        <f t="shared" si="23"/>
        <v>0</v>
      </c>
      <c r="G492" s="24" cm="1">
        <f t="array" ref="G492">SUMPRODUCT(('TREASURY FILE'!B391:B5392=$G$4)*('TREASURY FILE'!D391:D5392="INCOME")*('TREASURY FILE'!A391:A5392=A492)*('TREASURY FILE'!F391:F5392))</f>
        <v>0</v>
      </c>
      <c r="H492" s="24" cm="1">
        <f t="array" ref="H492">SUMPRODUCT(('TREASURY FILE'!B391:B5392=$H$4)*('TREASURY FILE'!D391:D5392="INCOME")*('TREASURY FILE'!A391:A5392=A492)*('TREASURY FILE'!F391:F5392))</f>
        <v>0</v>
      </c>
      <c r="I492" s="24" cm="1">
        <f t="array" ref="I492">SUMPRODUCT(('TREASURY FILE'!D400:D5392=$I$4)*('TREASURY FILE'!F400:F5392="INCOME")*('TREASURY FILE'!C400:C5392=C492)*('TREASURY FILE'!H400:H5392))</f>
        <v>0</v>
      </c>
      <c r="J492" s="31">
        <f t="shared" si="24"/>
        <v>0</v>
      </c>
      <c r="K492" s="33" t="e">
        <f t="shared" si="25"/>
        <v>#DIV/0!</v>
      </c>
    </row>
    <row r="493" spans="1:11" x14ac:dyDescent="0.3">
      <c r="A493" s="30">
        <v>46146</v>
      </c>
      <c r="B493" s="24" cm="1">
        <f t="array" ref="B493">SUMPRODUCT(('TREASURY FILE'!B392:B5393=$B$4)*('TREASURY FILE'!D392:D5393="TURNOVER")*('TREASURY FILE'!A392:A5393=A493)*('TREASURY FILE'!F392:F5393))</f>
        <v>0</v>
      </c>
      <c r="C493" s="24" cm="1">
        <f t="array" ref="C493">SUMPRODUCT(('TREASURY FILE'!B392:B5393=$C$4)*('TREASURY FILE'!D392:D5393="TURNOVER")*('TREASURY FILE'!A392:A5393=A493)*('TREASURY FILE'!F392:F5393))</f>
        <v>0</v>
      </c>
      <c r="D493" s="24" cm="1">
        <f t="array" ref="D493">SUMPRODUCT(('TREASURY FILE'!B392:B5393=$D$4)*('TREASURY FILE'!D392:D5393="TURNOVER")*('TREASURY FILE'!A392:A5393=A493)*('TREASURY FILE'!F392:F5393))</f>
        <v>0</v>
      </c>
      <c r="E493" s="31">
        <f t="shared" si="23"/>
        <v>0</v>
      </c>
      <c r="G493" s="24" cm="1">
        <f t="array" ref="G493">SUMPRODUCT(('TREASURY FILE'!B392:B5393=$G$4)*('TREASURY FILE'!D392:D5393="INCOME")*('TREASURY FILE'!A392:A5393=A493)*('TREASURY FILE'!F392:F5393))</f>
        <v>0</v>
      </c>
      <c r="H493" s="24" cm="1">
        <f t="array" ref="H493">SUMPRODUCT(('TREASURY FILE'!B392:B5393=$H$4)*('TREASURY FILE'!D392:D5393="INCOME")*('TREASURY FILE'!A392:A5393=A493)*('TREASURY FILE'!F392:F5393))</f>
        <v>0</v>
      </c>
      <c r="I493" s="24" cm="1">
        <f t="array" ref="I493">SUMPRODUCT(('TREASURY FILE'!D401:D5393=$I$4)*('TREASURY FILE'!F401:F5393="INCOME")*('TREASURY FILE'!C401:C5393=C493)*('TREASURY FILE'!H401:H5393))</f>
        <v>0</v>
      </c>
      <c r="J493" s="31">
        <f t="shared" si="24"/>
        <v>0</v>
      </c>
      <c r="K493" s="33" t="e">
        <f t="shared" si="25"/>
        <v>#DIV/0!</v>
      </c>
    </row>
    <row r="494" spans="1:11" x14ac:dyDescent="0.3">
      <c r="A494" s="30">
        <v>46147</v>
      </c>
      <c r="B494" s="24" cm="1">
        <f t="array" ref="B494">SUMPRODUCT(('TREASURY FILE'!B393:B5394=$B$4)*('TREASURY FILE'!D393:D5394="TURNOVER")*('TREASURY FILE'!A393:A5394=A494)*('TREASURY FILE'!F393:F5394))</f>
        <v>0</v>
      </c>
      <c r="C494" s="24" cm="1">
        <f t="array" ref="C494">SUMPRODUCT(('TREASURY FILE'!B393:B5394=$C$4)*('TREASURY FILE'!D393:D5394="TURNOVER")*('TREASURY FILE'!A393:A5394=A494)*('TREASURY FILE'!F393:F5394))</f>
        <v>0</v>
      </c>
      <c r="D494" s="24" cm="1">
        <f t="array" ref="D494">SUMPRODUCT(('TREASURY FILE'!B393:B5394=$D$4)*('TREASURY FILE'!D393:D5394="TURNOVER")*('TREASURY FILE'!A393:A5394=A494)*('TREASURY FILE'!F393:F5394))</f>
        <v>0</v>
      </c>
      <c r="E494" s="31">
        <f t="shared" si="23"/>
        <v>0</v>
      </c>
      <c r="G494" s="24" cm="1">
        <f t="array" ref="G494">SUMPRODUCT(('TREASURY FILE'!B393:B5394=$G$4)*('TREASURY FILE'!D393:D5394="INCOME")*('TREASURY FILE'!A393:A5394=A494)*('TREASURY FILE'!F393:F5394))</f>
        <v>0</v>
      </c>
      <c r="H494" s="24" cm="1">
        <f t="array" ref="H494">SUMPRODUCT(('TREASURY FILE'!B393:B5394=$H$4)*('TREASURY FILE'!D393:D5394="INCOME")*('TREASURY FILE'!A393:A5394=A494)*('TREASURY FILE'!F393:F5394))</f>
        <v>0</v>
      </c>
      <c r="I494" s="24" cm="1">
        <f t="array" ref="I494">SUMPRODUCT(('TREASURY FILE'!D402:D5394=$I$4)*('TREASURY FILE'!F402:F5394="INCOME")*('TREASURY FILE'!C402:C5394=C494)*('TREASURY FILE'!H402:H5394))</f>
        <v>0</v>
      </c>
      <c r="J494" s="31">
        <f t="shared" si="24"/>
        <v>0</v>
      </c>
      <c r="K494" s="33" t="e">
        <f t="shared" si="25"/>
        <v>#DIV/0!</v>
      </c>
    </row>
    <row r="495" spans="1:11" x14ac:dyDescent="0.3">
      <c r="A495" s="30">
        <v>46148</v>
      </c>
      <c r="B495" s="24" cm="1">
        <f t="array" ref="B495">SUMPRODUCT(('TREASURY FILE'!B394:B5395=$B$4)*('TREASURY FILE'!D394:D5395="TURNOVER")*('TREASURY FILE'!A394:A5395=A495)*('TREASURY FILE'!F394:F5395))</f>
        <v>0</v>
      </c>
      <c r="C495" s="24" cm="1">
        <f t="array" ref="C495">SUMPRODUCT(('TREASURY FILE'!B394:B5395=$C$4)*('TREASURY FILE'!D394:D5395="TURNOVER")*('TREASURY FILE'!A394:A5395=A495)*('TREASURY FILE'!F394:F5395))</f>
        <v>0</v>
      </c>
      <c r="D495" s="24" cm="1">
        <f t="array" ref="D495">SUMPRODUCT(('TREASURY FILE'!B394:B5395=$D$4)*('TREASURY FILE'!D394:D5395="TURNOVER")*('TREASURY FILE'!A394:A5395=A495)*('TREASURY FILE'!F394:F5395))</f>
        <v>0</v>
      </c>
      <c r="E495" s="31">
        <f t="shared" si="23"/>
        <v>0</v>
      </c>
      <c r="G495" s="24" cm="1">
        <f t="array" ref="G495">SUMPRODUCT(('TREASURY FILE'!B394:B5395=$G$4)*('TREASURY FILE'!D394:D5395="INCOME")*('TREASURY FILE'!A394:A5395=A495)*('TREASURY FILE'!F394:F5395))</f>
        <v>0</v>
      </c>
      <c r="H495" s="24" cm="1">
        <f t="array" ref="H495">SUMPRODUCT(('TREASURY FILE'!B394:B5395=$H$4)*('TREASURY FILE'!D394:D5395="INCOME")*('TREASURY FILE'!A394:A5395=A495)*('TREASURY FILE'!F394:F5395))</f>
        <v>0</v>
      </c>
      <c r="I495" s="24" cm="1">
        <f t="array" ref="I495">SUMPRODUCT(('TREASURY FILE'!D403:D5395=$I$4)*('TREASURY FILE'!F403:F5395="INCOME")*('TREASURY FILE'!C403:C5395=C495)*('TREASURY FILE'!H403:H5395))</f>
        <v>0</v>
      </c>
      <c r="J495" s="31">
        <f t="shared" si="24"/>
        <v>0</v>
      </c>
      <c r="K495" s="33" t="e">
        <f t="shared" si="25"/>
        <v>#DIV/0!</v>
      </c>
    </row>
    <row r="496" spans="1:11" x14ac:dyDescent="0.3">
      <c r="A496" s="30">
        <v>46149</v>
      </c>
      <c r="B496" s="24" cm="1">
        <f t="array" ref="B496">SUMPRODUCT(('TREASURY FILE'!B395:B5396=$B$4)*('TREASURY FILE'!D395:D5396="TURNOVER")*('TREASURY FILE'!A395:A5396=A496)*('TREASURY FILE'!F395:F5396))</f>
        <v>0</v>
      </c>
      <c r="C496" s="24" cm="1">
        <f t="array" ref="C496">SUMPRODUCT(('TREASURY FILE'!B395:B5396=$C$4)*('TREASURY FILE'!D395:D5396="TURNOVER")*('TREASURY FILE'!A395:A5396=A496)*('TREASURY FILE'!F395:F5396))</f>
        <v>0</v>
      </c>
      <c r="D496" s="24" cm="1">
        <f t="array" ref="D496">SUMPRODUCT(('TREASURY FILE'!B395:B5396=$D$4)*('TREASURY FILE'!D395:D5396="TURNOVER")*('TREASURY FILE'!A395:A5396=A496)*('TREASURY FILE'!F395:F5396))</f>
        <v>0</v>
      </c>
      <c r="E496" s="31">
        <f t="shared" si="23"/>
        <v>0</v>
      </c>
      <c r="G496" s="24" cm="1">
        <f t="array" ref="G496">SUMPRODUCT(('TREASURY FILE'!B395:B5396=$G$4)*('TREASURY FILE'!D395:D5396="INCOME")*('TREASURY FILE'!A395:A5396=A496)*('TREASURY FILE'!F395:F5396))</f>
        <v>0</v>
      </c>
      <c r="H496" s="24" cm="1">
        <f t="array" ref="H496">SUMPRODUCT(('TREASURY FILE'!B395:B5396=$H$4)*('TREASURY FILE'!D395:D5396="INCOME")*('TREASURY FILE'!A395:A5396=A496)*('TREASURY FILE'!F395:F5396))</f>
        <v>0</v>
      </c>
      <c r="I496" s="24" cm="1">
        <f t="array" ref="I496">SUMPRODUCT(('TREASURY FILE'!D404:D5396=$I$4)*('TREASURY FILE'!F404:F5396="INCOME")*('TREASURY FILE'!C404:C5396=C496)*('TREASURY FILE'!H404:H5396))</f>
        <v>0</v>
      </c>
      <c r="J496" s="31">
        <f t="shared" si="24"/>
        <v>0</v>
      </c>
      <c r="K496" s="33" t="e">
        <f t="shared" si="25"/>
        <v>#DIV/0!</v>
      </c>
    </row>
    <row r="497" spans="1:11" x14ac:dyDescent="0.3">
      <c r="A497" s="30">
        <v>46150</v>
      </c>
      <c r="B497" s="24" cm="1">
        <f t="array" ref="B497">SUMPRODUCT(('TREASURY FILE'!B396:B5397=$B$4)*('TREASURY FILE'!D396:D5397="TURNOVER")*('TREASURY FILE'!A396:A5397=A497)*('TREASURY FILE'!F396:F5397))</f>
        <v>0</v>
      </c>
      <c r="C497" s="24" cm="1">
        <f t="array" ref="C497">SUMPRODUCT(('TREASURY FILE'!B396:B5397=$C$4)*('TREASURY FILE'!D396:D5397="TURNOVER")*('TREASURY FILE'!A396:A5397=A497)*('TREASURY FILE'!F396:F5397))</f>
        <v>0</v>
      </c>
      <c r="D497" s="24" cm="1">
        <f t="array" ref="D497">SUMPRODUCT(('TREASURY FILE'!B396:B5397=$D$4)*('TREASURY FILE'!D396:D5397="TURNOVER")*('TREASURY FILE'!A396:A5397=A497)*('TREASURY FILE'!F396:F5397))</f>
        <v>0</v>
      </c>
      <c r="E497" s="31">
        <f t="shared" si="23"/>
        <v>0</v>
      </c>
      <c r="G497" s="24" cm="1">
        <f t="array" ref="G497">SUMPRODUCT(('TREASURY FILE'!B396:B5397=$G$4)*('TREASURY FILE'!D396:D5397="INCOME")*('TREASURY FILE'!A396:A5397=A497)*('TREASURY FILE'!F396:F5397))</f>
        <v>0</v>
      </c>
      <c r="H497" s="24" cm="1">
        <f t="array" ref="H497">SUMPRODUCT(('TREASURY FILE'!B396:B5397=$H$4)*('TREASURY FILE'!D396:D5397="INCOME")*('TREASURY FILE'!A396:A5397=A497)*('TREASURY FILE'!F396:F5397))</f>
        <v>0</v>
      </c>
      <c r="I497" s="24" cm="1">
        <f t="array" ref="I497">SUMPRODUCT(('TREASURY FILE'!D405:D5397=$I$4)*('TREASURY FILE'!F405:F5397="INCOME")*('TREASURY FILE'!C405:C5397=C497)*('TREASURY FILE'!H405:H5397))</f>
        <v>0</v>
      </c>
      <c r="J497" s="31">
        <f t="shared" si="24"/>
        <v>0</v>
      </c>
      <c r="K497" s="33" t="e">
        <f t="shared" si="25"/>
        <v>#DIV/0!</v>
      </c>
    </row>
    <row r="498" spans="1:11" x14ac:dyDescent="0.3">
      <c r="A498" s="30">
        <v>46151</v>
      </c>
      <c r="B498" s="24" cm="1">
        <f t="array" ref="B498">SUMPRODUCT(('TREASURY FILE'!B397:B5398=$B$4)*('TREASURY FILE'!D397:D5398="TURNOVER")*('TREASURY FILE'!A397:A5398=A498)*('TREASURY FILE'!F397:F5398))</f>
        <v>0</v>
      </c>
      <c r="C498" s="24" cm="1">
        <f t="array" ref="C498">SUMPRODUCT(('TREASURY FILE'!B397:B5398=$C$4)*('TREASURY FILE'!D397:D5398="TURNOVER")*('TREASURY FILE'!A397:A5398=A498)*('TREASURY FILE'!F397:F5398))</f>
        <v>0</v>
      </c>
      <c r="D498" s="24" cm="1">
        <f t="array" ref="D498">SUMPRODUCT(('TREASURY FILE'!B397:B5398=$D$4)*('TREASURY FILE'!D397:D5398="TURNOVER")*('TREASURY FILE'!A397:A5398=A498)*('TREASURY FILE'!F397:F5398))</f>
        <v>0</v>
      </c>
      <c r="E498" s="31">
        <f t="shared" si="23"/>
        <v>0</v>
      </c>
      <c r="G498" s="24" cm="1">
        <f t="array" ref="G498">SUMPRODUCT(('TREASURY FILE'!B397:B5398=$G$4)*('TREASURY FILE'!D397:D5398="INCOME")*('TREASURY FILE'!A397:A5398=A498)*('TREASURY FILE'!F397:F5398))</f>
        <v>0</v>
      </c>
      <c r="H498" s="24" cm="1">
        <f t="array" ref="H498">SUMPRODUCT(('TREASURY FILE'!B397:B5398=$H$4)*('TREASURY FILE'!D397:D5398="INCOME")*('TREASURY FILE'!A397:A5398=A498)*('TREASURY FILE'!F397:F5398))</f>
        <v>0</v>
      </c>
      <c r="I498" s="24" cm="1">
        <f t="array" ref="I498">SUMPRODUCT(('TREASURY FILE'!D406:D5398=$I$4)*('TREASURY FILE'!F406:F5398="INCOME")*('TREASURY FILE'!C406:C5398=C498)*('TREASURY FILE'!H406:H5398))</f>
        <v>0</v>
      </c>
      <c r="J498" s="31">
        <f t="shared" si="24"/>
        <v>0</v>
      </c>
      <c r="K498" s="33" t="e">
        <f t="shared" si="25"/>
        <v>#DIV/0!</v>
      </c>
    </row>
    <row r="499" spans="1:11" x14ac:dyDescent="0.3">
      <c r="A499" s="30">
        <v>46152</v>
      </c>
      <c r="B499" s="24" cm="1">
        <f t="array" ref="B499">SUMPRODUCT(('TREASURY FILE'!B398:B5399=$B$4)*('TREASURY FILE'!D398:D5399="TURNOVER")*('TREASURY FILE'!A398:A5399=A499)*('TREASURY FILE'!F398:F5399))</f>
        <v>0</v>
      </c>
      <c r="C499" s="24" cm="1">
        <f t="array" ref="C499">SUMPRODUCT(('TREASURY FILE'!B398:B5399=$C$4)*('TREASURY FILE'!D398:D5399="TURNOVER")*('TREASURY FILE'!A398:A5399=A499)*('TREASURY FILE'!F398:F5399))</f>
        <v>0</v>
      </c>
      <c r="D499" s="24" cm="1">
        <f t="array" ref="D499">SUMPRODUCT(('TREASURY FILE'!B398:B5399=$D$4)*('TREASURY FILE'!D398:D5399="TURNOVER")*('TREASURY FILE'!A398:A5399=A499)*('TREASURY FILE'!F398:F5399))</f>
        <v>0</v>
      </c>
      <c r="E499" s="31">
        <f t="shared" si="23"/>
        <v>0</v>
      </c>
      <c r="G499" s="24" cm="1">
        <f t="array" ref="G499">SUMPRODUCT(('TREASURY FILE'!B398:B5399=$G$4)*('TREASURY FILE'!D398:D5399="INCOME")*('TREASURY FILE'!A398:A5399=A499)*('TREASURY FILE'!F398:F5399))</f>
        <v>0</v>
      </c>
      <c r="H499" s="24" cm="1">
        <f t="array" ref="H499">SUMPRODUCT(('TREASURY FILE'!B398:B5399=$H$4)*('TREASURY FILE'!D398:D5399="INCOME")*('TREASURY FILE'!A398:A5399=A499)*('TREASURY FILE'!F398:F5399))</f>
        <v>0</v>
      </c>
      <c r="I499" s="24" cm="1">
        <f t="array" ref="I499">SUMPRODUCT(('TREASURY FILE'!D407:D5399=$I$4)*('TREASURY FILE'!F407:F5399="INCOME")*('TREASURY FILE'!C407:C5399=C499)*('TREASURY FILE'!H407:H5399))</f>
        <v>0</v>
      </c>
      <c r="J499" s="31">
        <f t="shared" si="24"/>
        <v>0</v>
      </c>
      <c r="K499" s="33" t="e">
        <f t="shared" si="25"/>
        <v>#DIV/0!</v>
      </c>
    </row>
    <row r="500" spans="1:11" x14ac:dyDescent="0.3">
      <c r="A500" s="30">
        <v>46153</v>
      </c>
      <c r="B500" s="24" cm="1">
        <f t="array" ref="B500">SUMPRODUCT(('TREASURY FILE'!B399:B5400=$B$4)*('TREASURY FILE'!D399:D5400="TURNOVER")*('TREASURY FILE'!A399:A5400=A500)*('TREASURY FILE'!F399:F5400))</f>
        <v>0</v>
      </c>
      <c r="C500" s="24" cm="1">
        <f t="array" ref="C500">SUMPRODUCT(('TREASURY FILE'!B399:B5400=$C$4)*('TREASURY FILE'!D399:D5400="TURNOVER")*('TREASURY FILE'!A399:A5400=A500)*('TREASURY FILE'!F399:F5400))</f>
        <v>0</v>
      </c>
      <c r="D500" s="24" cm="1">
        <f t="array" ref="D500">SUMPRODUCT(('TREASURY FILE'!B399:B5400=$D$4)*('TREASURY FILE'!D399:D5400="TURNOVER")*('TREASURY FILE'!A399:A5400=A500)*('TREASURY FILE'!F399:F5400))</f>
        <v>0</v>
      </c>
      <c r="E500" s="31">
        <f t="shared" si="23"/>
        <v>0</v>
      </c>
      <c r="G500" s="24" cm="1">
        <f t="array" ref="G500">SUMPRODUCT(('TREASURY FILE'!B399:B5400=$G$4)*('TREASURY FILE'!D399:D5400="INCOME")*('TREASURY FILE'!A399:A5400=A500)*('TREASURY FILE'!F399:F5400))</f>
        <v>0</v>
      </c>
      <c r="H500" s="24" cm="1">
        <f t="array" ref="H500">SUMPRODUCT(('TREASURY FILE'!B399:B5400=$H$4)*('TREASURY FILE'!D399:D5400="INCOME")*('TREASURY FILE'!A399:A5400=A500)*('TREASURY FILE'!F399:F5400))</f>
        <v>0</v>
      </c>
      <c r="I500" s="24" cm="1">
        <f t="array" ref="I500">SUMPRODUCT(('TREASURY FILE'!D408:D5400=$I$4)*('TREASURY FILE'!F408:F5400="INCOME")*('TREASURY FILE'!C408:C5400=C500)*('TREASURY FILE'!H408:H5400))</f>
        <v>0</v>
      </c>
      <c r="J500" s="31">
        <f t="shared" si="24"/>
        <v>0</v>
      </c>
      <c r="K500" s="33" t="e">
        <f t="shared" si="25"/>
        <v>#DIV/0!</v>
      </c>
    </row>
    <row r="501" spans="1:11" x14ac:dyDescent="0.3">
      <c r="A501" s="30">
        <v>46154</v>
      </c>
      <c r="B501" s="24" cm="1">
        <f t="array" ref="B501">SUMPRODUCT(('TREASURY FILE'!B400:B5401=$B$4)*('TREASURY FILE'!D400:D5401="TURNOVER")*('TREASURY FILE'!A400:A5401=A501)*('TREASURY FILE'!F400:F5401))</f>
        <v>0</v>
      </c>
      <c r="C501" s="24" cm="1">
        <f t="array" ref="C501">SUMPRODUCT(('TREASURY FILE'!B400:B5401=$C$4)*('TREASURY FILE'!D400:D5401="TURNOVER")*('TREASURY FILE'!A400:A5401=A501)*('TREASURY FILE'!F400:F5401))</f>
        <v>0</v>
      </c>
      <c r="D501" s="24" cm="1">
        <f t="array" ref="D501">SUMPRODUCT(('TREASURY FILE'!B400:B5401=$D$4)*('TREASURY FILE'!D400:D5401="TURNOVER")*('TREASURY FILE'!A400:A5401=A501)*('TREASURY FILE'!F400:F5401))</f>
        <v>0</v>
      </c>
      <c r="E501" s="31">
        <f t="shared" si="23"/>
        <v>0</v>
      </c>
      <c r="G501" s="24" cm="1">
        <f t="array" ref="G501">SUMPRODUCT(('TREASURY FILE'!B400:B5401=$G$4)*('TREASURY FILE'!D400:D5401="INCOME")*('TREASURY FILE'!A400:A5401=A501)*('TREASURY FILE'!F400:F5401))</f>
        <v>0</v>
      </c>
      <c r="H501" s="24" cm="1">
        <f t="array" ref="H501">SUMPRODUCT(('TREASURY FILE'!B400:B5401=$H$4)*('TREASURY FILE'!D400:D5401="INCOME")*('TREASURY FILE'!A400:A5401=A501)*('TREASURY FILE'!F400:F5401))</f>
        <v>0</v>
      </c>
      <c r="I501" s="24" cm="1">
        <f t="array" ref="I501">SUMPRODUCT(('TREASURY FILE'!D409:D5401=$I$4)*('TREASURY FILE'!F409:F5401="INCOME")*('TREASURY FILE'!C409:C5401=C501)*('TREASURY FILE'!H409:H5401))</f>
        <v>0</v>
      </c>
      <c r="J501" s="31">
        <f t="shared" si="24"/>
        <v>0</v>
      </c>
      <c r="K501" s="33" t="e">
        <f t="shared" si="25"/>
        <v>#DIV/0!</v>
      </c>
    </row>
    <row r="502" spans="1:11" x14ac:dyDescent="0.3">
      <c r="A502" s="30">
        <v>46155</v>
      </c>
      <c r="B502" s="24" cm="1">
        <f t="array" ref="B502">SUMPRODUCT(('TREASURY FILE'!B401:B5402=$B$4)*('TREASURY FILE'!D401:D5402="TURNOVER")*('TREASURY FILE'!A401:A5402=A502)*('TREASURY FILE'!F401:F5402))</f>
        <v>0</v>
      </c>
      <c r="C502" s="24" cm="1">
        <f t="array" ref="C502">SUMPRODUCT(('TREASURY FILE'!B401:B5402=$C$4)*('TREASURY FILE'!D401:D5402="TURNOVER")*('TREASURY FILE'!A401:A5402=A502)*('TREASURY FILE'!F401:F5402))</f>
        <v>0</v>
      </c>
      <c r="D502" s="24" cm="1">
        <f t="array" ref="D502">SUMPRODUCT(('TREASURY FILE'!B401:B5402=$D$4)*('TREASURY FILE'!D401:D5402="TURNOVER")*('TREASURY FILE'!A401:A5402=A502)*('TREASURY FILE'!F401:F5402))</f>
        <v>0</v>
      </c>
      <c r="E502" s="31">
        <f t="shared" si="23"/>
        <v>0</v>
      </c>
      <c r="G502" s="24" cm="1">
        <f t="array" ref="G502">SUMPRODUCT(('TREASURY FILE'!B401:B5402=$G$4)*('TREASURY FILE'!D401:D5402="INCOME")*('TREASURY FILE'!A401:A5402=A502)*('TREASURY FILE'!F401:F5402))</f>
        <v>0</v>
      </c>
      <c r="H502" s="24" cm="1">
        <f t="array" ref="H502">SUMPRODUCT(('TREASURY FILE'!B401:B5402=$H$4)*('TREASURY FILE'!D401:D5402="INCOME")*('TREASURY FILE'!A401:A5402=A502)*('TREASURY FILE'!F401:F5402))</f>
        <v>0</v>
      </c>
      <c r="I502" s="24" cm="1">
        <f t="array" ref="I502">SUMPRODUCT(('TREASURY FILE'!D410:D5402=$I$4)*('TREASURY FILE'!F410:F5402="INCOME")*('TREASURY FILE'!C410:C5402=C502)*('TREASURY FILE'!H410:H5402))</f>
        <v>0</v>
      </c>
      <c r="J502" s="31">
        <f t="shared" si="24"/>
        <v>0</v>
      </c>
      <c r="K502" s="33" t="e">
        <f t="shared" si="25"/>
        <v>#DIV/0!</v>
      </c>
    </row>
    <row r="503" spans="1:11" x14ac:dyDescent="0.3">
      <c r="A503" s="30">
        <v>46156</v>
      </c>
      <c r="B503" s="24" cm="1">
        <f t="array" ref="B503">SUMPRODUCT(('TREASURY FILE'!B402:B5403=$B$4)*('TREASURY FILE'!D402:D5403="TURNOVER")*('TREASURY FILE'!A402:A5403=A503)*('TREASURY FILE'!F402:F5403))</f>
        <v>0</v>
      </c>
      <c r="C503" s="24" cm="1">
        <f t="array" ref="C503">SUMPRODUCT(('TREASURY FILE'!B402:B5403=$C$4)*('TREASURY FILE'!D402:D5403="TURNOVER")*('TREASURY FILE'!A402:A5403=A503)*('TREASURY FILE'!F402:F5403))</f>
        <v>0</v>
      </c>
      <c r="D503" s="24" cm="1">
        <f t="array" ref="D503">SUMPRODUCT(('TREASURY FILE'!B402:B5403=$D$4)*('TREASURY FILE'!D402:D5403="TURNOVER")*('TREASURY FILE'!A402:A5403=A503)*('TREASURY FILE'!F402:F5403))</f>
        <v>0</v>
      </c>
      <c r="E503" s="31">
        <f t="shared" si="23"/>
        <v>0</v>
      </c>
      <c r="G503" s="24" cm="1">
        <f t="array" ref="G503">SUMPRODUCT(('TREASURY FILE'!B402:B5403=$G$4)*('TREASURY FILE'!D402:D5403="INCOME")*('TREASURY FILE'!A402:A5403=A503)*('TREASURY FILE'!F402:F5403))</f>
        <v>0</v>
      </c>
      <c r="H503" s="24" cm="1">
        <f t="array" ref="H503">SUMPRODUCT(('TREASURY FILE'!B402:B5403=$H$4)*('TREASURY FILE'!D402:D5403="INCOME")*('TREASURY FILE'!A402:A5403=A503)*('TREASURY FILE'!F402:F5403))</f>
        <v>0</v>
      </c>
      <c r="I503" s="24" cm="1">
        <f t="array" ref="I503">SUMPRODUCT(('TREASURY FILE'!D411:D5403=$I$4)*('TREASURY FILE'!F411:F5403="INCOME")*('TREASURY FILE'!C411:C5403=C503)*('TREASURY FILE'!H411:H5403))</f>
        <v>0</v>
      </c>
      <c r="J503" s="31">
        <f t="shared" si="24"/>
        <v>0</v>
      </c>
      <c r="K503" s="33" t="e">
        <f t="shared" si="25"/>
        <v>#DIV/0!</v>
      </c>
    </row>
    <row r="504" spans="1:11" x14ac:dyDescent="0.3">
      <c r="A504" s="30">
        <v>46157</v>
      </c>
      <c r="B504" s="24" cm="1">
        <f t="array" ref="B504">SUMPRODUCT(('TREASURY FILE'!B403:B5404=$B$4)*('TREASURY FILE'!D403:D5404="TURNOVER")*('TREASURY FILE'!A403:A5404=A504)*('TREASURY FILE'!F403:F5404))</f>
        <v>0</v>
      </c>
      <c r="C504" s="24" cm="1">
        <f t="array" ref="C504">SUMPRODUCT(('TREASURY FILE'!B403:B5404=$C$4)*('TREASURY FILE'!D403:D5404="TURNOVER")*('TREASURY FILE'!A403:A5404=A504)*('TREASURY FILE'!F403:F5404))</f>
        <v>0</v>
      </c>
      <c r="D504" s="24" cm="1">
        <f t="array" ref="D504">SUMPRODUCT(('TREASURY FILE'!B403:B5404=$D$4)*('TREASURY FILE'!D403:D5404="TURNOVER")*('TREASURY FILE'!A403:A5404=A504)*('TREASURY FILE'!F403:F5404))</f>
        <v>0</v>
      </c>
      <c r="E504" s="31">
        <f t="shared" si="23"/>
        <v>0</v>
      </c>
      <c r="G504" s="24" cm="1">
        <f t="array" ref="G504">SUMPRODUCT(('TREASURY FILE'!B403:B5404=$G$4)*('TREASURY FILE'!D403:D5404="INCOME")*('TREASURY FILE'!A403:A5404=A504)*('TREASURY FILE'!F403:F5404))</f>
        <v>0</v>
      </c>
      <c r="H504" s="24" cm="1">
        <f t="array" ref="H504">SUMPRODUCT(('TREASURY FILE'!B403:B5404=$H$4)*('TREASURY FILE'!D403:D5404="INCOME")*('TREASURY FILE'!A403:A5404=A504)*('TREASURY FILE'!F403:F5404))</f>
        <v>0</v>
      </c>
      <c r="I504" s="24" cm="1">
        <f t="array" ref="I504">SUMPRODUCT(('TREASURY FILE'!D412:D5404=$I$4)*('TREASURY FILE'!F412:F5404="INCOME")*('TREASURY FILE'!C412:C5404=C504)*('TREASURY FILE'!H412:H5404))</f>
        <v>0</v>
      </c>
      <c r="J504" s="31">
        <f t="shared" si="24"/>
        <v>0</v>
      </c>
      <c r="K504" s="33" t="e">
        <f t="shared" si="25"/>
        <v>#DIV/0!</v>
      </c>
    </row>
    <row r="505" spans="1:11" x14ac:dyDescent="0.3">
      <c r="A505" s="30">
        <v>46158</v>
      </c>
      <c r="B505" s="24" cm="1">
        <f t="array" ref="B505">SUMPRODUCT(('TREASURY FILE'!B404:B5405=$B$4)*('TREASURY FILE'!D404:D5405="TURNOVER")*('TREASURY FILE'!A404:A5405=A505)*('TREASURY FILE'!F404:F5405))</f>
        <v>0</v>
      </c>
      <c r="C505" s="24" cm="1">
        <f t="array" ref="C505">SUMPRODUCT(('TREASURY FILE'!B404:B5405=$C$4)*('TREASURY FILE'!D404:D5405="TURNOVER")*('TREASURY FILE'!A404:A5405=A505)*('TREASURY FILE'!F404:F5405))</f>
        <v>0</v>
      </c>
      <c r="D505" s="24" cm="1">
        <f t="array" ref="D505">SUMPRODUCT(('TREASURY FILE'!B404:B5405=$D$4)*('TREASURY FILE'!D404:D5405="TURNOVER")*('TREASURY FILE'!A404:A5405=A505)*('TREASURY FILE'!F404:F5405))</f>
        <v>0</v>
      </c>
      <c r="E505" s="31">
        <f t="shared" si="23"/>
        <v>0</v>
      </c>
      <c r="G505" s="24" cm="1">
        <f t="array" ref="G505">SUMPRODUCT(('TREASURY FILE'!B404:B5405=$G$4)*('TREASURY FILE'!D404:D5405="INCOME")*('TREASURY FILE'!A404:A5405=A505)*('TREASURY FILE'!F404:F5405))</f>
        <v>0</v>
      </c>
      <c r="H505" s="24" cm="1">
        <f t="array" ref="H505">SUMPRODUCT(('TREASURY FILE'!B404:B5405=$H$4)*('TREASURY FILE'!D404:D5405="INCOME")*('TREASURY FILE'!A404:A5405=A505)*('TREASURY FILE'!F404:F5405))</f>
        <v>0</v>
      </c>
      <c r="I505" s="24" cm="1">
        <f t="array" ref="I505">SUMPRODUCT(('TREASURY FILE'!D413:D5405=$I$4)*('TREASURY FILE'!F413:F5405="INCOME")*('TREASURY FILE'!C413:C5405=C505)*('TREASURY FILE'!H413:H5405))</f>
        <v>0</v>
      </c>
      <c r="J505" s="31">
        <f t="shared" si="24"/>
        <v>0</v>
      </c>
      <c r="K505" s="33" t="e">
        <f t="shared" si="25"/>
        <v>#DIV/0!</v>
      </c>
    </row>
    <row r="506" spans="1:11" x14ac:dyDescent="0.3">
      <c r="A506" s="30">
        <v>46159</v>
      </c>
      <c r="B506" s="24" cm="1">
        <f t="array" ref="B506">SUMPRODUCT(('TREASURY FILE'!B405:B5406=$B$4)*('TREASURY FILE'!D405:D5406="TURNOVER")*('TREASURY FILE'!A405:A5406=A506)*('TREASURY FILE'!F405:F5406))</f>
        <v>0</v>
      </c>
      <c r="C506" s="24" cm="1">
        <f t="array" ref="C506">SUMPRODUCT(('TREASURY FILE'!B405:B5406=$C$4)*('TREASURY FILE'!D405:D5406="TURNOVER")*('TREASURY FILE'!A405:A5406=A506)*('TREASURY FILE'!F405:F5406))</f>
        <v>0</v>
      </c>
      <c r="D506" s="24" cm="1">
        <f t="array" ref="D506">SUMPRODUCT(('TREASURY FILE'!B405:B5406=$D$4)*('TREASURY FILE'!D405:D5406="TURNOVER")*('TREASURY FILE'!A405:A5406=A506)*('TREASURY FILE'!F405:F5406))</f>
        <v>0</v>
      </c>
      <c r="E506" s="31">
        <f t="shared" si="23"/>
        <v>0</v>
      </c>
      <c r="G506" s="24" cm="1">
        <f t="array" ref="G506">SUMPRODUCT(('TREASURY FILE'!B405:B5406=$G$4)*('TREASURY FILE'!D405:D5406="INCOME")*('TREASURY FILE'!A405:A5406=A506)*('TREASURY FILE'!F405:F5406))</f>
        <v>0</v>
      </c>
      <c r="H506" s="24" cm="1">
        <f t="array" ref="H506">SUMPRODUCT(('TREASURY FILE'!B405:B5406=$H$4)*('TREASURY FILE'!D405:D5406="INCOME")*('TREASURY FILE'!A405:A5406=A506)*('TREASURY FILE'!F405:F5406))</f>
        <v>0</v>
      </c>
      <c r="I506" s="24" cm="1">
        <f t="array" ref="I506">SUMPRODUCT(('TREASURY FILE'!D414:D5406=$I$4)*('TREASURY FILE'!F414:F5406="INCOME")*('TREASURY FILE'!C414:C5406=C506)*('TREASURY FILE'!H414:H5406))</f>
        <v>0</v>
      </c>
      <c r="J506" s="31">
        <f t="shared" si="24"/>
        <v>0</v>
      </c>
      <c r="K506" s="33" t="e">
        <f t="shared" si="25"/>
        <v>#DIV/0!</v>
      </c>
    </row>
    <row r="507" spans="1:11" x14ac:dyDescent="0.3">
      <c r="A507" s="30">
        <v>46160</v>
      </c>
      <c r="B507" s="24" cm="1">
        <f t="array" ref="B507">SUMPRODUCT(('TREASURY FILE'!B406:B5407=$B$4)*('TREASURY FILE'!D406:D5407="TURNOVER")*('TREASURY FILE'!A406:A5407=A507)*('TREASURY FILE'!F406:F5407))</f>
        <v>0</v>
      </c>
      <c r="C507" s="24" cm="1">
        <f t="array" ref="C507">SUMPRODUCT(('TREASURY FILE'!B406:B5407=$C$4)*('TREASURY FILE'!D406:D5407="TURNOVER")*('TREASURY FILE'!A406:A5407=A507)*('TREASURY FILE'!F406:F5407))</f>
        <v>0</v>
      </c>
      <c r="D507" s="24" cm="1">
        <f t="array" ref="D507">SUMPRODUCT(('TREASURY FILE'!B406:B5407=$D$4)*('TREASURY FILE'!D406:D5407="TURNOVER")*('TREASURY FILE'!A406:A5407=A507)*('TREASURY FILE'!F406:F5407))</f>
        <v>0</v>
      </c>
      <c r="E507" s="31">
        <f t="shared" si="23"/>
        <v>0</v>
      </c>
      <c r="G507" s="24" cm="1">
        <f t="array" ref="G507">SUMPRODUCT(('TREASURY FILE'!B406:B5407=$G$4)*('TREASURY FILE'!D406:D5407="INCOME")*('TREASURY FILE'!A406:A5407=A507)*('TREASURY FILE'!F406:F5407))</f>
        <v>0</v>
      </c>
      <c r="H507" s="24" cm="1">
        <f t="array" ref="H507">SUMPRODUCT(('TREASURY FILE'!B406:B5407=$H$4)*('TREASURY FILE'!D406:D5407="INCOME")*('TREASURY FILE'!A406:A5407=A507)*('TREASURY FILE'!F406:F5407))</f>
        <v>0</v>
      </c>
      <c r="I507" s="24" cm="1">
        <f t="array" ref="I507">SUMPRODUCT(('TREASURY FILE'!D415:D5407=$I$4)*('TREASURY FILE'!F415:F5407="INCOME")*('TREASURY FILE'!C415:C5407=C507)*('TREASURY FILE'!H415:H5407))</f>
        <v>0</v>
      </c>
      <c r="J507" s="31">
        <f t="shared" si="24"/>
        <v>0</v>
      </c>
      <c r="K507" s="33" t="e">
        <f t="shared" si="25"/>
        <v>#DIV/0!</v>
      </c>
    </row>
    <row r="508" spans="1:11" x14ac:dyDescent="0.3">
      <c r="A508" s="30">
        <v>46161</v>
      </c>
      <c r="B508" s="24" cm="1">
        <f t="array" ref="B508">SUMPRODUCT(('TREASURY FILE'!B407:B5408=$B$4)*('TREASURY FILE'!D407:D5408="TURNOVER")*('TREASURY FILE'!A407:A5408=A508)*('TREASURY FILE'!F407:F5408))</f>
        <v>0</v>
      </c>
      <c r="C508" s="24" cm="1">
        <f t="array" ref="C508">SUMPRODUCT(('TREASURY FILE'!B407:B5408=$C$4)*('TREASURY FILE'!D407:D5408="TURNOVER")*('TREASURY FILE'!A407:A5408=A508)*('TREASURY FILE'!F407:F5408))</f>
        <v>0</v>
      </c>
      <c r="D508" s="24" cm="1">
        <f t="array" ref="D508">SUMPRODUCT(('TREASURY FILE'!B407:B5408=$D$4)*('TREASURY FILE'!D407:D5408="TURNOVER")*('TREASURY FILE'!A407:A5408=A508)*('TREASURY FILE'!F407:F5408))</f>
        <v>0</v>
      </c>
      <c r="E508" s="31">
        <f t="shared" si="23"/>
        <v>0</v>
      </c>
      <c r="G508" s="24" cm="1">
        <f t="array" ref="G508">SUMPRODUCT(('TREASURY FILE'!B407:B5408=$G$4)*('TREASURY FILE'!D407:D5408="INCOME")*('TREASURY FILE'!A407:A5408=A508)*('TREASURY FILE'!F407:F5408))</f>
        <v>0</v>
      </c>
      <c r="H508" s="24" cm="1">
        <f t="array" ref="H508">SUMPRODUCT(('TREASURY FILE'!B407:B5408=$H$4)*('TREASURY FILE'!D407:D5408="INCOME")*('TREASURY FILE'!A407:A5408=A508)*('TREASURY FILE'!F407:F5408))</f>
        <v>0</v>
      </c>
      <c r="I508" s="24" cm="1">
        <f t="array" ref="I508">SUMPRODUCT(('TREASURY FILE'!D416:D5408=$I$4)*('TREASURY FILE'!F416:F5408="INCOME")*('TREASURY FILE'!C416:C5408=C508)*('TREASURY FILE'!H416:H5408))</f>
        <v>0</v>
      </c>
      <c r="J508" s="31">
        <f t="shared" si="24"/>
        <v>0</v>
      </c>
      <c r="K508" s="33" t="e">
        <f t="shared" si="25"/>
        <v>#DIV/0!</v>
      </c>
    </row>
    <row r="509" spans="1:11" x14ac:dyDescent="0.3">
      <c r="A509" s="30">
        <v>46162</v>
      </c>
      <c r="B509" s="24" cm="1">
        <f t="array" ref="B509">SUMPRODUCT(('TREASURY FILE'!B408:B5409=$B$4)*('TREASURY FILE'!D408:D5409="TURNOVER")*('TREASURY FILE'!A408:A5409=A509)*('TREASURY FILE'!F408:F5409))</f>
        <v>0</v>
      </c>
      <c r="C509" s="24" cm="1">
        <f t="array" ref="C509">SUMPRODUCT(('TREASURY FILE'!B408:B5409=$C$4)*('TREASURY FILE'!D408:D5409="TURNOVER")*('TREASURY FILE'!A408:A5409=A509)*('TREASURY FILE'!F408:F5409))</f>
        <v>0</v>
      </c>
      <c r="D509" s="24" cm="1">
        <f t="array" ref="D509">SUMPRODUCT(('TREASURY FILE'!B408:B5409=$D$4)*('TREASURY FILE'!D408:D5409="TURNOVER")*('TREASURY FILE'!A408:A5409=A509)*('TREASURY FILE'!F408:F5409))</f>
        <v>0</v>
      </c>
      <c r="E509" s="31">
        <f t="shared" si="23"/>
        <v>0</v>
      </c>
      <c r="G509" s="24" cm="1">
        <f t="array" ref="G509">SUMPRODUCT(('TREASURY FILE'!B408:B5409=$G$4)*('TREASURY FILE'!D408:D5409="INCOME")*('TREASURY FILE'!A408:A5409=A509)*('TREASURY FILE'!F408:F5409))</f>
        <v>0</v>
      </c>
      <c r="H509" s="24" cm="1">
        <f t="array" ref="H509">SUMPRODUCT(('TREASURY FILE'!B408:B5409=$H$4)*('TREASURY FILE'!D408:D5409="INCOME")*('TREASURY FILE'!A408:A5409=A509)*('TREASURY FILE'!F408:F5409))</f>
        <v>0</v>
      </c>
      <c r="I509" s="24" cm="1">
        <f t="array" ref="I509">SUMPRODUCT(('TREASURY FILE'!D417:D5409=$I$4)*('TREASURY FILE'!F417:F5409="INCOME")*('TREASURY FILE'!C417:C5409=C509)*('TREASURY FILE'!H417:H5409))</f>
        <v>0</v>
      </c>
      <c r="J509" s="31">
        <f t="shared" si="24"/>
        <v>0</v>
      </c>
      <c r="K509" s="33" t="e">
        <f t="shared" si="25"/>
        <v>#DIV/0!</v>
      </c>
    </row>
    <row r="510" spans="1:11" x14ac:dyDescent="0.3">
      <c r="A510" s="30">
        <v>46163</v>
      </c>
      <c r="B510" s="24" cm="1">
        <f t="array" ref="B510">SUMPRODUCT(('TREASURY FILE'!B409:B5410=$B$4)*('TREASURY FILE'!D409:D5410="TURNOVER")*('TREASURY FILE'!A409:A5410=A510)*('TREASURY FILE'!F409:F5410))</f>
        <v>0</v>
      </c>
      <c r="C510" s="24" cm="1">
        <f t="array" ref="C510">SUMPRODUCT(('TREASURY FILE'!B409:B5410=$C$4)*('TREASURY FILE'!D409:D5410="TURNOVER")*('TREASURY FILE'!A409:A5410=A510)*('TREASURY FILE'!F409:F5410))</f>
        <v>0</v>
      </c>
      <c r="D510" s="24" cm="1">
        <f t="array" ref="D510">SUMPRODUCT(('TREASURY FILE'!B409:B5410=$D$4)*('TREASURY FILE'!D409:D5410="TURNOVER")*('TREASURY FILE'!A409:A5410=A510)*('TREASURY FILE'!F409:F5410))</f>
        <v>0</v>
      </c>
      <c r="E510" s="31">
        <f t="shared" si="23"/>
        <v>0</v>
      </c>
      <c r="G510" s="24" cm="1">
        <f t="array" ref="G510">SUMPRODUCT(('TREASURY FILE'!B409:B5410=$G$4)*('TREASURY FILE'!D409:D5410="INCOME")*('TREASURY FILE'!A409:A5410=A510)*('TREASURY FILE'!F409:F5410))</f>
        <v>0</v>
      </c>
      <c r="H510" s="24" cm="1">
        <f t="array" ref="H510">SUMPRODUCT(('TREASURY FILE'!B409:B5410=$H$4)*('TREASURY FILE'!D409:D5410="INCOME")*('TREASURY FILE'!A409:A5410=A510)*('TREASURY FILE'!F409:F5410))</f>
        <v>0</v>
      </c>
      <c r="I510" s="24" cm="1">
        <f t="array" ref="I510">SUMPRODUCT(('TREASURY FILE'!D418:D5410=$I$4)*('TREASURY FILE'!F418:F5410="INCOME")*('TREASURY FILE'!C418:C5410=C510)*('TREASURY FILE'!H418:H5410))</f>
        <v>0</v>
      </c>
      <c r="J510" s="31">
        <f t="shared" si="24"/>
        <v>0</v>
      </c>
      <c r="K510" s="33" t="e">
        <f t="shared" si="25"/>
        <v>#DIV/0!</v>
      </c>
    </row>
    <row r="511" spans="1:11" x14ac:dyDescent="0.3">
      <c r="A511" s="30">
        <v>46164</v>
      </c>
      <c r="B511" s="24" cm="1">
        <f t="array" ref="B511">SUMPRODUCT(('TREASURY FILE'!B410:B5411=$B$4)*('TREASURY FILE'!D410:D5411="TURNOVER")*('TREASURY FILE'!A410:A5411=A511)*('TREASURY FILE'!F410:F5411))</f>
        <v>0</v>
      </c>
      <c r="C511" s="24" cm="1">
        <f t="array" ref="C511">SUMPRODUCT(('TREASURY FILE'!B410:B5411=$C$4)*('TREASURY FILE'!D410:D5411="TURNOVER")*('TREASURY FILE'!A410:A5411=A511)*('TREASURY FILE'!F410:F5411))</f>
        <v>0</v>
      </c>
      <c r="D511" s="24" cm="1">
        <f t="array" ref="D511">SUMPRODUCT(('TREASURY FILE'!B410:B5411=$D$4)*('TREASURY FILE'!D410:D5411="TURNOVER")*('TREASURY FILE'!A410:A5411=A511)*('TREASURY FILE'!F410:F5411))</f>
        <v>0</v>
      </c>
      <c r="E511" s="31">
        <f t="shared" si="23"/>
        <v>0</v>
      </c>
      <c r="G511" s="24" cm="1">
        <f t="array" ref="G511">SUMPRODUCT(('TREASURY FILE'!B410:B5411=$G$4)*('TREASURY FILE'!D410:D5411="INCOME")*('TREASURY FILE'!A410:A5411=A511)*('TREASURY FILE'!F410:F5411))</f>
        <v>0</v>
      </c>
      <c r="H511" s="24" cm="1">
        <f t="array" ref="H511">SUMPRODUCT(('TREASURY FILE'!B410:B5411=$H$4)*('TREASURY FILE'!D410:D5411="INCOME")*('TREASURY FILE'!A410:A5411=A511)*('TREASURY FILE'!F410:F5411))</f>
        <v>0</v>
      </c>
      <c r="I511" s="24" cm="1">
        <f t="array" ref="I511">SUMPRODUCT(('TREASURY FILE'!D419:D5411=$I$4)*('TREASURY FILE'!F419:F5411="INCOME")*('TREASURY FILE'!C419:C5411=C511)*('TREASURY FILE'!H419:H5411))</f>
        <v>0</v>
      </c>
      <c r="J511" s="31">
        <f t="shared" si="24"/>
        <v>0</v>
      </c>
      <c r="K511" s="33" t="e">
        <f t="shared" si="25"/>
        <v>#DIV/0!</v>
      </c>
    </row>
    <row r="512" spans="1:11" x14ac:dyDescent="0.3">
      <c r="A512" s="30">
        <v>46165</v>
      </c>
      <c r="B512" s="24" cm="1">
        <f t="array" ref="B512">SUMPRODUCT(('TREASURY FILE'!B411:B5412=$B$4)*('TREASURY FILE'!D411:D5412="TURNOVER")*('TREASURY FILE'!A411:A5412=A512)*('TREASURY FILE'!F411:F5412))</f>
        <v>0</v>
      </c>
      <c r="C512" s="24" cm="1">
        <f t="array" ref="C512">SUMPRODUCT(('TREASURY FILE'!B411:B5412=$C$4)*('TREASURY FILE'!D411:D5412="TURNOVER")*('TREASURY FILE'!A411:A5412=A512)*('TREASURY FILE'!F411:F5412))</f>
        <v>0</v>
      </c>
      <c r="D512" s="24" cm="1">
        <f t="array" ref="D512">SUMPRODUCT(('TREASURY FILE'!B411:B5412=$D$4)*('TREASURY FILE'!D411:D5412="TURNOVER")*('TREASURY FILE'!A411:A5412=A512)*('TREASURY FILE'!F411:F5412))</f>
        <v>0</v>
      </c>
      <c r="E512" s="31">
        <f t="shared" si="23"/>
        <v>0</v>
      </c>
      <c r="G512" s="24" cm="1">
        <f t="array" ref="G512">SUMPRODUCT(('TREASURY FILE'!B411:B5412=$G$4)*('TREASURY FILE'!D411:D5412="INCOME")*('TREASURY FILE'!A411:A5412=A512)*('TREASURY FILE'!F411:F5412))</f>
        <v>0</v>
      </c>
      <c r="H512" s="24" cm="1">
        <f t="array" ref="H512">SUMPRODUCT(('TREASURY FILE'!B411:B5412=$H$4)*('TREASURY FILE'!D411:D5412="INCOME")*('TREASURY FILE'!A411:A5412=A512)*('TREASURY FILE'!F411:F5412))</f>
        <v>0</v>
      </c>
      <c r="I512" s="24" cm="1">
        <f t="array" ref="I512">SUMPRODUCT(('TREASURY FILE'!D420:D5412=$I$4)*('TREASURY FILE'!F420:F5412="INCOME")*('TREASURY FILE'!C420:C5412=C512)*('TREASURY FILE'!H420:H5412))</f>
        <v>0</v>
      </c>
      <c r="J512" s="31">
        <f t="shared" si="24"/>
        <v>0</v>
      </c>
      <c r="K512" s="33" t="e">
        <f t="shared" si="25"/>
        <v>#DIV/0!</v>
      </c>
    </row>
    <row r="513" spans="1:11" x14ac:dyDescent="0.3">
      <c r="A513" s="30">
        <v>46166</v>
      </c>
      <c r="B513" s="24" cm="1">
        <f t="array" ref="B513">SUMPRODUCT(('TREASURY FILE'!B412:B5413=$B$4)*('TREASURY FILE'!D412:D5413="TURNOVER")*('TREASURY FILE'!A412:A5413=A513)*('TREASURY FILE'!F412:F5413))</f>
        <v>0</v>
      </c>
      <c r="C513" s="24" cm="1">
        <f t="array" ref="C513">SUMPRODUCT(('TREASURY FILE'!B412:B5413=$C$4)*('TREASURY FILE'!D412:D5413="TURNOVER")*('TREASURY FILE'!A412:A5413=A513)*('TREASURY FILE'!F412:F5413))</f>
        <v>0</v>
      </c>
      <c r="D513" s="24" cm="1">
        <f t="array" ref="D513">SUMPRODUCT(('TREASURY FILE'!B412:B5413=$D$4)*('TREASURY FILE'!D412:D5413="TURNOVER")*('TREASURY FILE'!A412:A5413=A513)*('TREASURY FILE'!F412:F5413))</f>
        <v>0</v>
      </c>
      <c r="E513" s="31">
        <f t="shared" si="23"/>
        <v>0</v>
      </c>
      <c r="G513" s="24" cm="1">
        <f t="array" ref="G513">SUMPRODUCT(('TREASURY FILE'!B412:B5413=$G$4)*('TREASURY FILE'!D412:D5413="INCOME")*('TREASURY FILE'!A412:A5413=A513)*('TREASURY FILE'!F412:F5413))</f>
        <v>0</v>
      </c>
      <c r="H513" s="24" cm="1">
        <f t="array" ref="H513">SUMPRODUCT(('TREASURY FILE'!B412:B5413=$H$4)*('TREASURY FILE'!D412:D5413="INCOME")*('TREASURY FILE'!A412:A5413=A513)*('TREASURY FILE'!F412:F5413))</f>
        <v>0</v>
      </c>
      <c r="I513" s="24" cm="1">
        <f t="array" ref="I513">SUMPRODUCT(('TREASURY FILE'!D421:D5413=$I$4)*('TREASURY FILE'!F421:F5413="INCOME")*('TREASURY FILE'!C421:C5413=C513)*('TREASURY FILE'!H421:H5413))</f>
        <v>0</v>
      </c>
      <c r="J513" s="31">
        <f t="shared" si="24"/>
        <v>0</v>
      </c>
      <c r="K513" s="33" t="e">
        <f t="shared" si="25"/>
        <v>#DIV/0!</v>
      </c>
    </row>
    <row r="514" spans="1:11" x14ac:dyDescent="0.3">
      <c r="A514" s="30">
        <v>46167</v>
      </c>
      <c r="B514" s="24" cm="1">
        <f t="array" ref="B514">SUMPRODUCT(('TREASURY FILE'!B413:B5414=$B$4)*('TREASURY FILE'!D413:D5414="TURNOVER")*('TREASURY FILE'!A413:A5414=A514)*('TREASURY FILE'!F413:F5414))</f>
        <v>0</v>
      </c>
      <c r="C514" s="24" cm="1">
        <f t="array" ref="C514">SUMPRODUCT(('TREASURY FILE'!B413:B5414=$C$4)*('TREASURY FILE'!D413:D5414="TURNOVER")*('TREASURY FILE'!A413:A5414=A514)*('TREASURY FILE'!F413:F5414))</f>
        <v>0</v>
      </c>
      <c r="D514" s="24" cm="1">
        <f t="array" ref="D514">SUMPRODUCT(('TREASURY FILE'!B413:B5414=$D$4)*('TREASURY FILE'!D413:D5414="TURNOVER")*('TREASURY FILE'!A413:A5414=A514)*('TREASURY FILE'!F413:F5414))</f>
        <v>0</v>
      </c>
      <c r="E514" s="31">
        <f t="shared" si="23"/>
        <v>0</v>
      </c>
      <c r="G514" s="24" cm="1">
        <f t="array" ref="G514">SUMPRODUCT(('TREASURY FILE'!B413:B5414=$G$4)*('TREASURY FILE'!D413:D5414="INCOME")*('TREASURY FILE'!A413:A5414=A514)*('TREASURY FILE'!F413:F5414))</f>
        <v>0</v>
      </c>
      <c r="H514" s="24" cm="1">
        <f t="array" ref="H514">SUMPRODUCT(('TREASURY FILE'!B413:B5414=$H$4)*('TREASURY FILE'!D413:D5414="INCOME")*('TREASURY FILE'!A413:A5414=A514)*('TREASURY FILE'!F413:F5414))</f>
        <v>0</v>
      </c>
      <c r="I514" s="24" cm="1">
        <f t="array" ref="I514">SUMPRODUCT(('TREASURY FILE'!D422:D5414=$I$4)*('TREASURY FILE'!F422:F5414="INCOME")*('TREASURY FILE'!C422:C5414=C514)*('TREASURY FILE'!H422:H5414))</f>
        <v>0</v>
      </c>
      <c r="J514" s="31">
        <f t="shared" si="24"/>
        <v>0</v>
      </c>
      <c r="K514" s="33" t="e">
        <f t="shared" si="25"/>
        <v>#DIV/0!</v>
      </c>
    </row>
    <row r="515" spans="1:11" x14ac:dyDescent="0.3">
      <c r="A515" s="30">
        <v>46168</v>
      </c>
      <c r="B515" s="24" cm="1">
        <f t="array" ref="B515">SUMPRODUCT(('TREASURY FILE'!B414:B5415=$B$4)*('TREASURY FILE'!D414:D5415="TURNOVER")*('TREASURY FILE'!A414:A5415=A515)*('TREASURY FILE'!F414:F5415))</f>
        <v>0</v>
      </c>
      <c r="C515" s="24" cm="1">
        <f t="array" ref="C515">SUMPRODUCT(('TREASURY FILE'!B414:B5415=$C$4)*('TREASURY FILE'!D414:D5415="TURNOVER")*('TREASURY FILE'!A414:A5415=A515)*('TREASURY FILE'!F414:F5415))</f>
        <v>0</v>
      </c>
      <c r="D515" s="24" cm="1">
        <f t="array" ref="D515">SUMPRODUCT(('TREASURY FILE'!B414:B5415=$D$4)*('TREASURY FILE'!D414:D5415="TURNOVER")*('TREASURY FILE'!A414:A5415=A515)*('TREASURY FILE'!F414:F5415))</f>
        <v>0</v>
      </c>
      <c r="E515" s="31">
        <f t="shared" si="23"/>
        <v>0</v>
      </c>
      <c r="G515" s="24" cm="1">
        <f t="array" ref="G515">SUMPRODUCT(('TREASURY FILE'!B414:B5415=$G$4)*('TREASURY FILE'!D414:D5415="INCOME")*('TREASURY FILE'!A414:A5415=A515)*('TREASURY FILE'!F414:F5415))</f>
        <v>0</v>
      </c>
      <c r="H515" s="24" cm="1">
        <f t="array" ref="H515">SUMPRODUCT(('TREASURY FILE'!B414:B5415=$H$4)*('TREASURY FILE'!D414:D5415="INCOME")*('TREASURY FILE'!A414:A5415=A515)*('TREASURY FILE'!F414:F5415))</f>
        <v>0</v>
      </c>
      <c r="I515" s="24" cm="1">
        <f t="array" ref="I515">SUMPRODUCT(('TREASURY FILE'!D423:D5415=$I$4)*('TREASURY FILE'!F423:F5415="INCOME")*('TREASURY FILE'!C423:C5415=C515)*('TREASURY FILE'!H423:H5415))</f>
        <v>0</v>
      </c>
      <c r="J515" s="31">
        <f t="shared" si="24"/>
        <v>0</v>
      </c>
      <c r="K515" s="33" t="e">
        <f t="shared" si="25"/>
        <v>#DIV/0!</v>
      </c>
    </row>
    <row r="516" spans="1:11" x14ac:dyDescent="0.3">
      <c r="A516" s="30">
        <v>46169</v>
      </c>
      <c r="B516" s="24" cm="1">
        <f t="array" ref="B516">SUMPRODUCT(('TREASURY FILE'!B415:B5416=$B$4)*('TREASURY FILE'!D415:D5416="TURNOVER")*('TREASURY FILE'!A415:A5416=A516)*('TREASURY FILE'!F415:F5416))</f>
        <v>0</v>
      </c>
      <c r="C516" s="24" cm="1">
        <f t="array" ref="C516">SUMPRODUCT(('TREASURY FILE'!B415:B5416=$C$4)*('TREASURY FILE'!D415:D5416="TURNOVER")*('TREASURY FILE'!A415:A5416=A516)*('TREASURY FILE'!F415:F5416))</f>
        <v>0</v>
      </c>
      <c r="D516" s="24" cm="1">
        <f t="array" ref="D516">SUMPRODUCT(('TREASURY FILE'!B415:B5416=$D$4)*('TREASURY FILE'!D415:D5416="TURNOVER")*('TREASURY FILE'!A415:A5416=A516)*('TREASURY FILE'!F415:F5416))</f>
        <v>0</v>
      </c>
      <c r="E516" s="31">
        <f t="shared" si="23"/>
        <v>0</v>
      </c>
      <c r="G516" s="24" cm="1">
        <f t="array" ref="G516">SUMPRODUCT(('TREASURY FILE'!B415:B5416=$G$4)*('TREASURY FILE'!D415:D5416="INCOME")*('TREASURY FILE'!A415:A5416=A516)*('TREASURY FILE'!F415:F5416))</f>
        <v>0</v>
      </c>
      <c r="H516" s="24" cm="1">
        <f t="array" ref="H516">SUMPRODUCT(('TREASURY FILE'!B415:B5416=$H$4)*('TREASURY FILE'!D415:D5416="INCOME")*('TREASURY FILE'!A415:A5416=A516)*('TREASURY FILE'!F415:F5416))</f>
        <v>0</v>
      </c>
      <c r="I516" s="24" cm="1">
        <f t="array" ref="I516">SUMPRODUCT(('TREASURY FILE'!D424:D5416=$I$4)*('TREASURY FILE'!F424:F5416="INCOME")*('TREASURY FILE'!C424:C5416=C516)*('TREASURY FILE'!H424:H5416))</f>
        <v>0</v>
      </c>
      <c r="J516" s="31">
        <f t="shared" si="24"/>
        <v>0</v>
      </c>
      <c r="K516" s="33" t="e">
        <f t="shared" si="25"/>
        <v>#DIV/0!</v>
      </c>
    </row>
    <row r="517" spans="1:11" x14ac:dyDescent="0.3">
      <c r="A517" s="30">
        <v>46170</v>
      </c>
      <c r="B517" s="24" cm="1">
        <f t="array" ref="B517">SUMPRODUCT(('TREASURY FILE'!B416:B5417=$B$4)*('TREASURY FILE'!D416:D5417="TURNOVER")*('TREASURY FILE'!A416:A5417=A517)*('TREASURY FILE'!F416:F5417))</f>
        <v>0</v>
      </c>
      <c r="C517" s="24" cm="1">
        <f t="array" ref="C517">SUMPRODUCT(('TREASURY FILE'!B416:B5417=$C$4)*('TREASURY FILE'!D416:D5417="TURNOVER")*('TREASURY FILE'!A416:A5417=A517)*('TREASURY FILE'!F416:F5417))</f>
        <v>0</v>
      </c>
      <c r="D517" s="24" cm="1">
        <f t="array" ref="D517">SUMPRODUCT(('TREASURY FILE'!B416:B5417=$D$4)*('TREASURY FILE'!D416:D5417="TURNOVER")*('TREASURY FILE'!A416:A5417=A517)*('TREASURY FILE'!F416:F5417))</f>
        <v>0</v>
      </c>
      <c r="E517" s="31">
        <f t="shared" si="23"/>
        <v>0</v>
      </c>
      <c r="G517" s="24" cm="1">
        <f t="array" ref="G517">SUMPRODUCT(('TREASURY FILE'!B416:B5417=$G$4)*('TREASURY FILE'!D416:D5417="INCOME")*('TREASURY FILE'!A416:A5417=A517)*('TREASURY FILE'!F416:F5417))</f>
        <v>0</v>
      </c>
      <c r="H517" s="24" cm="1">
        <f t="array" ref="H517">SUMPRODUCT(('TREASURY FILE'!B416:B5417=$H$4)*('TREASURY FILE'!D416:D5417="INCOME")*('TREASURY FILE'!A416:A5417=A517)*('TREASURY FILE'!F416:F5417))</f>
        <v>0</v>
      </c>
      <c r="I517" s="24" cm="1">
        <f t="array" ref="I517">SUMPRODUCT(('TREASURY FILE'!D425:D5417=$I$4)*('TREASURY FILE'!F425:F5417="INCOME")*('TREASURY FILE'!C425:C5417=C517)*('TREASURY FILE'!H425:H5417))</f>
        <v>0</v>
      </c>
      <c r="J517" s="31">
        <f t="shared" si="24"/>
        <v>0</v>
      </c>
      <c r="K517" s="33" t="e">
        <f t="shared" si="25"/>
        <v>#DIV/0!</v>
      </c>
    </row>
    <row r="518" spans="1:11" x14ac:dyDescent="0.3">
      <c r="A518" s="30">
        <v>46171</v>
      </c>
      <c r="B518" s="24" cm="1">
        <f t="array" ref="B518">SUMPRODUCT(('TREASURY FILE'!B417:B5418=$B$4)*('TREASURY FILE'!D417:D5418="TURNOVER")*('TREASURY FILE'!A417:A5418=A518)*('TREASURY FILE'!F417:F5418))</f>
        <v>0</v>
      </c>
      <c r="C518" s="24" cm="1">
        <f t="array" ref="C518">SUMPRODUCT(('TREASURY FILE'!B417:B5418=$C$4)*('TREASURY FILE'!D417:D5418="TURNOVER")*('TREASURY FILE'!A417:A5418=A518)*('TREASURY FILE'!F417:F5418))</f>
        <v>0</v>
      </c>
      <c r="D518" s="24" cm="1">
        <f t="array" ref="D518">SUMPRODUCT(('TREASURY FILE'!B417:B5418=$D$4)*('TREASURY FILE'!D417:D5418="TURNOVER")*('TREASURY FILE'!A417:A5418=A518)*('TREASURY FILE'!F417:F5418))</f>
        <v>0</v>
      </c>
      <c r="E518" s="31">
        <f t="shared" ref="E518:E581" si="26">SUM(B518:D518)</f>
        <v>0</v>
      </c>
      <c r="G518" s="24" cm="1">
        <f t="array" ref="G518">SUMPRODUCT(('TREASURY FILE'!B417:B5418=$G$4)*('TREASURY FILE'!D417:D5418="INCOME")*('TREASURY FILE'!A417:A5418=A518)*('TREASURY FILE'!F417:F5418))</f>
        <v>0</v>
      </c>
      <c r="H518" s="24" cm="1">
        <f t="array" ref="H518">SUMPRODUCT(('TREASURY FILE'!B417:B5418=$H$4)*('TREASURY FILE'!D417:D5418="INCOME")*('TREASURY FILE'!A417:A5418=A518)*('TREASURY FILE'!F417:F5418))</f>
        <v>0</v>
      </c>
      <c r="I518" s="24" cm="1">
        <f t="array" ref="I518">SUMPRODUCT(('TREASURY FILE'!D426:D5418=$I$4)*('TREASURY FILE'!F426:F5418="INCOME")*('TREASURY FILE'!C426:C5418=C518)*('TREASURY FILE'!H426:H5418))</f>
        <v>0</v>
      </c>
      <c r="J518" s="31">
        <f t="shared" ref="J518:J581" si="27">SUM(G518:I518)</f>
        <v>0</v>
      </c>
      <c r="K518" s="33" t="e">
        <f t="shared" ref="K518:K581" si="28">+J518/E518</f>
        <v>#DIV/0!</v>
      </c>
    </row>
    <row r="519" spans="1:11" x14ac:dyDescent="0.3">
      <c r="A519" s="30">
        <v>46172</v>
      </c>
      <c r="B519" s="24" cm="1">
        <f t="array" ref="B519">SUMPRODUCT(('TREASURY FILE'!B418:B5419=$B$4)*('TREASURY FILE'!D418:D5419="TURNOVER")*('TREASURY FILE'!A418:A5419=A519)*('TREASURY FILE'!F418:F5419))</f>
        <v>0</v>
      </c>
      <c r="C519" s="24" cm="1">
        <f t="array" ref="C519">SUMPRODUCT(('TREASURY FILE'!B418:B5419=$C$4)*('TREASURY FILE'!D418:D5419="TURNOVER")*('TREASURY FILE'!A418:A5419=A519)*('TREASURY FILE'!F418:F5419))</f>
        <v>0</v>
      </c>
      <c r="D519" s="24" cm="1">
        <f t="array" ref="D519">SUMPRODUCT(('TREASURY FILE'!B418:B5419=$D$4)*('TREASURY FILE'!D418:D5419="TURNOVER")*('TREASURY FILE'!A418:A5419=A519)*('TREASURY FILE'!F418:F5419))</f>
        <v>0</v>
      </c>
      <c r="E519" s="31">
        <f t="shared" si="26"/>
        <v>0</v>
      </c>
      <c r="G519" s="24" cm="1">
        <f t="array" ref="G519">SUMPRODUCT(('TREASURY FILE'!B418:B5419=$G$4)*('TREASURY FILE'!D418:D5419="INCOME")*('TREASURY FILE'!A418:A5419=A519)*('TREASURY FILE'!F418:F5419))</f>
        <v>0</v>
      </c>
      <c r="H519" s="24" cm="1">
        <f t="array" ref="H519">SUMPRODUCT(('TREASURY FILE'!B418:B5419=$H$4)*('TREASURY FILE'!D418:D5419="INCOME")*('TREASURY FILE'!A418:A5419=A519)*('TREASURY FILE'!F418:F5419))</f>
        <v>0</v>
      </c>
      <c r="I519" s="24" cm="1">
        <f t="array" ref="I519">SUMPRODUCT(('TREASURY FILE'!D427:D5419=$I$4)*('TREASURY FILE'!F427:F5419="INCOME")*('TREASURY FILE'!C427:C5419=C519)*('TREASURY FILE'!H427:H5419))</f>
        <v>0</v>
      </c>
      <c r="J519" s="31">
        <f t="shared" si="27"/>
        <v>0</v>
      </c>
      <c r="K519" s="33" t="e">
        <f t="shared" si="28"/>
        <v>#DIV/0!</v>
      </c>
    </row>
    <row r="520" spans="1:11" x14ac:dyDescent="0.3">
      <c r="A520" s="30">
        <v>46173</v>
      </c>
      <c r="B520" s="24" cm="1">
        <f t="array" ref="B520">SUMPRODUCT(('TREASURY FILE'!B419:B5420=$B$4)*('TREASURY FILE'!D419:D5420="TURNOVER")*('TREASURY FILE'!A419:A5420=A520)*('TREASURY FILE'!F419:F5420))</f>
        <v>0</v>
      </c>
      <c r="C520" s="24" cm="1">
        <f t="array" ref="C520">SUMPRODUCT(('TREASURY FILE'!B419:B5420=$C$4)*('TREASURY FILE'!D419:D5420="TURNOVER")*('TREASURY FILE'!A419:A5420=A520)*('TREASURY FILE'!F419:F5420))</f>
        <v>0</v>
      </c>
      <c r="D520" s="24" cm="1">
        <f t="array" ref="D520">SUMPRODUCT(('TREASURY FILE'!B419:B5420=$D$4)*('TREASURY FILE'!D419:D5420="TURNOVER")*('TREASURY FILE'!A419:A5420=A520)*('TREASURY FILE'!F419:F5420))</f>
        <v>0</v>
      </c>
      <c r="E520" s="31">
        <f t="shared" si="26"/>
        <v>0</v>
      </c>
      <c r="G520" s="24" cm="1">
        <f t="array" ref="G520">SUMPRODUCT(('TREASURY FILE'!B419:B5420=$G$4)*('TREASURY FILE'!D419:D5420="INCOME")*('TREASURY FILE'!A419:A5420=A520)*('TREASURY FILE'!F419:F5420))</f>
        <v>0</v>
      </c>
      <c r="H520" s="24" cm="1">
        <f t="array" ref="H520">SUMPRODUCT(('TREASURY FILE'!B419:B5420=$H$4)*('TREASURY FILE'!D419:D5420="INCOME")*('TREASURY FILE'!A419:A5420=A520)*('TREASURY FILE'!F419:F5420))</f>
        <v>0</v>
      </c>
      <c r="I520" s="24" cm="1">
        <f t="array" ref="I520">SUMPRODUCT(('TREASURY FILE'!D428:D5420=$I$4)*('TREASURY FILE'!F428:F5420="INCOME")*('TREASURY FILE'!C428:C5420=C520)*('TREASURY FILE'!H428:H5420))</f>
        <v>0</v>
      </c>
      <c r="J520" s="31">
        <f t="shared" si="27"/>
        <v>0</v>
      </c>
      <c r="K520" s="33" t="e">
        <f t="shared" si="28"/>
        <v>#DIV/0!</v>
      </c>
    </row>
    <row r="521" spans="1:11" x14ac:dyDescent="0.3">
      <c r="A521" s="30">
        <v>46174</v>
      </c>
      <c r="B521" s="24" cm="1">
        <f t="array" ref="B521">SUMPRODUCT(('TREASURY FILE'!B420:B5421=$B$4)*('TREASURY FILE'!D420:D5421="TURNOVER")*('TREASURY FILE'!A420:A5421=A521)*('TREASURY FILE'!F420:F5421))</f>
        <v>0</v>
      </c>
      <c r="C521" s="24" cm="1">
        <f t="array" ref="C521">SUMPRODUCT(('TREASURY FILE'!B420:B5421=$C$4)*('TREASURY FILE'!D420:D5421="TURNOVER")*('TREASURY FILE'!A420:A5421=A521)*('TREASURY FILE'!F420:F5421))</f>
        <v>0</v>
      </c>
      <c r="D521" s="24" cm="1">
        <f t="array" ref="D521">SUMPRODUCT(('TREASURY FILE'!B420:B5421=$D$4)*('TREASURY FILE'!D420:D5421="TURNOVER")*('TREASURY FILE'!A420:A5421=A521)*('TREASURY FILE'!F420:F5421))</f>
        <v>0</v>
      </c>
      <c r="E521" s="31">
        <f t="shared" si="26"/>
        <v>0</v>
      </c>
      <c r="G521" s="24" cm="1">
        <f t="array" ref="G521">SUMPRODUCT(('TREASURY FILE'!B420:B5421=$G$4)*('TREASURY FILE'!D420:D5421="INCOME")*('TREASURY FILE'!A420:A5421=A521)*('TREASURY FILE'!F420:F5421))</f>
        <v>0</v>
      </c>
      <c r="H521" s="24" cm="1">
        <f t="array" ref="H521">SUMPRODUCT(('TREASURY FILE'!B420:B5421=$H$4)*('TREASURY FILE'!D420:D5421="INCOME")*('TREASURY FILE'!A420:A5421=A521)*('TREASURY FILE'!F420:F5421))</f>
        <v>0</v>
      </c>
      <c r="I521" s="24" cm="1">
        <f t="array" ref="I521">SUMPRODUCT(('TREASURY FILE'!D429:D5421=$I$4)*('TREASURY FILE'!F429:F5421="INCOME")*('TREASURY FILE'!C429:C5421=C521)*('TREASURY FILE'!H429:H5421))</f>
        <v>0</v>
      </c>
      <c r="J521" s="31">
        <f t="shared" si="27"/>
        <v>0</v>
      </c>
      <c r="K521" s="33" t="e">
        <f t="shared" si="28"/>
        <v>#DIV/0!</v>
      </c>
    </row>
    <row r="522" spans="1:11" x14ac:dyDescent="0.3">
      <c r="A522" s="30">
        <v>46175</v>
      </c>
      <c r="B522" s="24" cm="1">
        <f t="array" ref="B522">SUMPRODUCT(('TREASURY FILE'!B421:B5422=$B$4)*('TREASURY FILE'!D421:D5422="TURNOVER")*('TREASURY FILE'!A421:A5422=A522)*('TREASURY FILE'!F421:F5422))</f>
        <v>0</v>
      </c>
      <c r="C522" s="24" cm="1">
        <f t="array" ref="C522">SUMPRODUCT(('TREASURY FILE'!B421:B5422=$C$4)*('TREASURY FILE'!D421:D5422="TURNOVER")*('TREASURY FILE'!A421:A5422=A522)*('TREASURY FILE'!F421:F5422))</f>
        <v>0</v>
      </c>
      <c r="D522" s="24" cm="1">
        <f t="array" ref="D522">SUMPRODUCT(('TREASURY FILE'!B421:B5422=$D$4)*('TREASURY FILE'!D421:D5422="TURNOVER")*('TREASURY FILE'!A421:A5422=A522)*('TREASURY FILE'!F421:F5422))</f>
        <v>0</v>
      </c>
      <c r="E522" s="31">
        <f t="shared" si="26"/>
        <v>0</v>
      </c>
      <c r="G522" s="24" cm="1">
        <f t="array" ref="G522">SUMPRODUCT(('TREASURY FILE'!B421:B5422=$G$4)*('TREASURY FILE'!D421:D5422="INCOME")*('TREASURY FILE'!A421:A5422=A522)*('TREASURY FILE'!F421:F5422))</f>
        <v>0</v>
      </c>
      <c r="H522" s="24" cm="1">
        <f t="array" ref="H522">SUMPRODUCT(('TREASURY FILE'!B421:B5422=$H$4)*('TREASURY FILE'!D421:D5422="INCOME")*('TREASURY FILE'!A421:A5422=A522)*('TREASURY FILE'!F421:F5422))</f>
        <v>0</v>
      </c>
      <c r="I522" s="24" cm="1">
        <f t="array" ref="I522">SUMPRODUCT(('TREASURY FILE'!D430:D5422=$I$4)*('TREASURY FILE'!F430:F5422="INCOME")*('TREASURY FILE'!C430:C5422=C522)*('TREASURY FILE'!H430:H5422))</f>
        <v>0</v>
      </c>
      <c r="J522" s="31">
        <f t="shared" si="27"/>
        <v>0</v>
      </c>
      <c r="K522" s="33" t="e">
        <f t="shared" si="28"/>
        <v>#DIV/0!</v>
      </c>
    </row>
    <row r="523" spans="1:11" x14ac:dyDescent="0.3">
      <c r="A523" s="30">
        <v>46176</v>
      </c>
      <c r="B523" s="24" cm="1">
        <f t="array" ref="B523">SUMPRODUCT(('TREASURY FILE'!B422:B5423=$B$4)*('TREASURY FILE'!D422:D5423="TURNOVER")*('TREASURY FILE'!A422:A5423=A523)*('TREASURY FILE'!F422:F5423))</f>
        <v>0</v>
      </c>
      <c r="C523" s="24" cm="1">
        <f t="array" ref="C523">SUMPRODUCT(('TREASURY FILE'!B422:B5423=$C$4)*('TREASURY FILE'!D422:D5423="TURNOVER")*('TREASURY FILE'!A422:A5423=A523)*('TREASURY FILE'!F422:F5423))</f>
        <v>0</v>
      </c>
      <c r="D523" s="24" cm="1">
        <f t="array" ref="D523">SUMPRODUCT(('TREASURY FILE'!B422:B5423=$D$4)*('TREASURY FILE'!D422:D5423="TURNOVER")*('TREASURY FILE'!A422:A5423=A523)*('TREASURY FILE'!F422:F5423))</f>
        <v>0</v>
      </c>
      <c r="E523" s="31">
        <f t="shared" si="26"/>
        <v>0</v>
      </c>
      <c r="G523" s="24" cm="1">
        <f t="array" ref="G523">SUMPRODUCT(('TREASURY FILE'!B422:B5423=$G$4)*('TREASURY FILE'!D422:D5423="INCOME")*('TREASURY FILE'!A422:A5423=A523)*('TREASURY FILE'!F422:F5423))</f>
        <v>0</v>
      </c>
      <c r="H523" s="24" cm="1">
        <f t="array" ref="H523">SUMPRODUCT(('TREASURY FILE'!B422:B5423=$H$4)*('TREASURY FILE'!D422:D5423="INCOME")*('TREASURY FILE'!A422:A5423=A523)*('TREASURY FILE'!F422:F5423))</f>
        <v>0</v>
      </c>
      <c r="I523" s="24" cm="1">
        <f t="array" ref="I523">SUMPRODUCT(('TREASURY FILE'!D431:D5423=$I$4)*('TREASURY FILE'!F431:F5423="INCOME")*('TREASURY FILE'!C431:C5423=C523)*('TREASURY FILE'!H431:H5423))</f>
        <v>0</v>
      </c>
      <c r="J523" s="31">
        <f t="shared" si="27"/>
        <v>0</v>
      </c>
      <c r="K523" s="33" t="e">
        <f t="shared" si="28"/>
        <v>#DIV/0!</v>
      </c>
    </row>
    <row r="524" spans="1:11" x14ac:dyDescent="0.3">
      <c r="A524" s="30">
        <v>46177</v>
      </c>
      <c r="B524" s="24" cm="1">
        <f t="array" ref="B524">SUMPRODUCT(('TREASURY FILE'!B423:B5424=$B$4)*('TREASURY FILE'!D423:D5424="TURNOVER")*('TREASURY FILE'!A423:A5424=A524)*('TREASURY FILE'!F423:F5424))</f>
        <v>0</v>
      </c>
      <c r="C524" s="24" cm="1">
        <f t="array" ref="C524">SUMPRODUCT(('TREASURY FILE'!B423:B5424=$C$4)*('TREASURY FILE'!D423:D5424="TURNOVER")*('TREASURY FILE'!A423:A5424=A524)*('TREASURY FILE'!F423:F5424))</f>
        <v>0</v>
      </c>
      <c r="D524" s="24" cm="1">
        <f t="array" ref="D524">SUMPRODUCT(('TREASURY FILE'!B423:B5424=$D$4)*('TREASURY FILE'!D423:D5424="TURNOVER")*('TREASURY FILE'!A423:A5424=A524)*('TREASURY FILE'!F423:F5424))</f>
        <v>0</v>
      </c>
      <c r="E524" s="31">
        <f t="shared" si="26"/>
        <v>0</v>
      </c>
      <c r="G524" s="24" cm="1">
        <f t="array" ref="G524">SUMPRODUCT(('TREASURY FILE'!B423:B5424=$G$4)*('TREASURY FILE'!D423:D5424="INCOME")*('TREASURY FILE'!A423:A5424=A524)*('TREASURY FILE'!F423:F5424))</f>
        <v>0</v>
      </c>
      <c r="H524" s="24" cm="1">
        <f t="array" ref="H524">SUMPRODUCT(('TREASURY FILE'!B423:B5424=$H$4)*('TREASURY FILE'!D423:D5424="INCOME")*('TREASURY FILE'!A423:A5424=A524)*('TREASURY FILE'!F423:F5424))</f>
        <v>0</v>
      </c>
      <c r="I524" s="24" cm="1">
        <f t="array" ref="I524">SUMPRODUCT(('TREASURY FILE'!D432:D5424=$I$4)*('TREASURY FILE'!F432:F5424="INCOME")*('TREASURY FILE'!C432:C5424=C524)*('TREASURY FILE'!H432:H5424))</f>
        <v>0</v>
      </c>
      <c r="J524" s="31">
        <f t="shared" si="27"/>
        <v>0</v>
      </c>
      <c r="K524" s="33" t="e">
        <f t="shared" si="28"/>
        <v>#DIV/0!</v>
      </c>
    </row>
    <row r="525" spans="1:11" x14ac:dyDescent="0.3">
      <c r="A525" s="30">
        <v>46178</v>
      </c>
      <c r="B525" s="24" cm="1">
        <f t="array" ref="B525">SUMPRODUCT(('TREASURY FILE'!B424:B5425=$B$4)*('TREASURY FILE'!D424:D5425="TURNOVER")*('TREASURY FILE'!A424:A5425=A525)*('TREASURY FILE'!F424:F5425))</f>
        <v>0</v>
      </c>
      <c r="C525" s="24" cm="1">
        <f t="array" ref="C525">SUMPRODUCT(('TREASURY FILE'!B424:B5425=$C$4)*('TREASURY FILE'!D424:D5425="TURNOVER")*('TREASURY FILE'!A424:A5425=A525)*('TREASURY FILE'!F424:F5425))</f>
        <v>0</v>
      </c>
      <c r="D525" s="24" cm="1">
        <f t="array" ref="D525">SUMPRODUCT(('TREASURY FILE'!B424:B5425=$D$4)*('TREASURY FILE'!D424:D5425="TURNOVER")*('TREASURY FILE'!A424:A5425=A525)*('TREASURY FILE'!F424:F5425))</f>
        <v>0</v>
      </c>
      <c r="E525" s="31">
        <f t="shared" si="26"/>
        <v>0</v>
      </c>
      <c r="G525" s="24" cm="1">
        <f t="array" ref="G525">SUMPRODUCT(('TREASURY FILE'!B424:B5425=$G$4)*('TREASURY FILE'!D424:D5425="INCOME")*('TREASURY FILE'!A424:A5425=A525)*('TREASURY FILE'!F424:F5425))</f>
        <v>0</v>
      </c>
      <c r="H525" s="24" cm="1">
        <f t="array" ref="H525">SUMPRODUCT(('TREASURY FILE'!B424:B5425=$H$4)*('TREASURY FILE'!D424:D5425="INCOME")*('TREASURY FILE'!A424:A5425=A525)*('TREASURY FILE'!F424:F5425))</f>
        <v>0</v>
      </c>
      <c r="I525" s="24" cm="1">
        <f t="array" ref="I525">SUMPRODUCT(('TREASURY FILE'!D433:D5425=$I$4)*('TREASURY FILE'!F433:F5425="INCOME")*('TREASURY FILE'!C433:C5425=C525)*('TREASURY FILE'!H433:H5425))</f>
        <v>0</v>
      </c>
      <c r="J525" s="31">
        <f t="shared" si="27"/>
        <v>0</v>
      </c>
      <c r="K525" s="33" t="e">
        <f t="shared" si="28"/>
        <v>#DIV/0!</v>
      </c>
    </row>
    <row r="526" spans="1:11" x14ac:dyDescent="0.3">
      <c r="A526" s="30">
        <v>46179</v>
      </c>
      <c r="B526" s="24" cm="1">
        <f t="array" ref="B526">SUMPRODUCT(('TREASURY FILE'!B425:B5426=$B$4)*('TREASURY FILE'!D425:D5426="TURNOVER")*('TREASURY FILE'!A425:A5426=A526)*('TREASURY FILE'!F425:F5426))</f>
        <v>0</v>
      </c>
      <c r="C526" s="24" cm="1">
        <f t="array" ref="C526">SUMPRODUCT(('TREASURY FILE'!B425:B5426=$C$4)*('TREASURY FILE'!D425:D5426="TURNOVER")*('TREASURY FILE'!A425:A5426=A526)*('TREASURY FILE'!F425:F5426))</f>
        <v>0</v>
      </c>
      <c r="D526" s="24" cm="1">
        <f t="array" ref="D526">SUMPRODUCT(('TREASURY FILE'!B425:B5426=$D$4)*('TREASURY FILE'!D425:D5426="TURNOVER")*('TREASURY FILE'!A425:A5426=A526)*('TREASURY FILE'!F425:F5426))</f>
        <v>0</v>
      </c>
      <c r="E526" s="31">
        <f t="shared" si="26"/>
        <v>0</v>
      </c>
      <c r="G526" s="24" cm="1">
        <f t="array" ref="G526">SUMPRODUCT(('TREASURY FILE'!B425:B5426=$G$4)*('TREASURY FILE'!D425:D5426="INCOME")*('TREASURY FILE'!A425:A5426=A526)*('TREASURY FILE'!F425:F5426))</f>
        <v>0</v>
      </c>
      <c r="H526" s="24" cm="1">
        <f t="array" ref="H526">SUMPRODUCT(('TREASURY FILE'!B425:B5426=$H$4)*('TREASURY FILE'!D425:D5426="INCOME")*('TREASURY FILE'!A425:A5426=A526)*('TREASURY FILE'!F425:F5426))</f>
        <v>0</v>
      </c>
      <c r="I526" s="24" cm="1">
        <f t="array" ref="I526">SUMPRODUCT(('TREASURY FILE'!D434:D5426=$I$4)*('TREASURY FILE'!F434:F5426="INCOME")*('TREASURY FILE'!C434:C5426=C526)*('TREASURY FILE'!H434:H5426))</f>
        <v>0</v>
      </c>
      <c r="J526" s="31">
        <f t="shared" si="27"/>
        <v>0</v>
      </c>
      <c r="K526" s="33" t="e">
        <f t="shared" si="28"/>
        <v>#DIV/0!</v>
      </c>
    </row>
    <row r="527" spans="1:11" x14ac:dyDescent="0.3">
      <c r="A527" s="30">
        <v>46180</v>
      </c>
      <c r="B527" s="24" cm="1">
        <f t="array" ref="B527">SUMPRODUCT(('TREASURY FILE'!B426:B5427=$B$4)*('TREASURY FILE'!D426:D5427="TURNOVER")*('TREASURY FILE'!A426:A5427=A527)*('TREASURY FILE'!F426:F5427))</f>
        <v>0</v>
      </c>
      <c r="C527" s="24" cm="1">
        <f t="array" ref="C527">SUMPRODUCT(('TREASURY FILE'!B426:B5427=$C$4)*('TREASURY FILE'!D426:D5427="TURNOVER")*('TREASURY FILE'!A426:A5427=A527)*('TREASURY FILE'!F426:F5427))</f>
        <v>0</v>
      </c>
      <c r="D527" s="24" cm="1">
        <f t="array" ref="D527">SUMPRODUCT(('TREASURY FILE'!B426:B5427=$D$4)*('TREASURY FILE'!D426:D5427="TURNOVER")*('TREASURY FILE'!A426:A5427=A527)*('TREASURY FILE'!F426:F5427))</f>
        <v>0</v>
      </c>
      <c r="E527" s="31">
        <f t="shared" si="26"/>
        <v>0</v>
      </c>
      <c r="G527" s="24" cm="1">
        <f t="array" ref="G527">SUMPRODUCT(('TREASURY FILE'!B426:B5427=$G$4)*('TREASURY FILE'!D426:D5427="INCOME")*('TREASURY FILE'!A426:A5427=A527)*('TREASURY FILE'!F426:F5427))</f>
        <v>0</v>
      </c>
      <c r="H527" s="24" cm="1">
        <f t="array" ref="H527">SUMPRODUCT(('TREASURY FILE'!B426:B5427=$H$4)*('TREASURY FILE'!D426:D5427="INCOME")*('TREASURY FILE'!A426:A5427=A527)*('TREASURY FILE'!F426:F5427))</f>
        <v>0</v>
      </c>
      <c r="I527" s="24" cm="1">
        <f t="array" ref="I527">SUMPRODUCT(('TREASURY FILE'!D435:D5427=$I$4)*('TREASURY FILE'!F435:F5427="INCOME")*('TREASURY FILE'!C435:C5427=C527)*('TREASURY FILE'!H435:H5427))</f>
        <v>0</v>
      </c>
      <c r="J527" s="31">
        <f t="shared" si="27"/>
        <v>0</v>
      </c>
      <c r="K527" s="33" t="e">
        <f t="shared" si="28"/>
        <v>#DIV/0!</v>
      </c>
    </row>
    <row r="528" spans="1:11" x14ac:dyDescent="0.3">
      <c r="A528" s="30">
        <v>46181</v>
      </c>
      <c r="B528" s="24" cm="1">
        <f t="array" ref="B528">SUMPRODUCT(('TREASURY FILE'!B427:B5428=$B$4)*('TREASURY FILE'!D427:D5428="TURNOVER")*('TREASURY FILE'!A427:A5428=A528)*('TREASURY FILE'!F427:F5428))</f>
        <v>0</v>
      </c>
      <c r="C528" s="24" cm="1">
        <f t="array" ref="C528">SUMPRODUCT(('TREASURY FILE'!B427:B5428=$C$4)*('TREASURY FILE'!D427:D5428="TURNOVER")*('TREASURY FILE'!A427:A5428=A528)*('TREASURY FILE'!F427:F5428))</f>
        <v>0</v>
      </c>
      <c r="D528" s="24" cm="1">
        <f t="array" ref="D528">SUMPRODUCT(('TREASURY FILE'!B427:B5428=$D$4)*('TREASURY FILE'!D427:D5428="TURNOVER")*('TREASURY FILE'!A427:A5428=A528)*('TREASURY FILE'!F427:F5428))</f>
        <v>0</v>
      </c>
      <c r="E528" s="31">
        <f t="shared" si="26"/>
        <v>0</v>
      </c>
      <c r="G528" s="24" cm="1">
        <f t="array" ref="G528">SUMPRODUCT(('TREASURY FILE'!B427:B5428=$G$4)*('TREASURY FILE'!D427:D5428="INCOME")*('TREASURY FILE'!A427:A5428=A528)*('TREASURY FILE'!F427:F5428))</f>
        <v>0</v>
      </c>
      <c r="H528" s="24" cm="1">
        <f t="array" ref="H528">SUMPRODUCT(('TREASURY FILE'!B427:B5428=$H$4)*('TREASURY FILE'!D427:D5428="INCOME")*('TREASURY FILE'!A427:A5428=A528)*('TREASURY FILE'!F427:F5428))</f>
        <v>0</v>
      </c>
      <c r="I528" s="24" cm="1">
        <f t="array" ref="I528">SUMPRODUCT(('TREASURY FILE'!D436:D5428=$I$4)*('TREASURY FILE'!F436:F5428="INCOME")*('TREASURY FILE'!C436:C5428=C528)*('TREASURY FILE'!H436:H5428))</f>
        <v>0</v>
      </c>
      <c r="J528" s="31">
        <f t="shared" si="27"/>
        <v>0</v>
      </c>
      <c r="K528" s="33" t="e">
        <f t="shared" si="28"/>
        <v>#DIV/0!</v>
      </c>
    </row>
    <row r="529" spans="1:11" x14ac:dyDescent="0.3">
      <c r="A529" s="30">
        <v>46182</v>
      </c>
      <c r="B529" s="24" cm="1">
        <f t="array" ref="B529">SUMPRODUCT(('TREASURY FILE'!B428:B5429=$B$4)*('TREASURY FILE'!D428:D5429="TURNOVER")*('TREASURY FILE'!A428:A5429=A529)*('TREASURY FILE'!F428:F5429))</f>
        <v>0</v>
      </c>
      <c r="C529" s="24" cm="1">
        <f t="array" ref="C529">SUMPRODUCT(('TREASURY FILE'!B428:B5429=$C$4)*('TREASURY FILE'!D428:D5429="TURNOVER")*('TREASURY FILE'!A428:A5429=A529)*('TREASURY FILE'!F428:F5429))</f>
        <v>0</v>
      </c>
      <c r="D529" s="24" cm="1">
        <f t="array" ref="D529">SUMPRODUCT(('TREASURY FILE'!B428:B5429=$D$4)*('TREASURY FILE'!D428:D5429="TURNOVER")*('TREASURY FILE'!A428:A5429=A529)*('TREASURY FILE'!F428:F5429))</f>
        <v>0</v>
      </c>
      <c r="E529" s="31">
        <f t="shared" si="26"/>
        <v>0</v>
      </c>
      <c r="G529" s="24" cm="1">
        <f t="array" ref="G529">SUMPRODUCT(('TREASURY FILE'!B428:B5429=$G$4)*('TREASURY FILE'!D428:D5429="INCOME")*('TREASURY FILE'!A428:A5429=A529)*('TREASURY FILE'!F428:F5429))</f>
        <v>0</v>
      </c>
      <c r="H529" s="24" cm="1">
        <f t="array" ref="H529">SUMPRODUCT(('TREASURY FILE'!B428:B5429=$H$4)*('TREASURY FILE'!D428:D5429="INCOME")*('TREASURY FILE'!A428:A5429=A529)*('TREASURY FILE'!F428:F5429))</f>
        <v>0</v>
      </c>
      <c r="I529" s="24" cm="1">
        <f t="array" ref="I529">SUMPRODUCT(('TREASURY FILE'!D437:D5429=$I$4)*('TREASURY FILE'!F437:F5429="INCOME")*('TREASURY FILE'!C437:C5429=C529)*('TREASURY FILE'!H437:H5429))</f>
        <v>0</v>
      </c>
      <c r="J529" s="31">
        <f t="shared" si="27"/>
        <v>0</v>
      </c>
      <c r="K529" s="33" t="e">
        <f t="shared" si="28"/>
        <v>#DIV/0!</v>
      </c>
    </row>
    <row r="530" spans="1:11" x14ac:dyDescent="0.3">
      <c r="A530" s="30">
        <v>46183</v>
      </c>
      <c r="B530" s="24" cm="1">
        <f t="array" ref="B530">SUMPRODUCT(('TREASURY FILE'!B429:B5430=$B$4)*('TREASURY FILE'!D429:D5430="TURNOVER")*('TREASURY FILE'!A429:A5430=A530)*('TREASURY FILE'!F429:F5430))</f>
        <v>0</v>
      </c>
      <c r="C530" s="24" cm="1">
        <f t="array" ref="C530">SUMPRODUCT(('TREASURY FILE'!B429:B5430=$C$4)*('TREASURY FILE'!D429:D5430="TURNOVER")*('TREASURY FILE'!A429:A5430=A530)*('TREASURY FILE'!F429:F5430))</f>
        <v>0</v>
      </c>
      <c r="D530" s="24" cm="1">
        <f t="array" ref="D530">SUMPRODUCT(('TREASURY FILE'!B429:B5430=$D$4)*('TREASURY FILE'!D429:D5430="TURNOVER")*('TREASURY FILE'!A429:A5430=A530)*('TREASURY FILE'!F429:F5430))</f>
        <v>0</v>
      </c>
      <c r="E530" s="31">
        <f t="shared" si="26"/>
        <v>0</v>
      </c>
      <c r="G530" s="24" cm="1">
        <f t="array" ref="G530">SUMPRODUCT(('TREASURY FILE'!B429:B5430=$G$4)*('TREASURY FILE'!D429:D5430="INCOME")*('TREASURY FILE'!A429:A5430=A530)*('TREASURY FILE'!F429:F5430))</f>
        <v>0</v>
      </c>
      <c r="H530" s="24" cm="1">
        <f t="array" ref="H530">SUMPRODUCT(('TREASURY FILE'!B429:B5430=$H$4)*('TREASURY FILE'!D429:D5430="INCOME")*('TREASURY FILE'!A429:A5430=A530)*('TREASURY FILE'!F429:F5430))</f>
        <v>0</v>
      </c>
      <c r="I530" s="24" cm="1">
        <f t="array" ref="I530">SUMPRODUCT(('TREASURY FILE'!D438:D5430=$I$4)*('TREASURY FILE'!F438:F5430="INCOME")*('TREASURY FILE'!C438:C5430=C530)*('TREASURY FILE'!H438:H5430))</f>
        <v>0</v>
      </c>
      <c r="J530" s="31">
        <f t="shared" si="27"/>
        <v>0</v>
      </c>
      <c r="K530" s="33" t="e">
        <f t="shared" si="28"/>
        <v>#DIV/0!</v>
      </c>
    </row>
    <row r="531" spans="1:11" x14ac:dyDescent="0.3">
      <c r="A531" s="30">
        <v>46184</v>
      </c>
      <c r="B531" s="24" cm="1">
        <f t="array" ref="B531">SUMPRODUCT(('TREASURY FILE'!B430:B5431=$B$4)*('TREASURY FILE'!D430:D5431="TURNOVER")*('TREASURY FILE'!A430:A5431=A531)*('TREASURY FILE'!F430:F5431))</f>
        <v>0</v>
      </c>
      <c r="C531" s="24" cm="1">
        <f t="array" ref="C531">SUMPRODUCT(('TREASURY FILE'!B430:B5431=$C$4)*('TREASURY FILE'!D430:D5431="TURNOVER")*('TREASURY FILE'!A430:A5431=A531)*('TREASURY FILE'!F430:F5431))</f>
        <v>0</v>
      </c>
      <c r="D531" s="24" cm="1">
        <f t="array" ref="D531">SUMPRODUCT(('TREASURY FILE'!B430:B5431=$D$4)*('TREASURY FILE'!D430:D5431="TURNOVER")*('TREASURY FILE'!A430:A5431=A531)*('TREASURY FILE'!F430:F5431))</f>
        <v>0</v>
      </c>
      <c r="E531" s="31">
        <f t="shared" si="26"/>
        <v>0</v>
      </c>
      <c r="G531" s="24" cm="1">
        <f t="array" ref="G531">SUMPRODUCT(('TREASURY FILE'!B430:B5431=$G$4)*('TREASURY FILE'!D430:D5431="INCOME")*('TREASURY FILE'!A430:A5431=A531)*('TREASURY FILE'!F430:F5431))</f>
        <v>0</v>
      </c>
      <c r="H531" s="24" cm="1">
        <f t="array" ref="H531">SUMPRODUCT(('TREASURY FILE'!B430:B5431=$H$4)*('TREASURY FILE'!D430:D5431="INCOME")*('TREASURY FILE'!A430:A5431=A531)*('TREASURY FILE'!F430:F5431))</f>
        <v>0</v>
      </c>
      <c r="I531" s="24" cm="1">
        <f t="array" ref="I531">SUMPRODUCT(('TREASURY FILE'!D439:D5431=$I$4)*('TREASURY FILE'!F439:F5431="INCOME")*('TREASURY FILE'!C439:C5431=C531)*('TREASURY FILE'!H439:H5431))</f>
        <v>0</v>
      </c>
      <c r="J531" s="31">
        <f t="shared" si="27"/>
        <v>0</v>
      </c>
      <c r="K531" s="33" t="e">
        <f t="shared" si="28"/>
        <v>#DIV/0!</v>
      </c>
    </row>
    <row r="532" spans="1:11" x14ac:dyDescent="0.3">
      <c r="A532" s="30">
        <v>46185</v>
      </c>
      <c r="B532" s="24" cm="1">
        <f t="array" ref="B532">SUMPRODUCT(('TREASURY FILE'!B431:B5432=$B$4)*('TREASURY FILE'!D431:D5432="TURNOVER")*('TREASURY FILE'!A431:A5432=A532)*('TREASURY FILE'!F431:F5432))</f>
        <v>0</v>
      </c>
      <c r="C532" s="24" cm="1">
        <f t="array" ref="C532">SUMPRODUCT(('TREASURY FILE'!B431:B5432=$C$4)*('TREASURY FILE'!D431:D5432="TURNOVER")*('TREASURY FILE'!A431:A5432=A532)*('TREASURY FILE'!F431:F5432))</f>
        <v>0</v>
      </c>
      <c r="D532" s="24" cm="1">
        <f t="array" ref="D532">SUMPRODUCT(('TREASURY FILE'!B431:B5432=$D$4)*('TREASURY FILE'!D431:D5432="TURNOVER")*('TREASURY FILE'!A431:A5432=A532)*('TREASURY FILE'!F431:F5432))</f>
        <v>0</v>
      </c>
      <c r="E532" s="31">
        <f t="shared" si="26"/>
        <v>0</v>
      </c>
      <c r="G532" s="24" cm="1">
        <f t="array" ref="G532">SUMPRODUCT(('TREASURY FILE'!B431:B5432=$G$4)*('TREASURY FILE'!D431:D5432="INCOME")*('TREASURY FILE'!A431:A5432=A532)*('TREASURY FILE'!F431:F5432))</f>
        <v>0</v>
      </c>
      <c r="H532" s="24" cm="1">
        <f t="array" ref="H532">SUMPRODUCT(('TREASURY FILE'!B431:B5432=$H$4)*('TREASURY FILE'!D431:D5432="INCOME")*('TREASURY FILE'!A431:A5432=A532)*('TREASURY FILE'!F431:F5432))</f>
        <v>0</v>
      </c>
      <c r="I532" s="24" cm="1">
        <f t="array" ref="I532">SUMPRODUCT(('TREASURY FILE'!D440:D5432=$I$4)*('TREASURY FILE'!F440:F5432="INCOME")*('TREASURY FILE'!C440:C5432=C532)*('TREASURY FILE'!H440:H5432))</f>
        <v>0</v>
      </c>
      <c r="J532" s="31">
        <f t="shared" si="27"/>
        <v>0</v>
      </c>
      <c r="K532" s="33" t="e">
        <f t="shared" si="28"/>
        <v>#DIV/0!</v>
      </c>
    </row>
    <row r="533" spans="1:11" x14ac:dyDescent="0.3">
      <c r="A533" s="30">
        <v>46186</v>
      </c>
      <c r="B533" s="24" cm="1">
        <f t="array" ref="B533">SUMPRODUCT(('TREASURY FILE'!B432:B5433=$B$4)*('TREASURY FILE'!D432:D5433="TURNOVER")*('TREASURY FILE'!A432:A5433=A533)*('TREASURY FILE'!F432:F5433))</f>
        <v>0</v>
      </c>
      <c r="C533" s="24" cm="1">
        <f t="array" ref="C533">SUMPRODUCT(('TREASURY FILE'!B432:B5433=$C$4)*('TREASURY FILE'!D432:D5433="TURNOVER")*('TREASURY FILE'!A432:A5433=A533)*('TREASURY FILE'!F432:F5433))</f>
        <v>0</v>
      </c>
      <c r="D533" s="24" cm="1">
        <f t="array" ref="D533">SUMPRODUCT(('TREASURY FILE'!B432:B5433=$D$4)*('TREASURY FILE'!D432:D5433="TURNOVER")*('TREASURY FILE'!A432:A5433=A533)*('TREASURY FILE'!F432:F5433))</f>
        <v>0</v>
      </c>
      <c r="E533" s="31">
        <f t="shared" si="26"/>
        <v>0</v>
      </c>
      <c r="G533" s="24" cm="1">
        <f t="array" ref="G533">SUMPRODUCT(('TREASURY FILE'!B432:B5433=$G$4)*('TREASURY FILE'!D432:D5433="INCOME")*('TREASURY FILE'!A432:A5433=A533)*('TREASURY FILE'!F432:F5433))</f>
        <v>0</v>
      </c>
      <c r="H533" s="24" cm="1">
        <f t="array" ref="H533">SUMPRODUCT(('TREASURY FILE'!B432:B5433=$H$4)*('TREASURY FILE'!D432:D5433="INCOME")*('TREASURY FILE'!A432:A5433=A533)*('TREASURY FILE'!F432:F5433))</f>
        <v>0</v>
      </c>
      <c r="I533" s="24" cm="1">
        <f t="array" ref="I533">SUMPRODUCT(('TREASURY FILE'!D441:D5433=$I$4)*('TREASURY FILE'!F441:F5433="INCOME")*('TREASURY FILE'!C441:C5433=C533)*('TREASURY FILE'!H441:H5433))</f>
        <v>0</v>
      </c>
      <c r="J533" s="31">
        <f t="shared" si="27"/>
        <v>0</v>
      </c>
      <c r="K533" s="33" t="e">
        <f t="shared" si="28"/>
        <v>#DIV/0!</v>
      </c>
    </row>
    <row r="534" spans="1:11" x14ac:dyDescent="0.3">
      <c r="A534" s="30">
        <v>46187</v>
      </c>
      <c r="B534" s="24" cm="1">
        <f t="array" ref="B534">SUMPRODUCT(('TREASURY FILE'!B433:B5434=$B$4)*('TREASURY FILE'!D433:D5434="TURNOVER")*('TREASURY FILE'!A433:A5434=A534)*('TREASURY FILE'!F433:F5434))</f>
        <v>0</v>
      </c>
      <c r="C534" s="24" cm="1">
        <f t="array" ref="C534">SUMPRODUCT(('TREASURY FILE'!B433:B5434=$C$4)*('TREASURY FILE'!D433:D5434="TURNOVER")*('TREASURY FILE'!A433:A5434=A534)*('TREASURY FILE'!F433:F5434))</f>
        <v>0</v>
      </c>
      <c r="D534" s="24" cm="1">
        <f t="array" ref="D534">SUMPRODUCT(('TREASURY FILE'!B433:B5434=$D$4)*('TREASURY FILE'!D433:D5434="TURNOVER")*('TREASURY FILE'!A433:A5434=A534)*('TREASURY FILE'!F433:F5434))</f>
        <v>0</v>
      </c>
      <c r="E534" s="31">
        <f t="shared" si="26"/>
        <v>0</v>
      </c>
      <c r="G534" s="24" cm="1">
        <f t="array" ref="G534">SUMPRODUCT(('TREASURY FILE'!B433:B5434=$G$4)*('TREASURY FILE'!D433:D5434="INCOME")*('TREASURY FILE'!A433:A5434=A534)*('TREASURY FILE'!F433:F5434))</f>
        <v>0</v>
      </c>
      <c r="H534" s="24" cm="1">
        <f t="array" ref="H534">SUMPRODUCT(('TREASURY FILE'!B433:B5434=$H$4)*('TREASURY FILE'!D433:D5434="INCOME")*('TREASURY FILE'!A433:A5434=A534)*('TREASURY FILE'!F433:F5434))</f>
        <v>0</v>
      </c>
      <c r="I534" s="24" cm="1">
        <f t="array" ref="I534">SUMPRODUCT(('TREASURY FILE'!D442:D5434=$I$4)*('TREASURY FILE'!F442:F5434="INCOME")*('TREASURY FILE'!C442:C5434=C534)*('TREASURY FILE'!H442:H5434))</f>
        <v>0</v>
      </c>
      <c r="J534" s="31">
        <f t="shared" si="27"/>
        <v>0</v>
      </c>
      <c r="K534" s="33" t="e">
        <f t="shared" si="28"/>
        <v>#DIV/0!</v>
      </c>
    </row>
    <row r="535" spans="1:11" x14ac:dyDescent="0.3">
      <c r="A535" s="30">
        <v>46188</v>
      </c>
      <c r="B535" s="24" cm="1">
        <f t="array" ref="B535">SUMPRODUCT(('TREASURY FILE'!B434:B5435=$B$4)*('TREASURY FILE'!D434:D5435="TURNOVER")*('TREASURY FILE'!A434:A5435=A535)*('TREASURY FILE'!F434:F5435))</f>
        <v>0</v>
      </c>
      <c r="C535" s="24" cm="1">
        <f t="array" ref="C535">SUMPRODUCT(('TREASURY FILE'!B434:B5435=$C$4)*('TREASURY FILE'!D434:D5435="TURNOVER")*('TREASURY FILE'!A434:A5435=A535)*('TREASURY FILE'!F434:F5435))</f>
        <v>0</v>
      </c>
      <c r="D535" s="24" cm="1">
        <f t="array" ref="D535">SUMPRODUCT(('TREASURY FILE'!B434:B5435=$D$4)*('TREASURY FILE'!D434:D5435="TURNOVER")*('TREASURY FILE'!A434:A5435=A535)*('TREASURY FILE'!F434:F5435))</f>
        <v>0</v>
      </c>
      <c r="E535" s="31">
        <f t="shared" si="26"/>
        <v>0</v>
      </c>
      <c r="G535" s="24" cm="1">
        <f t="array" ref="G535">SUMPRODUCT(('TREASURY FILE'!B434:B5435=$G$4)*('TREASURY FILE'!D434:D5435="INCOME")*('TREASURY FILE'!A434:A5435=A535)*('TREASURY FILE'!F434:F5435))</f>
        <v>0</v>
      </c>
      <c r="H535" s="24" cm="1">
        <f t="array" ref="H535">SUMPRODUCT(('TREASURY FILE'!B434:B5435=$H$4)*('TREASURY FILE'!D434:D5435="INCOME")*('TREASURY FILE'!A434:A5435=A535)*('TREASURY FILE'!F434:F5435))</f>
        <v>0</v>
      </c>
      <c r="I535" s="24" cm="1">
        <f t="array" ref="I535">SUMPRODUCT(('TREASURY FILE'!D443:D5435=$I$4)*('TREASURY FILE'!F443:F5435="INCOME")*('TREASURY FILE'!C443:C5435=C535)*('TREASURY FILE'!H443:H5435))</f>
        <v>0</v>
      </c>
      <c r="J535" s="31">
        <f t="shared" si="27"/>
        <v>0</v>
      </c>
      <c r="K535" s="33" t="e">
        <f t="shared" si="28"/>
        <v>#DIV/0!</v>
      </c>
    </row>
    <row r="536" spans="1:11" x14ac:dyDescent="0.3">
      <c r="A536" s="30">
        <v>46189</v>
      </c>
      <c r="B536" s="24" cm="1">
        <f t="array" ref="B536">SUMPRODUCT(('TREASURY FILE'!B435:B5436=$B$4)*('TREASURY FILE'!D435:D5436="TURNOVER")*('TREASURY FILE'!A435:A5436=A536)*('TREASURY FILE'!F435:F5436))</f>
        <v>0</v>
      </c>
      <c r="C536" s="24" cm="1">
        <f t="array" ref="C536">SUMPRODUCT(('TREASURY FILE'!B435:B5436=$C$4)*('TREASURY FILE'!D435:D5436="TURNOVER")*('TREASURY FILE'!A435:A5436=A536)*('TREASURY FILE'!F435:F5436))</f>
        <v>0</v>
      </c>
      <c r="D536" s="24" cm="1">
        <f t="array" ref="D536">SUMPRODUCT(('TREASURY FILE'!B435:B5436=$D$4)*('TREASURY FILE'!D435:D5436="TURNOVER")*('TREASURY FILE'!A435:A5436=A536)*('TREASURY FILE'!F435:F5436))</f>
        <v>0</v>
      </c>
      <c r="E536" s="31">
        <f t="shared" si="26"/>
        <v>0</v>
      </c>
      <c r="G536" s="24" cm="1">
        <f t="array" ref="G536">SUMPRODUCT(('TREASURY FILE'!B435:B5436=$G$4)*('TREASURY FILE'!D435:D5436="INCOME")*('TREASURY FILE'!A435:A5436=A536)*('TREASURY FILE'!F435:F5436))</f>
        <v>0</v>
      </c>
      <c r="H536" s="24" cm="1">
        <f t="array" ref="H536">SUMPRODUCT(('TREASURY FILE'!B435:B5436=$H$4)*('TREASURY FILE'!D435:D5436="INCOME")*('TREASURY FILE'!A435:A5436=A536)*('TREASURY FILE'!F435:F5436))</f>
        <v>0</v>
      </c>
      <c r="I536" s="24" cm="1">
        <f t="array" ref="I536">SUMPRODUCT(('TREASURY FILE'!D444:D5436=$I$4)*('TREASURY FILE'!F444:F5436="INCOME")*('TREASURY FILE'!C444:C5436=C536)*('TREASURY FILE'!H444:H5436))</f>
        <v>0</v>
      </c>
      <c r="J536" s="31">
        <f t="shared" si="27"/>
        <v>0</v>
      </c>
      <c r="K536" s="33" t="e">
        <f t="shared" si="28"/>
        <v>#DIV/0!</v>
      </c>
    </row>
    <row r="537" spans="1:11" x14ac:dyDescent="0.3">
      <c r="A537" s="30">
        <v>46190</v>
      </c>
      <c r="B537" s="24" cm="1">
        <f t="array" ref="B537">SUMPRODUCT(('TREASURY FILE'!B436:B5437=$B$4)*('TREASURY FILE'!D436:D5437="TURNOVER")*('TREASURY FILE'!A436:A5437=A537)*('TREASURY FILE'!F436:F5437))</f>
        <v>0</v>
      </c>
      <c r="C537" s="24" cm="1">
        <f t="array" ref="C537">SUMPRODUCT(('TREASURY FILE'!B436:B5437=$C$4)*('TREASURY FILE'!D436:D5437="TURNOVER")*('TREASURY FILE'!A436:A5437=A537)*('TREASURY FILE'!F436:F5437))</f>
        <v>0</v>
      </c>
      <c r="D537" s="24" cm="1">
        <f t="array" ref="D537">SUMPRODUCT(('TREASURY FILE'!B436:B5437=$D$4)*('TREASURY FILE'!D436:D5437="TURNOVER")*('TREASURY FILE'!A436:A5437=A537)*('TREASURY FILE'!F436:F5437))</f>
        <v>0</v>
      </c>
      <c r="E537" s="31">
        <f t="shared" si="26"/>
        <v>0</v>
      </c>
      <c r="G537" s="24" cm="1">
        <f t="array" ref="G537">SUMPRODUCT(('TREASURY FILE'!B436:B5437=$G$4)*('TREASURY FILE'!D436:D5437="INCOME")*('TREASURY FILE'!A436:A5437=A537)*('TREASURY FILE'!F436:F5437))</f>
        <v>0</v>
      </c>
      <c r="H537" s="24" cm="1">
        <f t="array" ref="H537">SUMPRODUCT(('TREASURY FILE'!B436:B5437=$H$4)*('TREASURY FILE'!D436:D5437="INCOME")*('TREASURY FILE'!A436:A5437=A537)*('TREASURY FILE'!F436:F5437))</f>
        <v>0</v>
      </c>
      <c r="I537" s="24" cm="1">
        <f t="array" ref="I537">SUMPRODUCT(('TREASURY FILE'!D445:D5437=$I$4)*('TREASURY FILE'!F445:F5437="INCOME")*('TREASURY FILE'!C445:C5437=C537)*('TREASURY FILE'!H445:H5437))</f>
        <v>0</v>
      </c>
      <c r="J537" s="31">
        <f t="shared" si="27"/>
        <v>0</v>
      </c>
      <c r="K537" s="33" t="e">
        <f t="shared" si="28"/>
        <v>#DIV/0!</v>
      </c>
    </row>
    <row r="538" spans="1:11" x14ac:dyDescent="0.3">
      <c r="A538" s="30">
        <v>46191</v>
      </c>
      <c r="B538" s="24" cm="1">
        <f t="array" ref="B538">SUMPRODUCT(('TREASURY FILE'!B437:B5438=$B$4)*('TREASURY FILE'!D437:D5438="TURNOVER")*('TREASURY FILE'!A437:A5438=A538)*('TREASURY FILE'!F437:F5438))</f>
        <v>0</v>
      </c>
      <c r="C538" s="24" cm="1">
        <f t="array" ref="C538">SUMPRODUCT(('TREASURY FILE'!B437:B5438=$C$4)*('TREASURY FILE'!D437:D5438="TURNOVER")*('TREASURY FILE'!A437:A5438=A538)*('TREASURY FILE'!F437:F5438))</f>
        <v>0</v>
      </c>
      <c r="D538" s="24" cm="1">
        <f t="array" ref="D538">SUMPRODUCT(('TREASURY FILE'!B437:B5438=$D$4)*('TREASURY FILE'!D437:D5438="TURNOVER")*('TREASURY FILE'!A437:A5438=A538)*('TREASURY FILE'!F437:F5438))</f>
        <v>0</v>
      </c>
      <c r="E538" s="31">
        <f t="shared" si="26"/>
        <v>0</v>
      </c>
      <c r="G538" s="24" cm="1">
        <f t="array" ref="G538">SUMPRODUCT(('TREASURY FILE'!B437:B5438=$G$4)*('TREASURY FILE'!D437:D5438="INCOME")*('TREASURY FILE'!A437:A5438=A538)*('TREASURY FILE'!F437:F5438))</f>
        <v>0</v>
      </c>
      <c r="H538" s="24" cm="1">
        <f t="array" ref="H538">SUMPRODUCT(('TREASURY FILE'!B437:B5438=$H$4)*('TREASURY FILE'!D437:D5438="INCOME")*('TREASURY FILE'!A437:A5438=A538)*('TREASURY FILE'!F437:F5438))</f>
        <v>0</v>
      </c>
      <c r="I538" s="24" cm="1">
        <f t="array" ref="I538">SUMPRODUCT(('TREASURY FILE'!D446:D5438=$I$4)*('TREASURY FILE'!F446:F5438="INCOME")*('TREASURY FILE'!C446:C5438=C538)*('TREASURY FILE'!H446:H5438))</f>
        <v>0</v>
      </c>
      <c r="J538" s="31">
        <f t="shared" si="27"/>
        <v>0</v>
      </c>
      <c r="K538" s="33" t="e">
        <f t="shared" si="28"/>
        <v>#DIV/0!</v>
      </c>
    </row>
    <row r="539" spans="1:11" x14ac:dyDescent="0.3">
      <c r="A539" s="30">
        <v>46192</v>
      </c>
      <c r="B539" s="24" cm="1">
        <f t="array" ref="B539">SUMPRODUCT(('TREASURY FILE'!B438:B5439=$B$4)*('TREASURY FILE'!D438:D5439="TURNOVER")*('TREASURY FILE'!A438:A5439=A539)*('TREASURY FILE'!F438:F5439))</f>
        <v>0</v>
      </c>
      <c r="C539" s="24" cm="1">
        <f t="array" ref="C539">SUMPRODUCT(('TREASURY FILE'!B438:B5439=$C$4)*('TREASURY FILE'!D438:D5439="TURNOVER")*('TREASURY FILE'!A438:A5439=A539)*('TREASURY FILE'!F438:F5439))</f>
        <v>0</v>
      </c>
      <c r="D539" s="24" cm="1">
        <f t="array" ref="D539">SUMPRODUCT(('TREASURY FILE'!B438:B5439=$D$4)*('TREASURY FILE'!D438:D5439="TURNOVER")*('TREASURY FILE'!A438:A5439=A539)*('TREASURY FILE'!F438:F5439))</f>
        <v>0</v>
      </c>
      <c r="E539" s="31">
        <f t="shared" si="26"/>
        <v>0</v>
      </c>
      <c r="G539" s="24" cm="1">
        <f t="array" ref="G539">SUMPRODUCT(('TREASURY FILE'!B438:B5439=$G$4)*('TREASURY FILE'!D438:D5439="INCOME")*('TREASURY FILE'!A438:A5439=A539)*('TREASURY FILE'!F438:F5439))</f>
        <v>0</v>
      </c>
      <c r="H539" s="24" cm="1">
        <f t="array" ref="H539">SUMPRODUCT(('TREASURY FILE'!B438:B5439=$H$4)*('TREASURY FILE'!D438:D5439="INCOME")*('TREASURY FILE'!A438:A5439=A539)*('TREASURY FILE'!F438:F5439))</f>
        <v>0</v>
      </c>
      <c r="I539" s="24" cm="1">
        <f t="array" ref="I539">SUMPRODUCT(('TREASURY FILE'!D447:D5439=$I$4)*('TREASURY FILE'!F447:F5439="INCOME")*('TREASURY FILE'!C447:C5439=C539)*('TREASURY FILE'!H447:H5439))</f>
        <v>0</v>
      </c>
      <c r="J539" s="31">
        <f t="shared" si="27"/>
        <v>0</v>
      </c>
      <c r="K539" s="33" t="e">
        <f t="shared" si="28"/>
        <v>#DIV/0!</v>
      </c>
    </row>
    <row r="540" spans="1:11" x14ac:dyDescent="0.3">
      <c r="A540" s="30">
        <v>46193</v>
      </c>
      <c r="B540" s="24" cm="1">
        <f t="array" ref="B540">SUMPRODUCT(('TREASURY FILE'!B439:B5440=$B$4)*('TREASURY FILE'!D439:D5440="TURNOVER")*('TREASURY FILE'!A439:A5440=A540)*('TREASURY FILE'!F439:F5440))</f>
        <v>0</v>
      </c>
      <c r="C540" s="24" cm="1">
        <f t="array" ref="C540">SUMPRODUCT(('TREASURY FILE'!B439:B5440=$C$4)*('TREASURY FILE'!D439:D5440="TURNOVER")*('TREASURY FILE'!A439:A5440=A540)*('TREASURY FILE'!F439:F5440))</f>
        <v>0</v>
      </c>
      <c r="D540" s="24" cm="1">
        <f t="array" ref="D540">SUMPRODUCT(('TREASURY FILE'!B439:B5440=$D$4)*('TREASURY FILE'!D439:D5440="TURNOVER")*('TREASURY FILE'!A439:A5440=A540)*('TREASURY FILE'!F439:F5440))</f>
        <v>0</v>
      </c>
      <c r="E540" s="31">
        <f t="shared" si="26"/>
        <v>0</v>
      </c>
      <c r="G540" s="24" cm="1">
        <f t="array" ref="G540">SUMPRODUCT(('TREASURY FILE'!B439:B5440=$G$4)*('TREASURY FILE'!D439:D5440="INCOME")*('TREASURY FILE'!A439:A5440=A540)*('TREASURY FILE'!F439:F5440))</f>
        <v>0</v>
      </c>
      <c r="H540" s="24" cm="1">
        <f t="array" ref="H540">SUMPRODUCT(('TREASURY FILE'!B439:B5440=$H$4)*('TREASURY FILE'!D439:D5440="INCOME")*('TREASURY FILE'!A439:A5440=A540)*('TREASURY FILE'!F439:F5440))</f>
        <v>0</v>
      </c>
      <c r="I540" s="24" cm="1">
        <f t="array" ref="I540">SUMPRODUCT(('TREASURY FILE'!D448:D5440=$I$4)*('TREASURY FILE'!F448:F5440="INCOME")*('TREASURY FILE'!C448:C5440=C540)*('TREASURY FILE'!H448:H5440))</f>
        <v>0</v>
      </c>
      <c r="J540" s="31">
        <f t="shared" si="27"/>
        <v>0</v>
      </c>
      <c r="K540" s="33" t="e">
        <f t="shared" si="28"/>
        <v>#DIV/0!</v>
      </c>
    </row>
    <row r="541" spans="1:11" x14ac:dyDescent="0.3">
      <c r="A541" s="30">
        <v>46194</v>
      </c>
      <c r="B541" s="24" cm="1">
        <f t="array" ref="B541">SUMPRODUCT(('TREASURY FILE'!B440:B5441=$B$4)*('TREASURY FILE'!D440:D5441="TURNOVER")*('TREASURY FILE'!A440:A5441=A541)*('TREASURY FILE'!F440:F5441))</f>
        <v>0</v>
      </c>
      <c r="C541" s="24" cm="1">
        <f t="array" ref="C541">SUMPRODUCT(('TREASURY FILE'!B440:B5441=$C$4)*('TREASURY FILE'!D440:D5441="TURNOVER")*('TREASURY FILE'!A440:A5441=A541)*('TREASURY FILE'!F440:F5441))</f>
        <v>0</v>
      </c>
      <c r="D541" s="24" cm="1">
        <f t="array" ref="D541">SUMPRODUCT(('TREASURY FILE'!B440:B5441=$D$4)*('TREASURY FILE'!D440:D5441="TURNOVER")*('TREASURY FILE'!A440:A5441=A541)*('TREASURY FILE'!F440:F5441))</f>
        <v>0</v>
      </c>
      <c r="E541" s="31">
        <f t="shared" si="26"/>
        <v>0</v>
      </c>
      <c r="G541" s="24" cm="1">
        <f t="array" ref="G541">SUMPRODUCT(('TREASURY FILE'!B440:B5441=$G$4)*('TREASURY FILE'!D440:D5441="INCOME")*('TREASURY FILE'!A440:A5441=A541)*('TREASURY FILE'!F440:F5441))</f>
        <v>0</v>
      </c>
      <c r="H541" s="24" cm="1">
        <f t="array" ref="H541">SUMPRODUCT(('TREASURY FILE'!B440:B5441=$H$4)*('TREASURY FILE'!D440:D5441="INCOME")*('TREASURY FILE'!A440:A5441=A541)*('TREASURY FILE'!F440:F5441))</f>
        <v>0</v>
      </c>
      <c r="I541" s="24" cm="1">
        <f t="array" ref="I541">SUMPRODUCT(('TREASURY FILE'!D449:D5441=$I$4)*('TREASURY FILE'!F449:F5441="INCOME")*('TREASURY FILE'!C449:C5441=C541)*('TREASURY FILE'!H449:H5441))</f>
        <v>0</v>
      </c>
      <c r="J541" s="31">
        <f t="shared" si="27"/>
        <v>0</v>
      </c>
      <c r="K541" s="33" t="e">
        <f t="shared" si="28"/>
        <v>#DIV/0!</v>
      </c>
    </row>
    <row r="542" spans="1:11" x14ac:dyDescent="0.3">
      <c r="A542" s="30">
        <v>46195</v>
      </c>
      <c r="B542" s="24" cm="1">
        <f t="array" ref="B542">SUMPRODUCT(('TREASURY FILE'!B441:B5442=$B$4)*('TREASURY FILE'!D441:D5442="TURNOVER")*('TREASURY FILE'!A441:A5442=A542)*('TREASURY FILE'!F441:F5442))</f>
        <v>0</v>
      </c>
      <c r="C542" s="24" cm="1">
        <f t="array" ref="C542">SUMPRODUCT(('TREASURY FILE'!B441:B5442=$C$4)*('TREASURY FILE'!D441:D5442="TURNOVER")*('TREASURY FILE'!A441:A5442=A542)*('TREASURY FILE'!F441:F5442))</f>
        <v>0</v>
      </c>
      <c r="D542" s="24" cm="1">
        <f t="array" ref="D542">SUMPRODUCT(('TREASURY FILE'!B441:B5442=$D$4)*('TREASURY FILE'!D441:D5442="TURNOVER")*('TREASURY FILE'!A441:A5442=A542)*('TREASURY FILE'!F441:F5442))</f>
        <v>0</v>
      </c>
      <c r="E542" s="31">
        <f t="shared" si="26"/>
        <v>0</v>
      </c>
      <c r="G542" s="24" cm="1">
        <f t="array" ref="G542">SUMPRODUCT(('TREASURY FILE'!B441:B5442=$G$4)*('TREASURY FILE'!D441:D5442="INCOME")*('TREASURY FILE'!A441:A5442=A542)*('TREASURY FILE'!F441:F5442))</f>
        <v>0</v>
      </c>
      <c r="H542" s="24" cm="1">
        <f t="array" ref="H542">SUMPRODUCT(('TREASURY FILE'!B441:B5442=$H$4)*('TREASURY FILE'!D441:D5442="INCOME")*('TREASURY FILE'!A441:A5442=A542)*('TREASURY FILE'!F441:F5442))</f>
        <v>0</v>
      </c>
      <c r="I542" s="24" cm="1">
        <f t="array" ref="I542">SUMPRODUCT(('TREASURY FILE'!D450:D5442=$I$4)*('TREASURY FILE'!F450:F5442="INCOME")*('TREASURY FILE'!C450:C5442=C542)*('TREASURY FILE'!H450:H5442))</f>
        <v>0</v>
      </c>
      <c r="J542" s="31">
        <f t="shared" si="27"/>
        <v>0</v>
      </c>
      <c r="K542" s="33" t="e">
        <f t="shared" si="28"/>
        <v>#DIV/0!</v>
      </c>
    </row>
    <row r="543" spans="1:11" x14ac:dyDescent="0.3">
      <c r="A543" s="30">
        <v>46196</v>
      </c>
      <c r="B543" s="24" cm="1">
        <f t="array" ref="B543">SUMPRODUCT(('TREASURY FILE'!B442:B5443=$B$4)*('TREASURY FILE'!D442:D5443="TURNOVER")*('TREASURY FILE'!A442:A5443=A543)*('TREASURY FILE'!F442:F5443))</f>
        <v>0</v>
      </c>
      <c r="C543" s="24" cm="1">
        <f t="array" ref="C543">SUMPRODUCT(('TREASURY FILE'!B442:B5443=$C$4)*('TREASURY FILE'!D442:D5443="TURNOVER")*('TREASURY FILE'!A442:A5443=A543)*('TREASURY FILE'!F442:F5443))</f>
        <v>0</v>
      </c>
      <c r="D543" s="24" cm="1">
        <f t="array" ref="D543">SUMPRODUCT(('TREASURY FILE'!B442:B5443=$D$4)*('TREASURY FILE'!D442:D5443="TURNOVER")*('TREASURY FILE'!A442:A5443=A543)*('TREASURY FILE'!F442:F5443))</f>
        <v>0</v>
      </c>
      <c r="E543" s="31">
        <f t="shared" si="26"/>
        <v>0</v>
      </c>
      <c r="G543" s="24" cm="1">
        <f t="array" ref="G543">SUMPRODUCT(('TREASURY FILE'!B442:B5443=$G$4)*('TREASURY FILE'!D442:D5443="INCOME")*('TREASURY FILE'!A442:A5443=A543)*('TREASURY FILE'!F442:F5443))</f>
        <v>0</v>
      </c>
      <c r="H543" s="24" cm="1">
        <f t="array" ref="H543">SUMPRODUCT(('TREASURY FILE'!B442:B5443=$H$4)*('TREASURY FILE'!D442:D5443="INCOME")*('TREASURY FILE'!A442:A5443=A543)*('TREASURY FILE'!F442:F5443))</f>
        <v>0</v>
      </c>
      <c r="I543" s="24" cm="1">
        <f t="array" ref="I543">SUMPRODUCT(('TREASURY FILE'!D451:D5443=$I$4)*('TREASURY FILE'!F451:F5443="INCOME")*('TREASURY FILE'!C451:C5443=C543)*('TREASURY FILE'!H451:H5443))</f>
        <v>0</v>
      </c>
      <c r="J543" s="31">
        <f t="shared" si="27"/>
        <v>0</v>
      </c>
      <c r="K543" s="33" t="e">
        <f t="shared" si="28"/>
        <v>#DIV/0!</v>
      </c>
    </row>
    <row r="544" spans="1:11" x14ac:dyDescent="0.3">
      <c r="A544" s="30">
        <v>46197</v>
      </c>
      <c r="B544" s="24" cm="1">
        <f t="array" ref="B544">SUMPRODUCT(('TREASURY FILE'!B443:B5444=$B$4)*('TREASURY FILE'!D443:D5444="TURNOVER")*('TREASURY FILE'!A443:A5444=A544)*('TREASURY FILE'!F443:F5444))</f>
        <v>0</v>
      </c>
      <c r="C544" s="24" cm="1">
        <f t="array" ref="C544">SUMPRODUCT(('TREASURY FILE'!B443:B5444=$C$4)*('TREASURY FILE'!D443:D5444="TURNOVER")*('TREASURY FILE'!A443:A5444=A544)*('TREASURY FILE'!F443:F5444))</f>
        <v>0</v>
      </c>
      <c r="D544" s="24" cm="1">
        <f t="array" ref="D544">SUMPRODUCT(('TREASURY FILE'!B443:B5444=$D$4)*('TREASURY FILE'!D443:D5444="TURNOVER")*('TREASURY FILE'!A443:A5444=A544)*('TREASURY FILE'!F443:F5444))</f>
        <v>0</v>
      </c>
      <c r="E544" s="31">
        <f t="shared" si="26"/>
        <v>0</v>
      </c>
      <c r="G544" s="24" cm="1">
        <f t="array" ref="G544">SUMPRODUCT(('TREASURY FILE'!B443:B5444=$G$4)*('TREASURY FILE'!D443:D5444="INCOME")*('TREASURY FILE'!A443:A5444=A544)*('TREASURY FILE'!F443:F5444))</f>
        <v>0</v>
      </c>
      <c r="H544" s="24" cm="1">
        <f t="array" ref="H544">SUMPRODUCT(('TREASURY FILE'!B443:B5444=$H$4)*('TREASURY FILE'!D443:D5444="INCOME")*('TREASURY FILE'!A443:A5444=A544)*('TREASURY FILE'!F443:F5444))</f>
        <v>0</v>
      </c>
      <c r="I544" s="24" cm="1">
        <f t="array" ref="I544">SUMPRODUCT(('TREASURY FILE'!D452:D5444=$I$4)*('TREASURY FILE'!F452:F5444="INCOME")*('TREASURY FILE'!C452:C5444=C544)*('TREASURY FILE'!H452:H5444))</f>
        <v>0</v>
      </c>
      <c r="J544" s="31">
        <f t="shared" si="27"/>
        <v>0</v>
      </c>
      <c r="K544" s="33" t="e">
        <f t="shared" si="28"/>
        <v>#DIV/0!</v>
      </c>
    </row>
    <row r="545" spans="1:11" x14ac:dyDescent="0.3">
      <c r="A545" s="30">
        <v>46198</v>
      </c>
      <c r="B545" s="24" cm="1">
        <f t="array" ref="B545">SUMPRODUCT(('TREASURY FILE'!B444:B5445=$B$4)*('TREASURY FILE'!D444:D5445="TURNOVER")*('TREASURY FILE'!A444:A5445=A545)*('TREASURY FILE'!F444:F5445))</f>
        <v>0</v>
      </c>
      <c r="C545" s="24" cm="1">
        <f t="array" ref="C545">SUMPRODUCT(('TREASURY FILE'!B444:B5445=$C$4)*('TREASURY FILE'!D444:D5445="TURNOVER")*('TREASURY FILE'!A444:A5445=A545)*('TREASURY FILE'!F444:F5445))</f>
        <v>0</v>
      </c>
      <c r="D545" s="24" cm="1">
        <f t="array" ref="D545">SUMPRODUCT(('TREASURY FILE'!B444:B5445=$D$4)*('TREASURY FILE'!D444:D5445="TURNOVER")*('TREASURY FILE'!A444:A5445=A545)*('TREASURY FILE'!F444:F5445))</f>
        <v>0</v>
      </c>
      <c r="E545" s="31">
        <f t="shared" si="26"/>
        <v>0</v>
      </c>
      <c r="G545" s="24" cm="1">
        <f t="array" ref="G545">SUMPRODUCT(('TREASURY FILE'!B444:B5445=$G$4)*('TREASURY FILE'!D444:D5445="INCOME")*('TREASURY FILE'!A444:A5445=A545)*('TREASURY FILE'!F444:F5445))</f>
        <v>0</v>
      </c>
      <c r="H545" s="24" cm="1">
        <f t="array" ref="H545">SUMPRODUCT(('TREASURY FILE'!B444:B5445=$H$4)*('TREASURY FILE'!D444:D5445="INCOME")*('TREASURY FILE'!A444:A5445=A545)*('TREASURY FILE'!F444:F5445))</f>
        <v>0</v>
      </c>
      <c r="I545" s="24" cm="1">
        <f t="array" ref="I545">SUMPRODUCT(('TREASURY FILE'!D453:D5445=$I$4)*('TREASURY FILE'!F453:F5445="INCOME")*('TREASURY FILE'!C453:C5445=C545)*('TREASURY FILE'!H453:H5445))</f>
        <v>0</v>
      </c>
      <c r="J545" s="31">
        <f t="shared" si="27"/>
        <v>0</v>
      </c>
      <c r="K545" s="33" t="e">
        <f t="shared" si="28"/>
        <v>#DIV/0!</v>
      </c>
    </row>
    <row r="546" spans="1:11" x14ac:dyDescent="0.3">
      <c r="A546" s="30">
        <v>46199</v>
      </c>
      <c r="B546" s="24" cm="1">
        <f t="array" ref="B546">SUMPRODUCT(('TREASURY FILE'!B445:B5446=$B$4)*('TREASURY FILE'!D445:D5446="TURNOVER")*('TREASURY FILE'!A445:A5446=A546)*('TREASURY FILE'!F445:F5446))</f>
        <v>0</v>
      </c>
      <c r="C546" s="24" cm="1">
        <f t="array" ref="C546">SUMPRODUCT(('TREASURY FILE'!B445:B5446=$C$4)*('TREASURY FILE'!D445:D5446="TURNOVER")*('TREASURY FILE'!A445:A5446=A546)*('TREASURY FILE'!F445:F5446))</f>
        <v>0</v>
      </c>
      <c r="D546" s="24" cm="1">
        <f t="array" ref="D546">SUMPRODUCT(('TREASURY FILE'!B445:B5446=$D$4)*('TREASURY FILE'!D445:D5446="TURNOVER")*('TREASURY FILE'!A445:A5446=A546)*('TREASURY FILE'!F445:F5446))</f>
        <v>0</v>
      </c>
      <c r="E546" s="31">
        <f t="shared" si="26"/>
        <v>0</v>
      </c>
      <c r="G546" s="24" cm="1">
        <f t="array" ref="G546">SUMPRODUCT(('TREASURY FILE'!B445:B5446=$G$4)*('TREASURY FILE'!D445:D5446="INCOME")*('TREASURY FILE'!A445:A5446=A546)*('TREASURY FILE'!F445:F5446))</f>
        <v>0</v>
      </c>
      <c r="H546" s="24" cm="1">
        <f t="array" ref="H546">SUMPRODUCT(('TREASURY FILE'!B445:B5446=$H$4)*('TREASURY FILE'!D445:D5446="INCOME")*('TREASURY FILE'!A445:A5446=A546)*('TREASURY FILE'!F445:F5446))</f>
        <v>0</v>
      </c>
      <c r="I546" s="24" cm="1">
        <f t="array" ref="I546">SUMPRODUCT(('TREASURY FILE'!D454:D5446=$I$4)*('TREASURY FILE'!F454:F5446="INCOME")*('TREASURY FILE'!C454:C5446=C546)*('TREASURY FILE'!H454:H5446))</f>
        <v>0</v>
      </c>
      <c r="J546" s="31">
        <f t="shared" si="27"/>
        <v>0</v>
      </c>
      <c r="K546" s="33" t="e">
        <f t="shared" si="28"/>
        <v>#DIV/0!</v>
      </c>
    </row>
    <row r="547" spans="1:11" x14ac:dyDescent="0.3">
      <c r="A547" s="30">
        <v>46200</v>
      </c>
      <c r="B547" s="24" cm="1">
        <f t="array" ref="B547">SUMPRODUCT(('TREASURY FILE'!B446:B5447=$B$4)*('TREASURY FILE'!D446:D5447="TURNOVER")*('TREASURY FILE'!A446:A5447=A547)*('TREASURY FILE'!F446:F5447))</f>
        <v>0</v>
      </c>
      <c r="C547" s="24" cm="1">
        <f t="array" ref="C547">SUMPRODUCT(('TREASURY FILE'!B446:B5447=$C$4)*('TREASURY FILE'!D446:D5447="TURNOVER")*('TREASURY FILE'!A446:A5447=A547)*('TREASURY FILE'!F446:F5447))</f>
        <v>0</v>
      </c>
      <c r="D547" s="24" cm="1">
        <f t="array" ref="D547">SUMPRODUCT(('TREASURY FILE'!B446:B5447=$D$4)*('TREASURY FILE'!D446:D5447="TURNOVER")*('TREASURY FILE'!A446:A5447=A547)*('TREASURY FILE'!F446:F5447))</f>
        <v>0</v>
      </c>
      <c r="E547" s="31">
        <f t="shared" si="26"/>
        <v>0</v>
      </c>
      <c r="G547" s="24" cm="1">
        <f t="array" ref="G547">SUMPRODUCT(('TREASURY FILE'!B446:B5447=$G$4)*('TREASURY FILE'!D446:D5447="INCOME")*('TREASURY FILE'!A446:A5447=A547)*('TREASURY FILE'!F446:F5447))</f>
        <v>0</v>
      </c>
      <c r="H547" s="24" cm="1">
        <f t="array" ref="H547">SUMPRODUCT(('TREASURY FILE'!B446:B5447=$H$4)*('TREASURY FILE'!D446:D5447="INCOME")*('TREASURY FILE'!A446:A5447=A547)*('TREASURY FILE'!F446:F5447))</f>
        <v>0</v>
      </c>
      <c r="I547" s="24" cm="1">
        <f t="array" ref="I547">SUMPRODUCT(('TREASURY FILE'!D455:D5447=$I$4)*('TREASURY FILE'!F455:F5447="INCOME")*('TREASURY FILE'!C455:C5447=C547)*('TREASURY FILE'!H455:H5447))</f>
        <v>0</v>
      </c>
      <c r="J547" s="31">
        <f t="shared" si="27"/>
        <v>0</v>
      </c>
      <c r="K547" s="33" t="e">
        <f t="shared" si="28"/>
        <v>#DIV/0!</v>
      </c>
    </row>
    <row r="548" spans="1:11" x14ac:dyDescent="0.3">
      <c r="A548" s="30">
        <v>46201</v>
      </c>
      <c r="B548" s="24" cm="1">
        <f t="array" ref="B548">SUMPRODUCT(('TREASURY FILE'!B447:B5448=$B$4)*('TREASURY FILE'!D447:D5448="TURNOVER")*('TREASURY FILE'!A447:A5448=A548)*('TREASURY FILE'!F447:F5448))</f>
        <v>0</v>
      </c>
      <c r="C548" s="24" cm="1">
        <f t="array" ref="C548">SUMPRODUCT(('TREASURY FILE'!B447:B5448=$C$4)*('TREASURY FILE'!D447:D5448="TURNOVER")*('TREASURY FILE'!A447:A5448=A548)*('TREASURY FILE'!F447:F5448))</f>
        <v>0</v>
      </c>
      <c r="D548" s="24" cm="1">
        <f t="array" ref="D548">SUMPRODUCT(('TREASURY FILE'!B447:B5448=$D$4)*('TREASURY FILE'!D447:D5448="TURNOVER")*('TREASURY FILE'!A447:A5448=A548)*('TREASURY FILE'!F447:F5448))</f>
        <v>0</v>
      </c>
      <c r="E548" s="31">
        <f t="shared" si="26"/>
        <v>0</v>
      </c>
      <c r="G548" s="24" cm="1">
        <f t="array" ref="G548">SUMPRODUCT(('TREASURY FILE'!B447:B5448=$G$4)*('TREASURY FILE'!D447:D5448="INCOME")*('TREASURY FILE'!A447:A5448=A548)*('TREASURY FILE'!F447:F5448))</f>
        <v>0</v>
      </c>
      <c r="H548" s="24" cm="1">
        <f t="array" ref="H548">SUMPRODUCT(('TREASURY FILE'!B447:B5448=$H$4)*('TREASURY FILE'!D447:D5448="INCOME")*('TREASURY FILE'!A447:A5448=A548)*('TREASURY FILE'!F447:F5448))</f>
        <v>0</v>
      </c>
      <c r="I548" s="24" cm="1">
        <f t="array" ref="I548">SUMPRODUCT(('TREASURY FILE'!D456:D5448=$I$4)*('TREASURY FILE'!F456:F5448="INCOME")*('TREASURY FILE'!C456:C5448=C548)*('TREASURY FILE'!H456:H5448))</f>
        <v>0</v>
      </c>
      <c r="J548" s="31">
        <f t="shared" si="27"/>
        <v>0</v>
      </c>
      <c r="K548" s="33" t="e">
        <f t="shared" si="28"/>
        <v>#DIV/0!</v>
      </c>
    </row>
    <row r="549" spans="1:11" x14ac:dyDescent="0.3">
      <c r="A549" s="30">
        <v>46202</v>
      </c>
      <c r="B549" s="24" cm="1">
        <f t="array" ref="B549">SUMPRODUCT(('TREASURY FILE'!B448:B5449=$B$4)*('TREASURY FILE'!D448:D5449="TURNOVER")*('TREASURY FILE'!A448:A5449=A549)*('TREASURY FILE'!F448:F5449))</f>
        <v>0</v>
      </c>
      <c r="C549" s="24" cm="1">
        <f t="array" ref="C549">SUMPRODUCT(('TREASURY FILE'!B448:B5449=$C$4)*('TREASURY FILE'!D448:D5449="TURNOVER")*('TREASURY FILE'!A448:A5449=A549)*('TREASURY FILE'!F448:F5449))</f>
        <v>0</v>
      </c>
      <c r="D549" s="24" cm="1">
        <f t="array" ref="D549">SUMPRODUCT(('TREASURY FILE'!B448:B5449=$D$4)*('TREASURY FILE'!D448:D5449="TURNOVER")*('TREASURY FILE'!A448:A5449=A549)*('TREASURY FILE'!F448:F5449))</f>
        <v>0</v>
      </c>
      <c r="E549" s="31">
        <f t="shared" si="26"/>
        <v>0</v>
      </c>
      <c r="G549" s="24" cm="1">
        <f t="array" ref="G549">SUMPRODUCT(('TREASURY FILE'!B448:B5449=$G$4)*('TREASURY FILE'!D448:D5449="INCOME")*('TREASURY FILE'!A448:A5449=A549)*('TREASURY FILE'!F448:F5449))</f>
        <v>0</v>
      </c>
      <c r="H549" s="24" cm="1">
        <f t="array" ref="H549">SUMPRODUCT(('TREASURY FILE'!B448:B5449=$H$4)*('TREASURY FILE'!D448:D5449="INCOME")*('TREASURY FILE'!A448:A5449=A549)*('TREASURY FILE'!F448:F5449))</f>
        <v>0</v>
      </c>
      <c r="I549" s="24" cm="1">
        <f t="array" ref="I549">SUMPRODUCT(('TREASURY FILE'!D457:D5449=$I$4)*('TREASURY FILE'!F457:F5449="INCOME")*('TREASURY FILE'!C457:C5449=C549)*('TREASURY FILE'!H457:H5449))</f>
        <v>0</v>
      </c>
      <c r="J549" s="31">
        <f t="shared" si="27"/>
        <v>0</v>
      </c>
      <c r="K549" s="33" t="e">
        <f t="shared" si="28"/>
        <v>#DIV/0!</v>
      </c>
    </row>
    <row r="550" spans="1:11" x14ac:dyDescent="0.3">
      <c r="A550" s="30">
        <v>46203</v>
      </c>
      <c r="B550" s="24" cm="1">
        <f t="array" ref="B550">SUMPRODUCT(('TREASURY FILE'!B449:B5450=$B$4)*('TREASURY FILE'!D449:D5450="TURNOVER")*('TREASURY FILE'!A449:A5450=A550)*('TREASURY FILE'!F449:F5450))</f>
        <v>0</v>
      </c>
      <c r="C550" s="24" cm="1">
        <f t="array" ref="C550">SUMPRODUCT(('TREASURY FILE'!B449:B5450=$C$4)*('TREASURY FILE'!D449:D5450="TURNOVER")*('TREASURY FILE'!A449:A5450=A550)*('TREASURY FILE'!F449:F5450))</f>
        <v>0</v>
      </c>
      <c r="D550" s="24" cm="1">
        <f t="array" ref="D550">SUMPRODUCT(('TREASURY FILE'!B449:B5450=$D$4)*('TREASURY FILE'!D449:D5450="TURNOVER")*('TREASURY FILE'!A449:A5450=A550)*('TREASURY FILE'!F449:F5450))</f>
        <v>0</v>
      </c>
      <c r="E550" s="31">
        <f t="shared" si="26"/>
        <v>0</v>
      </c>
      <c r="G550" s="24" cm="1">
        <f t="array" ref="G550">SUMPRODUCT(('TREASURY FILE'!B449:B5450=$G$4)*('TREASURY FILE'!D449:D5450="INCOME")*('TREASURY FILE'!A449:A5450=A550)*('TREASURY FILE'!F449:F5450))</f>
        <v>0</v>
      </c>
      <c r="H550" s="24" cm="1">
        <f t="array" ref="H550">SUMPRODUCT(('TREASURY FILE'!B449:B5450=$H$4)*('TREASURY FILE'!D449:D5450="INCOME")*('TREASURY FILE'!A449:A5450=A550)*('TREASURY FILE'!F449:F5450))</f>
        <v>0</v>
      </c>
      <c r="I550" s="24" cm="1">
        <f t="array" ref="I550">SUMPRODUCT(('TREASURY FILE'!D458:D5450=$I$4)*('TREASURY FILE'!F458:F5450="INCOME")*('TREASURY FILE'!C458:C5450=C550)*('TREASURY FILE'!H458:H5450))</f>
        <v>0</v>
      </c>
      <c r="J550" s="31">
        <f t="shared" si="27"/>
        <v>0</v>
      </c>
      <c r="K550" s="33" t="e">
        <f t="shared" si="28"/>
        <v>#DIV/0!</v>
      </c>
    </row>
    <row r="551" spans="1:11" x14ac:dyDescent="0.3">
      <c r="A551" s="30">
        <v>46204</v>
      </c>
      <c r="B551" s="24" cm="1">
        <f t="array" ref="B551">SUMPRODUCT(('TREASURY FILE'!B450:B5451=$B$4)*('TREASURY FILE'!D450:D5451="TURNOVER")*('TREASURY FILE'!A450:A5451=A551)*('TREASURY FILE'!F450:F5451))</f>
        <v>0</v>
      </c>
      <c r="C551" s="24" cm="1">
        <f t="array" ref="C551">SUMPRODUCT(('TREASURY FILE'!B450:B5451=$C$4)*('TREASURY FILE'!D450:D5451="TURNOVER")*('TREASURY FILE'!A450:A5451=A551)*('TREASURY FILE'!F450:F5451))</f>
        <v>0</v>
      </c>
      <c r="D551" s="24" cm="1">
        <f t="array" ref="D551">SUMPRODUCT(('TREASURY FILE'!B450:B5451=$D$4)*('TREASURY FILE'!D450:D5451="TURNOVER")*('TREASURY FILE'!A450:A5451=A551)*('TREASURY FILE'!F450:F5451))</f>
        <v>0</v>
      </c>
      <c r="E551" s="31">
        <f t="shared" si="26"/>
        <v>0</v>
      </c>
      <c r="G551" s="24" cm="1">
        <f t="array" ref="G551">SUMPRODUCT(('TREASURY FILE'!B450:B5451=$G$4)*('TREASURY FILE'!D450:D5451="INCOME")*('TREASURY FILE'!A450:A5451=A551)*('TREASURY FILE'!F450:F5451))</f>
        <v>0</v>
      </c>
      <c r="H551" s="24" cm="1">
        <f t="array" ref="H551">SUMPRODUCT(('TREASURY FILE'!B450:B5451=$H$4)*('TREASURY FILE'!D450:D5451="INCOME")*('TREASURY FILE'!A450:A5451=A551)*('TREASURY FILE'!F450:F5451))</f>
        <v>0</v>
      </c>
      <c r="I551" s="24" cm="1">
        <f t="array" ref="I551">SUMPRODUCT(('TREASURY FILE'!D459:D5451=$I$4)*('TREASURY FILE'!F459:F5451="INCOME")*('TREASURY FILE'!C459:C5451=C551)*('TREASURY FILE'!H459:H5451))</f>
        <v>0</v>
      </c>
      <c r="J551" s="31">
        <f t="shared" si="27"/>
        <v>0</v>
      </c>
      <c r="K551" s="33" t="e">
        <f t="shared" si="28"/>
        <v>#DIV/0!</v>
      </c>
    </row>
    <row r="552" spans="1:11" x14ac:dyDescent="0.3">
      <c r="A552" s="30">
        <v>46205</v>
      </c>
      <c r="B552" s="24" cm="1">
        <f t="array" ref="B552">SUMPRODUCT(('TREASURY FILE'!B451:B5452=$B$4)*('TREASURY FILE'!D451:D5452="TURNOVER")*('TREASURY FILE'!A451:A5452=A552)*('TREASURY FILE'!F451:F5452))</f>
        <v>0</v>
      </c>
      <c r="C552" s="24" cm="1">
        <f t="array" ref="C552">SUMPRODUCT(('TREASURY FILE'!B451:B5452=$C$4)*('TREASURY FILE'!D451:D5452="TURNOVER")*('TREASURY FILE'!A451:A5452=A552)*('TREASURY FILE'!F451:F5452))</f>
        <v>0</v>
      </c>
      <c r="D552" s="24" cm="1">
        <f t="array" ref="D552">SUMPRODUCT(('TREASURY FILE'!B451:B5452=$D$4)*('TREASURY FILE'!D451:D5452="TURNOVER")*('TREASURY FILE'!A451:A5452=A552)*('TREASURY FILE'!F451:F5452))</f>
        <v>0</v>
      </c>
      <c r="E552" s="31">
        <f t="shared" si="26"/>
        <v>0</v>
      </c>
      <c r="G552" s="24" cm="1">
        <f t="array" ref="G552">SUMPRODUCT(('TREASURY FILE'!B451:B5452=$G$4)*('TREASURY FILE'!D451:D5452="INCOME")*('TREASURY FILE'!A451:A5452=A552)*('TREASURY FILE'!F451:F5452))</f>
        <v>0</v>
      </c>
      <c r="H552" s="24" cm="1">
        <f t="array" ref="H552">SUMPRODUCT(('TREASURY FILE'!B451:B5452=$H$4)*('TREASURY FILE'!D451:D5452="INCOME")*('TREASURY FILE'!A451:A5452=A552)*('TREASURY FILE'!F451:F5452))</f>
        <v>0</v>
      </c>
      <c r="I552" s="24" cm="1">
        <f t="array" ref="I552">SUMPRODUCT(('TREASURY FILE'!D460:D5452=$I$4)*('TREASURY FILE'!F460:F5452="INCOME")*('TREASURY FILE'!C460:C5452=C552)*('TREASURY FILE'!H460:H5452))</f>
        <v>0</v>
      </c>
      <c r="J552" s="31">
        <f t="shared" si="27"/>
        <v>0</v>
      </c>
      <c r="K552" s="33" t="e">
        <f t="shared" si="28"/>
        <v>#DIV/0!</v>
      </c>
    </row>
    <row r="553" spans="1:11" x14ac:dyDescent="0.3">
      <c r="A553" s="30">
        <v>46206</v>
      </c>
      <c r="B553" s="24" cm="1">
        <f t="array" ref="B553">SUMPRODUCT(('TREASURY FILE'!B452:B5453=$B$4)*('TREASURY FILE'!D452:D5453="TURNOVER")*('TREASURY FILE'!A452:A5453=A553)*('TREASURY FILE'!F452:F5453))</f>
        <v>0</v>
      </c>
      <c r="C553" s="24" cm="1">
        <f t="array" ref="C553">SUMPRODUCT(('TREASURY FILE'!B452:B5453=$C$4)*('TREASURY FILE'!D452:D5453="TURNOVER")*('TREASURY FILE'!A452:A5453=A553)*('TREASURY FILE'!F452:F5453))</f>
        <v>0</v>
      </c>
      <c r="D553" s="24" cm="1">
        <f t="array" ref="D553">SUMPRODUCT(('TREASURY FILE'!B452:B5453=$D$4)*('TREASURY FILE'!D452:D5453="TURNOVER")*('TREASURY FILE'!A452:A5453=A553)*('TREASURY FILE'!F452:F5453))</f>
        <v>0</v>
      </c>
      <c r="E553" s="31">
        <f t="shared" si="26"/>
        <v>0</v>
      </c>
      <c r="G553" s="24" cm="1">
        <f t="array" ref="G553">SUMPRODUCT(('TREASURY FILE'!B452:B5453=$G$4)*('TREASURY FILE'!D452:D5453="INCOME")*('TREASURY FILE'!A452:A5453=A553)*('TREASURY FILE'!F452:F5453))</f>
        <v>0</v>
      </c>
      <c r="H553" s="24" cm="1">
        <f t="array" ref="H553">SUMPRODUCT(('TREASURY FILE'!B452:B5453=$H$4)*('TREASURY FILE'!D452:D5453="INCOME")*('TREASURY FILE'!A452:A5453=A553)*('TREASURY FILE'!F452:F5453))</f>
        <v>0</v>
      </c>
      <c r="I553" s="24" cm="1">
        <f t="array" ref="I553">SUMPRODUCT(('TREASURY FILE'!D461:D5453=$I$4)*('TREASURY FILE'!F461:F5453="INCOME")*('TREASURY FILE'!C461:C5453=C553)*('TREASURY FILE'!H461:H5453))</f>
        <v>0</v>
      </c>
      <c r="J553" s="31">
        <f t="shared" si="27"/>
        <v>0</v>
      </c>
      <c r="K553" s="33" t="e">
        <f t="shared" si="28"/>
        <v>#DIV/0!</v>
      </c>
    </row>
    <row r="554" spans="1:11" x14ac:dyDescent="0.3">
      <c r="A554" s="30">
        <v>46207</v>
      </c>
      <c r="B554" s="24" cm="1">
        <f t="array" ref="B554">SUMPRODUCT(('TREASURY FILE'!B453:B5454=$B$4)*('TREASURY FILE'!D453:D5454="TURNOVER")*('TREASURY FILE'!A453:A5454=A554)*('TREASURY FILE'!F453:F5454))</f>
        <v>0</v>
      </c>
      <c r="C554" s="24" cm="1">
        <f t="array" ref="C554">SUMPRODUCT(('TREASURY FILE'!B453:B5454=$C$4)*('TREASURY FILE'!D453:D5454="TURNOVER")*('TREASURY FILE'!A453:A5454=A554)*('TREASURY FILE'!F453:F5454))</f>
        <v>0</v>
      </c>
      <c r="D554" s="24" cm="1">
        <f t="array" ref="D554">SUMPRODUCT(('TREASURY FILE'!B453:B5454=$D$4)*('TREASURY FILE'!D453:D5454="TURNOVER")*('TREASURY FILE'!A453:A5454=A554)*('TREASURY FILE'!F453:F5454))</f>
        <v>0</v>
      </c>
      <c r="E554" s="31">
        <f t="shared" si="26"/>
        <v>0</v>
      </c>
      <c r="G554" s="24" cm="1">
        <f t="array" ref="G554">SUMPRODUCT(('TREASURY FILE'!B453:B5454=$G$4)*('TREASURY FILE'!D453:D5454="INCOME")*('TREASURY FILE'!A453:A5454=A554)*('TREASURY FILE'!F453:F5454))</f>
        <v>0</v>
      </c>
      <c r="H554" s="24" cm="1">
        <f t="array" ref="H554">SUMPRODUCT(('TREASURY FILE'!B453:B5454=$H$4)*('TREASURY FILE'!D453:D5454="INCOME")*('TREASURY FILE'!A453:A5454=A554)*('TREASURY FILE'!F453:F5454))</f>
        <v>0</v>
      </c>
      <c r="I554" s="24" cm="1">
        <f t="array" ref="I554">SUMPRODUCT(('TREASURY FILE'!D462:D5454=$I$4)*('TREASURY FILE'!F462:F5454="INCOME")*('TREASURY FILE'!C462:C5454=C554)*('TREASURY FILE'!H462:H5454))</f>
        <v>0</v>
      </c>
      <c r="J554" s="31">
        <f t="shared" si="27"/>
        <v>0</v>
      </c>
      <c r="K554" s="33" t="e">
        <f t="shared" si="28"/>
        <v>#DIV/0!</v>
      </c>
    </row>
    <row r="555" spans="1:11" x14ac:dyDescent="0.3">
      <c r="A555" s="30">
        <v>46208</v>
      </c>
      <c r="B555" s="24" cm="1">
        <f t="array" ref="B555">SUMPRODUCT(('TREASURY FILE'!B454:B5455=$B$4)*('TREASURY FILE'!D454:D5455="TURNOVER")*('TREASURY FILE'!A454:A5455=A555)*('TREASURY FILE'!F454:F5455))</f>
        <v>0</v>
      </c>
      <c r="C555" s="24" cm="1">
        <f t="array" ref="C555">SUMPRODUCT(('TREASURY FILE'!B454:B5455=$C$4)*('TREASURY FILE'!D454:D5455="TURNOVER")*('TREASURY FILE'!A454:A5455=A555)*('TREASURY FILE'!F454:F5455))</f>
        <v>0</v>
      </c>
      <c r="D555" s="24" cm="1">
        <f t="array" ref="D555">SUMPRODUCT(('TREASURY FILE'!B454:B5455=$D$4)*('TREASURY FILE'!D454:D5455="TURNOVER")*('TREASURY FILE'!A454:A5455=A555)*('TREASURY FILE'!F454:F5455))</f>
        <v>0</v>
      </c>
      <c r="E555" s="31">
        <f t="shared" si="26"/>
        <v>0</v>
      </c>
      <c r="G555" s="24" cm="1">
        <f t="array" ref="G555">SUMPRODUCT(('TREASURY FILE'!B454:B5455=$G$4)*('TREASURY FILE'!D454:D5455="INCOME")*('TREASURY FILE'!A454:A5455=A555)*('TREASURY FILE'!F454:F5455))</f>
        <v>0</v>
      </c>
      <c r="H555" s="24" cm="1">
        <f t="array" ref="H555">SUMPRODUCT(('TREASURY FILE'!B454:B5455=$H$4)*('TREASURY FILE'!D454:D5455="INCOME")*('TREASURY FILE'!A454:A5455=A555)*('TREASURY FILE'!F454:F5455))</f>
        <v>0</v>
      </c>
      <c r="I555" s="24" cm="1">
        <f t="array" ref="I555">SUMPRODUCT(('TREASURY FILE'!D463:D5455=$I$4)*('TREASURY FILE'!F463:F5455="INCOME")*('TREASURY FILE'!C463:C5455=C555)*('TREASURY FILE'!H463:H5455))</f>
        <v>0</v>
      </c>
      <c r="J555" s="31">
        <f t="shared" si="27"/>
        <v>0</v>
      </c>
      <c r="K555" s="33" t="e">
        <f t="shared" si="28"/>
        <v>#DIV/0!</v>
      </c>
    </row>
    <row r="556" spans="1:11" x14ac:dyDescent="0.3">
      <c r="A556" s="30">
        <v>46209</v>
      </c>
      <c r="B556" s="24" cm="1">
        <f t="array" ref="B556">SUMPRODUCT(('TREASURY FILE'!B455:B5456=$B$4)*('TREASURY FILE'!D455:D5456="TURNOVER")*('TREASURY FILE'!A455:A5456=A556)*('TREASURY FILE'!F455:F5456))</f>
        <v>0</v>
      </c>
      <c r="C556" s="24" cm="1">
        <f t="array" ref="C556">SUMPRODUCT(('TREASURY FILE'!B455:B5456=$C$4)*('TREASURY FILE'!D455:D5456="TURNOVER")*('TREASURY FILE'!A455:A5456=A556)*('TREASURY FILE'!F455:F5456))</f>
        <v>0</v>
      </c>
      <c r="D556" s="24" cm="1">
        <f t="array" ref="D556">SUMPRODUCT(('TREASURY FILE'!B455:B5456=$D$4)*('TREASURY FILE'!D455:D5456="TURNOVER")*('TREASURY FILE'!A455:A5456=A556)*('TREASURY FILE'!F455:F5456))</f>
        <v>0</v>
      </c>
      <c r="E556" s="31">
        <f t="shared" si="26"/>
        <v>0</v>
      </c>
      <c r="G556" s="24" cm="1">
        <f t="array" ref="G556">SUMPRODUCT(('TREASURY FILE'!B455:B5456=$G$4)*('TREASURY FILE'!D455:D5456="INCOME")*('TREASURY FILE'!A455:A5456=A556)*('TREASURY FILE'!F455:F5456))</f>
        <v>0</v>
      </c>
      <c r="H556" s="24" cm="1">
        <f t="array" ref="H556">SUMPRODUCT(('TREASURY FILE'!B455:B5456=$H$4)*('TREASURY FILE'!D455:D5456="INCOME")*('TREASURY FILE'!A455:A5456=A556)*('TREASURY FILE'!F455:F5456))</f>
        <v>0</v>
      </c>
      <c r="I556" s="24" cm="1">
        <f t="array" ref="I556">SUMPRODUCT(('TREASURY FILE'!D464:D5456=$I$4)*('TREASURY FILE'!F464:F5456="INCOME")*('TREASURY FILE'!C464:C5456=C556)*('TREASURY FILE'!H464:H5456))</f>
        <v>0</v>
      </c>
      <c r="J556" s="31">
        <f t="shared" si="27"/>
        <v>0</v>
      </c>
      <c r="K556" s="33" t="e">
        <f t="shared" si="28"/>
        <v>#DIV/0!</v>
      </c>
    </row>
    <row r="557" spans="1:11" x14ac:dyDescent="0.3">
      <c r="A557" s="30">
        <v>46210</v>
      </c>
      <c r="B557" s="24" cm="1">
        <f t="array" ref="B557">SUMPRODUCT(('TREASURY FILE'!B456:B5457=$B$4)*('TREASURY FILE'!D456:D5457="TURNOVER")*('TREASURY FILE'!A456:A5457=A557)*('TREASURY FILE'!F456:F5457))</f>
        <v>0</v>
      </c>
      <c r="C557" s="24" cm="1">
        <f t="array" ref="C557">SUMPRODUCT(('TREASURY FILE'!B456:B5457=$C$4)*('TREASURY FILE'!D456:D5457="TURNOVER")*('TREASURY FILE'!A456:A5457=A557)*('TREASURY FILE'!F456:F5457))</f>
        <v>0</v>
      </c>
      <c r="D557" s="24" cm="1">
        <f t="array" ref="D557">SUMPRODUCT(('TREASURY FILE'!B456:B5457=$D$4)*('TREASURY FILE'!D456:D5457="TURNOVER")*('TREASURY FILE'!A456:A5457=A557)*('TREASURY FILE'!F456:F5457))</f>
        <v>0</v>
      </c>
      <c r="E557" s="31">
        <f t="shared" si="26"/>
        <v>0</v>
      </c>
      <c r="G557" s="24" cm="1">
        <f t="array" ref="G557">SUMPRODUCT(('TREASURY FILE'!B456:B5457=$G$4)*('TREASURY FILE'!D456:D5457="INCOME")*('TREASURY FILE'!A456:A5457=A557)*('TREASURY FILE'!F456:F5457))</f>
        <v>0</v>
      </c>
      <c r="H557" s="24" cm="1">
        <f t="array" ref="H557">SUMPRODUCT(('TREASURY FILE'!B456:B5457=$H$4)*('TREASURY FILE'!D456:D5457="INCOME")*('TREASURY FILE'!A456:A5457=A557)*('TREASURY FILE'!F456:F5457))</f>
        <v>0</v>
      </c>
      <c r="I557" s="24" cm="1">
        <f t="array" ref="I557">SUMPRODUCT(('TREASURY FILE'!D465:D5457=$I$4)*('TREASURY FILE'!F465:F5457="INCOME")*('TREASURY FILE'!C465:C5457=C557)*('TREASURY FILE'!H465:H5457))</f>
        <v>0</v>
      </c>
      <c r="J557" s="31">
        <f t="shared" si="27"/>
        <v>0</v>
      </c>
      <c r="K557" s="33" t="e">
        <f t="shared" si="28"/>
        <v>#DIV/0!</v>
      </c>
    </row>
    <row r="558" spans="1:11" x14ac:dyDescent="0.3">
      <c r="A558" s="30">
        <v>46211</v>
      </c>
      <c r="B558" s="24" cm="1">
        <f t="array" ref="B558">SUMPRODUCT(('TREASURY FILE'!B457:B5458=$B$4)*('TREASURY FILE'!D457:D5458="TURNOVER")*('TREASURY FILE'!A457:A5458=A558)*('TREASURY FILE'!F457:F5458))</f>
        <v>0</v>
      </c>
      <c r="C558" s="24" cm="1">
        <f t="array" ref="C558">SUMPRODUCT(('TREASURY FILE'!B457:B5458=$C$4)*('TREASURY FILE'!D457:D5458="TURNOVER")*('TREASURY FILE'!A457:A5458=A558)*('TREASURY FILE'!F457:F5458))</f>
        <v>0</v>
      </c>
      <c r="D558" s="24" cm="1">
        <f t="array" ref="D558">SUMPRODUCT(('TREASURY FILE'!B457:B5458=$D$4)*('TREASURY FILE'!D457:D5458="TURNOVER")*('TREASURY FILE'!A457:A5458=A558)*('TREASURY FILE'!F457:F5458))</f>
        <v>0</v>
      </c>
      <c r="E558" s="31">
        <f t="shared" si="26"/>
        <v>0</v>
      </c>
      <c r="G558" s="24" cm="1">
        <f t="array" ref="G558">SUMPRODUCT(('TREASURY FILE'!B457:B5458=$G$4)*('TREASURY FILE'!D457:D5458="INCOME")*('TREASURY FILE'!A457:A5458=A558)*('TREASURY FILE'!F457:F5458))</f>
        <v>0</v>
      </c>
      <c r="H558" s="24" cm="1">
        <f t="array" ref="H558">SUMPRODUCT(('TREASURY FILE'!B457:B5458=$H$4)*('TREASURY FILE'!D457:D5458="INCOME")*('TREASURY FILE'!A457:A5458=A558)*('TREASURY FILE'!F457:F5458))</f>
        <v>0</v>
      </c>
      <c r="I558" s="24" cm="1">
        <f t="array" ref="I558">SUMPRODUCT(('TREASURY FILE'!D466:D5458=$I$4)*('TREASURY FILE'!F466:F5458="INCOME")*('TREASURY FILE'!C466:C5458=C558)*('TREASURY FILE'!H466:H5458))</f>
        <v>0</v>
      </c>
      <c r="J558" s="31">
        <f t="shared" si="27"/>
        <v>0</v>
      </c>
      <c r="K558" s="33" t="e">
        <f t="shared" si="28"/>
        <v>#DIV/0!</v>
      </c>
    </row>
    <row r="559" spans="1:11" x14ac:dyDescent="0.3">
      <c r="A559" s="30">
        <v>46212</v>
      </c>
      <c r="B559" s="24" cm="1">
        <f t="array" ref="B559">SUMPRODUCT(('TREASURY FILE'!B458:B5459=$B$4)*('TREASURY FILE'!D458:D5459="TURNOVER")*('TREASURY FILE'!A458:A5459=A559)*('TREASURY FILE'!F458:F5459))</f>
        <v>0</v>
      </c>
      <c r="C559" s="24" cm="1">
        <f t="array" ref="C559">SUMPRODUCT(('TREASURY FILE'!B458:B5459=$C$4)*('TREASURY FILE'!D458:D5459="TURNOVER")*('TREASURY FILE'!A458:A5459=A559)*('TREASURY FILE'!F458:F5459))</f>
        <v>0</v>
      </c>
      <c r="D559" s="24" cm="1">
        <f t="array" ref="D559">SUMPRODUCT(('TREASURY FILE'!B458:B5459=$D$4)*('TREASURY FILE'!D458:D5459="TURNOVER")*('TREASURY FILE'!A458:A5459=A559)*('TREASURY FILE'!F458:F5459))</f>
        <v>0</v>
      </c>
      <c r="E559" s="31">
        <f t="shared" si="26"/>
        <v>0</v>
      </c>
      <c r="G559" s="24" cm="1">
        <f t="array" ref="G559">SUMPRODUCT(('TREASURY FILE'!B458:B5459=$G$4)*('TREASURY FILE'!D458:D5459="INCOME")*('TREASURY FILE'!A458:A5459=A559)*('TREASURY FILE'!F458:F5459))</f>
        <v>0</v>
      </c>
      <c r="H559" s="24" cm="1">
        <f t="array" ref="H559">SUMPRODUCT(('TREASURY FILE'!B458:B5459=$H$4)*('TREASURY FILE'!D458:D5459="INCOME")*('TREASURY FILE'!A458:A5459=A559)*('TREASURY FILE'!F458:F5459))</f>
        <v>0</v>
      </c>
      <c r="I559" s="24" cm="1">
        <f t="array" ref="I559">SUMPRODUCT(('TREASURY FILE'!D467:D5459=$I$4)*('TREASURY FILE'!F467:F5459="INCOME")*('TREASURY FILE'!C467:C5459=C559)*('TREASURY FILE'!H467:H5459))</f>
        <v>0</v>
      </c>
      <c r="J559" s="31">
        <f t="shared" si="27"/>
        <v>0</v>
      </c>
      <c r="K559" s="33" t="e">
        <f t="shared" si="28"/>
        <v>#DIV/0!</v>
      </c>
    </row>
    <row r="560" spans="1:11" x14ac:dyDescent="0.3">
      <c r="A560" s="30">
        <v>46213</v>
      </c>
      <c r="B560" s="24" cm="1">
        <f t="array" ref="B560">SUMPRODUCT(('TREASURY FILE'!B459:B5460=$B$4)*('TREASURY FILE'!D459:D5460="TURNOVER")*('TREASURY FILE'!A459:A5460=A560)*('TREASURY FILE'!F459:F5460))</f>
        <v>0</v>
      </c>
      <c r="C560" s="24" cm="1">
        <f t="array" ref="C560">SUMPRODUCT(('TREASURY FILE'!B459:B5460=$C$4)*('TREASURY FILE'!D459:D5460="TURNOVER")*('TREASURY FILE'!A459:A5460=A560)*('TREASURY FILE'!F459:F5460))</f>
        <v>0</v>
      </c>
      <c r="D560" s="24" cm="1">
        <f t="array" ref="D560">SUMPRODUCT(('TREASURY FILE'!B459:B5460=$D$4)*('TREASURY FILE'!D459:D5460="TURNOVER")*('TREASURY FILE'!A459:A5460=A560)*('TREASURY FILE'!F459:F5460))</f>
        <v>0</v>
      </c>
      <c r="E560" s="31">
        <f t="shared" si="26"/>
        <v>0</v>
      </c>
      <c r="G560" s="24" cm="1">
        <f t="array" ref="G560">SUMPRODUCT(('TREASURY FILE'!B459:B5460=$G$4)*('TREASURY FILE'!D459:D5460="INCOME")*('TREASURY FILE'!A459:A5460=A560)*('TREASURY FILE'!F459:F5460))</f>
        <v>0</v>
      </c>
      <c r="H560" s="24" cm="1">
        <f t="array" ref="H560">SUMPRODUCT(('TREASURY FILE'!B459:B5460=$H$4)*('TREASURY FILE'!D459:D5460="INCOME")*('TREASURY FILE'!A459:A5460=A560)*('TREASURY FILE'!F459:F5460))</f>
        <v>0</v>
      </c>
      <c r="I560" s="24" cm="1">
        <f t="array" ref="I560">SUMPRODUCT(('TREASURY FILE'!D468:D5460=$I$4)*('TREASURY FILE'!F468:F5460="INCOME")*('TREASURY FILE'!C468:C5460=C560)*('TREASURY FILE'!H468:H5460))</f>
        <v>0</v>
      </c>
      <c r="J560" s="31">
        <f t="shared" si="27"/>
        <v>0</v>
      </c>
      <c r="K560" s="33" t="e">
        <f t="shared" si="28"/>
        <v>#DIV/0!</v>
      </c>
    </row>
    <row r="561" spans="1:11" x14ac:dyDescent="0.3">
      <c r="A561" s="30">
        <v>46214</v>
      </c>
      <c r="B561" s="24" cm="1">
        <f t="array" ref="B561">SUMPRODUCT(('TREASURY FILE'!B460:B5461=$B$4)*('TREASURY FILE'!D460:D5461="TURNOVER")*('TREASURY FILE'!A460:A5461=A561)*('TREASURY FILE'!F460:F5461))</f>
        <v>0</v>
      </c>
      <c r="C561" s="24" cm="1">
        <f t="array" ref="C561">SUMPRODUCT(('TREASURY FILE'!B460:B5461=$C$4)*('TREASURY FILE'!D460:D5461="TURNOVER")*('TREASURY FILE'!A460:A5461=A561)*('TREASURY FILE'!F460:F5461))</f>
        <v>0</v>
      </c>
      <c r="D561" s="24" cm="1">
        <f t="array" ref="D561">SUMPRODUCT(('TREASURY FILE'!B460:B5461=$D$4)*('TREASURY FILE'!D460:D5461="TURNOVER")*('TREASURY FILE'!A460:A5461=A561)*('TREASURY FILE'!F460:F5461))</f>
        <v>0</v>
      </c>
      <c r="E561" s="31">
        <f t="shared" si="26"/>
        <v>0</v>
      </c>
      <c r="G561" s="24" cm="1">
        <f t="array" ref="G561">SUMPRODUCT(('TREASURY FILE'!B460:B5461=$G$4)*('TREASURY FILE'!D460:D5461="INCOME")*('TREASURY FILE'!A460:A5461=A561)*('TREASURY FILE'!F460:F5461))</f>
        <v>0</v>
      </c>
      <c r="H561" s="24" cm="1">
        <f t="array" ref="H561">SUMPRODUCT(('TREASURY FILE'!B460:B5461=$H$4)*('TREASURY FILE'!D460:D5461="INCOME")*('TREASURY FILE'!A460:A5461=A561)*('TREASURY FILE'!F460:F5461))</f>
        <v>0</v>
      </c>
      <c r="I561" s="24" cm="1">
        <f t="array" ref="I561">SUMPRODUCT(('TREASURY FILE'!D469:D5461=$I$4)*('TREASURY FILE'!F469:F5461="INCOME")*('TREASURY FILE'!C469:C5461=C561)*('TREASURY FILE'!H469:H5461))</f>
        <v>0</v>
      </c>
      <c r="J561" s="31">
        <f t="shared" si="27"/>
        <v>0</v>
      </c>
      <c r="K561" s="33" t="e">
        <f t="shared" si="28"/>
        <v>#DIV/0!</v>
      </c>
    </row>
    <row r="562" spans="1:11" x14ac:dyDescent="0.3">
      <c r="A562" s="30">
        <v>46215</v>
      </c>
      <c r="B562" s="24" cm="1">
        <f t="array" ref="B562">SUMPRODUCT(('TREASURY FILE'!B461:B5462=$B$4)*('TREASURY FILE'!D461:D5462="TURNOVER")*('TREASURY FILE'!A461:A5462=A562)*('TREASURY FILE'!F461:F5462))</f>
        <v>0</v>
      </c>
      <c r="C562" s="24" cm="1">
        <f t="array" ref="C562">SUMPRODUCT(('TREASURY FILE'!B461:B5462=$C$4)*('TREASURY FILE'!D461:D5462="TURNOVER")*('TREASURY FILE'!A461:A5462=A562)*('TREASURY FILE'!F461:F5462))</f>
        <v>0</v>
      </c>
      <c r="D562" s="24" cm="1">
        <f t="array" ref="D562">SUMPRODUCT(('TREASURY FILE'!B461:B5462=$D$4)*('TREASURY FILE'!D461:D5462="TURNOVER")*('TREASURY FILE'!A461:A5462=A562)*('TREASURY FILE'!F461:F5462))</f>
        <v>0</v>
      </c>
      <c r="E562" s="31">
        <f t="shared" si="26"/>
        <v>0</v>
      </c>
      <c r="G562" s="24" cm="1">
        <f t="array" ref="G562">SUMPRODUCT(('TREASURY FILE'!B461:B5462=$G$4)*('TREASURY FILE'!D461:D5462="INCOME")*('TREASURY FILE'!A461:A5462=A562)*('TREASURY FILE'!F461:F5462))</f>
        <v>0</v>
      </c>
      <c r="H562" s="24" cm="1">
        <f t="array" ref="H562">SUMPRODUCT(('TREASURY FILE'!B461:B5462=$H$4)*('TREASURY FILE'!D461:D5462="INCOME")*('TREASURY FILE'!A461:A5462=A562)*('TREASURY FILE'!F461:F5462))</f>
        <v>0</v>
      </c>
      <c r="I562" s="24" cm="1">
        <f t="array" ref="I562">SUMPRODUCT(('TREASURY FILE'!D470:D5462=$I$4)*('TREASURY FILE'!F470:F5462="INCOME")*('TREASURY FILE'!C470:C5462=C562)*('TREASURY FILE'!H470:H5462))</f>
        <v>0</v>
      </c>
      <c r="J562" s="31">
        <f t="shared" si="27"/>
        <v>0</v>
      </c>
      <c r="K562" s="33" t="e">
        <f t="shared" si="28"/>
        <v>#DIV/0!</v>
      </c>
    </row>
    <row r="563" spans="1:11" x14ac:dyDescent="0.3">
      <c r="A563" s="30">
        <v>46216</v>
      </c>
      <c r="B563" s="24" cm="1">
        <f t="array" ref="B563">SUMPRODUCT(('TREASURY FILE'!B462:B5463=$B$4)*('TREASURY FILE'!D462:D5463="TURNOVER")*('TREASURY FILE'!A462:A5463=A563)*('TREASURY FILE'!F462:F5463))</f>
        <v>0</v>
      </c>
      <c r="C563" s="24" cm="1">
        <f t="array" ref="C563">SUMPRODUCT(('TREASURY FILE'!B462:B5463=$C$4)*('TREASURY FILE'!D462:D5463="TURNOVER")*('TREASURY FILE'!A462:A5463=A563)*('TREASURY FILE'!F462:F5463))</f>
        <v>0</v>
      </c>
      <c r="D563" s="24" cm="1">
        <f t="array" ref="D563">SUMPRODUCT(('TREASURY FILE'!B462:B5463=$D$4)*('TREASURY FILE'!D462:D5463="TURNOVER")*('TREASURY FILE'!A462:A5463=A563)*('TREASURY FILE'!F462:F5463))</f>
        <v>0</v>
      </c>
      <c r="E563" s="31">
        <f t="shared" si="26"/>
        <v>0</v>
      </c>
      <c r="G563" s="24" cm="1">
        <f t="array" ref="G563">SUMPRODUCT(('TREASURY FILE'!B462:B5463=$G$4)*('TREASURY FILE'!D462:D5463="INCOME")*('TREASURY FILE'!A462:A5463=A563)*('TREASURY FILE'!F462:F5463))</f>
        <v>0</v>
      </c>
      <c r="H563" s="24" cm="1">
        <f t="array" ref="H563">SUMPRODUCT(('TREASURY FILE'!B462:B5463=$H$4)*('TREASURY FILE'!D462:D5463="INCOME")*('TREASURY FILE'!A462:A5463=A563)*('TREASURY FILE'!F462:F5463))</f>
        <v>0</v>
      </c>
      <c r="I563" s="24" cm="1">
        <f t="array" ref="I563">SUMPRODUCT(('TREASURY FILE'!D471:D5463=$I$4)*('TREASURY FILE'!F471:F5463="INCOME")*('TREASURY FILE'!C471:C5463=C563)*('TREASURY FILE'!H471:H5463))</f>
        <v>0</v>
      </c>
      <c r="J563" s="31">
        <f t="shared" si="27"/>
        <v>0</v>
      </c>
      <c r="K563" s="33" t="e">
        <f t="shared" si="28"/>
        <v>#DIV/0!</v>
      </c>
    </row>
    <row r="564" spans="1:11" x14ac:dyDescent="0.3">
      <c r="A564" s="30">
        <v>46217</v>
      </c>
      <c r="B564" s="24" cm="1">
        <f t="array" ref="B564">SUMPRODUCT(('TREASURY FILE'!B463:B5464=$B$4)*('TREASURY FILE'!D463:D5464="TURNOVER")*('TREASURY FILE'!A463:A5464=A564)*('TREASURY FILE'!F463:F5464))</f>
        <v>0</v>
      </c>
      <c r="C564" s="24" cm="1">
        <f t="array" ref="C564">SUMPRODUCT(('TREASURY FILE'!B463:B5464=$C$4)*('TREASURY FILE'!D463:D5464="TURNOVER")*('TREASURY FILE'!A463:A5464=A564)*('TREASURY FILE'!F463:F5464))</f>
        <v>0</v>
      </c>
      <c r="D564" s="24" cm="1">
        <f t="array" ref="D564">SUMPRODUCT(('TREASURY FILE'!B463:B5464=$D$4)*('TREASURY FILE'!D463:D5464="TURNOVER")*('TREASURY FILE'!A463:A5464=A564)*('TREASURY FILE'!F463:F5464))</f>
        <v>0</v>
      </c>
      <c r="E564" s="31">
        <f t="shared" si="26"/>
        <v>0</v>
      </c>
      <c r="G564" s="24" cm="1">
        <f t="array" ref="G564">SUMPRODUCT(('TREASURY FILE'!B463:B5464=$G$4)*('TREASURY FILE'!D463:D5464="INCOME")*('TREASURY FILE'!A463:A5464=A564)*('TREASURY FILE'!F463:F5464))</f>
        <v>0</v>
      </c>
      <c r="H564" s="24" cm="1">
        <f t="array" ref="H564">SUMPRODUCT(('TREASURY FILE'!B463:B5464=$H$4)*('TREASURY FILE'!D463:D5464="INCOME")*('TREASURY FILE'!A463:A5464=A564)*('TREASURY FILE'!F463:F5464))</f>
        <v>0</v>
      </c>
      <c r="I564" s="24" cm="1">
        <f t="array" ref="I564">SUMPRODUCT(('TREASURY FILE'!D472:D5464=$I$4)*('TREASURY FILE'!F472:F5464="INCOME")*('TREASURY FILE'!C472:C5464=C564)*('TREASURY FILE'!H472:H5464))</f>
        <v>0</v>
      </c>
      <c r="J564" s="31">
        <f t="shared" si="27"/>
        <v>0</v>
      </c>
      <c r="K564" s="33" t="e">
        <f t="shared" si="28"/>
        <v>#DIV/0!</v>
      </c>
    </row>
    <row r="565" spans="1:11" x14ac:dyDescent="0.3">
      <c r="A565" s="30">
        <v>46218</v>
      </c>
      <c r="B565" s="24" cm="1">
        <f t="array" ref="B565">SUMPRODUCT(('TREASURY FILE'!B464:B5465=$B$4)*('TREASURY FILE'!D464:D5465="TURNOVER")*('TREASURY FILE'!A464:A5465=A565)*('TREASURY FILE'!F464:F5465))</f>
        <v>0</v>
      </c>
      <c r="C565" s="24" cm="1">
        <f t="array" ref="C565">SUMPRODUCT(('TREASURY FILE'!B464:B5465=$C$4)*('TREASURY FILE'!D464:D5465="TURNOVER")*('TREASURY FILE'!A464:A5465=A565)*('TREASURY FILE'!F464:F5465))</f>
        <v>0</v>
      </c>
      <c r="D565" s="24" cm="1">
        <f t="array" ref="D565">SUMPRODUCT(('TREASURY FILE'!B464:B5465=$D$4)*('TREASURY FILE'!D464:D5465="TURNOVER")*('TREASURY FILE'!A464:A5465=A565)*('TREASURY FILE'!F464:F5465))</f>
        <v>0</v>
      </c>
      <c r="E565" s="31">
        <f t="shared" si="26"/>
        <v>0</v>
      </c>
      <c r="G565" s="24" cm="1">
        <f t="array" ref="G565">SUMPRODUCT(('TREASURY FILE'!B464:B5465=$G$4)*('TREASURY FILE'!D464:D5465="INCOME")*('TREASURY FILE'!A464:A5465=A565)*('TREASURY FILE'!F464:F5465))</f>
        <v>0</v>
      </c>
      <c r="H565" s="24" cm="1">
        <f t="array" ref="H565">SUMPRODUCT(('TREASURY FILE'!B464:B5465=$H$4)*('TREASURY FILE'!D464:D5465="INCOME")*('TREASURY FILE'!A464:A5465=A565)*('TREASURY FILE'!F464:F5465))</f>
        <v>0</v>
      </c>
      <c r="I565" s="24" cm="1">
        <f t="array" ref="I565">SUMPRODUCT(('TREASURY FILE'!D473:D5465=$I$4)*('TREASURY FILE'!F473:F5465="INCOME")*('TREASURY FILE'!C473:C5465=C565)*('TREASURY FILE'!H473:H5465))</f>
        <v>0</v>
      </c>
      <c r="J565" s="31">
        <f t="shared" si="27"/>
        <v>0</v>
      </c>
      <c r="K565" s="33" t="e">
        <f t="shared" si="28"/>
        <v>#DIV/0!</v>
      </c>
    </row>
    <row r="566" spans="1:11" x14ac:dyDescent="0.3">
      <c r="A566" s="30">
        <v>46219</v>
      </c>
      <c r="B566" s="24" cm="1">
        <f t="array" ref="B566">SUMPRODUCT(('TREASURY FILE'!B465:B5466=$B$4)*('TREASURY FILE'!D465:D5466="TURNOVER")*('TREASURY FILE'!A465:A5466=A566)*('TREASURY FILE'!F465:F5466))</f>
        <v>0</v>
      </c>
      <c r="C566" s="24" cm="1">
        <f t="array" ref="C566">SUMPRODUCT(('TREASURY FILE'!B465:B5466=$C$4)*('TREASURY FILE'!D465:D5466="TURNOVER")*('TREASURY FILE'!A465:A5466=A566)*('TREASURY FILE'!F465:F5466))</f>
        <v>0</v>
      </c>
      <c r="D566" s="24" cm="1">
        <f t="array" ref="D566">SUMPRODUCT(('TREASURY FILE'!B465:B5466=$D$4)*('TREASURY FILE'!D465:D5466="TURNOVER")*('TREASURY FILE'!A465:A5466=A566)*('TREASURY FILE'!F465:F5466))</f>
        <v>0</v>
      </c>
      <c r="E566" s="31">
        <f t="shared" si="26"/>
        <v>0</v>
      </c>
      <c r="G566" s="24" cm="1">
        <f t="array" ref="G566">SUMPRODUCT(('TREASURY FILE'!B465:B5466=$G$4)*('TREASURY FILE'!D465:D5466="INCOME")*('TREASURY FILE'!A465:A5466=A566)*('TREASURY FILE'!F465:F5466))</f>
        <v>0</v>
      </c>
      <c r="H566" s="24" cm="1">
        <f t="array" ref="H566">SUMPRODUCT(('TREASURY FILE'!B465:B5466=$H$4)*('TREASURY FILE'!D465:D5466="INCOME")*('TREASURY FILE'!A465:A5466=A566)*('TREASURY FILE'!F465:F5466))</f>
        <v>0</v>
      </c>
      <c r="I566" s="24" cm="1">
        <f t="array" ref="I566">SUMPRODUCT(('TREASURY FILE'!D474:D5466=$I$4)*('TREASURY FILE'!F474:F5466="INCOME")*('TREASURY FILE'!C474:C5466=C566)*('TREASURY FILE'!H474:H5466))</f>
        <v>0</v>
      </c>
      <c r="J566" s="31">
        <f t="shared" si="27"/>
        <v>0</v>
      </c>
      <c r="K566" s="33" t="e">
        <f t="shared" si="28"/>
        <v>#DIV/0!</v>
      </c>
    </row>
    <row r="567" spans="1:11" x14ac:dyDescent="0.3">
      <c r="A567" s="30">
        <v>46220</v>
      </c>
      <c r="B567" s="24" cm="1">
        <f t="array" ref="B567">SUMPRODUCT(('TREASURY FILE'!B466:B5467=$B$4)*('TREASURY FILE'!D466:D5467="TURNOVER")*('TREASURY FILE'!A466:A5467=A567)*('TREASURY FILE'!F466:F5467))</f>
        <v>0</v>
      </c>
      <c r="C567" s="24" cm="1">
        <f t="array" ref="C567">SUMPRODUCT(('TREASURY FILE'!B466:B5467=$C$4)*('TREASURY FILE'!D466:D5467="TURNOVER")*('TREASURY FILE'!A466:A5467=A567)*('TREASURY FILE'!F466:F5467))</f>
        <v>0</v>
      </c>
      <c r="D567" s="24" cm="1">
        <f t="array" ref="D567">SUMPRODUCT(('TREASURY FILE'!B466:B5467=$D$4)*('TREASURY FILE'!D466:D5467="TURNOVER")*('TREASURY FILE'!A466:A5467=A567)*('TREASURY FILE'!F466:F5467))</f>
        <v>0</v>
      </c>
      <c r="E567" s="31">
        <f t="shared" si="26"/>
        <v>0</v>
      </c>
      <c r="G567" s="24" cm="1">
        <f t="array" ref="G567">SUMPRODUCT(('TREASURY FILE'!B466:B5467=$G$4)*('TREASURY FILE'!D466:D5467="INCOME")*('TREASURY FILE'!A466:A5467=A567)*('TREASURY FILE'!F466:F5467))</f>
        <v>0</v>
      </c>
      <c r="H567" s="24" cm="1">
        <f t="array" ref="H567">SUMPRODUCT(('TREASURY FILE'!B466:B5467=$H$4)*('TREASURY FILE'!D466:D5467="INCOME")*('TREASURY FILE'!A466:A5467=A567)*('TREASURY FILE'!F466:F5467))</f>
        <v>0</v>
      </c>
      <c r="I567" s="24" cm="1">
        <f t="array" ref="I567">SUMPRODUCT(('TREASURY FILE'!D475:D5467=$I$4)*('TREASURY FILE'!F475:F5467="INCOME")*('TREASURY FILE'!C475:C5467=C567)*('TREASURY FILE'!H475:H5467))</f>
        <v>0</v>
      </c>
      <c r="J567" s="31">
        <f t="shared" si="27"/>
        <v>0</v>
      </c>
      <c r="K567" s="33" t="e">
        <f t="shared" si="28"/>
        <v>#DIV/0!</v>
      </c>
    </row>
    <row r="568" spans="1:11" x14ac:dyDescent="0.3">
      <c r="A568" s="30">
        <v>46221</v>
      </c>
      <c r="B568" s="24" cm="1">
        <f t="array" ref="B568">SUMPRODUCT(('TREASURY FILE'!B467:B5468=$B$4)*('TREASURY FILE'!D467:D5468="TURNOVER")*('TREASURY FILE'!A467:A5468=A568)*('TREASURY FILE'!F467:F5468))</f>
        <v>0</v>
      </c>
      <c r="C568" s="24" cm="1">
        <f t="array" ref="C568">SUMPRODUCT(('TREASURY FILE'!B467:B5468=$C$4)*('TREASURY FILE'!D467:D5468="TURNOVER")*('TREASURY FILE'!A467:A5468=A568)*('TREASURY FILE'!F467:F5468))</f>
        <v>0</v>
      </c>
      <c r="D568" s="24" cm="1">
        <f t="array" ref="D568">SUMPRODUCT(('TREASURY FILE'!B467:B5468=$D$4)*('TREASURY FILE'!D467:D5468="TURNOVER")*('TREASURY FILE'!A467:A5468=A568)*('TREASURY FILE'!F467:F5468))</f>
        <v>0</v>
      </c>
      <c r="E568" s="31">
        <f t="shared" si="26"/>
        <v>0</v>
      </c>
      <c r="G568" s="24" cm="1">
        <f t="array" ref="G568">SUMPRODUCT(('TREASURY FILE'!B467:B5468=$G$4)*('TREASURY FILE'!D467:D5468="INCOME")*('TREASURY FILE'!A467:A5468=A568)*('TREASURY FILE'!F467:F5468))</f>
        <v>0</v>
      </c>
      <c r="H568" s="24" cm="1">
        <f t="array" ref="H568">SUMPRODUCT(('TREASURY FILE'!B467:B5468=$H$4)*('TREASURY FILE'!D467:D5468="INCOME")*('TREASURY FILE'!A467:A5468=A568)*('TREASURY FILE'!F467:F5468))</f>
        <v>0</v>
      </c>
      <c r="I568" s="24" cm="1">
        <f t="array" ref="I568">SUMPRODUCT(('TREASURY FILE'!D476:D5468=$I$4)*('TREASURY FILE'!F476:F5468="INCOME")*('TREASURY FILE'!C476:C5468=C568)*('TREASURY FILE'!H476:H5468))</f>
        <v>0</v>
      </c>
      <c r="J568" s="31">
        <f t="shared" si="27"/>
        <v>0</v>
      </c>
      <c r="K568" s="33" t="e">
        <f t="shared" si="28"/>
        <v>#DIV/0!</v>
      </c>
    </row>
    <row r="569" spans="1:11" x14ac:dyDescent="0.3">
      <c r="A569" s="30">
        <v>46222</v>
      </c>
      <c r="B569" s="24" cm="1">
        <f t="array" ref="B569">SUMPRODUCT(('TREASURY FILE'!B468:B5469=$B$4)*('TREASURY FILE'!D468:D5469="TURNOVER")*('TREASURY FILE'!A468:A5469=A569)*('TREASURY FILE'!F468:F5469))</f>
        <v>0</v>
      </c>
      <c r="C569" s="24" cm="1">
        <f t="array" ref="C569">SUMPRODUCT(('TREASURY FILE'!B468:B5469=$C$4)*('TREASURY FILE'!D468:D5469="TURNOVER")*('TREASURY FILE'!A468:A5469=A569)*('TREASURY FILE'!F468:F5469))</f>
        <v>0</v>
      </c>
      <c r="D569" s="24" cm="1">
        <f t="array" ref="D569">SUMPRODUCT(('TREASURY FILE'!B468:B5469=$D$4)*('TREASURY FILE'!D468:D5469="TURNOVER")*('TREASURY FILE'!A468:A5469=A569)*('TREASURY FILE'!F468:F5469))</f>
        <v>0</v>
      </c>
      <c r="E569" s="31">
        <f t="shared" si="26"/>
        <v>0</v>
      </c>
      <c r="G569" s="24" cm="1">
        <f t="array" ref="G569">SUMPRODUCT(('TREASURY FILE'!B468:B5469=$G$4)*('TREASURY FILE'!D468:D5469="INCOME")*('TREASURY FILE'!A468:A5469=A569)*('TREASURY FILE'!F468:F5469))</f>
        <v>0</v>
      </c>
      <c r="H569" s="24" cm="1">
        <f t="array" ref="H569">SUMPRODUCT(('TREASURY FILE'!B468:B5469=$H$4)*('TREASURY FILE'!D468:D5469="INCOME")*('TREASURY FILE'!A468:A5469=A569)*('TREASURY FILE'!F468:F5469))</f>
        <v>0</v>
      </c>
      <c r="I569" s="24" cm="1">
        <f t="array" ref="I569">SUMPRODUCT(('TREASURY FILE'!D477:D5469=$I$4)*('TREASURY FILE'!F477:F5469="INCOME")*('TREASURY FILE'!C477:C5469=C569)*('TREASURY FILE'!H477:H5469))</f>
        <v>0</v>
      </c>
      <c r="J569" s="31">
        <f t="shared" si="27"/>
        <v>0</v>
      </c>
      <c r="K569" s="33" t="e">
        <f t="shared" si="28"/>
        <v>#DIV/0!</v>
      </c>
    </row>
    <row r="570" spans="1:11" x14ac:dyDescent="0.3">
      <c r="A570" s="30">
        <v>46223</v>
      </c>
      <c r="B570" s="24" cm="1">
        <f t="array" ref="B570">SUMPRODUCT(('TREASURY FILE'!B469:B5470=$B$4)*('TREASURY FILE'!D469:D5470="TURNOVER")*('TREASURY FILE'!A469:A5470=A570)*('TREASURY FILE'!F469:F5470))</f>
        <v>0</v>
      </c>
      <c r="C570" s="24" cm="1">
        <f t="array" ref="C570">SUMPRODUCT(('TREASURY FILE'!B469:B5470=$C$4)*('TREASURY FILE'!D469:D5470="TURNOVER")*('TREASURY FILE'!A469:A5470=A570)*('TREASURY FILE'!F469:F5470))</f>
        <v>0</v>
      </c>
      <c r="D570" s="24" cm="1">
        <f t="array" ref="D570">SUMPRODUCT(('TREASURY FILE'!B469:B5470=$D$4)*('TREASURY FILE'!D469:D5470="TURNOVER")*('TREASURY FILE'!A469:A5470=A570)*('TREASURY FILE'!F469:F5470))</f>
        <v>0</v>
      </c>
      <c r="E570" s="31">
        <f t="shared" si="26"/>
        <v>0</v>
      </c>
      <c r="G570" s="24" cm="1">
        <f t="array" ref="G570">SUMPRODUCT(('TREASURY FILE'!B469:B5470=$G$4)*('TREASURY FILE'!D469:D5470="INCOME")*('TREASURY FILE'!A469:A5470=A570)*('TREASURY FILE'!F469:F5470))</f>
        <v>0</v>
      </c>
      <c r="H570" s="24" cm="1">
        <f t="array" ref="H570">SUMPRODUCT(('TREASURY FILE'!B469:B5470=$H$4)*('TREASURY FILE'!D469:D5470="INCOME")*('TREASURY FILE'!A469:A5470=A570)*('TREASURY FILE'!F469:F5470))</f>
        <v>0</v>
      </c>
      <c r="I570" s="24" cm="1">
        <f t="array" ref="I570">SUMPRODUCT(('TREASURY FILE'!D478:D5470=$I$4)*('TREASURY FILE'!F478:F5470="INCOME")*('TREASURY FILE'!C478:C5470=C570)*('TREASURY FILE'!H478:H5470))</f>
        <v>0</v>
      </c>
      <c r="J570" s="31">
        <f t="shared" si="27"/>
        <v>0</v>
      </c>
      <c r="K570" s="33" t="e">
        <f t="shared" si="28"/>
        <v>#DIV/0!</v>
      </c>
    </row>
    <row r="571" spans="1:11" x14ac:dyDescent="0.3">
      <c r="A571" s="30">
        <v>46224</v>
      </c>
      <c r="B571" s="24" cm="1">
        <f t="array" ref="B571">SUMPRODUCT(('TREASURY FILE'!B470:B5471=$B$4)*('TREASURY FILE'!D470:D5471="TURNOVER")*('TREASURY FILE'!A470:A5471=A571)*('TREASURY FILE'!F470:F5471))</f>
        <v>0</v>
      </c>
      <c r="C571" s="24" cm="1">
        <f t="array" ref="C571">SUMPRODUCT(('TREASURY FILE'!B470:B5471=$C$4)*('TREASURY FILE'!D470:D5471="TURNOVER")*('TREASURY FILE'!A470:A5471=A571)*('TREASURY FILE'!F470:F5471))</f>
        <v>0</v>
      </c>
      <c r="D571" s="24" cm="1">
        <f t="array" ref="D571">SUMPRODUCT(('TREASURY FILE'!B470:B5471=$D$4)*('TREASURY FILE'!D470:D5471="TURNOVER")*('TREASURY FILE'!A470:A5471=A571)*('TREASURY FILE'!F470:F5471))</f>
        <v>0</v>
      </c>
      <c r="E571" s="31">
        <f t="shared" si="26"/>
        <v>0</v>
      </c>
      <c r="G571" s="24" cm="1">
        <f t="array" ref="G571">SUMPRODUCT(('TREASURY FILE'!B470:B5471=$G$4)*('TREASURY FILE'!D470:D5471="INCOME")*('TREASURY FILE'!A470:A5471=A571)*('TREASURY FILE'!F470:F5471))</f>
        <v>0</v>
      </c>
      <c r="H571" s="24" cm="1">
        <f t="array" ref="H571">SUMPRODUCT(('TREASURY FILE'!B470:B5471=$H$4)*('TREASURY FILE'!D470:D5471="INCOME")*('TREASURY FILE'!A470:A5471=A571)*('TREASURY FILE'!F470:F5471))</f>
        <v>0</v>
      </c>
      <c r="I571" s="24" cm="1">
        <f t="array" ref="I571">SUMPRODUCT(('TREASURY FILE'!D479:D5471=$I$4)*('TREASURY FILE'!F479:F5471="INCOME")*('TREASURY FILE'!C479:C5471=C571)*('TREASURY FILE'!H479:H5471))</f>
        <v>0</v>
      </c>
      <c r="J571" s="31">
        <f t="shared" si="27"/>
        <v>0</v>
      </c>
      <c r="K571" s="33" t="e">
        <f t="shared" si="28"/>
        <v>#DIV/0!</v>
      </c>
    </row>
    <row r="572" spans="1:11" x14ac:dyDescent="0.3">
      <c r="A572" s="30">
        <v>46225</v>
      </c>
      <c r="B572" s="24" cm="1">
        <f t="array" ref="B572">SUMPRODUCT(('TREASURY FILE'!B471:B5472=$B$4)*('TREASURY FILE'!D471:D5472="TURNOVER")*('TREASURY FILE'!A471:A5472=A572)*('TREASURY FILE'!F471:F5472))</f>
        <v>0</v>
      </c>
      <c r="C572" s="24" cm="1">
        <f t="array" ref="C572">SUMPRODUCT(('TREASURY FILE'!B471:B5472=$C$4)*('TREASURY FILE'!D471:D5472="TURNOVER")*('TREASURY FILE'!A471:A5472=A572)*('TREASURY FILE'!F471:F5472))</f>
        <v>0</v>
      </c>
      <c r="D572" s="24" cm="1">
        <f t="array" ref="D572">SUMPRODUCT(('TREASURY FILE'!B471:B5472=$D$4)*('TREASURY FILE'!D471:D5472="TURNOVER")*('TREASURY FILE'!A471:A5472=A572)*('TREASURY FILE'!F471:F5472))</f>
        <v>0</v>
      </c>
      <c r="E572" s="31">
        <f t="shared" si="26"/>
        <v>0</v>
      </c>
      <c r="G572" s="24" cm="1">
        <f t="array" ref="G572">SUMPRODUCT(('TREASURY FILE'!B471:B5472=$G$4)*('TREASURY FILE'!D471:D5472="INCOME")*('TREASURY FILE'!A471:A5472=A572)*('TREASURY FILE'!F471:F5472))</f>
        <v>0</v>
      </c>
      <c r="H572" s="24" cm="1">
        <f t="array" ref="H572">SUMPRODUCT(('TREASURY FILE'!B471:B5472=$H$4)*('TREASURY FILE'!D471:D5472="INCOME")*('TREASURY FILE'!A471:A5472=A572)*('TREASURY FILE'!F471:F5472))</f>
        <v>0</v>
      </c>
      <c r="I572" s="24" cm="1">
        <f t="array" ref="I572">SUMPRODUCT(('TREASURY FILE'!D480:D5472=$I$4)*('TREASURY FILE'!F480:F5472="INCOME")*('TREASURY FILE'!C480:C5472=C572)*('TREASURY FILE'!H480:H5472))</f>
        <v>0</v>
      </c>
      <c r="J572" s="31">
        <f t="shared" si="27"/>
        <v>0</v>
      </c>
      <c r="K572" s="33" t="e">
        <f t="shared" si="28"/>
        <v>#DIV/0!</v>
      </c>
    </row>
    <row r="573" spans="1:11" x14ac:dyDescent="0.3">
      <c r="A573" s="30">
        <v>46226</v>
      </c>
      <c r="B573" s="24" cm="1">
        <f t="array" ref="B573">SUMPRODUCT(('TREASURY FILE'!B472:B5473=$B$4)*('TREASURY FILE'!D472:D5473="TURNOVER")*('TREASURY FILE'!A472:A5473=A573)*('TREASURY FILE'!F472:F5473))</f>
        <v>0</v>
      </c>
      <c r="C573" s="24" cm="1">
        <f t="array" ref="C573">SUMPRODUCT(('TREASURY FILE'!B472:B5473=$C$4)*('TREASURY FILE'!D472:D5473="TURNOVER")*('TREASURY FILE'!A472:A5473=A573)*('TREASURY FILE'!F472:F5473))</f>
        <v>0</v>
      </c>
      <c r="D573" s="24" cm="1">
        <f t="array" ref="D573">SUMPRODUCT(('TREASURY FILE'!B472:B5473=$D$4)*('TREASURY FILE'!D472:D5473="TURNOVER")*('TREASURY FILE'!A472:A5473=A573)*('TREASURY FILE'!F472:F5473))</f>
        <v>0</v>
      </c>
      <c r="E573" s="31">
        <f t="shared" si="26"/>
        <v>0</v>
      </c>
      <c r="G573" s="24" cm="1">
        <f t="array" ref="G573">SUMPRODUCT(('TREASURY FILE'!B472:B5473=$G$4)*('TREASURY FILE'!D472:D5473="INCOME")*('TREASURY FILE'!A472:A5473=A573)*('TREASURY FILE'!F472:F5473))</f>
        <v>0</v>
      </c>
      <c r="H573" s="24" cm="1">
        <f t="array" ref="H573">SUMPRODUCT(('TREASURY FILE'!B472:B5473=$H$4)*('TREASURY FILE'!D472:D5473="INCOME")*('TREASURY FILE'!A472:A5473=A573)*('TREASURY FILE'!F472:F5473))</f>
        <v>0</v>
      </c>
      <c r="I573" s="24" cm="1">
        <f t="array" ref="I573">SUMPRODUCT(('TREASURY FILE'!D481:D5473=$I$4)*('TREASURY FILE'!F481:F5473="INCOME")*('TREASURY FILE'!C481:C5473=C573)*('TREASURY FILE'!H481:H5473))</f>
        <v>0</v>
      </c>
      <c r="J573" s="31">
        <f t="shared" si="27"/>
        <v>0</v>
      </c>
      <c r="K573" s="33" t="e">
        <f t="shared" si="28"/>
        <v>#DIV/0!</v>
      </c>
    </row>
    <row r="574" spans="1:11" x14ac:dyDescent="0.3">
      <c r="A574" s="30">
        <v>46227</v>
      </c>
      <c r="B574" s="24" cm="1">
        <f t="array" ref="B574">SUMPRODUCT(('TREASURY FILE'!B473:B5474=$B$4)*('TREASURY FILE'!D473:D5474="TURNOVER")*('TREASURY FILE'!A473:A5474=A574)*('TREASURY FILE'!F473:F5474))</f>
        <v>0</v>
      </c>
      <c r="C574" s="24" cm="1">
        <f t="array" ref="C574">SUMPRODUCT(('TREASURY FILE'!B473:B5474=$C$4)*('TREASURY FILE'!D473:D5474="TURNOVER")*('TREASURY FILE'!A473:A5474=A574)*('TREASURY FILE'!F473:F5474))</f>
        <v>0</v>
      </c>
      <c r="D574" s="24" cm="1">
        <f t="array" ref="D574">SUMPRODUCT(('TREASURY FILE'!B473:B5474=$D$4)*('TREASURY FILE'!D473:D5474="TURNOVER")*('TREASURY FILE'!A473:A5474=A574)*('TREASURY FILE'!F473:F5474))</f>
        <v>0</v>
      </c>
      <c r="E574" s="31">
        <f t="shared" si="26"/>
        <v>0</v>
      </c>
      <c r="G574" s="24" cm="1">
        <f t="array" ref="G574">SUMPRODUCT(('TREASURY FILE'!B473:B5474=$G$4)*('TREASURY FILE'!D473:D5474="INCOME")*('TREASURY FILE'!A473:A5474=A574)*('TREASURY FILE'!F473:F5474))</f>
        <v>0</v>
      </c>
      <c r="H574" s="24" cm="1">
        <f t="array" ref="H574">SUMPRODUCT(('TREASURY FILE'!B473:B5474=$H$4)*('TREASURY FILE'!D473:D5474="INCOME")*('TREASURY FILE'!A473:A5474=A574)*('TREASURY FILE'!F473:F5474))</f>
        <v>0</v>
      </c>
      <c r="I574" s="24" cm="1">
        <f t="array" ref="I574">SUMPRODUCT(('TREASURY FILE'!D482:D5474=$I$4)*('TREASURY FILE'!F482:F5474="INCOME")*('TREASURY FILE'!C482:C5474=C574)*('TREASURY FILE'!H482:H5474))</f>
        <v>0</v>
      </c>
      <c r="J574" s="31">
        <f t="shared" si="27"/>
        <v>0</v>
      </c>
      <c r="K574" s="33" t="e">
        <f t="shared" si="28"/>
        <v>#DIV/0!</v>
      </c>
    </row>
    <row r="575" spans="1:11" x14ac:dyDescent="0.3">
      <c r="A575" s="30">
        <v>46228</v>
      </c>
      <c r="B575" s="24" cm="1">
        <f t="array" ref="B575">SUMPRODUCT(('TREASURY FILE'!B474:B5475=$B$4)*('TREASURY FILE'!D474:D5475="TURNOVER")*('TREASURY FILE'!A474:A5475=A575)*('TREASURY FILE'!F474:F5475))</f>
        <v>0</v>
      </c>
      <c r="C575" s="24" cm="1">
        <f t="array" ref="C575">SUMPRODUCT(('TREASURY FILE'!B474:B5475=$C$4)*('TREASURY FILE'!D474:D5475="TURNOVER")*('TREASURY FILE'!A474:A5475=A575)*('TREASURY FILE'!F474:F5475))</f>
        <v>0</v>
      </c>
      <c r="D575" s="24" cm="1">
        <f t="array" ref="D575">SUMPRODUCT(('TREASURY FILE'!B474:B5475=$D$4)*('TREASURY FILE'!D474:D5475="TURNOVER")*('TREASURY FILE'!A474:A5475=A575)*('TREASURY FILE'!F474:F5475))</f>
        <v>0</v>
      </c>
      <c r="E575" s="31">
        <f t="shared" si="26"/>
        <v>0</v>
      </c>
      <c r="G575" s="24" cm="1">
        <f t="array" ref="G575">SUMPRODUCT(('TREASURY FILE'!B474:B5475=$G$4)*('TREASURY FILE'!D474:D5475="INCOME")*('TREASURY FILE'!A474:A5475=A575)*('TREASURY FILE'!F474:F5475))</f>
        <v>0</v>
      </c>
      <c r="H575" s="24" cm="1">
        <f t="array" ref="H575">SUMPRODUCT(('TREASURY FILE'!B474:B5475=$H$4)*('TREASURY FILE'!D474:D5475="INCOME")*('TREASURY FILE'!A474:A5475=A575)*('TREASURY FILE'!F474:F5475))</f>
        <v>0</v>
      </c>
      <c r="I575" s="24" cm="1">
        <f t="array" ref="I575">SUMPRODUCT(('TREASURY FILE'!D483:D5475=$I$4)*('TREASURY FILE'!F483:F5475="INCOME")*('TREASURY FILE'!C483:C5475=C575)*('TREASURY FILE'!H483:H5475))</f>
        <v>0</v>
      </c>
      <c r="J575" s="31">
        <f t="shared" si="27"/>
        <v>0</v>
      </c>
      <c r="K575" s="33" t="e">
        <f t="shared" si="28"/>
        <v>#DIV/0!</v>
      </c>
    </row>
    <row r="576" spans="1:11" x14ac:dyDescent="0.3">
      <c r="A576" s="30">
        <v>46229</v>
      </c>
      <c r="B576" s="24" cm="1">
        <f t="array" ref="B576">SUMPRODUCT(('TREASURY FILE'!B475:B5476=$B$4)*('TREASURY FILE'!D475:D5476="TURNOVER")*('TREASURY FILE'!A475:A5476=A576)*('TREASURY FILE'!F475:F5476))</f>
        <v>0</v>
      </c>
      <c r="C576" s="24" cm="1">
        <f t="array" ref="C576">SUMPRODUCT(('TREASURY FILE'!B475:B5476=$C$4)*('TREASURY FILE'!D475:D5476="TURNOVER")*('TREASURY FILE'!A475:A5476=A576)*('TREASURY FILE'!F475:F5476))</f>
        <v>0</v>
      </c>
      <c r="D576" s="24" cm="1">
        <f t="array" ref="D576">SUMPRODUCT(('TREASURY FILE'!B475:B5476=$D$4)*('TREASURY FILE'!D475:D5476="TURNOVER")*('TREASURY FILE'!A475:A5476=A576)*('TREASURY FILE'!F475:F5476))</f>
        <v>0</v>
      </c>
      <c r="E576" s="31">
        <f t="shared" si="26"/>
        <v>0</v>
      </c>
      <c r="G576" s="24" cm="1">
        <f t="array" ref="G576">SUMPRODUCT(('TREASURY FILE'!B475:B5476=$G$4)*('TREASURY FILE'!D475:D5476="INCOME")*('TREASURY FILE'!A475:A5476=A576)*('TREASURY FILE'!F475:F5476))</f>
        <v>0</v>
      </c>
      <c r="H576" s="24" cm="1">
        <f t="array" ref="H576">SUMPRODUCT(('TREASURY FILE'!B475:B5476=$H$4)*('TREASURY FILE'!D475:D5476="INCOME")*('TREASURY FILE'!A475:A5476=A576)*('TREASURY FILE'!F475:F5476))</f>
        <v>0</v>
      </c>
      <c r="I576" s="24" cm="1">
        <f t="array" ref="I576">SUMPRODUCT(('TREASURY FILE'!D484:D5476=$I$4)*('TREASURY FILE'!F484:F5476="INCOME")*('TREASURY FILE'!C484:C5476=C576)*('TREASURY FILE'!H484:H5476))</f>
        <v>0</v>
      </c>
      <c r="J576" s="31">
        <f t="shared" si="27"/>
        <v>0</v>
      </c>
      <c r="K576" s="33" t="e">
        <f t="shared" si="28"/>
        <v>#DIV/0!</v>
      </c>
    </row>
    <row r="577" spans="1:11" x14ac:dyDescent="0.3">
      <c r="A577" s="30">
        <v>46230</v>
      </c>
      <c r="B577" s="24" cm="1">
        <f t="array" ref="B577">SUMPRODUCT(('TREASURY FILE'!B476:B5477=$B$4)*('TREASURY FILE'!D476:D5477="TURNOVER")*('TREASURY FILE'!A476:A5477=A577)*('TREASURY FILE'!F476:F5477))</f>
        <v>0</v>
      </c>
      <c r="C577" s="24" cm="1">
        <f t="array" ref="C577">SUMPRODUCT(('TREASURY FILE'!B476:B5477=$C$4)*('TREASURY FILE'!D476:D5477="TURNOVER")*('TREASURY FILE'!A476:A5477=A577)*('TREASURY FILE'!F476:F5477))</f>
        <v>0</v>
      </c>
      <c r="D577" s="24" cm="1">
        <f t="array" ref="D577">SUMPRODUCT(('TREASURY FILE'!B476:B5477=$D$4)*('TREASURY FILE'!D476:D5477="TURNOVER")*('TREASURY FILE'!A476:A5477=A577)*('TREASURY FILE'!F476:F5477))</f>
        <v>0</v>
      </c>
      <c r="E577" s="31">
        <f t="shared" si="26"/>
        <v>0</v>
      </c>
      <c r="G577" s="24" cm="1">
        <f t="array" ref="G577">SUMPRODUCT(('TREASURY FILE'!B476:B5477=$G$4)*('TREASURY FILE'!D476:D5477="INCOME")*('TREASURY FILE'!A476:A5477=A577)*('TREASURY FILE'!F476:F5477))</f>
        <v>0</v>
      </c>
      <c r="H577" s="24" cm="1">
        <f t="array" ref="H577">SUMPRODUCT(('TREASURY FILE'!B476:B5477=$H$4)*('TREASURY FILE'!D476:D5477="INCOME")*('TREASURY FILE'!A476:A5477=A577)*('TREASURY FILE'!F476:F5477))</f>
        <v>0</v>
      </c>
      <c r="I577" s="24" cm="1">
        <f t="array" ref="I577">SUMPRODUCT(('TREASURY FILE'!D485:D5477=$I$4)*('TREASURY FILE'!F485:F5477="INCOME")*('TREASURY FILE'!C485:C5477=C577)*('TREASURY FILE'!H485:H5477))</f>
        <v>0</v>
      </c>
      <c r="J577" s="31">
        <f t="shared" si="27"/>
        <v>0</v>
      </c>
      <c r="K577" s="33" t="e">
        <f t="shared" si="28"/>
        <v>#DIV/0!</v>
      </c>
    </row>
    <row r="578" spans="1:11" x14ac:dyDescent="0.3">
      <c r="A578" s="30">
        <v>46231</v>
      </c>
      <c r="B578" s="24" cm="1">
        <f t="array" ref="B578">SUMPRODUCT(('TREASURY FILE'!B477:B5478=$B$4)*('TREASURY FILE'!D477:D5478="TURNOVER")*('TREASURY FILE'!A477:A5478=A578)*('TREASURY FILE'!F477:F5478))</f>
        <v>0</v>
      </c>
      <c r="C578" s="24" cm="1">
        <f t="array" ref="C578">SUMPRODUCT(('TREASURY FILE'!B477:B5478=$C$4)*('TREASURY FILE'!D477:D5478="TURNOVER")*('TREASURY FILE'!A477:A5478=A578)*('TREASURY FILE'!F477:F5478))</f>
        <v>0</v>
      </c>
      <c r="D578" s="24" cm="1">
        <f t="array" ref="D578">SUMPRODUCT(('TREASURY FILE'!B477:B5478=$D$4)*('TREASURY FILE'!D477:D5478="TURNOVER")*('TREASURY FILE'!A477:A5478=A578)*('TREASURY FILE'!F477:F5478))</f>
        <v>0</v>
      </c>
      <c r="E578" s="31">
        <f t="shared" si="26"/>
        <v>0</v>
      </c>
      <c r="G578" s="24" cm="1">
        <f t="array" ref="G578">SUMPRODUCT(('TREASURY FILE'!B477:B5478=$G$4)*('TREASURY FILE'!D477:D5478="INCOME")*('TREASURY FILE'!A477:A5478=A578)*('TREASURY FILE'!F477:F5478))</f>
        <v>0</v>
      </c>
      <c r="H578" s="24" cm="1">
        <f t="array" ref="H578">SUMPRODUCT(('TREASURY FILE'!B477:B5478=$H$4)*('TREASURY FILE'!D477:D5478="INCOME")*('TREASURY FILE'!A477:A5478=A578)*('TREASURY FILE'!F477:F5478))</f>
        <v>0</v>
      </c>
      <c r="I578" s="24" cm="1">
        <f t="array" ref="I578">SUMPRODUCT(('TREASURY FILE'!D486:D5478=$I$4)*('TREASURY FILE'!F486:F5478="INCOME")*('TREASURY FILE'!C486:C5478=C578)*('TREASURY FILE'!H486:H5478))</f>
        <v>0</v>
      </c>
      <c r="J578" s="31">
        <f t="shared" si="27"/>
        <v>0</v>
      </c>
      <c r="K578" s="33" t="e">
        <f t="shared" si="28"/>
        <v>#DIV/0!</v>
      </c>
    </row>
    <row r="579" spans="1:11" x14ac:dyDescent="0.3">
      <c r="A579" s="30">
        <v>46232</v>
      </c>
      <c r="B579" s="24" cm="1">
        <f t="array" ref="B579">SUMPRODUCT(('TREASURY FILE'!B478:B5479=$B$4)*('TREASURY FILE'!D478:D5479="TURNOVER")*('TREASURY FILE'!A478:A5479=A579)*('TREASURY FILE'!F478:F5479))</f>
        <v>0</v>
      </c>
      <c r="C579" s="24" cm="1">
        <f t="array" ref="C579">SUMPRODUCT(('TREASURY FILE'!B478:B5479=$C$4)*('TREASURY FILE'!D478:D5479="TURNOVER")*('TREASURY FILE'!A478:A5479=A579)*('TREASURY FILE'!F478:F5479))</f>
        <v>0</v>
      </c>
      <c r="D579" s="24" cm="1">
        <f t="array" ref="D579">SUMPRODUCT(('TREASURY FILE'!B478:B5479=$D$4)*('TREASURY FILE'!D478:D5479="TURNOVER")*('TREASURY FILE'!A478:A5479=A579)*('TREASURY FILE'!F478:F5479))</f>
        <v>0</v>
      </c>
      <c r="E579" s="31">
        <f t="shared" si="26"/>
        <v>0</v>
      </c>
      <c r="G579" s="24" cm="1">
        <f t="array" ref="G579">SUMPRODUCT(('TREASURY FILE'!B478:B5479=$G$4)*('TREASURY FILE'!D478:D5479="INCOME")*('TREASURY FILE'!A478:A5479=A579)*('TREASURY FILE'!F478:F5479))</f>
        <v>0</v>
      </c>
      <c r="H579" s="24" cm="1">
        <f t="array" ref="H579">SUMPRODUCT(('TREASURY FILE'!B478:B5479=$H$4)*('TREASURY FILE'!D478:D5479="INCOME")*('TREASURY FILE'!A478:A5479=A579)*('TREASURY FILE'!F478:F5479))</f>
        <v>0</v>
      </c>
      <c r="I579" s="24" cm="1">
        <f t="array" ref="I579">SUMPRODUCT(('TREASURY FILE'!D487:D5479=$I$4)*('TREASURY FILE'!F487:F5479="INCOME")*('TREASURY FILE'!C487:C5479=C579)*('TREASURY FILE'!H487:H5479))</f>
        <v>0</v>
      </c>
      <c r="J579" s="31">
        <f t="shared" si="27"/>
        <v>0</v>
      </c>
      <c r="K579" s="33" t="e">
        <f t="shared" si="28"/>
        <v>#DIV/0!</v>
      </c>
    </row>
    <row r="580" spans="1:11" x14ac:dyDescent="0.3">
      <c r="A580" s="30">
        <v>46233</v>
      </c>
      <c r="B580" s="24" cm="1">
        <f t="array" ref="B580">SUMPRODUCT(('TREASURY FILE'!B479:B5480=$B$4)*('TREASURY FILE'!D479:D5480="TURNOVER")*('TREASURY FILE'!A479:A5480=A580)*('TREASURY FILE'!F479:F5480))</f>
        <v>0</v>
      </c>
      <c r="C580" s="24" cm="1">
        <f t="array" ref="C580">SUMPRODUCT(('TREASURY FILE'!B479:B5480=$C$4)*('TREASURY FILE'!D479:D5480="TURNOVER")*('TREASURY FILE'!A479:A5480=A580)*('TREASURY FILE'!F479:F5480))</f>
        <v>0</v>
      </c>
      <c r="D580" s="24" cm="1">
        <f t="array" ref="D580">SUMPRODUCT(('TREASURY FILE'!B479:B5480=$D$4)*('TREASURY FILE'!D479:D5480="TURNOVER")*('TREASURY FILE'!A479:A5480=A580)*('TREASURY FILE'!F479:F5480))</f>
        <v>0</v>
      </c>
      <c r="E580" s="31">
        <f t="shared" si="26"/>
        <v>0</v>
      </c>
      <c r="G580" s="24" cm="1">
        <f t="array" ref="G580">SUMPRODUCT(('TREASURY FILE'!B479:B5480=$G$4)*('TREASURY FILE'!D479:D5480="INCOME")*('TREASURY FILE'!A479:A5480=A580)*('TREASURY FILE'!F479:F5480))</f>
        <v>0</v>
      </c>
      <c r="H580" s="24" cm="1">
        <f t="array" ref="H580">SUMPRODUCT(('TREASURY FILE'!B479:B5480=$H$4)*('TREASURY FILE'!D479:D5480="INCOME")*('TREASURY FILE'!A479:A5480=A580)*('TREASURY FILE'!F479:F5480))</f>
        <v>0</v>
      </c>
      <c r="I580" s="24" cm="1">
        <f t="array" ref="I580">SUMPRODUCT(('TREASURY FILE'!D488:D5480=$I$4)*('TREASURY FILE'!F488:F5480="INCOME")*('TREASURY FILE'!C488:C5480=C580)*('TREASURY FILE'!H488:H5480))</f>
        <v>0</v>
      </c>
      <c r="J580" s="31">
        <f t="shared" si="27"/>
        <v>0</v>
      </c>
      <c r="K580" s="33" t="e">
        <f t="shared" si="28"/>
        <v>#DIV/0!</v>
      </c>
    </row>
    <row r="581" spans="1:11" x14ac:dyDescent="0.3">
      <c r="A581" s="30">
        <v>46234</v>
      </c>
      <c r="B581" s="24" cm="1">
        <f t="array" ref="B581">SUMPRODUCT(('TREASURY FILE'!B480:B5481=$B$4)*('TREASURY FILE'!D480:D5481="TURNOVER")*('TREASURY FILE'!A480:A5481=A581)*('TREASURY FILE'!F480:F5481))</f>
        <v>0</v>
      </c>
      <c r="C581" s="24" cm="1">
        <f t="array" ref="C581">SUMPRODUCT(('TREASURY FILE'!B480:B5481=$C$4)*('TREASURY FILE'!D480:D5481="TURNOVER")*('TREASURY FILE'!A480:A5481=A581)*('TREASURY FILE'!F480:F5481))</f>
        <v>0</v>
      </c>
      <c r="D581" s="24" cm="1">
        <f t="array" ref="D581">SUMPRODUCT(('TREASURY FILE'!B480:B5481=$D$4)*('TREASURY FILE'!D480:D5481="TURNOVER")*('TREASURY FILE'!A480:A5481=A581)*('TREASURY FILE'!F480:F5481))</f>
        <v>0</v>
      </c>
      <c r="E581" s="31">
        <f t="shared" si="26"/>
        <v>0</v>
      </c>
      <c r="G581" s="24" cm="1">
        <f t="array" ref="G581">SUMPRODUCT(('TREASURY FILE'!B480:B5481=$G$4)*('TREASURY FILE'!D480:D5481="INCOME")*('TREASURY FILE'!A480:A5481=A581)*('TREASURY FILE'!F480:F5481))</f>
        <v>0</v>
      </c>
      <c r="H581" s="24" cm="1">
        <f t="array" ref="H581">SUMPRODUCT(('TREASURY FILE'!B480:B5481=$H$4)*('TREASURY FILE'!D480:D5481="INCOME")*('TREASURY FILE'!A480:A5481=A581)*('TREASURY FILE'!F480:F5481))</f>
        <v>0</v>
      </c>
      <c r="I581" s="24" cm="1">
        <f t="array" ref="I581">SUMPRODUCT(('TREASURY FILE'!D489:D5481=$I$4)*('TREASURY FILE'!F489:F5481="INCOME")*('TREASURY FILE'!C489:C5481=C581)*('TREASURY FILE'!H489:H5481))</f>
        <v>0</v>
      </c>
      <c r="J581" s="31">
        <f t="shared" si="27"/>
        <v>0</v>
      </c>
      <c r="K581" s="33" t="e">
        <f t="shared" si="28"/>
        <v>#DIV/0!</v>
      </c>
    </row>
    <row r="582" spans="1:11" x14ac:dyDescent="0.3">
      <c r="A582" s="30">
        <v>46235</v>
      </c>
      <c r="B582" s="24" cm="1">
        <f t="array" ref="B582">SUMPRODUCT(('TREASURY FILE'!B481:B5482=$B$4)*('TREASURY FILE'!D481:D5482="TURNOVER")*('TREASURY FILE'!A481:A5482=A582)*('TREASURY FILE'!F481:F5482))</f>
        <v>0</v>
      </c>
      <c r="C582" s="24" cm="1">
        <f t="array" ref="C582">SUMPRODUCT(('TREASURY FILE'!B481:B5482=$C$4)*('TREASURY FILE'!D481:D5482="TURNOVER")*('TREASURY FILE'!A481:A5482=A582)*('TREASURY FILE'!F481:F5482))</f>
        <v>0</v>
      </c>
      <c r="D582" s="24" cm="1">
        <f t="array" ref="D582">SUMPRODUCT(('TREASURY FILE'!B481:B5482=$D$4)*('TREASURY FILE'!D481:D5482="TURNOVER")*('TREASURY FILE'!A481:A5482=A582)*('TREASURY FILE'!F481:F5482))</f>
        <v>0</v>
      </c>
      <c r="E582" s="31">
        <f t="shared" ref="E582:E645" si="29">SUM(B582:D582)</f>
        <v>0</v>
      </c>
      <c r="G582" s="24" cm="1">
        <f t="array" ref="G582">SUMPRODUCT(('TREASURY FILE'!B481:B5482=$G$4)*('TREASURY FILE'!D481:D5482="INCOME")*('TREASURY FILE'!A481:A5482=A582)*('TREASURY FILE'!F481:F5482))</f>
        <v>0</v>
      </c>
      <c r="H582" s="24" cm="1">
        <f t="array" ref="H582">SUMPRODUCT(('TREASURY FILE'!B481:B5482=$H$4)*('TREASURY FILE'!D481:D5482="INCOME")*('TREASURY FILE'!A481:A5482=A582)*('TREASURY FILE'!F481:F5482))</f>
        <v>0</v>
      </c>
      <c r="I582" s="24" cm="1">
        <f t="array" ref="I582">SUMPRODUCT(('TREASURY FILE'!D490:D5482=$I$4)*('TREASURY FILE'!F490:F5482="INCOME")*('TREASURY FILE'!C490:C5482=C582)*('TREASURY FILE'!H490:H5482))</f>
        <v>0</v>
      </c>
      <c r="J582" s="31">
        <f t="shared" ref="J582:J645" si="30">SUM(G582:I582)</f>
        <v>0</v>
      </c>
      <c r="K582" s="33" t="e">
        <f t="shared" ref="K582:K645" si="31">+J582/E582</f>
        <v>#DIV/0!</v>
      </c>
    </row>
    <row r="583" spans="1:11" x14ac:dyDescent="0.3">
      <c r="A583" s="30">
        <v>46236</v>
      </c>
      <c r="B583" s="24" cm="1">
        <f t="array" ref="B583">SUMPRODUCT(('TREASURY FILE'!B482:B5483=$B$4)*('TREASURY FILE'!D482:D5483="TURNOVER")*('TREASURY FILE'!A482:A5483=A583)*('TREASURY FILE'!F482:F5483))</f>
        <v>0</v>
      </c>
      <c r="C583" s="24" cm="1">
        <f t="array" ref="C583">SUMPRODUCT(('TREASURY FILE'!B482:B5483=$C$4)*('TREASURY FILE'!D482:D5483="TURNOVER")*('TREASURY FILE'!A482:A5483=A583)*('TREASURY FILE'!F482:F5483))</f>
        <v>0</v>
      </c>
      <c r="D583" s="24" cm="1">
        <f t="array" ref="D583">SUMPRODUCT(('TREASURY FILE'!B482:B5483=$D$4)*('TREASURY FILE'!D482:D5483="TURNOVER")*('TREASURY FILE'!A482:A5483=A583)*('TREASURY FILE'!F482:F5483))</f>
        <v>0</v>
      </c>
      <c r="E583" s="31">
        <f t="shared" si="29"/>
        <v>0</v>
      </c>
      <c r="G583" s="24" cm="1">
        <f t="array" ref="G583">SUMPRODUCT(('TREASURY FILE'!B482:B5483=$G$4)*('TREASURY FILE'!D482:D5483="INCOME")*('TREASURY FILE'!A482:A5483=A583)*('TREASURY FILE'!F482:F5483))</f>
        <v>0</v>
      </c>
      <c r="H583" s="24" cm="1">
        <f t="array" ref="H583">SUMPRODUCT(('TREASURY FILE'!B482:B5483=$H$4)*('TREASURY FILE'!D482:D5483="INCOME")*('TREASURY FILE'!A482:A5483=A583)*('TREASURY FILE'!F482:F5483))</f>
        <v>0</v>
      </c>
      <c r="I583" s="24" cm="1">
        <f t="array" ref="I583">SUMPRODUCT(('TREASURY FILE'!D491:D5483=$I$4)*('TREASURY FILE'!F491:F5483="INCOME")*('TREASURY FILE'!C491:C5483=C583)*('TREASURY FILE'!H491:H5483))</f>
        <v>0</v>
      </c>
      <c r="J583" s="31">
        <f t="shared" si="30"/>
        <v>0</v>
      </c>
      <c r="K583" s="33" t="e">
        <f t="shared" si="31"/>
        <v>#DIV/0!</v>
      </c>
    </row>
    <row r="584" spans="1:11" x14ac:dyDescent="0.3">
      <c r="A584" s="30">
        <v>46237</v>
      </c>
      <c r="B584" s="24" cm="1">
        <f t="array" ref="B584">SUMPRODUCT(('TREASURY FILE'!B483:B5484=$B$4)*('TREASURY FILE'!D483:D5484="TURNOVER")*('TREASURY FILE'!A483:A5484=A584)*('TREASURY FILE'!F483:F5484))</f>
        <v>0</v>
      </c>
      <c r="C584" s="24" cm="1">
        <f t="array" ref="C584">SUMPRODUCT(('TREASURY FILE'!B483:B5484=$C$4)*('TREASURY FILE'!D483:D5484="TURNOVER")*('TREASURY FILE'!A483:A5484=A584)*('TREASURY FILE'!F483:F5484))</f>
        <v>0</v>
      </c>
      <c r="D584" s="24" cm="1">
        <f t="array" ref="D584">SUMPRODUCT(('TREASURY FILE'!B483:B5484=$D$4)*('TREASURY FILE'!D483:D5484="TURNOVER")*('TREASURY FILE'!A483:A5484=A584)*('TREASURY FILE'!F483:F5484))</f>
        <v>0</v>
      </c>
      <c r="E584" s="31">
        <f t="shared" si="29"/>
        <v>0</v>
      </c>
      <c r="G584" s="24" cm="1">
        <f t="array" ref="G584">SUMPRODUCT(('TREASURY FILE'!B483:B5484=$G$4)*('TREASURY FILE'!D483:D5484="INCOME")*('TREASURY FILE'!A483:A5484=A584)*('TREASURY FILE'!F483:F5484))</f>
        <v>0</v>
      </c>
      <c r="H584" s="24" cm="1">
        <f t="array" ref="H584">SUMPRODUCT(('TREASURY FILE'!B483:B5484=$H$4)*('TREASURY FILE'!D483:D5484="INCOME")*('TREASURY FILE'!A483:A5484=A584)*('TREASURY FILE'!F483:F5484))</f>
        <v>0</v>
      </c>
      <c r="I584" s="24" cm="1">
        <f t="array" ref="I584">SUMPRODUCT(('TREASURY FILE'!D492:D5484=$I$4)*('TREASURY FILE'!F492:F5484="INCOME")*('TREASURY FILE'!C492:C5484=C584)*('TREASURY FILE'!H492:H5484))</f>
        <v>0</v>
      </c>
      <c r="J584" s="31">
        <f t="shared" si="30"/>
        <v>0</v>
      </c>
      <c r="K584" s="33" t="e">
        <f t="shared" si="31"/>
        <v>#DIV/0!</v>
      </c>
    </row>
    <row r="585" spans="1:11" x14ac:dyDescent="0.3">
      <c r="A585" s="30">
        <v>46238</v>
      </c>
      <c r="B585" s="24" cm="1">
        <f t="array" ref="B585">SUMPRODUCT(('TREASURY FILE'!B484:B5485=$B$4)*('TREASURY FILE'!D484:D5485="TURNOVER")*('TREASURY FILE'!A484:A5485=A585)*('TREASURY FILE'!F484:F5485))</f>
        <v>0</v>
      </c>
      <c r="C585" s="24" cm="1">
        <f t="array" ref="C585">SUMPRODUCT(('TREASURY FILE'!B484:B5485=$C$4)*('TREASURY FILE'!D484:D5485="TURNOVER")*('TREASURY FILE'!A484:A5485=A585)*('TREASURY FILE'!F484:F5485))</f>
        <v>0</v>
      </c>
      <c r="D585" s="24" cm="1">
        <f t="array" ref="D585">SUMPRODUCT(('TREASURY FILE'!B484:B5485=$D$4)*('TREASURY FILE'!D484:D5485="TURNOVER")*('TREASURY FILE'!A484:A5485=A585)*('TREASURY FILE'!F484:F5485))</f>
        <v>0</v>
      </c>
      <c r="E585" s="31">
        <f t="shared" si="29"/>
        <v>0</v>
      </c>
      <c r="G585" s="24" cm="1">
        <f t="array" ref="G585">SUMPRODUCT(('TREASURY FILE'!B484:B5485=$G$4)*('TREASURY FILE'!D484:D5485="INCOME")*('TREASURY FILE'!A484:A5485=A585)*('TREASURY FILE'!F484:F5485))</f>
        <v>0</v>
      </c>
      <c r="H585" s="24" cm="1">
        <f t="array" ref="H585">SUMPRODUCT(('TREASURY FILE'!B484:B5485=$H$4)*('TREASURY FILE'!D484:D5485="INCOME")*('TREASURY FILE'!A484:A5485=A585)*('TREASURY FILE'!F484:F5485))</f>
        <v>0</v>
      </c>
      <c r="I585" s="24" cm="1">
        <f t="array" ref="I585">SUMPRODUCT(('TREASURY FILE'!D493:D5485=$I$4)*('TREASURY FILE'!F493:F5485="INCOME")*('TREASURY FILE'!C493:C5485=C585)*('TREASURY FILE'!H493:H5485))</f>
        <v>0</v>
      </c>
      <c r="J585" s="31">
        <f t="shared" si="30"/>
        <v>0</v>
      </c>
      <c r="K585" s="33" t="e">
        <f t="shared" si="31"/>
        <v>#DIV/0!</v>
      </c>
    </row>
    <row r="586" spans="1:11" x14ac:dyDescent="0.3">
      <c r="A586" s="30">
        <v>46239</v>
      </c>
      <c r="B586" s="24" cm="1">
        <f t="array" ref="B586">SUMPRODUCT(('TREASURY FILE'!B485:B5486=$B$4)*('TREASURY FILE'!D485:D5486="TURNOVER")*('TREASURY FILE'!A485:A5486=A586)*('TREASURY FILE'!F485:F5486))</f>
        <v>0</v>
      </c>
      <c r="C586" s="24" cm="1">
        <f t="array" ref="C586">SUMPRODUCT(('TREASURY FILE'!B485:B5486=$C$4)*('TREASURY FILE'!D485:D5486="TURNOVER")*('TREASURY FILE'!A485:A5486=A586)*('TREASURY FILE'!F485:F5486))</f>
        <v>0</v>
      </c>
      <c r="D586" s="24" cm="1">
        <f t="array" ref="D586">SUMPRODUCT(('TREASURY FILE'!B485:B5486=$D$4)*('TREASURY FILE'!D485:D5486="TURNOVER")*('TREASURY FILE'!A485:A5486=A586)*('TREASURY FILE'!F485:F5486))</f>
        <v>0</v>
      </c>
      <c r="E586" s="31">
        <f t="shared" si="29"/>
        <v>0</v>
      </c>
      <c r="G586" s="24" cm="1">
        <f t="array" ref="G586">SUMPRODUCT(('TREASURY FILE'!B485:B5486=$G$4)*('TREASURY FILE'!D485:D5486="INCOME")*('TREASURY FILE'!A485:A5486=A586)*('TREASURY FILE'!F485:F5486))</f>
        <v>0</v>
      </c>
      <c r="H586" s="24" cm="1">
        <f t="array" ref="H586">SUMPRODUCT(('TREASURY FILE'!B485:B5486=$H$4)*('TREASURY FILE'!D485:D5486="INCOME")*('TREASURY FILE'!A485:A5486=A586)*('TREASURY FILE'!F485:F5486))</f>
        <v>0</v>
      </c>
      <c r="I586" s="24" cm="1">
        <f t="array" ref="I586">SUMPRODUCT(('TREASURY FILE'!D494:D5486=$I$4)*('TREASURY FILE'!F494:F5486="INCOME")*('TREASURY FILE'!C494:C5486=C586)*('TREASURY FILE'!H494:H5486))</f>
        <v>0</v>
      </c>
      <c r="J586" s="31">
        <f t="shared" si="30"/>
        <v>0</v>
      </c>
      <c r="K586" s="33" t="e">
        <f t="shared" si="31"/>
        <v>#DIV/0!</v>
      </c>
    </row>
    <row r="587" spans="1:11" x14ac:dyDescent="0.3">
      <c r="A587" s="30">
        <v>46240</v>
      </c>
      <c r="B587" s="24" cm="1">
        <f t="array" ref="B587">SUMPRODUCT(('TREASURY FILE'!B486:B5487=$B$4)*('TREASURY FILE'!D486:D5487="TURNOVER")*('TREASURY FILE'!A486:A5487=A587)*('TREASURY FILE'!F486:F5487))</f>
        <v>0</v>
      </c>
      <c r="C587" s="24" cm="1">
        <f t="array" ref="C587">SUMPRODUCT(('TREASURY FILE'!B486:B5487=$C$4)*('TREASURY FILE'!D486:D5487="TURNOVER")*('TREASURY FILE'!A486:A5487=A587)*('TREASURY FILE'!F486:F5487))</f>
        <v>0</v>
      </c>
      <c r="D587" s="24" cm="1">
        <f t="array" ref="D587">SUMPRODUCT(('TREASURY FILE'!B486:B5487=$D$4)*('TREASURY FILE'!D486:D5487="TURNOVER")*('TREASURY FILE'!A486:A5487=A587)*('TREASURY FILE'!F486:F5487))</f>
        <v>0</v>
      </c>
      <c r="E587" s="31">
        <f t="shared" si="29"/>
        <v>0</v>
      </c>
      <c r="G587" s="24" cm="1">
        <f t="array" ref="G587">SUMPRODUCT(('TREASURY FILE'!B486:B5487=$G$4)*('TREASURY FILE'!D486:D5487="INCOME")*('TREASURY FILE'!A486:A5487=A587)*('TREASURY FILE'!F486:F5487))</f>
        <v>0</v>
      </c>
      <c r="H587" s="24" cm="1">
        <f t="array" ref="H587">SUMPRODUCT(('TREASURY FILE'!B486:B5487=$H$4)*('TREASURY FILE'!D486:D5487="INCOME")*('TREASURY FILE'!A486:A5487=A587)*('TREASURY FILE'!F486:F5487))</f>
        <v>0</v>
      </c>
      <c r="I587" s="24" cm="1">
        <f t="array" ref="I587">SUMPRODUCT(('TREASURY FILE'!D495:D5487=$I$4)*('TREASURY FILE'!F495:F5487="INCOME")*('TREASURY FILE'!C495:C5487=C587)*('TREASURY FILE'!H495:H5487))</f>
        <v>0</v>
      </c>
      <c r="J587" s="31">
        <f t="shared" si="30"/>
        <v>0</v>
      </c>
      <c r="K587" s="33" t="e">
        <f t="shared" si="31"/>
        <v>#DIV/0!</v>
      </c>
    </row>
    <row r="588" spans="1:11" x14ac:dyDescent="0.3">
      <c r="A588" s="30">
        <v>46241</v>
      </c>
      <c r="B588" s="24" cm="1">
        <f t="array" ref="B588">SUMPRODUCT(('TREASURY FILE'!B487:B5488=$B$4)*('TREASURY FILE'!D487:D5488="TURNOVER")*('TREASURY FILE'!A487:A5488=A588)*('TREASURY FILE'!F487:F5488))</f>
        <v>0</v>
      </c>
      <c r="C588" s="24" cm="1">
        <f t="array" ref="C588">SUMPRODUCT(('TREASURY FILE'!B487:B5488=$C$4)*('TREASURY FILE'!D487:D5488="TURNOVER")*('TREASURY FILE'!A487:A5488=A588)*('TREASURY FILE'!F487:F5488))</f>
        <v>0</v>
      </c>
      <c r="D588" s="24" cm="1">
        <f t="array" ref="D588">SUMPRODUCT(('TREASURY FILE'!B487:B5488=$D$4)*('TREASURY FILE'!D487:D5488="TURNOVER")*('TREASURY FILE'!A487:A5488=A588)*('TREASURY FILE'!F487:F5488))</f>
        <v>0</v>
      </c>
      <c r="E588" s="31">
        <f t="shared" si="29"/>
        <v>0</v>
      </c>
      <c r="G588" s="24" cm="1">
        <f t="array" ref="G588">SUMPRODUCT(('TREASURY FILE'!B487:B5488=$G$4)*('TREASURY FILE'!D487:D5488="INCOME")*('TREASURY FILE'!A487:A5488=A588)*('TREASURY FILE'!F487:F5488))</f>
        <v>0</v>
      </c>
      <c r="H588" s="24" cm="1">
        <f t="array" ref="H588">SUMPRODUCT(('TREASURY FILE'!B487:B5488=$H$4)*('TREASURY FILE'!D487:D5488="INCOME")*('TREASURY FILE'!A487:A5488=A588)*('TREASURY FILE'!F487:F5488))</f>
        <v>0</v>
      </c>
      <c r="I588" s="24" cm="1">
        <f t="array" ref="I588">SUMPRODUCT(('TREASURY FILE'!D496:D5488=$I$4)*('TREASURY FILE'!F496:F5488="INCOME")*('TREASURY FILE'!C496:C5488=C588)*('TREASURY FILE'!H496:H5488))</f>
        <v>0</v>
      </c>
      <c r="J588" s="31">
        <f t="shared" si="30"/>
        <v>0</v>
      </c>
      <c r="K588" s="33" t="e">
        <f t="shared" si="31"/>
        <v>#DIV/0!</v>
      </c>
    </row>
    <row r="589" spans="1:11" x14ac:dyDescent="0.3">
      <c r="A589" s="30">
        <v>46242</v>
      </c>
      <c r="B589" s="24" cm="1">
        <f t="array" ref="B589">SUMPRODUCT(('TREASURY FILE'!B488:B5489=$B$4)*('TREASURY FILE'!D488:D5489="TURNOVER")*('TREASURY FILE'!A488:A5489=A589)*('TREASURY FILE'!F488:F5489))</f>
        <v>0</v>
      </c>
      <c r="C589" s="24" cm="1">
        <f t="array" ref="C589">SUMPRODUCT(('TREASURY FILE'!B488:B5489=$C$4)*('TREASURY FILE'!D488:D5489="TURNOVER")*('TREASURY FILE'!A488:A5489=A589)*('TREASURY FILE'!F488:F5489))</f>
        <v>0</v>
      </c>
      <c r="D589" s="24" cm="1">
        <f t="array" ref="D589">SUMPRODUCT(('TREASURY FILE'!B488:B5489=$D$4)*('TREASURY FILE'!D488:D5489="TURNOVER")*('TREASURY FILE'!A488:A5489=A589)*('TREASURY FILE'!F488:F5489))</f>
        <v>0</v>
      </c>
      <c r="E589" s="31">
        <f t="shared" si="29"/>
        <v>0</v>
      </c>
      <c r="G589" s="24" cm="1">
        <f t="array" ref="G589">SUMPRODUCT(('TREASURY FILE'!B488:B5489=$G$4)*('TREASURY FILE'!D488:D5489="INCOME")*('TREASURY FILE'!A488:A5489=A589)*('TREASURY FILE'!F488:F5489))</f>
        <v>0</v>
      </c>
      <c r="H589" s="24" cm="1">
        <f t="array" ref="H589">SUMPRODUCT(('TREASURY FILE'!B488:B5489=$H$4)*('TREASURY FILE'!D488:D5489="INCOME")*('TREASURY FILE'!A488:A5489=A589)*('TREASURY FILE'!F488:F5489))</f>
        <v>0</v>
      </c>
      <c r="I589" s="24" cm="1">
        <f t="array" ref="I589">SUMPRODUCT(('TREASURY FILE'!D497:D5489=$I$4)*('TREASURY FILE'!F497:F5489="INCOME")*('TREASURY FILE'!C497:C5489=C589)*('TREASURY FILE'!H497:H5489))</f>
        <v>0</v>
      </c>
      <c r="J589" s="31">
        <f t="shared" si="30"/>
        <v>0</v>
      </c>
      <c r="K589" s="33" t="e">
        <f t="shared" si="31"/>
        <v>#DIV/0!</v>
      </c>
    </row>
    <row r="590" spans="1:11" x14ac:dyDescent="0.3">
      <c r="A590" s="30">
        <v>46243</v>
      </c>
      <c r="B590" s="24" cm="1">
        <f t="array" ref="B590">SUMPRODUCT(('TREASURY FILE'!B489:B5490=$B$4)*('TREASURY FILE'!D489:D5490="TURNOVER")*('TREASURY FILE'!A489:A5490=A590)*('TREASURY FILE'!F489:F5490))</f>
        <v>0</v>
      </c>
      <c r="C590" s="24" cm="1">
        <f t="array" ref="C590">SUMPRODUCT(('TREASURY FILE'!B489:B5490=$C$4)*('TREASURY FILE'!D489:D5490="TURNOVER")*('TREASURY FILE'!A489:A5490=A590)*('TREASURY FILE'!F489:F5490))</f>
        <v>0</v>
      </c>
      <c r="D590" s="24" cm="1">
        <f t="array" ref="D590">SUMPRODUCT(('TREASURY FILE'!B489:B5490=$D$4)*('TREASURY FILE'!D489:D5490="TURNOVER")*('TREASURY FILE'!A489:A5490=A590)*('TREASURY FILE'!F489:F5490))</f>
        <v>0</v>
      </c>
      <c r="E590" s="31">
        <f t="shared" si="29"/>
        <v>0</v>
      </c>
      <c r="G590" s="24" cm="1">
        <f t="array" ref="G590">SUMPRODUCT(('TREASURY FILE'!B489:B5490=$G$4)*('TREASURY FILE'!D489:D5490="INCOME")*('TREASURY FILE'!A489:A5490=A590)*('TREASURY FILE'!F489:F5490))</f>
        <v>0</v>
      </c>
      <c r="H590" s="24" cm="1">
        <f t="array" ref="H590">SUMPRODUCT(('TREASURY FILE'!B489:B5490=$H$4)*('TREASURY FILE'!D489:D5490="INCOME")*('TREASURY FILE'!A489:A5490=A590)*('TREASURY FILE'!F489:F5490))</f>
        <v>0</v>
      </c>
      <c r="I590" s="24" cm="1">
        <f t="array" ref="I590">SUMPRODUCT(('TREASURY FILE'!D498:D5490=$I$4)*('TREASURY FILE'!F498:F5490="INCOME")*('TREASURY FILE'!C498:C5490=C590)*('TREASURY FILE'!H498:H5490))</f>
        <v>0</v>
      </c>
      <c r="J590" s="31">
        <f t="shared" si="30"/>
        <v>0</v>
      </c>
      <c r="K590" s="33" t="e">
        <f t="shared" si="31"/>
        <v>#DIV/0!</v>
      </c>
    </row>
    <row r="591" spans="1:11" x14ac:dyDescent="0.3">
      <c r="A591" s="30">
        <v>46244</v>
      </c>
      <c r="B591" s="24" cm="1">
        <f t="array" ref="B591">SUMPRODUCT(('TREASURY FILE'!B490:B5491=$B$4)*('TREASURY FILE'!D490:D5491="TURNOVER")*('TREASURY FILE'!A490:A5491=A591)*('TREASURY FILE'!F490:F5491))</f>
        <v>0</v>
      </c>
      <c r="C591" s="24" cm="1">
        <f t="array" ref="C591">SUMPRODUCT(('TREASURY FILE'!B490:B5491=$C$4)*('TREASURY FILE'!D490:D5491="TURNOVER")*('TREASURY FILE'!A490:A5491=A591)*('TREASURY FILE'!F490:F5491))</f>
        <v>0</v>
      </c>
      <c r="D591" s="24" cm="1">
        <f t="array" ref="D591">SUMPRODUCT(('TREASURY FILE'!B490:B5491=$D$4)*('TREASURY FILE'!D490:D5491="TURNOVER")*('TREASURY FILE'!A490:A5491=A591)*('TREASURY FILE'!F490:F5491))</f>
        <v>0</v>
      </c>
      <c r="E591" s="31">
        <f t="shared" si="29"/>
        <v>0</v>
      </c>
      <c r="G591" s="24" cm="1">
        <f t="array" ref="G591">SUMPRODUCT(('TREASURY FILE'!B490:B5491=$G$4)*('TREASURY FILE'!D490:D5491="INCOME")*('TREASURY FILE'!A490:A5491=A591)*('TREASURY FILE'!F490:F5491))</f>
        <v>0</v>
      </c>
      <c r="H591" s="24" cm="1">
        <f t="array" ref="H591">SUMPRODUCT(('TREASURY FILE'!B490:B5491=$H$4)*('TREASURY FILE'!D490:D5491="INCOME")*('TREASURY FILE'!A490:A5491=A591)*('TREASURY FILE'!F490:F5491))</f>
        <v>0</v>
      </c>
      <c r="I591" s="24" cm="1">
        <f t="array" ref="I591">SUMPRODUCT(('TREASURY FILE'!D499:D5491=$I$4)*('TREASURY FILE'!F499:F5491="INCOME")*('TREASURY FILE'!C499:C5491=C591)*('TREASURY FILE'!H499:H5491))</f>
        <v>0</v>
      </c>
      <c r="J591" s="31">
        <f t="shared" si="30"/>
        <v>0</v>
      </c>
      <c r="K591" s="33" t="e">
        <f t="shared" si="31"/>
        <v>#DIV/0!</v>
      </c>
    </row>
    <row r="592" spans="1:11" x14ac:dyDescent="0.3">
      <c r="A592" s="30">
        <v>46245</v>
      </c>
      <c r="B592" s="24" cm="1">
        <f t="array" ref="B592">SUMPRODUCT(('TREASURY FILE'!B491:B5492=$B$4)*('TREASURY FILE'!D491:D5492="TURNOVER")*('TREASURY FILE'!A491:A5492=A592)*('TREASURY FILE'!F491:F5492))</f>
        <v>0</v>
      </c>
      <c r="C592" s="24" cm="1">
        <f t="array" ref="C592">SUMPRODUCT(('TREASURY FILE'!B491:B5492=$C$4)*('TREASURY FILE'!D491:D5492="TURNOVER")*('TREASURY FILE'!A491:A5492=A592)*('TREASURY FILE'!F491:F5492))</f>
        <v>0</v>
      </c>
      <c r="D592" s="24" cm="1">
        <f t="array" ref="D592">SUMPRODUCT(('TREASURY FILE'!B491:B5492=$D$4)*('TREASURY FILE'!D491:D5492="TURNOVER")*('TREASURY FILE'!A491:A5492=A592)*('TREASURY FILE'!F491:F5492))</f>
        <v>0</v>
      </c>
      <c r="E592" s="31">
        <f t="shared" si="29"/>
        <v>0</v>
      </c>
      <c r="G592" s="24" cm="1">
        <f t="array" ref="G592">SUMPRODUCT(('TREASURY FILE'!B491:B5492=$G$4)*('TREASURY FILE'!D491:D5492="INCOME")*('TREASURY FILE'!A491:A5492=A592)*('TREASURY FILE'!F491:F5492))</f>
        <v>0</v>
      </c>
      <c r="H592" s="24" cm="1">
        <f t="array" ref="H592">SUMPRODUCT(('TREASURY FILE'!B491:B5492=$H$4)*('TREASURY FILE'!D491:D5492="INCOME")*('TREASURY FILE'!A491:A5492=A592)*('TREASURY FILE'!F491:F5492))</f>
        <v>0</v>
      </c>
      <c r="I592" s="24" cm="1">
        <f t="array" ref="I592">SUMPRODUCT(('TREASURY FILE'!D500:D5492=$I$4)*('TREASURY FILE'!F500:F5492="INCOME")*('TREASURY FILE'!C500:C5492=C592)*('TREASURY FILE'!H500:H5492))</f>
        <v>0</v>
      </c>
      <c r="J592" s="31">
        <f t="shared" si="30"/>
        <v>0</v>
      </c>
      <c r="K592" s="33" t="e">
        <f t="shared" si="31"/>
        <v>#DIV/0!</v>
      </c>
    </row>
    <row r="593" spans="1:11" x14ac:dyDescent="0.3">
      <c r="A593" s="30">
        <v>46246</v>
      </c>
      <c r="B593" s="24" cm="1">
        <f t="array" ref="B593">SUMPRODUCT(('TREASURY FILE'!B492:B5493=$B$4)*('TREASURY FILE'!D492:D5493="TURNOVER")*('TREASURY FILE'!A492:A5493=A593)*('TREASURY FILE'!F492:F5493))</f>
        <v>0</v>
      </c>
      <c r="C593" s="24" cm="1">
        <f t="array" ref="C593">SUMPRODUCT(('TREASURY FILE'!B492:B5493=$C$4)*('TREASURY FILE'!D492:D5493="TURNOVER")*('TREASURY FILE'!A492:A5493=A593)*('TREASURY FILE'!F492:F5493))</f>
        <v>0</v>
      </c>
      <c r="D593" s="24" cm="1">
        <f t="array" ref="D593">SUMPRODUCT(('TREASURY FILE'!B492:B5493=$D$4)*('TREASURY FILE'!D492:D5493="TURNOVER")*('TREASURY FILE'!A492:A5493=A593)*('TREASURY FILE'!F492:F5493))</f>
        <v>0</v>
      </c>
      <c r="E593" s="31">
        <f t="shared" si="29"/>
        <v>0</v>
      </c>
      <c r="G593" s="24" cm="1">
        <f t="array" ref="G593">SUMPRODUCT(('TREASURY FILE'!B492:B5493=$G$4)*('TREASURY FILE'!D492:D5493="INCOME")*('TREASURY FILE'!A492:A5493=A593)*('TREASURY FILE'!F492:F5493))</f>
        <v>0</v>
      </c>
      <c r="H593" s="24" cm="1">
        <f t="array" ref="H593">SUMPRODUCT(('TREASURY FILE'!B492:B5493=$H$4)*('TREASURY FILE'!D492:D5493="INCOME")*('TREASURY FILE'!A492:A5493=A593)*('TREASURY FILE'!F492:F5493))</f>
        <v>0</v>
      </c>
      <c r="I593" s="24" cm="1">
        <f t="array" ref="I593">SUMPRODUCT(('TREASURY FILE'!D501:D5493=$I$4)*('TREASURY FILE'!F501:F5493="INCOME")*('TREASURY FILE'!C501:C5493=C593)*('TREASURY FILE'!H501:H5493))</f>
        <v>0</v>
      </c>
      <c r="J593" s="31">
        <f t="shared" si="30"/>
        <v>0</v>
      </c>
      <c r="K593" s="33" t="e">
        <f t="shared" si="31"/>
        <v>#DIV/0!</v>
      </c>
    </row>
    <row r="594" spans="1:11" x14ac:dyDescent="0.3">
      <c r="A594" s="30">
        <v>46247</v>
      </c>
      <c r="B594" s="24" cm="1">
        <f t="array" ref="B594">SUMPRODUCT(('TREASURY FILE'!B493:B5494=$B$4)*('TREASURY FILE'!D493:D5494="TURNOVER")*('TREASURY FILE'!A493:A5494=A594)*('TREASURY FILE'!F493:F5494))</f>
        <v>0</v>
      </c>
      <c r="C594" s="24" cm="1">
        <f t="array" ref="C594">SUMPRODUCT(('TREASURY FILE'!B493:B5494=$C$4)*('TREASURY FILE'!D493:D5494="TURNOVER")*('TREASURY FILE'!A493:A5494=A594)*('TREASURY FILE'!F493:F5494))</f>
        <v>0</v>
      </c>
      <c r="D594" s="24" cm="1">
        <f t="array" ref="D594">SUMPRODUCT(('TREASURY FILE'!B493:B5494=$D$4)*('TREASURY FILE'!D493:D5494="TURNOVER")*('TREASURY FILE'!A493:A5494=A594)*('TREASURY FILE'!F493:F5494))</f>
        <v>0</v>
      </c>
      <c r="E594" s="31">
        <f t="shared" si="29"/>
        <v>0</v>
      </c>
      <c r="G594" s="24" cm="1">
        <f t="array" ref="G594">SUMPRODUCT(('TREASURY FILE'!B493:B5494=$G$4)*('TREASURY FILE'!D493:D5494="INCOME")*('TREASURY FILE'!A493:A5494=A594)*('TREASURY FILE'!F493:F5494))</f>
        <v>0</v>
      </c>
      <c r="H594" s="24" cm="1">
        <f t="array" ref="H594">SUMPRODUCT(('TREASURY FILE'!B493:B5494=$H$4)*('TREASURY FILE'!D493:D5494="INCOME")*('TREASURY FILE'!A493:A5494=A594)*('TREASURY FILE'!F493:F5494))</f>
        <v>0</v>
      </c>
      <c r="I594" s="24" cm="1">
        <f t="array" ref="I594">SUMPRODUCT(('TREASURY FILE'!D502:D5494=$I$4)*('TREASURY FILE'!F502:F5494="INCOME")*('TREASURY FILE'!C502:C5494=C594)*('TREASURY FILE'!H502:H5494))</f>
        <v>0</v>
      </c>
      <c r="J594" s="31">
        <f t="shared" si="30"/>
        <v>0</v>
      </c>
      <c r="K594" s="33" t="e">
        <f t="shared" si="31"/>
        <v>#DIV/0!</v>
      </c>
    </row>
    <row r="595" spans="1:11" x14ac:dyDescent="0.3">
      <c r="A595" s="30">
        <v>46248</v>
      </c>
      <c r="B595" s="24" cm="1">
        <f t="array" ref="B595">SUMPRODUCT(('TREASURY FILE'!B494:B5495=$B$4)*('TREASURY FILE'!D494:D5495="TURNOVER")*('TREASURY FILE'!A494:A5495=A595)*('TREASURY FILE'!F494:F5495))</f>
        <v>0</v>
      </c>
      <c r="C595" s="24" cm="1">
        <f t="array" ref="C595">SUMPRODUCT(('TREASURY FILE'!B494:B5495=$C$4)*('TREASURY FILE'!D494:D5495="TURNOVER")*('TREASURY FILE'!A494:A5495=A595)*('TREASURY FILE'!F494:F5495))</f>
        <v>0</v>
      </c>
      <c r="D595" s="24" cm="1">
        <f t="array" ref="D595">SUMPRODUCT(('TREASURY FILE'!B494:B5495=$D$4)*('TREASURY FILE'!D494:D5495="TURNOVER")*('TREASURY FILE'!A494:A5495=A595)*('TREASURY FILE'!F494:F5495))</f>
        <v>0</v>
      </c>
      <c r="E595" s="31">
        <f t="shared" si="29"/>
        <v>0</v>
      </c>
      <c r="G595" s="24" cm="1">
        <f t="array" ref="G595">SUMPRODUCT(('TREASURY FILE'!B494:B5495=$G$4)*('TREASURY FILE'!D494:D5495="INCOME")*('TREASURY FILE'!A494:A5495=A595)*('TREASURY FILE'!F494:F5495))</f>
        <v>0</v>
      </c>
      <c r="H595" s="24" cm="1">
        <f t="array" ref="H595">SUMPRODUCT(('TREASURY FILE'!B494:B5495=$H$4)*('TREASURY FILE'!D494:D5495="INCOME")*('TREASURY FILE'!A494:A5495=A595)*('TREASURY FILE'!F494:F5495))</f>
        <v>0</v>
      </c>
      <c r="I595" s="24" cm="1">
        <f t="array" ref="I595">SUMPRODUCT(('TREASURY FILE'!D503:D5495=$I$4)*('TREASURY FILE'!F503:F5495="INCOME")*('TREASURY FILE'!C503:C5495=C595)*('TREASURY FILE'!H503:H5495))</f>
        <v>0</v>
      </c>
      <c r="J595" s="31">
        <f t="shared" si="30"/>
        <v>0</v>
      </c>
      <c r="K595" s="33" t="e">
        <f t="shared" si="31"/>
        <v>#DIV/0!</v>
      </c>
    </row>
    <row r="596" spans="1:11" x14ac:dyDescent="0.3">
      <c r="A596" s="30">
        <v>46249</v>
      </c>
      <c r="B596" s="24" cm="1">
        <f t="array" ref="B596">SUMPRODUCT(('TREASURY FILE'!B495:B5496=$B$4)*('TREASURY FILE'!D495:D5496="TURNOVER")*('TREASURY FILE'!A495:A5496=A596)*('TREASURY FILE'!F495:F5496))</f>
        <v>0</v>
      </c>
      <c r="C596" s="24" cm="1">
        <f t="array" ref="C596">SUMPRODUCT(('TREASURY FILE'!B495:B5496=$C$4)*('TREASURY FILE'!D495:D5496="TURNOVER")*('TREASURY FILE'!A495:A5496=A596)*('TREASURY FILE'!F495:F5496))</f>
        <v>0</v>
      </c>
      <c r="D596" s="24" cm="1">
        <f t="array" ref="D596">SUMPRODUCT(('TREASURY FILE'!B495:B5496=$D$4)*('TREASURY FILE'!D495:D5496="TURNOVER")*('TREASURY FILE'!A495:A5496=A596)*('TREASURY FILE'!F495:F5496))</f>
        <v>0</v>
      </c>
      <c r="E596" s="31">
        <f t="shared" si="29"/>
        <v>0</v>
      </c>
      <c r="G596" s="24" cm="1">
        <f t="array" ref="G596">SUMPRODUCT(('TREASURY FILE'!B495:B5496=$G$4)*('TREASURY FILE'!D495:D5496="INCOME")*('TREASURY FILE'!A495:A5496=A596)*('TREASURY FILE'!F495:F5496))</f>
        <v>0</v>
      </c>
      <c r="H596" s="24" cm="1">
        <f t="array" ref="H596">SUMPRODUCT(('TREASURY FILE'!B495:B5496=$H$4)*('TREASURY FILE'!D495:D5496="INCOME")*('TREASURY FILE'!A495:A5496=A596)*('TREASURY FILE'!F495:F5496))</f>
        <v>0</v>
      </c>
      <c r="I596" s="24" cm="1">
        <f t="array" ref="I596">SUMPRODUCT(('TREASURY FILE'!D504:D5496=$I$4)*('TREASURY FILE'!F504:F5496="INCOME")*('TREASURY FILE'!C504:C5496=C596)*('TREASURY FILE'!H504:H5496))</f>
        <v>0</v>
      </c>
      <c r="J596" s="31">
        <f t="shared" si="30"/>
        <v>0</v>
      </c>
      <c r="K596" s="33" t="e">
        <f t="shared" si="31"/>
        <v>#DIV/0!</v>
      </c>
    </row>
    <row r="597" spans="1:11" x14ac:dyDescent="0.3">
      <c r="A597" s="30">
        <v>46250</v>
      </c>
      <c r="B597" s="24" cm="1">
        <f t="array" ref="B597">SUMPRODUCT(('TREASURY FILE'!B496:B5497=$B$4)*('TREASURY FILE'!D496:D5497="TURNOVER")*('TREASURY FILE'!A496:A5497=A597)*('TREASURY FILE'!F496:F5497))</f>
        <v>0</v>
      </c>
      <c r="C597" s="24" cm="1">
        <f t="array" ref="C597">SUMPRODUCT(('TREASURY FILE'!B496:B5497=$C$4)*('TREASURY FILE'!D496:D5497="TURNOVER")*('TREASURY FILE'!A496:A5497=A597)*('TREASURY FILE'!F496:F5497))</f>
        <v>0</v>
      </c>
      <c r="D597" s="24" cm="1">
        <f t="array" ref="D597">SUMPRODUCT(('TREASURY FILE'!B496:B5497=$D$4)*('TREASURY FILE'!D496:D5497="TURNOVER")*('TREASURY FILE'!A496:A5497=A597)*('TREASURY FILE'!F496:F5497))</f>
        <v>0</v>
      </c>
      <c r="E597" s="31">
        <f t="shared" si="29"/>
        <v>0</v>
      </c>
      <c r="G597" s="24" cm="1">
        <f t="array" ref="G597">SUMPRODUCT(('TREASURY FILE'!B496:B5497=$G$4)*('TREASURY FILE'!D496:D5497="INCOME")*('TREASURY FILE'!A496:A5497=A597)*('TREASURY FILE'!F496:F5497))</f>
        <v>0</v>
      </c>
      <c r="H597" s="24" cm="1">
        <f t="array" ref="H597">SUMPRODUCT(('TREASURY FILE'!B496:B5497=$H$4)*('TREASURY FILE'!D496:D5497="INCOME")*('TREASURY FILE'!A496:A5497=A597)*('TREASURY FILE'!F496:F5497))</f>
        <v>0</v>
      </c>
      <c r="I597" s="24" cm="1">
        <f t="array" ref="I597">SUMPRODUCT(('TREASURY FILE'!D505:D5497=$I$4)*('TREASURY FILE'!F505:F5497="INCOME")*('TREASURY FILE'!C505:C5497=C597)*('TREASURY FILE'!H505:H5497))</f>
        <v>0</v>
      </c>
      <c r="J597" s="31">
        <f t="shared" si="30"/>
        <v>0</v>
      </c>
      <c r="K597" s="33" t="e">
        <f t="shared" si="31"/>
        <v>#DIV/0!</v>
      </c>
    </row>
    <row r="598" spans="1:11" x14ac:dyDescent="0.3">
      <c r="A598" s="30">
        <v>46251</v>
      </c>
      <c r="B598" s="24" cm="1">
        <f t="array" ref="B598">SUMPRODUCT(('TREASURY FILE'!B497:B5498=$B$4)*('TREASURY FILE'!D497:D5498="TURNOVER")*('TREASURY FILE'!A497:A5498=A598)*('TREASURY FILE'!F497:F5498))</f>
        <v>0</v>
      </c>
      <c r="C598" s="24" cm="1">
        <f t="array" ref="C598">SUMPRODUCT(('TREASURY FILE'!B497:B5498=$C$4)*('TREASURY FILE'!D497:D5498="TURNOVER")*('TREASURY FILE'!A497:A5498=A598)*('TREASURY FILE'!F497:F5498))</f>
        <v>0</v>
      </c>
      <c r="D598" s="24" cm="1">
        <f t="array" ref="D598">SUMPRODUCT(('TREASURY FILE'!B497:B5498=$D$4)*('TREASURY FILE'!D497:D5498="TURNOVER")*('TREASURY FILE'!A497:A5498=A598)*('TREASURY FILE'!F497:F5498))</f>
        <v>0</v>
      </c>
      <c r="E598" s="31">
        <f t="shared" si="29"/>
        <v>0</v>
      </c>
      <c r="G598" s="24" cm="1">
        <f t="array" ref="G598">SUMPRODUCT(('TREASURY FILE'!B497:B5498=$G$4)*('TREASURY FILE'!D497:D5498="INCOME")*('TREASURY FILE'!A497:A5498=A598)*('TREASURY FILE'!F497:F5498))</f>
        <v>0</v>
      </c>
      <c r="H598" s="24" cm="1">
        <f t="array" ref="H598">SUMPRODUCT(('TREASURY FILE'!B497:B5498=$H$4)*('TREASURY FILE'!D497:D5498="INCOME")*('TREASURY FILE'!A497:A5498=A598)*('TREASURY FILE'!F497:F5498))</f>
        <v>0</v>
      </c>
      <c r="I598" s="24" cm="1">
        <f t="array" ref="I598">SUMPRODUCT(('TREASURY FILE'!D506:D5498=$I$4)*('TREASURY FILE'!F506:F5498="INCOME")*('TREASURY FILE'!C506:C5498=C598)*('TREASURY FILE'!H506:H5498))</f>
        <v>0</v>
      </c>
      <c r="J598" s="31">
        <f t="shared" si="30"/>
        <v>0</v>
      </c>
      <c r="K598" s="33" t="e">
        <f t="shared" si="31"/>
        <v>#DIV/0!</v>
      </c>
    </row>
    <row r="599" spans="1:11" x14ac:dyDescent="0.3">
      <c r="A599" s="30">
        <v>46252</v>
      </c>
      <c r="B599" s="24" cm="1">
        <f t="array" ref="B599">SUMPRODUCT(('TREASURY FILE'!B498:B5499=$B$4)*('TREASURY FILE'!D498:D5499="TURNOVER")*('TREASURY FILE'!A498:A5499=A599)*('TREASURY FILE'!F498:F5499))</f>
        <v>0</v>
      </c>
      <c r="C599" s="24" cm="1">
        <f t="array" ref="C599">SUMPRODUCT(('TREASURY FILE'!B498:B5499=$C$4)*('TREASURY FILE'!D498:D5499="TURNOVER")*('TREASURY FILE'!A498:A5499=A599)*('TREASURY FILE'!F498:F5499))</f>
        <v>0</v>
      </c>
      <c r="D599" s="24" cm="1">
        <f t="array" ref="D599">SUMPRODUCT(('TREASURY FILE'!B498:B5499=$D$4)*('TREASURY FILE'!D498:D5499="TURNOVER")*('TREASURY FILE'!A498:A5499=A599)*('TREASURY FILE'!F498:F5499))</f>
        <v>0</v>
      </c>
      <c r="E599" s="31">
        <f t="shared" si="29"/>
        <v>0</v>
      </c>
      <c r="G599" s="24" cm="1">
        <f t="array" ref="G599">SUMPRODUCT(('TREASURY FILE'!B498:B5499=$G$4)*('TREASURY FILE'!D498:D5499="INCOME")*('TREASURY FILE'!A498:A5499=A599)*('TREASURY FILE'!F498:F5499))</f>
        <v>0</v>
      </c>
      <c r="H599" s="24" cm="1">
        <f t="array" ref="H599">SUMPRODUCT(('TREASURY FILE'!B498:B5499=$H$4)*('TREASURY FILE'!D498:D5499="INCOME")*('TREASURY FILE'!A498:A5499=A599)*('TREASURY FILE'!F498:F5499))</f>
        <v>0</v>
      </c>
      <c r="I599" s="24" cm="1">
        <f t="array" ref="I599">SUMPRODUCT(('TREASURY FILE'!D507:D5499=$I$4)*('TREASURY FILE'!F507:F5499="INCOME")*('TREASURY FILE'!C507:C5499=C599)*('TREASURY FILE'!H507:H5499))</f>
        <v>0</v>
      </c>
      <c r="J599" s="31">
        <f t="shared" si="30"/>
        <v>0</v>
      </c>
      <c r="K599" s="33" t="e">
        <f t="shared" si="31"/>
        <v>#DIV/0!</v>
      </c>
    </row>
    <row r="600" spans="1:11" x14ac:dyDescent="0.3">
      <c r="A600" s="30">
        <v>46253</v>
      </c>
      <c r="B600" s="24" cm="1">
        <f t="array" ref="B600">SUMPRODUCT(('TREASURY FILE'!B499:B5500=$B$4)*('TREASURY FILE'!D499:D5500="TURNOVER")*('TREASURY FILE'!A499:A5500=A600)*('TREASURY FILE'!F499:F5500))</f>
        <v>0</v>
      </c>
      <c r="C600" s="24" cm="1">
        <f t="array" ref="C600">SUMPRODUCT(('TREASURY FILE'!B499:B5500=$C$4)*('TREASURY FILE'!D499:D5500="TURNOVER")*('TREASURY FILE'!A499:A5500=A600)*('TREASURY FILE'!F499:F5500))</f>
        <v>0</v>
      </c>
      <c r="D600" s="24" cm="1">
        <f t="array" ref="D600">SUMPRODUCT(('TREASURY FILE'!B499:B5500=$D$4)*('TREASURY FILE'!D499:D5500="TURNOVER")*('TREASURY FILE'!A499:A5500=A600)*('TREASURY FILE'!F499:F5500))</f>
        <v>0</v>
      </c>
      <c r="E600" s="31">
        <f t="shared" si="29"/>
        <v>0</v>
      </c>
      <c r="G600" s="24" cm="1">
        <f t="array" ref="G600">SUMPRODUCT(('TREASURY FILE'!B499:B5500=$G$4)*('TREASURY FILE'!D499:D5500="INCOME")*('TREASURY FILE'!A499:A5500=A600)*('TREASURY FILE'!F499:F5500))</f>
        <v>0</v>
      </c>
      <c r="H600" s="24" cm="1">
        <f t="array" ref="H600">SUMPRODUCT(('TREASURY FILE'!B499:B5500=$H$4)*('TREASURY FILE'!D499:D5500="INCOME")*('TREASURY FILE'!A499:A5500=A600)*('TREASURY FILE'!F499:F5500))</f>
        <v>0</v>
      </c>
      <c r="I600" s="24" cm="1">
        <f t="array" ref="I600">SUMPRODUCT(('TREASURY FILE'!D508:D5500=$I$4)*('TREASURY FILE'!F508:F5500="INCOME")*('TREASURY FILE'!C508:C5500=C600)*('TREASURY FILE'!H508:H5500))</f>
        <v>0</v>
      </c>
      <c r="J600" s="31">
        <f t="shared" si="30"/>
        <v>0</v>
      </c>
      <c r="K600" s="33" t="e">
        <f t="shared" si="31"/>
        <v>#DIV/0!</v>
      </c>
    </row>
    <row r="601" spans="1:11" x14ac:dyDescent="0.3">
      <c r="A601" s="30">
        <v>46254</v>
      </c>
      <c r="B601" s="24" cm="1">
        <f t="array" ref="B601">SUMPRODUCT(('TREASURY FILE'!B500:B5501=$B$4)*('TREASURY FILE'!D500:D5501="TURNOVER")*('TREASURY FILE'!A500:A5501=A601)*('TREASURY FILE'!F500:F5501))</f>
        <v>0</v>
      </c>
      <c r="C601" s="24" cm="1">
        <f t="array" ref="C601">SUMPRODUCT(('TREASURY FILE'!B500:B5501=$C$4)*('TREASURY FILE'!D500:D5501="TURNOVER")*('TREASURY FILE'!A500:A5501=A601)*('TREASURY FILE'!F500:F5501))</f>
        <v>0</v>
      </c>
      <c r="D601" s="24" cm="1">
        <f t="array" ref="D601">SUMPRODUCT(('TREASURY FILE'!B500:B5501=$D$4)*('TREASURY FILE'!D500:D5501="TURNOVER")*('TREASURY FILE'!A500:A5501=A601)*('TREASURY FILE'!F500:F5501))</f>
        <v>0</v>
      </c>
      <c r="E601" s="31">
        <f t="shared" si="29"/>
        <v>0</v>
      </c>
      <c r="G601" s="24" cm="1">
        <f t="array" ref="G601">SUMPRODUCT(('TREASURY FILE'!B500:B5501=$G$4)*('TREASURY FILE'!D500:D5501="INCOME")*('TREASURY FILE'!A500:A5501=A601)*('TREASURY FILE'!F500:F5501))</f>
        <v>0</v>
      </c>
      <c r="H601" s="24" cm="1">
        <f t="array" ref="H601">SUMPRODUCT(('TREASURY FILE'!B500:B5501=$H$4)*('TREASURY FILE'!D500:D5501="INCOME")*('TREASURY FILE'!A500:A5501=A601)*('TREASURY FILE'!F500:F5501))</f>
        <v>0</v>
      </c>
      <c r="I601" s="24" cm="1">
        <f t="array" ref="I601">SUMPRODUCT(('TREASURY FILE'!D509:D5501=$I$4)*('TREASURY FILE'!F509:F5501="INCOME")*('TREASURY FILE'!C509:C5501=C601)*('TREASURY FILE'!H509:H5501))</f>
        <v>0</v>
      </c>
      <c r="J601" s="31">
        <f t="shared" si="30"/>
        <v>0</v>
      </c>
      <c r="K601" s="33" t="e">
        <f t="shared" si="31"/>
        <v>#DIV/0!</v>
      </c>
    </row>
    <row r="602" spans="1:11" x14ac:dyDescent="0.3">
      <c r="A602" s="30">
        <v>46255</v>
      </c>
      <c r="B602" s="24" cm="1">
        <f t="array" ref="B602">SUMPRODUCT(('TREASURY FILE'!B501:B5502=$B$4)*('TREASURY FILE'!D501:D5502="TURNOVER")*('TREASURY FILE'!A501:A5502=A602)*('TREASURY FILE'!F501:F5502))</f>
        <v>0</v>
      </c>
      <c r="C602" s="24" cm="1">
        <f t="array" ref="C602">SUMPRODUCT(('TREASURY FILE'!B501:B5502=$C$4)*('TREASURY FILE'!D501:D5502="TURNOVER")*('TREASURY FILE'!A501:A5502=A602)*('TREASURY FILE'!F501:F5502))</f>
        <v>0</v>
      </c>
      <c r="D602" s="24" cm="1">
        <f t="array" ref="D602">SUMPRODUCT(('TREASURY FILE'!B501:B5502=$D$4)*('TREASURY FILE'!D501:D5502="TURNOVER")*('TREASURY FILE'!A501:A5502=A602)*('TREASURY FILE'!F501:F5502))</f>
        <v>0</v>
      </c>
      <c r="E602" s="31">
        <f t="shared" si="29"/>
        <v>0</v>
      </c>
      <c r="G602" s="24" cm="1">
        <f t="array" ref="G602">SUMPRODUCT(('TREASURY FILE'!B501:B5502=$G$4)*('TREASURY FILE'!D501:D5502="INCOME")*('TREASURY FILE'!A501:A5502=A602)*('TREASURY FILE'!F501:F5502))</f>
        <v>0</v>
      </c>
      <c r="H602" s="24" cm="1">
        <f t="array" ref="H602">SUMPRODUCT(('TREASURY FILE'!B501:B5502=$H$4)*('TREASURY FILE'!D501:D5502="INCOME")*('TREASURY FILE'!A501:A5502=A602)*('TREASURY FILE'!F501:F5502))</f>
        <v>0</v>
      </c>
      <c r="I602" s="24" cm="1">
        <f t="array" ref="I602">SUMPRODUCT(('TREASURY FILE'!D510:D5502=$I$4)*('TREASURY FILE'!F510:F5502="INCOME")*('TREASURY FILE'!C510:C5502=C602)*('TREASURY FILE'!H510:H5502))</f>
        <v>0</v>
      </c>
      <c r="J602" s="31">
        <f t="shared" si="30"/>
        <v>0</v>
      </c>
      <c r="K602" s="33" t="e">
        <f t="shared" si="31"/>
        <v>#DIV/0!</v>
      </c>
    </row>
    <row r="603" spans="1:11" x14ac:dyDescent="0.3">
      <c r="A603" s="30">
        <v>46256</v>
      </c>
      <c r="B603" s="24" cm="1">
        <f t="array" ref="B603">SUMPRODUCT(('TREASURY FILE'!B502:B5503=$B$4)*('TREASURY FILE'!D502:D5503="TURNOVER")*('TREASURY FILE'!A502:A5503=A603)*('TREASURY FILE'!F502:F5503))</f>
        <v>0</v>
      </c>
      <c r="C603" s="24" cm="1">
        <f t="array" ref="C603">SUMPRODUCT(('TREASURY FILE'!B502:B5503=$C$4)*('TREASURY FILE'!D502:D5503="TURNOVER")*('TREASURY FILE'!A502:A5503=A603)*('TREASURY FILE'!F502:F5503))</f>
        <v>0</v>
      </c>
      <c r="D603" s="24" cm="1">
        <f t="array" ref="D603">SUMPRODUCT(('TREASURY FILE'!B502:B5503=$D$4)*('TREASURY FILE'!D502:D5503="TURNOVER")*('TREASURY FILE'!A502:A5503=A603)*('TREASURY FILE'!F502:F5503))</f>
        <v>0</v>
      </c>
      <c r="E603" s="31">
        <f t="shared" si="29"/>
        <v>0</v>
      </c>
      <c r="G603" s="24" cm="1">
        <f t="array" ref="G603">SUMPRODUCT(('TREASURY FILE'!B502:B5503=$G$4)*('TREASURY FILE'!D502:D5503="INCOME")*('TREASURY FILE'!A502:A5503=A603)*('TREASURY FILE'!F502:F5503))</f>
        <v>0</v>
      </c>
      <c r="H603" s="24" cm="1">
        <f t="array" ref="H603">SUMPRODUCT(('TREASURY FILE'!B502:B5503=$H$4)*('TREASURY FILE'!D502:D5503="INCOME")*('TREASURY FILE'!A502:A5503=A603)*('TREASURY FILE'!F502:F5503))</f>
        <v>0</v>
      </c>
      <c r="I603" s="24" cm="1">
        <f t="array" ref="I603">SUMPRODUCT(('TREASURY FILE'!D511:D5503=$I$4)*('TREASURY FILE'!F511:F5503="INCOME")*('TREASURY FILE'!C511:C5503=C603)*('TREASURY FILE'!H511:H5503))</f>
        <v>0</v>
      </c>
      <c r="J603" s="31">
        <f t="shared" si="30"/>
        <v>0</v>
      </c>
      <c r="K603" s="33" t="e">
        <f t="shared" si="31"/>
        <v>#DIV/0!</v>
      </c>
    </row>
    <row r="604" spans="1:11" x14ac:dyDescent="0.3">
      <c r="A604" s="30">
        <v>46257</v>
      </c>
      <c r="B604" s="24" cm="1">
        <f t="array" ref="B604">SUMPRODUCT(('TREASURY FILE'!B503:B5504=$B$4)*('TREASURY FILE'!D503:D5504="TURNOVER")*('TREASURY FILE'!A503:A5504=A604)*('TREASURY FILE'!F503:F5504))</f>
        <v>0</v>
      </c>
      <c r="C604" s="24" cm="1">
        <f t="array" ref="C604">SUMPRODUCT(('TREASURY FILE'!B503:B5504=$C$4)*('TREASURY FILE'!D503:D5504="TURNOVER")*('TREASURY FILE'!A503:A5504=A604)*('TREASURY FILE'!F503:F5504))</f>
        <v>0</v>
      </c>
      <c r="D604" s="24" cm="1">
        <f t="array" ref="D604">SUMPRODUCT(('TREASURY FILE'!B503:B5504=$D$4)*('TREASURY FILE'!D503:D5504="TURNOVER")*('TREASURY FILE'!A503:A5504=A604)*('TREASURY FILE'!F503:F5504))</f>
        <v>0</v>
      </c>
      <c r="E604" s="31">
        <f t="shared" si="29"/>
        <v>0</v>
      </c>
      <c r="G604" s="24" cm="1">
        <f t="array" ref="G604">SUMPRODUCT(('TREASURY FILE'!B503:B5504=$G$4)*('TREASURY FILE'!D503:D5504="INCOME")*('TREASURY FILE'!A503:A5504=A604)*('TREASURY FILE'!F503:F5504))</f>
        <v>0</v>
      </c>
      <c r="H604" s="24" cm="1">
        <f t="array" ref="H604">SUMPRODUCT(('TREASURY FILE'!B503:B5504=$H$4)*('TREASURY FILE'!D503:D5504="INCOME")*('TREASURY FILE'!A503:A5504=A604)*('TREASURY FILE'!F503:F5504))</f>
        <v>0</v>
      </c>
      <c r="I604" s="24" cm="1">
        <f t="array" ref="I604">SUMPRODUCT(('TREASURY FILE'!D512:D5504=$I$4)*('TREASURY FILE'!F512:F5504="INCOME")*('TREASURY FILE'!C512:C5504=C604)*('TREASURY FILE'!H512:H5504))</f>
        <v>0</v>
      </c>
      <c r="J604" s="31">
        <f t="shared" si="30"/>
        <v>0</v>
      </c>
      <c r="K604" s="33" t="e">
        <f t="shared" si="31"/>
        <v>#DIV/0!</v>
      </c>
    </row>
    <row r="605" spans="1:11" x14ac:dyDescent="0.3">
      <c r="A605" s="30">
        <v>46258</v>
      </c>
      <c r="B605" s="24" cm="1">
        <f t="array" ref="B605">SUMPRODUCT(('TREASURY FILE'!B504:B5505=$B$4)*('TREASURY FILE'!D504:D5505="TURNOVER")*('TREASURY FILE'!A504:A5505=A605)*('TREASURY FILE'!F504:F5505))</f>
        <v>0</v>
      </c>
      <c r="C605" s="24" cm="1">
        <f t="array" ref="C605">SUMPRODUCT(('TREASURY FILE'!B504:B5505=$C$4)*('TREASURY FILE'!D504:D5505="TURNOVER")*('TREASURY FILE'!A504:A5505=A605)*('TREASURY FILE'!F504:F5505))</f>
        <v>0</v>
      </c>
      <c r="D605" s="24" cm="1">
        <f t="array" ref="D605">SUMPRODUCT(('TREASURY FILE'!B504:B5505=$D$4)*('TREASURY FILE'!D504:D5505="TURNOVER")*('TREASURY FILE'!A504:A5505=A605)*('TREASURY FILE'!F504:F5505))</f>
        <v>0</v>
      </c>
      <c r="E605" s="31">
        <f t="shared" si="29"/>
        <v>0</v>
      </c>
      <c r="G605" s="24" cm="1">
        <f t="array" ref="G605">SUMPRODUCT(('TREASURY FILE'!B504:B5505=$G$4)*('TREASURY FILE'!D504:D5505="INCOME")*('TREASURY FILE'!A504:A5505=A605)*('TREASURY FILE'!F504:F5505))</f>
        <v>0</v>
      </c>
      <c r="H605" s="24" cm="1">
        <f t="array" ref="H605">SUMPRODUCT(('TREASURY FILE'!B504:B5505=$H$4)*('TREASURY FILE'!D504:D5505="INCOME")*('TREASURY FILE'!A504:A5505=A605)*('TREASURY FILE'!F504:F5505))</f>
        <v>0</v>
      </c>
      <c r="I605" s="24" cm="1">
        <f t="array" ref="I605">SUMPRODUCT(('TREASURY FILE'!D513:D5505=$I$4)*('TREASURY FILE'!F513:F5505="INCOME")*('TREASURY FILE'!C513:C5505=C605)*('TREASURY FILE'!H513:H5505))</f>
        <v>0</v>
      </c>
      <c r="J605" s="31">
        <f t="shared" si="30"/>
        <v>0</v>
      </c>
      <c r="K605" s="33" t="e">
        <f t="shared" si="31"/>
        <v>#DIV/0!</v>
      </c>
    </row>
    <row r="606" spans="1:11" x14ac:dyDescent="0.3">
      <c r="A606" s="30">
        <v>46259</v>
      </c>
      <c r="B606" s="24" cm="1">
        <f t="array" ref="B606">SUMPRODUCT(('TREASURY FILE'!B505:B5506=$B$4)*('TREASURY FILE'!D505:D5506="TURNOVER")*('TREASURY FILE'!A505:A5506=A606)*('TREASURY FILE'!F505:F5506))</f>
        <v>0</v>
      </c>
      <c r="C606" s="24" cm="1">
        <f t="array" ref="C606">SUMPRODUCT(('TREASURY FILE'!B505:B5506=$C$4)*('TREASURY FILE'!D505:D5506="TURNOVER")*('TREASURY FILE'!A505:A5506=A606)*('TREASURY FILE'!F505:F5506))</f>
        <v>0</v>
      </c>
      <c r="D606" s="24" cm="1">
        <f t="array" ref="D606">SUMPRODUCT(('TREASURY FILE'!B505:B5506=$D$4)*('TREASURY FILE'!D505:D5506="TURNOVER")*('TREASURY FILE'!A505:A5506=A606)*('TREASURY FILE'!F505:F5506))</f>
        <v>0</v>
      </c>
      <c r="E606" s="31">
        <f t="shared" si="29"/>
        <v>0</v>
      </c>
      <c r="G606" s="24" cm="1">
        <f t="array" ref="G606">SUMPRODUCT(('TREASURY FILE'!B505:B5506=$G$4)*('TREASURY FILE'!D505:D5506="INCOME")*('TREASURY FILE'!A505:A5506=A606)*('TREASURY FILE'!F505:F5506))</f>
        <v>0</v>
      </c>
      <c r="H606" s="24" cm="1">
        <f t="array" ref="H606">SUMPRODUCT(('TREASURY FILE'!B505:B5506=$H$4)*('TREASURY FILE'!D505:D5506="INCOME")*('TREASURY FILE'!A505:A5506=A606)*('TREASURY FILE'!F505:F5506))</f>
        <v>0</v>
      </c>
      <c r="I606" s="24" cm="1">
        <f t="array" ref="I606">SUMPRODUCT(('TREASURY FILE'!D514:D5506=$I$4)*('TREASURY FILE'!F514:F5506="INCOME")*('TREASURY FILE'!C514:C5506=C606)*('TREASURY FILE'!H514:H5506))</f>
        <v>0</v>
      </c>
      <c r="J606" s="31">
        <f t="shared" si="30"/>
        <v>0</v>
      </c>
      <c r="K606" s="33" t="e">
        <f t="shared" si="31"/>
        <v>#DIV/0!</v>
      </c>
    </row>
    <row r="607" spans="1:11" x14ac:dyDescent="0.3">
      <c r="A607" s="30">
        <v>46260</v>
      </c>
      <c r="B607" s="24" cm="1">
        <f t="array" ref="B607">SUMPRODUCT(('TREASURY FILE'!B506:B5507=$B$4)*('TREASURY FILE'!D506:D5507="TURNOVER")*('TREASURY FILE'!A506:A5507=A607)*('TREASURY FILE'!F506:F5507))</f>
        <v>0</v>
      </c>
      <c r="C607" s="24" cm="1">
        <f t="array" ref="C607">SUMPRODUCT(('TREASURY FILE'!B506:B5507=$C$4)*('TREASURY FILE'!D506:D5507="TURNOVER")*('TREASURY FILE'!A506:A5507=A607)*('TREASURY FILE'!F506:F5507))</f>
        <v>0</v>
      </c>
      <c r="D607" s="24" cm="1">
        <f t="array" ref="D607">SUMPRODUCT(('TREASURY FILE'!B506:B5507=$D$4)*('TREASURY FILE'!D506:D5507="TURNOVER")*('TREASURY FILE'!A506:A5507=A607)*('TREASURY FILE'!F506:F5507))</f>
        <v>0</v>
      </c>
      <c r="E607" s="31">
        <f t="shared" si="29"/>
        <v>0</v>
      </c>
      <c r="G607" s="24" cm="1">
        <f t="array" ref="G607">SUMPRODUCT(('TREASURY FILE'!B506:B5507=$G$4)*('TREASURY FILE'!D506:D5507="INCOME")*('TREASURY FILE'!A506:A5507=A607)*('TREASURY FILE'!F506:F5507))</f>
        <v>0</v>
      </c>
      <c r="H607" s="24" cm="1">
        <f t="array" ref="H607">SUMPRODUCT(('TREASURY FILE'!B506:B5507=$H$4)*('TREASURY FILE'!D506:D5507="INCOME")*('TREASURY FILE'!A506:A5507=A607)*('TREASURY FILE'!F506:F5507))</f>
        <v>0</v>
      </c>
      <c r="I607" s="24" cm="1">
        <f t="array" ref="I607">SUMPRODUCT(('TREASURY FILE'!D515:D5507=$I$4)*('TREASURY FILE'!F515:F5507="INCOME")*('TREASURY FILE'!C515:C5507=C607)*('TREASURY FILE'!H515:H5507))</f>
        <v>0</v>
      </c>
      <c r="J607" s="31">
        <f t="shared" si="30"/>
        <v>0</v>
      </c>
      <c r="K607" s="33" t="e">
        <f t="shared" si="31"/>
        <v>#DIV/0!</v>
      </c>
    </row>
    <row r="608" spans="1:11" x14ac:dyDescent="0.3">
      <c r="A608" s="30">
        <v>46261</v>
      </c>
      <c r="B608" s="24" cm="1">
        <f t="array" ref="B608">SUMPRODUCT(('TREASURY FILE'!B507:B5508=$B$4)*('TREASURY FILE'!D507:D5508="TURNOVER")*('TREASURY FILE'!A507:A5508=A608)*('TREASURY FILE'!F507:F5508))</f>
        <v>0</v>
      </c>
      <c r="C608" s="24" cm="1">
        <f t="array" ref="C608">SUMPRODUCT(('TREASURY FILE'!B507:B5508=$C$4)*('TREASURY FILE'!D507:D5508="TURNOVER")*('TREASURY FILE'!A507:A5508=A608)*('TREASURY FILE'!F507:F5508))</f>
        <v>0</v>
      </c>
      <c r="D608" s="24" cm="1">
        <f t="array" ref="D608">SUMPRODUCT(('TREASURY FILE'!B507:B5508=$D$4)*('TREASURY FILE'!D507:D5508="TURNOVER")*('TREASURY FILE'!A507:A5508=A608)*('TREASURY FILE'!F507:F5508))</f>
        <v>0</v>
      </c>
      <c r="E608" s="31">
        <f t="shared" si="29"/>
        <v>0</v>
      </c>
      <c r="G608" s="24" cm="1">
        <f t="array" ref="G608">SUMPRODUCT(('TREASURY FILE'!B507:B5508=$G$4)*('TREASURY FILE'!D507:D5508="INCOME")*('TREASURY FILE'!A507:A5508=A608)*('TREASURY FILE'!F507:F5508))</f>
        <v>0</v>
      </c>
      <c r="H608" s="24" cm="1">
        <f t="array" ref="H608">SUMPRODUCT(('TREASURY FILE'!B507:B5508=$H$4)*('TREASURY FILE'!D507:D5508="INCOME")*('TREASURY FILE'!A507:A5508=A608)*('TREASURY FILE'!F507:F5508))</f>
        <v>0</v>
      </c>
      <c r="I608" s="24" cm="1">
        <f t="array" ref="I608">SUMPRODUCT(('TREASURY FILE'!D516:D5508=$I$4)*('TREASURY FILE'!F516:F5508="INCOME")*('TREASURY FILE'!C516:C5508=C608)*('TREASURY FILE'!H516:H5508))</f>
        <v>0</v>
      </c>
      <c r="J608" s="31">
        <f t="shared" si="30"/>
        <v>0</v>
      </c>
      <c r="K608" s="33" t="e">
        <f t="shared" si="31"/>
        <v>#DIV/0!</v>
      </c>
    </row>
    <row r="609" spans="1:11" x14ac:dyDescent="0.3">
      <c r="A609" s="30">
        <v>46262</v>
      </c>
      <c r="B609" s="24" cm="1">
        <f t="array" ref="B609">SUMPRODUCT(('TREASURY FILE'!B508:B5509=$B$4)*('TREASURY FILE'!D508:D5509="TURNOVER")*('TREASURY FILE'!A508:A5509=A609)*('TREASURY FILE'!F508:F5509))</f>
        <v>0</v>
      </c>
      <c r="C609" s="24" cm="1">
        <f t="array" ref="C609">SUMPRODUCT(('TREASURY FILE'!B508:B5509=$C$4)*('TREASURY FILE'!D508:D5509="TURNOVER")*('TREASURY FILE'!A508:A5509=A609)*('TREASURY FILE'!F508:F5509))</f>
        <v>0</v>
      </c>
      <c r="D609" s="24" cm="1">
        <f t="array" ref="D609">SUMPRODUCT(('TREASURY FILE'!B508:B5509=$D$4)*('TREASURY FILE'!D508:D5509="TURNOVER")*('TREASURY FILE'!A508:A5509=A609)*('TREASURY FILE'!F508:F5509))</f>
        <v>0</v>
      </c>
      <c r="E609" s="31">
        <f t="shared" si="29"/>
        <v>0</v>
      </c>
      <c r="G609" s="24" cm="1">
        <f t="array" ref="G609">SUMPRODUCT(('TREASURY FILE'!B508:B5509=$G$4)*('TREASURY FILE'!D508:D5509="INCOME")*('TREASURY FILE'!A508:A5509=A609)*('TREASURY FILE'!F508:F5509))</f>
        <v>0</v>
      </c>
      <c r="H609" s="24" cm="1">
        <f t="array" ref="H609">SUMPRODUCT(('TREASURY FILE'!B508:B5509=$H$4)*('TREASURY FILE'!D508:D5509="INCOME")*('TREASURY FILE'!A508:A5509=A609)*('TREASURY FILE'!F508:F5509))</f>
        <v>0</v>
      </c>
      <c r="I609" s="24" cm="1">
        <f t="array" ref="I609">SUMPRODUCT(('TREASURY FILE'!D517:D5509=$I$4)*('TREASURY FILE'!F517:F5509="INCOME")*('TREASURY FILE'!C517:C5509=C609)*('TREASURY FILE'!H517:H5509))</f>
        <v>0</v>
      </c>
      <c r="J609" s="31">
        <f t="shared" si="30"/>
        <v>0</v>
      </c>
      <c r="K609" s="33" t="e">
        <f t="shared" si="31"/>
        <v>#DIV/0!</v>
      </c>
    </row>
    <row r="610" spans="1:11" x14ac:dyDescent="0.3">
      <c r="A610" s="30">
        <v>46263</v>
      </c>
      <c r="B610" s="24" cm="1">
        <f t="array" ref="B610">SUMPRODUCT(('TREASURY FILE'!B509:B5510=$B$4)*('TREASURY FILE'!D509:D5510="TURNOVER")*('TREASURY FILE'!A509:A5510=A610)*('TREASURY FILE'!F509:F5510))</f>
        <v>0</v>
      </c>
      <c r="C610" s="24" cm="1">
        <f t="array" ref="C610">SUMPRODUCT(('TREASURY FILE'!B509:B5510=$C$4)*('TREASURY FILE'!D509:D5510="TURNOVER")*('TREASURY FILE'!A509:A5510=A610)*('TREASURY FILE'!F509:F5510))</f>
        <v>0</v>
      </c>
      <c r="D610" s="24" cm="1">
        <f t="array" ref="D610">SUMPRODUCT(('TREASURY FILE'!B509:B5510=$D$4)*('TREASURY FILE'!D509:D5510="TURNOVER")*('TREASURY FILE'!A509:A5510=A610)*('TREASURY FILE'!F509:F5510))</f>
        <v>0</v>
      </c>
      <c r="E610" s="31">
        <f t="shared" si="29"/>
        <v>0</v>
      </c>
      <c r="G610" s="24" cm="1">
        <f t="array" ref="G610">SUMPRODUCT(('TREASURY FILE'!B509:B5510=$G$4)*('TREASURY FILE'!D509:D5510="INCOME")*('TREASURY FILE'!A509:A5510=A610)*('TREASURY FILE'!F509:F5510))</f>
        <v>0</v>
      </c>
      <c r="H610" s="24" cm="1">
        <f t="array" ref="H610">SUMPRODUCT(('TREASURY FILE'!B509:B5510=$H$4)*('TREASURY FILE'!D509:D5510="INCOME")*('TREASURY FILE'!A509:A5510=A610)*('TREASURY FILE'!F509:F5510))</f>
        <v>0</v>
      </c>
      <c r="I610" s="24" cm="1">
        <f t="array" ref="I610">SUMPRODUCT(('TREASURY FILE'!D518:D5510=$I$4)*('TREASURY FILE'!F518:F5510="INCOME")*('TREASURY FILE'!C518:C5510=C610)*('TREASURY FILE'!H518:H5510))</f>
        <v>0</v>
      </c>
      <c r="J610" s="31">
        <f t="shared" si="30"/>
        <v>0</v>
      </c>
      <c r="K610" s="33" t="e">
        <f t="shared" si="31"/>
        <v>#DIV/0!</v>
      </c>
    </row>
    <row r="611" spans="1:11" x14ac:dyDescent="0.3">
      <c r="A611" s="30">
        <v>46264</v>
      </c>
      <c r="B611" s="24" cm="1">
        <f t="array" ref="B611">SUMPRODUCT(('TREASURY FILE'!B510:B5511=$B$4)*('TREASURY FILE'!D510:D5511="TURNOVER")*('TREASURY FILE'!A510:A5511=A611)*('TREASURY FILE'!F510:F5511))</f>
        <v>0</v>
      </c>
      <c r="C611" s="24" cm="1">
        <f t="array" ref="C611">SUMPRODUCT(('TREASURY FILE'!B510:B5511=$C$4)*('TREASURY FILE'!D510:D5511="TURNOVER")*('TREASURY FILE'!A510:A5511=A611)*('TREASURY FILE'!F510:F5511))</f>
        <v>0</v>
      </c>
      <c r="D611" s="24" cm="1">
        <f t="array" ref="D611">SUMPRODUCT(('TREASURY FILE'!B510:B5511=$D$4)*('TREASURY FILE'!D510:D5511="TURNOVER")*('TREASURY FILE'!A510:A5511=A611)*('TREASURY FILE'!F510:F5511))</f>
        <v>0</v>
      </c>
      <c r="E611" s="31">
        <f t="shared" si="29"/>
        <v>0</v>
      </c>
      <c r="G611" s="24" cm="1">
        <f t="array" ref="G611">SUMPRODUCT(('TREASURY FILE'!B510:B5511=$G$4)*('TREASURY FILE'!D510:D5511="INCOME")*('TREASURY FILE'!A510:A5511=A611)*('TREASURY FILE'!F510:F5511))</f>
        <v>0</v>
      </c>
      <c r="H611" s="24" cm="1">
        <f t="array" ref="H611">SUMPRODUCT(('TREASURY FILE'!B510:B5511=$H$4)*('TREASURY FILE'!D510:D5511="INCOME")*('TREASURY FILE'!A510:A5511=A611)*('TREASURY FILE'!F510:F5511))</f>
        <v>0</v>
      </c>
      <c r="I611" s="24" cm="1">
        <f t="array" ref="I611">SUMPRODUCT(('TREASURY FILE'!D519:D5511=$I$4)*('TREASURY FILE'!F519:F5511="INCOME")*('TREASURY FILE'!C519:C5511=C611)*('TREASURY FILE'!H519:H5511))</f>
        <v>0</v>
      </c>
      <c r="J611" s="31">
        <f t="shared" si="30"/>
        <v>0</v>
      </c>
      <c r="K611" s="33" t="e">
        <f t="shared" si="31"/>
        <v>#DIV/0!</v>
      </c>
    </row>
    <row r="612" spans="1:11" x14ac:dyDescent="0.3">
      <c r="A612" s="30">
        <v>46265</v>
      </c>
      <c r="B612" s="24" cm="1">
        <f t="array" ref="B612">SUMPRODUCT(('TREASURY FILE'!B511:B5512=$B$4)*('TREASURY FILE'!D511:D5512="TURNOVER")*('TREASURY FILE'!A511:A5512=A612)*('TREASURY FILE'!F511:F5512))</f>
        <v>0</v>
      </c>
      <c r="C612" s="24" cm="1">
        <f t="array" ref="C612">SUMPRODUCT(('TREASURY FILE'!B511:B5512=$C$4)*('TREASURY FILE'!D511:D5512="TURNOVER")*('TREASURY FILE'!A511:A5512=A612)*('TREASURY FILE'!F511:F5512))</f>
        <v>0</v>
      </c>
      <c r="D612" s="24" cm="1">
        <f t="array" ref="D612">SUMPRODUCT(('TREASURY FILE'!B511:B5512=$D$4)*('TREASURY FILE'!D511:D5512="TURNOVER")*('TREASURY FILE'!A511:A5512=A612)*('TREASURY FILE'!F511:F5512))</f>
        <v>0</v>
      </c>
      <c r="E612" s="31">
        <f t="shared" si="29"/>
        <v>0</v>
      </c>
      <c r="G612" s="24" cm="1">
        <f t="array" ref="G612">SUMPRODUCT(('TREASURY FILE'!B511:B5512=$G$4)*('TREASURY FILE'!D511:D5512="INCOME")*('TREASURY FILE'!A511:A5512=A612)*('TREASURY FILE'!F511:F5512))</f>
        <v>0</v>
      </c>
      <c r="H612" s="24" cm="1">
        <f t="array" ref="H612">SUMPRODUCT(('TREASURY FILE'!B511:B5512=$H$4)*('TREASURY FILE'!D511:D5512="INCOME")*('TREASURY FILE'!A511:A5512=A612)*('TREASURY FILE'!F511:F5512))</f>
        <v>0</v>
      </c>
      <c r="I612" s="24" cm="1">
        <f t="array" ref="I612">SUMPRODUCT(('TREASURY FILE'!D520:D5512=$I$4)*('TREASURY FILE'!F520:F5512="INCOME")*('TREASURY FILE'!C520:C5512=C612)*('TREASURY FILE'!H520:H5512))</f>
        <v>0</v>
      </c>
      <c r="J612" s="31">
        <f t="shared" si="30"/>
        <v>0</v>
      </c>
      <c r="K612" s="33" t="e">
        <f t="shared" si="31"/>
        <v>#DIV/0!</v>
      </c>
    </row>
    <row r="613" spans="1:11" x14ac:dyDescent="0.3">
      <c r="A613" s="30">
        <v>46266</v>
      </c>
      <c r="B613" s="24" cm="1">
        <f t="array" ref="B613">SUMPRODUCT(('TREASURY FILE'!B512:B5513=$B$4)*('TREASURY FILE'!D512:D5513="TURNOVER")*('TREASURY FILE'!A512:A5513=A613)*('TREASURY FILE'!F512:F5513))</f>
        <v>0</v>
      </c>
      <c r="C613" s="24" cm="1">
        <f t="array" ref="C613">SUMPRODUCT(('TREASURY FILE'!B512:B5513=$C$4)*('TREASURY FILE'!D512:D5513="TURNOVER")*('TREASURY FILE'!A512:A5513=A613)*('TREASURY FILE'!F512:F5513))</f>
        <v>0</v>
      </c>
      <c r="D613" s="24" cm="1">
        <f t="array" ref="D613">SUMPRODUCT(('TREASURY FILE'!B512:B5513=$D$4)*('TREASURY FILE'!D512:D5513="TURNOVER")*('TREASURY FILE'!A512:A5513=A613)*('TREASURY FILE'!F512:F5513))</f>
        <v>0</v>
      </c>
      <c r="E613" s="31">
        <f t="shared" si="29"/>
        <v>0</v>
      </c>
      <c r="G613" s="24" cm="1">
        <f t="array" ref="G613">SUMPRODUCT(('TREASURY FILE'!B512:B5513=$G$4)*('TREASURY FILE'!D512:D5513="INCOME")*('TREASURY FILE'!A512:A5513=A613)*('TREASURY FILE'!F512:F5513))</f>
        <v>0</v>
      </c>
      <c r="H613" s="24" cm="1">
        <f t="array" ref="H613">SUMPRODUCT(('TREASURY FILE'!B512:B5513=$H$4)*('TREASURY FILE'!D512:D5513="INCOME")*('TREASURY FILE'!A512:A5513=A613)*('TREASURY FILE'!F512:F5513))</f>
        <v>0</v>
      </c>
      <c r="I613" s="24" cm="1">
        <f t="array" ref="I613">SUMPRODUCT(('TREASURY FILE'!D521:D5513=$I$4)*('TREASURY FILE'!F521:F5513="INCOME")*('TREASURY FILE'!C521:C5513=C613)*('TREASURY FILE'!H521:H5513))</f>
        <v>0</v>
      </c>
      <c r="J613" s="31">
        <f t="shared" si="30"/>
        <v>0</v>
      </c>
      <c r="K613" s="33" t="e">
        <f t="shared" si="31"/>
        <v>#DIV/0!</v>
      </c>
    </row>
    <row r="614" spans="1:11" x14ac:dyDescent="0.3">
      <c r="A614" s="30">
        <v>46267</v>
      </c>
      <c r="B614" s="24" cm="1">
        <f t="array" ref="B614">SUMPRODUCT(('TREASURY FILE'!B513:B5514=$B$4)*('TREASURY FILE'!D513:D5514="TURNOVER")*('TREASURY FILE'!A513:A5514=A614)*('TREASURY FILE'!F513:F5514))</f>
        <v>0</v>
      </c>
      <c r="C614" s="24" cm="1">
        <f t="array" ref="C614">SUMPRODUCT(('TREASURY FILE'!B513:B5514=$C$4)*('TREASURY FILE'!D513:D5514="TURNOVER")*('TREASURY FILE'!A513:A5514=A614)*('TREASURY FILE'!F513:F5514))</f>
        <v>0</v>
      </c>
      <c r="D614" s="24" cm="1">
        <f t="array" ref="D614">SUMPRODUCT(('TREASURY FILE'!B513:B5514=$D$4)*('TREASURY FILE'!D513:D5514="TURNOVER")*('TREASURY FILE'!A513:A5514=A614)*('TREASURY FILE'!F513:F5514))</f>
        <v>0</v>
      </c>
      <c r="E614" s="31">
        <f t="shared" si="29"/>
        <v>0</v>
      </c>
      <c r="G614" s="24" cm="1">
        <f t="array" ref="G614">SUMPRODUCT(('TREASURY FILE'!B513:B5514=$G$4)*('TREASURY FILE'!D513:D5514="INCOME")*('TREASURY FILE'!A513:A5514=A614)*('TREASURY FILE'!F513:F5514))</f>
        <v>0</v>
      </c>
      <c r="H614" s="24" cm="1">
        <f t="array" ref="H614">SUMPRODUCT(('TREASURY FILE'!B513:B5514=$H$4)*('TREASURY FILE'!D513:D5514="INCOME")*('TREASURY FILE'!A513:A5514=A614)*('TREASURY FILE'!F513:F5514))</f>
        <v>0</v>
      </c>
      <c r="I614" s="24" cm="1">
        <f t="array" ref="I614">SUMPRODUCT(('TREASURY FILE'!D522:D5514=$I$4)*('TREASURY FILE'!F522:F5514="INCOME")*('TREASURY FILE'!C522:C5514=C614)*('TREASURY FILE'!H522:H5514))</f>
        <v>0</v>
      </c>
      <c r="J614" s="31">
        <f t="shared" si="30"/>
        <v>0</v>
      </c>
      <c r="K614" s="33" t="e">
        <f t="shared" si="31"/>
        <v>#DIV/0!</v>
      </c>
    </row>
    <row r="615" spans="1:11" x14ac:dyDescent="0.3">
      <c r="A615" s="30">
        <v>46268</v>
      </c>
      <c r="B615" s="24" cm="1">
        <f t="array" ref="B615">SUMPRODUCT(('TREASURY FILE'!B514:B5515=$B$4)*('TREASURY FILE'!D514:D5515="TURNOVER")*('TREASURY FILE'!A514:A5515=A615)*('TREASURY FILE'!F514:F5515))</f>
        <v>0</v>
      </c>
      <c r="C615" s="24" cm="1">
        <f t="array" ref="C615">SUMPRODUCT(('TREASURY FILE'!B514:B5515=$C$4)*('TREASURY FILE'!D514:D5515="TURNOVER")*('TREASURY FILE'!A514:A5515=A615)*('TREASURY FILE'!F514:F5515))</f>
        <v>0</v>
      </c>
      <c r="D615" s="24" cm="1">
        <f t="array" ref="D615">SUMPRODUCT(('TREASURY FILE'!B514:B5515=$D$4)*('TREASURY FILE'!D514:D5515="TURNOVER")*('TREASURY FILE'!A514:A5515=A615)*('TREASURY FILE'!F514:F5515))</f>
        <v>0</v>
      </c>
      <c r="E615" s="31">
        <f t="shared" si="29"/>
        <v>0</v>
      </c>
      <c r="G615" s="24" cm="1">
        <f t="array" ref="G615">SUMPRODUCT(('TREASURY FILE'!B514:B5515=$G$4)*('TREASURY FILE'!D514:D5515="INCOME")*('TREASURY FILE'!A514:A5515=A615)*('TREASURY FILE'!F514:F5515))</f>
        <v>0</v>
      </c>
      <c r="H615" s="24" cm="1">
        <f t="array" ref="H615">SUMPRODUCT(('TREASURY FILE'!B514:B5515=$H$4)*('TREASURY FILE'!D514:D5515="INCOME")*('TREASURY FILE'!A514:A5515=A615)*('TREASURY FILE'!F514:F5515))</f>
        <v>0</v>
      </c>
      <c r="I615" s="24" cm="1">
        <f t="array" ref="I615">SUMPRODUCT(('TREASURY FILE'!D523:D5515=$I$4)*('TREASURY FILE'!F523:F5515="INCOME")*('TREASURY FILE'!C523:C5515=C615)*('TREASURY FILE'!H523:H5515))</f>
        <v>0</v>
      </c>
      <c r="J615" s="31">
        <f t="shared" si="30"/>
        <v>0</v>
      </c>
      <c r="K615" s="33" t="e">
        <f t="shared" si="31"/>
        <v>#DIV/0!</v>
      </c>
    </row>
    <row r="616" spans="1:11" x14ac:dyDescent="0.3">
      <c r="A616" s="30">
        <v>46269</v>
      </c>
      <c r="B616" s="24" cm="1">
        <f t="array" ref="B616">SUMPRODUCT(('TREASURY FILE'!B515:B5516=$B$4)*('TREASURY FILE'!D515:D5516="TURNOVER")*('TREASURY FILE'!A515:A5516=A616)*('TREASURY FILE'!F515:F5516))</f>
        <v>0</v>
      </c>
      <c r="C616" s="24" cm="1">
        <f t="array" ref="C616">SUMPRODUCT(('TREASURY FILE'!B515:B5516=$C$4)*('TREASURY FILE'!D515:D5516="TURNOVER")*('TREASURY FILE'!A515:A5516=A616)*('TREASURY FILE'!F515:F5516))</f>
        <v>0</v>
      </c>
      <c r="D616" s="24" cm="1">
        <f t="array" ref="D616">SUMPRODUCT(('TREASURY FILE'!B515:B5516=$D$4)*('TREASURY FILE'!D515:D5516="TURNOVER")*('TREASURY FILE'!A515:A5516=A616)*('TREASURY FILE'!F515:F5516))</f>
        <v>0</v>
      </c>
      <c r="E616" s="31">
        <f t="shared" si="29"/>
        <v>0</v>
      </c>
      <c r="G616" s="24" cm="1">
        <f t="array" ref="G616">SUMPRODUCT(('TREASURY FILE'!B515:B5516=$G$4)*('TREASURY FILE'!D515:D5516="INCOME")*('TREASURY FILE'!A515:A5516=A616)*('TREASURY FILE'!F515:F5516))</f>
        <v>0</v>
      </c>
      <c r="H616" s="24" cm="1">
        <f t="array" ref="H616">SUMPRODUCT(('TREASURY FILE'!B515:B5516=$H$4)*('TREASURY FILE'!D515:D5516="INCOME")*('TREASURY FILE'!A515:A5516=A616)*('TREASURY FILE'!F515:F5516))</f>
        <v>0</v>
      </c>
      <c r="I616" s="24" cm="1">
        <f t="array" ref="I616">SUMPRODUCT(('TREASURY FILE'!D524:D5516=$I$4)*('TREASURY FILE'!F524:F5516="INCOME")*('TREASURY FILE'!C524:C5516=C616)*('TREASURY FILE'!H524:H5516))</f>
        <v>0</v>
      </c>
      <c r="J616" s="31">
        <f t="shared" si="30"/>
        <v>0</v>
      </c>
      <c r="K616" s="33" t="e">
        <f t="shared" si="31"/>
        <v>#DIV/0!</v>
      </c>
    </row>
    <row r="617" spans="1:11" x14ac:dyDescent="0.3">
      <c r="A617" s="30">
        <v>46270</v>
      </c>
      <c r="B617" s="24" cm="1">
        <f t="array" ref="B617">SUMPRODUCT(('TREASURY FILE'!B516:B5517=$B$4)*('TREASURY FILE'!D516:D5517="TURNOVER")*('TREASURY FILE'!A516:A5517=A617)*('TREASURY FILE'!F516:F5517))</f>
        <v>0</v>
      </c>
      <c r="C617" s="24" cm="1">
        <f t="array" ref="C617">SUMPRODUCT(('TREASURY FILE'!B516:B5517=$C$4)*('TREASURY FILE'!D516:D5517="TURNOVER")*('TREASURY FILE'!A516:A5517=A617)*('TREASURY FILE'!F516:F5517))</f>
        <v>0</v>
      </c>
      <c r="D617" s="24" cm="1">
        <f t="array" ref="D617">SUMPRODUCT(('TREASURY FILE'!B516:B5517=$D$4)*('TREASURY FILE'!D516:D5517="TURNOVER")*('TREASURY FILE'!A516:A5517=A617)*('TREASURY FILE'!F516:F5517))</f>
        <v>0</v>
      </c>
      <c r="E617" s="31">
        <f t="shared" si="29"/>
        <v>0</v>
      </c>
      <c r="G617" s="24" cm="1">
        <f t="array" ref="G617">SUMPRODUCT(('TREASURY FILE'!B516:B5517=$G$4)*('TREASURY FILE'!D516:D5517="INCOME")*('TREASURY FILE'!A516:A5517=A617)*('TREASURY FILE'!F516:F5517))</f>
        <v>0</v>
      </c>
      <c r="H617" s="24" cm="1">
        <f t="array" ref="H617">SUMPRODUCT(('TREASURY FILE'!B516:B5517=$H$4)*('TREASURY FILE'!D516:D5517="INCOME")*('TREASURY FILE'!A516:A5517=A617)*('TREASURY FILE'!F516:F5517))</f>
        <v>0</v>
      </c>
      <c r="I617" s="24" cm="1">
        <f t="array" ref="I617">SUMPRODUCT(('TREASURY FILE'!D525:D5517=$I$4)*('TREASURY FILE'!F525:F5517="INCOME")*('TREASURY FILE'!C525:C5517=C617)*('TREASURY FILE'!H525:H5517))</f>
        <v>0</v>
      </c>
      <c r="J617" s="31">
        <f t="shared" si="30"/>
        <v>0</v>
      </c>
      <c r="K617" s="33" t="e">
        <f t="shared" si="31"/>
        <v>#DIV/0!</v>
      </c>
    </row>
    <row r="618" spans="1:11" x14ac:dyDescent="0.3">
      <c r="A618" s="30">
        <v>46271</v>
      </c>
      <c r="B618" s="24" cm="1">
        <f t="array" ref="B618">SUMPRODUCT(('TREASURY FILE'!B517:B5518=$B$4)*('TREASURY FILE'!D517:D5518="TURNOVER")*('TREASURY FILE'!A517:A5518=A618)*('TREASURY FILE'!F517:F5518))</f>
        <v>0</v>
      </c>
      <c r="C618" s="24" cm="1">
        <f t="array" ref="C618">SUMPRODUCT(('TREASURY FILE'!B517:B5518=$C$4)*('TREASURY FILE'!D517:D5518="TURNOVER")*('TREASURY FILE'!A517:A5518=A618)*('TREASURY FILE'!F517:F5518))</f>
        <v>0</v>
      </c>
      <c r="D618" s="24" cm="1">
        <f t="array" ref="D618">SUMPRODUCT(('TREASURY FILE'!B517:B5518=$D$4)*('TREASURY FILE'!D517:D5518="TURNOVER")*('TREASURY FILE'!A517:A5518=A618)*('TREASURY FILE'!F517:F5518))</f>
        <v>0</v>
      </c>
      <c r="E618" s="31">
        <f t="shared" si="29"/>
        <v>0</v>
      </c>
      <c r="G618" s="24" cm="1">
        <f t="array" ref="G618">SUMPRODUCT(('TREASURY FILE'!B517:B5518=$G$4)*('TREASURY FILE'!D517:D5518="INCOME")*('TREASURY FILE'!A517:A5518=A618)*('TREASURY FILE'!F517:F5518))</f>
        <v>0</v>
      </c>
      <c r="H618" s="24" cm="1">
        <f t="array" ref="H618">SUMPRODUCT(('TREASURY FILE'!B517:B5518=$H$4)*('TREASURY FILE'!D517:D5518="INCOME")*('TREASURY FILE'!A517:A5518=A618)*('TREASURY FILE'!F517:F5518))</f>
        <v>0</v>
      </c>
      <c r="I618" s="24" cm="1">
        <f t="array" ref="I618">SUMPRODUCT(('TREASURY FILE'!D526:D5518=$I$4)*('TREASURY FILE'!F526:F5518="INCOME")*('TREASURY FILE'!C526:C5518=C618)*('TREASURY FILE'!H526:H5518))</f>
        <v>0</v>
      </c>
      <c r="J618" s="31">
        <f t="shared" si="30"/>
        <v>0</v>
      </c>
      <c r="K618" s="33" t="e">
        <f t="shared" si="31"/>
        <v>#DIV/0!</v>
      </c>
    </row>
    <row r="619" spans="1:11" x14ac:dyDescent="0.3">
      <c r="A619" s="30">
        <v>46272</v>
      </c>
      <c r="B619" s="24" cm="1">
        <f t="array" ref="B619">SUMPRODUCT(('TREASURY FILE'!B518:B5519=$B$4)*('TREASURY FILE'!D518:D5519="TURNOVER")*('TREASURY FILE'!A518:A5519=A619)*('TREASURY FILE'!F518:F5519))</f>
        <v>0</v>
      </c>
      <c r="C619" s="24" cm="1">
        <f t="array" ref="C619">SUMPRODUCT(('TREASURY FILE'!B518:B5519=$C$4)*('TREASURY FILE'!D518:D5519="TURNOVER")*('TREASURY FILE'!A518:A5519=A619)*('TREASURY FILE'!F518:F5519))</f>
        <v>0</v>
      </c>
      <c r="D619" s="24" cm="1">
        <f t="array" ref="D619">SUMPRODUCT(('TREASURY FILE'!B518:B5519=$D$4)*('TREASURY FILE'!D518:D5519="TURNOVER")*('TREASURY FILE'!A518:A5519=A619)*('TREASURY FILE'!F518:F5519))</f>
        <v>0</v>
      </c>
      <c r="E619" s="31">
        <f t="shared" si="29"/>
        <v>0</v>
      </c>
      <c r="G619" s="24" cm="1">
        <f t="array" ref="G619">SUMPRODUCT(('TREASURY FILE'!B518:B5519=$G$4)*('TREASURY FILE'!D518:D5519="INCOME")*('TREASURY FILE'!A518:A5519=A619)*('TREASURY FILE'!F518:F5519))</f>
        <v>0</v>
      </c>
      <c r="H619" s="24" cm="1">
        <f t="array" ref="H619">SUMPRODUCT(('TREASURY FILE'!B518:B5519=$H$4)*('TREASURY FILE'!D518:D5519="INCOME")*('TREASURY FILE'!A518:A5519=A619)*('TREASURY FILE'!F518:F5519))</f>
        <v>0</v>
      </c>
      <c r="I619" s="24" cm="1">
        <f t="array" ref="I619">SUMPRODUCT(('TREASURY FILE'!D527:D5519=$I$4)*('TREASURY FILE'!F527:F5519="INCOME")*('TREASURY FILE'!C527:C5519=C619)*('TREASURY FILE'!H527:H5519))</f>
        <v>0</v>
      </c>
      <c r="J619" s="31">
        <f t="shared" si="30"/>
        <v>0</v>
      </c>
      <c r="K619" s="33" t="e">
        <f t="shared" si="31"/>
        <v>#DIV/0!</v>
      </c>
    </row>
    <row r="620" spans="1:11" x14ac:dyDescent="0.3">
      <c r="A620" s="30">
        <v>46273</v>
      </c>
      <c r="B620" s="24" cm="1">
        <f t="array" ref="B620">SUMPRODUCT(('TREASURY FILE'!B519:B5520=$B$4)*('TREASURY FILE'!D519:D5520="TURNOVER")*('TREASURY FILE'!A519:A5520=A620)*('TREASURY FILE'!F519:F5520))</f>
        <v>0</v>
      </c>
      <c r="C620" s="24" cm="1">
        <f t="array" ref="C620">SUMPRODUCT(('TREASURY FILE'!B519:B5520=$C$4)*('TREASURY FILE'!D519:D5520="TURNOVER")*('TREASURY FILE'!A519:A5520=A620)*('TREASURY FILE'!F519:F5520))</f>
        <v>0</v>
      </c>
      <c r="D620" s="24" cm="1">
        <f t="array" ref="D620">SUMPRODUCT(('TREASURY FILE'!B519:B5520=$D$4)*('TREASURY FILE'!D519:D5520="TURNOVER")*('TREASURY FILE'!A519:A5520=A620)*('TREASURY FILE'!F519:F5520))</f>
        <v>0</v>
      </c>
      <c r="E620" s="31">
        <f t="shared" si="29"/>
        <v>0</v>
      </c>
      <c r="G620" s="24" cm="1">
        <f t="array" ref="G620">SUMPRODUCT(('TREASURY FILE'!B519:B5520=$G$4)*('TREASURY FILE'!D519:D5520="INCOME")*('TREASURY FILE'!A519:A5520=A620)*('TREASURY FILE'!F519:F5520))</f>
        <v>0</v>
      </c>
      <c r="H620" s="24" cm="1">
        <f t="array" ref="H620">SUMPRODUCT(('TREASURY FILE'!B519:B5520=$H$4)*('TREASURY FILE'!D519:D5520="INCOME")*('TREASURY FILE'!A519:A5520=A620)*('TREASURY FILE'!F519:F5520))</f>
        <v>0</v>
      </c>
      <c r="I620" s="24" cm="1">
        <f t="array" ref="I620">SUMPRODUCT(('TREASURY FILE'!D528:D5520=$I$4)*('TREASURY FILE'!F528:F5520="INCOME")*('TREASURY FILE'!C528:C5520=C620)*('TREASURY FILE'!H528:H5520))</f>
        <v>0</v>
      </c>
      <c r="J620" s="31">
        <f t="shared" si="30"/>
        <v>0</v>
      </c>
      <c r="K620" s="33" t="e">
        <f t="shared" si="31"/>
        <v>#DIV/0!</v>
      </c>
    </row>
    <row r="621" spans="1:11" x14ac:dyDescent="0.3">
      <c r="A621" s="30">
        <v>46274</v>
      </c>
      <c r="B621" s="24" cm="1">
        <f t="array" ref="B621">SUMPRODUCT(('TREASURY FILE'!B520:B5521=$B$4)*('TREASURY FILE'!D520:D5521="TURNOVER")*('TREASURY FILE'!A520:A5521=A621)*('TREASURY FILE'!F520:F5521))</f>
        <v>0</v>
      </c>
      <c r="C621" s="24" cm="1">
        <f t="array" ref="C621">SUMPRODUCT(('TREASURY FILE'!B520:B5521=$C$4)*('TREASURY FILE'!D520:D5521="TURNOVER")*('TREASURY FILE'!A520:A5521=A621)*('TREASURY FILE'!F520:F5521))</f>
        <v>0</v>
      </c>
      <c r="D621" s="24" cm="1">
        <f t="array" ref="D621">SUMPRODUCT(('TREASURY FILE'!B520:B5521=$D$4)*('TREASURY FILE'!D520:D5521="TURNOVER")*('TREASURY FILE'!A520:A5521=A621)*('TREASURY FILE'!F520:F5521))</f>
        <v>0</v>
      </c>
      <c r="E621" s="31">
        <f t="shared" si="29"/>
        <v>0</v>
      </c>
      <c r="G621" s="24" cm="1">
        <f t="array" ref="G621">SUMPRODUCT(('TREASURY FILE'!B520:B5521=$G$4)*('TREASURY FILE'!D520:D5521="INCOME")*('TREASURY FILE'!A520:A5521=A621)*('TREASURY FILE'!F520:F5521))</f>
        <v>0</v>
      </c>
      <c r="H621" s="24" cm="1">
        <f t="array" ref="H621">SUMPRODUCT(('TREASURY FILE'!B520:B5521=$H$4)*('TREASURY FILE'!D520:D5521="INCOME")*('TREASURY FILE'!A520:A5521=A621)*('TREASURY FILE'!F520:F5521))</f>
        <v>0</v>
      </c>
      <c r="I621" s="24" cm="1">
        <f t="array" ref="I621">SUMPRODUCT(('TREASURY FILE'!D529:D5521=$I$4)*('TREASURY FILE'!F529:F5521="INCOME")*('TREASURY FILE'!C529:C5521=C621)*('TREASURY FILE'!H529:H5521))</f>
        <v>0</v>
      </c>
      <c r="J621" s="31">
        <f t="shared" si="30"/>
        <v>0</v>
      </c>
      <c r="K621" s="33" t="e">
        <f t="shared" si="31"/>
        <v>#DIV/0!</v>
      </c>
    </row>
    <row r="622" spans="1:11" x14ac:dyDescent="0.3">
      <c r="A622" s="30">
        <v>46275</v>
      </c>
      <c r="B622" s="24" cm="1">
        <f t="array" ref="B622">SUMPRODUCT(('TREASURY FILE'!B521:B5522=$B$4)*('TREASURY FILE'!D521:D5522="TURNOVER")*('TREASURY FILE'!A521:A5522=A622)*('TREASURY FILE'!F521:F5522))</f>
        <v>0</v>
      </c>
      <c r="C622" s="24" cm="1">
        <f t="array" ref="C622">SUMPRODUCT(('TREASURY FILE'!B521:B5522=$C$4)*('TREASURY FILE'!D521:D5522="TURNOVER")*('TREASURY FILE'!A521:A5522=A622)*('TREASURY FILE'!F521:F5522))</f>
        <v>0</v>
      </c>
      <c r="D622" s="24" cm="1">
        <f t="array" ref="D622">SUMPRODUCT(('TREASURY FILE'!B521:B5522=$D$4)*('TREASURY FILE'!D521:D5522="TURNOVER")*('TREASURY FILE'!A521:A5522=A622)*('TREASURY FILE'!F521:F5522))</f>
        <v>0</v>
      </c>
      <c r="E622" s="31">
        <f t="shared" si="29"/>
        <v>0</v>
      </c>
      <c r="G622" s="24" cm="1">
        <f t="array" ref="G622">SUMPRODUCT(('TREASURY FILE'!B521:B5522=$G$4)*('TREASURY FILE'!D521:D5522="INCOME")*('TREASURY FILE'!A521:A5522=A622)*('TREASURY FILE'!F521:F5522))</f>
        <v>0</v>
      </c>
      <c r="H622" s="24" cm="1">
        <f t="array" ref="H622">SUMPRODUCT(('TREASURY FILE'!B521:B5522=$H$4)*('TREASURY FILE'!D521:D5522="INCOME")*('TREASURY FILE'!A521:A5522=A622)*('TREASURY FILE'!F521:F5522))</f>
        <v>0</v>
      </c>
      <c r="I622" s="24" cm="1">
        <f t="array" ref="I622">SUMPRODUCT(('TREASURY FILE'!D530:D5522=$I$4)*('TREASURY FILE'!F530:F5522="INCOME")*('TREASURY FILE'!C530:C5522=C622)*('TREASURY FILE'!H530:H5522))</f>
        <v>0</v>
      </c>
      <c r="J622" s="31">
        <f t="shared" si="30"/>
        <v>0</v>
      </c>
      <c r="K622" s="33" t="e">
        <f t="shared" si="31"/>
        <v>#DIV/0!</v>
      </c>
    </row>
    <row r="623" spans="1:11" x14ac:dyDescent="0.3">
      <c r="A623" s="30">
        <v>46276</v>
      </c>
      <c r="B623" s="24" cm="1">
        <f t="array" ref="B623">SUMPRODUCT(('TREASURY FILE'!B522:B5523=$B$4)*('TREASURY FILE'!D522:D5523="TURNOVER")*('TREASURY FILE'!A522:A5523=A623)*('TREASURY FILE'!F522:F5523))</f>
        <v>0</v>
      </c>
      <c r="C623" s="24" cm="1">
        <f t="array" ref="C623">SUMPRODUCT(('TREASURY FILE'!B522:B5523=$C$4)*('TREASURY FILE'!D522:D5523="TURNOVER")*('TREASURY FILE'!A522:A5523=A623)*('TREASURY FILE'!F522:F5523))</f>
        <v>0</v>
      </c>
      <c r="D623" s="24" cm="1">
        <f t="array" ref="D623">SUMPRODUCT(('TREASURY FILE'!B522:B5523=$D$4)*('TREASURY FILE'!D522:D5523="TURNOVER")*('TREASURY FILE'!A522:A5523=A623)*('TREASURY FILE'!F522:F5523))</f>
        <v>0</v>
      </c>
      <c r="E623" s="31">
        <f t="shared" si="29"/>
        <v>0</v>
      </c>
      <c r="G623" s="24" cm="1">
        <f t="array" ref="G623">SUMPRODUCT(('TREASURY FILE'!B522:B5523=$G$4)*('TREASURY FILE'!D522:D5523="INCOME")*('TREASURY FILE'!A522:A5523=A623)*('TREASURY FILE'!F522:F5523))</f>
        <v>0</v>
      </c>
      <c r="H623" s="24" cm="1">
        <f t="array" ref="H623">SUMPRODUCT(('TREASURY FILE'!B522:B5523=$H$4)*('TREASURY FILE'!D522:D5523="INCOME")*('TREASURY FILE'!A522:A5523=A623)*('TREASURY FILE'!F522:F5523))</f>
        <v>0</v>
      </c>
      <c r="I623" s="24" cm="1">
        <f t="array" ref="I623">SUMPRODUCT(('TREASURY FILE'!D531:D5523=$I$4)*('TREASURY FILE'!F531:F5523="INCOME")*('TREASURY FILE'!C531:C5523=C623)*('TREASURY FILE'!H531:H5523))</f>
        <v>0</v>
      </c>
      <c r="J623" s="31">
        <f t="shared" si="30"/>
        <v>0</v>
      </c>
      <c r="K623" s="33" t="e">
        <f t="shared" si="31"/>
        <v>#DIV/0!</v>
      </c>
    </row>
    <row r="624" spans="1:11" x14ac:dyDescent="0.3">
      <c r="A624" s="30">
        <v>46277</v>
      </c>
      <c r="B624" s="24" cm="1">
        <f t="array" ref="B624">SUMPRODUCT(('TREASURY FILE'!B523:B5524=$B$4)*('TREASURY FILE'!D523:D5524="TURNOVER")*('TREASURY FILE'!A523:A5524=A624)*('TREASURY FILE'!F523:F5524))</f>
        <v>0</v>
      </c>
      <c r="C624" s="24" cm="1">
        <f t="array" ref="C624">SUMPRODUCT(('TREASURY FILE'!B523:B5524=$C$4)*('TREASURY FILE'!D523:D5524="TURNOVER")*('TREASURY FILE'!A523:A5524=A624)*('TREASURY FILE'!F523:F5524))</f>
        <v>0</v>
      </c>
      <c r="D624" s="24" cm="1">
        <f t="array" ref="D624">SUMPRODUCT(('TREASURY FILE'!B523:B5524=$D$4)*('TREASURY FILE'!D523:D5524="TURNOVER")*('TREASURY FILE'!A523:A5524=A624)*('TREASURY FILE'!F523:F5524))</f>
        <v>0</v>
      </c>
      <c r="E624" s="31">
        <f t="shared" si="29"/>
        <v>0</v>
      </c>
      <c r="G624" s="24" cm="1">
        <f t="array" ref="G624">SUMPRODUCT(('TREASURY FILE'!B523:B5524=$G$4)*('TREASURY FILE'!D523:D5524="INCOME")*('TREASURY FILE'!A523:A5524=A624)*('TREASURY FILE'!F523:F5524))</f>
        <v>0</v>
      </c>
      <c r="H624" s="24" cm="1">
        <f t="array" ref="H624">SUMPRODUCT(('TREASURY FILE'!B523:B5524=$H$4)*('TREASURY FILE'!D523:D5524="INCOME")*('TREASURY FILE'!A523:A5524=A624)*('TREASURY FILE'!F523:F5524))</f>
        <v>0</v>
      </c>
      <c r="I624" s="24" cm="1">
        <f t="array" ref="I624">SUMPRODUCT(('TREASURY FILE'!D532:D5524=$I$4)*('TREASURY FILE'!F532:F5524="INCOME")*('TREASURY FILE'!C532:C5524=C624)*('TREASURY FILE'!H532:H5524))</f>
        <v>0</v>
      </c>
      <c r="J624" s="31">
        <f t="shared" si="30"/>
        <v>0</v>
      </c>
      <c r="K624" s="33" t="e">
        <f t="shared" si="31"/>
        <v>#DIV/0!</v>
      </c>
    </row>
    <row r="625" spans="1:11" x14ac:dyDescent="0.3">
      <c r="A625" s="30">
        <v>46278</v>
      </c>
      <c r="B625" s="24" cm="1">
        <f t="array" ref="B625">SUMPRODUCT(('TREASURY FILE'!B524:B5525=$B$4)*('TREASURY FILE'!D524:D5525="TURNOVER")*('TREASURY FILE'!A524:A5525=A625)*('TREASURY FILE'!F524:F5525))</f>
        <v>0</v>
      </c>
      <c r="C625" s="24" cm="1">
        <f t="array" ref="C625">SUMPRODUCT(('TREASURY FILE'!B524:B5525=$C$4)*('TREASURY FILE'!D524:D5525="TURNOVER")*('TREASURY FILE'!A524:A5525=A625)*('TREASURY FILE'!F524:F5525))</f>
        <v>0</v>
      </c>
      <c r="D625" s="24" cm="1">
        <f t="array" ref="D625">SUMPRODUCT(('TREASURY FILE'!B524:B5525=$D$4)*('TREASURY FILE'!D524:D5525="TURNOVER")*('TREASURY FILE'!A524:A5525=A625)*('TREASURY FILE'!F524:F5525))</f>
        <v>0</v>
      </c>
      <c r="E625" s="31">
        <f t="shared" si="29"/>
        <v>0</v>
      </c>
      <c r="G625" s="24" cm="1">
        <f t="array" ref="G625">SUMPRODUCT(('TREASURY FILE'!B524:B5525=$G$4)*('TREASURY FILE'!D524:D5525="INCOME")*('TREASURY FILE'!A524:A5525=A625)*('TREASURY FILE'!F524:F5525))</f>
        <v>0</v>
      </c>
      <c r="H625" s="24" cm="1">
        <f t="array" ref="H625">SUMPRODUCT(('TREASURY FILE'!B524:B5525=$H$4)*('TREASURY FILE'!D524:D5525="INCOME")*('TREASURY FILE'!A524:A5525=A625)*('TREASURY FILE'!F524:F5525))</f>
        <v>0</v>
      </c>
      <c r="I625" s="24" cm="1">
        <f t="array" ref="I625">SUMPRODUCT(('TREASURY FILE'!D533:D5525=$I$4)*('TREASURY FILE'!F533:F5525="INCOME")*('TREASURY FILE'!C533:C5525=C625)*('TREASURY FILE'!H533:H5525))</f>
        <v>0</v>
      </c>
      <c r="J625" s="31">
        <f t="shared" si="30"/>
        <v>0</v>
      </c>
      <c r="K625" s="33" t="e">
        <f t="shared" si="31"/>
        <v>#DIV/0!</v>
      </c>
    </row>
    <row r="626" spans="1:11" x14ac:dyDescent="0.3">
      <c r="A626" s="30">
        <v>46279</v>
      </c>
      <c r="B626" s="24" cm="1">
        <f t="array" ref="B626">SUMPRODUCT(('TREASURY FILE'!B525:B5526=$B$4)*('TREASURY FILE'!D525:D5526="TURNOVER")*('TREASURY FILE'!A525:A5526=A626)*('TREASURY FILE'!F525:F5526))</f>
        <v>0</v>
      </c>
      <c r="C626" s="24" cm="1">
        <f t="array" ref="C626">SUMPRODUCT(('TREASURY FILE'!B525:B5526=$C$4)*('TREASURY FILE'!D525:D5526="TURNOVER")*('TREASURY FILE'!A525:A5526=A626)*('TREASURY FILE'!F525:F5526))</f>
        <v>0</v>
      </c>
      <c r="D626" s="24" cm="1">
        <f t="array" ref="D626">SUMPRODUCT(('TREASURY FILE'!B525:B5526=$D$4)*('TREASURY FILE'!D525:D5526="TURNOVER")*('TREASURY FILE'!A525:A5526=A626)*('TREASURY FILE'!F525:F5526))</f>
        <v>0</v>
      </c>
      <c r="E626" s="31">
        <f t="shared" si="29"/>
        <v>0</v>
      </c>
      <c r="G626" s="24" cm="1">
        <f t="array" ref="G626">SUMPRODUCT(('TREASURY FILE'!B525:B5526=$G$4)*('TREASURY FILE'!D525:D5526="INCOME")*('TREASURY FILE'!A525:A5526=A626)*('TREASURY FILE'!F525:F5526))</f>
        <v>0</v>
      </c>
      <c r="H626" s="24" cm="1">
        <f t="array" ref="H626">SUMPRODUCT(('TREASURY FILE'!B525:B5526=$H$4)*('TREASURY FILE'!D525:D5526="INCOME")*('TREASURY FILE'!A525:A5526=A626)*('TREASURY FILE'!F525:F5526))</f>
        <v>0</v>
      </c>
      <c r="I626" s="24" cm="1">
        <f t="array" ref="I626">SUMPRODUCT(('TREASURY FILE'!D534:D5526=$I$4)*('TREASURY FILE'!F534:F5526="INCOME")*('TREASURY FILE'!C534:C5526=C626)*('TREASURY FILE'!H534:H5526))</f>
        <v>0</v>
      </c>
      <c r="J626" s="31">
        <f t="shared" si="30"/>
        <v>0</v>
      </c>
      <c r="K626" s="33" t="e">
        <f t="shared" si="31"/>
        <v>#DIV/0!</v>
      </c>
    </row>
    <row r="627" spans="1:11" x14ac:dyDescent="0.3">
      <c r="A627" s="30">
        <v>46280</v>
      </c>
      <c r="B627" s="24" cm="1">
        <f t="array" ref="B627">SUMPRODUCT(('TREASURY FILE'!B526:B5527=$B$4)*('TREASURY FILE'!D526:D5527="TURNOVER")*('TREASURY FILE'!A526:A5527=A627)*('TREASURY FILE'!F526:F5527))</f>
        <v>0</v>
      </c>
      <c r="C627" s="24" cm="1">
        <f t="array" ref="C627">SUMPRODUCT(('TREASURY FILE'!B526:B5527=$C$4)*('TREASURY FILE'!D526:D5527="TURNOVER")*('TREASURY FILE'!A526:A5527=A627)*('TREASURY FILE'!F526:F5527))</f>
        <v>0</v>
      </c>
      <c r="D627" s="24" cm="1">
        <f t="array" ref="D627">SUMPRODUCT(('TREASURY FILE'!B526:B5527=$D$4)*('TREASURY FILE'!D526:D5527="TURNOVER")*('TREASURY FILE'!A526:A5527=A627)*('TREASURY FILE'!F526:F5527))</f>
        <v>0</v>
      </c>
      <c r="E627" s="31">
        <f t="shared" si="29"/>
        <v>0</v>
      </c>
      <c r="G627" s="24" cm="1">
        <f t="array" ref="G627">SUMPRODUCT(('TREASURY FILE'!B526:B5527=$G$4)*('TREASURY FILE'!D526:D5527="INCOME")*('TREASURY FILE'!A526:A5527=A627)*('TREASURY FILE'!F526:F5527))</f>
        <v>0</v>
      </c>
      <c r="H627" s="24" cm="1">
        <f t="array" ref="H627">SUMPRODUCT(('TREASURY FILE'!B526:B5527=$H$4)*('TREASURY FILE'!D526:D5527="INCOME")*('TREASURY FILE'!A526:A5527=A627)*('TREASURY FILE'!F526:F5527))</f>
        <v>0</v>
      </c>
      <c r="I627" s="24" cm="1">
        <f t="array" ref="I627">SUMPRODUCT(('TREASURY FILE'!D535:D5527=$I$4)*('TREASURY FILE'!F535:F5527="INCOME")*('TREASURY FILE'!C535:C5527=C627)*('TREASURY FILE'!H535:H5527))</f>
        <v>0</v>
      </c>
      <c r="J627" s="31">
        <f t="shared" si="30"/>
        <v>0</v>
      </c>
      <c r="K627" s="33" t="e">
        <f t="shared" si="31"/>
        <v>#DIV/0!</v>
      </c>
    </row>
    <row r="628" spans="1:11" x14ac:dyDescent="0.3">
      <c r="A628" s="30">
        <v>46281</v>
      </c>
      <c r="B628" s="24" cm="1">
        <f t="array" ref="B628">SUMPRODUCT(('TREASURY FILE'!B527:B5528=$B$4)*('TREASURY FILE'!D527:D5528="TURNOVER")*('TREASURY FILE'!A527:A5528=A628)*('TREASURY FILE'!F527:F5528))</f>
        <v>0</v>
      </c>
      <c r="C628" s="24" cm="1">
        <f t="array" ref="C628">SUMPRODUCT(('TREASURY FILE'!B527:B5528=$C$4)*('TREASURY FILE'!D527:D5528="TURNOVER")*('TREASURY FILE'!A527:A5528=A628)*('TREASURY FILE'!F527:F5528))</f>
        <v>0</v>
      </c>
      <c r="D628" s="24" cm="1">
        <f t="array" ref="D628">SUMPRODUCT(('TREASURY FILE'!B527:B5528=$D$4)*('TREASURY FILE'!D527:D5528="TURNOVER")*('TREASURY FILE'!A527:A5528=A628)*('TREASURY FILE'!F527:F5528))</f>
        <v>0</v>
      </c>
      <c r="E628" s="31">
        <f t="shared" si="29"/>
        <v>0</v>
      </c>
      <c r="G628" s="24" cm="1">
        <f t="array" ref="G628">SUMPRODUCT(('TREASURY FILE'!B527:B5528=$G$4)*('TREASURY FILE'!D527:D5528="INCOME")*('TREASURY FILE'!A527:A5528=A628)*('TREASURY FILE'!F527:F5528))</f>
        <v>0</v>
      </c>
      <c r="H628" s="24" cm="1">
        <f t="array" ref="H628">SUMPRODUCT(('TREASURY FILE'!B527:B5528=$H$4)*('TREASURY FILE'!D527:D5528="INCOME")*('TREASURY FILE'!A527:A5528=A628)*('TREASURY FILE'!F527:F5528))</f>
        <v>0</v>
      </c>
      <c r="I628" s="24" cm="1">
        <f t="array" ref="I628">SUMPRODUCT(('TREASURY FILE'!D536:D5528=$I$4)*('TREASURY FILE'!F536:F5528="INCOME")*('TREASURY FILE'!C536:C5528=C628)*('TREASURY FILE'!H536:H5528))</f>
        <v>0</v>
      </c>
      <c r="J628" s="31">
        <f t="shared" si="30"/>
        <v>0</v>
      </c>
      <c r="K628" s="33" t="e">
        <f t="shared" si="31"/>
        <v>#DIV/0!</v>
      </c>
    </row>
    <row r="629" spans="1:11" x14ac:dyDescent="0.3">
      <c r="A629" s="30">
        <v>46282</v>
      </c>
      <c r="B629" s="24" cm="1">
        <f t="array" ref="B629">SUMPRODUCT(('TREASURY FILE'!B528:B5529=$B$4)*('TREASURY FILE'!D528:D5529="TURNOVER")*('TREASURY FILE'!A528:A5529=A629)*('TREASURY FILE'!F528:F5529))</f>
        <v>0</v>
      </c>
      <c r="C629" s="24" cm="1">
        <f t="array" ref="C629">SUMPRODUCT(('TREASURY FILE'!B528:B5529=$C$4)*('TREASURY FILE'!D528:D5529="TURNOVER")*('TREASURY FILE'!A528:A5529=A629)*('TREASURY FILE'!F528:F5529))</f>
        <v>0</v>
      </c>
      <c r="D629" s="24" cm="1">
        <f t="array" ref="D629">SUMPRODUCT(('TREASURY FILE'!B528:B5529=$D$4)*('TREASURY FILE'!D528:D5529="TURNOVER")*('TREASURY FILE'!A528:A5529=A629)*('TREASURY FILE'!F528:F5529))</f>
        <v>0</v>
      </c>
      <c r="E629" s="31">
        <f t="shared" si="29"/>
        <v>0</v>
      </c>
      <c r="G629" s="24" cm="1">
        <f t="array" ref="G629">SUMPRODUCT(('TREASURY FILE'!B528:B5529=$G$4)*('TREASURY FILE'!D528:D5529="INCOME")*('TREASURY FILE'!A528:A5529=A629)*('TREASURY FILE'!F528:F5529))</f>
        <v>0</v>
      </c>
      <c r="H629" s="24" cm="1">
        <f t="array" ref="H629">SUMPRODUCT(('TREASURY FILE'!B528:B5529=$H$4)*('TREASURY FILE'!D528:D5529="INCOME")*('TREASURY FILE'!A528:A5529=A629)*('TREASURY FILE'!F528:F5529))</f>
        <v>0</v>
      </c>
      <c r="I629" s="24" cm="1">
        <f t="array" ref="I629">SUMPRODUCT(('TREASURY FILE'!D537:D5529=$I$4)*('TREASURY FILE'!F537:F5529="INCOME")*('TREASURY FILE'!C537:C5529=C629)*('TREASURY FILE'!H537:H5529))</f>
        <v>0</v>
      </c>
      <c r="J629" s="31">
        <f t="shared" si="30"/>
        <v>0</v>
      </c>
      <c r="K629" s="33" t="e">
        <f t="shared" si="31"/>
        <v>#DIV/0!</v>
      </c>
    </row>
    <row r="630" spans="1:11" x14ac:dyDescent="0.3">
      <c r="A630" s="30">
        <v>46283</v>
      </c>
      <c r="B630" s="24" cm="1">
        <f t="array" ref="B630">SUMPRODUCT(('TREASURY FILE'!B529:B5530=$B$4)*('TREASURY FILE'!D529:D5530="TURNOVER")*('TREASURY FILE'!A529:A5530=A630)*('TREASURY FILE'!F529:F5530))</f>
        <v>0</v>
      </c>
      <c r="C630" s="24" cm="1">
        <f t="array" ref="C630">SUMPRODUCT(('TREASURY FILE'!B529:B5530=$C$4)*('TREASURY FILE'!D529:D5530="TURNOVER")*('TREASURY FILE'!A529:A5530=A630)*('TREASURY FILE'!F529:F5530))</f>
        <v>0</v>
      </c>
      <c r="D630" s="24" cm="1">
        <f t="array" ref="D630">SUMPRODUCT(('TREASURY FILE'!B529:B5530=$D$4)*('TREASURY FILE'!D529:D5530="TURNOVER")*('TREASURY FILE'!A529:A5530=A630)*('TREASURY FILE'!F529:F5530))</f>
        <v>0</v>
      </c>
      <c r="E630" s="31">
        <f t="shared" si="29"/>
        <v>0</v>
      </c>
      <c r="G630" s="24" cm="1">
        <f t="array" ref="G630">SUMPRODUCT(('TREASURY FILE'!B529:B5530=$G$4)*('TREASURY FILE'!D529:D5530="INCOME")*('TREASURY FILE'!A529:A5530=A630)*('TREASURY FILE'!F529:F5530))</f>
        <v>0</v>
      </c>
      <c r="H630" s="24" cm="1">
        <f t="array" ref="H630">SUMPRODUCT(('TREASURY FILE'!B529:B5530=$H$4)*('TREASURY FILE'!D529:D5530="INCOME")*('TREASURY FILE'!A529:A5530=A630)*('TREASURY FILE'!F529:F5530))</f>
        <v>0</v>
      </c>
      <c r="I630" s="24" cm="1">
        <f t="array" ref="I630">SUMPRODUCT(('TREASURY FILE'!D538:D5530=$I$4)*('TREASURY FILE'!F538:F5530="INCOME")*('TREASURY FILE'!C538:C5530=C630)*('TREASURY FILE'!H538:H5530))</f>
        <v>0</v>
      </c>
      <c r="J630" s="31">
        <f t="shared" si="30"/>
        <v>0</v>
      </c>
      <c r="K630" s="33" t="e">
        <f t="shared" si="31"/>
        <v>#DIV/0!</v>
      </c>
    </row>
    <row r="631" spans="1:11" x14ac:dyDescent="0.3">
      <c r="A631" s="30">
        <v>46284</v>
      </c>
      <c r="B631" s="24" cm="1">
        <f t="array" ref="B631">SUMPRODUCT(('TREASURY FILE'!B530:B5531=$B$4)*('TREASURY FILE'!D530:D5531="TURNOVER")*('TREASURY FILE'!A530:A5531=A631)*('TREASURY FILE'!F530:F5531))</f>
        <v>0</v>
      </c>
      <c r="C631" s="24" cm="1">
        <f t="array" ref="C631">SUMPRODUCT(('TREASURY FILE'!B530:B5531=$C$4)*('TREASURY FILE'!D530:D5531="TURNOVER")*('TREASURY FILE'!A530:A5531=A631)*('TREASURY FILE'!F530:F5531))</f>
        <v>0</v>
      </c>
      <c r="D631" s="24" cm="1">
        <f t="array" ref="D631">SUMPRODUCT(('TREASURY FILE'!B530:B5531=$D$4)*('TREASURY FILE'!D530:D5531="TURNOVER")*('TREASURY FILE'!A530:A5531=A631)*('TREASURY FILE'!F530:F5531))</f>
        <v>0</v>
      </c>
      <c r="E631" s="31">
        <f t="shared" si="29"/>
        <v>0</v>
      </c>
      <c r="G631" s="24" cm="1">
        <f t="array" ref="G631">SUMPRODUCT(('TREASURY FILE'!B530:B5531=$G$4)*('TREASURY FILE'!D530:D5531="INCOME")*('TREASURY FILE'!A530:A5531=A631)*('TREASURY FILE'!F530:F5531))</f>
        <v>0</v>
      </c>
      <c r="H631" s="24" cm="1">
        <f t="array" ref="H631">SUMPRODUCT(('TREASURY FILE'!B530:B5531=$H$4)*('TREASURY FILE'!D530:D5531="INCOME")*('TREASURY FILE'!A530:A5531=A631)*('TREASURY FILE'!F530:F5531))</f>
        <v>0</v>
      </c>
      <c r="I631" s="24" cm="1">
        <f t="array" ref="I631">SUMPRODUCT(('TREASURY FILE'!D539:D5531=$I$4)*('TREASURY FILE'!F539:F5531="INCOME")*('TREASURY FILE'!C539:C5531=C631)*('TREASURY FILE'!H539:H5531))</f>
        <v>0</v>
      </c>
      <c r="J631" s="31">
        <f t="shared" si="30"/>
        <v>0</v>
      </c>
      <c r="K631" s="33" t="e">
        <f t="shared" si="31"/>
        <v>#DIV/0!</v>
      </c>
    </row>
    <row r="632" spans="1:11" x14ac:dyDescent="0.3">
      <c r="A632" s="30">
        <v>46285</v>
      </c>
      <c r="B632" s="24" cm="1">
        <f t="array" ref="B632">SUMPRODUCT(('TREASURY FILE'!B531:B5532=$B$4)*('TREASURY FILE'!D531:D5532="TURNOVER")*('TREASURY FILE'!A531:A5532=A632)*('TREASURY FILE'!F531:F5532))</f>
        <v>0</v>
      </c>
      <c r="C632" s="24" cm="1">
        <f t="array" ref="C632">SUMPRODUCT(('TREASURY FILE'!B531:B5532=$C$4)*('TREASURY FILE'!D531:D5532="TURNOVER")*('TREASURY FILE'!A531:A5532=A632)*('TREASURY FILE'!F531:F5532))</f>
        <v>0</v>
      </c>
      <c r="D632" s="24" cm="1">
        <f t="array" ref="D632">SUMPRODUCT(('TREASURY FILE'!B531:B5532=$D$4)*('TREASURY FILE'!D531:D5532="TURNOVER")*('TREASURY FILE'!A531:A5532=A632)*('TREASURY FILE'!F531:F5532))</f>
        <v>0</v>
      </c>
      <c r="E632" s="31">
        <f t="shared" si="29"/>
        <v>0</v>
      </c>
      <c r="G632" s="24" cm="1">
        <f t="array" ref="G632">SUMPRODUCT(('TREASURY FILE'!B531:B5532=$G$4)*('TREASURY FILE'!D531:D5532="INCOME")*('TREASURY FILE'!A531:A5532=A632)*('TREASURY FILE'!F531:F5532))</f>
        <v>0</v>
      </c>
      <c r="H632" s="24" cm="1">
        <f t="array" ref="H632">SUMPRODUCT(('TREASURY FILE'!B531:B5532=$H$4)*('TREASURY FILE'!D531:D5532="INCOME")*('TREASURY FILE'!A531:A5532=A632)*('TREASURY FILE'!F531:F5532))</f>
        <v>0</v>
      </c>
      <c r="I632" s="24" cm="1">
        <f t="array" ref="I632">SUMPRODUCT(('TREASURY FILE'!D540:D5532=$I$4)*('TREASURY FILE'!F540:F5532="INCOME")*('TREASURY FILE'!C540:C5532=C632)*('TREASURY FILE'!H540:H5532))</f>
        <v>0</v>
      </c>
      <c r="J632" s="31">
        <f t="shared" si="30"/>
        <v>0</v>
      </c>
      <c r="K632" s="33" t="e">
        <f t="shared" si="31"/>
        <v>#DIV/0!</v>
      </c>
    </row>
    <row r="633" spans="1:11" x14ac:dyDescent="0.3">
      <c r="A633" s="30">
        <v>46286</v>
      </c>
      <c r="B633" s="24" cm="1">
        <f t="array" ref="B633">SUMPRODUCT(('TREASURY FILE'!B532:B5533=$B$4)*('TREASURY FILE'!D532:D5533="TURNOVER")*('TREASURY FILE'!A532:A5533=A633)*('TREASURY FILE'!F532:F5533))</f>
        <v>0</v>
      </c>
      <c r="C633" s="24" cm="1">
        <f t="array" ref="C633">SUMPRODUCT(('TREASURY FILE'!B532:B5533=$C$4)*('TREASURY FILE'!D532:D5533="TURNOVER")*('TREASURY FILE'!A532:A5533=A633)*('TREASURY FILE'!F532:F5533))</f>
        <v>0</v>
      </c>
      <c r="D633" s="24" cm="1">
        <f t="array" ref="D633">SUMPRODUCT(('TREASURY FILE'!B532:B5533=$D$4)*('TREASURY FILE'!D532:D5533="TURNOVER")*('TREASURY FILE'!A532:A5533=A633)*('TREASURY FILE'!F532:F5533))</f>
        <v>0</v>
      </c>
      <c r="E633" s="31">
        <f t="shared" si="29"/>
        <v>0</v>
      </c>
      <c r="G633" s="24" cm="1">
        <f t="array" ref="G633">SUMPRODUCT(('TREASURY FILE'!B532:B5533=$G$4)*('TREASURY FILE'!D532:D5533="INCOME")*('TREASURY FILE'!A532:A5533=A633)*('TREASURY FILE'!F532:F5533))</f>
        <v>0</v>
      </c>
      <c r="H633" s="24" cm="1">
        <f t="array" ref="H633">SUMPRODUCT(('TREASURY FILE'!B532:B5533=$H$4)*('TREASURY FILE'!D532:D5533="INCOME")*('TREASURY FILE'!A532:A5533=A633)*('TREASURY FILE'!F532:F5533))</f>
        <v>0</v>
      </c>
      <c r="I633" s="24" cm="1">
        <f t="array" ref="I633">SUMPRODUCT(('TREASURY FILE'!D541:D5533=$I$4)*('TREASURY FILE'!F541:F5533="INCOME")*('TREASURY FILE'!C541:C5533=C633)*('TREASURY FILE'!H541:H5533))</f>
        <v>0</v>
      </c>
      <c r="J633" s="31">
        <f t="shared" si="30"/>
        <v>0</v>
      </c>
      <c r="K633" s="33" t="e">
        <f t="shared" si="31"/>
        <v>#DIV/0!</v>
      </c>
    </row>
    <row r="634" spans="1:11" x14ac:dyDescent="0.3">
      <c r="A634" s="30">
        <v>46287</v>
      </c>
      <c r="B634" s="24" cm="1">
        <f t="array" ref="B634">SUMPRODUCT(('TREASURY FILE'!B533:B5534=$B$4)*('TREASURY FILE'!D533:D5534="TURNOVER")*('TREASURY FILE'!A533:A5534=A634)*('TREASURY FILE'!F533:F5534))</f>
        <v>0</v>
      </c>
      <c r="C634" s="24" cm="1">
        <f t="array" ref="C634">SUMPRODUCT(('TREASURY FILE'!B533:B5534=$C$4)*('TREASURY FILE'!D533:D5534="TURNOVER")*('TREASURY FILE'!A533:A5534=A634)*('TREASURY FILE'!F533:F5534))</f>
        <v>0</v>
      </c>
      <c r="D634" s="24" cm="1">
        <f t="array" ref="D634">SUMPRODUCT(('TREASURY FILE'!B533:B5534=$D$4)*('TREASURY FILE'!D533:D5534="TURNOVER")*('TREASURY FILE'!A533:A5534=A634)*('TREASURY FILE'!F533:F5534))</f>
        <v>0</v>
      </c>
      <c r="E634" s="31">
        <f t="shared" si="29"/>
        <v>0</v>
      </c>
      <c r="G634" s="24" cm="1">
        <f t="array" ref="G634">SUMPRODUCT(('TREASURY FILE'!B533:B5534=$G$4)*('TREASURY FILE'!D533:D5534="INCOME")*('TREASURY FILE'!A533:A5534=A634)*('TREASURY FILE'!F533:F5534))</f>
        <v>0</v>
      </c>
      <c r="H634" s="24" cm="1">
        <f t="array" ref="H634">SUMPRODUCT(('TREASURY FILE'!B533:B5534=$H$4)*('TREASURY FILE'!D533:D5534="INCOME")*('TREASURY FILE'!A533:A5534=A634)*('TREASURY FILE'!F533:F5534))</f>
        <v>0</v>
      </c>
      <c r="I634" s="24" cm="1">
        <f t="array" ref="I634">SUMPRODUCT(('TREASURY FILE'!D542:D5534=$I$4)*('TREASURY FILE'!F542:F5534="INCOME")*('TREASURY FILE'!C542:C5534=C634)*('TREASURY FILE'!H542:H5534))</f>
        <v>0</v>
      </c>
      <c r="J634" s="31">
        <f t="shared" si="30"/>
        <v>0</v>
      </c>
      <c r="K634" s="33" t="e">
        <f t="shared" si="31"/>
        <v>#DIV/0!</v>
      </c>
    </row>
    <row r="635" spans="1:11" x14ac:dyDescent="0.3">
      <c r="A635" s="30">
        <v>46288</v>
      </c>
      <c r="B635" s="24" cm="1">
        <f t="array" ref="B635">SUMPRODUCT(('TREASURY FILE'!B534:B5535=$B$4)*('TREASURY FILE'!D534:D5535="TURNOVER")*('TREASURY FILE'!A534:A5535=A635)*('TREASURY FILE'!F534:F5535))</f>
        <v>0</v>
      </c>
      <c r="C635" s="24" cm="1">
        <f t="array" ref="C635">SUMPRODUCT(('TREASURY FILE'!B534:B5535=$C$4)*('TREASURY FILE'!D534:D5535="TURNOVER")*('TREASURY FILE'!A534:A5535=A635)*('TREASURY FILE'!F534:F5535))</f>
        <v>0</v>
      </c>
      <c r="D635" s="24" cm="1">
        <f t="array" ref="D635">SUMPRODUCT(('TREASURY FILE'!B534:B5535=$D$4)*('TREASURY FILE'!D534:D5535="TURNOVER")*('TREASURY FILE'!A534:A5535=A635)*('TREASURY FILE'!F534:F5535))</f>
        <v>0</v>
      </c>
      <c r="E635" s="31">
        <f t="shared" si="29"/>
        <v>0</v>
      </c>
      <c r="G635" s="24" cm="1">
        <f t="array" ref="G635">SUMPRODUCT(('TREASURY FILE'!B534:B5535=$G$4)*('TREASURY FILE'!D534:D5535="INCOME")*('TREASURY FILE'!A534:A5535=A635)*('TREASURY FILE'!F534:F5535))</f>
        <v>0</v>
      </c>
      <c r="H635" s="24" cm="1">
        <f t="array" ref="H635">SUMPRODUCT(('TREASURY FILE'!B534:B5535=$H$4)*('TREASURY FILE'!D534:D5535="INCOME")*('TREASURY FILE'!A534:A5535=A635)*('TREASURY FILE'!F534:F5535))</f>
        <v>0</v>
      </c>
      <c r="I635" s="24" cm="1">
        <f t="array" ref="I635">SUMPRODUCT(('TREASURY FILE'!D543:D5535=$I$4)*('TREASURY FILE'!F543:F5535="INCOME")*('TREASURY FILE'!C543:C5535=C635)*('TREASURY FILE'!H543:H5535))</f>
        <v>0</v>
      </c>
      <c r="J635" s="31">
        <f t="shared" si="30"/>
        <v>0</v>
      </c>
      <c r="K635" s="33" t="e">
        <f t="shared" si="31"/>
        <v>#DIV/0!</v>
      </c>
    </row>
    <row r="636" spans="1:11" x14ac:dyDescent="0.3">
      <c r="A636" s="30">
        <v>46289</v>
      </c>
      <c r="B636" s="24" cm="1">
        <f t="array" ref="B636">SUMPRODUCT(('TREASURY FILE'!B535:B5536=$B$4)*('TREASURY FILE'!D535:D5536="TURNOVER")*('TREASURY FILE'!A535:A5536=A636)*('TREASURY FILE'!F535:F5536))</f>
        <v>0</v>
      </c>
      <c r="C636" s="24" cm="1">
        <f t="array" ref="C636">SUMPRODUCT(('TREASURY FILE'!B535:B5536=$C$4)*('TREASURY FILE'!D535:D5536="TURNOVER")*('TREASURY FILE'!A535:A5536=A636)*('TREASURY FILE'!F535:F5536))</f>
        <v>0</v>
      </c>
      <c r="D636" s="24" cm="1">
        <f t="array" ref="D636">SUMPRODUCT(('TREASURY FILE'!B535:B5536=$D$4)*('TREASURY FILE'!D535:D5536="TURNOVER")*('TREASURY FILE'!A535:A5536=A636)*('TREASURY FILE'!F535:F5536))</f>
        <v>0</v>
      </c>
      <c r="E636" s="31">
        <f t="shared" si="29"/>
        <v>0</v>
      </c>
      <c r="G636" s="24" cm="1">
        <f t="array" ref="G636">SUMPRODUCT(('TREASURY FILE'!B535:B5536=$G$4)*('TREASURY FILE'!D535:D5536="INCOME")*('TREASURY FILE'!A535:A5536=A636)*('TREASURY FILE'!F535:F5536))</f>
        <v>0</v>
      </c>
      <c r="H636" s="24" cm="1">
        <f t="array" ref="H636">SUMPRODUCT(('TREASURY FILE'!B535:B5536=$H$4)*('TREASURY FILE'!D535:D5536="INCOME")*('TREASURY FILE'!A535:A5536=A636)*('TREASURY FILE'!F535:F5536))</f>
        <v>0</v>
      </c>
      <c r="I636" s="24" cm="1">
        <f t="array" ref="I636">SUMPRODUCT(('TREASURY FILE'!D544:D5536=$I$4)*('TREASURY FILE'!F544:F5536="INCOME")*('TREASURY FILE'!C544:C5536=C636)*('TREASURY FILE'!H544:H5536))</f>
        <v>0</v>
      </c>
      <c r="J636" s="31">
        <f t="shared" si="30"/>
        <v>0</v>
      </c>
      <c r="K636" s="33" t="e">
        <f t="shared" si="31"/>
        <v>#DIV/0!</v>
      </c>
    </row>
    <row r="637" spans="1:11" x14ac:dyDescent="0.3">
      <c r="A637" s="30">
        <v>46290</v>
      </c>
      <c r="B637" s="24" cm="1">
        <f t="array" ref="B637">SUMPRODUCT(('TREASURY FILE'!B536:B5537=$B$4)*('TREASURY FILE'!D536:D5537="TURNOVER")*('TREASURY FILE'!A536:A5537=A637)*('TREASURY FILE'!F536:F5537))</f>
        <v>0</v>
      </c>
      <c r="C637" s="24" cm="1">
        <f t="array" ref="C637">SUMPRODUCT(('TREASURY FILE'!B536:B5537=$C$4)*('TREASURY FILE'!D536:D5537="TURNOVER")*('TREASURY FILE'!A536:A5537=A637)*('TREASURY FILE'!F536:F5537))</f>
        <v>0</v>
      </c>
      <c r="D637" s="24" cm="1">
        <f t="array" ref="D637">SUMPRODUCT(('TREASURY FILE'!B536:B5537=$D$4)*('TREASURY FILE'!D536:D5537="TURNOVER")*('TREASURY FILE'!A536:A5537=A637)*('TREASURY FILE'!F536:F5537))</f>
        <v>0</v>
      </c>
      <c r="E637" s="31">
        <f t="shared" si="29"/>
        <v>0</v>
      </c>
      <c r="G637" s="24" cm="1">
        <f t="array" ref="G637">SUMPRODUCT(('TREASURY FILE'!B536:B5537=$G$4)*('TREASURY FILE'!D536:D5537="INCOME")*('TREASURY FILE'!A536:A5537=A637)*('TREASURY FILE'!F536:F5537))</f>
        <v>0</v>
      </c>
      <c r="H637" s="24" cm="1">
        <f t="array" ref="H637">SUMPRODUCT(('TREASURY FILE'!B536:B5537=$H$4)*('TREASURY FILE'!D536:D5537="INCOME")*('TREASURY FILE'!A536:A5537=A637)*('TREASURY FILE'!F536:F5537))</f>
        <v>0</v>
      </c>
      <c r="I637" s="24" cm="1">
        <f t="array" ref="I637">SUMPRODUCT(('TREASURY FILE'!D545:D5537=$I$4)*('TREASURY FILE'!F545:F5537="INCOME")*('TREASURY FILE'!C545:C5537=C637)*('TREASURY FILE'!H545:H5537))</f>
        <v>0</v>
      </c>
      <c r="J637" s="31">
        <f t="shared" si="30"/>
        <v>0</v>
      </c>
      <c r="K637" s="33" t="e">
        <f t="shared" si="31"/>
        <v>#DIV/0!</v>
      </c>
    </row>
    <row r="638" spans="1:11" x14ac:dyDescent="0.3">
      <c r="A638" s="30">
        <v>46291</v>
      </c>
      <c r="B638" s="24" cm="1">
        <f t="array" ref="B638">SUMPRODUCT(('TREASURY FILE'!B537:B5538=$B$4)*('TREASURY FILE'!D537:D5538="TURNOVER")*('TREASURY FILE'!A537:A5538=A638)*('TREASURY FILE'!F537:F5538))</f>
        <v>0</v>
      </c>
      <c r="C638" s="24" cm="1">
        <f t="array" ref="C638">SUMPRODUCT(('TREASURY FILE'!B537:B5538=$C$4)*('TREASURY FILE'!D537:D5538="TURNOVER")*('TREASURY FILE'!A537:A5538=A638)*('TREASURY FILE'!F537:F5538))</f>
        <v>0</v>
      </c>
      <c r="D638" s="24" cm="1">
        <f t="array" ref="D638">SUMPRODUCT(('TREASURY FILE'!B537:B5538=$D$4)*('TREASURY FILE'!D537:D5538="TURNOVER")*('TREASURY FILE'!A537:A5538=A638)*('TREASURY FILE'!F537:F5538))</f>
        <v>0</v>
      </c>
      <c r="E638" s="31">
        <f t="shared" si="29"/>
        <v>0</v>
      </c>
      <c r="G638" s="24" cm="1">
        <f t="array" ref="G638">SUMPRODUCT(('TREASURY FILE'!B537:B5538=$G$4)*('TREASURY FILE'!D537:D5538="INCOME")*('TREASURY FILE'!A537:A5538=A638)*('TREASURY FILE'!F537:F5538))</f>
        <v>0</v>
      </c>
      <c r="H638" s="24" cm="1">
        <f t="array" ref="H638">SUMPRODUCT(('TREASURY FILE'!B537:B5538=$H$4)*('TREASURY FILE'!D537:D5538="INCOME")*('TREASURY FILE'!A537:A5538=A638)*('TREASURY FILE'!F537:F5538))</f>
        <v>0</v>
      </c>
      <c r="I638" s="24" cm="1">
        <f t="array" ref="I638">SUMPRODUCT(('TREASURY FILE'!D546:D5538=$I$4)*('TREASURY FILE'!F546:F5538="INCOME")*('TREASURY FILE'!C546:C5538=C638)*('TREASURY FILE'!H546:H5538))</f>
        <v>0</v>
      </c>
      <c r="J638" s="31">
        <f t="shared" si="30"/>
        <v>0</v>
      </c>
      <c r="K638" s="33" t="e">
        <f t="shared" si="31"/>
        <v>#DIV/0!</v>
      </c>
    </row>
    <row r="639" spans="1:11" x14ac:dyDescent="0.3">
      <c r="A639" s="30">
        <v>46292</v>
      </c>
      <c r="B639" s="24" cm="1">
        <f t="array" ref="B639">SUMPRODUCT(('TREASURY FILE'!B538:B5539=$B$4)*('TREASURY FILE'!D538:D5539="TURNOVER")*('TREASURY FILE'!A538:A5539=A639)*('TREASURY FILE'!F538:F5539))</f>
        <v>0</v>
      </c>
      <c r="C639" s="24" cm="1">
        <f t="array" ref="C639">SUMPRODUCT(('TREASURY FILE'!B538:B5539=$C$4)*('TREASURY FILE'!D538:D5539="TURNOVER")*('TREASURY FILE'!A538:A5539=A639)*('TREASURY FILE'!F538:F5539))</f>
        <v>0</v>
      </c>
      <c r="D639" s="24" cm="1">
        <f t="array" ref="D639">SUMPRODUCT(('TREASURY FILE'!B538:B5539=$D$4)*('TREASURY FILE'!D538:D5539="TURNOVER")*('TREASURY FILE'!A538:A5539=A639)*('TREASURY FILE'!F538:F5539))</f>
        <v>0</v>
      </c>
      <c r="E639" s="31">
        <f t="shared" si="29"/>
        <v>0</v>
      </c>
      <c r="G639" s="24" cm="1">
        <f t="array" ref="G639">SUMPRODUCT(('TREASURY FILE'!B538:B5539=$G$4)*('TREASURY FILE'!D538:D5539="INCOME")*('TREASURY FILE'!A538:A5539=A639)*('TREASURY FILE'!F538:F5539))</f>
        <v>0</v>
      </c>
      <c r="H639" s="24" cm="1">
        <f t="array" ref="H639">SUMPRODUCT(('TREASURY FILE'!B538:B5539=$H$4)*('TREASURY FILE'!D538:D5539="INCOME")*('TREASURY FILE'!A538:A5539=A639)*('TREASURY FILE'!F538:F5539))</f>
        <v>0</v>
      </c>
      <c r="I639" s="24" cm="1">
        <f t="array" ref="I639">SUMPRODUCT(('TREASURY FILE'!D547:D5539=$I$4)*('TREASURY FILE'!F547:F5539="INCOME")*('TREASURY FILE'!C547:C5539=C639)*('TREASURY FILE'!H547:H5539))</f>
        <v>0</v>
      </c>
      <c r="J639" s="31">
        <f t="shared" si="30"/>
        <v>0</v>
      </c>
      <c r="K639" s="33" t="e">
        <f t="shared" si="31"/>
        <v>#DIV/0!</v>
      </c>
    </row>
    <row r="640" spans="1:11" x14ac:dyDescent="0.3">
      <c r="A640" s="30">
        <v>46293</v>
      </c>
      <c r="B640" s="24" cm="1">
        <f t="array" ref="B640">SUMPRODUCT(('TREASURY FILE'!B539:B5540=$B$4)*('TREASURY FILE'!D539:D5540="TURNOVER")*('TREASURY FILE'!A539:A5540=A640)*('TREASURY FILE'!F539:F5540))</f>
        <v>0</v>
      </c>
      <c r="C640" s="24" cm="1">
        <f t="array" ref="C640">SUMPRODUCT(('TREASURY FILE'!B539:B5540=$C$4)*('TREASURY FILE'!D539:D5540="TURNOVER")*('TREASURY FILE'!A539:A5540=A640)*('TREASURY FILE'!F539:F5540))</f>
        <v>0</v>
      </c>
      <c r="D640" s="24" cm="1">
        <f t="array" ref="D640">SUMPRODUCT(('TREASURY FILE'!B539:B5540=$D$4)*('TREASURY FILE'!D539:D5540="TURNOVER")*('TREASURY FILE'!A539:A5540=A640)*('TREASURY FILE'!F539:F5540))</f>
        <v>0</v>
      </c>
      <c r="E640" s="31">
        <f t="shared" si="29"/>
        <v>0</v>
      </c>
      <c r="G640" s="24" cm="1">
        <f t="array" ref="G640">SUMPRODUCT(('TREASURY FILE'!B539:B5540=$G$4)*('TREASURY FILE'!D539:D5540="INCOME")*('TREASURY FILE'!A539:A5540=A640)*('TREASURY FILE'!F539:F5540))</f>
        <v>0</v>
      </c>
      <c r="H640" s="24" cm="1">
        <f t="array" ref="H640">SUMPRODUCT(('TREASURY FILE'!B539:B5540=$H$4)*('TREASURY FILE'!D539:D5540="INCOME")*('TREASURY FILE'!A539:A5540=A640)*('TREASURY FILE'!F539:F5540))</f>
        <v>0</v>
      </c>
      <c r="I640" s="24" cm="1">
        <f t="array" ref="I640">SUMPRODUCT(('TREASURY FILE'!D548:D5540=$I$4)*('TREASURY FILE'!F548:F5540="INCOME")*('TREASURY FILE'!C548:C5540=C640)*('TREASURY FILE'!H548:H5540))</f>
        <v>0</v>
      </c>
      <c r="J640" s="31">
        <f t="shared" si="30"/>
        <v>0</v>
      </c>
      <c r="K640" s="33" t="e">
        <f t="shared" si="31"/>
        <v>#DIV/0!</v>
      </c>
    </row>
    <row r="641" spans="1:11" x14ac:dyDescent="0.3">
      <c r="A641" s="30">
        <v>46294</v>
      </c>
      <c r="B641" s="24" cm="1">
        <f t="array" ref="B641">SUMPRODUCT(('TREASURY FILE'!B540:B5541=$B$4)*('TREASURY FILE'!D540:D5541="TURNOVER")*('TREASURY FILE'!A540:A5541=A641)*('TREASURY FILE'!F540:F5541))</f>
        <v>0</v>
      </c>
      <c r="C641" s="24" cm="1">
        <f t="array" ref="C641">SUMPRODUCT(('TREASURY FILE'!B540:B5541=$C$4)*('TREASURY FILE'!D540:D5541="TURNOVER")*('TREASURY FILE'!A540:A5541=A641)*('TREASURY FILE'!F540:F5541))</f>
        <v>0</v>
      </c>
      <c r="D641" s="24" cm="1">
        <f t="array" ref="D641">SUMPRODUCT(('TREASURY FILE'!B540:B5541=$D$4)*('TREASURY FILE'!D540:D5541="TURNOVER")*('TREASURY FILE'!A540:A5541=A641)*('TREASURY FILE'!F540:F5541))</f>
        <v>0</v>
      </c>
      <c r="E641" s="31">
        <f t="shared" si="29"/>
        <v>0</v>
      </c>
      <c r="G641" s="24" cm="1">
        <f t="array" ref="G641">SUMPRODUCT(('TREASURY FILE'!B540:B5541=$G$4)*('TREASURY FILE'!D540:D5541="INCOME")*('TREASURY FILE'!A540:A5541=A641)*('TREASURY FILE'!F540:F5541))</f>
        <v>0</v>
      </c>
      <c r="H641" s="24" cm="1">
        <f t="array" ref="H641">SUMPRODUCT(('TREASURY FILE'!B540:B5541=$H$4)*('TREASURY FILE'!D540:D5541="INCOME")*('TREASURY FILE'!A540:A5541=A641)*('TREASURY FILE'!F540:F5541))</f>
        <v>0</v>
      </c>
      <c r="I641" s="24" cm="1">
        <f t="array" ref="I641">SUMPRODUCT(('TREASURY FILE'!D549:D5541=$I$4)*('TREASURY FILE'!F549:F5541="INCOME")*('TREASURY FILE'!C549:C5541=C641)*('TREASURY FILE'!H549:H5541))</f>
        <v>0</v>
      </c>
      <c r="J641" s="31">
        <f t="shared" si="30"/>
        <v>0</v>
      </c>
      <c r="K641" s="33" t="e">
        <f t="shared" si="31"/>
        <v>#DIV/0!</v>
      </c>
    </row>
    <row r="642" spans="1:11" x14ac:dyDescent="0.3">
      <c r="A642" s="30">
        <v>46295</v>
      </c>
      <c r="B642" s="24" cm="1">
        <f t="array" ref="B642">SUMPRODUCT(('TREASURY FILE'!B541:B5542=$B$4)*('TREASURY FILE'!D541:D5542="TURNOVER")*('TREASURY FILE'!A541:A5542=A642)*('TREASURY FILE'!F541:F5542))</f>
        <v>0</v>
      </c>
      <c r="C642" s="24" cm="1">
        <f t="array" ref="C642">SUMPRODUCT(('TREASURY FILE'!B541:B5542=$C$4)*('TREASURY FILE'!D541:D5542="TURNOVER")*('TREASURY FILE'!A541:A5542=A642)*('TREASURY FILE'!F541:F5542))</f>
        <v>0</v>
      </c>
      <c r="D642" s="24" cm="1">
        <f t="array" ref="D642">SUMPRODUCT(('TREASURY FILE'!B541:B5542=$D$4)*('TREASURY FILE'!D541:D5542="TURNOVER")*('TREASURY FILE'!A541:A5542=A642)*('TREASURY FILE'!F541:F5542))</f>
        <v>0</v>
      </c>
      <c r="E642" s="31">
        <f t="shared" si="29"/>
        <v>0</v>
      </c>
      <c r="G642" s="24" cm="1">
        <f t="array" ref="G642">SUMPRODUCT(('TREASURY FILE'!B541:B5542=$G$4)*('TREASURY FILE'!D541:D5542="INCOME")*('TREASURY FILE'!A541:A5542=A642)*('TREASURY FILE'!F541:F5542))</f>
        <v>0</v>
      </c>
      <c r="H642" s="24" cm="1">
        <f t="array" ref="H642">SUMPRODUCT(('TREASURY FILE'!B541:B5542=$H$4)*('TREASURY FILE'!D541:D5542="INCOME")*('TREASURY FILE'!A541:A5542=A642)*('TREASURY FILE'!F541:F5542))</f>
        <v>0</v>
      </c>
      <c r="I642" s="24" cm="1">
        <f t="array" ref="I642">SUMPRODUCT(('TREASURY FILE'!D550:D5542=$I$4)*('TREASURY FILE'!F550:F5542="INCOME")*('TREASURY FILE'!C550:C5542=C642)*('TREASURY FILE'!H550:H5542))</f>
        <v>0</v>
      </c>
      <c r="J642" s="31">
        <f t="shared" si="30"/>
        <v>0</v>
      </c>
      <c r="K642" s="33" t="e">
        <f t="shared" si="31"/>
        <v>#DIV/0!</v>
      </c>
    </row>
    <row r="643" spans="1:11" x14ac:dyDescent="0.3">
      <c r="A643" s="30">
        <v>46296</v>
      </c>
      <c r="B643" s="24" cm="1">
        <f t="array" ref="B643">SUMPRODUCT(('TREASURY FILE'!B542:B5543=$B$4)*('TREASURY FILE'!D542:D5543="TURNOVER")*('TREASURY FILE'!A542:A5543=A643)*('TREASURY FILE'!F542:F5543))</f>
        <v>0</v>
      </c>
      <c r="C643" s="24" cm="1">
        <f t="array" ref="C643">SUMPRODUCT(('TREASURY FILE'!B542:B5543=$C$4)*('TREASURY FILE'!D542:D5543="TURNOVER")*('TREASURY FILE'!A542:A5543=A643)*('TREASURY FILE'!F542:F5543))</f>
        <v>0</v>
      </c>
      <c r="D643" s="24" cm="1">
        <f t="array" ref="D643">SUMPRODUCT(('TREASURY FILE'!B542:B5543=$D$4)*('TREASURY FILE'!D542:D5543="TURNOVER")*('TREASURY FILE'!A542:A5543=A643)*('TREASURY FILE'!F542:F5543))</f>
        <v>0</v>
      </c>
      <c r="E643" s="31">
        <f t="shared" si="29"/>
        <v>0</v>
      </c>
      <c r="G643" s="24" cm="1">
        <f t="array" ref="G643">SUMPRODUCT(('TREASURY FILE'!B542:B5543=$G$4)*('TREASURY FILE'!D542:D5543="INCOME")*('TREASURY FILE'!A542:A5543=A643)*('TREASURY FILE'!F542:F5543))</f>
        <v>0</v>
      </c>
      <c r="H643" s="24" cm="1">
        <f t="array" ref="H643">SUMPRODUCT(('TREASURY FILE'!B542:B5543=$H$4)*('TREASURY FILE'!D542:D5543="INCOME")*('TREASURY FILE'!A542:A5543=A643)*('TREASURY FILE'!F542:F5543))</f>
        <v>0</v>
      </c>
      <c r="I643" s="24" cm="1">
        <f t="array" ref="I643">SUMPRODUCT(('TREASURY FILE'!D551:D5543=$I$4)*('TREASURY FILE'!F551:F5543="INCOME")*('TREASURY FILE'!C551:C5543=C643)*('TREASURY FILE'!H551:H5543))</f>
        <v>0</v>
      </c>
      <c r="J643" s="31">
        <f t="shared" si="30"/>
        <v>0</v>
      </c>
      <c r="K643" s="33" t="e">
        <f t="shared" si="31"/>
        <v>#DIV/0!</v>
      </c>
    </row>
    <row r="644" spans="1:11" x14ac:dyDescent="0.3">
      <c r="A644" s="30">
        <v>46297</v>
      </c>
      <c r="B644" s="24" cm="1">
        <f t="array" ref="B644">SUMPRODUCT(('TREASURY FILE'!B543:B5544=$B$4)*('TREASURY FILE'!D543:D5544="TURNOVER")*('TREASURY FILE'!A543:A5544=A644)*('TREASURY FILE'!F543:F5544))</f>
        <v>0</v>
      </c>
      <c r="C644" s="24" cm="1">
        <f t="array" ref="C644">SUMPRODUCT(('TREASURY FILE'!B543:B5544=$C$4)*('TREASURY FILE'!D543:D5544="TURNOVER")*('TREASURY FILE'!A543:A5544=A644)*('TREASURY FILE'!F543:F5544))</f>
        <v>0</v>
      </c>
      <c r="D644" s="24" cm="1">
        <f t="array" ref="D644">SUMPRODUCT(('TREASURY FILE'!B543:B5544=$D$4)*('TREASURY FILE'!D543:D5544="TURNOVER")*('TREASURY FILE'!A543:A5544=A644)*('TREASURY FILE'!F543:F5544))</f>
        <v>0</v>
      </c>
      <c r="E644" s="31">
        <f t="shared" si="29"/>
        <v>0</v>
      </c>
      <c r="G644" s="24" cm="1">
        <f t="array" ref="G644">SUMPRODUCT(('TREASURY FILE'!B543:B5544=$G$4)*('TREASURY FILE'!D543:D5544="INCOME")*('TREASURY FILE'!A543:A5544=A644)*('TREASURY FILE'!F543:F5544))</f>
        <v>0</v>
      </c>
      <c r="H644" s="24" cm="1">
        <f t="array" ref="H644">SUMPRODUCT(('TREASURY FILE'!B543:B5544=$H$4)*('TREASURY FILE'!D543:D5544="INCOME")*('TREASURY FILE'!A543:A5544=A644)*('TREASURY FILE'!F543:F5544))</f>
        <v>0</v>
      </c>
      <c r="I644" s="24" cm="1">
        <f t="array" ref="I644">SUMPRODUCT(('TREASURY FILE'!D552:D5544=$I$4)*('TREASURY FILE'!F552:F5544="INCOME")*('TREASURY FILE'!C552:C5544=C644)*('TREASURY FILE'!H552:H5544))</f>
        <v>0</v>
      </c>
      <c r="J644" s="31">
        <f t="shared" si="30"/>
        <v>0</v>
      </c>
      <c r="K644" s="33" t="e">
        <f t="shared" si="31"/>
        <v>#DIV/0!</v>
      </c>
    </row>
    <row r="645" spans="1:11" x14ac:dyDescent="0.3">
      <c r="A645" s="30">
        <v>46298</v>
      </c>
      <c r="B645" s="24" cm="1">
        <f t="array" ref="B645">SUMPRODUCT(('TREASURY FILE'!B544:B5545=$B$4)*('TREASURY FILE'!D544:D5545="TURNOVER")*('TREASURY FILE'!A544:A5545=A645)*('TREASURY FILE'!F544:F5545))</f>
        <v>0</v>
      </c>
      <c r="C645" s="24" cm="1">
        <f t="array" ref="C645">SUMPRODUCT(('TREASURY FILE'!B544:B5545=$C$4)*('TREASURY FILE'!D544:D5545="TURNOVER")*('TREASURY FILE'!A544:A5545=A645)*('TREASURY FILE'!F544:F5545))</f>
        <v>0</v>
      </c>
      <c r="D645" s="24" cm="1">
        <f t="array" ref="D645">SUMPRODUCT(('TREASURY FILE'!B544:B5545=$D$4)*('TREASURY FILE'!D544:D5545="TURNOVER")*('TREASURY FILE'!A544:A5545=A645)*('TREASURY FILE'!F544:F5545))</f>
        <v>0</v>
      </c>
      <c r="E645" s="31">
        <f t="shared" si="29"/>
        <v>0</v>
      </c>
      <c r="G645" s="24" cm="1">
        <f t="array" ref="G645">SUMPRODUCT(('TREASURY FILE'!B544:B5545=$G$4)*('TREASURY FILE'!D544:D5545="INCOME")*('TREASURY FILE'!A544:A5545=A645)*('TREASURY FILE'!F544:F5545))</f>
        <v>0</v>
      </c>
      <c r="H645" s="24" cm="1">
        <f t="array" ref="H645">SUMPRODUCT(('TREASURY FILE'!B544:B5545=$H$4)*('TREASURY FILE'!D544:D5545="INCOME")*('TREASURY FILE'!A544:A5545=A645)*('TREASURY FILE'!F544:F5545))</f>
        <v>0</v>
      </c>
      <c r="I645" s="24" cm="1">
        <f t="array" ref="I645">SUMPRODUCT(('TREASURY FILE'!D553:D5545=$I$4)*('TREASURY FILE'!F553:F5545="INCOME")*('TREASURY FILE'!C553:C5545=C645)*('TREASURY FILE'!H553:H5545))</f>
        <v>0</v>
      </c>
      <c r="J645" s="31">
        <f t="shared" si="30"/>
        <v>0</v>
      </c>
      <c r="K645" s="33" t="e">
        <f t="shared" si="31"/>
        <v>#DIV/0!</v>
      </c>
    </row>
    <row r="646" spans="1:11" x14ac:dyDescent="0.3">
      <c r="A646" s="30">
        <v>46299</v>
      </c>
      <c r="B646" s="24" cm="1">
        <f t="array" ref="B646">SUMPRODUCT(('TREASURY FILE'!B545:B5546=$B$4)*('TREASURY FILE'!D545:D5546="TURNOVER")*('TREASURY FILE'!A545:A5546=A646)*('TREASURY FILE'!F545:F5546))</f>
        <v>0</v>
      </c>
      <c r="C646" s="24" cm="1">
        <f t="array" ref="C646">SUMPRODUCT(('TREASURY FILE'!B545:B5546=$C$4)*('TREASURY FILE'!D545:D5546="TURNOVER")*('TREASURY FILE'!A545:A5546=A646)*('TREASURY FILE'!F545:F5546))</f>
        <v>0</v>
      </c>
      <c r="D646" s="24" cm="1">
        <f t="array" ref="D646">SUMPRODUCT(('TREASURY FILE'!B545:B5546=$D$4)*('TREASURY FILE'!D545:D5546="TURNOVER")*('TREASURY FILE'!A545:A5546=A646)*('TREASURY FILE'!F545:F5546))</f>
        <v>0</v>
      </c>
      <c r="E646" s="31">
        <f t="shared" ref="E646:E709" si="32">SUM(B646:D646)</f>
        <v>0</v>
      </c>
      <c r="G646" s="24" cm="1">
        <f t="array" ref="G646">SUMPRODUCT(('TREASURY FILE'!B545:B5546=$G$4)*('TREASURY FILE'!D545:D5546="INCOME")*('TREASURY FILE'!A545:A5546=A646)*('TREASURY FILE'!F545:F5546))</f>
        <v>0</v>
      </c>
      <c r="H646" s="24" cm="1">
        <f t="array" ref="H646">SUMPRODUCT(('TREASURY FILE'!B545:B5546=$H$4)*('TREASURY FILE'!D545:D5546="INCOME")*('TREASURY FILE'!A545:A5546=A646)*('TREASURY FILE'!F545:F5546))</f>
        <v>0</v>
      </c>
      <c r="I646" s="24" cm="1">
        <f t="array" ref="I646">SUMPRODUCT(('TREASURY FILE'!D554:D5546=$I$4)*('TREASURY FILE'!F554:F5546="INCOME")*('TREASURY FILE'!C554:C5546=C646)*('TREASURY FILE'!H554:H5546))</f>
        <v>0</v>
      </c>
      <c r="J646" s="31">
        <f t="shared" ref="J646:J709" si="33">SUM(G646:I646)</f>
        <v>0</v>
      </c>
      <c r="K646" s="33" t="e">
        <f t="shared" ref="K646:K709" si="34">+J646/E646</f>
        <v>#DIV/0!</v>
      </c>
    </row>
    <row r="647" spans="1:11" x14ac:dyDescent="0.3">
      <c r="A647" s="30">
        <v>46300</v>
      </c>
      <c r="B647" s="24" cm="1">
        <f t="array" ref="B647">SUMPRODUCT(('TREASURY FILE'!B546:B5547=$B$4)*('TREASURY FILE'!D546:D5547="TURNOVER")*('TREASURY FILE'!A546:A5547=A647)*('TREASURY FILE'!F546:F5547))</f>
        <v>0</v>
      </c>
      <c r="C647" s="24" cm="1">
        <f t="array" ref="C647">SUMPRODUCT(('TREASURY FILE'!B546:B5547=$C$4)*('TREASURY FILE'!D546:D5547="TURNOVER")*('TREASURY FILE'!A546:A5547=A647)*('TREASURY FILE'!F546:F5547))</f>
        <v>0</v>
      </c>
      <c r="D647" s="24" cm="1">
        <f t="array" ref="D647">SUMPRODUCT(('TREASURY FILE'!B546:B5547=$D$4)*('TREASURY FILE'!D546:D5547="TURNOVER")*('TREASURY FILE'!A546:A5547=A647)*('TREASURY FILE'!F546:F5547))</f>
        <v>0</v>
      </c>
      <c r="E647" s="31">
        <f t="shared" si="32"/>
        <v>0</v>
      </c>
      <c r="G647" s="24" cm="1">
        <f t="array" ref="G647">SUMPRODUCT(('TREASURY FILE'!B546:B5547=$G$4)*('TREASURY FILE'!D546:D5547="INCOME")*('TREASURY FILE'!A546:A5547=A647)*('TREASURY FILE'!F546:F5547))</f>
        <v>0</v>
      </c>
      <c r="H647" s="24" cm="1">
        <f t="array" ref="H647">SUMPRODUCT(('TREASURY FILE'!B546:B5547=$H$4)*('TREASURY FILE'!D546:D5547="INCOME")*('TREASURY FILE'!A546:A5547=A647)*('TREASURY FILE'!F546:F5547))</f>
        <v>0</v>
      </c>
      <c r="I647" s="24" cm="1">
        <f t="array" ref="I647">SUMPRODUCT(('TREASURY FILE'!D555:D5547=$I$4)*('TREASURY FILE'!F555:F5547="INCOME")*('TREASURY FILE'!C555:C5547=C647)*('TREASURY FILE'!H555:H5547))</f>
        <v>0</v>
      </c>
      <c r="J647" s="31">
        <f t="shared" si="33"/>
        <v>0</v>
      </c>
      <c r="K647" s="33" t="e">
        <f t="shared" si="34"/>
        <v>#DIV/0!</v>
      </c>
    </row>
    <row r="648" spans="1:11" x14ac:dyDescent="0.3">
      <c r="A648" s="30">
        <v>46301</v>
      </c>
      <c r="B648" s="24" cm="1">
        <f t="array" ref="B648">SUMPRODUCT(('TREASURY FILE'!B547:B5548=$B$4)*('TREASURY FILE'!D547:D5548="TURNOVER")*('TREASURY FILE'!A547:A5548=A648)*('TREASURY FILE'!F547:F5548))</f>
        <v>0</v>
      </c>
      <c r="C648" s="24" cm="1">
        <f t="array" ref="C648">SUMPRODUCT(('TREASURY FILE'!B547:B5548=$C$4)*('TREASURY FILE'!D547:D5548="TURNOVER")*('TREASURY FILE'!A547:A5548=A648)*('TREASURY FILE'!F547:F5548))</f>
        <v>0</v>
      </c>
      <c r="D648" s="24" cm="1">
        <f t="array" ref="D648">SUMPRODUCT(('TREASURY FILE'!B547:B5548=$D$4)*('TREASURY FILE'!D547:D5548="TURNOVER")*('TREASURY FILE'!A547:A5548=A648)*('TREASURY FILE'!F547:F5548))</f>
        <v>0</v>
      </c>
      <c r="E648" s="31">
        <f t="shared" si="32"/>
        <v>0</v>
      </c>
      <c r="G648" s="24" cm="1">
        <f t="array" ref="G648">SUMPRODUCT(('TREASURY FILE'!B547:B5548=$G$4)*('TREASURY FILE'!D547:D5548="INCOME")*('TREASURY FILE'!A547:A5548=A648)*('TREASURY FILE'!F547:F5548))</f>
        <v>0</v>
      </c>
      <c r="H648" s="24" cm="1">
        <f t="array" ref="H648">SUMPRODUCT(('TREASURY FILE'!B547:B5548=$H$4)*('TREASURY FILE'!D547:D5548="INCOME")*('TREASURY FILE'!A547:A5548=A648)*('TREASURY FILE'!F547:F5548))</f>
        <v>0</v>
      </c>
      <c r="I648" s="24" cm="1">
        <f t="array" ref="I648">SUMPRODUCT(('TREASURY FILE'!D556:D5548=$I$4)*('TREASURY FILE'!F556:F5548="INCOME")*('TREASURY FILE'!C556:C5548=C648)*('TREASURY FILE'!H556:H5548))</f>
        <v>0</v>
      </c>
      <c r="J648" s="31">
        <f t="shared" si="33"/>
        <v>0</v>
      </c>
      <c r="K648" s="33" t="e">
        <f t="shared" si="34"/>
        <v>#DIV/0!</v>
      </c>
    </row>
    <row r="649" spans="1:11" x14ac:dyDescent="0.3">
      <c r="A649" s="30">
        <v>46302</v>
      </c>
      <c r="B649" s="24" cm="1">
        <f t="array" ref="B649">SUMPRODUCT(('TREASURY FILE'!B548:B5549=$B$4)*('TREASURY FILE'!D548:D5549="TURNOVER")*('TREASURY FILE'!A548:A5549=A649)*('TREASURY FILE'!F548:F5549))</f>
        <v>0</v>
      </c>
      <c r="C649" s="24" cm="1">
        <f t="array" ref="C649">SUMPRODUCT(('TREASURY FILE'!B548:B5549=$C$4)*('TREASURY FILE'!D548:D5549="TURNOVER")*('TREASURY FILE'!A548:A5549=A649)*('TREASURY FILE'!F548:F5549))</f>
        <v>0</v>
      </c>
      <c r="D649" s="24" cm="1">
        <f t="array" ref="D649">SUMPRODUCT(('TREASURY FILE'!B548:B5549=$D$4)*('TREASURY FILE'!D548:D5549="TURNOVER")*('TREASURY FILE'!A548:A5549=A649)*('TREASURY FILE'!F548:F5549))</f>
        <v>0</v>
      </c>
      <c r="E649" s="31">
        <f t="shared" si="32"/>
        <v>0</v>
      </c>
      <c r="G649" s="24" cm="1">
        <f t="array" ref="G649">SUMPRODUCT(('TREASURY FILE'!B548:B5549=$G$4)*('TREASURY FILE'!D548:D5549="INCOME")*('TREASURY FILE'!A548:A5549=A649)*('TREASURY FILE'!F548:F5549))</f>
        <v>0</v>
      </c>
      <c r="H649" s="24" cm="1">
        <f t="array" ref="H649">SUMPRODUCT(('TREASURY FILE'!B548:B5549=$H$4)*('TREASURY FILE'!D548:D5549="INCOME")*('TREASURY FILE'!A548:A5549=A649)*('TREASURY FILE'!F548:F5549))</f>
        <v>0</v>
      </c>
      <c r="I649" s="24" cm="1">
        <f t="array" ref="I649">SUMPRODUCT(('TREASURY FILE'!D557:D5549=$I$4)*('TREASURY FILE'!F557:F5549="INCOME")*('TREASURY FILE'!C557:C5549=C649)*('TREASURY FILE'!H557:H5549))</f>
        <v>0</v>
      </c>
      <c r="J649" s="31">
        <f t="shared" si="33"/>
        <v>0</v>
      </c>
      <c r="K649" s="33" t="e">
        <f t="shared" si="34"/>
        <v>#DIV/0!</v>
      </c>
    </row>
    <row r="650" spans="1:11" x14ac:dyDescent="0.3">
      <c r="A650" s="30">
        <v>46303</v>
      </c>
      <c r="B650" s="24" cm="1">
        <f t="array" ref="B650">SUMPRODUCT(('TREASURY FILE'!B549:B5550=$B$4)*('TREASURY FILE'!D549:D5550="TURNOVER")*('TREASURY FILE'!A549:A5550=A650)*('TREASURY FILE'!F549:F5550))</f>
        <v>0</v>
      </c>
      <c r="C650" s="24" cm="1">
        <f t="array" ref="C650">SUMPRODUCT(('TREASURY FILE'!B549:B5550=$C$4)*('TREASURY FILE'!D549:D5550="TURNOVER")*('TREASURY FILE'!A549:A5550=A650)*('TREASURY FILE'!F549:F5550))</f>
        <v>0</v>
      </c>
      <c r="D650" s="24" cm="1">
        <f t="array" ref="D650">SUMPRODUCT(('TREASURY FILE'!B549:B5550=$D$4)*('TREASURY FILE'!D549:D5550="TURNOVER")*('TREASURY FILE'!A549:A5550=A650)*('TREASURY FILE'!F549:F5550))</f>
        <v>0</v>
      </c>
      <c r="E650" s="31">
        <f t="shared" si="32"/>
        <v>0</v>
      </c>
      <c r="G650" s="24" cm="1">
        <f t="array" ref="G650">SUMPRODUCT(('TREASURY FILE'!B549:B5550=$G$4)*('TREASURY FILE'!D549:D5550="INCOME")*('TREASURY FILE'!A549:A5550=A650)*('TREASURY FILE'!F549:F5550))</f>
        <v>0</v>
      </c>
      <c r="H650" s="24" cm="1">
        <f t="array" ref="H650">SUMPRODUCT(('TREASURY FILE'!B549:B5550=$H$4)*('TREASURY FILE'!D549:D5550="INCOME")*('TREASURY FILE'!A549:A5550=A650)*('TREASURY FILE'!F549:F5550))</f>
        <v>0</v>
      </c>
      <c r="I650" s="24" cm="1">
        <f t="array" ref="I650">SUMPRODUCT(('TREASURY FILE'!D558:D5550=$I$4)*('TREASURY FILE'!F558:F5550="INCOME")*('TREASURY FILE'!C558:C5550=C650)*('TREASURY FILE'!H558:H5550))</f>
        <v>0</v>
      </c>
      <c r="J650" s="31">
        <f t="shared" si="33"/>
        <v>0</v>
      </c>
      <c r="K650" s="33" t="e">
        <f t="shared" si="34"/>
        <v>#DIV/0!</v>
      </c>
    </row>
    <row r="651" spans="1:11" x14ac:dyDescent="0.3">
      <c r="A651" s="30">
        <v>46304</v>
      </c>
      <c r="B651" s="24" cm="1">
        <f t="array" ref="B651">SUMPRODUCT(('TREASURY FILE'!B550:B5551=$B$4)*('TREASURY FILE'!D550:D5551="TURNOVER")*('TREASURY FILE'!A550:A5551=A651)*('TREASURY FILE'!F550:F5551))</f>
        <v>0</v>
      </c>
      <c r="C651" s="24" cm="1">
        <f t="array" ref="C651">SUMPRODUCT(('TREASURY FILE'!B550:B5551=$C$4)*('TREASURY FILE'!D550:D5551="TURNOVER")*('TREASURY FILE'!A550:A5551=A651)*('TREASURY FILE'!F550:F5551))</f>
        <v>0</v>
      </c>
      <c r="D651" s="24" cm="1">
        <f t="array" ref="D651">SUMPRODUCT(('TREASURY FILE'!B550:B5551=$D$4)*('TREASURY FILE'!D550:D5551="TURNOVER")*('TREASURY FILE'!A550:A5551=A651)*('TREASURY FILE'!F550:F5551))</f>
        <v>0</v>
      </c>
      <c r="E651" s="31">
        <f t="shared" si="32"/>
        <v>0</v>
      </c>
      <c r="G651" s="24" cm="1">
        <f t="array" ref="G651">SUMPRODUCT(('TREASURY FILE'!B550:B5551=$G$4)*('TREASURY FILE'!D550:D5551="INCOME")*('TREASURY FILE'!A550:A5551=A651)*('TREASURY FILE'!F550:F5551))</f>
        <v>0</v>
      </c>
      <c r="H651" s="24" cm="1">
        <f t="array" ref="H651">SUMPRODUCT(('TREASURY FILE'!B550:B5551=$H$4)*('TREASURY FILE'!D550:D5551="INCOME")*('TREASURY FILE'!A550:A5551=A651)*('TREASURY FILE'!F550:F5551))</f>
        <v>0</v>
      </c>
      <c r="I651" s="24" cm="1">
        <f t="array" ref="I651">SUMPRODUCT(('TREASURY FILE'!D559:D5551=$I$4)*('TREASURY FILE'!F559:F5551="INCOME")*('TREASURY FILE'!C559:C5551=C651)*('TREASURY FILE'!H559:H5551))</f>
        <v>0</v>
      </c>
      <c r="J651" s="31">
        <f t="shared" si="33"/>
        <v>0</v>
      </c>
      <c r="K651" s="33" t="e">
        <f t="shared" si="34"/>
        <v>#DIV/0!</v>
      </c>
    </row>
    <row r="652" spans="1:11" x14ac:dyDescent="0.3">
      <c r="A652" s="30">
        <v>46305</v>
      </c>
      <c r="B652" s="24" cm="1">
        <f t="array" ref="B652">SUMPRODUCT(('TREASURY FILE'!B551:B5552=$B$4)*('TREASURY FILE'!D551:D5552="TURNOVER")*('TREASURY FILE'!A551:A5552=A652)*('TREASURY FILE'!F551:F5552))</f>
        <v>0</v>
      </c>
      <c r="C652" s="24" cm="1">
        <f t="array" ref="C652">SUMPRODUCT(('TREASURY FILE'!B551:B5552=$C$4)*('TREASURY FILE'!D551:D5552="TURNOVER")*('TREASURY FILE'!A551:A5552=A652)*('TREASURY FILE'!F551:F5552))</f>
        <v>0</v>
      </c>
      <c r="D652" s="24" cm="1">
        <f t="array" ref="D652">SUMPRODUCT(('TREASURY FILE'!B551:B5552=$D$4)*('TREASURY FILE'!D551:D5552="TURNOVER")*('TREASURY FILE'!A551:A5552=A652)*('TREASURY FILE'!F551:F5552))</f>
        <v>0</v>
      </c>
      <c r="E652" s="31">
        <f t="shared" si="32"/>
        <v>0</v>
      </c>
      <c r="G652" s="24" cm="1">
        <f t="array" ref="G652">SUMPRODUCT(('TREASURY FILE'!B551:B5552=$G$4)*('TREASURY FILE'!D551:D5552="INCOME")*('TREASURY FILE'!A551:A5552=A652)*('TREASURY FILE'!F551:F5552))</f>
        <v>0</v>
      </c>
      <c r="H652" s="24" cm="1">
        <f t="array" ref="H652">SUMPRODUCT(('TREASURY FILE'!B551:B5552=$H$4)*('TREASURY FILE'!D551:D5552="INCOME")*('TREASURY FILE'!A551:A5552=A652)*('TREASURY FILE'!F551:F5552))</f>
        <v>0</v>
      </c>
      <c r="I652" s="24" cm="1">
        <f t="array" ref="I652">SUMPRODUCT(('TREASURY FILE'!D560:D5552=$I$4)*('TREASURY FILE'!F560:F5552="INCOME")*('TREASURY FILE'!C560:C5552=C652)*('TREASURY FILE'!H560:H5552))</f>
        <v>0</v>
      </c>
      <c r="J652" s="31">
        <f t="shared" si="33"/>
        <v>0</v>
      </c>
      <c r="K652" s="33" t="e">
        <f t="shared" si="34"/>
        <v>#DIV/0!</v>
      </c>
    </row>
    <row r="653" spans="1:11" x14ac:dyDescent="0.3">
      <c r="A653" s="30">
        <v>46306</v>
      </c>
      <c r="B653" s="24" cm="1">
        <f t="array" ref="B653">SUMPRODUCT(('TREASURY FILE'!B552:B5553=$B$4)*('TREASURY FILE'!D552:D5553="TURNOVER")*('TREASURY FILE'!A552:A5553=A653)*('TREASURY FILE'!F552:F5553))</f>
        <v>0</v>
      </c>
      <c r="C653" s="24" cm="1">
        <f t="array" ref="C653">SUMPRODUCT(('TREASURY FILE'!B552:B5553=$C$4)*('TREASURY FILE'!D552:D5553="TURNOVER")*('TREASURY FILE'!A552:A5553=A653)*('TREASURY FILE'!F552:F5553))</f>
        <v>0</v>
      </c>
      <c r="D653" s="24" cm="1">
        <f t="array" ref="D653">SUMPRODUCT(('TREASURY FILE'!B552:B5553=$D$4)*('TREASURY FILE'!D552:D5553="TURNOVER")*('TREASURY FILE'!A552:A5553=A653)*('TREASURY FILE'!F552:F5553))</f>
        <v>0</v>
      </c>
      <c r="E653" s="31">
        <f t="shared" si="32"/>
        <v>0</v>
      </c>
      <c r="G653" s="24" cm="1">
        <f t="array" ref="G653">SUMPRODUCT(('TREASURY FILE'!B552:B5553=$G$4)*('TREASURY FILE'!D552:D5553="INCOME")*('TREASURY FILE'!A552:A5553=A653)*('TREASURY FILE'!F552:F5553))</f>
        <v>0</v>
      </c>
      <c r="H653" s="24" cm="1">
        <f t="array" ref="H653">SUMPRODUCT(('TREASURY FILE'!B552:B5553=$H$4)*('TREASURY FILE'!D552:D5553="INCOME")*('TREASURY FILE'!A552:A5553=A653)*('TREASURY FILE'!F552:F5553))</f>
        <v>0</v>
      </c>
      <c r="I653" s="24" cm="1">
        <f t="array" ref="I653">SUMPRODUCT(('TREASURY FILE'!D561:D5553=$I$4)*('TREASURY FILE'!F561:F5553="INCOME")*('TREASURY FILE'!C561:C5553=C653)*('TREASURY FILE'!H561:H5553))</f>
        <v>0</v>
      </c>
      <c r="J653" s="31">
        <f t="shared" si="33"/>
        <v>0</v>
      </c>
      <c r="K653" s="33" t="e">
        <f t="shared" si="34"/>
        <v>#DIV/0!</v>
      </c>
    </row>
    <row r="654" spans="1:11" x14ac:dyDescent="0.3">
      <c r="A654" s="30">
        <v>46307</v>
      </c>
      <c r="B654" s="24" cm="1">
        <f t="array" ref="B654">SUMPRODUCT(('TREASURY FILE'!B553:B5554=$B$4)*('TREASURY FILE'!D553:D5554="TURNOVER")*('TREASURY FILE'!A553:A5554=A654)*('TREASURY FILE'!F553:F5554))</f>
        <v>0</v>
      </c>
      <c r="C654" s="24" cm="1">
        <f t="array" ref="C654">SUMPRODUCT(('TREASURY FILE'!B553:B5554=$C$4)*('TREASURY FILE'!D553:D5554="TURNOVER")*('TREASURY FILE'!A553:A5554=A654)*('TREASURY FILE'!F553:F5554))</f>
        <v>0</v>
      </c>
      <c r="D654" s="24" cm="1">
        <f t="array" ref="D654">SUMPRODUCT(('TREASURY FILE'!B553:B5554=$D$4)*('TREASURY FILE'!D553:D5554="TURNOVER")*('TREASURY FILE'!A553:A5554=A654)*('TREASURY FILE'!F553:F5554))</f>
        <v>0</v>
      </c>
      <c r="E654" s="31">
        <f t="shared" si="32"/>
        <v>0</v>
      </c>
      <c r="G654" s="24" cm="1">
        <f t="array" ref="G654">SUMPRODUCT(('TREASURY FILE'!B553:B5554=$G$4)*('TREASURY FILE'!D553:D5554="INCOME")*('TREASURY FILE'!A553:A5554=A654)*('TREASURY FILE'!F553:F5554))</f>
        <v>0</v>
      </c>
      <c r="H654" s="24" cm="1">
        <f t="array" ref="H654">SUMPRODUCT(('TREASURY FILE'!B553:B5554=$H$4)*('TREASURY FILE'!D553:D5554="INCOME")*('TREASURY FILE'!A553:A5554=A654)*('TREASURY FILE'!F553:F5554))</f>
        <v>0</v>
      </c>
      <c r="I654" s="24" cm="1">
        <f t="array" ref="I654">SUMPRODUCT(('TREASURY FILE'!D562:D5554=$I$4)*('TREASURY FILE'!F562:F5554="INCOME")*('TREASURY FILE'!C562:C5554=C654)*('TREASURY FILE'!H562:H5554))</f>
        <v>0</v>
      </c>
      <c r="J654" s="31">
        <f t="shared" si="33"/>
        <v>0</v>
      </c>
      <c r="K654" s="33" t="e">
        <f t="shared" si="34"/>
        <v>#DIV/0!</v>
      </c>
    </row>
    <row r="655" spans="1:11" x14ac:dyDescent="0.3">
      <c r="A655" s="30">
        <v>46308</v>
      </c>
      <c r="B655" s="24" cm="1">
        <f t="array" ref="B655">SUMPRODUCT(('TREASURY FILE'!B554:B5555=$B$4)*('TREASURY FILE'!D554:D5555="TURNOVER")*('TREASURY FILE'!A554:A5555=A655)*('TREASURY FILE'!F554:F5555))</f>
        <v>0</v>
      </c>
      <c r="C655" s="24" cm="1">
        <f t="array" ref="C655">SUMPRODUCT(('TREASURY FILE'!B554:B5555=$C$4)*('TREASURY FILE'!D554:D5555="TURNOVER")*('TREASURY FILE'!A554:A5555=A655)*('TREASURY FILE'!F554:F5555))</f>
        <v>0</v>
      </c>
      <c r="D655" s="24" cm="1">
        <f t="array" ref="D655">SUMPRODUCT(('TREASURY FILE'!B554:B5555=$D$4)*('TREASURY FILE'!D554:D5555="TURNOVER")*('TREASURY FILE'!A554:A5555=A655)*('TREASURY FILE'!F554:F5555))</f>
        <v>0</v>
      </c>
      <c r="E655" s="31">
        <f t="shared" si="32"/>
        <v>0</v>
      </c>
      <c r="G655" s="24" cm="1">
        <f t="array" ref="G655">SUMPRODUCT(('TREASURY FILE'!B554:B5555=$G$4)*('TREASURY FILE'!D554:D5555="INCOME")*('TREASURY FILE'!A554:A5555=A655)*('TREASURY FILE'!F554:F5555))</f>
        <v>0</v>
      </c>
      <c r="H655" s="24" cm="1">
        <f t="array" ref="H655">SUMPRODUCT(('TREASURY FILE'!B554:B5555=$H$4)*('TREASURY FILE'!D554:D5555="INCOME")*('TREASURY FILE'!A554:A5555=A655)*('TREASURY FILE'!F554:F5555))</f>
        <v>0</v>
      </c>
      <c r="I655" s="24" cm="1">
        <f t="array" ref="I655">SUMPRODUCT(('TREASURY FILE'!D563:D5555=$I$4)*('TREASURY FILE'!F563:F5555="INCOME")*('TREASURY FILE'!C563:C5555=C655)*('TREASURY FILE'!H563:H5555))</f>
        <v>0</v>
      </c>
      <c r="J655" s="31">
        <f t="shared" si="33"/>
        <v>0</v>
      </c>
      <c r="K655" s="33" t="e">
        <f t="shared" si="34"/>
        <v>#DIV/0!</v>
      </c>
    </row>
    <row r="656" spans="1:11" x14ac:dyDescent="0.3">
      <c r="A656" s="30">
        <v>46309</v>
      </c>
      <c r="B656" s="24" cm="1">
        <f t="array" ref="B656">SUMPRODUCT(('TREASURY FILE'!B555:B5556=$B$4)*('TREASURY FILE'!D555:D5556="TURNOVER")*('TREASURY FILE'!A555:A5556=A656)*('TREASURY FILE'!F555:F5556))</f>
        <v>0</v>
      </c>
      <c r="C656" s="24" cm="1">
        <f t="array" ref="C656">SUMPRODUCT(('TREASURY FILE'!B555:B5556=$C$4)*('TREASURY FILE'!D555:D5556="TURNOVER")*('TREASURY FILE'!A555:A5556=A656)*('TREASURY FILE'!F555:F5556))</f>
        <v>0</v>
      </c>
      <c r="D656" s="24" cm="1">
        <f t="array" ref="D656">SUMPRODUCT(('TREASURY FILE'!B555:B5556=$D$4)*('TREASURY FILE'!D555:D5556="TURNOVER")*('TREASURY FILE'!A555:A5556=A656)*('TREASURY FILE'!F555:F5556))</f>
        <v>0</v>
      </c>
      <c r="E656" s="31">
        <f t="shared" si="32"/>
        <v>0</v>
      </c>
      <c r="G656" s="24" cm="1">
        <f t="array" ref="G656">SUMPRODUCT(('TREASURY FILE'!B555:B5556=$G$4)*('TREASURY FILE'!D555:D5556="INCOME")*('TREASURY FILE'!A555:A5556=A656)*('TREASURY FILE'!F555:F5556))</f>
        <v>0</v>
      </c>
      <c r="H656" s="24" cm="1">
        <f t="array" ref="H656">SUMPRODUCT(('TREASURY FILE'!B555:B5556=$H$4)*('TREASURY FILE'!D555:D5556="INCOME")*('TREASURY FILE'!A555:A5556=A656)*('TREASURY FILE'!F555:F5556))</f>
        <v>0</v>
      </c>
      <c r="I656" s="24" cm="1">
        <f t="array" ref="I656">SUMPRODUCT(('TREASURY FILE'!D564:D5556=$I$4)*('TREASURY FILE'!F564:F5556="INCOME")*('TREASURY FILE'!C564:C5556=C656)*('TREASURY FILE'!H564:H5556))</f>
        <v>0</v>
      </c>
      <c r="J656" s="31">
        <f t="shared" si="33"/>
        <v>0</v>
      </c>
      <c r="K656" s="33" t="e">
        <f t="shared" si="34"/>
        <v>#DIV/0!</v>
      </c>
    </row>
    <row r="657" spans="1:11" x14ac:dyDescent="0.3">
      <c r="A657" s="30">
        <v>46310</v>
      </c>
      <c r="B657" s="24" cm="1">
        <f t="array" ref="B657">SUMPRODUCT(('TREASURY FILE'!B556:B5557=$B$4)*('TREASURY FILE'!D556:D5557="TURNOVER")*('TREASURY FILE'!A556:A5557=A657)*('TREASURY FILE'!F556:F5557))</f>
        <v>0</v>
      </c>
      <c r="C657" s="24" cm="1">
        <f t="array" ref="C657">SUMPRODUCT(('TREASURY FILE'!B556:B5557=$C$4)*('TREASURY FILE'!D556:D5557="TURNOVER")*('TREASURY FILE'!A556:A5557=A657)*('TREASURY FILE'!F556:F5557))</f>
        <v>0</v>
      </c>
      <c r="D657" s="24" cm="1">
        <f t="array" ref="D657">SUMPRODUCT(('TREASURY FILE'!B556:B5557=$D$4)*('TREASURY FILE'!D556:D5557="TURNOVER")*('TREASURY FILE'!A556:A5557=A657)*('TREASURY FILE'!F556:F5557))</f>
        <v>0</v>
      </c>
      <c r="E657" s="31">
        <f t="shared" si="32"/>
        <v>0</v>
      </c>
      <c r="G657" s="24" cm="1">
        <f t="array" ref="G657">SUMPRODUCT(('TREASURY FILE'!B556:B5557=$G$4)*('TREASURY FILE'!D556:D5557="INCOME")*('TREASURY FILE'!A556:A5557=A657)*('TREASURY FILE'!F556:F5557))</f>
        <v>0</v>
      </c>
      <c r="H657" s="24" cm="1">
        <f t="array" ref="H657">SUMPRODUCT(('TREASURY FILE'!B556:B5557=$H$4)*('TREASURY FILE'!D556:D5557="INCOME")*('TREASURY FILE'!A556:A5557=A657)*('TREASURY FILE'!F556:F5557))</f>
        <v>0</v>
      </c>
      <c r="I657" s="24" cm="1">
        <f t="array" ref="I657">SUMPRODUCT(('TREASURY FILE'!D565:D5557=$I$4)*('TREASURY FILE'!F565:F5557="INCOME")*('TREASURY FILE'!C565:C5557=C657)*('TREASURY FILE'!H565:H5557))</f>
        <v>0</v>
      </c>
      <c r="J657" s="31">
        <f t="shared" si="33"/>
        <v>0</v>
      </c>
      <c r="K657" s="33" t="e">
        <f t="shared" si="34"/>
        <v>#DIV/0!</v>
      </c>
    </row>
    <row r="658" spans="1:11" x14ac:dyDescent="0.3">
      <c r="A658" s="30">
        <v>46311</v>
      </c>
      <c r="B658" s="24" cm="1">
        <f t="array" ref="B658">SUMPRODUCT(('TREASURY FILE'!B557:B5558=$B$4)*('TREASURY FILE'!D557:D5558="TURNOVER")*('TREASURY FILE'!A557:A5558=A658)*('TREASURY FILE'!F557:F5558))</f>
        <v>0</v>
      </c>
      <c r="C658" s="24" cm="1">
        <f t="array" ref="C658">SUMPRODUCT(('TREASURY FILE'!B557:B5558=$C$4)*('TREASURY FILE'!D557:D5558="TURNOVER")*('TREASURY FILE'!A557:A5558=A658)*('TREASURY FILE'!F557:F5558))</f>
        <v>0</v>
      </c>
      <c r="D658" s="24" cm="1">
        <f t="array" ref="D658">SUMPRODUCT(('TREASURY FILE'!B557:B5558=$D$4)*('TREASURY FILE'!D557:D5558="TURNOVER")*('TREASURY FILE'!A557:A5558=A658)*('TREASURY FILE'!F557:F5558))</f>
        <v>0</v>
      </c>
      <c r="E658" s="31">
        <f t="shared" si="32"/>
        <v>0</v>
      </c>
      <c r="G658" s="24" cm="1">
        <f t="array" ref="G658">SUMPRODUCT(('TREASURY FILE'!B557:B5558=$G$4)*('TREASURY FILE'!D557:D5558="INCOME")*('TREASURY FILE'!A557:A5558=A658)*('TREASURY FILE'!F557:F5558))</f>
        <v>0</v>
      </c>
      <c r="H658" s="24" cm="1">
        <f t="array" ref="H658">SUMPRODUCT(('TREASURY FILE'!B557:B5558=$H$4)*('TREASURY FILE'!D557:D5558="INCOME")*('TREASURY FILE'!A557:A5558=A658)*('TREASURY FILE'!F557:F5558))</f>
        <v>0</v>
      </c>
      <c r="I658" s="24" cm="1">
        <f t="array" ref="I658">SUMPRODUCT(('TREASURY FILE'!D566:D5558=$I$4)*('TREASURY FILE'!F566:F5558="INCOME")*('TREASURY FILE'!C566:C5558=C658)*('TREASURY FILE'!H566:H5558))</f>
        <v>0</v>
      </c>
      <c r="J658" s="31">
        <f t="shared" si="33"/>
        <v>0</v>
      </c>
      <c r="K658" s="33" t="e">
        <f t="shared" si="34"/>
        <v>#DIV/0!</v>
      </c>
    </row>
    <row r="659" spans="1:11" x14ac:dyDescent="0.3">
      <c r="A659" s="30">
        <v>46312</v>
      </c>
      <c r="B659" s="24" cm="1">
        <f t="array" ref="B659">SUMPRODUCT(('TREASURY FILE'!B558:B5559=$B$4)*('TREASURY FILE'!D558:D5559="TURNOVER")*('TREASURY FILE'!A558:A5559=A659)*('TREASURY FILE'!F558:F5559))</f>
        <v>0</v>
      </c>
      <c r="C659" s="24" cm="1">
        <f t="array" ref="C659">SUMPRODUCT(('TREASURY FILE'!B558:B5559=$C$4)*('TREASURY FILE'!D558:D5559="TURNOVER")*('TREASURY FILE'!A558:A5559=A659)*('TREASURY FILE'!F558:F5559))</f>
        <v>0</v>
      </c>
      <c r="D659" s="24" cm="1">
        <f t="array" ref="D659">SUMPRODUCT(('TREASURY FILE'!B558:B5559=$D$4)*('TREASURY FILE'!D558:D5559="TURNOVER")*('TREASURY FILE'!A558:A5559=A659)*('TREASURY FILE'!F558:F5559))</f>
        <v>0</v>
      </c>
      <c r="E659" s="31">
        <f t="shared" si="32"/>
        <v>0</v>
      </c>
      <c r="G659" s="24" cm="1">
        <f t="array" ref="G659">SUMPRODUCT(('TREASURY FILE'!B558:B5559=$G$4)*('TREASURY FILE'!D558:D5559="INCOME")*('TREASURY FILE'!A558:A5559=A659)*('TREASURY FILE'!F558:F5559))</f>
        <v>0</v>
      </c>
      <c r="H659" s="24" cm="1">
        <f t="array" ref="H659">SUMPRODUCT(('TREASURY FILE'!B558:B5559=$H$4)*('TREASURY FILE'!D558:D5559="INCOME")*('TREASURY FILE'!A558:A5559=A659)*('TREASURY FILE'!F558:F5559))</f>
        <v>0</v>
      </c>
      <c r="I659" s="24" cm="1">
        <f t="array" ref="I659">SUMPRODUCT(('TREASURY FILE'!D567:D5559=$I$4)*('TREASURY FILE'!F567:F5559="INCOME")*('TREASURY FILE'!C567:C5559=C659)*('TREASURY FILE'!H567:H5559))</f>
        <v>0</v>
      </c>
      <c r="J659" s="31">
        <f t="shared" si="33"/>
        <v>0</v>
      </c>
      <c r="K659" s="33" t="e">
        <f t="shared" si="34"/>
        <v>#DIV/0!</v>
      </c>
    </row>
    <row r="660" spans="1:11" x14ac:dyDescent="0.3">
      <c r="A660" s="30">
        <v>46313</v>
      </c>
      <c r="B660" s="24" cm="1">
        <f t="array" ref="B660">SUMPRODUCT(('TREASURY FILE'!B559:B5560=$B$4)*('TREASURY FILE'!D559:D5560="TURNOVER")*('TREASURY FILE'!A559:A5560=A660)*('TREASURY FILE'!F559:F5560))</f>
        <v>0</v>
      </c>
      <c r="C660" s="24" cm="1">
        <f t="array" ref="C660">SUMPRODUCT(('TREASURY FILE'!B559:B5560=$C$4)*('TREASURY FILE'!D559:D5560="TURNOVER")*('TREASURY FILE'!A559:A5560=A660)*('TREASURY FILE'!F559:F5560))</f>
        <v>0</v>
      </c>
      <c r="D660" s="24" cm="1">
        <f t="array" ref="D660">SUMPRODUCT(('TREASURY FILE'!B559:B5560=$D$4)*('TREASURY FILE'!D559:D5560="TURNOVER")*('TREASURY FILE'!A559:A5560=A660)*('TREASURY FILE'!F559:F5560))</f>
        <v>0</v>
      </c>
      <c r="E660" s="31">
        <f t="shared" si="32"/>
        <v>0</v>
      </c>
      <c r="G660" s="24" cm="1">
        <f t="array" ref="G660">SUMPRODUCT(('TREASURY FILE'!B559:B5560=$G$4)*('TREASURY FILE'!D559:D5560="INCOME")*('TREASURY FILE'!A559:A5560=A660)*('TREASURY FILE'!F559:F5560))</f>
        <v>0</v>
      </c>
      <c r="H660" s="24" cm="1">
        <f t="array" ref="H660">SUMPRODUCT(('TREASURY FILE'!B559:B5560=$H$4)*('TREASURY FILE'!D559:D5560="INCOME")*('TREASURY FILE'!A559:A5560=A660)*('TREASURY FILE'!F559:F5560))</f>
        <v>0</v>
      </c>
      <c r="I660" s="24" cm="1">
        <f t="array" ref="I660">SUMPRODUCT(('TREASURY FILE'!D568:D5560=$I$4)*('TREASURY FILE'!F568:F5560="INCOME")*('TREASURY FILE'!C568:C5560=C660)*('TREASURY FILE'!H568:H5560))</f>
        <v>0</v>
      </c>
      <c r="J660" s="31">
        <f t="shared" si="33"/>
        <v>0</v>
      </c>
      <c r="K660" s="33" t="e">
        <f t="shared" si="34"/>
        <v>#DIV/0!</v>
      </c>
    </row>
    <row r="661" spans="1:11" x14ac:dyDescent="0.3">
      <c r="A661" s="30">
        <v>46314</v>
      </c>
      <c r="B661" s="24" cm="1">
        <f t="array" ref="B661">SUMPRODUCT(('TREASURY FILE'!B560:B5561=$B$4)*('TREASURY FILE'!D560:D5561="TURNOVER")*('TREASURY FILE'!A560:A5561=A661)*('TREASURY FILE'!F560:F5561))</f>
        <v>0</v>
      </c>
      <c r="C661" s="24" cm="1">
        <f t="array" ref="C661">SUMPRODUCT(('TREASURY FILE'!B560:B5561=$C$4)*('TREASURY FILE'!D560:D5561="TURNOVER")*('TREASURY FILE'!A560:A5561=A661)*('TREASURY FILE'!F560:F5561))</f>
        <v>0</v>
      </c>
      <c r="D661" s="24" cm="1">
        <f t="array" ref="D661">SUMPRODUCT(('TREASURY FILE'!B560:B5561=$D$4)*('TREASURY FILE'!D560:D5561="TURNOVER")*('TREASURY FILE'!A560:A5561=A661)*('TREASURY FILE'!F560:F5561))</f>
        <v>0</v>
      </c>
      <c r="E661" s="31">
        <f t="shared" si="32"/>
        <v>0</v>
      </c>
      <c r="G661" s="24" cm="1">
        <f t="array" ref="G661">SUMPRODUCT(('TREASURY FILE'!B560:B5561=$G$4)*('TREASURY FILE'!D560:D5561="INCOME")*('TREASURY FILE'!A560:A5561=A661)*('TREASURY FILE'!F560:F5561))</f>
        <v>0</v>
      </c>
      <c r="H661" s="24" cm="1">
        <f t="array" ref="H661">SUMPRODUCT(('TREASURY FILE'!B560:B5561=$H$4)*('TREASURY FILE'!D560:D5561="INCOME")*('TREASURY FILE'!A560:A5561=A661)*('TREASURY FILE'!F560:F5561))</f>
        <v>0</v>
      </c>
      <c r="I661" s="24" cm="1">
        <f t="array" ref="I661">SUMPRODUCT(('TREASURY FILE'!D569:D5561=$I$4)*('TREASURY FILE'!F569:F5561="INCOME")*('TREASURY FILE'!C569:C5561=C661)*('TREASURY FILE'!H569:H5561))</f>
        <v>0</v>
      </c>
      <c r="J661" s="31">
        <f t="shared" si="33"/>
        <v>0</v>
      </c>
      <c r="K661" s="33" t="e">
        <f t="shared" si="34"/>
        <v>#DIV/0!</v>
      </c>
    </row>
    <row r="662" spans="1:11" x14ac:dyDescent="0.3">
      <c r="A662" s="30">
        <v>46315</v>
      </c>
      <c r="B662" s="24" cm="1">
        <f t="array" ref="B662">SUMPRODUCT(('TREASURY FILE'!B561:B5562=$B$4)*('TREASURY FILE'!D561:D5562="TURNOVER")*('TREASURY FILE'!A561:A5562=A662)*('TREASURY FILE'!F561:F5562))</f>
        <v>0</v>
      </c>
      <c r="C662" s="24" cm="1">
        <f t="array" ref="C662">SUMPRODUCT(('TREASURY FILE'!B561:B5562=$C$4)*('TREASURY FILE'!D561:D5562="TURNOVER")*('TREASURY FILE'!A561:A5562=A662)*('TREASURY FILE'!F561:F5562))</f>
        <v>0</v>
      </c>
      <c r="D662" s="24" cm="1">
        <f t="array" ref="D662">SUMPRODUCT(('TREASURY FILE'!B561:B5562=$D$4)*('TREASURY FILE'!D561:D5562="TURNOVER")*('TREASURY FILE'!A561:A5562=A662)*('TREASURY FILE'!F561:F5562))</f>
        <v>0</v>
      </c>
      <c r="E662" s="31">
        <f t="shared" si="32"/>
        <v>0</v>
      </c>
      <c r="G662" s="24" cm="1">
        <f t="array" ref="G662">SUMPRODUCT(('TREASURY FILE'!B561:B5562=$G$4)*('TREASURY FILE'!D561:D5562="INCOME")*('TREASURY FILE'!A561:A5562=A662)*('TREASURY FILE'!F561:F5562))</f>
        <v>0</v>
      </c>
      <c r="H662" s="24" cm="1">
        <f t="array" ref="H662">SUMPRODUCT(('TREASURY FILE'!B561:B5562=$H$4)*('TREASURY FILE'!D561:D5562="INCOME")*('TREASURY FILE'!A561:A5562=A662)*('TREASURY FILE'!F561:F5562))</f>
        <v>0</v>
      </c>
      <c r="I662" s="24" cm="1">
        <f t="array" ref="I662">SUMPRODUCT(('TREASURY FILE'!D570:D5562=$I$4)*('TREASURY FILE'!F570:F5562="INCOME")*('TREASURY FILE'!C570:C5562=C662)*('TREASURY FILE'!H570:H5562))</f>
        <v>0</v>
      </c>
      <c r="J662" s="31">
        <f t="shared" si="33"/>
        <v>0</v>
      </c>
      <c r="K662" s="33" t="e">
        <f t="shared" si="34"/>
        <v>#DIV/0!</v>
      </c>
    </row>
    <row r="663" spans="1:11" x14ac:dyDescent="0.3">
      <c r="A663" s="30">
        <v>46316</v>
      </c>
      <c r="B663" s="24" cm="1">
        <f t="array" ref="B663">SUMPRODUCT(('TREASURY FILE'!B562:B5563=$B$4)*('TREASURY FILE'!D562:D5563="TURNOVER")*('TREASURY FILE'!A562:A5563=A663)*('TREASURY FILE'!F562:F5563))</f>
        <v>0</v>
      </c>
      <c r="C663" s="24" cm="1">
        <f t="array" ref="C663">SUMPRODUCT(('TREASURY FILE'!B562:B5563=$C$4)*('TREASURY FILE'!D562:D5563="TURNOVER")*('TREASURY FILE'!A562:A5563=A663)*('TREASURY FILE'!F562:F5563))</f>
        <v>0</v>
      </c>
      <c r="D663" s="24" cm="1">
        <f t="array" ref="D663">SUMPRODUCT(('TREASURY FILE'!B562:B5563=$D$4)*('TREASURY FILE'!D562:D5563="TURNOVER")*('TREASURY FILE'!A562:A5563=A663)*('TREASURY FILE'!F562:F5563))</f>
        <v>0</v>
      </c>
      <c r="E663" s="31">
        <f t="shared" si="32"/>
        <v>0</v>
      </c>
      <c r="G663" s="24" cm="1">
        <f t="array" ref="G663">SUMPRODUCT(('TREASURY FILE'!B562:B5563=$G$4)*('TREASURY FILE'!D562:D5563="INCOME")*('TREASURY FILE'!A562:A5563=A663)*('TREASURY FILE'!F562:F5563))</f>
        <v>0</v>
      </c>
      <c r="H663" s="24" cm="1">
        <f t="array" ref="H663">SUMPRODUCT(('TREASURY FILE'!B562:B5563=$H$4)*('TREASURY FILE'!D562:D5563="INCOME")*('TREASURY FILE'!A562:A5563=A663)*('TREASURY FILE'!F562:F5563))</f>
        <v>0</v>
      </c>
      <c r="I663" s="24" cm="1">
        <f t="array" ref="I663">SUMPRODUCT(('TREASURY FILE'!D571:D5563=$I$4)*('TREASURY FILE'!F571:F5563="INCOME")*('TREASURY FILE'!C571:C5563=C663)*('TREASURY FILE'!H571:H5563))</f>
        <v>0</v>
      </c>
      <c r="J663" s="31">
        <f t="shared" si="33"/>
        <v>0</v>
      </c>
      <c r="K663" s="33" t="e">
        <f t="shared" si="34"/>
        <v>#DIV/0!</v>
      </c>
    </row>
    <row r="664" spans="1:11" x14ac:dyDescent="0.3">
      <c r="A664" s="30">
        <v>46317</v>
      </c>
      <c r="B664" s="24" cm="1">
        <f t="array" ref="B664">SUMPRODUCT(('TREASURY FILE'!B563:B5564=$B$4)*('TREASURY FILE'!D563:D5564="TURNOVER")*('TREASURY FILE'!A563:A5564=A664)*('TREASURY FILE'!F563:F5564))</f>
        <v>0</v>
      </c>
      <c r="C664" s="24" cm="1">
        <f t="array" ref="C664">SUMPRODUCT(('TREASURY FILE'!B563:B5564=$C$4)*('TREASURY FILE'!D563:D5564="TURNOVER")*('TREASURY FILE'!A563:A5564=A664)*('TREASURY FILE'!F563:F5564))</f>
        <v>0</v>
      </c>
      <c r="D664" s="24" cm="1">
        <f t="array" ref="D664">SUMPRODUCT(('TREASURY FILE'!B563:B5564=$D$4)*('TREASURY FILE'!D563:D5564="TURNOVER")*('TREASURY FILE'!A563:A5564=A664)*('TREASURY FILE'!F563:F5564))</f>
        <v>0</v>
      </c>
      <c r="E664" s="31">
        <f t="shared" si="32"/>
        <v>0</v>
      </c>
      <c r="G664" s="24" cm="1">
        <f t="array" ref="G664">SUMPRODUCT(('TREASURY FILE'!B563:B5564=$G$4)*('TREASURY FILE'!D563:D5564="INCOME")*('TREASURY FILE'!A563:A5564=A664)*('TREASURY FILE'!F563:F5564))</f>
        <v>0</v>
      </c>
      <c r="H664" s="24" cm="1">
        <f t="array" ref="H664">SUMPRODUCT(('TREASURY FILE'!B563:B5564=$H$4)*('TREASURY FILE'!D563:D5564="INCOME")*('TREASURY FILE'!A563:A5564=A664)*('TREASURY FILE'!F563:F5564))</f>
        <v>0</v>
      </c>
      <c r="I664" s="24" cm="1">
        <f t="array" ref="I664">SUMPRODUCT(('TREASURY FILE'!D572:D5564=$I$4)*('TREASURY FILE'!F572:F5564="INCOME")*('TREASURY FILE'!C572:C5564=C664)*('TREASURY FILE'!H572:H5564))</f>
        <v>0</v>
      </c>
      <c r="J664" s="31">
        <f t="shared" si="33"/>
        <v>0</v>
      </c>
      <c r="K664" s="33" t="e">
        <f t="shared" si="34"/>
        <v>#DIV/0!</v>
      </c>
    </row>
    <row r="665" spans="1:11" x14ac:dyDescent="0.3">
      <c r="A665" s="30">
        <v>46318</v>
      </c>
      <c r="B665" s="24" cm="1">
        <f t="array" ref="B665">SUMPRODUCT(('TREASURY FILE'!B564:B5565=$B$4)*('TREASURY FILE'!D564:D5565="TURNOVER")*('TREASURY FILE'!A564:A5565=A665)*('TREASURY FILE'!F564:F5565))</f>
        <v>0</v>
      </c>
      <c r="C665" s="24" cm="1">
        <f t="array" ref="C665">SUMPRODUCT(('TREASURY FILE'!B564:B5565=$C$4)*('TREASURY FILE'!D564:D5565="TURNOVER")*('TREASURY FILE'!A564:A5565=A665)*('TREASURY FILE'!F564:F5565))</f>
        <v>0</v>
      </c>
      <c r="D665" s="24" cm="1">
        <f t="array" ref="D665">SUMPRODUCT(('TREASURY FILE'!B564:B5565=$D$4)*('TREASURY FILE'!D564:D5565="TURNOVER")*('TREASURY FILE'!A564:A5565=A665)*('TREASURY FILE'!F564:F5565))</f>
        <v>0</v>
      </c>
      <c r="E665" s="31">
        <f t="shared" si="32"/>
        <v>0</v>
      </c>
      <c r="G665" s="24" cm="1">
        <f t="array" ref="G665">SUMPRODUCT(('TREASURY FILE'!B564:B5565=$G$4)*('TREASURY FILE'!D564:D5565="INCOME")*('TREASURY FILE'!A564:A5565=A665)*('TREASURY FILE'!F564:F5565))</f>
        <v>0</v>
      </c>
      <c r="H665" s="24" cm="1">
        <f t="array" ref="H665">SUMPRODUCT(('TREASURY FILE'!B564:B5565=$H$4)*('TREASURY FILE'!D564:D5565="INCOME")*('TREASURY FILE'!A564:A5565=A665)*('TREASURY FILE'!F564:F5565))</f>
        <v>0</v>
      </c>
      <c r="I665" s="24" cm="1">
        <f t="array" ref="I665">SUMPRODUCT(('TREASURY FILE'!D573:D5565=$I$4)*('TREASURY FILE'!F573:F5565="INCOME")*('TREASURY FILE'!C573:C5565=C665)*('TREASURY FILE'!H573:H5565))</f>
        <v>0</v>
      </c>
      <c r="J665" s="31">
        <f t="shared" si="33"/>
        <v>0</v>
      </c>
      <c r="K665" s="33" t="e">
        <f t="shared" si="34"/>
        <v>#DIV/0!</v>
      </c>
    </row>
    <row r="666" spans="1:11" x14ac:dyDescent="0.3">
      <c r="A666" s="30">
        <v>46319</v>
      </c>
      <c r="B666" s="24" cm="1">
        <f t="array" ref="B666">SUMPRODUCT(('TREASURY FILE'!B565:B5566=$B$4)*('TREASURY FILE'!D565:D5566="TURNOVER")*('TREASURY FILE'!A565:A5566=A666)*('TREASURY FILE'!F565:F5566))</f>
        <v>0</v>
      </c>
      <c r="C666" s="24" cm="1">
        <f t="array" ref="C666">SUMPRODUCT(('TREASURY FILE'!B565:B5566=$C$4)*('TREASURY FILE'!D565:D5566="TURNOVER")*('TREASURY FILE'!A565:A5566=A666)*('TREASURY FILE'!F565:F5566))</f>
        <v>0</v>
      </c>
      <c r="D666" s="24" cm="1">
        <f t="array" ref="D666">SUMPRODUCT(('TREASURY FILE'!B565:B5566=$D$4)*('TREASURY FILE'!D565:D5566="TURNOVER")*('TREASURY FILE'!A565:A5566=A666)*('TREASURY FILE'!F565:F5566))</f>
        <v>0</v>
      </c>
      <c r="E666" s="31">
        <f t="shared" si="32"/>
        <v>0</v>
      </c>
      <c r="G666" s="24" cm="1">
        <f t="array" ref="G666">SUMPRODUCT(('TREASURY FILE'!B565:B5566=$G$4)*('TREASURY FILE'!D565:D5566="INCOME")*('TREASURY FILE'!A565:A5566=A666)*('TREASURY FILE'!F565:F5566))</f>
        <v>0</v>
      </c>
      <c r="H666" s="24" cm="1">
        <f t="array" ref="H666">SUMPRODUCT(('TREASURY FILE'!B565:B5566=$H$4)*('TREASURY FILE'!D565:D5566="INCOME")*('TREASURY FILE'!A565:A5566=A666)*('TREASURY FILE'!F565:F5566))</f>
        <v>0</v>
      </c>
      <c r="I666" s="24" cm="1">
        <f t="array" ref="I666">SUMPRODUCT(('TREASURY FILE'!D574:D5566=$I$4)*('TREASURY FILE'!F574:F5566="INCOME")*('TREASURY FILE'!C574:C5566=C666)*('TREASURY FILE'!H574:H5566))</f>
        <v>0</v>
      </c>
      <c r="J666" s="31">
        <f t="shared" si="33"/>
        <v>0</v>
      </c>
      <c r="K666" s="33" t="e">
        <f t="shared" si="34"/>
        <v>#DIV/0!</v>
      </c>
    </row>
    <row r="667" spans="1:11" x14ac:dyDescent="0.3">
      <c r="A667" s="30">
        <v>46320</v>
      </c>
      <c r="B667" s="24" cm="1">
        <f t="array" ref="B667">SUMPRODUCT(('TREASURY FILE'!B566:B5567=$B$4)*('TREASURY FILE'!D566:D5567="TURNOVER")*('TREASURY FILE'!A566:A5567=A667)*('TREASURY FILE'!F566:F5567))</f>
        <v>0</v>
      </c>
      <c r="C667" s="24" cm="1">
        <f t="array" ref="C667">SUMPRODUCT(('TREASURY FILE'!B566:B5567=$C$4)*('TREASURY FILE'!D566:D5567="TURNOVER")*('TREASURY FILE'!A566:A5567=A667)*('TREASURY FILE'!F566:F5567))</f>
        <v>0</v>
      </c>
      <c r="D667" s="24" cm="1">
        <f t="array" ref="D667">SUMPRODUCT(('TREASURY FILE'!B566:B5567=$D$4)*('TREASURY FILE'!D566:D5567="TURNOVER")*('TREASURY FILE'!A566:A5567=A667)*('TREASURY FILE'!F566:F5567))</f>
        <v>0</v>
      </c>
      <c r="E667" s="31">
        <f t="shared" si="32"/>
        <v>0</v>
      </c>
      <c r="G667" s="24" cm="1">
        <f t="array" ref="G667">SUMPRODUCT(('TREASURY FILE'!B566:B5567=$G$4)*('TREASURY FILE'!D566:D5567="INCOME")*('TREASURY FILE'!A566:A5567=A667)*('TREASURY FILE'!F566:F5567))</f>
        <v>0</v>
      </c>
      <c r="H667" s="24" cm="1">
        <f t="array" ref="H667">SUMPRODUCT(('TREASURY FILE'!B566:B5567=$H$4)*('TREASURY FILE'!D566:D5567="INCOME")*('TREASURY FILE'!A566:A5567=A667)*('TREASURY FILE'!F566:F5567))</f>
        <v>0</v>
      </c>
      <c r="I667" s="24" cm="1">
        <f t="array" ref="I667">SUMPRODUCT(('TREASURY FILE'!D575:D5567=$I$4)*('TREASURY FILE'!F575:F5567="INCOME")*('TREASURY FILE'!C575:C5567=C667)*('TREASURY FILE'!H575:H5567))</f>
        <v>0</v>
      </c>
      <c r="J667" s="31">
        <f t="shared" si="33"/>
        <v>0</v>
      </c>
      <c r="K667" s="33" t="e">
        <f t="shared" si="34"/>
        <v>#DIV/0!</v>
      </c>
    </row>
    <row r="668" spans="1:11" x14ac:dyDescent="0.3">
      <c r="A668" s="30">
        <v>46321</v>
      </c>
      <c r="B668" s="24" cm="1">
        <f t="array" ref="B668">SUMPRODUCT(('TREASURY FILE'!B567:B5568=$B$4)*('TREASURY FILE'!D567:D5568="TURNOVER")*('TREASURY FILE'!A567:A5568=A668)*('TREASURY FILE'!F567:F5568))</f>
        <v>0</v>
      </c>
      <c r="C668" s="24" cm="1">
        <f t="array" ref="C668">SUMPRODUCT(('TREASURY FILE'!B567:B5568=$C$4)*('TREASURY FILE'!D567:D5568="TURNOVER")*('TREASURY FILE'!A567:A5568=A668)*('TREASURY FILE'!F567:F5568))</f>
        <v>0</v>
      </c>
      <c r="D668" s="24" cm="1">
        <f t="array" ref="D668">SUMPRODUCT(('TREASURY FILE'!B567:B5568=$D$4)*('TREASURY FILE'!D567:D5568="TURNOVER")*('TREASURY FILE'!A567:A5568=A668)*('TREASURY FILE'!F567:F5568))</f>
        <v>0</v>
      </c>
      <c r="E668" s="31">
        <f t="shared" si="32"/>
        <v>0</v>
      </c>
      <c r="G668" s="24" cm="1">
        <f t="array" ref="G668">SUMPRODUCT(('TREASURY FILE'!B567:B5568=$G$4)*('TREASURY FILE'!D567:D5568="INCOME")*('TREASURY FILE'!A567:A5568=A668)*('TREASURY FILE'!F567:F5568))</f>
        <v>0</v>
      </c>
      <c r="H668" s="24" cm="1">
        <f t="array" ref="H668">SUMPRODUCT(('TREASURY FILE'!B567:B5568=$H$4)*('TREASURY FILE'!D567:D5568="INCOME")*('TREASURY FILE'!A567:A5568=A668)*('TREASURY FILE'!F567:F5568))</f>
        <v>0</v>
      </c>
      <c r="I668" s="24" cm="1">
        <f t="array" ref="I668">SUMPRODUCT(('TREASURY FILE'!D576:D5568=$I$4)*('TREASURY FILE'!F576:F5568="INCOME")*('TREASURY FILE'!C576:C5568=C668)*('TREASURY FILE'!H576:H5568))</f>
        <v>0</v>
      </c>
      <c r="J668" s="31">
        <f t="shared" si="33"/>
        <v>0</v>
      </c>
      <c r="K668" s="33" t="e">
        <f t="shared" si="34"/>
        <v>#DIV/0!</v>
      </c>
    </row>
    <row r="669" spans="1:11" x14ac:dyDescent="0.3">
      <c r="A669" s="30">
        <v>46322</v>
      </c>
      <c r="B669" s="24" cm="1">
        <f t="array" ref="B669">SUMPRODUCT(('TREASURY FILE'!B568:B5569=$B$4)*('TREASURY FILE'!D568:D5569="TURNOVER")*('TREASURY FILE'!A568:A5569=A669)*('TREASURY FILE'!F568:F5569))</f>
        <v>0</v>
      </c>
      <c r="C669" s="24" cm="1">
        <f t="array" ref="C669">SUMPRODUCT(('TREASURY FILE'!B568:B5569=$C$4)*('TREASURY FILE'!D568:D5569="TURNOVER")*('TREASURY FILE'!A568:A5569=A669)*('TREASURY FILE'!F568:F5569))</f>
        <v>0</v>
      </c>
      <c r="D669" s="24" cm="1">
        <f t="array" ref="D669">SUMPRODUCT(('TREASURY FILE'!B568:B5569=$D$4)*('TREASURY FILE'!D568:D5569="TURNOVER")*('TREASURY FILE'!A568:A5569=A669)*('TREASURY FILE'!F568:F5569))</f>
        <v>0</v>
      </c>
      <c r="E669" s="31">
        <f t="shared" si="32"/>
        <v>0</v>
      </c>
      <c r="G669" s="24" cm="1">
        <f t="array" ref="G669">SUMPRODUCT(('TREASURY FILE'!B568:B5569=$G$4)*('TREASURY FILE'!D568:D5569="INCOME")*('TREASURY FILE'!A568:A5569=A669)*('TREASURY FILE'!F568:F5569))</f>
        <v>0</v>
      </c>
      <c r="H669" s="24" cm="1">
        <f t="array" ref="H669">SUMPRODUCT(('TREASURY FILE'!B568:B5569=$H$4)*('TREASURY FILE'!D568:D5569="INCOME")*('TREASURY FILE'!A568:A5569=A669)*('TREASURY FILE'!F568:F5569))</f>
        <v>0</v>
      </c>
      <c r="I669" s="24" cm="1">
        <f t="array" ref="I669">SUMPRODUCT(('TREASURY FILE'!D577:D5569=$I$4)*('TREASURY FILE'!F577:F5569="INCOME")*('TREASURY FILE'!C577:C5569=C669)*('TREASURY FILE'!H577:H5569))</f>
        <v>0</v>
      </c>
      <c r="J669" s="31">
        <f t="shared" si="33"/>
        <v>0</v>
      </c>
      <c r="K669" s="33" t="e">
        <f t="shared" si="34"/>
        <v>#DIV/0!</v>
      </c>
    </row>
    <row r="670" spans="1:11" x14ac:dyDescent="0.3">
      <c r="A670" s="30">
        <v>46323</v>
      </c>
      <c r="B670" s="24" cm="1">
        <f t="array" ref="B670">SUMPRODUCT(('TREASURY FILE'!B569:B5570=$B$4)*('TREASURY FILE'!D569:D5570="TURNOVER")*('TREASURY FILE'!A569:A5570=A670)*('TREASURY FILE'!F569:F5570))</f>
        <v>0</v>
      </c>
      <c r="C670" s="24" cm="1">
        <f t="array" ref="C670">SUMPRODUCT(('TREASURY FILE'!B569:B5570=$C$4)*('TREASURY FILE'!D569:D5570="TURNOVER")*('TREASURY FILE'!A569:A5570=A670)*('TREASURY FILE'!F569:F5570))</f>
        <v>0</v>
      </c>
      <c r="D670" s="24" cm="1">
        <f t="array" ref="D670">SUMPRODUCT(('TREASURY FILE'!B569:B5570=$D$4)*('TREASURY FILE'!D569:D5570="TURNOVER")*('TREASURY FILE'!A569:A5570=A670)*('TREASURY FILE'!F569:F5570))</f>
        <v>0</v>
      </c>
      <c r="E670" s="31">
        <f t="shared" si="32"/>
        <v>0</v>
      </c>
      <c r="G670" s="24" cm="1">
        <f t="array" ref="G670">SUMPRODUCT(('TREASURY FILE'!B569:B5570=$G$4)*('TREASURY FILE'!D569:D5570="INCOME")*('TREASURY FILE'!A569:A5570=A670)*('TREASURY FILE'!F569:F5570))</f>
        <v>0</v>
      </c>
      <c r="H670" s="24" cm="1">
        <f t="array" ref="H670">SUMPRODUCT(('TREASURY FILE'!B569:B5570=$H$4)*('TREASURY FILE'!D569:D5570="INCOME")*('TREASURY FILE'!A569:A5570=A670)*('TREASURY FILE'!F569:F5570))</f>
        <v>0</v>
      </c>
      <c r="I670" s="24" cm="1">
        <f t="array" ref="I670">SUMPRODUCT(('TREASURY FILE'!D578:D5570=$I$4)*('TREASURY FILE'!F578:F5570="INCOME")*('TREASURY FILE'!C578:C5570=C670)*('TREASURY FILE'!H578:H5570))</f>
        <v>0</v>
      </c>
      <c r="J670" s="31">
        <f t="shared" si="33"/>
        <v>0</v>
      </c>
      <c r="K670" s="33" t="e">
        <f t="shared" si="34"/>
        <v>#DIV/0!</v>
      </c>
    </row>
    <row r="671" spans="1:11" x14ac:dyDescent="0.3">
      <c r="A671" s="30">
        <v>46324</v>
      </c>
      <c r="B671" s="24" cm="1">
        <f t="array" ref="B671">SUMPRODUCT(('TREASURY FILE'!B570:B5571=$B$4)*('TREASURY FILE'!D570:D5571="TURNOVER")*('TREASURY FILE'!A570:A5571=A671)*('TREASURY FILE'!F570:F5571))</f>
        <v>0</v>
      </c>
      <c r="C671" s="24" cm="1">
        <f t="array" ref="C671">SUMPRODUCT(('TREASURY FILE'!B570:B5571=$C$4)*('TREASURY FILE'!D570:D5571="TURNOVER")*('TREASURY FILE'!A570:A5571=A671)*('TREASURY FILE'!F570:F5571))</f>
        <v>0</v>
      </c>
      <c r="D671" s="24" cm="1">
        <f t="array" ref="D671">SUMPRODUCT(('TREASURY FILE'!B570:B5571=$D$4)*('TREASURY FILE'!D570:D5571="TURNOVER")*('TREASURY FILE'!A570:A5571=A671)*('TREASURY FILE'!F570:F5571))</f>
        <v>0</v>
      </c>
      <c r="E671" s="31">
        <f t="shared" si="32"/>
        <v>0</v>
      </c>
      <c r="G671" s="24" cm="1">
        <f t="array" ref="G671">SUMPRODUCT(('TREASURY FILE'!B570:B5571=$G$4)*('TREASURY FILE'!D570:D5571="INCOME")*('TREASURY FILE'!A570:A5571=A671)*('TREASURY FILE'!F570:F5571))</f>
        <v>0</v>
      </c>
      <c r="H671" s="24" cm="1">
        <f t="array" ref="H671">SUMPRODUCT(('TREASURY FILE'!B570:B5571=$H$4)*('TREASURY FILE'!D570:D5571="INCOME")*('TREASURY FILE'!A570:A5571=A671)*('TREASURY FILE'!F570:F5571))</f>
        <v>0</v>
      </c>
      <c r="I671" s="24" cm="1">
        <f t="array" ref="I671">SUMPRODUCT(('TREASURY FILE'!D579:D5571=$I$4)*('TREASURY FILE'!F579:F5571="INCOME")*('TREASURY FILE'!C579:C5571=C671)*('TREASURY FILE'!H579:H5571))</f>
        <v>0</v>
      </c>
      <c r="J671" s="31">
        <f t="shared" si="33"/>
        <v>0</v>
      </c>
      <c r="K671" s="33" t="e">
        <f t="shared" si="34"/>
        <v>#DIV/0!</v>
      </c>
    </row>
    <row r="672" spans="1:11" x14ac:dyDescent="0.3">
      <c r="A672" s="30">
        <v>46325</v>
      </c>
      <c r="B672" s="24" cm="1">
        <f t="array" ref="B672">SUMPRODUCT(('TREASURY FILE'!B571:B5572=$B$4)*('TREASURY FILE'!D571:D5572="TURNOVER")*('TREASURY FILE'!A571:A5572=A672)*('TREASURY FILE'!F571:F5572))</f>
        <v>0</v>
      </c>
      <c r="C672" s="24" cm="1">
        <f t="array" ref="C672">SUMPRODUCT(('TREASURY FILE'!B571:B5572=$C$4)*('TREASURY FILE'!D571:D5572="TURNOVER")*('TREASURY FILE'!A571:A5572=A672)*('TREASURY FILE'!F571:F5572))</f>
        <v>0</v>
      </c>
      <c r="D672" s="24" cm="1">
        <f t="array" ref="D672">SUMPRODUCT(('TREASURY FILE'!B571:B5572=$D$4)*('TREASURY FILE'!D571:D5572="TURNOVER")*('TREASURY FILE'!A571:A5572=A672)*('TREASURY FILE'!F571:F5572))</f>
        <v>0</v>
      </c>
      <c r="E672" s="31">
        <f t="shared" si="32"/>
        <v>0</v>
      </c>
      <c r="G672" s="24" cm="1">
        <f t="array" ref="G672">SUMPRODUCT(('TREASURY FILE'!B571:B5572=$G$4)*('TREASURY FILE'!D571:D5572="INCOME")*('TREASURY FILE'!A571:A5572=A672)*('TREASURY FILE'!F571:F5572))</f>
        <v>0</v>
      </c>
      <c r="H672" s="24" cm="1">
        <f t="array" ref="H672">SUMPRODUCT(('TREASURY FILE'!B571:B5572=$H$4)*('TREASURY FILE'!D571:D5572="INCOME")*('TREASURY FILE'!A571:A5572=A672)*('TREASURY FILE'!F571:F5572))</f>
        <v>0</v>
      </c>
      <c r="I672" s="24" cm="1">
        <f t="array" ref="I672">SUMPRODUCT(('TREASURY FILE'!D580:D5572=$I$4)*('TREASURY FILE'!F580:F5572="INCOME")*('TREASURY FILE'!C580:C5572=C672)*('TREASURY FILE'!H580:H5572))</f>
        <v>0</v>
      </c>
      <c r="J672" s="31">
        <f t="shared" si="33"/>
        <v>0</v>
      </c>
      <c r="K672" s="33" t="e">
        <f t="shared" si="34"/>
        <v>#DIV/0!</v>
      </c>
    </row>
    <row r="673" spans="1:11" x14ac:dyDescent="0.3">
      <c r="A673" s="30">
        <v>46326</v>
      </c>
      <c r="B673" s="24" cm="1">
        <f t="array" ref="B673">SUMPRODUCT(('TREASURY FILE'!B572:B5573=$B$4)*('TREASURY FILE'!D572:D5573="TURNOVER")*('TREASURY FILE'!A572:A5573=A673)*('TREASURY FILE'!F572:F5573))</f>
        <v>0</v>
      </c>
      <c r="C673" s="24" cm="1">
        <f t="array" ref="C673">SUMPRODUCT(('TREASURY FILE'!B572:B5573=$C$4)*('TREASURY FILE'!D572:D5573="TURNOVER")*('TREASURY FILE'!A572:A5573=A673)*('TREASURY FILE'!F572:F5573))</f>
        <v>0</v>
      </c>
      <c r="D673" s="24" cm="1">
        <f t="array" ref="D673">SUMPRODUCT(('TREASURY FILE'!B572:B5573=$D$4)*('TREASURY FILE'!D572:D5573="TURNOVER")*('TREASURY FILE'!A572:A5573=A673)*('TREASURY FILE'!F572:F5573))</f>
        <v>0</v>
      </c>
      <c r="E673" s="31">
        <f t="shared" si="32"/>
        <v>0</v>
      </c>
      <c r="G673" s="24" cm="1">
        <f t="array" ref="G673">SUMPRODUCT(('TREASURY FILE'!B572:B5573=$G$4)*('TREASURY FILE'!D572:D5573="INCOME")*('TREASURY FILE'!A572:A5573=A673)*('TREASURY FILE'!F572:F5573))</f>
        <v>0</v>
      </c>
      <c r="H673" s="24" cm="1">
        <f t="array" ref="H673">SUMPRODUCT(('TREASURY FILE'!B572:B5573=$H$4)*('TREASURY FILE'!D572:D5573="INCOME")*('TREASURY FILE'!A572:A5573=A673)*('TREASURY FILE'!F572:F5573))</f>
        <v>0</v>
      </c>
      <c r="I673" s="24" cm="1">
        <f t="array" ref="I673">SUMPRODUCT(('TREASURY FILE'!D581:D5573=$I$4)*('TREASURY FILE'!F581:F5573="INCOME")*('TREASURY FILE'!C581:C5573=C673)*('TREASURY FILE'!H581:H5573))</f>
        <v>0</v>
      </c>
      <c r="J673" s="31">
        <f t="shared" si="33"/>
        <v>0</v>
      </c>
      <c r="K673" s="33" t="e">
        <f t="shared" si="34"/>
        <v>#DIV/0!</v>
      </c>
    </row>
    <row r="674" spans="1:11" x14ac:dyDescent="0.3">
      <c r="A674" s="30">
        <v>46327</v>
      </c>
      <c r="B674" s="24" cm="1">
        <f t="array" ref="B674">SUMPRODUCT(('TREASURY FILE'!B573:B5574=$B$4)*('TREASURY FILE'!D573:D5574="TURNOVER")*('TREASURY FILE'!A573:A5574=A674)*('TREASURY FILE'!F573:F5574))</f>
        <v>0</v>
      </c>
      <c r="C674" s="24" cm="1">
        <f t="array" ref="C674">SUMPRODUCT(('TREASURY FILE'!B573:B5574=$C$4)*('TREASURY FILE'!D573:D5574="TURNOVER")*('TREASURY FILE'!A573:A5574=A674)*('TREASURY FILE'!F573:F5574))</f>
        <v>0</v>
      </c>
      <c r="D674" s="24" cm="1">
        <f t="array" ref="D674">SUMPRODUCT(('TREASURY FILE'!B573:B5574=$D$4)*('TREASURY FILE'!D573:D5574="TURNOVER")*('TREASURY FILE'!A573:A5574=A674)*('TREASURY FILE'!F573:F5574))</f>
        <v>0</v>
      </c>
      <c r="E674" s="31">
        <f t="shared" si="32"/>
        <v>0</v>
      </c>
      <c r="G674" s="24" cm="1">
        <f t="array" ref="G674">SUMPRODUCT(('TREASURY FILE'!B573:B5574=$G$4)*('TREASURY FILE'!D573:D5574="INCOME")*('TREASURY FILE'!A573:A5574=A674)*('TREASURY FILE'!F573:F5574))</f>
        <v>0</v>
      </c>
      <c r="H674" s="24" cm="1">
        <f t="array" ref="H674">SUMPRODUCT(('TREASURY FILE'!B573:B5574=$H$4)*('TREASURY FILE'!D573:D5574="INCOME")*('TREASURY FILE'!A573:A5574=A674)*('TREASURY FILE'!F573:F5574))</f>
        <v>0</v>
      </c>
      <c r="I674" s="24" cm="1">
        <f t="array" ref="I674">SUMPRODUCT(('TREASURY FILE'!D582:D5574=$I$4)*('TREASURY FILE'!F582:F5574="INCOME")*('TREASURY FILE'!C582:C5574=C674)*('TREASURY FILE'!H582:H5574))</f>
        <v>0</v>
      </c>
      <c r="J674" s="31">
        <f t="shared" si="33"/>
        <v>0</v>
      </c>
      <c r="K674" s="33" t="e">
        <f t="shared" si="34"/>
        <v>#DIV/0!</v>
      </c>
    </row>
    <row r="675" spans="1:11" x14ac:dyDescent="0.3">
      <c r="A675" s="30">
        <v>46328</v>
      </c>
      <c r="B675" s="24" cm="1">
        <f t="array" ref="B675">SUMPRODUCT(('TREASURY FILE'!B574:B5575=$B$4)*('TREASURY FILE'!D574:D5575="TURNOVER")*('TREASURY FILE'!A574:A5575=A675)*('TREASURY FILE'!F574:F5575))</f>
        <v>0</v>
      </c>
      <c r="C675" s="24" cm="1">
        <f t="array" ref="C675">SUMPRODUCT(('TREASURY FILE'!B574:B5575=$C$4)*('TREASURY FILE'!D574:D5575="TURNOVER")*('TREASURY FILE'!A574:A5575=A675)*('TREASURY FILE'!F574:F5575))</f>
        <v>0</v>
      </c>
      <c r="D675" s="24" cm="1">
        <f t="array" ref="D675">SUMPRODUCT(('TREASURY FILE'!B574:B5575=$D$4)*('TREASURY FILE'!D574:D5575="TURNOVER")*('TREASURY FILE'!A574:A5575=A675)*('TREASURY FILE'!F574:F5575))</f>
        <v>0</v>
      </c>
      <c r="E675" s="31">
        <f t="shared" si="32"/>
        <v>0</v>
      </c>
      <c r="G675" s="24" cm="1">
        <f t="array" ref="G675">SUMPRODUCT(('TREASURY FILE'!B574:B5575=$G$4)*('TREASURY FILE'!D574:D5575="INCOME")*('TREASURY FILE'!A574:A5575=A675)*('TREASURY FILE'!F574:F5575))</f>
        <v>0</v>
      </c>
      <c r="H675" s="24" cm="1">
        <f t="array" ref="H675">SUMPRODUCT(('TREASURY FILE'!B574:B5575=$H$4)*('TREASURY FILE'!D574:D5575="INCOME")*('TREASURY FILE'!A574:A5575=A675)*('TREASURY FILE'!F574:F5575))</f>
        <v>0</v>
      </c>
      <c r="I675" s="24" cm="1">
        <f t="array" ref="I675">SUMPRODUCT(('TREASURY FILE'!D583:D5575=$I$4)*('TREASURY FILE'!F583:F5575="INCOME")*('TREASURY FILE'!C583:C5575=C675)*('TREASURY FILE'!H583:H5575))</f>
        <v>0</v>
      </c>
      <c r="J675" s="31">
        <f t="shared" si="33"/>
        <v>0</v>
      </c>
      <c r="K675" s="33" t="e">
        <f t="shared" si="34"/>
        <v>#DIV/0!</v>
      </c>
    </row>
    <row r="676" spans="1:11" x14ac:dyDescent="0.3">
      <c r="A676" s="30">
        <v>46329</v>
      </c>
      <c r="B676" s="24" cm="1">
        <f t="array" ref="B676">SUMPRODUCT(('TREASURY FILE'!B575:B5576=$B$4)*('TREASURY FILE'!D575:D5576="TURNOVER")*('TREASURY FILE'!A575:A5576=A676)*('TREASURY FILE'!F575:F5576))</f>
        <v>0</v>
      </c>
      <c r="C676" s="24" cm="1">
        <f t="array" ref="C676">SUMPRODUCT(('TREASURY FILE'!B575:B5576=$C$4)*('TREASURY FILE'!D575:D5576="TURNOVER")*('TREASURY FILE'!A575:A5576=A676)*('TREASURY FILE'!F575:F5576))</f>
        <v>0</v>
      </c>
      <c r="D676" s="24" cm="1">
        <f t="array" ref="D676">SUMPRODUCT(('TREASURY FILE'!B575:B5576=$D$4)*('TREASURY FILE'!D575:D5576="TURNOVER")*('TREASURY FILE'!A575:A5576=A676)*('TREASURY FILE'!F575:F5576))</f>
        <v>0</v>
      </c>
      <c r="E676" s="31">
        <f t="shared" si="32"/>
        <v>0</v>
      </c>
      <c r="G676" s="24" cm="1">
        <f t="array" ref="G676">SUMPRODUCT(('TREASURY FILE'!B575:B5576=$G$4)*('TREASURY FILE'!D575:D5576="INCOME")*('TREASURY FILE'!A575:A5576=A676)*('TREASURY FILE'!F575:F5576))</f>
        <v>0</v>
      </c>
      <c r="H676" s="24" cm="1">
        <f t="array" ref="H676">SUMPRODUCT(('TREASURY FILE'!B575:B5576=$H$4)*('TREASURY FILE'!D575:D5576="INCOME")*('TREASURY FILE'!A575:A5576=A676)*('TREASURY FILE'!F575:F5576))</f>
        <v>0</v>
      </c>
      <c r="I676" s="24" cm="1">
        <f t="array" ref="I676">SUMPRODUCT(('TREASURY FILE'!D584:D5576=$I$4)*('TREASURY FILE'!F584:F5576="INCOME")*('TREASURY FILE'!C584:C5576=C676)*('TREASURY FILE'!H584:H5576))</f>
        <v>0</v>
      </c>
      <c r="J676" s="31">
        <f t="shared" si="33"/>
        <v>0</v>
      </c>
      <c r="K676" s="33" t="e">
        <f t="shared" si="34"/>
        <v>#DIV/0!</v>
      </c>
    </row>
    <row r="677" spans="1:11" x14ac:dyDescent="0.3">
      <c r="A677" s="30">
        <v>46330</v>
      </c>
      <c r="B677" s="24" cm="1">
        <f t="array" ref="B677">SUMPRODUCT(('TREASURY FILE'!B576:B5577=$B$4)*('TREASURY FILE'!D576:D5577="TURNOVER")*('TREASURY FILE'!A576:A5577=A677)*('TREASURY FILE'!F576:F5577))</f>
        <v>0</v>
      </c>
      <c r="C677" s="24" cm="1">
        <f t="array" ref="C677">SUMPRODUCT(('TREASURY FILE'!B576:B5577=$C$4)*('TREASURY FILE'!D576:D5577="TURNOVER")*('TREASURY FILE'!A576:A5577=A677)*('TREASURY FILE'!F576:F5577))</f>
        <v>0</v>
      </c>
      <c r="D677" s="24" cm="1">
        <f t="array" ref="D677">SUMPRODUCT(('TREASURY FILE'!B576:B5577=$D$4)*('TREASURY FILE'!D576:D5577="TURNOVER")*('TREASURY FILE'!A576:A5577=A677)*('TREASURY FILE'!F576:F5577))</f>
        <v>0</v>
      </c>
      <c r="E677" s="31">
        <f t="shared" si="32"/>
        <v>0</v>
      </c>
      <c r="G677" s="24" cm="1">
        <f t="array" ref="G677">SUMPRODUCT(('TREASURY FILE'!B576:B5577=$G$4)*('TREASURY FILE'!D576:D5577="INCOME")*('TREASURY FILE'!A576:A5577=A677)*('TREASURY FILE'!F576:F5577))</f>
        <v>0</v>
      </c>
      <c r="H677" s="24" cm="1">
        <f t="array" ref="H677">SUMPRODUCT(('TREASURY FILE'!B576:B5577=$H$4)*('TREASURY FILE'!D576:D5577="INCOME")*('TREASURY FILE'!A576:A5577=A677)*('TREASURY FILE'!F576:F5577))</f>
        <v>0</v>
      </c>
      <c r="I677" s="24" cm="1">
        <f t="array" ref="I677">SUMPRODUCT(('TREASURY FILE'!D585:D5577=$I$4)*('TREASURY FILE'!F585:F5577="INCOME")*('TREASURY FILE'!C585:C5577=C677)*('TREASURY FILE'!H585:H5577))</f>
        <v>0</v>
      </c>
      <c r="J677" s="31">
        <f t="shared" si="33"/>
        <v>0</v>
      </c>
      <c r="K677" s="33" t="e">
        <f t="shared" si="34"/>
        <v>#DIV/0!</v>
      </c>
    </row>
    <row r="678" spans="1:11" x14ac:dyDescent="0.3">
      <c r="A678" s="30">
        <v>46331</v>
      </c>
      <c r="B678" s="24" cm="1">
        <f t="array" ref="B678">SUMPRODUCT(('TREASURY FILE'!B577:B5578=$B$4)*('TREASURY FILE'!D577:D5578="TURNOVER")*('TREASURY FILE'!A577:A5578=A678)*('TREASURY FILE'!F577:F5578))</f>
        <v>0</v>
      </c>
      <c r="C678" s="24" cm="1">
        <f t="array" ref="C678">SUMPRODUCT(('TREASURY FILE'!B577:B5578=$C$4)*('TREASURY FILE'!D577:D5578="TURNOVER")*('TREASURY FILE'!A577:A5578=A678)*('TREASURY FILE'!F577:F5578))</f>
        <v>0</v>
      </c>
      <c r="D678" s="24" cm="1">
        <f t="array" ref="D678">SUMPRODUCT(('TREASURY FILE'!B577:B5578=$D$4)*('TREASURY FILE'!D577:D5578="TURNOVER")*('TREASURY FILE'!A577:A5578=A678)*('TREASURY FILE'!F577:F5578))</f>
        <v>0</v>
      </c>
      <c r="E678" s="31">
        <f t="shared" si="32"/>
        <v>0</v>
      </c>
      <c r="G678" s="24" cm="1">
        <f t="array" ref="G678">SUMPRODUCT(('TREASURY FILE'!B577:B5578=$G$4)*('TREASURY FILE'!D577:D5578="INCOME")*('TREASURY FILE'!A577:A5578=A678)*('TREASURY FILE'!F577:F5578))</f>
        <v>0</v>
      </c>
      <c r="H678" s="24" cm="1">
        <f t="array" ref="H678">SUMPRODUCT(('TREASURY FILE'!B577:B5578=$H$4)*('TREASURY FILE'!D577:D5578="INCOME")*('TREASURY FILE'!A577:A5578=A678)*('TREASURY FILE'!F577:F5578))</f>
        <v>0</v>
      </c>
      <c r="I678" s="24" cm="1">
        <f t="array" ref="I678">SUMPRODUCT(('TREASURY FILE'!D586:D5578=$I$4)*('TREASURY FILE'!F586:F5578="INCOME")*('TREASURY FILE'!C586:C5578=C678)*('TREASURY FILE'!H586:H5578))</f>
        <v>0</v>
      </c>
      <c r="J678" s="31">
        <f t="shared" si="33"/>
        <v>0</v>
      </c>
      <c r="K678" s="33" t="e">
        <f t="shared" si="34"/>
        <v>#DIV/0!</v>
      </c>
    </row>
    <row r="679" spans="1:11" x14ac:dyDescent="0.3">
      <c r="A679" s="30">
        <v>46332</v>
      </c>
      <c r="B679" s="24" cm="1">
        <f t="array" ref="B679">SUMPRODUCT(('TREASURY FILE'!B578:B5579=$B$4)*('TREASURY FILE'!D578:D5579="TURNOVER")*('TREASURY FILE'!A578:A5579=A679)*('TREASURY FILE'!F578:F5579))</f>
        <v>0</v>
      </c>
      <c r="C679" s="24" cm="1">
        <f t="array" ref="C679">SUMPRODUCT(('TREASURY FILE'!B578:B5579=$C$4)*('TREASURY FILE'!D578:D5579="TURNOVER")*('TREASURY FILE'!A578:A5579=A679)*('TREASURY FILE'!F578:F5579))</f>
        <v>0</v>
      </c>
      <c r="D679" s="24" cm="1">
        <f t="array" ref="D679">SUMPRODUCT(('TREASURY FILE'!B578:B5579=$D$4)*('TREASURY FILE'!D578:D5579="TURNOVER")*('TREASURY FILE'!A578:A5579=A679)*('TREASURY FILE'!F578:F5579))</f>
        <v>0</v>
      </c>
      <c r="E679" s="31">
        <f t="shared" si="32"/>
        <v>0</v>
      </c>
      <c r="G679" s="24" cm="1">
        <f t="array" ref="G679">SUMPRODUCT(('TREASURY FILE'!B578:B5579=$G$4)*('TREASURY FILE'!D578:D5579="INCOME")*('TREASURY FILE'!A578:A5579=A679)*('TREASURY FILE'!F578:F5579))</f>
        <v>0</v>
      </c>
      <c r="H679" s="24" cm="1">
        <f t="array" ref="H679">SUMPRODUCT(('TREASURY FILE'!B578:B5579=$H$4)*('TREASURY FILE'!D578:D5579="INCOME")*('TREASURY FILE'!A578:A5579=A679)*('TREASURY FILE'!F578:F5579))</f>
        <v>0</v>
      </c>
      <c r="I679" s="24" cm="1">
        <f t="array" ref="I679">SUMPRODUCT(('TREASURY FILE'!D587:D5579=$I$4)*('TREASURY FILE'!F587:F5579="INCOME")*('TREASURY FILE'!C587:C5579=C679)*('TREASURY FILE'!H587:H5579))</f>
        <v>0</v>
      </c>
      <c r="J679" s="31">
        <f t="shared" si="33"/>
        <v>0</v>
      </c>
      <c r="K679" s="33" t="e">
        <f t="shared" si="34"/>
        <v>#DIV/0!</v>
      </c>
    </row>
    <row r="680" spans="1:11" x14ac:dyDescent="0.3">
      <c r="A680" s="30">
        <v>46333</v>
      </c>
      <c r="B680" s="24" cm="1">
        <f t="array" ref="B680">SUMPRODUCT(('TREASURY FILE'!B579:B5580=$B$4)*('TREASURY FILE'!D579:D5580="TURNOVER")*('TREASURY FILE'!A579:A5580=A680)*('TREASURY FILE'!F579:F5580))</f>
        <v>0</v>
      </c>
      <c r="C680" s="24" cm="1">
        <f t="array" ref="C680">SUMPRODUCT(('TREASURY FILE'!B579:B5580=$C$4)*('TREASURY FILE'!D579:D5580="TURNOVER")*('TREASURY FILE'!A579:A5580=A680)*('TREASURY FILE'!F579:F5580))</f>
        <v>0</v>
      </c>
      <c r="D680" s="24" cm="1">
        <f t="array" ref="D680">SUMPRODUCT(('TREASURY FILE'!B579:B5580=$D$4)*('TREASURY FILE'!D579:D5580="TURNOVER")*('TREASURY FILE'!A579:A5580=A680)*('TREASURY FILE'!F579:F5580))</f>
        <v>0</v>
      </c>
      <c r="E680" s="31">
        <f t="shared" si="32"/>
        <v>0</v>
      </c>
      <c r="G680" s="24" cm="1">
        <f t="array" ref="G680">SUMPRODUCT(('TREASURY FILE'!B579:B5580=$G$4)*('TREASURY FILE'!D579:D5580="INCOME")*('TREASURY FILE'!A579:A5580=A680)*('TREASURY FILE'!F579:F5580))</f>
        <v>0</v>
      </c>
      <c r="H680" s="24" cm="1">
        <f t="array" ref="H680">SUMPRODUCT(('TREASURY FILE'!B579:B5580=$H$4)*('TREASURY FILE'!D579:D5580="INCOME")*('TREASURY FILE'!A579:A5580=A680)*('TREASURY FILE'!F579:F5580))</f>
        <v>0</v>
      </c>
      <c r="I680" s="24" cm="1">
        <f t="array" ref="I680">SUMPRODUCT(('TREASURY FILE'!D588:D5580=$I$4)*('TREASURY FILE'!F588:F5580="INCOME")*('TREASURY FILE'!C588:C5580=C680)*('TREASURY FILE'!H588:H5580))</f>
        <v>0</v>
      </c>
      <c r="J680" s="31">
        <f t="shared" si="33"/>
        <v>0</v>
      </c>
      <c r="K680" s="33" t="e">
        <f t="shared" si="34"/>
        <v>#DIV/0!</v>
      </c>
    </row>
    <row r="681" spans="1:11" x14ac:dyDescent="0.3">
      <c r="A681" s="30">
        <v>46334</v>
      </c>
      <c r="B681" s="24" cm="1">
        <f t="array" ref="B681">SUMPRODUCT(('TREASURY FILE'!B580:B5581=$B$4)*('TREASURY FILE'!D580:D5581="TURNOVER")*('TREASURY FILE'!A580:A5581=A681)*('TREASURY FILE'!F580:F5581))</f>
        <v>0</v>
      </c>
      <c r="C681" s="24" cm="1">
        <f t="array" ref="C681">SUMPRODUCT(('TREASURY FILE'!B580:B5581=$C$4)*('TREASURY FILE'!D580:D5581="TURNOVER")*('TREASURY FILE'!A580:A5581=A681)*('TREASURY FILE'!F580:F5581))</f>
        <v>0</v>
      </c>
      <c r="D681" s="24" cm="1">
        <f t="array" ref="D681">SUMPRODUCT(('TREASURY FILE'!B580:B5581=$D$4)*('TREASURY FILE'!D580:D5581="TURNOVER")*('TREASURY FILE'!A580:A5581=A681)*('TREASURY FILE'!F580:F5581))</f>
        <v>0</v>
      </c>
      <c r="E681" s="31">
        <f t="shared" si="32"/>
        <v>0</v>
      </c>
      <c r="G681" s="24" cm="1">
        <f t="array" ref="G681">SUMPRODUCT(('TREASURY FILE'!B580:B5581=$G$4)*('TREASURY FILE'!D580:D5581="INCOME")*('TREASURY FILE'!A580:A5581=A681)*('TREASURY FILE'!F580:F5581))</f>
        <v>0</v>
      </c>
      <c r="H681" s="24" cm="1">
        <f t="array" ref="H681">SUMPRODUCT(('TREASURY FILE'!B580:B5581=$H$4)*('TREASURY FILE'!D580:D5581="INCOME")*('TREASURY FILE'!A580:A5581=A681)*('TREASURY FILE'!F580:F5581))</f>
        <v>0</v>
      </c>
      <c r="I681" s="24" cm="1">
        <f t="array" ref="I681">SUMPRODUCT(('TREASURY FILE'!D589:D5581=$I$4)*('TREASURY FILE'!F589:F5581="INCOME")*('TREASURY FILE'!C589:C5581=C681)*('TREASURY FILE'!H589:H5581))</f>
        <v>0</v>
      </c>
      <c r="J681" s="31">
        <f t="shared" si="33"/>
        <v>0</v>
      </c>
      <c r="K681" s="33" t="e">
        <f t="shared" si="34"/>
        <v>#DIV/0!</v>
      </c>
    </row>
    <row r="682" spans="1:11" x14ac:dyDescent="0.3">
      <c r="A682" s="30">
        <v>46335</v>
      </c>
      <c r="B682" s="24" cm="1">
        <f t="array" ref="B682">SUMPRODUCT(('TREASURY FILE'!B581:B5582=$B$4)*('TREASURY FILE'!D581:D5582="TURNOVER")*('TREASURY FILE'!A581:A5582=A682)*('TREASURY FILE'!F581:F5582))</f>
        <v>0</v>
      </c>
      <c r="C682" s="24" cm="1">
        <f t="array" ref="C682">SUMPRODUCT(('TREASURY FILE'!B581:B5582=$C$4)*('TREASURY FILE'!D581:D5582="TURNOVER")*('TREASURY FILE'!A581:A5582=A682)*('TREASURY FILE'!F581:F5582))</f>
        <v>0</v>
      </c>
      <c r="D682" s="24" cm="1">
        <f t="array" ref="D682">SUMPRODUCT(('TREASURY FILE'!B581:B5582=$D$4)*('TREASURY FILE'!D581:D5582="TURNOVER")*('TREASURY FILE'!A581:A5582=A682)*('TREASURY FILE'!F581:F5582))</f>
        <v>0</v>
      </c>
      <c r="E682" s="31">
        <f t="shared" si="32"/>
        <v>0</v>
      </c>
      <c r="G682" s="24" cm="1">
        <f t="array" ref="G682">SUMPRODUCT(('TREASURY FILE'!B581:B5582=$G$4)*('TREASURY FILE'!D581:D5582="INCOME")*('TREASURY FILE'!A581:A5582=A682)*('TREASURY FILE'!F581:F5582))</f>
        <v>0</v>
      </c>
      <c r="H682" s="24" cm="1">
        <f t="array" ref="H682">SUMPRODUCT(('TREASURY FILE'!B581:B5582=$H$4)*('TREASURY FILE'!D581:D5582="INCOME")*('TREASURY FILE'!A581:A5582=A682)*('TREASURY FILE'!F581:F5582))</f>
        <v>0</v>
      </c>
      <c r="I682" s="24" cm="1">
        <f t="array" ref="I682">SUMPRODUCT(('TREASURY FILE'!D590:D5582=$I$4)*('TREASURY FILE'!F590:F5582="INCOME")*('TREASURY FILE'!C590:C5582=C682)*('TREASURY FILE'!H590:H5582))</f>
        <v>0</v>
      </c>
      <c r="J682" s="31">
        <f t="shared" si="33"/>
        <v>0</v>
      </c>
      <c r="K682" s="33" t="e">
        <f t="shared" si="34"/>
        <v>#DIV/0!</v>
      </c>
    </row>
    <row r="683" spans="1:11" x14ac:dyDescent="0.3">
      <c r="A683" s="30">
        <v>46336</v>
      </c>
      <c r="B683" s="24" cm="1">
        <f t="array" ref="B683">SUMPRODUCT(('TREASURY FILE'!B582:B5583=$B$4)*('TREASURY FILE'!D582:D5583="TURNOVER")*('TREASURY FILE'!A582:A5583=A683)*('TREASURY FILE'!F582:F5583))</f>
        <v>0</v>
      </c>
      <c r="C683" s="24" cm="1">
        <f t="array" ref="C683">SUMPRODUCT(('TREASURY FILE'!B582:B5583=$C$4)*('TREASURY FILE'!D582:D5583="TURNOVER")*('TREASURY FILE'!A582:A5583=A683)*('TREASURY FILE'!F582:F5583))</f>
        <v>0</v>
      </c>
      <c r="D683" s="24" cm="1">
        <f t="array" ref="D683">SUMPRODUCT(('TREASURY FILE'!B582:B5583=$D$4)*('TREASURY FILE'!D582:D5583="TURNOVER")*('TREASURY FILE'!A582:A5583=A683)*('TREASURY FILE'!F582:F5583))</f>
        <v>0</v>
      </c>
      <c r="E683" s="31">
        <f t="shared" si="32"/>
        <v>0</v>
      </c>
      <c r="G683" s="24" cm="1">
        <f t="array" ref="G683">SUMPRODUCT(('TREASURY FILE'!B582:B5583=$G$4)*('TREASURY FILE'!D582:D5583="INCOME")*('TREASURY FILE'!A582:A5583=A683)*('TREASURY FILE'!F582:F5583))</f>
        <v>0</v>
      </c>
      <c r="H683" s="24" cm="1">
        <f t="array" ref="H683">SUMPRODUCT(('TREASURY FILE'!B582:B5583=$H$4)*('TREASURY FILE'!D582:D5583="INCOME")*('TREASURY FILE'!A582:A5583=A683)*('TREASURY FILE'!F582:F5583))</f>
        <v>0</v>
      </c>
      <c r="I683" s="24" cm="1">
        <f t="array" ref="I683">SUMPRODUCT(('TREASURY FILE'!D591:D5583=$I$4)*('TREASURY FILE'!F591:F5583="INCOME")*('TREASURY FILE'!C591:C5583=C683)*('TREASURY FILE'!H591:H5583))</f>
        <v>0</v>
      </c>
      <c r="J683" s="31">
        <f t="shared" si="33"/>
        <v>0</v>
      </c>
      <c r="K683" s="33" t="e">
        <f t="shared" si="34"/>
        <v>#DIV/0!</v>
      </c>
    </row>
    <row r="684" spans="1:11" x14ac:dyDescent="0.3">
      <c r="A684" s="30">
        <v>46337</v>
      </c>
      <c r="B684" s="24" cm="1">
        <f t="array" ref="B684">SUMPRODUCT(('TREASURY FILE'!B583:B5584=$B$4)*('TREASURY FILE'!D583:D5584="TURNOVER")*('TREASURY FILE'!A583:A5584=A684)*('TREASURY FILE'!F583:F5584))</f>
        <v>0</v>
      </c>
      <c r="C684" s="24" cm="1">
        <f t="array" ref="C684">SUMPRODUCT(('TREASURY FILE'!B583:B5584=$C$4)*('TREASURY FILE'!D583:D5584="TURNOVER")*('TREASURY FILE'!A583:A5584=A684)*('TREASURY FILE'!F583:F5584))</f>
        <v>0</v>
      </c>
      <c r="D684" s="24" cm="1">
        <f t="array" ref="D684">SUMPRODUCT(('TREASURY FILE'!B583:B5584=$D$4)*('TREASURY FILE'!D583:D5584="TURNOVER")*('TREASURY FILE'!A583:A5584=A684)*('TREASURY FILE'!F583:F5584))</f>
        <v>0</v>
      </c>
      <c r="E684" s="31">
        <f t="shared" si="32"/>
        <v>0</v>
      </c>
      <c r="G684" s="24" cm="1">
        <f t="array" ref="G684">SUMPRODUCT(('TREASURY FILE'!B583:B5584=$G$4)*('TREASURY FILE'!D583:D5584="INCOME")*('TREASURY FILE'!A583:A5584=A684)*('TREASURY FILE'!F583:F5584))</f>
        <v>0</v>
      </c>
      <c r="H684" s="24" cm="1">
        <f t="array" ref="H684">SUMPRODUCT(('TREASURY FILE'!B583:B5584=$H$4)*('TREASURY FILE'!D583:D5584="INCOME")*('TREASURY FILE'!A583:A5584=A684)*('TREASURY FILE'!F583:F5584))</f>
        <v>0</v>
      </c>
      <c r="I684" s="24" cm="1">
        <f t="array" ref="I684">SUMPRODUCT(('TREASURY FILE'!D592:D5584=$I$4)*('TREASURY FILE'!F592:F5584="INCOME")*('TREASURY FILE'!C592:C5584=C684)*('TREASURY FILE'!H592:H5584))</f>
        <v>0</v>
      </c>
      <c r="J684" s="31">
        <f t="shared" si="33"/>
        <v>0</v>
      </c>
      <c r="K684" s="33" t="e">
        <f t="shared" si="34"/>
        <v>#DIV/0!</v>
      </c>
    </row>
    <row r="685" spans="1:11" x14ac:dyDescent="0.3">
      <c r="A685" s="30">
        <v>46338</v>
      </c>
      <c r="B685" s="24" cm="1">
        <f t="array" ref="B685">SUMPRODUCT(('TREASURY FILE'!B584:B5585=$B$4)*('TREASURY FILE'!D584:D5585="TURNOVER")*('TREASURY FILE'!A584:A5585=A685)*('TREASURY FILE'!F584:F5585))</f>
        <v>0</v>
      </c>
      <c r="C685" s="24" cm="1">
        <f t="array" ref="C685">SUMPRODUCT(('TREASURY FILE'!B584:B5585=$C$4)*('TREASURY FILE'!D584:D5585="TURNOVER")*('TREASURY FILE'!A584:A5585=A685)*('TREASURY FILE'!F584:F5585))</f>
        <v>0</v>
      </c>
      <c r="D685" s="24" cm="1">
        <f t="array" ref="D685">SUMPRODUCT(('TREASURY FILE'!B584:B5585=$D$4)*('TREASURY FILE'!D584:D5585="TURNOVER")*('TREASURY FILE'!A584:A5585=A685)*('TREASURY FILE'!F584:F5585))</f>
        <v>0</v>
      </c>
      <c r="E685" s="31">
        <f t="shared" si="32"/>
        <v>0</v>
      </c>
      <c r="G685" s="24" cm="1">
        <f t="array" ref="G685">SUMPRODUCT(('TREASURY FILE'!B584:B5585=$G$4)*('TREASURY FILE'!D584:D5585="INCOME")*('TREASURY FILE'!A584:A5585=A685)*('TREASURY FILE'!F584:F5585))</f>
        <v>0</v>
      </c>
      <c r="H685" s="24" cm="1">
        <f t="array" ref="H685">SUMPRODUCT(('TREASURY FILE'!B584:B5585=$H$4)*('TREASURY FILE'!D584:D5585="INCOME")*('TREASURY FILE'!A584:A5585=A685)*('TREASURY FILE'!F584:F5585))</f>
        <v>0</v>
      </c>
      <c r="I685" s="24" cm="1">
        <f t="array" ref="I685">SUMPRODUCT(('TREASURY FILE'!D593:D5585=$I$4)*('TREASURY FILE'!F593:F5585="INCOME")*('TREASURY FILE'!C593:C5585=C685)*('TREASURY FILE'!H593:H5585))</f>
        <v>0</v>
      </c>
      <c r="J685" s="31">
        <f t="shared" si="33"/>
        <v>0</v>
      </c>
      <c r="K685" s="33" t="e">
        <f t="shared" si="34"/>
        <v>#DIV/0!</v>
      </c>
    </row>
    <row r="686" spans="1:11" x14ac:dyDescent="0.3">
      <c r="A686" s="30">
        <v>46339</v>
      </c>
      <c r="B686" s="24" cm="1">
        <f t="array" ref="B686">SUMPRODUCT(('TREASURY FILE'!B585:B5586=$B$4)*('TREASURY FILE'!D585:D5586="TURNOVER")*('TREASURY FILE'!A585:A5586=A686)*('TREASURY FILE'!F585:F5586))</f>
        <v>0</v>
      </c>
      <c r="C686" s="24" cm="1">
        <f t="array" ref="C686">SUMPRODUCT(('TREASURY FILE'!B585:B5586=$C$4)*('TREASURY FILE'!D585:D5586="TURNOVER")*('TREASURY FILE'!A585:A5586=A686)*('TREASURY FILE'!F585:F5586))</f>
        <v>0</v>
      </c>
      <c r="D686" s="24" cm="1">
        <f t="array" ref="D686">SUMPRODUCT(('TREASURY FILE'!B585:B5586=$D$4)*('TREASURY FILE'!D585:D5586="TURNOVER")*('TREASURY FILE'!A585:A5586=A686)*('TREASURY FILE'!F585:F5586))</f>
        <v>0</v>
      </c>
      <c r="E686" s="31">
        <f t="shared" si="32"/>
        <v>0</v>
      </c>
      <c r="G686" s="24" cm="1">
        <f t="array" ref="G686">SUMPRODUCT(('TREASURY FILE'!B585:B5586=$G$4)*('TREASURY FILE'!D585:D5586="INCOME")*('TREASURY FILE'!A585:A5586=A686)*('TREASURY FILE'!F585:F5586))</f>
        <v>0</v>
      </c>
      <c r="H686" s="24" cm="1">
        <f t="array" ref="H686">SUMPRODUCT(('TREASURY FILE'!B585:B5586=$H$4)*('TREASURY FILE'!D585:D5586="INCOME")*('TREASURY FILE'!A585:A5586=A686)*('TREASURY FILE'!F585:F5586))</f>
        <v>0</v>
      </c>
      <c r="I686" s="24" cm="1">
        <f t="array" ref="I686">SUMPRODUCT(('TREASURY FILE'!D594:D5586=$I$4)*('TREASURY FILE'!F594:F5586="INCOME")*('TREASURY FILE'!C594:C5586=C686)*('TREASURY FILE'!H594:H5586))</f>
        <v>0</v>
      </c>
      <c r="J686" s="31">
        <f t="shared" si="33"/>
        <v>0</v>
      </c>
      <c r="K686" s="33" t="e">
        <f t="shared" si="34"/>
        <v>#DIV/0!</v>
      </c>
    </row>
    <row r="687" spans="1:11" x14ac:dyDescent="0.3">
      <c r="A687" s="30">
        <v>46340</v>
      </c>
      <c r="B687" s="24" cm="1">
        <f t="array" ref="B687">SUMPRODUCT(('TREASURY FILE'!B586:B5587=$B$4)*('TREASURY FILE'!D586:D5587="TURNOVER")*('TREASURY FILE'!A586:A5587=A687)*('TREASURY FILE'!F586:F5587))</f>
        <v>0</v>
      </c>
      <c r="C687" s="24" cm="1">
        <f t="array" ref="C687">SUMPRODUCT(('TREASURY FILE'!B586:B5587=$C$4)*('TREASURY FILE'!D586:D5587="TURNOVER")*('TREASURY FILE'!A586:A5587=A687)*('TREASURY FILE'!F586:F5587))</f>
        <v>0</v>
      </c>
      <c r="D687" s="24" cm="1">
        <f t="array" ref="D687">SUMPRODUCT(('TREASURY FILE'!B586:B5587=$D$4)*('TREASURY FILE'!D586:D5587="TURNOVER")*('TREASURY FILE'!A586:A5587=A687)*('TREASURY FILE'!F586:F5587))</f>
        <v>0</v>
      </c>
      <c r="E687" s="31">
        <f t="shared" si="32"/>
        <v>0</v>
      </c>
      <c r="G687" s="24" cm="1">
        <f t="array" ref="G687">SUMPRODUCT(('TREASURY FILE'!B586:B5587=$G$4)*('TREASURY FILE'!D586:D5587="INCOME")*('TREASURY FILE'!A586:A5587=A687)*('TREASURY FILE'!F586:F5587))</f>
        <v>0</v>
      </c>
      <c r="H687" s="24" cm="1">
        <f t="array" ref="H687">SUMPRODUCT(('TREASURY FILE'!B586:B5587=$H$4)*('TREASURY FILE'!D586:D5587="INCOME")*('TREASURY FILE'!A586:A5587=A687)*('TREASURY FILE'!F586:F5587))</f>
        <v>0</v>
      </c>
      <c r="I687" s="24" cm="1">
        <f t="array" ref="I687">SUMPRODUCT(('TREASURY FILE'!D595:D5587=$I$4)*('TREASURY FILE'!F595:F5587="INCOME")*('TREASURY FILE'!C595:C5587=C687)*('TREASURY FILE'!H595:H5587))</f>
        <v>0</v>
      </c>
      <c r="J687" s="31">
        <f t="shared" si="33"/>
        <v>0</v>
      </c>
      <c r="K687" s="33" t="e">
        <f t="shared" si="34"/>
        <v>#DIV/0!</v>
      </c>
    </row>
    <row r="688" spans="1:11" x14ac:dyDescent="0.3">
      <c r="A688" s="30">
        <v>46341</v>
      </c>
      <c r="B688" s="24" cm="1">
        <f t="array" ref="B688">SUMPRODUCT(('TREASURY FILE'!B587:B5588=$B$4)*('TREASURY FILE'!D587:D5588="TURNOVER")*('TREASURY FILE'!A587:A5588=A688)*('TREASURY FILE'!F587:F5588))</f>
        <v>0</v>
      </c>
      <c r="C688" s="24" cm="1">
        <f t="array" ref="C688">SUMPRODUCT(('TREASURY FILE'!B587:B5588=$C$4)*('TREASURY FILE'!D587:D5588="TURNOVER")*('TREASURY FILE'!A587:A5588=A688)*('TREASURY FILE'!F587:F5588))</f>
        <v>0</v>
      </c>
      <c r="D688" s="24" cm="1">
        <f t="array" ref="D688">SUMPRODUCT(('TREASURY FILE'!B587:B5588=$D$4)*('TREASURY FILE'!D587:D5588="TURNOVER")*('TREASURY FILE'!A587:A5588=A688)*('TREASURY FILE'!F587:F5588))</f>
        <v>0</v>
      </c>
      <c r="E688" s="31">
        <f t="shared" si="32"/>
        <v>0</v>
      </c>
      <c r="G688" s="24" cm="1">
        <f t="array" ref="G688">SUMPRODUCT(('TREASURY FILE'!B587:B5588=$G$4)*('TREASURY FILE'!D587:D5588="INCOME")*('TREASURY FILE'!A587:A5588=A688)*('TREASURY FILE'!F587:F5588))</f>
        <v>0</v>
      </c>
      <c r="H688" s="24" cm="1">
        <f t="array" ref="H688">SUMPRODUCT(('TREASURY FILE'!B587:B5588=$H$4)*('TREASURY FILE'!D587:D5588="INCOME")*('TREASURY FILE'!A587:A5588=A688)*('TREASURY FILE'!F587:F5588))</f>
        <v>0</v>
      </c>
      <c r="I688" s="24" cm="1">
        <f t="array" ref="I688">SUMPRODUCT(('TREASURY FILE'!D596:D5588=$I$4)*('TREASURY FILE'!F596:F5588="INCOME")*('TREASURY FILE'!C596:C5588=C688)*('TREASURY FILE'!H596:H5588))</f>
        <v>0</v>
      </c>
      <c r="J688" s="31">
        <f t="shared" si="33"/>
        <v>0</v>
      </c>
      <c r="K688" s="33" t="e">
        <f t="shared" si="34"/>
        <v>#DIV/0!</v>
      </c>
    </row>
    <row r="689" spans="1:11" x14ac:dyDescent="0.3">
      <c r="A689" s="30">
        <v>46342</v>
      </c>
      <c r="B689" s="24" cm="1">
        <f t="array" ref="B689">SUMPRODUCT(('TREASURY FILE'!B588:B5589=$B$4)*('TREASURY FILE'!D588:D5589="TURNOVER")*('TREASURY FILE'!A588:A5589=A689)*('TREASURY FILE'!F588:F5589))</f>
        <v>0</v>
      </c>
      <c r="C689" s="24" cm="1">
        <f t="array" ref="C689">SUMPRODUCT(('TREASURY FILE'!B588:B5589=$C$4)*('TREASURY FILE'!D588:D5589="TURNOVER")*('TREASURY FILE'!A588:A5589=A689)*('TREASURY FILE'!F588:F5589))</f>
        <v>0</v>
      </c>
      <c r="D689" s="24" cm="1">
        <f t="array" ref="D689">SUMPRODUCT(('TREASURY FILE'!B588:B5589=$D$4)*('TREASURY FILE'!D588:D5589="TURNOVER")*('TREASURY FILE'!A588:A5589=A689)*('TREASURY FILE'!F588:F5589))</f>
        <v>0</v>
      </c>
      <c r="E689" s="31">
        <f t="shared" si="32"/>
        <v>0</v>
      </c>
      <c r="G689" s="24" cm="1">
        <f t="array" ref="G689">SUMPRODUCT(('TREASURY FILE'!B588:B5589=$G$4)*('TREASURY FILE'!D588:D5589="INCOME")*('TREASURY FILE'!A588:A5589=A689)*('TREASURY FILE'!F588:F5589))</f>
        <v>0</v>
      </c>
      <c r="H689" s="24" cm="1">
        <f t="array" ref="H689">SUMPRODUCT(('TREASURY FILE'!B588:B5589=$H$4)*('TREASURY FILE'!D588:D5589="INCOME")*('TREASURY FILE'!A588:A5589=A689)*('TREASURY FILE'!F588:F5589))</f>
        <v>0</v>
      </c>
      <c r="I689" s="24" cm="1">
        <f t="array" ref="I689">SUMPRODUCT(('TREASURY FILE'!D597:D5589=$I$4)*('TREASURY FILE'!F597:F5589="INCOME")*('TREASURY FILE'!C597:C5589=C689)*('TREASURY FILE'!H597:H5589))</f>
        <v>0</v>
      </c>
      <c r="J689" s="31">
        <f t="shared" si="33"/>
        <v>0</v>
      </c>
      <c r="K689" s="33" t="e">
        <f t="shared" si="34"/>
        <v>#DIV/0!</v>
      </c>
    </row>
    <row r="690" spans="1:11" x14ac:dyDescent="0.3">
      <c r="A690" s="30">
        <v>46343</v>
      </c>
      <c r="B690" s="24" cm="1">
        <f t="array" ref="B690">SUMPRODUCT(('TREASURY FILE'!B589:B5590=$B$4)*('TREASURY FILE'!D589:D5590="TURNOVER")*('TREASURY FILE'!A589:A5590=A690)*('TREASURY FILE'!F589:F5590))</f>
        <v>0</v>
      </c>
      <c r="C690" s="24" cm="1">
        <f t="array" ref="C690">SUMPRODUCT(('TREASURY FILE'!B589:B5590=$C$4)*('TREASURY FILE'!D589:D5590="TURNOVER")*('TREASURY FILE'!A589:A5590=A690)*('TREASURY FILE'!F589:F5590))</f>
        <v>0</v>
      </c>
      <c r="D690" s="24" cm="1">
        <f t="array" ref="D690">SUMPRODUCT(('TREASURY FILE'!B589:B5590=$D$4)*('TREASURY FILE'!D589:D5590="TURNOVER")*('TREASURY FILE'!A589:A5590=A690)*('TREASURY FILE'!F589:F5590))</f>
        <v>0</v>
      </c>
      <c r="E690" s="31">
        <f t="shared" si="32"/>
        <v>0</v>
      </c>
      <c r="G690" s="24" cm="1">
        <f t="array" ref="G690">SUMPRODUCT(('TREASURY FILE'!B589:B5590=$G$4)*('TREASURY FILE'!D589:D5590="INCOME")*('TREASURY FILE'!A589:A5590=A690)*('TREASURY FILE'!F589:F5590))</f>
        <v>0</v>
      </c>
      <c r="H690" s="24" cm="1">
        <f t="array" ref="H690">SUMPRODUCT(('TREASURY FILE'!B589:B5590=$H$4)*('TREASURY FILE'!D589:D5590="INCOME")*('TREASURY FILE'!A589:A5590=A690)*('TREASURY FILE'!F589:F5590))</f>
        <v>0</v>
      </c>
      <c r="I690" s="24" cm="1">
        <f t="array" ref="I690">SUMPRODUCT(('TREASURY FILE'!D598:D5590=$I$4)*('TREASURY FILE'!F598:F5590="INCOME")*('TREASURY FILE'!C598:C5590=C690)*('TREASURY FILE'!H598:H5590))</f>
        <v>0</v>
      </c>
      <c r="J690" s="31">
        <f t="shared" si="33"/>
        <v>0</v>
      </c>
      <c r="K690" s="33" t="e">
        <f t="shared" si="34"/>
        <v>#DIV/0!</v>
      </c>
    </row>
    <row r="691" spans="1:11" x14ac:dyDescent="0.3">
      <c r="A691" s="30">
        <v>46344</v>
      </c>
      <c r="B691" s="24" cm="1">
        <f t="array" ref="B691">SUMPRODUCT(('TREASURY FILE'!B590:B5591=$B$4)*('TREASURY FILE'!D590:D5591="TURNOVER")*('TREASURY FILE'!A590:A5591=A691)*('TREASURY FILE'!F590:F5591))</f>
        <v>0</v>
      </c>
      <c r="C691" s="24" cm="1">
        <f t="array" ref="C691">SUMPRODUCT(('TREASURY FILE'!B590:B5591=$C$4)*('TREASURY FILE'!D590:D5591="TURNOVER")*('TREASURY FILE'!A590:A5591=A691)*('TREASURY FILE'!F590:F5591))</f>
        <v>0</v>
      </c>
      <c r="D691" s="24" cm="1">
        <f t="array" ref="D691">SUMPRODUCT(('TREASURY FILE'!B590:B5591=$D$4)*('TREASURY FILE'!D590:D5591="TURNOVER")*('TREASURY FILE'!A590:A5591=A691)*('TREASURY FILE'!F590:F5591))</f>
        <v>0</v>
      </c>
      <c r="E691" s="31">
        <f t="shared" si="32"/>
        <v>0</v>
      </c>
      <c r="G691" s="24" cm="1">
        <f t="array" ref="G691">SUMPRODUCT(('TREASURY FILE'!B590:B5591=$G$4)*('TREASURY FILE'!D590:D5591="INCOME")*('TREASURY FILE'!A590:A5591=A691)*('TREASURY FILE'!F590:F5591))</f>
        <v>0</v>
      </c>
      <c r="H691" s="24" cm="1">
        <f t="array" ref="H691">SUMPRODUCT(('TREASURY FILE'!B590:B5591=$H$4)*('TREASURY FILE'!D590:D5591="INCOME")*('TREASURY FILE'!A590:A5591=A691)*('TREASURY FILE'!F590:F5591))</f>
        <v>0</v>
      </c>
      <c r="I691" s="24" cm="1">
        <f t="array" ref="I691">SUMPRODUCT(('TREASURY FILE'!D599:D5591=$I$4)*('TREASURY FILE'!F599:F5591="INCOME")*('TREASURY FILE'!C599:C5591=C691)*('TREASURY FILE'!H599:H5591))</f>
        <v>0</v>
      </c>
      <c r="J691" s="31">
        <f t="shared" si="33"/>
        <v>0</v>
      </c>
      <c r="K691" s="33" t="e">
        <f t="shared" si="34"/>
        <v>#DIV/0!</v>
      </c>
    </row>
    <row r="692" spans="1:11" x14ac:dyDescent="0.3">
      <c r="A692" s="30">
        <v>46345</v>
      </c>
      <c r="B692" s="24" cm="1">
        <f t="array" ref="B692">SUMPRODUCT(('TREASURY FILE'!B591:B5592=$B$4)*('TREASURY FILE'!D591:D5592="TURNOVER")*('TREASURY FILE'!A591:A5592=A692)*('TREASURY FILE'!F591:F5592))</f>
        <v>0</v>
      </c>
      <c r="C692" s="24" cm="1">
        <f t="array" ref="C692">SUMPRODUCT(('TREASURY FILE'!B591:B5592=$C$4)*('TREASURY FILE'!D591:D5592="TURNOVER")*('TREASURY FILE'!A591:A5592=A692)*('TREASURY FILE'!F591:F5592))</f>
        <v>0</v>
      </c>
      <c r="D692" s="24" cm="1">
        <f t="array" ref="D692">SUMPRODUCT(('TREASURY FILE'!B591:B5592=$D$4)*('TREASURY FILE'!D591:D5592="TURNOVER")*('TREASURY FILE'!A591:A5592=A692)*('TREASURY FILE'!F591:F5592))</f>
        <v>0</v>
      </c>
      <c r="E692" s="31">
        <f t="shared" si="32"/>
        <v>0</v>
      </c>
      <c r="G692" s="24" cm="1">
        <f t="array" ref="G692">SUMPRODUCT(('TREASURY FILE'!B591:B5592=$G$4)*('TREASURY FILE'!D591:D5592="INCOME")*('TREASURY FILE'!A591:A5592=A692)*('TREASURY FILE'!F591:F5592))</f>
        <v>0</v>
      </c>
      <c r="H692" s="24" cm="1">
        <f t="array" ref="H692">SUMPRODUCT(('TREASURY FILE'!B591:B5592=$H$4)*('TREASURY FILE'!D591:D5592="INCOME")*('TREASURY FILE'!A591:A5592=A692)*('TREASURY FILE'!F591:F5592))</f>
        <v>0</v>
      </c>
      <c r="I692" s="24" cm="1">
        <f t="array" ref="I692">SUMPRODUCT(('TREASURY FILE'!D600:D5592=$I$4)*('TREASURY FILE'!F600:F5592="INCOME")*('TREASURY FILE'!C600:C5592=C692)*('TREASURY FILE'!H600:H5592))</f>
        <v>0</v>
      </c>
      <c r="J692" s="31">
        <f t="shared" si="33"/>
        <v>0</v>
      </c>
      <c r="K692" s="33" t="e">
        <f t="shared" si="34"/>
        <v>#DIV/0!</v>
      </c>
    </row>
    <row r="693" spans="1:11" x14ac:dyDescent="0.3">
      <c r="A693" s="30">
        <v>46346</v>
      </c>
      <c r="B693" s="24" cm="1">
        <f t="array" ref="B693">SUMPRODUCT(('TREASURY FILE'!B592:B5593=$B$4)*('TREASURY FILE'!D592:D5593="TURNOVER")*('TREASURY FILE'!A592:A5593=A693)*('TREASURY FILE'!F592:F5593))</f>
        <v>0</v>
      </c>
      <c r="C693" s="24" cm="1">
        <f t="array" ref="C693">SUMPRODUCT(('TREASURY FILE'!B592:B5593=$C$4)*('TREASURY FILE'!D592:D5593="TURNOVER")*('TREASURY FILE'!A592:A5593=A693)*('TREASURY FILE'!F592:F5593))</f>
        <v>0</v>
      </c>
      <c r="D693" s="24" cm="1">
        <f t="array" ref="D693">SUMPRODUCT(('TREASURY FILE'!B592:B5593=$D$4)*('TREASURY FILE'!D592:D5593="TURNOVER")*('TREASURY FILE'!A592:A5593=A693)*('TREASURY FILE'!F592:F5593))</f>
        <v>0</v>
      </c>
      <c r="E693" s="31">
        <f t="shared" si="32"/>
        <v>0</v>
      </c>
      <c r="G693" s="24" cm="1">
        <f t="array" ref="G693">SUMPRODUCT(('TREASURY FILE'!B592:B5593=$G$4)*('TREASURY FILE'!D592:D5593="INCOME")*('TREASURY FILE'!A592:A5593=A693)*('TREASURY FILE'!F592:F5593))</f>
        <v>0</v>
      </c>
      <c r="H693" s="24" cm="1">
        <f t="array" ref="H693">SUMPRODUCT(('TREASURY FILE'!B592:B5593=$H$4)*('TREASURY FILE'!D592:D5593="INCOME")*('TREASURY FILE'!A592:A5593=A693)*('TREASURY FILE'!F592:F5593))</f>
        <v>0</v>
      </c>
      <c r="I693" s="24" cm="1">
        <f t="array" ref="I693">SUMPRODUCT(('TREASURY FILE'!D601:D5593=$I$4)*('TREASURY FILE'!F601:F5593="INCOME")*('TREASURY FILE'!C601:C5593=C693)*('TREASURY FILE'!H601:H5593))</f>
        <v>0</v>
      </c>
      <c r="J693" s="31">
        <f t="shared" si="33"/>
        <v>0</v>
      </c>
      <c r="K693" s="33" t="e">
        <f t="shared" si="34"/>
        <v>#DIV/0!</v>
      </c>
    </row>
    <row r="694" spans="1:11" x14ac:dyDescent="0.3">
      <c r="A694" s="30">
        <v>46347</v>
      </c>
      <c r="B694" s="24" cm="1">
        <f t="array" ref="B694">SUMPRODUCT(('TREASURY FILE'!B593:B5594=$B$4)*('TREASURY FILE'!D593:D5594="TURNOVER")*('TREASURY FILE'!A593:A5594=A694)*('TREASURY FILE'!F593:F5594))</f>
        <v>0</v>
      </c>
      <c r="C694" s="24" cm="1">
        <f t="array" ref="C694">SUMPRODUCT(('TREASURY FILE'!B593:B5594=$C$4)*('TREASURY FILE'!D593:D5594="TURNOVER")*('TREASURY FILE'!A593:A5594=A694)*('TREASURY FILE'!F593:F5594))</f>
        <v>0</v>
      </c>
      <c r="D694" s="24" cm="1">
        <f t="array" ref="D694">SUMPRODUCT(('TREASURY FILE'!B593:B5594=$D$4)*('TREASURY FILE'!D593:D5594="TURNOVER")*('TREASURY FILE'!A593:A5594=A694)*('TREASURY FILE'!F593:F5594))</f>
        <v>0</v>
      </c>
      <c r="E694" s="31">
        <f t="shared" si="32"/>
        <v>0</v>
      </c>
      <c r="G694" s="24" cm="1">
        <f t="array" ref="G694">SUMPRODUCT(('TREASURY FILE'!B593:B5594=$G$4)*('TREASURY FILE'!D593:D5594="INCOME")*('TREASURY FILE'!A593:A5594=A694)*('TREASURY FILE'!F593:F5594))</f>
        <v>0</v>
      </c>
      <c r="H694" s="24" cm="1">
        <f t="array" ref="H694">SUMPRODUCT(('TREASURY FILE'!B593:B5594=$H$4)*('TREASURY FILE'!D593:D5594="INCOME")*('TREASURY FILE'!A593:A5594=A694)*('TREASURY FILE'!F593:F5594))</f>
        <v>0</v>
      </c>
      <c r="I694" s="24" cm="1">
        <f t="array" ref="I694">SUMPRODUCT(('TREASURY FILE'!D602:D5594=$I$4)*('TREASURY FILE'!F602:F5594="INCOME")*('TREASURY FILE'!C602:C5594=C694)*('TREASURY FILE'!H602:H5594))</f>
        <v>0</v>
      </c>
      <c r="J694" s="31">
        <f t="shared" si="33"/>
        <v>0</v>
      </c>
      <c r="K694" s="33" t="e">
        <f t="shared" si="34"/>
        <v>#DIV/0!</v>
      </c>
    </row>
    <row r="695" spans="1:11" x14ac:dyDescent="0.3">
      <c r="A695" s="30">
        <v>46348</v>
      </c>
      <c r="B695" s="24" cm="1">
        <f t="array" ref="B695">SUMPRODUCT(('TREASURY FILE'!B594:B5595=$B$4)*('TREASURY FILE'!D594:D5595="TURNOVER")*('TREASURY FILE'!A594:A5595=A695)*('TREASURY FILE'!F594:F5595))</f>
        <v>0</v>
      </c>
      <c r="C695" s="24" cm="1">
        <f t="array" ref="C695">SUMPRODUCT(('TREASURY FILE'!B594:B5595=$C$4)*('TREASURY FILE'!D594:D5595="TURNOVER")*('TREASURY FILE'!A594:A5595=A695)*('TREASURY FILE'!F594:F5595))</f>
        <v>0</v>
      </c>
      <c r="D695" s="24" cm="1">
        <f t="array" ref="D695">SUMPRODUCT(('TREASURY FILE'!B594:B5595=$D$4)*('TREASURY FILE'!D594:D5595="TURNOVER")*('TREASURY FILE'!A594:A5595=A695)*('TREASURY FILE'!F594:F5595))</f>
        <v>0</v>
      </c>
      <c r="E695" s="31">
        <f t="shared" si="32"/>
        <v>0</v>
      </c>
      <c r="G695" s="24" cm="1">
        <f t="array" ref="G695">SUMPRODUCT(('TREASURY FILE'!B594:B5595=$G$4)*('TREASURY FILE'!D594:D5595="INCOME")*('TREASURY FILE'!A594:A5595=A695)*('TREASURY FILE'!F594:F5595))</f>
        <v>0</v>
      </c>
      <c r="H695" s="24" cm="1">
        <f t="array" ref="H695">SUMPRODUCT(('TREASURY FILE'!B594:B5595=$H$4)*('TREASURY FILE'!D594:D5595="INCOME")*('TREASURY FILE'!A594:A5595=A695)*('TREASURY FILE'!F594:F5595))</f>
        <v>0</v>
      </c>
      <c r="I695" s="24" cm="1">
        <f t="array" ref="I695">SUMPRODUCT(('TREASURY FILE'!D603:D5595=$I$4)*('TREASURY FILE'!F603:F5595="INCOME")*('TREASURY FILE'!C603:C5595=C695)*('TREASURY FILE'!H603:H5595))</f>
        <v>0</v>
      </c>
      <c r="J695" s="31">
        <f t="shared" si="33"/>
        <v>0</v>
      </c>
      <c r="K695" s="33" t="e">
        <f t="shared" si="34"/>
        <v>#DIV/0!</v>
      </c>
    </row>
    <row r="696" spans="1:11" x14ac:dyDescent="0.3">
      <c r="A696" s="30">
        <v>46349</v>
      </c>
      <c r="B696" s="24" cm="1">
        <f t="array" ref="B696">SUMPRODUCT(('TREASURY FILE'!B595:B5596=$B$4)*('TREASURY FILE'!D595:D5596="TURNOVER")*('TREASURY FILE'!A595:A5596=A696)*('TREASURY FILE'!F595:F5596))</f>
        <v>0</v>
      </c>
      <c r="C696" s="24" cm="1">
        <f t="array" ref="C696">SUMPRODUCT(('TREASURY FILE'!B595:B5596=$C$4)*('TREASURY FILE'!D595:D5596="TURNOVER")*('TREASURY FILE'!A595:A5596=A696)*('TREASURY FILE'!F595:F5596))</f>
        <v>0</v>
      </c>
      <c r="D696" s="24" cm="1">
        <f t="array" ref="D696">SUMPRODUCT(('TREASURY FILE'!B595:B5596=$D$4)*('TREASURY FILE'!D595:D5596="TURNOVER")*('TREASURY FILE'!A595:A5596=A696)*('TREASURY FILE'!F595:F5596))</f>
        <v>0</v>
      </c>
      <c r="E696" s="31">
        <f t="shared" si="32"/>
        <v>0</v>
      </c>
      <c r="G696" s="24" cm="1">
        <f t="array" ref="G696">SUMPRODUCT(('TREASURY FILE'!B595:B5596=$G$4)*('TREASURY FILE'!D595:D5596="INCOME")*('TREASURY FILE'!A595:A5596=A696)*('TREASURY FILE'!F595:F5596))</f>
        <v>0</v>
      </c>
      <c r="H696" s="24" cm="1">
        <f t="array" ref="H696">SUMPRODUCT(('TREASURY FILE'!B595:B5596=$H$4)*('TREASURY FILE'!D595:D5596="INCOME")*('TREASURY FILE'!A595:A5596=A696)*('TREASURY FILE'!F595:F5596))</f>
        <v>0</v>
      </c>
      <c r="I696" s="24" cm="1">
        <f t="array" ref="I696">SUMPRODUCT(('TREASURY FILE'!D604:D5596=$I$4)*('TREASURY FILE'!F604:F5596="INCOME")*('TREASURY FILE'!C604:C5596=C696)*('TREASURY FILE'!H604:H5596))</f>
        <v>0</v>
      </c>
      <c r="J696" s="31">
        <f t="shared" si="33"/>
        <v>0</v>
      </c>
      <c r="K696" s="33" t="e">
        <f t="shared" si="34"/>
        <v>#DIV/0!</v>
      </c>
    </row>
    <row r="697" spans="1:11" x14ac:dyDescent="0.3">
      <c r="A697" s="30">
        <v>46350</v>
      </c>
      <c r="B697" s="24" cm="1">
        <f t="array" ref="B697">SUMPRODUCT(('TREASURY FILE'!B596:B5597=$B$4)*('TREASURY FILE'!D596:D5597="TURNOVER")*('TREASURY FILE'!A596:A5597=A697)*('TREASURY FILE'!F596:F5597))</f>
        <v>0</v>
      </c>
      <c r="C697" s="24" cm="1">
        <f t="array" ref="C697">SUMPRODUCT(('TREASURY FILE'!B596:B5597=$C$4)*('TREASURY FILE'!D596:D5597="TURNOVER")*('TREASURY FILE'!A596:A5597=A697)*('TREASURY FILE'!F596:F5597))</f>
        <v>0</v>
      </c>
      <c r="D697" s="24" cm="1">
        <f t="array" ref="D697">SUMPRODUCT(('TREASURY FILE'!B596:B5597=$D$4)*('TREASURY FILE'!D596:D5597="TURNOVER")*('TREASURY FILE'!A596:A5597=A697)*('TREASURY FILE'!F596:F5597))</f>
        <v>0</v>
      </c>
      <c r="E697" s="31">
        <f t="shared" si="32"/>
        <v>0</v>
      </c>
      <c r="G697" s="24" cm="1">
        <f t="array" ref="G697">SUMPRODUCT(('TREASURY FILE'!B596:B5597=$G$4)*('TREASURY FILE'!D596:D5597="INCOME")*('TREASURY FILE'!A596:A5597=A697)*('TREASURY FILE'!F596:F5597))</f>
        <v>0</v>
      </c>
      <c r="H697" s="24" cm="1">
        <f t="array" ref="H697">SUMPRODUCT(('TREASURY FILE'!B596:B5597=$H$4)*('TREASURY FILE'!D596:D5597="INCOME")*('TREASURY FILE'!A596:A5597=A697)*('TREASURY FILE'!F596:F5597))</f>
        <v>0</v>
      </c>
      <c r="I697" s="24" cm="1">
        <f t="array" ref="I697">SUMPRODUCT(('TREASURY FILE'!D605:D5597=$I$4)*('TREASURY FILE'!F605:F5597="INCOME")*('TREASURY FILE'!C605:C5597=C697)*('TREASURY FILE'!H605:H5597))</f>
        <v>0</v>
      </c>
      <c r="J697" s="31">
        <f t="shared" si="33"/>
        <v>0</v>
      </c>
      <c r="K697" s="33" t="e">
        <f t="shared" si="34"/>
        <v>#DIV/0!</v>
      </c>
    </row>
    <row r="698" spans="1:11" x14ac:dyDescent="0.3">
      <c r="A698" s="30">
        <v>46351</v>
      </c>
      <c r="B698" s="24" cm="1">
        <f t="array" ref="B698">SUMPRODUCT(('TREASURY FILE'!B597:B5598=$B$4)*('TREASURY FILE'!D597:D5598="TURNOVER")*('TREASURY FILE'!A597:A5598=A698)*('TREASURY FILE'!F597:F5598))</f>
        <v>0</v>
      </c>
      <c r="C698" s="24" cm="1">
        <f t="array" ref="C698">SUMPRODUCT(('TREASURY FILE'!B597:B5598=$C$4)*('TREASURY FILE'!D597:D5598="TURNOVER")*('TREASURY FILE'!A597:A5598=A698)*('TREASURY FILE'!F597:F5598))</f>
        <v>0</v>
      </c>
      <c r="D698" s="24" cm="1">
        <f t="array" ref="D698">SUMPRODUCT(('TREASURY FILE'!B597:B5598=$D$4)*('TREASURY FILE'!D597:D5598="TURNOVER")*('TREASURY FILE'!A597:A5598=A698)*('TREASURY FILE'!F597:F5598))</f>
        <v>0</v>
      </c>
      <c r="E698" s="31">
        <f t="shared" si="32"/>
        <v>0</v>
      </c>
      <c r="G698" s="24" cm="1">
        <f t="array" ref="G698">SUMPRODUCT(('TREASURY FILE'!B597:B5598=$G$4)*('TREASURY FILE'!D597:D5598="INCOME")*('TREASURY FILE'!A597:A5598=A698)*('TREASURY FILE'!F597:F5598))</f>
        <v>0</v>
      </c>
      <c r="H698" s="24" cm="1">
        <f t="array" ref="H698">SUMPRODUCT(('TREASURY FILE'!B597:B5598=$H$4)*('TREASURY FILE'!D597:D5598="INCOME")*('TREASURY FILE'!A597:A5598=A698)*('TREASURY FILE'!F597:F5598))</f>
        <v>0</v>
      </c>
      <c r="I698" s="24" cm="1">
        <f t="array" ref="I698">SUMPRODUCT(('TREASURY FILE'!D606:D5598=$I$4)*('TREASURY FILE'!F606:F5598="INCOME")*('TREASURY FILE'!C606:C5598=C698)*('TREASURY FILE'!H606:H5598))</f>
        <v>0</v>
      </c>
      <c r="J698" s="31">
        <f t="shared" si="33"/>
        <v>0</v>
      </c>
      <c r="K698" s="33" t="e">
        <f t="shared" si="34"/>
        <v>#DIV/0!</v>
      </c>
    </row>
    <row r="699" spans="1:11" x14ac:dyDescent="0.3">
      <c r="A699" s="30">
        <v>46352</v>
      </c>
      <c r="B699" s="24" cm="1">
        <f t="array" ref="B699">SUMPRODUCT(('TREASURY FILE'!B598:B5599=$B$4)*('TREASURY FILE'!D598:D5599="TURNOVER")*('TREASURY FILE'!A598:A5599=A699)*('TREASURY FILE'!F598:F5599))</f>
        <v>0</v>
      </c>
      <c r="C699" s="24" cm="1">
        <f t="array" ref="C699">SUMPRODUCT(('TREASURY FILE'!B598:B5599=$C$4)*('TREASURY FILE'!D598:D5599="TURNOVER")*('TREASURY FILE'!A598:A5599=A699)*('TREASURY FILE'!F598:F5599))</f>
        <v>0</v>
      </c>
      <c r="D699" s="24" cm="1">
        <f t="array" ref="D699">SUMPRODUCT(('TREASURY FILE'!B598:B5599=$D$4)*('TREASURY FILE'!D598:D5599="TURNOVER")*('TREASURY FILE'!A598:A5599=A699)*('TREASURY FILE'!F598:F5599))</f>
        <v>0</v>
      </c>
      <c r="E699" s="31">
        <f t="shared" si="32"/>
        <v>0</v>
      </c>
      <c r="G699" s="24" cm="1">
        <f t="array" ref="G699">SUMPRODUCT(('TREASURY FILE'!B598:B5599=$G$4)*('TREASURY FILE'!D598:D5599="INCOME")*('TREASURY FILE'!A598:A5599=A699)*('TREASURY FILE'!F598:F5599))</f>
        <v>0</v>
      </c>
      <c r="H699" s="24" cm="1">
        <f t="array" ref="H699">SUMPRODUCT(('TREASURY FILE'!B598:B5599=$H$4)*('TREASURY FILE'!D598:D5599="INCOME")*('TREASURY FILE'!A598:A5599=A699)*('TREASURY FILE'!F598:F5599))</f>
        <v>0</v>
      </c>
      <c r="I699" s="24" cm="1">
        <f t="array" ref="I699">SUMPRODUCT(('TREASURY FILE'!D607:D5599=$I$4)*('TREASURY FILE'!F607:F5599="INCOME")*('TREASURY FILE'!C607:C5599=C699)*('TREASURY FILE'!H607:H5599))</f>
        <v>0</v>
      </c>
      <c r="J699" s="31">
        <f t="shared" si="33"/>
        <v>0</v>
      </c>
      <c r="K699" s="33" t="e">
        <f t="shared" si="34"/>
        <v>#DIV/0!</v>
      </c>
    </row>
    <row r="700" spans="1:11" x14ac:dyDescent="0.3">
      <c r="A700" s="30">
        <v>46353</v>
      </c>
      <c r="B700" s="24" cm="1">
        <f t="array" ref="B700">SUMPRODUCT(('TREASURY FILE'!B599:B5600=$B$4)*('TREASURY FILE'!D599:D5600="TURNOVER")*('TREASURY FILE'!A599:A5600=A700)*('TREASURY FILE'!F599:F5600))</f>
        <v>0</v>
      </c>
      <c r="C700" s="24" cm="1">
        <f t="array" ref="C700">SUMPRODUCT(('TREASURY FILE'!B599:B5600=$C$4)*('TREASURY FILE'!D599:D5600="TURNOVER")*('TREASURY FILE'!A599:A5600=A700)*('TREASURY FILE'!F599:F5600))</f>
        <v>0</v>
      </c>
      <c r="D700" s="24" cm="1">
        <f t="array" ref="D700">SUMPRODUCT(('TREASURY FILE'!B599:B5600=$D$4)*('TREASURY FILE'!D599:D5600="TURNOVER")*('TREASURY FILE'!A599:A5600=A700)*('TREASURY FILE'!F599:F5600))</f>
        <v>0</v>
      </c>
      <c r="E700" s="31">
        <f t="shared" si="32"/>
        <v>0</v>
      </c>
      <c r="G700" s="24" cm="1">
        <f t="array" ref="G700">SUMPRODUCT(('TREASURY FILE'!B599:B5600=$G$4)*('TREASURY FILE'!D599:D5600="INCOME")*('TREASURY FILE'!A599:A5600=A700)*('TREASURY FILE'!F599:F5600))</f>
        <v>0</v>
      </c>
      <c r="H700" s="24" cm="1">
        <f t="array" ref="H700">SUMPRODUCT(('TREASURY FILE'!B599:B5600=$H$4)*('TREASURY FILE'!D599:D5600="INCOME")*('TREASURY FILE'!A599:A5600=A700)*('TREASURY FILE'!F599:F5600))</f>
        <v>0</v>
      </c>
      <c r="I700" s="24" cm="1">
        <f t="array" ref="I700">SUMPRODUCT(('TREASURY FILE'!D608:D5600=$I$4)*('TREASURY FILE'!F608:F5600="INCOME")*('TREASURY FILE'!C608:C5600=C700)*('TREASURY FILE'!H608:H5600))</f>
        <v>0</v>
      </c>
      <c r="J700" s="31">
        <f t="shared" si="33"/>
        <v>0</v>
      </c>
      <c r="K700" s="33" t="e">
        <f t="shared" si="34"/>
        <v>#DIV/0!</v>
      </c>
    </row>
    <row r="701" spans="1:11" x14ac:dyDescent="0.3">
      <c r="A701" s="30">
        <v>46354</v>
      </c>
      <c r="B701" s="24" cm="1">
        <f t="array" ref="B701">SUMPRODUCT(('TREASURY FILE'!B600:B5601=$B$4)*('TREASURY FILE'!D600:D5601="TURNOVER")*('TREASURY FILE'!A600:A5601=A701)*('TREASURY FILE'!F600:F5601))</f>
        <v>0</v>
      </c>
      <c r="C701" s="24" cm="1">
        <f t="array" ref="C701">SUMPRODUCT(('TREASURY FILE'!B600:B5601=$C$4)*('TREASURY FILE'!D600:D5601="TURNOVER")*('TREASURY FILE'!A600:A5601=A701)*('TREASURY FILE'!F600:F5601))</f>
        <v>0</v>
      </c>
      <c r="D701" s="24" cm="1">
        <f t="array" ref="D701">SUMPRODUCT(('TREASURY FILE'!B600:B5601=$D$4)*('TREASURY FILE'!D600:D5601="TURNOVER")*('TREASURY FILE'!A600:A5601=A701)*('TREASURY FILE'!F600:F5601))</f>
        <v>0</v>
      </c>
      <c r="E701" s="31">
        <f t="shared" si="32"/>
        <v>0</v>
      </c>
      <c r="G701" s="24" cm="1">
        <f t="array" ref="G701">SUMPRODUCT(('TREASURY FILE'!B600:B5601=$G$4)*('TREASURY FILE'!D600:D5601="INCOME")*('TREASURY FILE'!A600:A5601=A701)*('TREASURY FILE'!F600:F5601))</f>
        <v>0</v>
      </c>
      <c r="H701" s="24" cm="1">
        <f t="array" ref="H701">SUMPRODUCT(('TREASURY FILE'!B600:B5601=$H$4)*('TREASURY FILE'!D600:D5601="INCOME")*('TREASURY FILE'!A600:A5601=A701)*('TREASURY FILE'!F600:F5601))</f>
        <v>0</v>
      </c>
      <c r="I701" s="24" cm="1">
        <f t="array" ref="I701">SUMPRODUCT(('TREASURY FILE'!D609:D5601=$I$4)*('TREASURY FILE'!F609:F5601="INCOME")*('TREASURY FILE'!C609:C5601=C701)*('TREASURY FILE'!H609:H5601))</f>
        <v>0</v>
      </c>
      <c r="J701" s="31">
        <f t="shared" si="33"/>
        <v>0</v>
      </c>
      <c r="K701" s="33" t="e">
        <f t="shared" si="34"/>
        <v>#DIV/0!</v>
      </c>
    </row>
    <row r="702" spans="1:11" x14ac:dyDescent="0.3">
      <c r="A702" s="30">
        <v>46355</v>
      </c>
      <c r="B702" s="24" cm="1">
        <f t="array" ref="B702">SUMPRODUCT(('TREASURY FILE'!B601:B5602=$B$4)*('TREASURY FILE'!D601:D5602="TURNOVER")*('TREASURY FILE'!A601:A5602=A702)*('TREASURY FILE'!F601:F5602))</f>
        <v>0</v>
      </c>
      <c r="C702" s="24" cm="1">
        <f t="array" ref="C702">SUMPRODUCT(('TREASURY FILE'!B601:B5602=$C$4)*('TREASURY FILE'!D601:D5602="TURNOVER")*('TREASURY FILE'!A601:A5602=A702)*('TREASURY FILE'!F601:F5602))</f>
        <v>0</v>
      </c>
      <c r="D702" s="24" cm="1">
        <f t="array" ref="D702">SUMPRODUCT(('TREASURY FILE'!B601:B5602=$D$4)*('TREASURY FILE'!D601:D5602="TURNOVER")*('TREASURY FILE'!A601:A5602=A702)*('TREASURY FILE'!F601:F5602))</f>
        <v>0</v>
      </c>
      <c r="E702" s="31">
        <f t="shared" si="32"/>
        <v>0</v>
      </c>
      <c r="G702" s="24" cm="1">
        <f t="array" ref="G702">SUMPRODUCT(('TREASURY FILE'!B601:B5602=$G$4)*('TREASURY FILE'!D601:D5602="INCOME")*('TREASURY FILE'!A601:A5602=A702)*('TREASURY FILE'!F601:F5602))</f>
        <v>0</v>
      </c>
      <c r="H702" s="24" cm="1">
        <f t="array" ref="H702">SUMPRODUCT(('TREASURY FILE'!B601:B5602=$H$4)*('TREASURY FILE'!D601:D5602="INCOME")*('TREASURY FILE'!A601:A5602=A702)*('TREASURY FILE'!F601:F5602))</f>
        <v>0</v>
      </c>
      <c r="I702" s="24" cm="1">
        <f t="array" ref="I702">SUMPRODUCT(('TREASURY FILE'!D610:D5602=$I$4)*('TREASURY FILE'!F610:F5602="INCOME")*('TREASURY FILE'!C610:C5602=C702)*('TREASURY FILE'!H610:H5602))</f>
        <v>0</v>
      </c>
      <c r="J702" s="31">
        <f t="shared" si="33"/>
        <v>0</v>
      </c>
      <c r="K702" s="33" t="e">
        <f t="shared" si="34"/>
        <v>#DIV/0!</v>
      </c>
    </row>
    <row r="703" spans="1:11" x14ac:dyDescent="0.3">
      <c r="A703" s="30">
        <v>46356</v>
      </c>
      <c r="B703" s="24" cm="1">
        <f t="array" ref="B703">SUMPRODUCT(('TREASURY FILE'!B602:B5603=$B$4)*('TREASURY FILE'!D602:D5603="TURNOVER")*('TREASURY FILE'!A602:A5603=A703)*('TREASURY FILE'!F602:F5603))</f>
        <v>0</v>
      </c>
      <c r="C703" s="24" cm="1">
        <f t="array" ref="C703">SUMPRODUCT(('TREASURY FILE'!B602:B5603=$C$4)*('TREASURY FILE'!D602:D5603="TURNOVER")*('TREASURY FILE'!A602:A5603=A703)*('TREASURY FILE'!F602:F5603))</f>
        <v>0</v>
      </c>
      <c r="D703" s="24" cm="1">
        <f t="array" ref="D703">SUMPRODUCT(('TREASURY FILE'!B602:B5603=$D$4)*('TREASURY FILE'!D602:D5603="TURNOVER")*('TREASURY FILE'!A602:A5603=A703)*('TREASURY FILE'!F602:F5603))</f>
        <v>0</v>
      </c>
      <c r="E703" s="31">
        <f t="shared" si="32"/>
        <v>0</v>
      </c>
      <c r="G703" s="24" cm="1">
        <f t="array" ref="G703">SUMPRODUCT(('TREASURY FILE'!B602:B5603=$G$4)*('TREASURY FILE'!D602:D5603="INCOME")*('TREASURY FILE'!A602:A5603=A703)*('TREASURY FILE'!F602:F5603))</f>
        <v>0</v>
      </c>
      <c r="H703" s="24" cm="1">
        <f t="array" ref="H703">SUMPRODUCT(('TREASURY FILE'!B602:B5603=$H$4)*('TREASURY FILE'!D602:D5603="INCOME")*('TREASURY FILE'!A602:A5603=A703)*('TREASURY FILE'!F602:F5603))</f>
        <v>0</v>
      </c>
      <c r="I703" s="24" cm="1">
        <f t="array" ref="I703">SUMPRODUCT(('TREASURY FILE'!D611:D5603=$I$4)*('TREASURY FILE'!F611:F5603="INCOME")*('TREASURY FILE'!C611:C5603=C703)*('TREASURY FILE'!H611:H5603))</f>
        <v>0</v>
      </c>
      <c r="J703" s="31">
        <f t="shared" si="33"/>
        <v>0</v>
      </c>
      <c r="K703" s="33" t="e">
        <f t="shared" si="34"/>
        <v>#DIV/0!</v>
      </c>
    </row>
    <row r="704" spans="1:11" x14ac:dyDescent="0.3">
      <c r="A704" s="30">
        <v>46357</v>
      </c>
      <c r="B704" s="24" cm="1">
        <f t="array" ref="B704">SUMPRODUCT(('TREASURY FILE'!B603:B5604=$B$4)*('TREASURY FILE'!D603:D5604="TURNOVER")*('TREASURY FILE'!A603:A5604=A704)*('TREASURY FILE'!F603:F5604))</f>
        <v>0</v>
      </c>
      <c r="C704" s="24" cm="1">
        <f t="array" ref="C704">SUMPRODUCT(('TREASURY FILE'!B603:B5604=$C$4)*('TREASURY FILE'!D603:D5604="TURNOVER")*('TREASURY FILE'!A603:A5604=A704)*('TREASURY FILE'!F603:F5604))</f>
        <v>0</v>
      </c>
      <c r="D704" s="24" cm="1">
        <f t="array" ref="D704">SUMPRODUCT(('TREASURY FILE'!B603:B5604=$D$4)*('TREASURY FILE'!D603:D5604="TURNOVER")*('TREASURY FILE'!A603:A5604=A704)*('TREASURY FILE'!F603:F5604))</f>
        <v>0</v>
      </c>
      <c r="E704" s="31">
        <f t="shared" si="32"/>
        <v>0</v>
      </c>
      <c r="G704" s="24" cm="1">
        <f t="array" ref="G704">SUMPRODUCT(('TREASURY FILE'!B603:B5604=$G$4)*('TREASURY FILE'!D603:D5604="INCOME")*('TREASURY FILE'!A603:A5604=A704)*('TREASURY FILE'!F603:F5604))</f>
        <v>0</v>
      </c>
      <c r="H704" s="24" cm="1">
        <f t="array" ref="H704">SUMPRODUCT(('TREASURY FILE'!B603:B5604=$H$4)*('TREASURY FILE'!D603:D5604="INCOME")*('TREASURY FILE'!A603:A5604=A704)*('TREASURY FILE'!F603:F5604))</f>
        <v>0</v>
      </c>
      <c r="I704" s="24" cm="1">
        <f t="array" ref="I704">SUMPRODUCT(('TREASURY FILE'!D612:D5604=$I$4)*('TREASURY FILE'!F612:F5604="INCOME")*('TREASURY FILE'!C612:C5604=C704)*('TREASURY FILE'!H612:H5604))</f>
        <v>0</v>
      </c>
      <c r="J704" s="31">
        <f t="shared" si="33"/>
        <v>0</v>
      </c>
      <c r="K704" s="33" t="e">
        <f t="shared" si="34"/>
        <v>#DIV/0!</v>
      </c>
    </row>
    <row r="705" spans="1:11" x14ac:dyDescent="0.3">
      <c r="A705" s="30">
        <v>46358</v>
      </c>
      <c r="B705" s="24" cm="1">
        <f t="array" ref="B705">SUMPRODUCT(('TREASURY FILE'!B604:B5605=$B$4)*('TREASURY FILE'!D604:D5605="TURNOVER")*('TREASURY FILE'!A604:A5605=A705)*('TREASURY FILE'!F604:F5605))</f>
        <v>0</v>
      </c>
      <c r="C705" s="24" cm="1">
        <f t="array" ref="C705">SUMPRODUCT(('TREASURY FILE'!B604:B5605=$C$4)*('TREASURY FILE'!D604:D5605="TURNOVER")*('TREASURY FILE'!A604:A5605=A705)*('TREASURY FILE'!F604:F5605))</f>
        <v>0</v>
      </c>
      <c r="D705" s="24" cm="1">
        <f t="array" ref="D705">SUMPRODUCT(('TREASURY FILE'!B604:B5605=$D$4)*('TREASURY FILE'!D604:D5605="TURNOVER")*('TREASURY FILE'!A604:A5605=A705)*('TREASURY FILE'!F604:F5605))</f>
        <v>0</v>
      </c>
      <c r="E705" s="31">
        <f t="shared" si="32"/>
        <v>0</v>
      </c>
      <c r="G705" s="24" cm="1">
        <f t="array" ref="G705">SUMPRODUCT(('TREASURY FILE'!B604:B5605=$G$4)*('TREASURY FILE'!D604:D5605="INCOME")*('TREASURY FILE'!A604:A5605=A705)*('TREASURY FILE'!F604:F5605))</f>
        <v>0</v>
      </c>
      <c r="H705" s="24" cm="1">
        <f t="array" ref="H705">SUMPRODUCT(('TREASURY FILE'!B604:B5605=$H$4)*('TREASURY FILE'!D604:D5605="INCOME")*('TREASURY FILE'!A604:A5605=A705)*('TREASURY FILE'!F604:F5605))</f>
        <v>0</v>
      </c>
      <c r="I705" s="24" cm="1">
        <f t="array" ref="I705">SUMPRODUCT(('TREASURY FILE'!D613:D5605=$I$4)*('TREASURY FILE'!F613:F5605="INCOME")*('TREASURY FILE'!C613:C5605=C705)*('TREASURY FILE'!H613:H5605))</f>
        <v>0</v>
      </c>
      <c r="J705" s="31">
        <f t="shared" si="33"/>
        <v>0</v>
      </c>
      <c r="K705" s="33" t="e">
        <f t="shared" si="34"/>
        <v>#DIV/0!</v>
      </c>
    </row>
    <row r="706" spans="1:11" x14ac:dyDescent="0.3">
      <c r="A706" s="30">
        <v>46359</v>
      </c>
      <c r="B706" s="24" cm="1">
        <f t="array" ref="B706">SUMPRODUCT(('TREASURY FILE'!B605:B5606=$B$4)*('TREASURY FILE'!D605:D5606="TURNOVER")*('TREASURY FILE'!A605:A5606=A706)*('TREASURY FILE'!F605:F5606))</f>
        <v>0</v>
      </c>
      <c r="C706" s="24" cm="1">
        <f t="array" ref="C706">SUMPRODUCT(('TREASURY FILE'!B605:B5606=$C$4)*('TREASURY FILE'!D605:D5606="TURNOVER")*('TREASURY FILE'!A605:A5606=A706)*('TREASURY FILE'!F605:F5606))</f>
        <v>0</v>
      </c>
      <c r="D706" s="24" cm="1">
        <f t="array" ref="D706">SUMPRODUCT(('TREASURY FILE'!B605:B5606=$D$4)*('TREASURY FILE'!D605:D5606="TURNOVER")*('TREASURY FILE'!A605:A5606=A706)*('TREASURY FILE'!F605:F5606))</f>
        <v>0</v>
      </c>
      <c r="E706" s="31">
        <f t="shared" si="32"/>
        <v>0</v>
      </c>
      <c r="G706" s="24" cm="1">
        <f t="array" ref="G706">SUMPRODUCT(('TREASURY FILE'!B605:B5606=$G$4)*('TREASURY FILE'!D605:D5606="INCOME")*('TREASURY FILE'!A605:A5606=A706)*('TREASURY FILE'!F605:F5606))</f>
        <v>0</v>
      </c>
      <c r="H706" s="24" cm="1">
        <f t="array" ref="H706">SUMPRODUCT(('TREASURY FILE'!B605:B5606=$H$4)*('TREASURY FILE'!D605:D5606="INCOME")*('TREASURY FILE'!A605:A5606=A706)*('TREASURY FILE'!F605:F5606))</f>
        <v>0</v>
      </c>
      <c r="I706" s="24" cm="1">
        <f t="array" ref="I706">SUMPRODUCT(('TREASURY FILE'!D614:D5606=$I$4)*('TREASURY FILE'!F614:F5606="INCOME")*('TREASURY FILE'!C614:C5606=C706)*('TREASURY FILE'!H614:H5606))</f>
        <v>0</v>
      </c>
      <c r="J706" s="31">
        <f t="shared" si="33"/>
        <v>0</v>
      </c>
      <c r="K706" s="33" t="e">
        <f t="shared" si="34"/>
        <v>#DIV/0!</v>
      </c>
    </row>
    <row r="707" spans="1:11" x14ac:dyDescent="0.3">
      <c r="A707" s="30">
        <v>46360</v>
      </c>
      <c r="B707" s="24" cm="1">
        <f t="array" ref="B707">SUMPRODUCT(('TREASURY FILE'!B606:B5607=$B$4)*('TREASURY FILE'!D606:D5607="TURNOVER")*('TREASURY FILE'!A606:A5607=A707)*('TREASURY FILE'!F606:F5607))</f>
        <v>0</v>
      </c>
      <c r="C707" s="24" cm="1">
        <f t="array" ref="C707">SUMPRODUCT(('TREASURY FILE'!B606:B5607=$C$4)*('TREASURY FILE'!D606:D5607="TURNOVER")*('TREASURY FILE'!A606:A5607=A707)*('TREASURY FILE'!F606:F5607))</f>
        <v>0</v>
      </c>
      <c r="D707" s="24" cm="1">
        <f t="array" ref="D707">SUMPRODUCT(('TREASURY FILE'!B606:B5607=$D$4)*('TREASURY FILE'!D606:D5607="TURNOVER")*('TREASURY FILE'!A606:A5607=A707)*('TREASURY FILE'!F606:F5607))</f>
        <v>0</v>
      </c>
      <c r="E707" s="31">
        <f t="shared" si="32"/>
        <v>0</v>
      </c>
      <c r="G707" s="24" cm="1">
        <f t="array" ref="G707">SUMPRODUCT(('TREASURY FILE'!B606:B5607=$G$4)*('TREASURY FILE'!D606:D5607="INCOME")*('TREASURY FILE'!A606:A5607=A707)*('TREASURY FILE'!F606:F5607))</f>
        <v>0</v>
      </c>
      <c r="H707" s="24" cm="1">
        <f t="array" ref="H707">SUMPRODUCT(('TREASURY FILE'!B606:B5607=$H$4)*('TREASURY FILE'!D606:D5607="INCOME")*('TREASURY FILE'!A606:A5607=A707)*('TREASURY FILE'!F606:F5607))</f>
        <v>0</v>
      </c>
      <c r="I707" s="24" cm="1">
        <f t="array" ref="I707">SUMPRODUCT(('TREASURY FILE'!D615:D5607=$I$4)*('TREASURY FILE'!F615:F5607="INCOME")*('TREASURY FILE'!C615:C5607=C707)*('TREASURY FILE'!H615:H5607))</f>
        <v>0</v>
      </c>
      <c r="J707" s="31">
        <f t="shared" si="33"/>
        <v>0</v>
      </c>
      <c r="K707" s="33" t="e">
        <f t="shared" si="34"/>
        <v>#DIV/0!</v>
      </c>
    </row>
    <row r="708" spans="1:11" x14ac:dyDescent="0.3">
      <c r="A708" s="30">
        <v>46361</v>
      </c>
      <c r="B708" s="24" cm="1">
        <f t="array" ref="B708">SUMPRODUCT(('TREASURY FILE'!B607:B5608=$B$4)*('TREASURY FILE'!D607:D5608="TURNOVER")*('TREASURY FILE'!A607:A5608=A708)*('TREASURY FILE'!F607:F5608))</f>
        <v>0</v>
      </c>
      <c r="C708" s="24" cm="1">
        <f t="array" ref="C708">SUMPRODUCT(('TREASURY FILE'!B607:B5608=$C$4)*('TREASURY FILE'!D607:D5608="TURNOVER")*('TREASURY FILE'!A607:A5608=A708)*('TREASURY FILE'!F607:F5608))</f>
        <v>0</v>
      </c>
      <c r="D708" s="24" cm="1">
        <f t="array" ref="D708">SUMPRODUCT(('TREASURY FILE'!B607:B5608=$D$4)*('TREASURY FILE'!D607:D5608="TURNOVER")*('TREASURY FILE'!A607:A5608=A708)*('TREASURY FILE'!F607:F5608))</f>
        <v>0</v>
      </c>
      <c r="E708" s="31">
        <f t="shared" si="32"/>
        <v>0</v>
      </c>
      <c r="G708" s="24" cm="1">
        <f t="array" ref="G708">SUMPRODUCT(('TREASURY FILE'!B607:B5608=$G$4)*('TREASURY FILE'!D607:D5608="INCOME")*('TREASURY FILE'!A607:A5608=A708)*('TREASURY FILE'!F607:F5608))</f>
        <v>0</v>
      </c>
      <c r="H708" s="24" cm="1">
        <f t="array" ref="H708">SUMPRODUCT(('TREASURY FILE'!B607:B5608=$H$4)*('TREASURY FILE'!D607:D5608="INCOME")*('TREASURY FILE'!A607:A5608=A708)*('TREASURY FILE'!F607:F5608))</f>
        <v>0</v>
      </c>
      <c r="I708" s="24" cm="1">
        <f t="array" ref="I708">SUMPRODUCT(('TREASURY FILE'!D616:D5608=$I$4)*('TREASURY FILE'!F616:F5608="INCOME")*('TREASURY FILE'!C616:C5608=C708)*('TREASURY FILE'!H616:H5608))</f>
        <v>0</v>
      </c>
      <c r="J708" s="31">
        <f t="shared" si="33"/>
        <v>0</v>
      </c>
      <c r="K708" s="33" t="e">
        <f t="shared" si="34"/>
        <v>#DIV/0!</v>
      </c>
    </row>
    <row r="709" spans="1:11" x14ac:dyDescent="0.3">
      <c r="A709" s="30">
        <v>46362</v>
      </c>
      <c r="B709" s="24" cm="1">
        <f t="array" ref="B709">SUMPRODUCT(('TREASURY FILE'!B608:B5609=$B$4)*('TREASURY FILE'!D608:D5609="TURNOVER")*('TREASURY FILE'!A608:A5609=A709)*('TREASURY FILE'!F608:F5609))</f>
        <v>0</v>
      </c>
      <c r="C709" s="24" cm="1">
        <f t="array" ref="C709">SUMPRODUCT(('TREASURY FILE'!B608:B5609=$C$4)*('TREASURY FILE'!D608:D5609="TURNOVER")*('TREASURY FILE'!A608:A5609=A709)*('TREASURY FILE'!F608:F5609))</f>
        <v>0</v>
      </c>
      <c r="D709" s="24" cm="1">
        <f t="array" ref="D709">SUMPRODUCT(('TREASURY FILE'!B608:B5609=$D$4)*('TREASURY FILE'!D608:D5609="TURNOVER")*('TREASURY FILE'!A608:A5609=A709)*('TREASURY FILE'!F608:F5609))</f>
        <v>0</v>
      </c>
      <c r="E709" s="31">
        <f t="shared" si="32"/>
        <v>0</v>
      </c>
      <c r="G709" s="24" cm="1">
        <f t="array" ref="G709">SUMPRODUCT(('TREASURY FILE'!B608:B5609=$G$4)*('TREASURY FILE'!D608:D5609="INCOME")*('TREASURY FILE'!A608:A5609=A709)*('TREASURY FILE'!F608:F5609))</f>
        <v>0</v>
      </c>
      <c r="H709" s="24" cm="1">
        <f t="array" ref="H709">SUMPRODUCT(('TREASURY FILE'!B608:B5609=$H$4)*('TREASURY FILE'!D608:D5609="INCOME")*('TREASURY FILE'!A608:A5609=A709)*('TREASURY FILE'!F608:F5609))</f>
        <v>0</v>
      </c>
      <c r="I709" s="24" cm="1">
        <f t="array" ref="I709">SUMPRODUCT(('TREASURY FILE'!D617:D5609=$I$4)*('TREASURY FILE'!F617:F5609="INCOME")*('TREASURY FILE'!C617:C5609=C709)*('TREASURY FILE'!H617:H5609))</f>
        <v>0</v>
      </c>
      <c r="J709" s="31">
        <f t="shared" si="33"/>
        <v>0</v>
      </c>
      <c r="K709" s="33" t="e">
        <f t="shared" si="34"/>
        <v>#DIV/0!</v>
      </c>
    </row>
    <row r="710" spans="1:11" x14ac:dyDescent="0.3">
      <c r="A710" s="30">
        <v>46363</v>
      </c>
      <c r="B710" s="24" cm="1">
        <f t="array" ref="B710">SUMPRODUCT(('TREASURY FILE'!B609:B5610=$B$4)*('TREASURY FILE'!D609:D5610="TURNOVER")*('TREASURY FILE'!A609:A5610=A710)*('TREASURY FILE'!F609:F5610))</f>
        <v>0</v>
      </c>
      <c r="C710" s="24" cm="1">
        <f t="array" ref="C710">SUMPRODUCT(('TREASURY FILE'!B609:B5610=$C$4)*('TREASURY FILE'!D609:D5610="TURNOVER")*('TREASURY FILE'!A609:A5610=A710)*('TREASURY FILE'!F609:F5610))</f>
        <v>0</v>
      </c>
      <c r="D710" s="24" cm="1">
        <f t="array" ref="D710">SUMPRODUCT(('TREASURY FILE'!B609:B5610=$D$4)*('TREASURY FILE'!D609:D5610="TURNOVER")*('TREASURY FILE'!A609:A5610=A710)*('TREASURY FILE'!F609:F5610))</f>
        <v>0</v>
      </c>
      <c r="E710" s="31">
        <f t="shared" ref="E710:E773" si="35">SUM(B710:D710)</f>
        <v>0</v>
      </c>
      <c r="G710" s="24" cm="1">
        <f t="array" ref="G710">SUMPRODUCT(('TREASURY FILE'!B609:B5610=$G$4)*('TREASURY FILE'!D609:D5610="INCOME")*('TREASURY FILE'!A609:A5610=A710)*('TREASURY FILE'!F609:F5610))</f>
        <v>0</v>
      </c>
      <c r="H710" s="24" cm="1">
        <f t="array" ref="H710">SUMPRODUCT(('TREASURY FILE'!B609:B5610=$H$4)*('TREASURY FILE'!D609:D5610="INCOME")*('TREASURY FILE'!A609:A5610=A710)*('TREASURY FILE'!F609:F5610))</f>
        <v>0</v>
      </c>
      <c r="I710" s="24" cm="1">
        <f t="array" ref="I710">SUMPRODUCT(('TREASURY FILE'!D618:D5610=$I$4)*('TREASURY FILE'!F618:F5610="INCOME")*('TREASURY FILE'!C618:C5610=C710)*('TREASURY FILE'!H618:H5610))</f>
        <v>0</v>
      </c>
      <c r="J710" s="31">
        <f t="shared" ref="J710:J773" si="36">SUM(G710:I710)</f>
        <v>0</v>
      </c>
      <c r="K710" s="33" t="e">
        <f t="shared" ref="K710:K773" si="37">+J710/E710</f>
        <v>#DIV/0!</v>
      </c>
    </row>
    <row r="711" spans="1:11" x14ac:dyDescent="0.3">
      <c r="A711" s="30">
        <v>46364</v>
      </c>
      <c r="B711" s="24" cm="1">
        <f t="array" ref="B711">SUMPRODUCT(('TREASURY FILE'!B610:B5611=$B$4)*('TREASURY FILE'!D610:D5611="TURNOVER")*('TREASURY FILE'!A610:A5611=A711)*('TREASURY FILE'!F610:F5611))</f>
        <v>0</v>
      </c>
      <c r="C711" s="24" cm="1">
        <f t="array" ref="C711">SUMPRODUCT(('TREASURY FILE'!B610:B5611=$C$4)*('TREASURY FILE'!D610:D5611="TURNOVER")*('TREASURY FILE'!A610:A5611=A711)*('TREASURY FILE'!F610:F5611))</f>
        <v>0</v>
      </c>
      <c r="D711" s="24" cm="1">
        <f t="array" ref="D711">SUMPRODUCT(('TREASURY FILE'!B610:B5611=$D$4)*('TREASURY FILE'!D610:D5611="TURNOVER")*('TREASURY FILE'!A610:A5611=A711)*('TREASURY FILE'!F610:F5611))</f>
        <v>0</v>
      </c>
      <c r="E711" s="31">
        <f t="shared" si="35"/>
        <v>0</v>
      </c>
      <c r="G711" s="24" cm="1">
        <f t="array" ref="G711">SUMPRODUCT(('TREASURY FILE'!B610:B5611=$G$4)*('TREASURY FILE'!D610:D5611="INCOME")*('TREASURY FILE'!A610:A5611=A711)*('TREASURY FILE'!F610:F5611))</f>
        <v>0</v>
      </c>
      <c r="H711" s="24" cm="1">
        <f t="array" ref="H711">SUMPRODUCT(('TREASURY FILE'!B610:B5611=$H$4)*('TREASURY FILE'!D610:D5611="INCOME")*('TREASURY FILE'!A610:A5611=A711)*('TREASURY FILE'!F610:F5611))</f>
        <v>0</v>
      </c>
      <c r="I711" s="24" cm="1">
        <f t="array" ref="I711">SUMPRODUCT(('TREASURY FILE'!D619:D5611=$I$4)*('TREASURY FILE'!F619:F5611="INCOME")*('TREASURY FILE'!C619:C5611=C711)*('TREASURY FILE'!H619:H5611))</f>
        <v>0</v>
      </c>
      <c r="J711" s="31">
        <f t="shared" si="36"/>
        <v>0</v>
      </c>
      <c r="K711" s="33" t="e">
        <f t="shared" si="37"/>
        <v>#DIV/0!</v>
      </c>
    </row>
    <row r="712" spans="1:11" x14ac:dyDescent="0.3">
      <c r="A712" s="30">
        <v>46365</v>
      </c>
      <c r="B712" s="24" cm="1">
        <f t="array" ref="B712">SUMPRODUCT(('TREASURY FILE'!B611:B5612=$B$4)*('TREASURY FILE'!D611:D5612="TURNOVER")*('TREASURY FILE'!A611:A5612=A712)*('TREASURY FILE'!F611:F5612))</f>
        <v>0</v>
      </c>
      <c r="C712" s="24" cm="1">
        <f t="array" ref="C712">SUMPRODUCT(('TREASURY FILE'!B611:B5612=$C$4)*('TREASURY FILE'!D611:D5612="TURNOVER")*('TREASURY FILE'!A611:A5612=A712)*('TREASURY FILE'!F611:F5612))</f>
        <v>0</v>
      </c>
      <c r="D712" s="24" cm="1">
        <f t="array" ref="D712">SUMPRODUCT(('TREASURY FILE'!B611:B5612=$D$4)*('TREASURY FILE'!D611:D5612="TURNOVER")*('TREASURY FILE'!A611:A5612=A712)*('TREASURY FILE'!F611:F5612))</f>
        <v>0</v>
      </c>
      <c r="E712" s="31">
        <f t="shared" si="35"/>
        <v>0</v>
      </c>
      <c r="G712" s="24" cm="1">
        <f t="array" ref="G712">SUMPRODUCT(('TREASURY FILE'!B611:B5612=$G$4)*('TREASURY FILE'!D611:D5612="INCOME")*('TREASURY FILE'!A611:A5612=A712)*('TREASURY FILE'!F611:F5612))</f>
        <v>0</v>
      </c>
      <c r="H712" s="24" cm="1">
        <f t="array" ref="H712">SUMPRODUCT(('TREASURY FILE'!B611:B5612=$H$4)*('TREASURY FILE'!D611:D5612="INCOME")*('TREASURY FILE'!A611:A5612=A712)*('TREASURY FILE'!F611:F5612))</f>
        <v>0</v>
      </c>
      <c r="I712" s="24" cm="1">
        <f t="array" ref="I712">SUMPRODUCT(('TREASURY FILE'!D620:D5612=$I$4)*('TREASURY FILE'!F620:F5612="INCOME")*('TREASURY FILE'!C620:C5612=C712)*('TREASURY FILE'!H620:H5612))</f>
        <v>0</v>
      </c>
      <c r="J712" s="31">
        <f t="shared" si="36"/>
        <v>0</v>
      </c>
      <c r="K712" s="33" t="e">
        <f t="shared" si="37"/>
        <v>#DIV/0!</v>
      </c>
    </row>
    <row r="713" spans="1:11" x14ac:dyDescent="0.3">
      <c r="A713" s="30">
        <v>46366</v>
      </c>
      <c r="B713" s="24" cm="1">
        <f t="array" ref="B713">SUMPRODUCT(('TREASURY FILE'!B612:B5613=$B$4)*('TREASURY FILE'!D612:D5613="TURNOVER")*('TREASURY FILE'!A612:A5613=A713)*('TREASURY FILE'!F612:F5613))</f>
        <v>0</v>
      </c>
      <c r="C713" s="24" cm="1">
        <f t="array" ref="C713">SUMPRODUCT(('TREASURY FILE'!B612:B5613=$C$4)*('TREASURY FILE'!D612:D5613="TURNOVER")*('TREASURY FILE'!A612:A5613=A713)*('TREASURY FILE'!F612:F5613))</f>
        <v>0</v>
      </c>
      <c r="D713" s="24" cm="1">
        <f t="array" ref="D713">SUMPRODUCT(('TREASURY FILE'!B612:B5613=$D$4)*('TREASURY FILE'!D612:D5613="TURNOVER")*('TREASURY FILE'!A612:A5613=A713)*('TREASURY FILE'!F612:F5613))</f>
        <v>0</v>
      </c>
      <c r="E713" s="31">
        <f t="shared" si="35"/>
        <v>0</v>
      </c>
      <c r="G713" s="24" cm="1">
        <f t="array" ref="G713">SUMPRODUCT(('TREASURY FILE'!B612:B5613=$G$4)*('TREASURY FILE'!D612:D5613="INCOME")*('TREASURY FILE'!A612:A5613=A713)*('TREASURY FILE'!F612:F5613))</f>
        <v>0</v>
      </c>
      <c r="H713" s="24" cm="1">
        <f t="array" ref="H713">SUMPRODUCT(('TREASURY FILE'!B612:B5613=$H$4)*('TREASURY FILE'!D612:D5613="INCOME")*('TREASURY FILE'!A612:A5613=A713)*('TREASURY FILE'!F612:F5613))</f>
        <v>0</v>
      </c>
      <c r="I713" s="24" cm="1">
        <f t="array" ref="I713">SUMPRODUCT(('TREASURY FILE'!D621:D5613=$I$4)*('TREASURY FILE'!F621:F5613="INCOME")*('TREASURY FILE'!C621:C5613=C713)*('TREASURY FILE'!H621:H5613))</f>
        <v>0</v>
      </c>
      <c r="J713" s="31">
        <f t="shared" si="36"/>
        <v>0</v>
      </c>
      <c r="K713" s="33" t="e">
        <f t="shared" si="37"/>
        <v>#DIV/0!</v>
      </c>
    </row>
    <row r="714" spans="1:11" x14ac:dyDescent="0.3">
      <c r="A714" s="30">
        <v>46367</v>
      </c>
      <c r="B714" s="24" cm="1">
        <f t="array" ref="B714">SUMPRODUCT(('TREASURY FILE'!B613:B5614=$B$4)*('TREASURY FILE'!D613:D5614="TURNOVER")*('TREASURY FILE'!A613:A5614=A714)*('TREASURY FILE'!F613:F5614))</f>
        <v>0</v>
      </c>
      <c r="C714" s="24" cm="1">
        <f t="array" ref="C714">SUMPRODUCT(('TREASURY FILE'!B613:B5614=$C$4)*('TREASURY FILE'!D613:D5614="TURNOVER")*('TREASURY FILE'!A613:A5614=A714)*('TREASURY FILE'!F613:F5614))</f>
        <v>0</v>
      </c>
      <c r="D714" s="24" cm="1">
        <f t="array" ref="D714">SUMPRODUCT(('TREASURY FILE'!B613:B5614=$D$4)*('TREASURY FILE'!D613:D5614="TURNOVER")*('TREASURY FILE'!A613:A5614=A714)*('TREASURY FILE'!F613:F5614))</f>
        <v>0</v>
      </c>
      <c r="E714" s="31">
        <f t="shared" si="35"/>
        <v>0</v>
      </c>
      <c r="G714" s="24" cm="1">
        <f t="array" ref="G714">SUMPRODUCT(('TREASURY FILE'!B613:B5614=$G$4)*('TREASURY FILE'!D613:D5614="INCOME")*('TREASURY FILE'!A613:A5614=A714)*('TREASURY FILE'!F613:F5614))</f>
        <v>0</v>
      </c>
      <c r="H714" s="24" cm="1">
        <f t="array" ref="H714">SUMPRODUCT(('TREASURY FILE'!B613:B5614=$H$4)*('TREASURY FILE'!D613:D5614="INCOME")*('TREASURY FILE'!A613:A5614=A714)*('TREASURY FILE'!F613:F5614))</f>
        <v>0</v>
      </c>
      <c r="I714" s="24" cm="1">
        <f t="array" ref="I714">SUMPRODUCT(('TREASURY FILE'!D622:D5614=$I$4)*('TREASURY FILE'!F622:F5614="INCOME")*('TREASURY FILE'!C622:C5614=C714)*('TREASURY FILE'!H622:H5614))</f>
        <v>0</v>
      </c>
      <c r="J714" s="31">
        <f t="shared" si="36"/>
        <v>0</v>
      </c>
      <c r="K714" s="33" t="e">
        <f t="shared" si="37"/>
        <v>#DIV/0!</v>
      </c>
    </row>
    <row r="715" spans="1:11" x14ac:dyDescent="0.3">
      <c r="A715" s="30">
        <v>46368</v>
      </c>
      <c r="B715" s="24" cm="1">
        <f t="array" ref="B715">SUMPRODUCT(('TREASURY FILE'!B614:B5615=$B$4)*('TREASURY FILE'!D614:D5615="TURNOVER")*('TREASURY FILE'!A614:A5615=A715)*('TREASURY FILE'!F614:F5615))</f>
        <v>0</v>
      </c>
      <c r="C715" s="24" cm="1">
        <f t="array" ref="C715">SUMPRODUCT(('TREASURY FILE'!B614:B5615=$C$4)*('TREASURY FILE'!D614:D5615="TURNOVER")*('TREASURY FILE'!A614:A5615=A715)*('TREASURY FILE'!F614:F5615))</f>
        <v>0</v>
      </c>
      <c r="D715" s="24" cm="1">
        <f t="array" ref="D715">SUMPRODUCT(('TREASURY FILE'!B614:B5615=$D$4)*('TREASURY FILE'!D614:D5615="TURNOVER")*('TREASURY FILE'!A614:A5615=A715)*('TREASURY FILE'!F614:F5615))</f>
        <v>0</v>
      </c>
      <c r="E715" s="31">
        <f t="shared" si="35"/>
        <v>0</v>
      </c>
      <c r="G715" s="24" cm="1">
        <f t="array" ref="G715">SUMPRODUCT(('TREASURY FILE'!B614:B5615=$G$4)*('TREASURY FILE'!D614:D5615="INCOME")*('TREASURY FILE'!A614:A5615=A715)*('TREASURY FILE'!F614:F5615))</f>
        <v>0</v>
      </c>
      <c r="H715" s="24" cm="1">
        <f t="array" ref="H715">SUMPRODUCT(('TREASURY FILE'!B614:B5615=$H$4)*('TREASURY FILE'!D614:D5615="INCOME")*('TREASURY FILE'!A614:A5615=A715)*('TREASURY FILE'!F614:F5615))</f>
        <v>0</v>
      </c>
      <c r="I715" s="24" cm="1">
        <f t="array" ref="I715">SUMPRODUCT(('TREASURY FILE'!D623:D5615=$I$4)*('TREASURY FILE'!F623:F5615="INCOME")*('TREASURY FILE'!C623:C5615=C715)*('TREASURY FILE'!H623:H5615))</f>
        <v>0</v>
      </c>
      <c r="J715" s="31">
        <f t="shared" si="36"/>
        <v>0</v>
      </c>
      <c r="K715" s="33" t="e">
        <f t="shared" si="37"/>
        <v>#DIV/0!</v>
      </c>
    </row>
    <row r="716" spans="1:11" x14ac:dyDescent="0.3">
      <c r="A716" s="30">
        <v>46369</v>
      </c>
      <c r="B716" s="24" cm="1">
        <f t="array" ref="B716">SUMPRODUCT(('TREASURY FILE'!B615:B5616=$B$4)*('TREASURY FILE'!D615:D5616="TURNOVER")*('TREASURY FILE'!A615:A5616=A716)*('TREASURY FILE'!F615:F5616))</f>
        <v>0</v>
      </c>
      <c r="C716" s="24" cm="1">
        <f t="array" ref="C716">SUMPRODUCT(('TREASURY FILE'!B615:B5616=$C$4)*('TREASURY FILE'!D615:D5616="TURNOVER")*('TREASURY FILE'!A615:A5616=A716)*('TREASURY FILE'!F615:F5616))</f>
        <v>0</v>
      </c>
      <c r="D716" s="24" cm="1">
        <f t="array" ref="D716">SUMPRODUCT(('TREASURY FILE'!B615:B5616=$D$4)*('TREASURY FILE'!D615:D5616="TURNOVER")*('TREASURY FILE'!A615:A5616=A716)*('TREASURY FILE'!F615:F5616))</f>
        <v>0</v>
      </c>
      <c r="E716" s="31">
        <f t="shared" si="35"/>
        <v>0</v>
      </c>
      <c r="G716" s="24" cm="1">
        <f t="array" ref="G716">SUMPRODUCT(('TREASURY FILE'!B615:B5616=$G$4)*('TREASURY FILE'!D615:D5616="INCOME")*('TREASURY FILE'!A615:A5616=A716)*('TREASURY FILE'!F615:F5616))</f>
        <v>0</v>
      </c>
      <c r="H716" s="24" cm="1">
        <f t="array" ref="H716">SUMPRODUCT(('TREASURY FILE'!B615:B5616=$H$4)*('TREASURY FILE'!D615:D5616="INCOME")*('TREASURY FILE'!A615:A5616=A716)*('TREASURY FILE'!F615:F5616))</f>
        <v>0</v>
      </c>
      <c r="I716" s="24" cm="1">
        <f t="array" ref="I716">SUMPRODUCT(('TREASURY FILE'!D624:D5616=$I$4)*('TREASURY FILE'!F624:F5616="INCOME")*('TREASURY FILE'!C624:C5616=C716)*('TREASURY FILE'!H624:H5616))</f>
        <v>0</v>
      </c>
      <c r="J716" s="31">
        <f t="shared" si="36"/>
        <v>0</v>
      </c>
      <c r="K716" s="33" t="e">
        <f t="shared" si="37"/>
        <v>#DIV/0!</v>
      </c>
    </row>
    <row r="717" spans="1:11" x14ac:dyDescent="0.3">
      <c r="A717" s="30">
        <v>46370</v>
      </c>
      <c r="B717" s="24" cm="1">
        <f t="array" ref="B717">SUMPRODUCT(('TREASURY FILE'!B616:B5617=$B$4)*('TREASURY FILE'!D616:D5617="TURNOVER")*('TREASURY FILE'!A616:A5617=A717)*('TREASURY FILE'!F616:F5617))</f>
        <v>0</v>
      </c>
      <c r="C717" s="24" cm="1">
        <f t="array" ref="C717">SUMPRODUCT(('TREASURY FILE'!B616:B5617=$C$4)*('TREASURY FILE'!D616:D5617="TURNOVER")*('TREASURY FILE'!A616:A5617=A717)*('TREASURY FILE'!F616:F5617))</f>
        <v>0</v>
      </c>
      <c r="D717" s="24" cm="1">
        <f t="array" ref="D717">SUMPRODUCT(('TREASURY FILE'!B616:B5617=$D$4)*('TREASURY FILE'!D616:D5617="TURNOVER")*('TREASURY FILE'!A616:A5617=A717)*('TREASURY FILE'!F616:F5617))</f>
        <v>0</v>
      </c>
      <c r="E717" s="31">
        <f t="shared" si="35"/>
        <v>0</v>
      </c>
      <c r="G717" s="24" cm="1">
        <f t="array" ref="G717">SUMPRODUCT(('TREASURY FILE'!B616:B5617=$G$4)*('TREASURY FILE'!D616:D5617="INCOME")*('TREASURY FILE'!A616:A5617=A717)*('TREASURY FILE'!F616:F5617))</f>
        <v>0</v>
      </c>
      <c r="H717" s="24" cm="1">
        <f t="array" ref="H717">SUMPRODUCT(('TREASURY FILE'!B616:B5617=$H$4)*('TREASURY FILE'!D616:D5617="INCOME")*('TREASURY FILE'!A616:A5617=A717)*('TREASURY FILE'!F616:F5617))</f>
        <v>0</v>
      </c>
      <c r="I717" s="24" cm="1">
        <f t="array" ref="I717">SUMPRODUCT(('TREASURY FILE'!D625:D5617=$I$4)*('TREASURY FILE'!F625:F5617="INCOME")*('TREASURY FILE'!C625:C5617=C717)*('TREASURY FILE'!H625:H5617))</f>
        <v>0</v>
      </c>
      <c r="J717" s="31">
        <f t="shared" si="36"/>
        <v>0</v>
      </c>
      <c r="K717" s="33" t="e">
        <f t="shared" si="37"/>
        <v>#DIV/0!</v>
      </c>
    </row>
    <row r="718" spans="1:11" x14ac:dyDescent="0.3">
      <c r="A718" s="30">
        <v>46371</v>
      </c>
      <c r="B718" s="24" cm="1">
        <f t="array" ref="B718">SUMPRODUCT(('TREASURY FILE'!B617:B5618=$B$4)*('TREASURY FILE'!D617:D5618="TURNOVER")*('TREASURY FILE'!A617:A5618=A718)*('TREASURY FILE'!F617:F5618))</f>
        <v>0</v>
      </c>
      <c r="C718" s="24" cm="1">
        <f t="array" ref="C718">SUMPRODUCT(('TREASURY FILE'!B617:B5618=$C$4)*('TREASURY FILE'!D617:D5618="TURNOVER")*('TREASURY FILE'!A617:A5618=A718)*('TREASURY FILE'!F617:F5618))</f>
        <v>0</v>
      </c>
      <c r="D718" s="24" cm="1">
        <f t="array" ref="D718">SUMPRODUCT(('TREASURY FILE'!B617:B5618=$D$4)*('TREASURY FILE'!D617:D5618="TURNOVER")*('TREASURY FILE'!A617:A5618=A718)*('TREASURY FILE'!F617:F5618))</f>
        <v>0</v>
      </c>
      <c r="E718" s="31">
        <f t="shared" si="35"/>
        <v>0</v>
      </c>
      <c r="G718" s="24" cm="1">
        <f t="array" ref="G718">SUMPRODUCT(('TREASURY FILE'!B617:B5618=$G$4)*('TREASURY FILE'!D617:D5618="INCOME")*('TREASURY FILE'!A617:A5618=A718)*('TREASURY FILE'!F617:F5618))</f>
        <v>0</v>
      </c>
      <c r="H718" s="24" cm="1">
        <f t="array" ref="H718">SUMPRODUCT(('TREASURY FILE'!B617:B5618=$H$4)*('TREASURY FILE'!D617:D5618="INCOME")*('TREASURY FILE'!A617:A5618=A718)*('TREASURY FILE'!F617:F5618))</f>
        <v>0</v>
      </c>
      <c r="I718" s="24" cm="1">
        <f t="array" ref="I718">SUMPRODUCT(('TREASURY FILE'!D626:D5618=$I$4)*('TREASURY FILE'!F626:F5618="INCOME")*('TREASURY FILE'!C626:C5618=C718)*('TREASURY FILE'!H626:H5618))</f>
        <v>0</v>
      </c>
      <c r="J718" s="31">
        <f t="shared" si="36"/>
        <v>0</v>
      </c>
      <c r="K718" s="33" t="e">
        <f t="shared" si="37"/>
        <v>#DIV/0!</v>
      </c>
    </row>
    <row r="719" spans="1:11" x14ac:dyDescent="0.3">
      <c r="A719" s="30">
        <v>46372</v>
      </c>
      <c r="B719" s="24" cm="1">
        <f t="array" ref="B719">SUMPRODUCT(('TREASURY FILE'!B618:B5619=$B$4)*('TREASURY FILE'!D618:D5619="TURNOVER")*('TREASURY FILE'!A618:A5619=A719)*('TREASURY FILE'!F618:F5619))</f>
        <v>0</v>
      </c>
      <c r="C719" s="24" cm="1">
        <f t="array" ref="C719">SUMPRODUCT(('TREASURY FILE'!B618:B5619=$C$4)*('TREASURY FILE'!D618:D5619="TURNOVER")*('TREASURY FILE'!A618:A5619=A719)*('TREASURY FILE'!F618:F5619))</f>
        <v>0</v>
      </c>
      <c r="D719" s="24" cm="1">
        <f t="array" ref="D719">SUMPRODUCT(('TREASURY FILE'!B618:B5619=$D$4)*('TREASURY FILE'!D618:D5619="TURNOVER")*('TREASURY FILE'!A618:A5619=A719)*('TREASURY FILE'!F618:F5619))</f>
        <v>0</v>
      </c>
      <c r="E719" s="31">
        <f t="shared" si="35"/>
        <v>0</v>
      </c>
      <c r="G719" s="24" cm="1">
        <f t="array" ref="G719">SUMPRODUCT(('TREASURY FILE'!B618:B5619=$G$4)*('TREASURY FILE'!D618:D5619="INCOME")*('TREASURY FILE'!A618:A5619=A719)*('TREASURY FILE'!F618:F5619))</f>
        <v>0</v>
      </c>
      <c r="H719" s="24" cm="1">
        <f t="array" ref="H719">SUMPRODUCT(('TREASURY FILE'!B618:B5619=$H$4)*('TREASURY FILE'!D618:D5619="INCOME")*('TREASURY FILE'!A618:A5619=A719)*('TREASURY FILE'!F618:F5619))</f>
        <v>0</v>
      </c>
      <c r="I719" s="24" cm="1">
        <f t="array" ref="I719">SUMPRODUCT(('TREASURY FILE'!D627:D5619=$I$4)*('TREASURY FILE'!F627:F5619="INCOME")*('TREASURY FILE'!C627:C5619=C719)*('TREASURY FILE'!H627:H5619))</f>
        <v>0</v>
      </c>
      <c r="J719" s="31">
        <f t="shared" si="36"/>
        <v>0</v>
      </c>
      <c r="K719" s="33" t="e">
        <f t="shared" si="37"/>
        <v>#DIV/0!</v>
      </c>
    </row>
    <row r="720" spans="1:11" x14ac:dyDescent="0.3">
      <c r="A720" s="30">
        <v>46373</v>
      </c>
      <c r="B720" s="24" cm="1">
        <f t="array" ref="B720">SUMPRODUCT(('TREASURY FILE'!B619:B5620=$B$4)*('TREASURY FILE'!D619:D5620="TURNOVER")*('TREASURY FILE'!A619:A5620=A720)*('TREASURY FILE'!F619:F5620))</f>
        <v>0</v>
      </c>
      <c r="C720" s="24" cm="1">
        <f t="array" ref="C720">SUMPRODUCT(('TREASURY FILE'!B619:B5620=$C$4)*('TREASURY FILE'!D619:D5620="TURNOVER")*('TREASURY FILE'!A619:A5620=A720)*('TREASURY FILE'!F619:F5620))</f>
        <v>0</v>
      </c>
      <c r="D720" s="24" cm="1">
        <f t="array" ref="D720">SUMPRODUCT(('TREASURY FILE'!B619:B5620=$D$4)*('TREASURY FILE'!D619:D5620="TURNOVER")*('TREASURY FILE'!A619:A5620=A720)*('TREASURY FILE'!F619:F5620))</f>
        <v>0</v>
      </c>
      <c r="E720" s="31">
        <f t="shared" si="35"/>
        <v>0</v>
      </c>
      <c r="G720" s="24" cm="1">
        <f t="array" ref="G720">SUMPRODUCT(('TREASURY FILE'!B619:B5620=$G$4)*('TREASURY FILE'!D619:D5620="INCOME")*('TREASURY FILE'!A619:A5620=A720)*('TREASURY FILE'!F619:F5620))</f>
        <v>0</v>
      </c>
      <c r="H720" s="24" cm="1">
        <f t="array" ref="H720">SUMPRODUCT(('TREASURY FILE'!B619:B5620=$H$4)*('TREASURY FILE'!D619:D5620="INCOME")*('TREASURY FILE'!A619:A5620=A720)*('TREASURY FILE'!F619:F5620))</f>
        <v>0</v>
      </c>
      <c r="I720" s="24" cm="1">
        <f t="array" ref="I720">SUMPRODUCT(('TREASURY FILE'!D628:D5620=$I$4)*('TREASURY FILE'!F628:F5620="INCOME")*('TREASURY FILE'!C628:C5620=C720)*('TREASURY FILE'!H628:H5620))</f>
        <v>0</v>
      </c>
      <c r="J720" s="31">
        <f t="shared" si="36"/>
        <v>0</v>
      </c>
      <c r="K720" s="33" t="e">
        <f t="shared" si="37"/>
        <v>#DIV/0!</v>
      </c>
    </row>
    <row r="721" spans="1:11" x14ac:dyDescent="0.3">
      <c r="A721" s="30">
        <v>46374</v>
      </c>
      <c r="B721" s="24" cm="1">
        <f t="array" ref="B721">SUMPRODUCT(('TREASURY FILE'!B620:B5621=$B$4)*('TREASURY FILE'!D620:D5621="TURNOVER")*('TREASURY FILE'!A620:A5621=A721)*('TREASURY FILE'!F620:F5621))</f>
        <v>0</v>
      </c>
      <c r="C721" s="24" cm="1">
        <f t="array" ref="C721">SUMPRODUCT(('TREASURY FILE'!B620:B5621=$C$4)*('TREASURY FILE'!D620:D5621="TURNOVER")*('TREASURY FILE'!A620:A5621=A721)*('TREASURY FILE'!F620:F5621))</f>
        <v>0</v>
      </c>
      <c r="D721" s="24" cm="1">
        <f t="array" ref="D721">SUMPRODUCT(('TREASURY FILE'!B620:B5621=$D$4)*('TREASURY FILE'!D620:D5621="TURNOVER")*('TREASURY FILE'!A620:A5621=A721)*('TREASURY FILE'!F620:F5621))</f>
        <v>0</v>
      </c>
      <c r="E721" s="31">
        <f t="shared" si="35"/>
        <v>0</v>
      </c>
      <c r="G721" s="24" cm="1">
        <f t="array" ref="G721">SUMPRODUCT(('TREASURY FILE'!B620:B5621=$G$4)*('TREASURY FILE'!D620:D5621="INCOME")*('TREASURY FILE'!A620:A5621=A721)*('TREASURY FILE'!F620:F5621))</f>
        <v>0</v>
      </c>
      <c r="H721" s="24" cm="1">
        <f t="array" ref="H721">SUMPRODUCT(('TREASURY FILE'!B620:B5621=$H$4)*('TREASURY FILE'!D620:D5621="INCOME")*('TREASURY FILE'!A620:A5621=A721)*('TREASURY FILE'!F620:F5621))</f>
        <v>0</v>
      </c>
      <c r="I721" s="24" cm="1">
        <f t="array" ref="I721">SUMPRODUCT(('TREASURY FILE'!D629:D5621=$I$4)*('TREASURY FILE'!F629:F5621="INCOME")*('TREASURY FILE'!C629:C5621=C721)*('TREASURY FILE'!H629:H5621))</f>
        <v>0</v>
      </c>
      <c r="J721" s="31">
        <f t="shared" si="36"/>
        <v>0</v>
      </c>
      <c r="K721" s="33" t="e">
        <f t="shared" si="37"/>
        <v>#DIV/0!</v>
      </c>
    </row>
    <row r="722" spans="1:11" x14ac:dyDescent="0.3">
      <c r="A722" s="30">
        <v>46375</v>
      </c>
      <c r="B722" s="24" cm="1">
        <f t="array" ref="B722">SUMPRODUCT(('TREASURY FILE'!B621:B5622=$B$4)*('TREASURY FILE'!D621:D5622="TURNOVER")*('TREASURY FILE'!A621:A5622=A722)*('TREASURY FILE'!F621:F5622))</f>
        <v>0</v>
      </c>
      <c r="C722" s="24" cm="1">
        <f t="array" ref="C722">SUMPRODUCT(('TREASURY FILE'!B621:B5622=$C$4)*('TREASURY FILE'!D621:D5622="TURNOVER")*('TREASURY FILE'!A621:A5622=A722)*('TREASURY FILE'!F621:F5622))</f>
        <v>0</v>
      </c>
      <c r="D722" s="24" cm="1">
        <f t="array" ref="D722">SUMPRODUCT(('TREASURY FILE'!B621:B5622=$D$4)*('TREASURY FILE'!D621:D5622="TURNOVER")*('TREASURY FILE'!A621:A5622=A722)*('TREASURY FILE'!F621:F5622))</f>
        <v>0</v>
      </c>
      <c r="E722" s="31">
        <f t="shared" si="35"/>
        <v>0</v>
      </c>
      <c r="G722" s="24" cm="1">
        <f t="array" ref="G722">SUMPRODUCT(('TREASURY FILE'!B621:B5622=$G$4)*('TREASURY FILE'!D621:D5622="INCOME")*('TREASURY FILE'!A621:A5622=A722)*('TREASURY FILE'!F621:F5622))</f>
        <v>0</v>
      </c>
      <c r="H722" s="24" cm="1">
        <f t="array" ref="H722">SUMPRODUCT(('TREASURY FILE'!B621:B5622=$H$4)*('TREASURY FILE'!D621:D5622="INCOME")*('TREASURY FILE'!A621:A5622=A722)*('TREASURY FILE'!F621:F5622))</f>
        <v>0</v>
      </c>
      <c r="I722" s="24" cm="1">
        <f t="array" ref="I722">SUMPRODUCT(('TREASURY FILE'!D630:D5622=$I$4)*('TREASURY FILE'!F630:F5622="INCOME")*('TREASURY FILE'!C630:C5622=C722)*('TREASURY FILE'!H630:H5622))</f>
        <v>0</v>
      </c>
      <c r="J722" s="31">
        <f t="shared" si="36"/>
        <v>0</v>
      </c>
      <c r="K722" s="33" t="e">
        <f t="shared" si="37"/>
        <v>#DIV/0!</v>
      </c>
    </row>
    <row r="723" spans="1:11" x14ac:dyDescent="0.3">
      <c r="A723" s="30">
        <v>46376</v>
      </c>
      <c r="B723" s="24" cm="1">
        <f t="array" ref="B723">SUMPRODUCT(('TREASURY FILE'!B622:B5623=$B$4)*('TREASURY FILE'!D622:D5623="TURNOVER")*('TREASURY FILE'!A622:A5623=A723)*('TREASURY FILE'!F622:F5623))</f>
        <v>0</v>
      </c>
      <c r="C723" s="24" cm="1">
        <f t="array" ref="C723">SUMPRODUCT(('TREASURY FILE'!B622:B5623=$C$4)*('TREASURY FILE'!D622:D5623="TURNOVER")*('TREASURY FILE'!A622:A5623=A723)*('TREASURY FILE'!F622:F5623))</f>
        <v>0</v>
      </c>
      <c r="D723" s="24" cm="1">
        <f t="array" ref="D723">SUMPRODUCT(('TREASURY FILE'!B622:B5623=$D$4)*('TREASURY FILE'!D622:D5623="TURNOVER")*('TREASURY FILE'!A622:A5623=A723)*('TREASURY FILE'!F622:F5623))</f>
        <v>0</v>
      </c>
      <c r="E723" s="31">
        <f t="shared" si="35"/>
        <v>0</v>
      </c>
      <c r="G723" s="24" cm="1">
        <f t="array" ref="G723">SUMPRODUCT(('TREASURY FILE'!B622:B5623=$G$4)*('TREASURY FILE'!D622:D5623="INCOME")*('TREASURY FILE'!A622:A5623=A723)*('TREASURY FILE'!F622:F5623))</f>
        <v>0</v>
      </c>
      <c r="H723" s="24" cm="1">
        <f t="array" ref="H723">SUMPRODUCT(('TREASURY FILE'!B622:B5623=$H$4)*('TREASURY FILE'!D622:D5623="INCOME")*('TREASURY FILE'!A622:A5623=A723)*('TREASURY FILE'!F622:F5623))</f>
        <v>0</v>
      </c>
      <c r="I723" s="24" cm="1">
        <f t="array" ref="I723">SUMPRODUCT(('TREASURY FILE'!D631:D5623=$I$4)*('TREASURY FILE'!F631:F5623="INCOME")*('TREASURY FILE'!C631:C5623=C723)*('TREASURY FILE'!H631:H5623))</f>
        <v>0</v>
      </c>
      <c r="J723" s="31">
        <f t="shared" si="36"/>
        <v>0</v>
      </c>
      <c r="K723" s="33" t="e">
        <f t="shared" si="37"/>
        <v>#DIV/0!</v>
      </c>
    </row>
    <row r="724" spans="1:11" x14ac:dyDescent="0.3">
      <c r="A724" s="30">
        <v>46377</v>
      </c>
      <c r="B724" s="24" cm="1">
        <f t="array" ref="B724">SUMPRODUCT(('TREASURY FILE'!B623:B5624=$B$4)*('TREASURY FILE'!D623:D5624="TURNOVER")*('TREASURY FILE'!A623:A5624=A724)*('TREASURY FILE'!F623:F5624))</f>
        <v>0</v>
      </c>
      <c r="C724" s="24" cm="1">
        <f t="array" ref="C724">SUMPRODUCT(('TREASURY FILE'!B623:B5624=$C$4)*('TREASURY FILE'!D623:D5624="TURNOVER")*('TREASURY FILE'!A623:A5624=A724)*('TREASURY FILE'!F623:F5624))</f>
        <v>0</v>
      </c>
      <c r="D724" s="24" cm="1">
        <f t="array" ref="D724">SUMPRODUCT(('TREASURY FILE'!B623:B5624=$D$4)*('TREASURY FILE'!D623:D5624="TURNOVER")*('TREASURY FILE'!A623:A5624=A724)*('TREASURY FILE'!F623:F5624))</f>
        <v>0</v>
      </c>
      <c r="E724" s="31">
        <f t="shared" si="35"/>
        <v>0</v>
      </c>
      <c r="G724" s="24" cm="1">
        <f t="array" ref="G724">SUMPRODUCT(('TREASURY FILE'!B623:B5624=$G$4)*('TREASURY FILE'!D623:D5624="INCOME")*('TREASURY FILE'!A623:A5624=A724)*('TREASURY FILE'!F623:F5624))</f>
        <v>0</v>
      </c>
      <c r="H724" s="24" cm="1">
        <f t="array" ref="H724">SUMPRODUCT(('TREASURY FILE'!B623:B5624=$H$4)*('TREASURY FILE'!D623:D5624="INCOME")*('TREASURY FILE'!A623:A5624=A724)*('TREASURY FILE'!F623:F5624))</f>
        <v>0</v>
      </c>
      <c r="I724" s="24" cm="1">
        <f t="array" ref="I724">SUMPRODUCT(('TREASURY FILE'!D632:D5624=$I$4)*('TREASURY FILE'!F632:F5624="INCOME")*('TREASURY FILE'!C632:C5624=C724)*('TREASURY FILE'!H632:H5624))</f>
        <v>0</v>
      </c>
      <c r="J724" s="31">
        <f t="shared" si="36"/>
        <v>0</v>
      </c>
      <c r="K724" s="33" t="e">
        <f t="shared" si="37"/>
        <v>#DIV/0!</v>
      </c>
    </row>
    <row r="725" spans="1:11" x14ac:dyDescent="0.3">
      <c r="A725" s="30">
        <v>46378</v>
      </c>
      <c r="B725" s="24" cm="1">
        <f t="array" ref="B725">SUMPRODUCT(('TREASURY FILE'!B624:B5625=$B$4)*('TREASURY FILE'!D624:D5625="TURNOVER")*('TREASURY FILE'!A624:A5625=A725)*('TREASURY FILE'!F624:F5625))</f>
        <v>0</v>
      </c>
      <c r="C725" s="24" cm="1">
        <f t="array" ref="C725">SUMPRODUCT(('TREASURY FILE'!B624:B5625=$C$4)*('TREASURY FILE'!D624:D5625="TURNOVER")*('TREASURY FILE'!A624:A5625=A725)*('TREASURY FILE'!F624:F5625))</f>
        <v>0</v>
      </c>
      <c r="D725" s="24" cm="1">
        <f t="array" ref="D725">SUMPRODUCT(('TREASURY FILE'!B624:B5625=$D$4)*('TREASURY FILE'!D624:D5625="TURNOVER")*('TREASURY FILE'!A624:A5625=A725)*('TREASURY FILE'!F624:F5625))</f>
        <v>0</v>
      </c>
      <c r="E725" s="31">
        <f t="shared" si="35"/>
        <v>0</v>
      </c>
      <c r="G725" s="24" cm="1">
        <f t="array" ref="G725">SUMPRODUCT(('TREASURY FILE'!B624:B5625=$G$4)*('TREASURY FILE'!D624:D5625="INCOME")*('TREASURY FILE'!A624:A5625=A725)*('TREASURY FILE'!F624:F5625))</f>
        <v>0</v>
      </c>
      <c r="H725" s="24" cm="1">
        <f t="array" ref="H725">SUMPRODUCT(('TREASURY FILE'!B624:B5625=$H$4)*('TREASURY FILE'!D624:D5625="INCOME")*('TREASURY FILE'!A624:A5625=A725)*('TREASURY FILE'!F624:F5625))</f>
        <v>0</v>
      </c>
      <c r="I725" s="24" cm="1">
        <f t="array" ref="I725">SUMPRODUCT(('TREASURY FILE'!D633:D5625=$I$4)*('TREASURY FILE'!F633:F5625="INCOME")*('TREASURY FILE'!C633:C5625=C725)*('TREASURY FILE'!H633:H5625))</f>
        <v>0</v>
      </c>
      <c r="J725" s="31">
        <f t="shared" si="36"/>
        <v>0</v>
      </c>
      <c r="K725" s="33" t="e">
        <f t="shared" si="37"/>
        <v>#DIV/0!</v>
      </c>
    </row>
    <row r="726" spans="1:11" x14ac:dyDescent="0.3">
      <c r="A726" s="30">
        <v>46379</v>
      </c>
      <c r="B726" s="24" cm="1">
        <f t="array" ref="B726">SUMPRODUCT(('TREASURY FILE'!B625:B5626=$B$4)*('TREASURY FILE'!D625:D5626="TURNOVER")*('TREASURY FILE'!A625:A5626=A726)*('TREASURY FILE'!F625:F5626))</f>
        <v>0</v>
      </c>
      <c r="C726" s="24" cm="1">
        <f t="array" ref="C726">SUMPRODUCT(('TREASURY FILE'!B625:B5626=$C$4)*('TREASURY FILE'!D625:D5626="TURNOVER")*('TREASURY FILE'!A625:A5626=A726)*('TREASURY FILE'!F625:F5626))</f>
        <v>0</v>
      </c>
      <c r="D726" s="24" cm="1">
        <f t="array" ref="D726">SUMPRODUCT(('TREASURY FILE'!B625:B5626=$D$4)*('TREASURY FILE'!D625:D5626="TURNOVER")*('TREASURY FILE'!A625:A5626=A726)*('TREASURY FILE'!F625:F5626))</f>
        <v>0</v>
      </c>
      <c r="E726" s="31">
        <f t="shared" si="35"/>
        <v>0</v>
      </c>
      <c r="G726" s="24" cm="1">
        <f t="array" ref="G726">SUMPRODUCT(('TREASURY FILE'!B625:B5626=$G$4)*('TREASURY FILE'!D625:D5626="INCOME")*('TREASURY FILE'!A625:A5626=A726)*('TREASURY FILE'!F625:F5626))</f>
        <v>0</v>
      </c>
      <c r="H726" s="24" cm="1">
        <f t="array" ref="H726">SUMPRODUCT(('TREASURY FILE'!B625:B5626=$H$4)*('TREASURY FILE'!D625:D5626="INCOME")*('TREASURY FILE'!A625:A5626=A726)*('TREASURY FILE'!F625:F5626))</f>
        <v>0</v>
      </c>
      <c r="I726" s="24" cm="1">
        <f t="array" ref="I726">SUMPRODUCT(('TREASURY FILE'!D634:D5626=$I$4)*('TREASURY FILE'!F634:F5626="INCOME")*('TREASURY FILE'!C634:C5626=C726)*('TREASURY FILE'!H634:H5626))</f>
        <v>0</v>
      </c>
      <c r="J726" s="31">
        <f t="shared" si="36"/>
        <v>0</v>
      </c>
      <c r="K726" s="33" t="e">
        <f t="shared" si="37"/>
        <v>#DIV/0!</v>
      </c>
    </row>
    <row r="727" spans="1:11" x14ac:dyDescent="0.3">
      <c r="A727" s="30">
        <v>46380</v>
      </c>
      <c r="B727" s="24" cm="1">
        <f t="array" ref="B727">SUMPRODUCT(('TREASURY FILE'!B626:B5627=$B$4)*('TREASURY FILE'!D626:D5627="TURNOVER")*('TREASURY FILE'!A626:A5627=A727)*('TREASURY FILE'!F626:F5627))</f>
        <v>0</v>
      </c>
      <c r="C727" s="24" cm="1">
        <f t="array" ref="C727">SUMPRODUCT(('TREASURY FILE'!B626:B5627=$C$4)*('TREASURY FILE'!D626:D5627="TURNOVER")*('TREASURY FILE'!A626:A5627=A727)*('TREASURY FILE'!F626:F5627))</f>
        <v>0</v>
      </c>
      <c r="D727" s="24" cm="1">
        <f t="array" ref="D727">SUMPRODUCT(('TREASURY FILE'!B626:B5627=$D$4)*('TREASURY FILE'!D626:D5627="TURNOVER")*('TREASURY FILE'!A626:A5627=A727)*('TREASURY FILE'!F626:F5627))</f>
        <v>0</v>
      </c>
      <c r="E727" s="31">
        <f t="shared" si="35"/>
        <v>0</v>
      </c>
      <c r="G727" s="24" cm="1">
        <f t="array" ref="G727">SUMPRODUCT(('TREASURY FILE'!B626:B5627=$G$4)*('TREASURY FILE'!D626:D5627="INCOME")*('TREASURY FILE'!A626:A5627=A727)*('TREASURY FILE'!F626:F5627))</f>
        <v>0</v>
      </c>
      <c r="H727" s="24" cm="1">
        <f t="array" ref="H727">SUMPRODUCT(('TREASURY FILE'!B626:B5627=$H$4)*('TREASURY FILE'!D626:D5627="INCOME")*('TREASURY FILE'!A626:A5627=A727)*('TREASURY FILE'!F626:F5627))</f>
        <v>0</v>
      </c>
      <c r="I727" s="24" cm="1">
        <f t="array" ref="I727">SUMPRODUCT(('TREASURY FILE'!D635:D5627=$I$4)*('TREASURY FILE'!F635:F5627="INCOME")*('TREASURY FILE'!C635:C5627=C727)*('TREASURY FILE'!H635:H5627))</f>
        <v>0</v>
      </c>
      <c r="J727" s="31">
        <f t="shared" si="36"/>
        <v>0</v>
      </c>
      <c r="K727" s="33" t="e">
        <f t="shared" si="37"/>
        <v>#DIV/0!</v>
      </c>
    </row>
    <row r="728" spans="1:11" x14ac:dyDescent="0.3">
      <c r="A728" s="30">
        <v>46381</v>
      </c>
      <c r="B728" s="24" cm="1">
        <f t="array" ref="B728">SUMPRODUCT(('TREASURY FILE'!B627:B5628=$B$4)*('TREASURY FILE'!D627:D5628="TURNOVER")*('TREASURY FILE'!A627:A5628=A728)*('TREASURY FILE'!F627:F5628))</f>
        <v>0</v>
      </c>
      <c r="C728" s="24" cm="1">
        <f t="array" ref="C728">SUMPRODUCT(('TREASURY FILE'!B627:B5628=$C$4)*('TREASURY FILE'!D627:D5628="TURNOVER")*('TREASURY FILE'!A627:A5628=A728)*('TREASURY FILE'!F627:F5628))</f>
        <v>0</v>
      </c>
      <c r="D728" s="24" cm="1">
        <f t="array" ref="D728">SUMPRODUCT(('TREASURY FILE'!B627:B5628=$D$4)*('TREASURY FILE'!D627:D5628="TURNOVER")*('TREASURY FILE'!A627:A5628=A728)*('TREASURY FILE'!F627:F5628))</f>
        <v>0</v>
      </c>
      <c r="E728" s="31">
        <f t="shared" si="35"/>
        <v>0</v>
      </c>
      <c r="G728" s="24" cm="1">
        <f t="array" ref="G728">SUMPRODUCT(('TREASURY FILE'!B627:B5628=$G$4)*('TREASURY FILE'!D627:D5628="INCOME")*('TREASURY FILE'!A627:A5628=A728)*('TREASURY FILE'!F627:F5628))</f>
        <v>0</v>
      </c>
      <c r="H728" s="24" cm="1">
        <f t="array" ref="H728">SUMPRODUCT(('TREASURY FILE'!B627:B5628=$H$4)*('TREASURY FILE'!D627:D5628="INCOME")*('TREASURY FILE'!A627:A5628=A728)*('TREASURY FILE'!F627:F5628))</f>
        <v>0</v>
      </c>
      <c r="I728" s="24" cm="1">
        <f t="array" ref="I728">SUMPRODUCT(('TREASURY FILE'!D636:D5628=$I$4)*('TREASURY FILE'!F636:F5628="INCOME")*('TREASURY FILE'!C636:C5628=C728)*('TREASURY FILE'!H636:H5628))</f>
        <v>0</v>
      </c>
      <c r="J728" s="31">
        <f t="shared" si="36"/>
        <v>0</v>
      </c>
      <c r="K728" s="33" t="e">
        <f t="shared" si="37"/>
        <v>#DIV/0!</v>
      </c>
    </row>
    <row r="729" spans="1:11" x14ac:dyDescent="0.3">
      <c r="A729" s="30">
        <v>46382</v>
      </c>
      <c r="B729" s="24" cm="1">
        <f t="array" ref="B729">SUMPRODUCT(('TREASURY FILE'!B628:B5629=$B$4)*('TREASURY FILE'!D628:D5629="TURNOVER")*('TREASURY FILE'!A628:A5629=A729)*('TREASURY FILE'!F628:F5629))</f>
        <v>0</v>
      </c>
      <c r="C729" s="24" cm="1">
        <f t="array" ref="C729">SUMPRODUCT(('TREASURY FILE'!B628:B5629=$C$4)*('TREASURY FILE'!D628:D5629="TURNOVER")*('TREASURY FILE'!A628:A5629=A729)*('TREASURY FILE'!F628:F5629))</f>
        <v>0</v>
      </c>
      <c r="D729" s="24" cm="1">
        <f t="array" ref="D729">SUMPRODUCT(('TREASURY FILE'!B628:B5629=$D$4)*('TREASURY FILE'!D628:D5629="TURNOVER")*('TREASURY FILE'!A628:A5629=A729)*('TREASURY FILE'!F628:F5629))</f>
        <v>0</v>
      </c>
      <c r="E729" s="31">
        <f t="shared" si="35"/>
        <v>0</v>
      </c>
      <c r="G729" s="24" cm="1">
        <f t="array" ref="G729">SUMPRODUCT(('TREASURY FILE'!B628:B5629=$G$4)*('TREASURY FILE'!D628:D5629="INCOME")*('TREASURY FILE'!A628:A5629=A729)*('TREASURY FILE'!F628:F5629))</f>
        <v>0</v>
      </c>
      <c r="H729" s="24" cm="1">
        <f t="array" ref="H729">SUMPRODUCT(('TREASURY FILE'!B628:B5629=$H$4)*('TREASURY FILE'!D628:D5629="INCOME")*('TREASURY FILE'!A628:A5629=A729)*('TREASURY FILE'!F628:F5629))</f>
        <v>0</v>
      </c>
      <c r="I729" s="24" cm="1">
        <f t="array" ref="I729">SUMPRODUCT(('TREASURY FILE'!D637:D5629=$I$4)*('TREASURY FILE'!F637:F5629="INCOME")*('TREASURY FILE'!C637:C5629=C729)*('TREASURY FILE'!H637:H5629))</f>
        <v>0</v>
      </c>
      <c r="J729" s="31">
        <f t="shared" si="36"/>
        <v>0</v>
      </c>
      <c r="K729" s="33" t="e">
        <f t="shared" si="37"/>
        <v>#DIV/0!</v>
      </c>
    </row>
    <row r="730" spans="1:11" x14ac:dyDescent="0.3">
      <c r="A730" s="30">
        <v>46383</v>
      </c>
      <c r="B730" s="24" cm="1">
        <f t="array" ref="B730">SUMPRODUCT(('TREASURY FILE'!B629:B5630=$B$4)*('TREASURY FILE'!D629:D5630="TURNOVER")*('TREASURY FILE'!A629:A5630=A730)*('TREASURY FILE'!F629:F5630))</f>
        <v>0</v>
      </c>
      <c r="C730" s="24" cm="1">
        <f t="array" ref="C730">SUMPRODUCT(('TREASURY FILE'!B629:B5630=$C$4)*('TREASURY FILE'!D629:D5630="TURNOVER")*('TREASURY FILE'!A629:A5630=A730)*('TREASURY FILE'!F629:F5630))</f>
        <v>0</v>
      </c>
      <c r="D730" s="24" cm="1">
        <f t="array" ref="D730">SUMPRODUCT(('TREASURY FILE'!B629:B5630=$D$4)*('TREASURY FILE'!D629:D5630="TURNOVER")*('TREASURY FILE'!A629:A5630=A730)*('TREASURY FILE'!F629:F5630))</f>
        <v>0</v>
      </c>
      <c r="E730" s="31">
        <f t="shared" si="35"/>
        <v>0</v>
      </c>
      <c r="G730" s="24" cm="1">
        <f t="array" ref="G730">SUMPRODUCT(('TREASURY FILE'!B629:B5630=$G$4)*('TREASURY FILE'!D629:D5630="INCOME")*('TREASURY FILE'!A629:A5630=A730)*('TREASURY FILE'!F629:F5630))</f>
        <v>0</v>
      </c>
      <c r="H730" s="24" cm="1">
        <f t="array" ref="H730">SUMPRODUCT(('TREASURY FILE'!B629:B5630=$H$4)*('TREASURY FILE'!D629:D5630="INCOME")*('TREASURY FILE'!A629:A5630=A730)*('TREASURY FILE'!F629:F5630))</f>
        <v>0</v>
      </c>
      <c r="I730" s="24" cm="1">
        <f t="array" ref="I730">SUMPRODUCT(('TREASURY FILE'!D638:D5630=$I$4)*('TREASURY FILE'!F638:F5630="INCOME")*('TREASURY FILE'!C638:C5630=C730)*('TREASURY FILE'!H638:H5630))</f>
        <v>0</v>
      </c>
      <c r="J730" s="31">
        <f t="shared" si="36"/>
        <v>0</v>
      </c>
      <c r="K730" s="33" t="e">
        <f t="shared" si="37"/>
        <v>#DIV/0!</v>
      </c>
    </row>
    <row r="731" spans="1:11" x14ac:dyDescent="0.3">
      <c r="A731" s="30">
        <v>46384</v>
      </c>
      <c r="B731" s="24" cm="1">
        <f t="array" ref="B731">SUMPRODUCT(('TREASURY FILE'!B630:B5631=$B$4)*('TREASURY FILE'!D630:D5631="TURNOVER")*('TREASURY FILE'!A630:A5631=A731)*('TREASURY FILE'!F630:F5631))</f>
        <v>0</v>
      </c>
      <c r="C731" s="24" cm="1">
        <f t="array" ref="C731">SUMPRODUCT(('TREASURY FILE'!B630:B5631=$C$4)*('TREASURY FILE'!D630:D5631="TURNOVER")*('TREASURY FILE'!A630:A5631=A731)*('TREASURY FILE'!F630:F5631))</f>
        <v>0</v>
      </c>
      <c r="D731" s="24" cm="1">
        <f t="array" ref="D731">SUMPRODUCT(('TREASURY FILE'!B630:B5631=$D$4)*('TREASURY FILE'!D630:D5631="TURNOVER")*('TREASURY FILE'!A630:A5631=A731)*('TREASURY FILE'!F630:F5631))</f>
        <v>0</v>
      </c>
      <c r="E731" s="31">
        <f t="shared" si="35"/>
        <v>0</v>
      </c>
      <c r="G731" s="24" cm="1">
        <f t="array" ref="G731">SUMPRODUCT(('TREASURY FILE'!B630:B5631=$G$4)*('TREASURY FILE'!D630:D5631="INCOME")*('TREASURY FILE'!A630:A5631=A731)*('TREASURY FILE'!F630:F5631))</f>
        <v>0</v>
      </c>
      <c r="H731" s="24" cm="1">
        <f t="array" ref="H731">SUMPRODUCT(('TREASURY FILE'!B630:B5631=$H$4)*('TREASURY FILE'!D630:D5631="INCOME")*('TREASURY FILE'!A630:A5631=A731)*('TREASURY FILE'!F630:F5631))</f>
        <v>0</v>
      </c>
      <c r="I731" s="24" cm="1">
        <f t="array" ref="I731">SUMPRODUCT(('TREASURY FILE'!D639:D5631=$I$4)*('TREASURY FILE'!F639:F5631="INCOME")*('TREASURY FILE'!C639:C5631=C731)*('TREASURY FILE'!H639:H5631))</f>
        <v>0</v>
      </c>
      <c r="J731" s="31">
        <f t="shared" si="36"/>
        <v>0</v>
      </c>
      <c r="K731" s="33" t="e">
        <f t="shared" si="37"/>
        <v>#DIV/0!</v>
      </c>
    </row>
    <row r="732" spans="1:11" x14ac:dyDescent="0.3">
      <c r="A732" s="30">
        <v>46385</v>
      </c>
      <c r="B732" s="24" cm="1">
        <f t="array" ref="B732">SUMPRODUCT(('TREASURY FILE'!B631:B5632=$B$4)*('TREASURY FILE'!D631:D5632="TURNOVER")*('TREASURY FILE'!A631:A5632=A732)*('TREASURY FILE'!F631:F5632))</f>
        <v>0</v>
      </c>
      <c r="C732" s="24" cm="1">
        <f t="array" ref="C732">SUMPRODUCT(('TREASURY FILE'!B631:B5632=$C$4)*('TREASURY FILE'!D631:D5632="TURNOVER")*('TREASURY FILE'!A631:A5632=A732)*('TREASURY FILE'!F631:F5632))</f>
        <v>0</v>
      </c>
      <c r="D732" s="24" cm="1">
        <f t="array" ref="D732">SUMPRODUCT(('TREASURY FILE'!B631:B5632=$D$4)*('TREASURY FILE'!D631:D5632="TURNOVER")*('TREASURY FILE'!A631:A5632=A732)*('TREASURY FILE'!F631:F5632))</f>
        <v>0</v>
      </c>
      <c r="E732" s="31">
        <f t="shared" si="35"/>
        <v>0</v>
      </c>
      <c r="G732" s="24" cm="1">
        <f t="array" ref="G732">SUMPRODUCT(('TREASURY FILE'!B631:B5632=$G$4)*('TREASURY FILE'!D631:D5632="INCOME")*('TREASURY FILE'!A631:A5632=A732)*('TREASURY FILE'!F631:F5632))</f>
        <v>0</v>
      </c>
      <c r="H732" s="24" cm="1">
        <f t="array" ref="H732">SUMPRODUCT(('TREASURY FILE'!B631:B5632=$H$4)*('TREASURY FILE'!D631:D5632="INCOME")*('TREASURY FILE'!A631:A5632=A732)*('TREASURY FILE'!F631:F5632))</f>
        <v>0</v>
      </c>
      <c r="I732" s="24" cm="1">
        <f t="array" ref="I732">SUMPRODUCT(('TREASURY FILE'!D640:D5632=$I$4)*('TREASURY FILE'!F640:F5632="INCOME")*('TREASURY FILE'!C640:C5632=C732)*('TREASURY FILE'!H640:H5632))</f>
        <v>0</v>
      </c>
      <c r="J732" s="31">
        <f t="shared" si="36"/>
        <v>0</v>
      </c>
      <c r="K732" s="33" t="e">
        <f t="shared" si="37"/>
        <v>#DIV/0!</v>
      </c>
    </row>
    <row r="733" spans="1:11" x14ac:dyDescent="0.3">
      <c r="A733" s="30">
        <v>46386</v>
      </c>
      <c r="B733" s="24" cm="1">
        <f t="array" ref="B733">SUMPRODUCT(('TREASURY FILE'!B632:B5633=$B$4)*('TREASURY FILE'!D632:D5633="TURNOVER")*('TREASURY FILE'!A632:A5633=A733)*('TREASURY FILE'!F632:F5633))</f>
        <v>0</v>
      </c>
      <c r="C733" s="24" cm="1">
        <f t="array" ref="C733">SUMPRODUCT(('TREASURY FILE'!B632:B5633=$C$4)*('TREASURY FILE'!D632:D5633="TURNOVER")*('TREASURY FILE'!A632:A5633=A733)*('TREASURY FILE'!F632:F5633))</f>
        <v>0</v>
      </c>
      <c r="D733" s="24" cm="1">
        <f t="array" ref="D733">SUMPRODUCT(('TREASURY FILE'!B632:B5633=$D$4)*('TREASURY FILE'!D632:D5633="TURNOVER")*('TREASURY FILE'!A632:A5633=A733)*('TREASURY FILE'!F632:F5633))</f>
        <v>0</v>
      </c>
      <c r="E733" s="31">
        <f t="shared" si="35"/>
        <v>0</v>
      </c>
      <c r="G733" s="24" cm="1">
        <f t="array" ref="G733">SUMPRODUCT(('TREASURY FILE'!B632:B5633=$G$4)*('TREASURY FILE'!D632:D5633="INCOME")*('TREASURY FILE'!A632:A5633=A733)*('TREASURY FILE'!F632:F5633))</f>
        <v>0</v>
      </c>
      <c r="H733" s="24" cm="1">
        <f t="array" ref="H733">SUMPRODUCT(('TREASURY FILE'!B632:B5633=$H$4)*('TREASURY FILE'!D632:D5633="INCOME")*('TREASURY FILE'!A632:A5633=A733)*('TREASURY FILE'!F632:F5633))</f>
        <v>0</v>
      </c>
      <c r="I733" s="24" cm="1">
        <f t="array" ref="I733">SUMPRODUCT(('TREASURY FILE'!D641:D5633=$I$4)*('TREASURY FILE'!F641:F5633="INCOME")*('TREASURY FILE'!C641:C5633=C733)*('TREASURY FILE'!H641:H5633))</f>
        <v>0</v>
      </c>
      <c r="J733" s="31">
        <f t="shared" si="36"/>
        <v>0</v>
      </c>
      <c r="K733" s="33" t="e">
        <f t="shared" si="37"/>
        <v>#DIV/0!</v>
      </c>
    </row>
    <row r="734" spans="1:11" x14ac:dyDescent="0.3">
      <c r="A734" s="30">
        <v>46387</v>
      </c>
      <c r="B734" s="24" cm="1">
        <f t="array" ref="B734">SUMPRODUCT(('TREASURY FILE'!B633:B5634=$B$4)*('TREASURY FILE'!D633:D5634="TURNOVER")*('TREASURY FILE'!A633:A5634=A734)*('TREASURY FILE'!F633:F5634))</f>
        <v>0</v>
      </c>
      <c r="C734" s="24" cm="1">
        <f t="array" ref="C734">SUMPRODUCT(('TREASURY FILE'!B633:B5634=$C$4)*('TREASURY FILE'!D633:D5634="TURNOVER")*('TREASURY FILE'!A633:A5634=A734)*('TREASURY FILE'!F633:F5634))</f>
        <v>0</v>
      </c>
      <c r="D734" s="24" cm="1">
        <f t="array" ref="D734">SUMPRODUCT(('TREASURY FILE'!B633:B5634=$D$4)*('TREASURY FILE'!D633:D5634="TURNOVER")*('TREASURY FILE'!A633:A5634=A734)*('TREASURY FILE'!F633:F5634))</f>
        <v>0</v>
      </c>
      <c r="E734" s="31">
        <f t="shared" si="35"/>
        <v>0</v>
      </c>
      <c r="G734" s="24" cm="1">
        <f t="array" ref="G734">SUMPRODUCT(('TREASURY FILE'!B633:B5634=$G$4)*('TREASURY FILE'!D633:D5634="INCOME")*('TREASURY FILE'!A633:A5634=A734)*('TREASURY FILE'!F633:F5634))</f>
        <v>0</v>
      </c>
      <c r="H734" s="24" cm="1">
        <f t="array" ref="H734">SUMPRODUCT(('TREASURY FILE'!B633:B5634=$H$4)*('TREASURY FILE'!D633:D5634="INCOME")*('TREASURY FILE'!A633:A5634=A734)*('TREASURY FILE'!F633:F5634))</f>
        <v>0</v>
      </c>
      <c r="I734" s="24" cm="1">
        <f t="array" ref="I734">SUMPRODUCT(('TREASURY FILE'!D642:D5634=$I$4)*('TREASURY FILE'!F642:F5634="INCOME")*('TREASURY FILE'!C642:C5634=C734)*('TREASURY FILE'!H642:H5634))</f>
        <v>0</v>
      </c>
      <c r="J734" s="31">
        <f t="shared" si="36"/>
        <v>0</v>
      </c>
      <c r="K734" s="33" t="e">
        <f t="shared" si="37"/>
        <v>#DIV/0!</v>
      </c>
    </row>
    <row r="735" spans="1:11" x14ac:dyDescent="0.3">
      <c r="A735" s="30">
        <v>46388</v>
      </c>
      <c r="B735" s="24" cm="1">
        <f t="array" ref="B735">SUMPRODUCT(('TREASURY FILE'!B634:B5635=$B$4)*('TREASURY FILE'!D634:D5635="TURNOVER")*('TREASURY FILE'!A634:A5635=A735)*('TREASURY FILE'!F634:F5635))</f>
        <v>0</v>
      </c>
      <c r="C735" s="24" cm="1">
        <f t="array" ref="C735">SUMPRODUCT(('TREASURY FILE'!B634:B5635=$C$4)*('TREASURY FILE'!D634:D5635="TURNOVER")*('TREASURY FILE'!A634:A5635=A735)*('TREASURY FILE'!F634:F5635))</f>
        <v>0</v>
      </c>
      <c r="D735" s="24" cm="1">
        <f t="array" ref="D735">SUMPRODUCT(('TREASURY FILE'!B634:B5635=$D$4)*('TREASURY FILE'!D634:D5635="TURNOVER")*('TREASURY FILE'!A634:A5635=A735)*('TREASURY FILE'!F634:F5635))</f>
        <v>0</v>
      </c>
      <c r="E735" s="31">
        <f t="shared" si="35"/>
        <v>0</v>
      </c>
      <c r="G735" s="24" cm="1">
        <f t="array" ref="G735">SUMPRODUCT(('TREASURY FILE'!B634:B5635=$G$4)*('TREASURY FILE'!D634:D5635="INCOME")*('TREASURY FILE'!A634:A5635=A735)*('TREASURY FILE'!F634:F5635))</f>
        <v>0</v>
      </c>
      <c r="H735" s="24" cm="1">
        <f t="array" ref="H735">SUMPRODUCT(('TREASURY FILE'!B634:B5635=$H$4)*('TREASURY FILE'!D634:D5635="INCOME")*('TREASURY FILE'!A634:A5635=A735)*('TREASURY FILE'!F634:F5635))</f>
        <v>0</v>
      </c>
      <c r="I735" s="24" cm="1">
        <f t="array" ref="I735">SUMPRODUCT(('TREASURY FILE'!D643:D5635=$I$4)*('TREASURY FILE'!F643:F5635="INCOME")*('TREASURY FILE'!C643:C5635=C735)*('TREASURY FILE'!H643:H5635))</f>
        <v>0</v>
      </c>
      <c r="J735" s="31">
        <f t="shared" si="36"/>
        <v>0</v>
      </c>
      <c r="K735" s="33" t="e">
        <f t="shared" si="37"/>
        <v>#DIV/0!</v>
      </c>
    </row>
    <row r="736" spans="1:11" x14ac:dyDescent="0.3">
      <c r="A736" s="30">
        <v>46389</v>
      </c>
      <c r="B736" s="24" cm="1">
        <f t="array" ref="B736">SUMPRODUCT(('TREASURY FILE'!B635:B5636=$B$4)*('TREASURY FILE'!D635:D5636="TURNOVER")*('TREASURY FILE'!A635:A5636=A736)*('TREASURY FILE'!F635:F5636))</f>
        <v>0</v>
      </c>
      <c r="C736" s="24" cm="1">
        <f t="array" ref="C736">SUMPRODUCT(('TREASURY FILE'!B635:B5636=$C$4)*('TREASURY FILE'!D635:D5636="TURNOVER")*('TREASURY FILE'!A635:A5636=A736)*('TREASURY FILE'!F635:F5636))</f>
        <v>0</v>
      </c>
      <c r="D736" s="24" cm="1">
        <f t="array" ref="D736">SUMPRODUCT(('TREASURY FILE'!B635:B5636=$D$4)*('TREASURY FILE'!D635:D5636="TURNOVER")*('TREASURY FILE'!A635:A5636=A736)*('TREASURY FILE'!F635:F5636))</f>
        <v>0</v>
      </c>
      <c r="E736" s="31">
        <f t="shared" si="35"/>
        <v>0</v>
      </c>
      <c r="G736" s="24" cm="1">
        <f t="array" ref="G736">SUMPRODUCT(('TREASURY FILE'!B635:B5636=$G$4)*('TREASURY FILE'!D635:D5636="INCOME")*('TREASURY FILE'!A635:A5636=A736)*('TREASURY FILE'!F635:F5636))</f>
        <v>0</v>
      </c>
      <c r="H736" s="24" cm="1">
        <f t="array" ref="H736">SUMPRODUCT(('TREASURY FILE'!B635:B5636=$H$4)*('TREASURY FILE'!D635:D5636="INCOME")*('TREASURY FILE'!A635:A5636=A736)*('TREASURY FILE'!F635:F5636))</f>
        <v>0</v>
      </c>
      <c r="I736" s="24" cm="1">
        <f t="array" ref="I736">SUMPRODUCT(('TREASURY FILE'!D644:D5636=$I$4)*('TREASURY FILE'!F644:F5636="INCOME")*('TREASURY FILE'!C644:C5636=C736)*('TREASURY FILE'!H644:H5636))</f>
        <v>0</v>
      </c>
      <c r="J736" s="31">
        <f t="shared" si="36"/>
        <v>0</v>
      </c>
      <c r="K736" s="33" t="e">
        <f t="shared" si="37"/>
        <v>#DIV/0!</v>
      </c>
    </row>
    <row r="737" spans="1:11" x14ac:dyDescent="0.3">
      <c r="A737" s="30">
        <v>46390</v>
      </c>
      <c r="B737" s="24" cm="1">
        <f t="array" ref="B737">SUMPRODUCT(('TREASURY FILE'!B636:B5637=$B$4)*('TREASURY FILE'!D636:D5637="TURNOVER")*('TREASURY FILE'!A636:A5637=A737)*('TREASURY FILE'!F636:F5637))</f>
        <v>0</v>
      </c>
      <c r="C737" s="24" cm="1">
        <f t="array" ref="C737">SUMPRODUCT(('TREASURY FILE'!B636:B5637=$C$4)*('TREASURY FILE'!D636:D5637="TURNOVER")*('TREASURY FILE'!A636:A5637=A737)*('TREASURY FILE'!F636:F5637))</f>
        <v>0</v>
      </c>
      <c r="D737" s="24" cm="1">
        <f t="array" ref="D737">SUMPRODUCT(('TREASURY FILE'!B636:B5637=$D$4)*('TREASURY FILE'!D636:D5637="TURNOVER")*('TREASURY FILE'!A636:A5637=A737)*('TREASURY FILE'!F636:F5637))</f>
        <v>0</v>
      </c>
      <c r="E737" s="31">
        <f t="shared" si="35"/>
        <v>0</v>
      </c>
      <c r="G737" s="24" cm="1">
        <f t="array" ref="G737">SUMPRODUCT(('TREASURY FILE'!B636:B5637=$G$4)*('TREASURY FILE'!D636:D5637="INCOME")*('TREASURY FILE'!A636:A5637=A737)*('TREASURY FILE'!F636:F5637))</f>
        <v>0</v>
      </c>
      <c r="H737" s="24" cm="1">
        <f t="array" ref="H737">SUMPRODUCT(('TREASURY FILE'!B636:B5637=$H$4)*('TREASURY FILE'!D636:D5637="INCOME")*('TREASURY FILE'!A636:A5637=A737)*('TREASURY FILE'!F636:F5637))</f>
        <v>0</v>
      </c>
      <c r="I737" s="24" cm="1">
        <f t="array" ref="I737">SUMPRODUCT(('TREASURY FILE'!D645:D5637=$I$4)*('TREASURY FILE'!F645:F5637="INCOME")*('TREASURY FILE'!C645:C5637=C737)*('TREASURY FILE'!H645:H5637))</f>
        <v>0</v>
      </c>
      <c r="J737" s="31">
        <f t="shared" si="36"/>
        <v>0</v>
      </c>
      <c r="K737" s="33" t="e">
        <f t="shared" si="37"/>
        <v>#DIV/0!</v>
      </c>
    </row>
    <row r="738" spans="1:11" x14ac:dyDescent="0.3">
      <c r="A738" s="30">
        <v>46391</v>
      </c>
      <c r="B738" s="24" cm="1">
        <f t="array" ref="B738">SUMPRODUCT(('TREASURY FILE'!B637:B5638=$B$4)*('TREASURY FILE'!D637:D5638="TURNOVER")*('TREASURY FILE'!A637:A5638=A738)*('TREASURY FILE'!F637:F5638))</f>
        <v>0</v>
      </c>
      <c r="C738" s="24" cm="1">
        <f t="array" ref="C738">SUMPRODUCT(('TREASURY FILE'!B637:B5638=$C$4)*('TREASURY FILE'!D637:D5638="TURNOVER")*('TREASURY FILE'!A637:A5638=A738)*('TREASURY FILE'!F637:F5638))</f>
        <v>0</v>
      </c>
      <c r="D738" s="24" cm="1">
        <f t="array" ref="D738">SUMPRODUCT(('TREASURY FILE'!B637:B5638=$D$4)*('TREASURY FILE'!D637:D5638="TURNOVER")*('TREASURY FILE'!A637:A5638=A738)*('TREASURY FILE'!F637:F5638))</f>
        <v>0</v>
      </c>
      <c r="E738" s="31">
        <f t="shared" si="35"/>
        <v>0</v>
      </c>
      <c r="G738" s="24" cm="1">
        <f t="array" ref="G738">SUMPRODUCT(('TREASURY FILE'!B637:B5638=$G$4)*('TREASURY FILE'!D637:D5638="INCOME")*('TREASURY FILE'!A637:A5638=A738)*('TREASURY FILE'!F637:F5638))</f>
        <v>0</v>
      </c>
      <c r="H738" s="24" cm="1">
        <f t="array" ref="H738">SUMPRODUCT(('TREASURY FILE'!B637:B5638=$H$4)*('TREASURY FILE'!D637:D5638="INCOME")*('TREASURY FILE'!A637:A5638=A738)*('TREASURY FILE'!F637:F5638))</f>
        <v>0</v>
      </c>
      <c r="I738" s="24" cm="1">
        <f t="array" ref="I738">SUMPRODUCT(('TREASURY FILE'!D646:D5638=$I$4)*('TREASURY FILE'!F646:F5638="INCOME")*('TREASURY FILE'!C646:C5638=C738)*('TREASURY FILE'!H646:H5638))</f>
        <v>0</v>
      </c>
      <c r="J738" s="31">
        <f t="shared" si="36"/>
        <v>0</v>
      </c>
      <c r="K738" s="33" t="e">
        <f t="shared" si="37"/>
        <v>#DIV/0!</v>
      </c>
    </row>
    <row r="739" spans="1:11" x14ac:dyDescent="0.3">
      <c r="A739" s="30">
        <v>46392</v>
      </c>
      <c r="B739" s="24" cm="1">
        <f t="array" ref="B739">SUMPRODUCT(('TREASURY FILE'!B638:B5639=$B$4)*('TREASURY FILE'!D638:D5639="TURNOVER")*('TREASURY FILE'!A638:A5639=A739)*('TREASURY FILE'!F638:F5639))</f>
        <v>0</v>
      </c>
      <c r="C739" s="24" cm="1">
        <f t="array" ref="C739">SUMPRODUCT(('TREASURY FILE'!B638:B5639=$C$4)*('TREASURY FILE'!D638:D5639="TURNOVER")*('TREASURY FILE'!A638:A5639=A739)*('TREASURY FILE'!F638:F5639))</f>
        <v>0</v>
      </c>
      <c r="D739" s="24" cm="1">
        <f t="array" ref="D739">SUMPRODUCT(('TREASURY FILE'!B638:B5639=$D$4)*('TREASURY FILE'!D638:D5639="TURNOVER")*('TREASURY FILE'!A638:A5639=A739)*('TREASURY FILE'!F638:F5639))</f>
        <v>0</v>
      </c>
      <c r="E739" s="31">
        <f t="shared" si="35"/>
        <v>0</v>
      </c>
      <c r="G739" s="24" cm="1">
        <f t="array" ref="G739">SUMPRODUCT(('TREASURY FILE'!B638:B5639=$G$4)*('TREASURY FILE'!D638:D5639="INCOME")*('TREASURY FILE'!A638:A5639=A739)*('TREASURY FILE'!F638:F5639))</f>
        <v>0</v>
      </c>
      <c r="H739" s="24" cm="1">
        <f t="array" ref="H739">SUMPRODUCT(('TREASURY FILE'!B638:B5639=$H$4)*('TREASURY FILE'!D638:D5639="INCOME")*('TREASURY FILE'!A638:A5639=A739)*('TREASURY FILE'!F638:F5639))</f>
        <v>0</v>
      </c>
      <c r="I739" s="24" cm="1">
        <f t="array" ref="I739">SUMPRODUCT(('TREASURY FILE'!D647:D5639=$I$4)*('TREASURY FILE'!F647:F5639="INCOME")*('TREASURY FILE'!C647:C5639=C739)*('TREASURY FILE'!H647:H5639))</f>
        <v>0</v>
      </c>
      <c r="J739" s="31">
        <f t="shared" si="36"/>
        <v>0</v>
      </c>
      <c r="K739" s="33" t="e">
        <f t="shared" si="37"/>
        <v>#DIV/0!</v>
      </c>
    </row>
    <row r="740" spans="1:11" x14ac:dyDescent="0.3">
      <c r="A740" s="30">
        <v>46393</v>
      </c>
      <c r="B740" s="24" cm="1">
        <f t="array" ref="B740">SUMPRODUCT(('TREASURY FILE'!B639:B5640=$B$4)*('TREASURY FILE'!D639:D5640="TURNOVER")*('TREASURY FILE'!A639:A5640=A740)*('TREASURY FILE'!F639:F5640))</f>
        <v>0</v>
      </c>
      <c r="C740" s="24" cm="1">
        <f t="array" ref="C740">SUMPRODUCT(('TREASURY FILE'!B639:B5640=$C$4)*('TREASURY FILE'!D639:D5640="TURNOVER")*('TREASURY FILE'!A639:A5640=A740)*('TREASURY FILE'!F639:F5640))</f>
        <v>0</v>
      </c>
      <c r="D740" s="24" cm="1">
        <f t="array" ref="D740">SUMPRODUCT(('TREASURY FILE'!B639:B5640=$D$4)*('TREASURY FILE'!D639:D5640="TURNOVER")*('TREASURY FILE'!A639:A5640=A740)*('TREASURY FILE'!F639:F5640))</f>
        <v>0</v>
      </c>
      <c r="E740" s="31">
        <f t="shared" si="35"/>
        <v>0</v>
      </c>
      <c r="G740" s="24" cm="1">
        <f t="array" ref="G740">SUMPRODUCT(('TREASURY FILE'!B639:B5640=$G$4)*('TREASURY FILE'!D639:D5640="INCOME")*('TREASURY FILE'!A639:A5640=A740)*('TREASURY FILE'!F639:F5640))</f>
        <v>0</v>
      </c>
      <c r="H740" s="24" cm="1">
        <f t="array" ref="H740">SUMPRODUCT(('TREASURY FILE'!B639:B5640=$H$4)*('TREASURY FILE'!D639:D5640="INCOME")*('TREASURY FILE'!A639:A5640=A740)*('TREASURY FILE'!F639:F5640))</f>
        <v>0</v>
      </c>
      <c r="I740" s="24" cm="1">
        <f t="array" ref="I740">SUMPRODUCT(('TREASURY FILE'!D648:D5640=$I$4)*('TREASURY FILE'!F648:F5640="INCOME")*('TREASURY FILE'!C648:C5640=C740)*('TREASURY FILE'!H648:H5640))</f>
        <v>0</v>
      </c>
      <c r="J740" s="31">
        <f t="shared" si="36"/>
        <v>0</v>
      </c>
      <c r="K740" s="33" t="e">
        <f t="shared" si="37"/>
        <v>#DIV/0!</v>
      </c>
    </row>
    <row r="741" spans="1:11" x14ac:dyDescent="0.3">
      <c r="A741" s="30">
        <v>46394</v>
      </c>
      <c r="B741" s="24" cm="1">
        <f t="array" ref="B741">SUMPRODUCT(('TREASURY FILE'!B640:B5641=$B$4)*('TREASURY FILE'!D640:D5641="TURNOVER")*('TREASURY FILE'!A640:A5641=A741)*('TREASURY FILE'!F640:F5641))</f>
        <v>0</v>
      </c>
      <c r="C741" s="24" cm="1">
        <f t="array" ref="C741">SUMPRODUCT(('TREASURY FILE'!B640:B5641=$C$4)*('TREASURY FILE'!D640:D5641="TURNOVER")*('TREASURY FILE'!A640:A5641=A741)*('TREASURY FILE'!F640:F5641))</f>
        <v>0</v>
      </c>
      <c r="D741" s="24" cm="1">
        <f t="array" ref="D741">SUMPRODUCT(('TREASURY FILE'!B640:B5641=$D$4)*('TREASURY FILE'!D640:D5641="TURNOVER")*('TREASURY FILE'!A640:A5641=A741)*('TREASURY FILE'!F640:F5641))</f>
        <v>0</v>
      </c>
      <c r="E741" s="31">
        <f t="shared" si="35"/>
        <v>0</v>
      </c>
      <c r="G741" s="24" cm="1">
        <f t="array" ref="G741">SUMPRODUCT(('TREASURY FILE'!B640:B5641=$G$4)*('TREASURY FILE'!D640:D5641="INCOME")*('TREASURY FILE'!A640:A5641=A741)*('TREASURY FILE'!F640:F5641))</f>
        <v>0</v>
      </c>
      <c r="H741" s="24" cm="1">
        <f t="array" ref="H741">SUMPRODUCT(('TREASURY FILE'!B640:B5641=$H$4)*('TREASURY FILE'!D640:D5641="INCOME")*('TREASURY FILE'!A640:A5641=A741)*('TREASURY FILE'!F640:F5641))</f>
        <v>0</v>
      </c>
      <c r="I741" s="24" cm="1">
        <f t="array" ref="I741">SUMPRODUCT(('TREASURY FILE'!D649:D5641=$I$4)*('TREASURY FILE'!F649:F5641="INCOME")*('TREASURY FILE'!C649:C5641=C741)*('TREASURY FILE'!H649:H5641))</f>
        <v>0</v>
      </c>
      <c r="J741" s="31">
        <f t="shared" si="36"/>
        <v>0</v>
      </c>
      <c r="K741" s="33" t="e">
        <f t="shared" si="37"/>
        <v>#DIV/0!</v>
      </c>
    </row>
    <row r="742" spans="1:11" x14ac:dyDescent="0.3">
      <c r="A742" s="30">
        <v>46395</v>
      </c>
      <c r="B742" s="24" cm="1">
        <f t="array" ref="B742">SUMPRODUCT(('TREASURY FILE'!B641:B5642=$B$4)*('TREASURY FILE'!D641:D5642="TURNOVER")*('TREASURY FILE'!A641:A5642=A742)*('TREASURY FILE'!F641:F5642))</f>
        <v>0</v>
      </c>
      <c r="C742" s="24" cm="1">
        <f t="array" ref="C742">SUMPRODUCT(('TREASURY FILE'!B641:B5642=$C$4)*('TREASURY FILE'!D641:D5642="TURNOVER")*('TREASURY FILE'!A641:A5642=A742)*('TREASURY FILE'!F641:F5642))</f>
        <v>0</v>
      </c>
      <c r="D742" s="24" cm="1">
        <f t="array" ref="D742">SUMPRODUCT(('TREASURY FILE'!B641:B5642=$D$4)*('TREASURY FILE'!D641:D5642="TURNOVER")*('TREASURY FILE'!A641:A5642=A742)*('TREASURY FILE'!F641:F5642))</f>
        <v>0</v>
      </c>
      <c r="E742" s="31">
        <f t="shared" si="35"/>
        <v>0</v>
      </c>
      <c r="G742" s="24" cm="1">
        <f t="array" ref="G742">SUMPRODUCT(('TREASURY FILE'!B641:B5642=$G$4)*('TREASURY FILE'!D641:D5642="INCOME")*('TREASURY FILE'!A641:A5642=A742)*('TREASURY FILE'!F641:F5642))</f>
        <v>0</v>
      </c>
      <c r="H742" s="24" cm="1">
        <f t="array" ref="H742">SUMPRODUCT(('TREASURY FILE'!B641:B5642=$H$4)*('TREASURY FILE'!D641:D5642="INCOME")*('TREASURY FILE'!A641:A5642=A742)*('TREASURY FILE'!F641:F5642))</f>
        <v>0</v>
      </c>
      <c r="I742" s="24" cm="1">
        <f t="array" ref="I742">SUMPRODUCT(('TREASURY FILE'!D650:D5642=$I$4)*('TREASURY FILE'!F650:F5642="INCOME")*('TREASURY FILE'!C650:C5642=C742)*('TREASURY FILE'!H650:H5642))</f>
        <v>0</v>
      </c>
      <c r="J742" s="31">
        <f t="shared" si="36"/>
        <v>0</v>
      </c>
      <c r="K742" s="33" t="e">
        <f t="shared" si="37"/>
        <v>#DIV/0!</v>
      </c>
    </row>
    <row r="743" spans="1:11" x14ac:dyDescent="0.3">
      <c r="A743" s="30">
        <v>46396</v>
      </c>
      <c r="B743" s="24" cm="1">
        <f t="array" ref="B743">SUMPRODUCT(('TREASURY FILE'!B642:B5643=$B$4)*('TREASURY FILE'!D642:D5643="TURNOVER")*('TREASURY FILE'!A642:A5643=A743)*('TREASURY FILE'!F642:F5643))</f>
        <v>0</v>
      </c>
      <c r="C743" s="24" cm="1">
        <f t="array" ref="C743">SUMPRODUCT(('TREASURY FILE'!B642:B5643=$C$4)*('TREASURY FILE'!D642:D5643="TURNOVER")*('TREASURY FILE'!A642:A5643=A743)*('TREASURY FILE'!F642:F5643))</f>
        <v>0</v>
      </c>
      <c r="D743" s="24" cm="1">
        <f t="array" ref="D743">SUMPRODUCT(('TREASURY FILE'!B642:B5643=$D$4)*('TREASURY FILE'!D642:D5643="TURNOVER")*('TREASURY FILE'!A642:A5643=A743)*('TREASURY FILE'!F642:F5643))</f>
        <v>0</v>
      </c>
      <c r="E743" s="31">
        <f t="shared" si="35"/>
        <v>0</v>
      </c>
      <c r="G743" s="24" cm="1">
        <f t="array" ref="G743">SUMPRODUCT(('TREASURY FILE'!B642:B5643=$G$4)*('TREASURY FILE'!D642:D5643="INCOME")*('TREASURY FILE'!A642:A5643=A743)*('TREASURY FILE'!F642:F5643))</f>
        <v>0</v>
      </c>
      <c r="H743" s="24" cm="1">
        <f t="array" ref="H743">SUMPRODUCT(('TREASURY FILE'!B642:B5643=$H$4)*('TREASURY FILE'!D642:D5643="INCOME")*('TREASURY FILE'!A642:A5643=A743)*('TREASURY FILE'!F642:F5643))</f>
        <v>0</v>
      </c>
      <c r="I743" s="24" cm="1">
        <f t="array" ref="I743">SUMPRODUCT(('TREASURY FILE'!D651:D5643=$I$4)*('TREASURY FILE'!F651:F5643="INCOME")*('TREASURY FILE'!C651:C5643=C743)*('TREASURY FILE'!H651:H5643))</f>
        <v>0</v>
      </c>
      <c r="J743" s="31">
        <f t="shared" si="36"/>
        <v>0</v>
      </c>
      <c r="K743" s="33" t="e">
        <f t="shared" si="37"/>
        <v>#DIV/0!</v>
      </c>
    </row>
    <row r="744" spans="1:11" x14ac:dyDescent="0.3">
      <c r="A744" s="30">
        <v>46397</v>
      </c>
      <c r="B744" s="24" cm="1">
        <f t="array" ref="B744">SUMPRODUCT(('TREASURY FILE'!B643:B5644=$B$4)*('TREASURY FILE'!D643:D5644="TURNOVER")*('TREASURY FILE'!A643:A5644=A744)*('TREASURY FILE'!F643:F5644))</f>
        <v>0</v>
      </c>
      <c r="C744" s="24" cm="1">
        <f t="array" ref="C744">SUMPRODUCT(('TREASURY FILE'!B643:B5644=$C$4)*('TREASURY FILE'!D643:D5644="TURNOVER")*('TREASURY FILE'!A643:A5644=A744)*('TREASURY FILE'!F643:F5644))</f>
        <v>0</v>
      </c>
      <c r="D744" s="24" cm="1">
        <f t="array" ref="D744">SUMPRODUCT(('TREASURY FILE'!B643:B5644=$D$4)*('TREASURY FILE'!D643:D5644="TURNOVER")*('TREASURY FILE'!A643:A5644=A744)*('TREASURY FILE'!F643:F5644))</f>
        <v>0</v>
      </c>
      <c r="E744" s="31">
        <f t="shared" si="35"/>
        <v>0</v>
      </c>
      <c r="G744" s="24" cm="1">
        <f t="array" ref="G744">SUMPRODUCT(('TREASURY FILE'!B643:B5644=$G$4)*('TREASURY FILE'!D643:D5644="INCOME")*('TREASURY FILE'!A643:A5644=A744)*('TREASURY FILE'!F643:F5644))</f>
        <v>0</v>
      </c>
      <c r="H744" s="24" cm="1">
        <f t="array" ref="H744">SUMPRODUCT(('TREASURY FILE'!B643:B5644=$H$4)*('TREASURY FILE'!D643:D5644="INCOME")*('TREASURY FILE'!A643:A5644=A744)*('TREASURY FILE'!F643:F5644))</f>
        <v>0</v>
      </c>
      <c r="I744" s="24" cm="1">
        <f t="array" ref="I744">SUMPRODUCT(('TREASURY FILE'!D652:D5644=$I$4)*('TREASURY FILE'!F652:F5644="INCOME")*('TREASURY FILE'!C652:C5644=C744)*('TREASURY FILE'!H652:H5644))</f>
        <v>0</v>
      </c>
      <c r="J744" s="31">
        <f t="shared" si="36"/>
        <v>0</v>
      </c>
      <c r="K744" s="33" t="e">
        <f t="shared" si="37"/>
        <v>#DIV/0!</v>
      </c>
    </row>
    <row r="745" spans="1:11" x14ac:dyDescent="0.3">
      <c r="A745" s="30">
        <v>46398</v>
      </c>
      <c r="B745" s="24" cm="1">
        <f t="array" ref="B745">SUMPRODUCT(('TREASURY FILE'!B644:B5645=$B$4)*('TREASURY FILE'!D644:D5645="TURNOVER")*('TREASURY FILE'!A644:A5645=A745)*('TREASURY FILE'!F644:F5645))</f>
        <v>0</v>
      </c>
      <c r="C745" s="24" cm="1">
        <f t="array" ref="C745">SUMPRODUCT(('TREASURY FILE'!B644:B5645=$C$4)*('TREASURY FILE'!D644:D5645="TURNOVER")*('TREASURY FILE'!A644:A5645=A745)*('TREASURY FILE'!F644:F5645))</f>
        <v>0</v>
      </c>
      <c r="D745" s="24" cm="1">
        <f t="array" ref="D745">SUMPRODUCT(('TREASURY FILE'!B644:B5645=$D$4)*('TREASURY FILE'!D644:D5645="TURNOVER")*('TREASURY FILE'!A644:A5645=A745)*('TREASURY FILE'!F644:F5645))</f>
        <v>0</v>
      </c>
      <c r="E745" s="31">
        <f t="shared" si="35"/>
        <v>0</v>
      </c>
      <c r="G745" s="24" cm="1">
        <f t="array" ref="G745">SUMPRODUCT(('TREASURY FILE'!B644:B5645=$G$4)*('TREASURY FILE'!D644:D5645="INCOME")*('TREASURY FILE'!A644:A5645=A745)*('TREASURY FILE'!F644:F5645))</f>
        <v>0</v>
      </c>
      <c r="H745" s="24" cm="1">
        <f t="array" ref="H745">SUMPRODUCT(('TREASURY FILE'!B644:B5645=$H$4)*('TREASURY FILE'!D644:D5645="INCOME")*('TREASURY FILE'!A644:A5645=A745)*('TREASURY FILE'!F644:F5645))</f>
        <v>0</v>
      </c>
      <c r="I745" s="24" cm="1">
        <f t="array" ref="I745">SUMPRODUCT(('TREASURY FILE'!D653:D5645=$I$4)*('TREASURY FILE'!F653:F5645="INCOME")*('TREASURY FILE'!C653:C5645=C745)*('TREASURY FILE'!H653:H5645))</f>
        <v>0</v>
      </c>
      <c r="J745" s="31">
        <f t="shared" si="36"/>
        <v>0</v>
      </c>
      <c r="K745" s="33" t="e">
        <f t="shared" si="37"/>
        <v>#DIV/0!</v>
      </c>
    </row>
    <row r="746" spans="1:11" x14ac:dyDescent="0.3">
      <c r="A746" s="30">
        <v>46399</v>
      </c>
      <c r="B746" s="24" cm="1">
        <f t="array" ref="B746">SUMPRODUCT(('TREASURY FILE'!B645:B5646=$B$4)*('TREASURY FILE'!D645:D5646="TURNOVER")*('TREASURY FILE'!A645:A5646=A746)*('TREASURY FILE'!F645:F5646))</f>
        <v>0</v>
      </c>
      <c r="C746" s="24" cm="1">
        <f t="array" ref="C746">SUMPRODUCT(('TREASURY FILE'!B645:B5646=$C$4)*('TREASURY FILE'!D645:D5646="TURNOVER")*('TREASURY FILE'!A645:A5646=A746)*('TREASURY FILE'!F645:F5646))</f>
        <v>0</v>
      </c>
      <c r="D746" s="24" cm="1">
        <f t="array" ref="D746">SUMPRODUCT(('TREASURY FILE'!B645:B5646=$D$4)*('TREASURY FILE'!D645:D5646="TURNOVER")*('TREASURY FILE'!A645:A5646=A746)*('TREASURY FILE'!F645:F5646))</f>
        <v>0</v>
      </c>
      <c r="E746" s="31">
        <f t="shared" si="35"/>
        <v>0</v>
      </c>
      <c r="G746" s="24" cm="1">
        <f t="array" ref="G746">SUMPRODUCT(('TREASURY FILE'!B645:B5646=$G$4)*('TREASURY FILE'!D645:D5646="INCOME")*('TREASURY FILE'!A645:A5646=A746)*('TREASURY FILE'!F645:F5646))</f>
        <v>0</v>
      </c>
      <c r="H746" s="24" cm="1">
        <f t="array" ref="H746">SUMPRODUCT(('TREASURY FILE'!B645:B5646=$H$4)*('TREASURY FILE'!D645:D5646="INCOME")*('TREASURY FILE'!A645:A5646=A746)*('TREASURY FILE'!F645:F5646))</f>
        <v>0</v>
      </c>
      <c r="I746" s="24" cm="1">
        <f t="array" ref="I746">SUMPRODUCT(('TREASURY FILE'!D654:D5646=$I$4)*('TREASURY FILE'!F654:F5646="INCOME")*('TREASURY FILE'!C654:C5646=C746)*('TREASURY FILE'!H654:H5646))</f>
        <v>0</v>
      </c>
      <c r="J746" s="31">
        <f t="shared" si="36"/>
        <v>0</v>
      </c>
      <c r="K746" s="33" t="e">
        <f t="shared" si="37"/>
        <v>#DIV/0!</v>
      </c>
    </row>
    <row r="747" spans="1:11" x14ac:dyDescent="0.3">
      <c r="A747" s="30">
        <v>46400</v>
      </c>
      <c r="B747" s="24" cm="1">
        <f t="array" ref="B747">SUMPRODUCT(('TREASURY FILE'!B646:B5647=$B$4)*('TREASURY FILE'!D646:D5647="TURNOVER")*('TREASURY FILE'!A646:A5647=A747)*('TREASURY FILE'!F646:F5647))</f>
        <v>0</v>
      </c>
      <c r="C747" s="24" cm="1">
        <f t="array" ref="C747">SUMPRODUCT(('TREASURY FILE'!B646:B5647=$C$4)*('TREASURY FILE'!D646:D5647="TURNOVER")*('TREASURY FILE'!A646:A5647=A747)*('TREASURY FILE'!F646:F5647))</f>
        <v>0</v>
      </c>
      <c r="D747" s="24" cm="1">
        <f t="array" ref="D747">SUMPRODUCT(('TREASURY FILE'!B646:B5647=$D$4)*('TREASURY FILE'!D646:D5647="TURNOVER")*('TREASURY FILE'!A646:A5647=A747)*('TREASURY FILE'!F646:F5647))</f>
        <v>0</v>
      </c>
      <c r="E747" s="31">
        <f t="shared" si="35"/>
        <v>0</v>
      </c>
      <c r="G747" s="24" cm="1">
        <f t="array" ref="G747">SUMPRODUCT(('TREASURY FILE'!B646:B5647=$G$4)*('TREASURY FILE'!D646:D5647="INCOME")*('TREASURY FILE'!A646:A5647=A747)*('TREASURY FILE'!F646:F5647))</f>
        <v>0</v>
      </c>
      <c r="H747" s="24" cm="1">
        <f t="array" ref="H747">SUMPRODUCT(('TREASURY FILE'!B646:B5647=$H$4)*('TREASURY FILE'!D646:D5647="INCOME")*('TREASURY FILE'!A646:A5647=A747)*('TREASURY FILE'!F646:F5647))</f>
        <v>0</v>
      </c>
      <c r="I747" s="24" cm="1">
        <f t="array" ref="I747">SUMPRODUCT(('TREASURY FILE'!D655:D5647=$I$4)*('TREASURY FILE'!F655:F5647="INCOME")*('TREASURY FILE'!C655:C5647=C747)*('TREASURY FILE'!H655:H5647))</f>
        <v>0</v>
      </c>
      <c r="J747" s="31">
        <f t="shared" si="36"/>
        <v>0</v>
      </c>
      <c r="K747" s="33" t="e">
        <f t="shared" si="37"/>
        <v>#DIV/0!</v>
      </c>
    </row>
    <row r="748" spans="1:11" x14ac:dyDescent="0.3">
      <c r="A748" s="30">
        <v>46401</v>
      </c>
      <c r="B748" s="24" cm="1">
        <f t="array" ref="B748">SUMPRODUCT(('TREASURY FILE'!B647:B5648=$B$4)*('TREASURY FILE'!D647:D5648="TURNOVER")*('TREASURY FILE'!A647:A5648=A748)*('TREASURY FILE'!F647:F5648))</f>
        <v>0</v>
      </c>
      <c r="C748" s="24" cm="1">
        <f t="array" ref="C748">SUMPRODUCT(('TREASURY FILE'!B647:B5648=$C$4)*('TREASURY FILE'!D647:D5648="TURNOVER")*('TREASURY FILE'!A647:A5648=A748)*('TREASURY FILE'!F647:F5648))</f>
        <v>0</v>
      </c>
      <c r="D748" s="24" cm="1">
        <f t="array" ref="D748">SUMPRODUCT(('TREASURY FILE'!B647:B5648=$D$4)*('TREASURY FILE'!D647:D5648="TURNOVER")*('TREASURY FILE'!A647:A5648=A748)*('TREASURY FILE'!F647:F5648))</f>
        <v>0</v>
      </c>
      <c r="E748" s="31">
        <f t="shared" si="35"/>
        <v>0</v>
      </c>
      <c r="G748" s="24" cm="1">
        <f t="array" ref="G748">SUMPRODUCT(('TREASURY FILE'!B647:B5648=$G$4)*('TREASURY FILE'!D647:D5648="INCOME")*('TREASURY FILE'!A647:A5648=A748)*('TREASURY FILE'!F647:F5648))</f>
        <v>0</v>
      </c>
      <c r="H748" s="24" cm="1">
        <f t="array" ref="H748">SUMPRODUCT(('TREASURY FILE'!B647:B5648=$H$4)*('TREASURY FILE'!D647:D5648="INCOME")*('TREASURY FILE'!A647:A5648=A748)*('TREASURY FILE'!F647:F5648))</f>
        <v>0</v>
      </c>
      <c r="I748" s="24" cm="1">
        <f t="array" ref="I748">SUMPRODUCT(('TREASURY FILE'!D656:D5648=$I$4)*('TREASURY FILE'!F656:F5648="INCOME")*('TREASURY FILE'!C656:C5648=C748)*('TREASURY FILE'!H656:H5648))</f>
        <v>0</v>
      </c>
      <c r="J748" s="31">
        <f t="shared" si="36"/>
        <v>0</v>
      </c>
      <c r="K748" s="33" t="e">
        <f t="shared" si="37"/>
        <v>#DIV/0!</v>
      </c>
    </row>
    <row r="749" spans="1:11" x14ac:dyDescent="0.3">
      <c r="A749" s="30">
        <v>46402</v>
      </c>
      <c r="B749" s="24" cm="1">
        <f t="array" ref="B749">SUMPRODUCT(('TREASURY FILE'!B648:B5649=$B$4)*('TREASURY FILE'!D648:D5649="TURNOVER")*('TREASURY FILE'!A648:A5649=A749)*('TREASURY FILE'!F648:F5649))</f>
        <v>0</v>
      </c>
      <c r="C749" s="24" cm="1">
        <f t="array" ref="C749">SUMPRODUCT(('TREASURY FILE'!B648:B5649=$C$4)*('TREASURY FILE'!D648:D5649="TURNOVER")*('TREASURY FILE'!A648:A5649=A749)*('TREASURY FILE'!F648:F5649))</f>
        <v>0</v>
      </c>
      <c r="D749" s="24" cm="1">
        <f t="array" ref="D749">SUMPRODUCT(('TREASURY FILE'!B648:B5649=$D$4)*('TREASURY FILE'!D648:D5649="TURNOVER")*('TREASURY FILE'!A648:A5649=A749)*('TREASURY FILE'!F648:F5649))</f>
        <v>0</v>
      </c>
      <c r="E749" s="31">
        <f t="shared" si="35"/>
        <v>0</v>
      </c>
      <c r="G749" s="24" cm="1">
        <f t="array" ref="G749">SUMPRODUCT(('TREASURY FILE'!B648:B5649=$G$4)*('TREASURY FILE'!D648:D5649="INCOME")*('TREASURY FILE'!A648:A5649=A749)*('TREASURY FILE'!F648:F5649))</f>
        <v>0</v>
      </c>
      <c r="H749" s="24" cm="1">
        <f t="array" ref="H749">SUMPRODUCT(('TREASURY FILE'!B648:B5649=$H$4)*('TREASURY FILE'!D648:D5649="INCOME")*('TREASURY FILE'!A648:A5649=A749)*('TREASURY FILE'!F648:F5649))</f>
        <v>0</v>
      </c>
      <c r="I749" s="24" cm="1">
        <f t="array" ref="I749">SUMPRODUCT(('TREASURY FILE'!D657:D5649=$I$4)*('TREASURY FILE'!F657:F5649="INCOME")*('TREASURY FILE'!C657:C5649=C749)*('TREASURY FILE'!H657:H5649))</f>
        <v>0</v>
      </c>
      <c r="J749" s="31">
        <f t="shared" si="36"/>
        <v>0</v>
      </c>
      <c r="K749" s="33" t="e">
        <f t="shared" si="37"/>
        <v>#DIV/0!</v>
      </c>
    </row>
    <row r="750" spans="1:11" x14ac:dyDescent="0.3">
      <c r="A750" s="30">
        <v>46403</v>
      </c>
      <c r="B750" s="24" cm="1">
        <f t="array" ref="B750">SUMPRODUCT(('TREASURY FILE'!B649:B5650=$B$4)*('TREASURY FILE'!D649:D5650="TURNOVER")*('TREASURY FILE'!A649:A5650=A750)*('TREASURY FILE'!F649:F5650))</f>
        <v>0</v>
      </c>
      <c r="C750" s="24" cm="1">
        <f t="array" ref="C750">SUMPRODUCT(('TREASURY FILE'!B649:B5650=$C$4)*('TREASURY FILE'!D649:D5650="TURNOVER")*('TREASURY FILE'!A649:A5650=A750)*('TREASURY FILE'!F649:F5650))</f>
        <v>0</v>
      </c>
      <c r="D750" s="24" cm="1">
        <f t="array" ref="D750">SUMPRODUCT(('TREASURY FILE'!B649:B5650=$D$4)*('TREASURY FILE'!D649:D5650="TURNOVER")*('TREASURY FILE'!A649:A5650=A750)*('TREASURY FILE'!F649:F5650))</f>
        <v>0</v>
      </c>
      <c r="E750" s="31">
        <f t="shared" si="35"/>
        <v>0</v>
      </c>
      <c r="G750" s="24" cm="1">
        <f t="array" ref="G750">SUMPRODUCT(('TREASURY FILE'!B649:B5650=$G$4)*('TREASURY FILE'!D649:D5650="INCOME")*('TREASURY FILE'!A649:A5650=A750)*('TREASURY FILE'!F649:F5650))</f>
        <v>0</v>
      </c>
      <c r="H750" s="24" cm="1">
        <f t="array" ref="H750">SUMPRODUCT(('TREASURY FILE'!B649:B5650=$H$4)*('TREASURY FILE'!D649:D5650="INCOME")*('TREASURY FILE'!A649:A5650=A750)*('TREASURY FILE'!F649:F5650))</f>
        <v>0</v>
      </c>
      <c r="I750" s="24" cm="1">
        <f t="array" ref="I750">SUMPRODUCT(('TREASURY FILE'!D658:D5650=$I$4)*('TREASURY FILE'!F658:F5650="INCOME")*('TREASURY FILE'!C658:C5650=C750)*('TREASURY FILE'!H658:H5650))</f>
        <v>0</v>
      </c>
      <c r="J750" s="31">
        <f t="shared" si="36"/>
        <v>0</v>
      </c>
      <c r="K750" s="33" t="e">
        <f t="shared" si="37"/>
        <v>#DIV/0!</v>
      </c>
    </row>
    <row r="751" spans="1:11" x14ac:dyDescent="0.3">
      <c r="A751" s="30">
        <v>46404</v>
      </c>
      <c r="B751" s="24" cm="1">
        <f t="array" ref="B751">SUMPRODUCT(('TREASURY FILE'!B650:B5651=$B$4)*('TREASURY FILE'!D650:D5651="TURNOVER")*('TREASURY FILE'!A650:A5651=A751)*('TREASURY FILE'!F650:F5651))</f>
        <v>0</v>
      </c>
      <c r="C751" s="24" cm="1">
        <f t="array" ref="C751">SUMPRODUCT(('TREASURY FILE'!B650:B5651=$C$4)*('TREASURY FILE'!D650:D5651="TURNOVER")*('TREASURY FILE'!A650:A5651=A751)*('TREASURY FILE'!F650:F5651))</f>
        <v>0</v>
      </c>
      <c r="D751" s="24" cm="1">
        <f t="array" ref="D751">SUMPRODUCT(('TREASURY FILE'!B650:B5651=$D$4)*('TREASURY FILE'!D650:D5651="TURNOVER")*('TREASURY FILE'!A650:A5651=A751)*('TREASURY FILE'!F650:F5651))</f>
        <v>0</v>
      </c>
      <c r="E751" s="31">
        <f t="shared" si="35"/>
        <v>0</v>
      </c>
      <c r="G751" s="24" cm="1">
        <f t="array" ref="G751">SUMPRODUCT(('TREASURY FILE'!B650:B5651=$G$4)*('TREASURY FILE'!D650:D5651="INCOME")*('TREASURY FILE'!A650:A5651=A751)*('TREASURY FILE'!F650:F5651))</f>
        <v>0</v>
      </c>
      <c r="H751" s="24" cm="1">
        <f t="array" ref="H751">SUMPRODUCT(('TREASURY FILE'!B650:B5651=$H$4)*('TREASURY FILE'!D650:D5651="INCOME")*('TREASURY FILE'!A650:A5651=A751)*('TREASURY FILE'!F650:F5651))</f>
        <v>0</v>
      </c>
      <c r="I751" s="24" cm="1">
        <f t="array" ref="I751">SUMPRODUCT(('TREASURY FILE'!D659:D5651=$I$4)*('TREASURY FILE'!F659:F5651="INCOME")*('TREASURY FILE'!C659:C5651=C751)*('TREASURY FILE'!H659:H5651))</f>
        <v>0</v>
      </c>
      <c r="J751" s="31">
        <f t="shared" si="36"/>
        <v>0</v>
      </c>
      <c r="K751" s="33" t="e">
        <f t="shared" si="37"/>
        <v>#DIV/0!</v>
      </c>
    </row>
    <row r="752" spans="1:11" x14ac:dyDescent="0.3">
      <c r="A752" s="30">
        <v>46405</v>
      </c>
      <c r="B752" s="24" cm="1">
        <f t="array" ref="B752">SUMPRODUCT(('TREASURY FILE'!B651:B5652=$B$4)*('TREASURY FILE'!D651:D5652="TURNOVER")*('TREASURY FILE'!A651:A5652=A752)*('TREASURY FILE'!F651:F5652))</f>
        <v>0</v>
      </c>
      <c r="C752" s="24" cm="1">
        <f t="array" ref="C752">SUMPRODUCT(('TREASURY FILE'!B651:B5652=$C$4)*('TREASURY FILE'!D651:D5652="TURNOVER")*('TREASURY FILE'!A651:A5652=A752)*('TREASURY FILE'!F651:F5652))</f>
        <v>0</v>
      </c>
      <c r="D752" s="24" cm="1">
        <f t="array" ref="D752">SUMPRODUCT(('TREASURY FILE'!B651:B5652=$D$4)*('TREASURY FILE'!D651:D5652="TURNOVER")*('TREASURY FILE'!A651:A5652=A752)*('TREASURY FILE'!F651:F5652))</f>
        <v>0</v>
      </c>
      <c r="E752" s="31">
        <f t="shared" si="35"/>
        <v>0</v>
      </c>
      <c r="G752" s="24" cm="1">
        <f t="array" ref="G752">SUMPRODUCT(('TREASURY FILE'!B651:B5652=$G$4)*('TREASURY FILE'!D651:D5652="INCOME")*('TREASURY FILE'!A651:A5652=A752)*('TREASURY FILE'!F651:F5652))</f>
        <v>0</v>
      </c>
      <c r="H752" s="24" cm="1">
        <f t="array" ref="H752">SUMPRODUCT(('TREASURY FILE'!B651:B5652=$H$4)*('TREASURY FILE'!D651:D5652="INCOME")*('TREASURY FILE'!A651:A5652=A752)*('TREASURY FILE'!F651:F5652))</f>
        <v>0</v>
      </c>
      <c r="I752" s="24" cm="1">
        <f t="array" ref="I752">SUMPRODUCT(('TREASURY FILE'!D660:D5652=$I$4)*('TREASURY FILE'!F660:F5652="INCOME")*('TREASURY FILE'!C660:C5652=C752)*('TREASURY FILE'!H660:H5652))</f>
        <v>0</v>
      </c>
      <c r="J752" s="31">
        <f t="shared" si="36"/>
        <v>0</v>
      </c>
      <c r="K752" s="33" t="e">
        <f t="shared" si="37"/>
        <v>#DIV/0!</v>
      </c>
    </row>
    <row r="753" spans="1:11" x14ac:dyDescent="0.3">
      <c r="A753" s="30">
        <v>46406</v>
      </c>
      <c r="B753" s="24" cm="1">
        <f t="array" ref="B753">SUMPRODUCT(('TREASURY FILE'!B652:B5653=$B$4)*('TREASURY FILE'!D652:D5653="TURNOVER")*('TREASURY FILE'!A652:A5653=A753)*('TREASURY FILE'!F652:F5653))</f>
        <v>0</v>
      </c>
      <c r="C753" s="24" cm="1">
        <f t="array" ref="C753">SUMPRODUCT(('TREASURY FILE'!B652:B5653=$C$4)*('TREASURY FILE'!D652:D5653="TURNOVER")*('TREASURY FILE'!A652:A5653=A753)*('TREASURY FILE'!F652:F5653))</f>
        <v>0</v>
      </c>
      <c r="D753" s="24" cm="1">
        <f t="array" ref="D753">SUMPRODUCT(('TREASURY FILE'!B652:B5653=$D$4)*('TREASURY FILE'!D652:D5653="TURNOVER")*('TREASURY FILE'!A652:A5653=A753)*('TREASURY FILE'!F652:F5653))</f>
        <v>0</v>
      </c>
      <c r="E753" s="31">
        <f t="shared" si="35"/>
        <v>0</v>
      </c>
      <c r="G753" s="24" cm="1">
        <f t="array" ref="G753">SUMPRODUCT(('TREASURY FILE'!B652:B5653=$G$4)*('TREASURY FILE'!D652:D5653="INCOME")*('TREASURY FILE'!A652:A5653=A753)*('TREASURY FILE'!F652:F5653))</f>
        <v>0</v>
      </c>
      <c r="H753" s="24" cm="1">
        <f t="array" ref="H753">SUMPRODUCT(('TREASURY FILE'!B652:B5653=$H$4)*('TREASURY FILE'!D652:D5653="INCOME")*('TREASURY FILE'!A652:A5653=A753)*('TREASURY FILE'!F652:F5653))</f>
        <v>0</v>
      </c>
      <c r="I753" s="24" cm="1">
        <f t="array" ref="I753">SUMPRODUCT(('TREASURY FILE'!D661:D5653=$I$4)*('TREASURY FILE'!F661:F5653="INCOME")*('TREASURY FILE'!C661:C5653=C753)*('TREASURY FILE'!H661:H5653))</f>
        <v>0</v>
      </c>
      <c r="J753" s="31">
        <f t="shared" si="36"/>
        <v>0</v>
      </c>
      <c r="K753" s="33" t="e">
        <f t="shared" si="37"/>
        <v>#DIV/0!</v>
      </c>
    </row>
    <row r="754" spans="1:11" x14ac:dyDescent="0.3">
      <c r="A754" s="30">
        <v>46407</v>
      </c>
      <c r="B754" s="24" cm="1">
        <f t="array" ref="B754">SUMPRODUCT(('TREASURY FILE'!B653:B5654=$B$4)*('TREASURY FILE'!D653:D5654="TURNOVER")*('TREASURY FILE'!A653:A5654=A754)*('TREASURY FILE'!F653:F5654))</f>
        <v>0</v>
      </c>
      <c r="C754" s="24" cm="1">
        <f t="array" ref="C754">SUMPRODUCT(('TREASURY FILE'!B653:B5654=$C$4)*('TREASURY FILE'!D653:D5654="TURNOVER")*('TREASURY FILE'!A653:A5654=A754)*('TREASURY FILE'!F653:F5654))</f>
        <v>0</v>
      </c>
      <c r="D754" s="24" cm="1">
        <f t="array" ref="D754">SUMPRODUCT(('TREASURY FILE'!B653:B5654=$D$4)*('TREASURY FILE'!D653:D5654="TURNOVER")*('TREASURY FILE'!A653:A5654=A754)*('TREASURY FILE'!F653:F5654))</f>
        <v>0</v>
      </c>
      <c r="E754" s="31">
        <f t="shared" si="35"/>
        <v>0</v>
      </c>
      <c r="G754" s="24" cm="1">
        <f t="array" ref="G754">SUMPRODUCT(('TREASURY FILE'!B653:B5654=$G$4)*('TREASURY FILE'!D653:D5654="INCOME")*('TREASURY FILE'!A653:A5654=A754)*('TREASURY FILE'!F653:F5654))</f>
        <v>0</v>
      </c>
      <c r="H754" s="24" cm="1">
        <f t="array" ref="H754">SUMPRODUCT(('TREASURY FILE'!B653:B5654=$H$4)*('TREASURY FILE'!D653:D5654="INCOME")*('TREASURY FILE'!A653:A5654=A754)*('TREASURY FILE'!F653:F5654))</f>
        <v>0</v>
      </c>
      <c r="I754" s="24" cm="1">
        <f t="array" ref="I754">SUMPRODUCT(('TREASURY FILE'!D662:D5654=$I$4)*('TREASURY FILE'!F662:F5654="INCOME")*('TREASURY FILE'!C662:C5654=C754)*('TREASURY FILE'!H662:H5654))</f>
        <v>0</v>
      </c>
      <c r="J754" s="31">
        <f t="shared" si="36"/>
        <v>0</v>
      </c>
      <c r="K754" s="33" t="e">
        <f t="shared" si="37"/>
        <v>#DIV/0!</v>
      </c>
    </row>
    <row r="755" spans="1:11" x14ac:dyDescent="0.3">
      <c r="A755" s="30">
        <v>46408</v>
      </c>
      <c r="B755" s="24" cm="1">
        <f t="array" ref="B755">SUMPRODUCT(('TREASURY FILE'!B654:B5655=$B$4)*('TREASURY FILE'!D654:D5655="TURNOVER")*('TREASURY FILE'!A654:A5655=A755)*('TREASURY FILE'!F654:F5655))</f>
        <v>0</v>
      </c>
      <c r="C755" s="24" cm="1">
        <f t="array" ref="C755">SUMPRODUCT(('TREASURY FILE'!B654:B5655=$C$4)*('TREASURY FILE'!D654:D5655="TURNOVER")*('TREASURY FILE'!A654:A5655=A755)*('TREASURY FILE'!F654:F5655))</f>
        <v>0</v>
      </c>
      <c r="D755" s="24" cm="1">
        <f t="array" ref="D755">SUMPRODUCT(('TREASURY FILE'!B654:B5655=$D$4)*('TREASURY FILE'!D654:D5655="TURNOVER")*('TREASURY FILE'!A654:A5655=A755)*('TREASURY FILE'!F654:F5655))</f>
        <v>0</v>
      </c>
      <c r="E755" s="31">
        <f t="shared" si="35"/>
        <v>0</v>
      </c>
      <c r="G755" s="24" cm="1">
        <f t="array" ref="G755">SUMPRODUCT(('TREASURY FILE'!B654:B5655=$G$4)*('TREASURY FILE'!D654:D5655="INCOME")*('TREASURY FILE'!A654:A5655=A755)*('TREASURY FILE'!F654:F5655))</f>
        <v>0</v>
      </c>
      <c r="H755" s="24" cm="1">
        <f t="array" ref="H755">SUMPRODUCT(('TREASURY FILE'!B654:B5655=$H$4)*('TREASURY FILE'!D654:D5655="INCOME")*('TREASURY FILE'!A654:A5655=A755)*('TREASURY FILE'!F654:F5655))</f>
        <v>0</v>
      </c>
      <c r="I755" s="24" cm="1">
        <f t="array" ref="I755">SUMPRODUCT(('TREASURY FILE'!D663:D5655=$I$4)*('TREASURY FILE'!F663:F5655="INCOME")*('TREASURY FILE'!C663:C5655=C755)*('TREASURY FILE'!H663:H5655))</f>
        <v>0</v>
      </c>
      <c r="J755" s="31">
        <f t="shared" si="36"/>
        <v>0</v>
      </c>
      <c r="K755" s="33" t="e">
        <f t="shared" si="37"/>
        <v>#DIV/0!</v>
      </c>
    </row>
    <row r="756" spans="1:11" x14ac:dyDescent="0.3">
      <c r="A756" s="30">
        <v>46409</v>
      </c>
      <c r="B756" s="24" cm="1">
        <f t="array" ref="B756">SUMPRODUCT(('TREASURY FILE'!B655:B5656=$B$4)*('TREASURY FILE'!D655:D5656="TURNOVER")*('TREASURY FILE'!A655:A5656=A756)*('TREASURY FILE'!F655:F5656))</f>
        <v>0</v>
      </c>
      <c r="C756" s="24" cm="1">
        <f t="array" ref="C756">SUMPRODUCT(('TREASURY FILE'!B655:B5656=$C$4)*('TREASURY FILE'!D655:D5656="TURNOVER")*('TREASURY FILE'!A655:A5656=A756)*('TREASURY FILE'!F655:F5656))</f>
        <v>0</v>
      </c>
      <c r="D756" s="24" cm="1">
        <f t="array" ref="D756">SUMPRODUCT(('TREASURY FILE'!B655:B5656=$D$4)*('TREASURY FILE'!D655:D5656="TURNOVER")*('TREASURY FILE'!A655:A5656=A756)*('TREASURY FILE'!F655:F5656))</f>
        <v>0</v>
      </c>
      <c r="E756" s="31">
        <f t="shared" si="35"/>
        <v>0</v>
      </c>
      <c r="G756" s="24" cm="1">
        <f t="array" ref="G756">SUMPRODUCT(('TREASURY FILE'!B655:B5656=$G$4)*('TREASURY FILE'!D655:D5656="INCOME")*('TREASURY FILE'!A655:A5656=A756)*('TREASURY FILE'!F655:F5656))</f>
        <v>0</v>
      </c>
      <c r="H756" s="24" cm="1">
        <f t="array" ref="H756">SUMPRODUCT(('TREASURY FILE'!B655:B5656=$H$4)*('TREASURY FILE'!D655:D5656="INCOME")*('TREASURY FILE'!A655:A5656=A756)*('TREASURY FILE'!F655:F5656))</f>
        <v>0</v>
      </c>
      <c r="I756" s="24" cm="1">
        <f t="array" ref="I756">SUMPRODUCT(('TREASURY FILE'!D664:D5656=$I$4)*('TREASURY FILE'!F664:F5656="INCOME")*('TREASURY FILE'!C664:C5656=C756)*('TREASURY FILE'!H664:H5656))</f>
        <v>0</v>
      </c>
      <c r="J756" s="31">
        <f t="shared" si="36"/>
        <v>0</v>
      </c>
      <c r="K756" s="33" t="e">
        <f t="shared" si="37"/>
        <v>#DIV/0!</v>
      </c>
    </row>
    <row r="757" spans="1:11" x14ac:dyDescent="0.3">
      <c r="A757" s="30">
        <v>46410</v>
      </c>
      <c r="B757" s="24" cm="1">
        <f t="array" ref="B757">SUMPRODUCT(('TREASURY FILE'!B656:B5657=$B$4)*('TREASURY FILE'!D656:D5657="TURNOVER")*('TREASURY FILE'!A656:A5657=A757)*('TREASURY FILE'!F656:F5657))</f>
        <v>0</v>
      </c>
      <c r="C757" s="24" cm="1">
        <f t="array" ref="C757">SUMPRODUCT(('TREASURY FILE'!B656:B5657=$C$4)*('TREASURY FILE'!D656:D5657="TURNOVER")*('TREASURY FILE'!A656:A5657=A757)*('TREASURY FILE'!F656:F5657))</f>
        <v>0</v>
      </c>
      <c r="D757" s="24" cm="1">
        <f t="array" ref="D757">SUMPRODUCT(('TREASURY FILE'!B656:B5657=$D$4)*('TREASURY FILE'!D656:D5657="TURNOVER")*('TREASURY FILE'!A656:A5657=A757)*('TREASURY FILE'!F656:F5657))</f>
        <v>0</v>
      </c>
      <c r="E757" s="31">
        <f t="shared" si="35"/>
        <v>0</v>
      </c>
      <c r="G757" s="24" cm="1">
        <f t="array" ref="G757">SUMPRODUCT(('TREASURY FILE'!B656:B5657=$G$4)*('TREASURY FILE'!D656:D5657="INCOME")*('TREASURY FILE'!A656:A5657=A757)*('TREASURY FILE'!F656:F5657))</f>
        <v>0</v>
      </c>
      <c r="H757" s="24" cm="1">
        <f t="array" ref="H757">SUMPRODUCT(('TREASURY FILE'!B656:B5657=$H$4)*('TREASURY FILE'!D656:D5657="INCOME")*('TREASURY FILE'!A656:A5657=A757)*('TREASURY FILE'!F656:F5657))</f>
        <v>0</v>
      </c>
      <c r="I757" s="24" cm="1">
        <f t="array" ref="I757">SUMPRODUCT(('TREASURY FILE'!D665:D5657=$I$4)*('TREASURY FILE'!F665:F5657="INCOME")*('TREASURY FILE'!C665:C5657=C757)*('TREASURY FILE'!H665:H5657))</f>
        <v>0</v>
      </c>
      <c r="J757" s="31">
        <f t="shared" si="36"/>
        <v>0</v>
      </c>
      <c r="K757" s="33" t="e">
        <f t="shared" si="37"/>
        <v>#DIV/0!</v>
      </c>
    </row>
    <row r="758" spans="1:11" x14ac:dyDescent="0.3">
      <c r="A758" s="30">
        <v>46411</v>
      </c>
      <c r="B758" s="24" cm="1">
        <f t="array" ref="B758">SUMPRODUCT(('TREASURY FILE'!B657:B5658=$B$4)*('TREASURY FILE'!D657:D5658="TURNOVER")*('TREASURY FILE'!A657:A5658=A758)*('TREASURY FILE'!F657:F5658))</f>
        <v>0</v>
      </c>
      <c r="C758" s="24" cm="1">
        <f t="array" ref="C758">SUMPRODUCT(('TREASURY FILE'!B657:B5658=$C$4)*('TREASURY FILE'!D657:D5658="TURNOVER")*('TREASURY FILE'!A657:A5658=A758)*('TREASURY FILE'!F657:F5658))</f>
        <v>0</v>
      </c>
      <c r="D758" s="24" cm="1">
        <f t="array" ref="D758">SUMPRODUCT(('TREASURY FILE'!B657:B5658=$D$4)*('TREASURY FILE'!D657:D5658="TURNOVER")*('TREASURY FILE'!A657:A5658=A758)*('TREASURY FILE'!F657:F5658))</f>
        <v>0</v>
      </c>
      <c r="E758" s="31">
        <f t="shared" si="35"/>
        <v>0</v>
      </c>
      <c r="G758" s="24" cm="1">
        <f t="array" ref="G758">SUMPRODUCT(('TREASURY FILE'!B657:B5658=$G$4)*('TREASURY FILE'!D657:D5658="INCOME")*('TREASURY FILE'!A657:A5658=A758)*('TREASURY FILE'!F657:F5658))</f>
        <v>0</v>
      </c>
      <c r="H758" s="24" cm="1">
        <f t="array" ref="H758">SUMPRODUCT(('TREASURY FILE'!B657:B5658=$H$4)*('TREASURY FILE'!D657:D5658="INCOME")*('TREASURY FILE'!A657:A5658=A758)*('TREASURY FILE'!F657:F5658))</f>
        <v>0</v>
      </c>
      <c r="I758" s="24" cm="1">
        <f t="array" ref="I758">SUMPRODUCT(('TREASURY FILE'!D666:D5658=$I$4)*('TREASURY FILE'!F666:F5658="INCOME")*('TREASURY FILE'!C666:C5658=C758)*('TREASURY FILE'!H666:H5658))</f>
        <v>0</v>
      </c>
      <c r="J758" s="31">
        <f t="shared" si="36"/>
        <v>0</v>
      </c>
      <c r="K758" s="33" t="e">
        <f t="shared" si="37"/>
        <v>#DIV/0!</v>
      </c>
    </row>
    <row r="759" spans="1:11" x14ac:dyDescent="0.3">
      <c r="A759" s="30">
        <v>46412</v>
      </c>
      <c r="B759" s="24" cm="1">
        <f t="array" ref="B759">SUMPRODUCT(('TREASURY FILE'!B658:B5659=$B$4)*('TREASURY FILE'!D658:D5659="TURNOVER")*('TREASURY FILE'!A658:A5659=A759)*('TREASURY FILE'!F658:F5659))</f>
        <v>0</v>
      </c>
      <c r="C759" s="24" cm="1">
        <f t="array" ref="C759">SUMPRODUCT(('TREASURY FILE'!B658:B5659=$C$4)*('TREASURY FILE'!D658:D5659="TURNOVER")*('TREASURY FILE'!A658:A5659=A759)*('TREASURY FILE'!F658:F5659))</f>
        <v>0</v>
      </c>
      <c r="D759" s="24" cm="1">
        <f t="array" ref="D759">SUMPRODUCT(('TREASURY FILE'!B658:B5659=$D$4)*('TREASURY FILE'!D658:D5659="TURNOVER")*('TREASURY FILE'!A658:A5659=A759)*('TREASURY FILE'!F658:F5659))</f>
        <v>0</v>
      </c>
      <c r="E759" s="31">
        <f t="shared" si="35"/>
        <v>0</v>
      </c>
      <c r="G759" s="24" cm="1">
        <f t="array" ref="G759">SUMPRODUCT(('TREASURY FILE'!B658:B5659=$G$4)*('TREASURY FILE'!D658:D5659="INCOME")*('TREASURY FILE'!A658:A5659=A759)*('TREASURY FILE'!F658:F5659))</f>
        <v>0</v>
      </c>
      <c r="H759" s="24" cm="1">
        <f t="array" ref="H759">SUMPRODUCT(('TREASURY FILE'!B658:B5659=$H$4)*('TREASURY FILE'!D658:D5659="INCOME")*('TREASURY FILE'!A658:A5659=A759)*('TREASURY FILE'!F658:F5659))</f>
        <v>0</v>
      </c>
      <c r="I759" s="24" cm="1">
        <f t="array" ref="I759">SUMPRODUCT(('TREASURY FILE'!D667:D5659=$I$4)*('TREASURY FILE'!F667:F5659="INCOME")*('TREASURY FILE'!C667:C5659=C759)*('TREASURY FILE'!H667:H5659))</f>
        <v>0</v>
      </c>
      <c r="J759" s="31">
        <f t="shared" si="36"/>
        <v>0</v>
      </c>
      <c r="K759" s="33" t="e">
        <f t="shared" si="37"/>
        <v>#DIV/0!</v>
      </c>
    </row>
    <row r="760" spans="1:11" x14ac:dyDescent="0.3">
      <c r="A760" s="30">
        <v>46413</v>
      </c>
      <c r="B760" s="24" cm="1">
        <f t="array" ref="B760">SUMPRODUCT(('TREASURY FILE'!B659:B5660=$B$4)*('TREASURY FILE'!D659:D5660="TURNOVER")*('TREASURY FILE'!A659:A5660=A760)*('TREASURY FILE'!F659:F5660))</f>
        <v>0</v>
      </c>
      <c r="C760" s="24" cm="1">
        <f t="array" ref="C760">SUMPRODUCT(('TREASURY FILE'!B659:B5660=$C$4)*('TREASURY FILE'!D659:D5660="TURNOVER")*('TREASURY FILE'!A659:A5660=A760)*('TREASURY FILE'!F659:F5660))</f>
        <v>0</v>
      </c>
      <c r="D760" s="24" cm="1">
        <f t="array" ref="D760">SUMPRODUCT(('TREASURY FILE'!B659:B5660=$D$4)*('TREASURY FILE'!D659:D5660="TURNOVER")*('TREASURY FILE'!A659:A5660=A760)*('TREASURY FILE'!F659:F5660))</f>
        <v>0</v>
      </c>
      <c r="E760" s="31">
        <f t="shared" si="35"/>
        <v>0</v>
      </c>
      <c r="G760" s="24" cm="1">
        <f t="array" ref="G760">SUMPRODUCT(('TREASURY FILE'!B659:B5660=$G$4)*('TREASURY FILE'!D659:D5660="INCOME")*('TREASURY FILE'!A659:A5660=A760)*('TREASURY FILE'!F659:F5660))</f>
        <v>0</v>
      </c>
      <c r="H760" s="24" cm="1">
        <f t="array" ref="H760">SUMPRODUCT(('TREASURY FILE'!B659:B5660=$H$4)*('TREASURY FILE'!D659:D5660="INCOME")*('TREASURY FILE'!A659:A5660=A760)*('TREASURY FILE'!F659:F5660))</f>
        <v>0</v>
      </c>
      <c r="I760" s="24" cm="1">
        <f t="array" ref="I760">SUMPRODUCT(('TREASURY FILE'!D668:D5660=$I$4)*('TREASURY FILE'!F668:F5660="INCOME")*('TREASURY FILE'!C668:C5660=C760)*('TREASURY FILE'!H668:H5660))</f>
        <v>0</v>
      </c>
      <c r="J760" s="31">
        <f t="shared" si="36"/>
        <v>0</v>
      </c>
      <c r="K760" s="33" t="e">
        <f t="shared" si="37"/>
        <v>#DIV/0!</v>
      </c>
    </row>
    <row r="761" spans="1:11" x14ac:dyDescent="0.3">
      <c r="A761" s="30">
        <v>46414</v>
      </c>
      <c r="B761" s="24" cm="1">
        <f t="array" ref="B761">SUMPRODUCT(('TREASURY FILE'!B660:B5661=$B$4)*('TREASURY FILE'!D660:D5661="TURNOVER")*('TREASURY FILE'!A660:A5661=A761)*('TREASURY FILE'!F660:F5661))</f>
        <v>0</v>
      </c>
      <c r="C761" s="24" cm="1">
        <f t="array" ref="C761">SUMPRODUCT(('TREASURY FILE'!B660:B5661=$C$4)*('TREASURY FILE'!D660:D5661="TURNOVER")*('TREASURY FILE'!A660:A5661=A761)*('TREASURY FILE'!F660:F5661))</f>
        <v>0</v>
      </c>
      <c r="D761" s="24" cm="1">
        <f t="array" ref="D761">SUMPRODUCT(('TREASURY FILE'!B660:B5661=$D$4)*('TREASURY FILE'!D660:D5661="TURNOVER")*('TREASURY FILE'!A660:A5661=A761)*('TREASURY FILE'!F660:F5661))</f>
        <v>0</v>
      </c>
      <c r="E761" s="31">
        <f t="shared" si="35"/>
        <v>0</v>
      </c>
      <c r="G761" s="24" cm="1">
        <f t="array" ref="G761">SUMPRODUCT(('TREASURY FILE'!B660:B5661=$G$4)*('TREASURY FILE'!D660:D5661="INCOME")*('TREASURY FILE'!A660:A5661=A761)*('TREASURY FILE'!F660:F5661))</f>
        <v>0</v>
      </c>
      <c r="H761" s="24" cm="1">
        <f t="array" ref="H761">SUMPRODUCT(('TREASURY FILE'!B660:B5661=$H$4)*('TREASURY FILE'!D660:D5661="INCOME")*('TREASURY FILE'!A660:A5661=A761)*('TREASURY FILE'!F660:F5661))</f>
        <v>0</v>
      </c>
      <c r="I761" s="24" cm="1">
        <f t="array" ref="I761">SUMPRODUCT(('TREASURY FILE'!D669:D5661=$I$4)*('TREASURY FILE'!F669:F5661="INCOME")*('TREASURY FILE'!C669:C5661=C761)*('TREASURY FILE'!H669:H5661))</f>
        <v>0</v>
      </c>
      <c r="J761" s="31">
        <f t="shared" si="36"/>
        <v>0</v>
      </c>
      <c r="K761" s="33" t="e">
        <f t="shared" si="37"/>
        <v>#DIV/0!</v>
      </c>
    </row>
    <row r="762" spans="1:11" x14ac:dyDescent="0.3">
      <c r="A762" s="30">
        <v>46415</v>
      </c>
      <c r="B762" s="24" cm="1">
        <f t="array" ref="B762">SUMPRODUCT(('TREASURY FILE'!B661:B5662=$B$4)*('TREASURY FILE'!D661:D5662="TURNOVER")*('TREASURY FILE'!A661:A5662=A762)*('TREASURY FILE'!F661:F5662))</f>
        <v>0</v>
      </c>
      <c r="C762" s="24" cm="1">
        <f t="array" ref="C762">SUMPRODUCT(('TREASURY FILE'!B661:B5662=$C$4)*('TREASURY FILE'!D661:D5662="TURNOVER")*('TREASURY FILE'!A661:A5662=A762)*('TREASURY FILE'!F661:F5662))</f>
        <v>0</v>
      </c>
      <c r="D762" s="24" cm="1">
        <f t="array" ref="D762">SUMPRODUCT(('TREASURY FILE'!B661:B5662=$D$4)*('TREASURY FILE'!D661:D5662="TURNOVER")*('TREASURY FILE'!A661:A5662=A762)*('TREASURY FILE'!F661:F5662))</f>
        <v>0</v>
      </c>
      <c r="E762" s="31">
        <f t="shared" si="35"/>
        <v>0</v>
      </c>
      <c r="G762" s="24" cm="1">
        <f t="array" ref="G762">SUMPRODUCT(('TREASURY FILE'!B661:B5662=$G$4)*('TREASURY FILE'!D661:D5662="INCOME")*('TREASURY FILE'!A661:A5662=A762)*('TREASURY FILE'!F661:F5662))</f>
        <v>0</v>
      </c>
      <c r="H762" s="24" cm="1">
        <f t="array" ref="H762">SUMPRODUCT(('TREASURY FILE'!B661:B5662=$H$4)*('TREASURY FILE'!D661:D5662="INCOME")*('TREASURY FILE'!A661:A5662=A762)*('TREASURY FILE'!F661:F5662))</f>
        <v>0</v>
      </c>
      <c r="I762" s="24" cm="1">
        <f t="array" ref="I762">SUMPRODUCT(('TREASURY FILE'!D670:D5662=$I$4)*('TREASURY FILE'!F670:F5662="INCOME")*('TREASURY FILE'!C670:C5662=C762)*('TREASURY FILE'!H670:H5662))</f>
        <v>0</v>
      </c>
      <c r="J762" s="31">
        <f t="shared" si="36"/>
        <v>0</v>
      </c>
      <c r="K762" s="33" t="e">
        <f t="shared" si="37"/>
        <v>#DIV/0!</v>
      </c>
    </row>
    <row r="763" spans="1:11" x14ac:dyDescent="0.3">
      <c r="A763" s="30">
        <v>46416</v>
      </c>
      <c r="B763" s="24" cm="1">
        <f t="array" ref="B763">SUMPRODUCT(('TREASURY FILE'!B662:B5663=$B$4)*('TREASURY FILE'!D662:D5663="TURNOVER")*('TREASURY FILE'!A662:A5663=A763)*('TREASURY FILE'!F662:F5663))</f>
        <v>0</v>
      </c>
      <c r="C763" s="24" cm="1">
        <f t="array" ref="C763">SUMPRODUCT(('TREASURY FILE'!B662:B5663=$C$4)*('TREASURY FILE'!D662:D5663="TURNOVER")*('TREASURY FILE'!A662:A5663=A763)*('TREASURY FILE'!F662:F5663))</f>
        <v>0</v>
      </c>
      <c r="D763" s="24" cm="1">
        <f t="array" ref="D763">SUMPRODUCT(('TREASURY FILE'!B662:B5663=$D$4)*('TREASURY FILE'!D662:D5663="TURNOVER")*('TREASURY FILE'!A662:A5663=A763)*('TREASURY FILE'!F662:F5663))</f>
        <v>0</v>
      </c>
      <c r="E763" s="31">
        <f t="shared" si="35"/>
        <v>0</v>
      </c>
      <c r="G763" s="24" cm="1">
        <f t="array" ref="G763">SUMPRODUCT(('TREASURY FILE'!B662:B5663=$G$4)*('TREASURY FILE'!D662:D5663="INCOME")*('TREASURY FILE'!A662:A5663=A763)*('TREASURY FILE'!F662:F5663))</f>
        <v>0</v>
      </c>
      <c r="H763" s="24" cm="1">
        <f t="array" ref="H763">SUMPRODUCT(('TREASURY FILE'!B662:B5663=$H$4)*('TREASURY FILE'!D662:D5663="INCOME")*('TREASURY FILE'!A662:A5663=A763)*('TREASURY FILE'!F662:F5663))</f>
        <v>0</v>
      </c>
      <c r="I763" s="24" cm="1">
        <f t="array" ref="I763">SUMPRODUCT(('TREASURY FILE'!D671:D5663=$I$4)*('TREASURY FILE'!F671:F5663="INCOME")*('TREASURY FILE'!C671:C5663=C763)*('TREASURY FILE'!H671:H5663))</f>
        <v>0</v>
      </c>
      <c r="J763" s="31">
        <f t="shared" si="36"/>
        <v>0</v>
      </c>
      <c r="K763" s="33" t="e">
        <f t="shared" si="37"/>
        <v>#DIV/0!</v>
      </c>
    </row>
    <row r="764" spans="1:11" x14ac:dyDescent="0.3">
      <c r="A764" s="30">
        <v>46417</v>
      </c>
      <c r="B764" s="24" cm="1">
        <f t="array" ref="B764">SUMPRODUCT(('TREASURY FILE'!B663:B5664=$B$4)*('TREASURY FILE'!D663:D5664="TURNOVER")*('TREASURY FILE'!A663:A5664=A764)*('TREASURY FILE'!F663:F5664))</f>
        <v>0</v>
      </c>
      <c r="C764" s="24" cm="1">
        <f t="array" ref="C764">SUMPRODUCT(('TREASURY FILE'!B663:B5664=$C$4)*('TREASURY FILE'!D663:D5664="TURNOVER")*('TREASURY FILE'!A663:A5664=A764)*('TREASURY FILE'!F663:F5664))</f>
        <v>0</v>
      </c>
      <c r="D764" s="24" cm="1">
        <f t="array" ref="D764">SUMPRODUCT(('TREASURY FILE'!B663:B5664=$D$4)*('TREASURY FILE'!D663:D5664="TURNOVER")*('TREASURY FILE'!A663:A5664=A764)*('TREASURY FILE'!F663:F5664))</f>
        <v>0</v>
      </c>
      <c r="E764" s="31">
        <f t="shared" si="35"/>
        <v>0</v>
      </c>
      <c r="G764" s="24" cm="1">
        <f t="array" ref="G764">SUMPRODUCT(('TREASURY FILE'!B663:B5664=$G$4)*('TREASURY FILE'!D663:D5664="INCOME")*('TREASURY FILE'!A663:A5664=A764)*('TREASURY FILE'!F663:F5664))</f>
        <v>0</v>
      </c>
      <c r="H764" s="24" cm="1">
        <f t="array" ref="H764">SUMPRODUCT(('TREASURY FILE'!B663:B5664=$H$4)*('TREASURY FILE'!D663:D5664="INCOME")*('TREASURY FILE'!A663:A5664=A764)*('TREASURY FILE'!F663:F5664))</f>
        <v>0</v>
      </c>
      <c r="I764" s="24" cm="1">
        <f t="array" ref="I764">SUMPRODUCT(('TREASURY FILE'!D672:D5664=$I$4)*('TREASURY FILE'!F672:F5664="INCOME")*('TREASURY FILE'!C672:C5664=C764)*('TREASURY FILE'!H672:H5664))</f>
        <v>0</v>
      </c>
      <c r="J764" s="31">
        <f t="shared" si="36"/>
        <v>0</v>
      </c>
      <c r="K764" s="33" t="e">
        <f t="shared" si="37"/>
        <v>#DIV/0!</v>
      </c>
    </row>
    <row r="765" spans="1:11" x14ac:dyDescent="0.3">
      <c r="A765" s="30">
        <v>46418</v>
      </c>
      <c r="B765" s="24" cm="1">
        <f t="array" ref="B765">SUMPRODUCT(('TREASURY FILE'!B664:B5665=$B$4)*('TREASURY FILE'!D664:D5665="TURNOVER")*('TREASURY FILE'!A664:A5665=A765)*('TREASURY FILE'!F664:F5665))</f>
        <v>0</v>
      </c>
      <c r="C765" s="24" cm="1">
        <f t="array" ref="C765">SUMPRODUCT(('TREASURY FILE'!B664:B5665=$C$4)*('TREASURY FILE'!D664:D5665="TURNOVER")*('TREASURY FILE'!A664:A5665=A765)*('TREASURY FILE'!F664:F5665))</f>
        <v>0</v>
      </c>
      <c r="D765" s="24" cm="1">
        <f t="array" ref="D765">SUMPRODUCT(('TREASURY FILE'!B664:B5665=$D$4)*('TREASURY FILE'!D664:D5665="TURNOVER")*('TREASURY FILE'!A664:A5665=A765)*('TREASURY FILE'!F664:F5665))</f>
        <v>0</v>
      </c>
      <c r="E765" s="31">
        <f t="shared" si="35"/>
        <v>0</v>
      </c>
      <c r="G765" s="24" cm="1">
        <f t="array" ref="G765">SUMPRODUCT(('TREASURY FILE'!B664:B5665=$G$4)*('TREASURY FILE'!D664:D5665="INCOME")*('TREASURY FILE'!A664:A5665=A765)*('TREASURY FILE'!F664:F5665))</f>
        <v>0</v>
      </c>
      <c r="H765" s="24" cm="1">
        <f t="array" ref="H765">SUMPRODUCT(('TREASURY FILE'!B664:B5665=$H$4)*('TREASURY FILE'!D664:D5665="INCOME")*('TREASURY FILE'!A664:A5665=A765)*('TREASURY FILE'!F664:F5665))</f>
        <v>0</v>
      </c>
      <c r="I765" s="24" cm="1">
        <f t="array" ref="I765">SUMPRODUCT(('TREASURY FILE'!D673:D5665=$I$4)*('TREASURY FILE'!F673:F5665="INCOME")*('TREASURY FILE'!C673:C5665=C765)*('TREASURY FILE'!H673:H5665))</f>
        <v>0</v>
      </c>
      <c r="J765" s="31">
        <f t="shared" si="36"/>
        <v>0</v>
      </c>
      <c r="K765" s="33" t="e">
        <f t="shared" si="37"/>
        <v>#DIV/0!</v>
      </c>
    </row>
    <row r="766" spans="1:11" x14ac:dyDescent="0.3">
      <c r="A766" s="30">
        <v>46419</v>
      </c>
      <c r="B766" s="24" cm="1">
        <f t="array" ref="B766">SUMPRODUCT(('TREASURY FILE'!B665:B5666=$B$4)*('TREASURY FILE'!D665:D5666="TURNOVER")*('TREASURY FILE'!A665:A5666=A766)*('TREASURY FILE'!F665:F5666))</f>
        <v>0</v>
      </c>
      <c r="C766" s="24" cm="1">
        <f t="array" ref="C766">SUMPRODUCT(('TREASURY FILE'!B665:B5666=$C$4)*('TREASURY FILE'!D665:D5666="TURNOVER")*('TREASURY FILE'!A665:A5666=A766)*('TREASURY FILE'!F665:F5666))</f>
        <v>0</v>
      </c>
      <c r="D766" s="24" cm="1">
        <f t="array" ref="D766">SUMPRODUCT(('TREASURY FILE'!B665:B5666=$D$4)*('TREASURY FILE'!D665:D5666="TURNOVER")*('TREASURY FILE'!A665:A5666=A766)*('TREASURY FILE'!F665:F5666))</f>
        <v>0</v>
      </c>
      <c r="E766" s="31">
        <f t="shared" si="35"/>
        <v>0</v>
      </c>
      <c r="G766" s="24" cm="1">
        <f t="array" ref="G766">SUMPRODUCT(('TREASURY FILE'!B665:B5666=$G$4)*('TREASURY FILE'!D665:D5666="INCOME")*('TREASURY FILE'!A665:A5666=A766)*('TREASURY FILE'!F665:F5666))</f>
        <v>0</v>
      </c>
      <c r="H766" s="24" cm="1">
        <f t="array" ref="H766">SUMPRODUCT(('TREASURY FILE'!B665:B5666=$H$4)*('TREASURY FILE'!D665:D5666="INCOME")*('TREASURY FILE'!A665:A5666=A766)*('TREASURY FILE'!F665:F5666))</f>
        <v>0</v>
      </c>
      <c r="I766" s="24" cm="1">
        <f t="array" ref="I766">SUMPRODUCT(('TREASURY FILE'!D674:D5666=$I$4)*('TREASURY FILE'!F674:F5666="INCOME")*('TREASURY FILE'!C674:C5666=C766)*('TREASURY FILE'!H674:H5666))</f>
        <v>0</v>
      </c>
      <c r="J766" s="31">
        <f t="shared" si="36"/>
        <v>0</v>
      </c>
      <c r="K766" s="33" t="e">
        <f t="shared" si="37"/>
        <v>#DIV/0!</v>
      </c>
    </row>
    <row r="767" spans="1:11" x14ac:dyDescent="0.3">
      <c r="A767" s="30">
        <v>46420</v>
      </c>
      <c r="B767" s="24" cm="1">
        <f t="array" ref="B767">SUMPRODUCT(('TREASURY FILE'!B666:B5667=$B$4)*('TREASURY FILE'!D666:D5667="TURNOVER")*('TREASURY FILE'!A666:A5667=A767)*('TREASURY FILE'!F666:F5667))</f>
        <v>0</v>
      </c>
      <c r="C767" s="24" cm="1">
        <f t="array" ref="C767">SUMPRODUCT(('TREASURY FILE'!B666:B5667=$C$4)*('TREASURY FILE'!D666:D5667="TURNOVER")*('TREASURY FILE'!A666:A5667=A767)*('TREASURY FILE'!F666:F5667))</f>
        <v>0</v>
      </c>
      <c r="D767" s="24" cm="1">
        <f t="array" ref="D767">SUMPRODUCT(('TREASURY FILE'!B666:B5667=$D$4)*('TREASURY FILE'!D666:D5667="TURNOVER")*('TREASURY FILE'!A666:A5667=A767)*('TREASURY FILE'!F666:F5667))</f>
        <v>0</v>
      </c>
      <c r="E767" s="31">
        <f t="shared" si="35"/>
        <v>0</v>
      </c>
      <c r="G767" s="24" cm="1">
        <f t="array" ref="G767">SUMPRODUCT(('TREASURY FILE'!B666:B5667=$G$4)*('TREASURY FILE'!D666:D5667="INCOME")*('TREASURY FILE'!A666:A5667=A767)*('TREASURY FILE'!F666:F5667))</f>
        <v>0</v>
      </c>
      <c r="H767" s="24" cm="1">
        <f t="array" ref="H767">SUMPRODUCT(('TREASURY FILE'!B666:B5667=$H$4)*('TREASURY FILE'!D666:D5667="INCOME")*('TREASURY FILE'!A666:A5667=A767)*('TREASURY FILE'!F666:F5667))</f>
        <v>0</v>
      </c>
      <c r="I767" s="24" cm="1">
        <f t="array" ref="I767">SUMPRODUCT(('TREASURY FILE'!D675:D5667=$I$4)*('TREASURY FILE'!F675:F5667="INCOME")*('TREASURY FILE'!C675:C5667=C767)*('TREASURY FILE'!H675:H5667))</f>
        <v>0</v>
      </c>
      <c r="J767" s="31">
        <f t="shared" si="36"/>
        <v>0</v>
      </c>
      <c r="K767" s="33" t="e">
        <f t="shared" si="37"/>
        <v>#DIV/0!</v>
      </c>
    </row>
    <row r="768" spans="1:11" x14ac:dyDescent="0.3">
      <c r="A768" s="30">
        <v>46421</v>
      </c>
      <c r="B768" s="24" cm="1">
        <f t="array" ref="B768">SUMPRODUCT(('TREASURY FILE'!B667:B5668=$B$4)*('TREASURY FILE'!D667:D5668="TURNOVER")*('TREASURY FILE'!A667:A5668=A768)*('TREASURY FILE'!F667:F5668))</f>
        <v>0</v>
      </c>
      <c r="C768" s="24" cm="1">
        <f t="array" ref="C768">SUMPRODUCT(('TREASURY FILE'!B667:B5668=$C$4)*('TREASURY FILE'!D667:D5668="TURNOVER")*('TREASURY FILE'!A667:A5668=A768)*('TREASURY FILE'!F667:F5668))</f>
        <v>0</v>
      </c>
      <c r="D768" s="24" cm="1">
        <f t="array" ref="D768">SUMPRODUCT(('TREASURY FILE'!B667:B5668=$D$4)*('TREASURY FILE'!D667:D5668="TURNOVER")*('TREASURY FILE'!A667:A5668=A768)*('TREASURY FILE'!F667:F5668))</f>
        <v>0</v>
      </c>
      <c r="E768" s="31">
        <f t="shared" si="35"/>
        <v>0</v>
      </c>
      <c r="G768" s="24" cm="1">
        <f t="array" ref="G768">SUMPRODUCT(('TREASURY FILE'!B667:B5668=$G$4)*('TREASURY FILE'!D667:D5668="INCOME")*('TREASURY FILE'!A667:A5668=A768)*('TREASURY FILE'!F667:F5668))</f>
        <v>0</v>
      </c>
      <c r="H768" s="24" cm="1">
        <f t="array" ref="H768">SUMPRODUCT(('TREASURY FILE'!B667:B5668=$H$4)*('TREASURY FILE'!D667:D5668="INCOME")*('TREASURY FILE'!A667:A5668=A768)*('TREASURY FILE'!F667:F5668))</f>
        <v>0</v>
      </c>
      <c r="I768" s="24" cm="1">
        <f t="array" ref="I768">SUMPRODUCT(('TREASURY FILE'!D676:D5668=$I$4)*('TREASURY FILE'!F676:F5668="INCOME")*('TREASURY FILE'!C676:C5668=C768)*('TREASURY FILE'!H676:H5668))</f>
        <v>0</v>
      </c>
      <c r="J768" s="31">
        <f t="shared" si="36"/>
        <v>0</v>
      </c>
      <c r="K768" s="33" t="e">
        <f t="shared" si="37"/>
        <v>#DIV/0!</v>
      </c>
    </row>
    <row r="769" spans="1:11" x14ac:dyDescent="0.3">
      <c r="A769" s="30">
        <v>46422</v>
      </c>
      <c r="B769" s="24" cm="1">
        <f t="array" ref="B769">SUMPRODUCT(('TREASURY FILE'!B668:B5669=$B$4)*('TREASURY FILE'!D668:D5669="TURNOVER")*('TREASURY FILE'!A668:A5669=A769)*('TREASURY FILE'!F668:F5669))</f>
        <v>0</v>
      </c>
      <c r="C769" s="24" cm="1">
        <f t="array" ref="C769">SUMPRODUCT(('TREASURY FILE'!B668:B5669=$C$4)*('TREASURY FILE'!D668:D5669="TURNOVER")*('TREASURY FILE'!A668:A5669=A769)*('TREASURY FILE'!F668:F5669))</f>
        <v>0</v>
      </c>
      <c r="D769" s="24" cm="1">
        <f t="array" ref="D769">SUMPRODUCT(('TREASURY FILE'!B668:B5669=$D$4)*('TREASURY FILE'!D668:D5669="TURNOVER")*('TREASURY FILE'!A668:A5669=A769)*('TREASURY FILE'!F668:F5669))</f>
        <v>0</v>
      </c>
      <c r="E769" s="31">
        <f t="shared" si="35"/>
        <v>0</v>
      </c>
      <c r="G769" s="24" cm="1">
        <f t="array" ref="G769">SUMPRODUCT(('TREASURY FILE'!B668:B5669=$G$4)*('TREASURY FILE'!D668:D5669="INCOME")*('TREASURY FILE'!A668:A5669=A769)*('TREASURY FILE'!F668:F5669))</f>
        <v>0</v>
      </c>
      <c r="H769" s="24" cm="1">
        <f t="array" ref="H769">SUMPRODUCT(('TREASURY FILE'!B668:B5669=$H$4)*('TREASURY FILE'!D668:D5669="INCOME")*('TREASURY FILE'!A668:A5669=A769)*('TREASURY FILE'!F668:F5669))</f>
        <v>0</v>
      </c>
      <c r="I769" s="24" cm="1">
        <f t="array" ref="I769">SUMPRODUCT(('TREASURY FILE'!D677:D5669=$I$4)*('TREASURY FILE'!F677:F5669="INCOME")*('TREASURY FILE'!C677:C5669=C769)*('TREASURY FILE'!H677:H5669))</f>
        <v>0</v>
      </c>
      <c r="J769" s="31">
        <f t="shared" si="36"/>
        <v>0</v>
      </c>
      <c r="K769" s="33" t="e">
        <f t="shared" si="37"/>
        <v>#DIV/0!</v>
      </c>
    </row>
    <row r="770" spans="1:11" x14ac:dyDescent="0.3">
      <c r="A770" s="30">
        <v>46423</v>
      </c>
      <c r="B770" s="24" cm="1">
        <f t="array" ref="B770">SUMPRODUCT(('TREASURY FILE'!B669:B5670=$B$4)*('TREASURY FILE'!D669:D5670="TURNOVER")*('TREASURY FILE'!A669:A5670=A770)*('TREASURY FILE'!F669:F5670))</f>
        <v>0</v>
      </c>
      <c r="C770" s="24" cm="1">
        <f t="array" ref="C770">SUMPRODUCT(('TREASURY FILE'!B669:B5670=$C$4)*('TREASURY FILE'!D669:D5670="TURNOVER")*('TREASURY FILE'!A669:A5670=A770)*('TREASURY FILE'!F669:F5670))</f>
        <v>0</v>
      </c>
      <c r="D770" s="24" cm="1">
        <f t="array" ref="D770">SUMPRODUCT(('TREASURY FILE'!B669:B5670=$D$4)*('TREASURY FILE'!D669:D5670="TURNOVER")*('TREASURY FILE'!A669:A5670=A770)*('TREASURY FILE'!F669:F5670))</f>
        <v>0</v>
      </c>
      <c r="E770" s="31">
        <f t="shared" si="35"/>
        <v>0</v>
      </c>
      <c r="G770" s="24" cm="1">
        <f t="array" ref="G770">SUMPRODUCT(('TREASURY FILE'!B669:B5670=$G$4)*('TREASURY FILE'!D669:D5670="INCOME")*('TREASURY FILE'!A669:A5670=A770)*('TREASURY FILE'!F669:F5670))</f>
        <v>0</v>
      </c>
      <c r="H770" s="24" cm="1">
        <f t="array" ref="H770">SUMPRODUCT(('TREASURY FILE'!B669:B5670=$H$4)*('TREASURY FILE'!D669:D5670="INCOME")*('TREASURY FILE'!A669:A5670=A770)*('TREASURY FILE'!F669:F5670))</f>
        <v>0</v>
      </c>
      <c r="I770" s="24" cm="1">
        <f t="array" ref="I770">SUMPRODUCT(('TREASURY FILE'!D678:D5670=$I$4)*('TREASURY FILE'!F678:F5670="INCOME")*('TREASURY FILE'!C678:C5670=C770)*('TREASURY FILE'!H678:H5670))</f>
        <v>0</v>
      </c>
      <c r="J770" s="31">
        <f t="shared" si="36"/>
        <v>0</v>
      </c>
      <c r="K770" s="33" t="e">
        <f t="shared" si="37"/>
        <v>#DIV/0!</v>
      </c>
    </row>
    <row r="771" spans="1:11" x14ac:dyDescent="0.3">
      <c r="A771" s="30">
        <v>46424</v>
      </c>
      <c r="B771" s="24" cm="1">
        <f t="array" ref="B771">SUMPRODUCT(('TREASURY FILE'!B670:B5671=$B$4)*('TREASURY FILE'!D670:D5671="TURNOVER")*('TREASURY FILE'!A670:A5671=A771)*('TREASURY FILE'!F670:F5671))</f>
        <v>0</v>
      </c>
      <c r="C771" s="24" cm="1">
        <f t="array" ref="C771">SUMPRODUCT(('TREASURY FILE'!B670:B5671=$C$4)*('TREASURY FILE'!D670:D5671="TURNOVER")*('TREASURY FILE'!A670:A5671=A771)*('TREASURY FILE'!F670:F5671))</f>
        <v>0</v>
      </c>
      <c r="D771" s="24" cm="1">
        <f t="array" ref="D771">SUMPRODUCT(('TREASURY FILE'!B670:B5671=$D$4)*('TREASURY FILE'!D670:D5671="TURNOVER")*('TREASURY FILE'!A670:A5671=A771)*('TREASURY FILE'!F670:F5671))</f>
        <v>0</v>
      </c>
      <c r="E771" s="31">
        <f t="shared" si="35"/>
        <v>0</v>
      </c>
      <c r="G771" s="24" cm="1">
        <f t="array" ref="G771">SUMPRODUCT(('TREASURY FILE'!B670:B5671=$G$4)*('TREASURY FILE'!D670:D5671="INCOME")*('TREASURY FILE'!A670:A5671=A771)*('TREASURY FILE'!F670:F5671))</f>
        <v>0</v>
      </c>
      <c r="H771" s="24" cm="1">
        <f t="array" ref="H771">SUMPRODUCT(('TREASURY FILE'!B670:B5671=$H$4)*('TREASURY FILE'!D670:D5671="INCOME")*('TREASURY FILE'!A670:A5671=A771)*('TREASURY FILE'!F670:F5671))</f>
        <v>0</v>
      </c>
      <c r="I771" s="24" cm="1">
        <f t="array" ref="I771">SUMPRODUCT(('TREASURY FILE'!D679:D5671=$I$4)*('TREASURY FILE'!F679:F5671="INCOME")*('TREASURY FILE'!C679:C5671=C771)*('TREASURY FILE'!H679:H5671))</f>
        <v>0</v>
      </c>
      <c r="J771" s="31">
        <f t="shared" si="36"/>
        <v>0</v>
      </c>
      <c r="K771" s="33" t="e">
        <f t="shared" si="37"/>
        <v>#DIV/0!</v>
      </c>
    </row>
    <row r="772" spans="1:11" x14ac:dyDescent="0.3">
      <c r="A772" s="30">
        <v>46425</v>
      </c>
      <c r="B772" s="24" cm="1">
        <f t="array" ref="B772">SUMPRODUCT(('TREASURY FILE'!B671:B5672=$B$4)*('TREASURY FILE'!D671:D5672="TURNOVER")*('TREASURY FILE'!A671:A5672=A772)*('TREASURY FILE'!F671:F5672))</f>
        <v>0</v>
      </c>
      <c r="C772" s="24" cm="1">
        <f t="array" ref="C772">SUMPRODUCT(('TREASURY FILE'!B671:B5672=$C$4)*('TREASURY FILE'!D671:D5672="TURNOVER")*('TREASURY FILE'!A671:A5672=A772)*('TREASURY FILE'!F671:F5672))</f>
        <v>0</v>
      </c>
      <c r="D772" s="24" cm="1">
        <f t="array" ref="D772">SUMPRODUCT(('TREASURY FILE'!B671:B5672=$D$4)*('TREASURY FILE'!D671:D5672="TURNOVER")*('TREASURY FILE'!A671:A5672=A772)*('TREASURY FILE'!F671:F5672))</f>
        <v>0</v>
      </c>
      <c r="E772" s="31">
        <f t="shared" si="35"/>
        <v>0</v>
      </c>
      <c r="G772" s="24" cm="1">
        <f t="array" ref="G772">SUMPRODUCT(('TREASURY FILE'!B671:B5672=$G$4)*('TREASURY FILE'!D671:D5672="INCOME")*('TREASURY FILE'!A671:A5672=A772)*('TREASURY FILE'!F671:F5672))</f>
        <v>0</v>
      </c>
      <c r="H772" s="24" cm="1">
        <f t="array" ref="H772">SUMPRODUCT(('TREASURY FILE'!B671:B5672=$H$4)*('TREASURY FILE'!D671:D5672="INCOME")*('TREASURY FILE'!A671:A5672=A772)*('TREASURY FILE'!F671:F5672))</f>
        <v>0</v>
      </c>
      <c r="I772" s="24" cm="1">
        <f t="array" ref="I772">SUMPRODUCT(('TREASURY FILE'!D680:D5672=$I$4)*('TREASURY FILE'!F680:F5672="INCOME")*('TREASURY FILE'!C680:C5672=C772)*('TREASURY FILE'!H680:H5672))</f>
        <v>0</v>
      </c>
      <c r="J772" s="31">
        <f t="shared" si="36"/>
        <v>0</v>
      </c>
      <c r="K772" s="33" t="e">
        <f t="shared" si="37"/>
        <v>#DIV/0!</v>
      </c>
    </row>
    <row r="773" spans="1:11" x14ac:dyDescent="0.3">
      <c r="A773" s="30">
        <v>46426</v>
      </c>
      <c r="B773" s="24" cm="1">
        <f t="array" ref="B773">SUMPRODUCT(('TREASURY FILE'!B672:B5673=$B$4)*('TREASURY FILE'!D672:D5673="TURNOVER")*('TREASURY FILE'!A672:A5673=A773)*('TREASURY FILE'!F672:F5673))</f>
        <v>0</v>
      </c>
      <c r="C773" s="24" cm="1">
        <f t="array" ref="C773">SUMPRODUCT(('TREASURY FILE'!B672:B5673=$C$4)*('TREASURY FILE'!D672:D5673="TURNOVER")*('TREASURY FILE'!A672:A5673=A773)*('TREASURY FILE'!F672:F5673))</f>
        <v>0</v>
      </c>
      <c r="D773" s="24" cm="1">
        <f t="array" ref="D773">SUMPRODUCT(('TREASURY FILE'!B672:B5673=$D$4)*('TREASURY FILE'!D672:D5673="TURNOVER")*('TREASURY FILE'!A672:A5673=A773)*('TREASURY FILE'!F672:F5673))</f>
        <v>0</v>
      </c>
      <c r="E773" s="31">
        <f t="shared" si="35"/>
        <v>0</v>
      </c>
      <c r="G773" s="24" cm="1">
        <f t="array" ref="G773">SUMPRODUCT(('TREASURY FILE'!B672:B5673=$G$4)*('TREASURY FILE'!D672:D5673="INCOME")*('TREASURY FILE'!A672:A5673=A773)*('TREASURY FILE'!F672:F5673))</f>
        <v>0</v>
      </c>
      <c r="H773" s="24" cm="1">
        <f t="array" ref="H773">SUMPRODUCT(('TREASURY FILE'!B672:B5673=$H$4)*('TREASURY FILE'!D672:D5673="INCOME")*('TREASURY FILE'!A672:A5673=A773)*('TREASURY FILE'!F672:F5673))</f>
        <v>0</v>
      </c>
      <c r="I773" s="24" cm="1">
        <f t="array" ref="I773">SUMPRODUCT(('TREASURY FILE'!D681:D5673=$I$4)*('TREASURY FILE'!F681:F5673="INCOME")*('TREASURY FILE'!C681:C5673=C773)*('TREASURY FILE'!H681:H5673))</f>
        <v>0</v>
      </c>
      <c r="J773" s="31">
        <f t="shared" si="36"/>
        <v>0</v>
      </c>
      <c r="K773" s="33" t="e">
        <f t="shared" si="37"/>
        <v>#DIV/0!</v>
      </c>
    </row>
    <row r="774" spans="1:11" x14ac:dyDescent="0.3">
      <c r="A774" s="30">
        <v>46427</v>
      </c>
      <c r="B774" s="24" cm="1">
        <f t="array" ref="B774">SUMPRODUCT(('TREASURY FILE'!B673:B5674=$B$4)*('TREASURY FILE'!D673:D5674="TURNOVER")*('TREASURY FILE'!A673:A5674=A774)*('TREASURY FILE'!F673:F5674))</f>
        <v>0</v>
      </c>
      <c r="C774" s="24" cm="1">
        <f t="array" ref="C774">SUMPRODUCT(('TREASURY FILE'!B673:B5674=$C$4)*('TREASURY FILE'!D673:D5674="TURNOVER")*('TREASURY FILE'!A673:A5674=A774)*('TREASURY FILE'!F673:F5674))</f>
        <v>0</v>
      </c>
      <c r="D774" s="24" cm="1">
        <f t="array" ref="D774">SUMPRODUCT(('TREASURY FILE'!B673:B5674=$D$4)*('TREASURY FILE'!D673:D5674="TURNOVER")*('TREASURY FILE'!A673:A5674=A774)*('TREASURY FILE'!F673:F5674))</f>
        <v>0</v>
      </c>
      <c r="E774" s="31">
        <f t="shared" ref="E774:E837" si="38">SUM(B774:D774)</f>
        <v>0</v>
      </c>
      <c r="G774" s="24" cm="1">
        <f t="array" ref="G774">SUMPRODUCT(('TREASURY FILE'!B673:B5674=$G$4)*('TREASURY FILE'!D673:D5674="INCOME")*('TREASURY FILE'!A673:A5674=A774)*('TREASURY FILE'!F673:F5674))</f>
        <v>0</v>
      </c>
      <c r="H774" s="24" cm="1">
        <f t="array" ref="H774">SUMPRODUCT(('TREASURY FILE'!B673:B5674=$H$4)*('TREASURY FILE'!D673:D5674="INCOME")*('TREASURY FILE'!A673:A5674=A774)*('TREASURY FILE'!F673:F5674))</f>
        <v>0</v>
      </c>
      <c r="I774" s="24" cm="1">
        <f t="array" ref="I774">SUMPRODUCT(('TREASURY FILE'!D682:D5674=$I$4)*('TREASURY FILE'!F682:F5674="INCOME")*('TREASURY FILE'!C682:C5674=C774)*('TREASURY FILE'!H682:H5674))</f>
        <v>0</v>
      </c>
      <c r="J774" s="31">
        <f t="shared" ref="J774:J837" si="39">SUM(G774:I774)</f>
        <v>0</v>
      </c>
      <c r="K774" s="33" t="e">
        <f t="shared" ref="K774:K837" si="40">+J774/E774</f>
        <v>#DIV/0!</v>
      </c>
    </row>
    <row r="775" spans="1:11" x14ac:dyDescent="0.3">
      <c r="A775" s="30">
        <v>46428</v>
      </c>
      <c r="B775" s="24" cm="1">
        <f t="array" ref="B775">SUMPRODUCT(('TREASURY FILE'!B674:B5675=$B$4)*('TREASURY FILE'!D674:D5675="TURNOVER")*('TREASURY FILE'!A674:A5675=A775)*('TREASURY FILE'!F674:F5675))</f>
        <v>0</v>
      </c>
      <c r="C775" s="24" cm="1">
        <f t="array" ref="C775">SUMPRODUCT(('TREASURY FILE'!B674:B5675=$C$4)*('TREASURY FILE'!D674:D5675="TURNOVER")*('TREASURY FILE'!A674:A5675=A775)*('TREASURY FILE'!F674:F5675))</f>
        <v>0</v>
      </c>
      <c r="D775" s="24" cm="1">
        <f t="array" ref="D775">SUMPRODUCT(('TREASURY FILE'!B674:B5675=$D$4)*('TREASURY FILE'!D674:D5675="TURNOVER")*('TREASURY FILE'!A674:A5675=A775)*('TREASURY FILE'!F674:F5675))</f>
        <v>0</v>
      </c>
      <c r="E775" s="31">
        <f t="shared" si="38"/>
        <v>0</v>
      </c>
      <c r="G775" s="24" cm="1">
        <f t="array" ref="G775">SUMPRODUCT(('TREASURY FILE'!B674:B5675=$G$4)*('TREASURY FILE'!D674:D5675="INCOME")*('TREASURY FILE'!A674:A5675=A775)*('TREASURY FILE'!F674:F5675))</f>
        <v>0</v>
      </c>
      <c r="H775" s="24" cm="1">
        <f t="array" ref="H775">SUMPRODUCT(('TREASURY FILE'!B674:B5675=$H$4)*('TREASURY FILE'!D674:D5675="INCOME")*('TREASURY FILE'!A674:A5675=A775)*('TREASURY FILE'!F674:F5675))</f>
        <v>0</v>
      </c>
      <c r="I775" s="24" cm="1">
        <f t="array" ref="I775">SUMPRODUCT(('TREASURY FILE'!D683:D5675=$I$4)*('TREASURY FILE'!F683:F5675="INCOME")*('TREASURY FILE'!C683:C5675=C775)*('TREASURY FILE'!H683:H5675))</f>
        <v>0</v>
      </c>
      <c r="J775" s="31">
        <f t="shared" si="39"/>
        <v>0</v>
      </c>
      <c r="K775" s="33" t="e">
        <f t="shared" si="40"/>
        <v>#DIV/0!</v>
      </c>
    </row>
    <row r="776" spans="1:11" x14ac:dyDescent="0.3">
      <c r="A776" s="30">
        <v>46429</v>
      </c>
      <c r="B776" s="24" cm="1">
        <f t="array" ref="B776">SUMPRODUCT(('TREASURY FILE'!B675:B5676=$B$4)*('TREASURY FILE'!D675:D5676="TURNOVER")*('TREASURY FILE'!A675:A5676=A776)*('TREASURY FILE'!F675:F5676))</f>
        <v>0</v>
      </c>
      <c r="C776" s="24" cm="1">
        <f t="array" ref="C776">SUMPRODUCT(('TREASURY FILE'!B675:B5676=$C$4)*('TREASURY FILE'!D675:D5676="TURNOVER")*('TREASURY FILE'!A675:A5676=A776)*('TREASURY FILE'!F675:F5676))</f>
        <v>0</v>
      </c>
      <c r="D776" s="24" cm="1">
        <f t="array" ref="D776">SUMPRODUCT(('TREASURY FILE'!B675:B5676=$D$4)*('TREASURY FILE'!D675:D5676="TURNOVER")*('TREASURY FILE'!A675:A5676=A776)*('TREASURY FILE'!F675:F5676))</f>
        <v>0</v>
      </c>
      <c r="E776" s="31">
        <f t="shared" si="38"/>
        <v>0</v>
      </c>
      <c r="G776" s="24" cm="1">
        <f t="array" ref="G776">SUMPRODUCT(('TREASURY FILE'!B675:B5676=$G$4)*('TREASURY FILE'!D675:D5676="INCOME")*('TREASURY FILE'!A675:A5676=A776)*('TREASURY FILE'!F675:F5676))</f>
        <v>0</v>
      </c>
      <c r="H776" s="24" cm="1">
        <f t="array" ref="H776">SUMPRODUCT(('TREASURY FILE'!B675:B5676=$H$4)*('TREASURY FILE'!D675:D5676="INCOME")*('TREASURY FILE'!A675:A5676=A776)*('TREASURY FILE'!F675:F5676))</f>
        <v>0</v>
      </c>
      <c r="I776" s="24" cm="1">
        <f t="array" ref="I776">SUMPRODUCT(('TREASURY FILE'!D684:D5676=$I$4)*('TREASURY FILE'!F684:F5676="INCOME")*('TREASURY FILE'!C684:C5676=C776)*('TREASURY FILE'!H684:H5676))</f>
        <v>0</v>
      </c>
      <c r="J776" s="31">
        <f t="shared" si="39"/>
        <v>0</v>
      </c>
      <c r="K776" s="33" t="e">
        <f t="shared" si="40"/>
        <v>#DIV/0!</v>
      </c>
    </row>
    <row r="777" spans="1:11" x14ac:dyDescent="0.3">
      <c r="A777" s="30">
        <v>46430</v>
      </c>
      <c r="B777" s="24" cm="1">
        <f t="array" ref="B777">SUMPRODUCT(('TREASURY FILE'!B676:B5677=$B$4)*('TREASURY FILE'!D676:D5677="TURNOVER")*('TREASURY FILE'!A676:A5677=A777)*('TREASURY FILE'!F676:F5677))</f>
        <v>0</v>
      </c>
      <c r="C777" s="24" cm="1">
        <f t="array" ref="C777">SUMPRODUCT(('TREASURY FILE'!B676:B5677=$C$4)*('TREASURY FILE'!D676:D5677="TURNOVER")*('TREASURY FILE'!A676:A5677=A777)*('TREASURY FILE'!F676:F5677))</f>
        <v>0</v>
      </c>
      <c r="D777" s="24" cm="1">
        <f t="array" ref="D777">SUMPRODUCT(('TREASURY FILE'!B676:B5677=$D$4)*('TREASURY FILE'!D676:D5677="TURNOVER")*('TREASURY FILE'!A676:A5677=A777)*('TREASURY FILE'!F676:F5677))</f>
        <v>0</v>
      </c>
      <c r="E777" s="31">
        <f t="shared" si="38"/>
        <v>0</v>
      </c>
      <c r="G777" s="24" cm="1">
        <f t="array" ref="G777">SUMPRODUCT(('TREASURY FILE'!B676:B5677=$G$4)*('TREASURY FILE'!D676:D5677="INCOME")*('TREASURY FILE'!A676:A5677=A777)*('TREASURY FILE'!F676:F5677))</f>
        <v>0</v>
      </c>
      <c r="H777" s="24" cm="1">
        <f t="array" ref="H777">SUMPRODUCT(('TREASURY FILE'!B676:B5677=$H$4)*('TREASURY FILE'!D676:D5677="INCOME")*('TREASURY FILE'!A676:A5677=A777)*('TREASURY FILE'!F676:F5677))</f>
        <v>0</v>
      </c>
      <c r="I777" s="24" cm="1">
        <f t="array" ref="I777">SUMPRODUCT(('TREASURY FILE'!D685:D5677=$I$4)*('TREASURY FILE'!F685:F5677="INCOME")*('TREASURY FILE'!C685:C5677=C777)*('TREASURY FILE'!H685:H5677))</f>
        <v>0</v>
      </c>
      <c r="J777" s="31">
        <f t="shared" si="39"/>
        <v>0</v>
      </c>
      <c r="K777" s="33" t="e">
        <f t="shared" si="40"/>
        <v>#DIV/0!</v>
      </c>
    </row>
    <row r="778" spans="1:11" x14ac:dyDescent="0.3">
      <c r="A778" s="30">
        <v>46431</v>
      </c>
      <c r="B778" s="24" cm="1">
        <f t="array" ref="B778">SUMPRODUCT(('TREASURY FILE'!B677:B5678=$B$4)*('TREASURY FILE'!D677:D5678="TURNOVER")*('TREASURY FILE'!A677:A5678=A778)*('TREASURY FILE'!F677:F5678))</f>
        <v>0</v>
      </c>
      <c r="C778" s="24" cm="1">
        <f t="array" ref="C778">SUMPRODUCT(('TREASURY FILE'!B677:B5678=$C$4)*('TREASURY FILE'!D677:D5678="TURNOVER")*('TREASURY FILE'!A677:A5678=A778)*('TREASURY FILE'!F677:F5678))</f>
        <v>0</v>
      </c>
      <c r="D778" s="24" cm="1">
        <f t="array" ref="D778">SUMPRODUCT(('TREASURY FILE'!B677:B5678=$D$4)*('TREASURY FILE'!D677:D5678="TURNOVER")*('TREASURY FILE'!A677:A5678=A778)*('TREASURY FILE'!F677:F5678))</f>
        <v>0</v>
      </c>
      <c r="E778" s="31">
        <f t="shared" si="38"/>
        <v>0</v>
      </c>
      <c r="G778" s="24" cm="1">
        <f t="array" ref="G778">SUMPRODUCT(('TREASURY FILE'!B677:B5678=$G$4)*('TREASURY FILE'!D677:D5678="INCOME")*('TREASURY FILE'!A677:A5678=A778)*('TREASURY FILE'!F677:F5678))</f>
        <v>0</v>
      </c>
      <c r="H778" s="24" cm="1">
        <f t="array" ref="H778">SUMPRODUCT(('TREASURY FILE'!B677:B5678=$H$4)*('TREASURY FILE'!D677:D5678="INCOME")*('TREASURY FILE'!A677:A5678=A778)*('TREASURY FILE'!F677:F5678))</f>
        <v>0</v>
      </c>
      <c r="I778" s="24" cm="1">
        <f t="array" ref="I778">SUMPRODUCT(('TREASURY FILE'!D686:D5678=$I$4)*('TREASURY FILE'!F686:F5678="INCOME")*('TREASURY FILE'!C686:C5678=C778)*('TREASURY FILE'!H686:H5678))</f>
        <v>0</v>
      </c>
      <c r="J778" s="31">
        <f t="shared" si="39"/>
        <v>0</v>
      </c>
      <c r="K778" s="33" t="e">
        <f t="shared" si="40"/>
        <v>#DIV/0!</v>
      </c>
    </row>
    <row r="779" spans="1:11" x14ac:dyDescent="0.3">
      <c r="A779" s="30">
        <v>46432</v>
      </c>
      <c r="B779" s="24" cm="1">
        <f t="array" ref="B779">SUMPRODUCT(('TREASURY FILE'!B678:B5679=$B$4)*('TREASURY FILE'!D678:D5679="TURNOVER")*('TREASURY FILE'!A678:A5679=A779)*('TREASURY FILE'!F678:F5679))</f>
        <v>0</v>
      </c>
      <c r="C779" s="24" cm="1">
        <f t="array" ref="C779">SUMPRODUCT(('TREASURY FILE'!B678:B5679=$C$4)*('TREASURY FILE'!D678:D5679="TURNOVER")*('TREASURY FILE'!A678:A5679=A779)*('TREASURY FILE'!F678:F5679))</f>
        <v>0</v>
      </c>
      <c r="D779" s="24" cm="1">
        <f t="array" ref="D779">SUMPRODUCT(('TREASURY FILE'!B678:B5679=$D$4)*('TREASURY FILE'!D678:D5679="TURNOVER")*('TREASURY FILE'!A678:A5679=A779)*('TREASURY FILE'!F678:F5679))</f>
        <v>0</v>
      </c>
      <c r="E779" s="31">
        <f t="shared" si="38"/>
        <v>0</v>
      </c>
      <c r="G779" s="24" cm="1">
        <f t="array" ref="G779">SUMPRODUCT(('TREASURY FILE'!B678:B5679=$G$4)*('TREASURY FILE'!D678:D5679="INCOME")*('TREASURY FILE'!A678:A5679=A779)*('TREASURY FILE'!F678:F5679))</f>
        <v>0</v>
      </c>
      <c r="H779" s="24" cm="1">
        <f t="array" ref="H779">SUMPRODUCT(('TREASURY FILE'!B678:B5679=$H$4)*('TREASURY FILE'!D678:D5679="INCOME")*('TREASURY FILE'!A678:A5679=A779)*('TREASURY FILE'!F678:F5679))</f>
        <v>0</v>
      </c>
      <c r="I779" s="24" cm="1">
        <f t="array" ref="I779">SUMPRODUCT(('TREASURY FILE'!D687:D5679=$I$4)*('TREASURY FILE'!F687:F5679="INCOME")*('TREASURY FILE'!C687:C5679=C779)*('TREASURY FILE'!H687:H5679))</f>
        <v>0</v>
      </c>
      <c r="J779" s="31">
        <f t="shared" si="39"/>
        <v>0</v>
      </c>
      <c r="K779" s="33" t="e">
        <f t="shared" si="40"/>
        <v>#DIV/0!</v>
      </c>
    </row>
    <row r="780" spans="1:11" x14ac:dyDescent="0.3">
      <c r="A780" s="30">
        <v>46433</v>
      </c>
      <c r="B780" s="24" cm="1">
        <f t="array" ref="B780">SUMPRODUCT(('TREASURY FILE'!B679:B5680=$B$4)*('TREASURY FILE'!D679:D5680="TURNOVER")*('TREASURY FILE'!A679:A5680=A780)*('TREASURY FILE'!F679:F5680))</f>
        <v>0</v>
      </c>
      <c r="C780" s="24" cm="1">
        <f t="array" ref="C780">SUMPRODUCT(('TREASURY FILE'!B679:B5680=$C$4)*('TREASURY FILE'!D679:D5680="TURNOVER")*('TREASURY FILE'!A679:A5680=A780)*('TREASURY FILE'!F679:F5680))</f>
        <v>0</v>
      </c>
      <c r="D780" s="24" cm="1">
        <f t="array" ref="D780">SUMPRODUCT(('TREASURY FILE'!B679:B5680=$D$4)*('TREASURY FILE'!D679:D5680="TURNOVER")*('TREASURY FILE'!A679:A5680=A780)*('TREASURY FILE'!F679:F5680))</f>
        <v>0</v>
      </c>
      <c r="E780" s="31">
        <f t="shared" si="38"/>
        <v>0</v>
      </c>
      <c r="G780" s="24" cm="1">
        <f t="array" ref="G780">SUMPRODUCT(('TREASURY FILE'!B679:B5680=$G$4)*('TREASURY FILE'!D679:D5680="INCOME")*('TREASURY FILE'!A679:A5680=A780)*('TREASURY FILE'!F679:F5680))</f>
        <v>0</v>
      </c>
      <c r="H780" s="24" cm="1">
        <f t="array" ref="H780">SUMPRODUCT(('TREASURY FILE'!B679:B5680=$H$4)*('TREASURY FILE'!D679:D5680="INCOME")*('TREASURY FILE'!A679:A5680=A780)*('TREASURY FILE'!F679:F5680))</f>
        <v>0</v>
      </c>
      <c r="I780" s="24" cm="1">
        <f t="array" ref="I780">SUMPRODUCT(('TREASURY FILE'!D688:D5680=$I$4)*('TREASURY FILE'!F688:F5680="INCOME")*('TREASURY FILE'!C688:C5680=C780)*('TREASURY FILE'!H688:H5680))</f>
        <v>0</v>
      </c>
      <c r="J780" s="31">
        <f t="shared" si="39"/>
        <v>0</v>
      </c>
      <c r="K780" s="33" t="e">
        <f t="shared" si="40"/>
        <v>#DIV/0!</v>
      </c>
    </row>
    <row r="781" spans="1:11" x14ac:dyDescent="0.3">
      <c r="A781" s="30">
        <v>46434</v>
      </c>
      <c r="B781" s="24" cm="1">
        <f t="array" ref="B781">SUMPRODUCT(('TREASURY FILE'!B680:B5681=$B$4)*('TREASURY FILE'!D680:D5681="TURNOVER")*('TREASURY FILE'!A680:A5681=A781)*('TREASURY FILE'!F680:F5681))</f>
        <v>0</v>
      </c>
      <c r="C781" s="24" cm="1">
        <f t="array" ref="C781">SUMPRODUCT(('TREASURY FILE'!B680:B5681=$C$4)*('TREASURY FILE'!D680:D5681="TURNOVER")*('TREASURY FILE'!A680:A5681=A781)*('TREASURY FILE'!F680:F5681))</f>
        <v>0</v>
      </c>
      <c r="D781" s="24" cm="1">
        <f t="array" ref="D781">SUMPRODUCT(('TREASURY FILE'!B680:B5681=$D$4)*('TREASURY FILE'!D680:D5681="TURNOVER")*('TREASURY FILE'!A680:A5681=A781)*('TREASURY FILE'!F680:F5681))</f>
        <v>0</v>
      </c>
      <c r="E781" s="31">
        <f t="shared" si="38"/>
        <v>0</v>
      </c>
      <c r="G781" s="24" cm="1">
        <f t="array" ref="G781">SUMPRODUCT(('TREASURY FILE'!B680:B5681=$G$4)*('TREASURY FILE'!D680:D5681="INCOME")*('TREASURY FILE'!A680:A5681=A781)*('TREASURY FILE'!F680:F5681))</f>
        <v>0</v>
      </c>
      <c r="H781" s="24" cm="1">
        <f t="array" ref="H781">SUMPRODUCT(('TREASURY FILE'!B680:B5681=$H$4)*('TREASURY FILE'!D680:D5681="INCOME")*('TREASURY FILE'!A680:A5681=A781)*('TREASURY FILE'!F680:F5681))</f>
        <v>0</v>
      </c>
      <c r="I781" s="24" cm="1">
        <f t="array" ref="I781">SUMPRODUCT(('TREASURY FILE'!D689:D5681=$I$4)*('TREASURY FILE'!F689:F5681="INCOME")*('TREASURY FILE'!C689:C5681=C781)*('TREASURY FILE'!H689:H5681))</f>
        <v>0</v>
      </c>
      <c r="J781" s="31">
        <f t="shared" si="39"/>
        <v>0</v>
      </c>
      <c r="K781" s="33" t="e">
        <f t="shared" si="40"/>
        <v>#DIV/0!</v>
      </c>
    </row>
    <row r="782" spans="1:11" x14ac:dyDescent="0.3">
      <c r="A782" s="30">
        <v>46435</v>
      </c>
      <c r="B782" s="24" cm="1">
        <f t="array" ref="B782">SUMPRODUCT(('TREASURY FILE'!B681:B5682=$B$4)*('TREASURY FILE'!D681:D5682="TURNOVER")*('TREASURY FILE'!A681:A5682=A782)*('TREASURY FILE'!F681:F5682))</f>
        <v>0</v>
      </c>
      <c r="C782" s="24" cm="1">
        <f t="array" ref="C782">SUMPRODUCT(('TREASURY FILE'!B681:B5682=$C$4)*('TREASURY FILE'!D681:D5682="TURNOVER")*('TREASURY FILE'!A681:A5682=A782)*('TREASURY FILE'!F681:F5682))</f>
        <v>0</v>
      </c>
      <c r="D782" s="24" cm="1">
        <f t="array" ref="D782">SUMPRODUCT(('TREASURY FILE'!B681:B5682=$D$4)*('TREASURY FILE'!D681:D5682="TURNOVER")*('TREASURY FILE'!A681:A5682=A782)*('TREASURY FILE'!F681:F5682))</f>
        <v>0</v>
      </c>
      <c r="E782" s="31">
        <f t="shared" si="38"/>
        <v>0</v>
      </c>
      <c r="G782" s="24" cm="1">
        <f t="array" ref="G782">SUMPRODUCT(('TREASURY FILE'!B681:B5682=$G$4)*('TREASURY FILE'!D681:D5682="INCOME")*('TREASURY FILE'!A681:A5682=A782)*('TREASURY FILE'!F681:F5682))</f>
        <v>0</v>
      </c>
      <c r="H782" s="24" cm="1">
        <f t="array" ref="H782">SUMPRODUCT(('TREASURY FILE'!B681:B5682=$H$4)*('TREASURY FILE'!D681:D5682="INCOME")*('TREASURY FILE'!A681:A5682=A782)*('TREASURY FILE'!F681:F5682))</f>
        <v>0</v>
      </c>
      <c r="I782" s="24" cm="1">
        <f t="array" ref="I782">SUMPRODUCT(('TREASURY FILE'!D690:D5682=$I$4)*('TREASURY FILE'!F690:F5682="INCOME")*('TREASURY FILE'!C690:C5682=C782)*('TREASURY FILE'!H690:H5682))</f>
        <v>0</v>
      </c>
      <c r="J782" s="31">
        <f t="shared" si="39"/>
        <v>0</v>
      </c>
      <c r="K782" s="33" t="e">
        <f t="shared" si="40"/>
        <v>#DIV/0!</v>
      </c>
    </row>
    <row r="783" spans="1:11" x14ac:dyDescent="0.3">
      <c r="A783" s="30">
        <v>46436</v>
      </c>
      <c r="B783" s="24" cm="1">
        <f t="array" ref="B783">SUMPRODUCT(('TREASURY FILE'!B682:B5683=$B$4)*('TREASURY FILE'!D682:D5683="TURNOVER")*('TREASURY FILE'!A682:A5683=A783)*('TREASURY FILE'!F682:F5683))</f>
        <v>0</v>
      </c>
      <c r="C783" s="24" cm="1">
        <f t="array" ref="C783">SUMPRODUCT(('TREASURY FILE'!B682:B5683=$C$4)*('TREASURY FILE'!D682:D5683="TURNOVER")*('TREASURY FILE'!A682:A5683=A783)*('TREASURY FILE'!F682:F5683))</f>
        <v>0</v>
      </c>
      <c r="D783" s="24" cm="1">
        <f t="array" ref="D783">SUMPRODUCT(('TREASURY FILE'!B682:B5683=$D$4)*('TREASURY FILE'!D682:D5683="TURNOVER")*('TREASURY FILE'!A682:A5683=A783)*('TREASURY FILE'!F682:F5683))</f>
        <v>0</v>
      </c>
      <c r="E783" s="31">
        <f t="shared" si="38"/>
        <v>0</v>
      </c>
      <c r="G783" s="24" cm="1">
        <f t="array" ref="G783">SUMPRODUCT(('TREASURY FILE'!B682:B5683=$G$4)*('TREASURY FILE'!D682:D5683="INCOME")*('TREASURY FILE'!A682:A5683=A783)*('TREASURY FILE'!F682:F5683))</f>
        <v>0</v>
      </c>
      <c r="H783" s="24" cm="1">
        <f t="array" ref="H783">SUMPRODUCT(('TREASURY FILE'!B682:B5683=$H$4)*('TREASURY FILE'!D682:D5683="INCOME")*('TREASURY FILE'!A682:A5683=A783)*('TREASURY FILE'!F682:F5683))</f>
        <v>0</v>
      </c>
      <c r="I783" s="24" cm="1">
        <f t="array" ref="I783">SUMPRODUCT(('TREASURY FILE'!D691:D5683=$I$4)*('TREASURY FILE'!F691:F5683="INCOME")*('TREASURY FILE'!C691:C5683=C783)*('TREASURY FILE'!H691:H5683))</f>
        <v>0</v>
      </c>
      <c r="J783" s="31">
        <f t="shared" si="39"/>
        <v>0</v>
      </c>
      <c r="K783" s="33" t="e">
        <f t="shared" si="40"/>
        <v>#DIV/0!</v>
      </c>
    </row>
    <row r="784" spans="1:11" x14ac:dyDescent="0.3">
      <c r="A784" s="30">
        <v>46437</v>
      </c>
      <c r="B784" s="24" cm="1">
        <f t="array" ref="B784">SUMPRODUCT(('TREASURY FILE'!B683:B5684=$B$4)*('TREASURY FILE'!D683:D5684="TURNOVER")*('TREASURY FILE'!A683:A5684=A784)*('TREASURY FILE'!F683:F5684))</f>
        <v>0</v>
      </c>
      <c r="C784" s="24" cm="1">
        <f t="array" ref="C784">SUMPRODUCT(('TREASURY FILE'!B683:B5684=$C$4)*('TREASURY FILE'!D683:D5684="TURNOVER")*('TREASURY FILE'!A683:A5684=A784)*('TREASURY FILE'!F683:F5684))</f>
        <v>0</v>
      </c>
      <c r="D784" s="24" cm="1">
        <f t="array" ref="D784">SUMPRODUCT(('TREASURY FILE'!B683:B5684=$D$4)*('TREASURY FILE'!D683:D5684="TURNOVER")*('TREASURY FILE'!A683:A5684=A784)*('TREASURY FILE'!F683:F5684))</f>
        <v>0</v>
      </c>
      <c r="E784" s="31">
        <f t="shared" si="38"/>
        <v>0</v>
      </c>
      <c r="G784" s="24" cm="1">
        <f t="array" ref="G784">SUMPRODUCT(('TREASURY FILE'!B683:B5684=$G$4)*('TREASURY FILE'!D683:D5684="INCOME")*('TREASURY FILE'!A683:A5684=A784)*('TREASURY FILE'!F683:F5684))</f>
        <v>0</v>
      </c>
      <c r="H784" s="24" cm="1">
        <f t="array" ref="H784">SUMPRODUCT(('TREASURY FILE'!B683:B5684=$H$4)*('TREASURY FILE'!D683:D5684="INCOME")*('TREASURY FILE'!A683:A5684=A784)*('TREASURY FILE'!F683:F5684))</f>
        <v>0</v>
      </c>
      <c r="I784" s="24" cm="1">
        <f t="array" ref="I784">SUMPRODUCT(('TREASURY FILE'!D692:D5684=$I$4)*('TREASURY FILE'!F692:F5684="INCOME")*('TREASURY FILE'!C692:C5684=C784)*('TREASURY FILE'!H692:H5684))</f>
        <v>0</v>
      </c>
      <c r="J784" s="31">
        <f t="shared" si="39"/>
        <v>0</v>
      </c>
      <c r="K784" s="33" t="e">
        <f t="shared" si="40"/>
        <v>#DIV/0!</v>
      </c>
    </row>
    <row r="785" spans="1:11" x14ac:dyDescent="0.3">
      <c r="A785" s="30">
        <v>46438</v>
      </c>
      <c r="B785" s="24" cm="1">
        <f t="array" ref="B785">SUMPRODUCT(('TREASURY FILE'!B684:B5685=$B$4)*('TREASURY FILE'!D684:D5685="TURNOVER")*('TREASURY FILE'!A684:A5685=A785)*('TREASURY FILE'!F684:F5685))</f>
        <v>0</v>
      </c>
      <c r="C785" s="24" cm="1">
        <f t="array" ref="C785">SUMPRODUCT(('TREASURY FILE'!B684:B5685=$C$4)*('TREASURY FILE'!D684:D5685="TURNOVER")*('TREASURY FILE'!A684:A5685=A785)*('TREASURY FILE'!F684:F5685))</f>
        <v>0</v>
      </c>
      <c r="D785" s="24" cm="1">
        <f t="array" ref="D785">SUMPRODUCT(('TREASURY FILE'!B684:B5685=$D$4)*('TREASURY FILE'!D684:D5685="TURNOVER")*('TREASURY FILE'!A684:A5685=A785)*('TREASURY FILE'!F684:F5685))</f>
        <v>0</v>
      </c>
      <c r="E785" s="31">
        <f t="shared" si="38"/>
        <v>0</v>
      </c>
      <c r="G785" s="24" cm="1">
        <f t="array" ref="G785">SUMPRODUCT(('TREASURY FILE'!B684:B5685=$G$4)*('TREASURY FILE'!D684:D5685="INCOME")*('TREASURY FILE'!A684:A5685=A785)*('TREASURY FILE'!F684:F5685))</f>
        <v>0</v>
      </c>
      <c r="H785" s="24" cm="1">
        <f t="array" ref="H785">SUMPRODUCT(('TREASURY FILE'!B684:B5685=$H$4)*('TREASURY FILE'!D684:D5685="INCOME")*('TREASURY FILE'!A684:A5685=A785)*('TREASURY FILE'!F684:F5685))</f>
        <v>0</v>
      </c>
      <c r="I785" s="24" cm="1">
        <f t="array" ref="I785">SUMPRODUCT(('TREASURY FILE'!D693:D5685=$I$4)*('TREASURY FILE'!F693:F5685="INCOME")*('TREASURY FILE'!C693:C5685=C785)*('TREASURY FILE'!H693:H5685))</f>
        <v>0</v>
      </c>
      <c r="J785" s="31">
        <f t="shared" si="39"/>
        <v>0</v>
      </c>
      <c r="K785" s="33" t="e">
        <f t="shared" si="40"/>
        <v>#DIV/0!</v>
      </c>
    </row>
    <row r="786" spans="1:11" x14ac:dyDescent="0.3">
      <c r="A786" s="30">
        <v>46439</v>
      </c>
      <c r="B786" s="24" cm="1">
        <f t="array" ref="B786">SUMPRODUCT(('TREASURY FILE'!B685:B5686=$B$4)*('TREASURY FILE'!D685:D5686="TURNOVER")*('TREASURY FILE'!A685:A5686=A786)*('TREASURY FILE'!F685:F5686))</f>
        <v>0</v>
      </c>
      <c r="C786" s="24" cm="1">
        <f t="array" ref="C786">SUMPRODUCT(('TREASURY FILE'!B685:B5686=$C$4)*('TREASURY FILE'!D685:D5686="TURNOVER")*('TREASURY FILE'!A685:A5686=A786)*('TREASURY FILE'!F685:F5686))</f>
        <v>0</v>
      </c>
      <c r="D786" s="24" cm="1">
        <f t="array" ref="D786">SUMPRODUCT(('TREASURY FILE'!B685:B5686=$D$4)*('TREASURY FILE'!D685:D5686="TURNOVER")*('TREASURY FILE'!A685:A5686=A786)*('TREASURY FILE'!F685:F5686))</f>
        <v>0</v>
      </c>
      <c r="E786" s="31">
        <f t="shared" si="38"/>
        <v>0</v>
      </c>
      <c r="G786" s="24" cm="1">
        <f t="array" ref="G786">SUMPRODUCT(('TREASURY FILE'!B685:B5686=$G$4)*('TREASURY FILE'!D685:D5686="INCOME")*('TREASURY FILE'!A685:A5686=A786)*('TREASURY FILE'!F685:F5686))</f>
        <v>0</v>
      </c>
      <c r="H786" s="24" cm="1">
        <f t="array" ref="H786">SUMPRODUCT(('TREASURY FILE'!B685:B5686=$H$4)*('TREASURY FILE'!D685:D5686="INCOME")*('TREASURY FILE'!A685:A5686=A786)*('TREASURY FILE'!F685:F5686))</f>
        <v>0</v>
      </c>
      <c r="I786" s="24" cm="1">
        <f t="array" ref="I786">SUMPRODUCT(('TREASURY FILE'!D694:D5686=$I$4)*('TREASURY FILE'!F694:F5686="INCOME")*('TREASURY FILE'!C694:C5686=C786)*('TREASURY FILE'!H694:H5686))</f>
        <v>0</v>
      </c>
      <c r="J786" s="31">
        <f t="shared" si="39"/>
        <v>0</v>
      </c>
      <c r="K786" s="33" t="e">
        <f t="shared" si="40"/>
        <v>#DIV/0!</v>
      </c>
    </row>
    <row r="787" spans="1:11" x14ac:dyDescent="0.3">
      <c r="A787" s="30">
        <v>46440</v>
      </c>
      <c r="B787" s="24" cm="1">
        <f t="array" ref="B787">SUMPRODUCT(('TREASURY FILE'!B686:B5687=$B$4)*('TREASURY FILE'!D686:D5687="TURNOVER")*('TREASURY FILE'!A686:A5687=A787)*('TREASURY FILE'!F686:F5687))</f>
        <v>0</v>
      </c>
      <c r="C787" s="24" cm="1">
        <f t="array" ref="C787">SUMPRODUCT(('TREASURY FILE'!B686:B5687=$C$4)*('TREASURY FILE'!D686:D5687="TURNOVER")*('TREASURY FILE'!A686:A5687=A787)*('TREASURY FILE'!F686:F5687))</f>
        <v>0</v>
      </c>
      <c r="D787" s="24" cm="1">
        <f t="array" ref="D787">SUMPRODUCT(('TREASURY FILE'!B686:B5687=$D$4)*('TREASURY FILE'!D686:D5687="TURNOVER")*('TREASURY FILE'!A686:A5687=A787)*('TREASURY FILE'!F686:F5687))</f>
        <v>0</v>
      </c>
      <c r="E787" s="31">
        <f t="shared" si="38"/>
        <v>0</v>
      </c>
      <c r="G787" s="24" cm="1">
        <f t="array" ref="G787">SUMPRODUCT(('TREASURY FILE'!B686:B5687=$G$4)*('TREASURY FILE'!D686:D5687="INCOME")*('TREASURY FILE'!A686:A5687=A787)*('TREASURY FILE'!F686:F5687))</f>
        <v>0</v>
      </c>
      <c r="H787" s="24" cm="1">
        <f t="array" ref="H787">SUMPRODUCT(('TREASURY FILE'!B686:B5687=$H$4)*('TREASURY FILE'!D686:D5687="INCOME")*('TREASURY FILE'!A686:A5687=A787)*('TREASURY FILE'!F686:F5687))</f>
        <v>0</v>
      </c>
      <c r="I787" s="24" cm="1">
        <f t="array" ref="I787">SUMPRODUCT(('TREASURY FILE'!D695:D5687=$I$4)*('TREASURY FILE'!F695:F5687="INCOME")*('TREASURY FILE'!C695:C5687=C787)*('TREASURY FILE'!H695:H5687))</f>
        <v>0</v>
      </c>
      <c r="J787" s="31">
        <f t="shared" si="39"/>
        <v>0</v>
      </c>
      <c r="K787" s="33" t="e">
        <f t="shared" si="40"/>
        <v>#DIV/0!</v>
      </c>
    </row>
    <row r="788" spans="1:11" x14ac:dyDescent="0.3">
      <c r="A788" s="30">
        <v>46441</v>
      </c>
      <c r="B788" s="24" cm="1">
        <f t="array" ref="B788">SUMPRODUCT(('TREASURY FILE'!B687:B5688=$B$4)*('TREASURY FILE'!D687:D5688="TURNOVER")*('TREASURY FILE'!A687:A5688=A788)*('TREASURY FILE'!F687:F5688))</f>
        <v>0</v>
      </c>
      <c r="C788" s="24" cm="1">
        <f t="array" ref="C788">SUMPRODUCT(('TREASURY FILE'!B687:B5688=$C$4)*('TREASURY FILE'!D687:D5688="TURNOVER")*('TREASURY FILE'!A687:A5688=A788)*('TREASURY FILE'!F687:F5688))</f>
        <v>0</v>
      </c>
      <c r="D788" s="24" cm="1">
        <f t="array" ref="D788">SUMPRODUCT(('TREASURY FILE'!B687:B5688=$D$4)*('TREASURY FILE'!D687:D5688="TURNOVER")*('TREASURY FILE'!A687:A5688=A788)*('TREASURY FILE'!F687:F5688))</f>
        <v>0</v>
      </c>
      <c r="E788" s="31">
        <f t="shared" si="38"/>
        <v>0</v>
      </c>
      <c r="G788" s="24" cm="1">
        <f t="array" ref="G788">SUMPRODUCT(('TREASURY FILE'!B687:B5688=$G$4)*('TREASURY FILE'!D687:D5688="INCOME")*('TREASURY FILE'!A687:A5688=A788)*('TREASURY FILE'!F687:F5688))</f>
        <v>0</v>
      </c>
      <c r="H788" s="24" cm="1">
        <f t="array" ref="H788">SUMPRODUCT(('TREASURY FILE'!B687:B5688=$H$4)*('TREASURY FILE'!D687:D5688="INCOME")*('TREASURY FILE'!A687:A5688=A788)*('TREASURY FILE'!F687:F5688))</f>
        <v>0</v>
      </c>
      <c r="I788" s="24" cm="1">
        <f t="array" ref="I788">SUMPRODUCT(('TREASURY FILE'!D696:D5688=$I$4)*('TREASURY FILE'!F696:F5688="INCOME")*('TREASURY FILE'!C696:C5688=C788)*('TREASURY FILE'!H696:H5688))</f>
        <v>0</v>
      </c>
      <c r="J788" s="31">
        <f t="shared" si="39"/>
        <v>0</v>
      </c>
      <c r="K788" s="33" t="e">
        <f t="shared" si="40"/>
        <v>#DIV/0!</v>
      </c>
    </row>
    <row r="789" spans="1:11" x14ac:dyDescent="0.3">
      <c r="A789" s="30">
        <v>46442</v>
      </c>
      <c r="B789" s="24" cm="1">
        <f t="array" ref="B789">SUMPRODUCT(('TREASURY FILE'!B688:B5689=$B$4)*('TREASURY FILE'!D688:D5689="TURNOVER")*('TREASURY FILE'!A688:A5689=A789)*('TREASURY FILE'!F688:F5689))</f>
        <v>0</v>
      </c>
      <c r="C789" s="24" cm="1">
        <f t="array" ref="C789">SUMPRODUCT(('TREASURY FILE'!B688:B5689=$C$4)*('TREASURY FILE'!D688:D5689="TURNOVER")*('TREASURY FILE'!A688:A5689=A789)*('TREASURY FILE'!F688:F5689))</f>
        <v>0</v>
      </c>
      <c r="D789" s="24" cm="1">
        <f t="array" ref="D789">SUMPRODUCT(('TREASURY FILE'!B688:B5689=$D$4)*('TREASURY FILE'!D688:D5689="TURNOVER")*('TREASURY FILE'!A688:A5689=A789)*('TREASURY FILE'!F688:F5689))</f>
        <v>0</v>
      </c>
      <c r="E789" s="31">
        <f t="shared" si="38"/>
        <v>0</v>
      </c>
      <c r="G789" s="24" cm="1">
        <f t="array" ref="G789">SUMPRODUCT(('TREASURY FILE'!B688:B5689=$G$4)*('TREASURY FILE'!D688:D5689="INCOME")*('TREASURY FILE'!A688:A5689=A789)*('TREASURY FILE'!F688:F5689))</f>
        <v>0</v>
      </c>
      <c r="H789" s="24" cm="1">
        <f t="array" ref="H789">SUMPRODUCT(('TREASURY FILE'!B688:B5689=$H$4)*('TREASURY FILE'!D688:D5689="INCOME")*('TREASURY FILE'!A688:A5689=A789)*('TREASURY FILE'!F688:F5689))</f>
        <v>0</v>
      </c>
      <c r="I789" s="24" cm="1">
        <f t="array" ref="I789">SUMPRODUCT(('TREASURY FILE'!D697:D5689=$I$4)*('TREASURY FILE'!F697:F5689="INCOME")*('TREASURY FILE'!C697:C5689=C789)*('TREASURY FILE'!H697:H5689))</f>
        <v>0</v>
      </c>
      <c r="J789" s="31">
        <f t="shared" si="39"/>
        <v>0</v>
      </c>
      <c r="K789" s="33" t="e">
        <f t="shared" si="40"/>
        <v>#DIV/0!</v>
      </c>
    </row>
    <row r="790" spans="1:11" x14ac:dyDescent="0.3">
      <c r="A790" s="30">
        <v>46443</v>
      </c>
      <c r="B790" s="24" cm="1">
        <f t="array" ref="B790">SUMPRODUCT(('TREASURY FILE'!B689:B5690=$B$4)*('TREASURY FILE'!D689:D5690="TURNOVER")*('TREASURY FILE'!A689:A5690=A790)*('TREASURY FILE'!F689:F5690))</f>
        <v>0</v>
      </c>
      <c r="C790" s="24" cm="1">
        <f t="array" ref="C790">SUMPRODUCT(('TREASURY FILE'!B689:B5690=$C$4)*('TREASURY FILE'!D689:D5690="TURNOVER")*('TREASURY FILE'!A689:A5690=A790)*('TREASURY FILE'!F689:F5690))</f>
        <v>0</v>
      </c>
      <c r="D790" s="24" cm="1">
        <f t="array" ref="D790">SUMPRODUCT(('TREASURY FILE'!B689:B5690=$D$4)*('TREASURY FILE'!D689:D5690="TURNOVER")*('TREASURY FILE'!A689:A5690=A790)*('TREASURY FILE'!F689:F5690))</f>
        <v>0</v>
      </c>
      <c r="E790" s="31">
        <f t="shared" si="38"/>
        <v>0</v>
      </c>
      <c r="G790" s="24" cm="1">
        <f t="array" ref="G790">SUMPRODUCT(('TREASURY FILE'!B689:B5690=$G$4)*('TREASURY FILE'!D689:D5690="INCOME")*('TREASURY FILE'!A689:A5690=A790)*('TREASURY FILE'!F689:F5690))</f>
        <v>0</v>
      </c>
      <c r="H790" s="24" cm="1">
        <f t="array" ref="H790">SUMPRODUCT(('TREASURY FILE'!B689:B5690=$H$4)*('TREASURY FILE'!D689:D5690="INCOME")*('TREASURY FILE'!A689:A5690=A790)*('TREASURY FILE'!F689:F5690))</f>
        <v>0</v>
      </c>
      <c r="I790" s="24" cm="1">
        <f t="array" ref="I790">SUMPRODUCT(('TREASURY FILE'!D698:D5690=$I$4)*('TREASURY FILE'!F698:F5690="INCOME")*('TREASURY FILE'!C698:C5690=C790)*('TREASURY FILE'!H698:H5690))</f>
        <v>0</v>
      </c>
      <c r="J790" s="31">
        <f t="shared" si="39"/>
        <v>0</v>
      </c>
      <c r="K790" s="33" t="e">
        <f t="shared" si="40"/>
        <v>#DIV/0!</v>
      </c>
    </row>
    <row r="791" spans="1:11" x14ac:dyDescent="0.3">
      <c r="A791" s="30">
        <v>46444</v>
      </c>
      <c r="B791" s="24" cm="1">
        <f t="array" ref="B791">SUMPRODUCT(('TREASURY FILE'!B690:B5691=$B$4)*('TREASURY FILE'!D690:D5691="TURNOVER")*('TREASURY FILE'!A690:A5691=A791)*('TREASURY FILE'!F690:F5691))</f>
        <v>0</v>
      </c>
      <c r="C791" s="24" cm="1">
        <f t="array" ref="C791">SUMPRODUCT(('TREASURY FILE'!B690:B5691=$C$4)*('TREASURY FILE'!D690:D5691="TURNOVER")*('TREASURY FILE'!A690:A5691=A791)*('TREASURY FILE'!F690:F5691))</f>
        <v>0</v>
      </c>
      <c r="D791" s="24" cm="1">
        <f t="array" ref="D791">SUMPRODUCT(('TREASURY FILE'!B690:B5691=$D$4)*('TREASURY FILE'!D690:D5691="TURNOVER")*('TREASURY FILE'!A690:A5691=A791)*('TREASURY FILE'!F690:F5691))</f>
        <v>0</v>
      </c>
      <c r="E791" s="31">
        <f t="shared" si="38"/>
        <v>0</v>
      </c>
      <c r="G791" s="24" cm="1">
        <f t="array" ref="G791">SUMPRODUCT(('TREASURY FILE'!B690:B5691=$G$4)*('TREASURY FILE'!D690:D5691="INCOME")*('TREASURY FILE'!A690:A5691=A791)*('TREASURY FILE'!F690:F5691))</f>
        <v>0</v>
      </c>
      <c r="H791" s="24" cm="1">
        <f t="array" ref="H791">SUMPRODUCT(('TREASURY FILE'!B690:B5691=$H$4)*('TREASURY FILE'!D690:D5691="INCOME")*('TREASURY FILE'!A690:A5691=A791)*('TREASURY FILE'!F690:F5691))</f>
        <v>0</v>
      </c>
      <c r="I791" s="24" cm="1">
        <f t="array" ref="I791">SUMPRODUCT(('TREASURY FILE'!D699:D5691=$I$4)*('TREASURY FILE'!F699:F5691="INCOME")*('TREASURY FILE'!C699:C5691=C791)*('TREASURY FILE'!H699:H5691))</f>
        <v>0</v>
      </c>
      <c r="J791" s="31">
        <f t="shared" si="39"/>
        <v>0</v>
      </c>
      <c r="K791" s="33" t="e">
        <f t="shared" si="40"/>
        <v>#DIV/0!</v>
      </c>
    </row>
    <row r="792" spans="1:11" x14ac:dyDescent="0.3">
      <c r="A792" s="30">
        <v>46445</v>
      </c>
      <c r="B792" s="24" cm="1">
        <f t="array" ref="B792">SUMPRODUCT(('TREASURY FILE'!B691:B5692=$B$4)*('TREASURY FILE'!D691:D5692="TURNOVER")*('TREASURY FILE'!A691:A5692=A792)*('TREASURY FILE'!F691:F5692))</f>
        <v>0</v>
      </c>
      <c r="C792" s="24" cm="1">
        <f t="array" ref="C792">SUMPRODUCT(('TREASURY FILE'!B691:B5692=$C$4)*('TREASURY FILE'!D691:D5692="TURNOVER")*('TREASURY FILE'!A691:A5692=A792)*('TREASURY FILE'!F691:F5692))</f>
        <v>0</v>
      </c>
      <c r="D792" s="24" cm="1">
        <f t="array" ref="D792">SUMPRODUCT(('TREASURY FILE'!B691:B5692=$D$4)*('TREASURY FILE'!D691:D5692="TURNOVER")*('TREASURY FILE'!A691:A5692=A792)*('TREASURY FILE'!F691:F5692))</f>
        <v>0</v>
      </c>
      <c r="E792" s="31">
        <f t="shared" si="38"/>
        <v>0</v>
      </c>
      <c r="G792" s="24" cm="1">
        <f t="array" ref="G792">SUMPRODUCT(('TREASURY FILE'!B691:B5692=$G$4)*('TREASURY FILE'!D691:D5692="INCOME")*('TREASURY FILE'!A691:A5692=A792)*('TREASURY FILE'!F691:F5692))</f>
        <v>0</v>
      </c>
      <c r="H792" s="24" cm="1">
        <f t="array" ref="H792">SUMPRODUCT(('TREASURY FILE'!B691:B5692=$H$4)*('TREASURY FILE'!D691:D5692="INCOME")*('TREASURY FILE'!A691:A5692=A792)*('TREASURY FILE'!F691:F5692))</f>
        <v>0</v>
      </c>
      <c r="I792" s="24" cm="1">
        <f t="array" ref="I792">SUMPRODUCT(('TREASURY FILE'!D700:D5692=$I$4)*('TREASURY FILE'!F700:F5692="INCOME")*('TREASURY FILE'!C700:C5692=C792)*('TREASURY FILE'!H700:H5692))</f>
        <v>0</v>
      </c>
      <c r="J792" s="31">
        <f t="shared" si="39"/>
        <v>0</v>
      </c>
      <c r="K792" s="33" t="e">
        <f t="shared" si="40"/>
        <v>#DIV/0!</v>
      </c>
    </row>
    <row r="793" spans="1:11" x14ac:dyDescent="0.3">
      <c r="A793" s="30">
        <v>46446</v>
      </c>
      <c r="B793" s="24" cm="1">
        <f t="array" ref="B793">SUMPRODUCT(('TREASURY FILE'!B692:B5693=$B$4)*('TREASURY FILE'!D692:D5693="TURNOVER")*('TREASURY FILE'!A692:A5693=A793)*('TREASURY FILE'!F692:F5693))</f>
        <v>0</v>
      </c>
      <c r="C793" s="24" cm="1">
        <f t="array" ref="C793">SUMPRODUCT(('TREASURY FILE'!B692:B5693=$C$4)*('TREASURY FILE'!D692:D5693="TURNOVER")*('TREASURY FILE'!A692:A5693=A793)*('TREASURY FILE'!F692:F5693))</f>
        <v>0</v>
      </c>
      <c r="D793" s="24" cm="1">
        <f t="array" ref="D793">SUMPRODUCT(('TREASURY FILE'!B692:B5693=$D$4)*('TREASURY FILE'!D692:D5693="TURNOVER")*('TREASURY FILE'!A692:A5693=A793)*('TREASURY FILE'!F692:F5693))</f>
        <v>0</v>
      </c>
      <c r="E793" s="31">
        <f t="shared" si="38"/>
        <v>0</v>
      </c>
      <c r="G793" s="24" cm="1">
        <f t="array" ref="G793">SUMPRODUCT(('TREASURY FILE'!B692:B5693=$G$4)*('TREASURY FILE'!D692:D5693="INCOME")*('TREASURY FILE'!A692:A5693=A793)*('TREASURY FILE'!F692:F5693))</f>
        <v>0</v>
      </c>
      <c r="H793" s="24" cm="1">
        <f t="array" ref="H793">SUMPRODUCT(('TREASURY FILE'!B692:B5693=$H$4)*('TREASURY FILE'!D692:D5693="INCOME")*('TREASURY FILE'!A692:A5693=A793)*('TREASURY FILE'!F692:F5693))</f>
        <v>0</v>
      </c>
      <c r="I793" s="24" cm="1">
        <f t="array" ref="I793">SUMPRODUCT(('TREASURY FILE'!D701:D5693=$I$4)*('TREASURY FILE'!F701:F5693="INCOME")*('TREASURY FILE'!C701:C5693=C793)*('TREASURY FILE'!H701:H5693))</f>
        <v>0</v>
      </c>
      <c r="J793" s="31">
        <f t="shared" si="39"/>
        <v>0</v>
      </c>
      <c r="K793" s="33" t="e">
        <f t="shared" si="40"/>
        <v>#DIV/0!</v>
      </c>
    </row>
    <row r="794" spans="1:11" x14ac:dyDescent="0.3">
      <c r="A794" s="30">
        <v>46447</v>
      </c>
      <c r="B794" s="24" cm="1">
        <f t="array" ref="B794">SUMPRODUCT(('TREASURY FILE'!B693:B5694=$B$4)*('TREASURY FILE'!D693:D5694="TURNOVER")*('TREASURY FILE'!A693:A5694=A794)*('TREASURY FILE'!F693:F5694))</f>
        <v>0</v>
      </c>
      <c r="C794" s="24" cm="1">
        <f t="array" ref="C794">SUMPRODUCT(('TREASURY FILE'!B693:B5694=$C$4)*('TREASURY FILE'!D693:D5694="TURNOVER")*('TREASURY FILE'!A693:A5694=A794)*('TREASURY FILE'!F693:F5694))</f>
        <v>0</v>
      </c>
      <c r="D794" s="24" cm="1">
        <f t="array" ref="D794">SUMPRODUCT(('TREASURY FILE'!B693:B5694=$D$4)*('TREASURY FILE'!D693:D5694="TURNOVER")*('TREASURY FILE'!A693:A5694=A794)*('TREASURY FILE'!F693:F5694))</f>
        <v>0</v>
      </c>
      <c r="E794" s="31">
        <f t="shared" si="38"/>
        <v>0</v>
      </c>
      <c r="G794" s="24" cm="1">
        <f t="array" ref="G794">SUMPRODUCT(('TREASURY FILE'!B693:B5694=$G$4)*('TREASURY FILE'!D693:D5694="INCOME")*('TREASURY FILE'!A693:A5694=A794)*('TREASURY FILE'!F693:F5694))</f>
        <v>0</v>
      </c>
      <c r="H794" s="24" cm="1">
        <f t="array" ref="H794">SUMPRODUCT(('TREASURY FILE'!B693:B5694=$H$4)*('TREASURY FILE'!D693:D5694="INCOME")*('TREASURY FILE'!A693:A5694=A794)*('TREASURY FILE'!F693:F5694))</f>
        <v>0</v>
      </c>
      <c r="I794" s="24" cm="1">
        <f t="array" ref="I794">SUMPRODUCT(('TREASURY FILE'!D702:D5694=$I$4)*('TREASURY FILE'!F702:F5694="INCOME")*('TREASURY FILE'!C702:C5694=C794)*('TREASURY FILE'!H702:H5694))</f>
        <v>0</v>
      </c>
      <c r="J794" s="31">
        <f t="shared" si="39"/>
        <v>0</v>
      </c>
      <c r="K794" s="33" t="e">
        <f t="shared" si="40"/>
        <v>#DIV/0!</v>
      </c>
    </row>
    <row r="795" spans="1:11" x14ac:dyDescent="0.3">
      <c r="A795" s="30">
        <v>46448</v>
      </c>
      <c r="B795" s="24" cm="1">
        <f t="array" ref="B795">SUMPRODUCT(('TREASURY FILE'!B694:B5695=$B$4)*('TREASURY FILE'!D694:D5695="TURNOVER")*('TREASURY FILE'!A694:A5695=A795)*('TREASURY FILE'!F694:F5695))</f>
        <v>0</v>
      </c>
      <c r="C795" s="24" cm="1">
        <f t="array" ref="C795">SUMPRODUCT(('TREASURY FILE'!B694:B5695=$C$4)*('TREASURY FILE'!D694:D5695="TURNOVER")*('TREASURY FILE'!A694:A5695=A795)*('TREASURY FILE'!F694:F5695))</f>
        <v>0</v>
      </c>
      <c r="D795" s="24" cm="1">
        <f t="array" ref="D795">SUMPRODUCT(('TREASURY FILE'!B694:B5695=$D$4)*('TREASURY FILE'!D694:D5695="TURNOVER")*('TREASURY FILE'!A694:A5695=A795)*('TREASURY FILE'!F694:F5695))</f>
        <v>0</v>
      </c>
      <c r="E795" s="31">
        <f t="shared" si="38"/>
        <v>0</v>
      </c>
      <c r="G795" s="24" cm="1">
        <f t="array" ref="G795">SUMPRODUCT(('TREASURY FILE'!B694:B5695=$G$4)*('TREASURY FILE'!D694:D5695="INCOME")*('TREASURY FILE'!A694:A5695=A795)*('TREASURY FILE'!F694:F5695))</f>
        <v>0</v>
      </c>
      <c r="H795" s="24" cm="1">
        <f t="array" ref="H795">SUMPRODUCT(('TREASURY FILE'!B694:B5695=$H$4)*('TREASURY FILE'!D694:D5695="INCOME")*('TREASURY FILE'!A694:A5695=A795)*('TREASURY FILE'!F694:F5695))</f>
        <v>0</v>
      </c>
      <c r="I795" s="24" cm="1">
        <f t="array" ref="I795">SUMPRODUCT(('TREASURY FILE'!D703:D5695=$I$4)*('TREASURY FILE'!F703:F5695="INCOME")*('TREASURY FILE'!C703:C5695=C795)*('TREASURY FILE'!H703:H5695))</f>
        <v>0</v>
      </c>
      <c r="J795" s="31">
        <f t="shared" si="39"/>
        <v>0</v>
      </c>
      <c r="K795" s="33" t="e">
        <f t="shared" si="40"/>
        <v>#DIV/0!</v>
      </c>
    </row>
    <row r="796" spans="1:11" x14ac:dyDescent="0.3">
      <c r="A796" s="30">
        <v>46449</v>
      </c>
      <c r="B796" s="24" cm="1">
        <f t="array" ref="B796">SUMPRODUCT(('TREASURY FILE'!B695:B5696=$B$4)*('TREASURY FILE'!D695:D5696="TURNOVER")*('TREASURY FILE'!A695:A5696=A796)*('TREASURY FILE'!F695:F5696))</f>
        <v>0</v>
      </c>
      <c r="C796" s="24" cm="1">
        <f t="array" ref="C796">SUMPRODUCT(('TREASURY FILE'!B695:B5696=$C$4)*('TREASURY FILE'!D695:D5696="TURNOVER")*('TREASURY FILE'!A695:A5696=A796)*('TREASURY FILE'!F695:F5696))</f>
        <v>0</v>
      </c>
      <c r="D796" s="24" cm="1">
        <f t="array" ref="D796">SUMPRODUCT(('TREASURY FILE'!B695:B5696=$D$4)*('TREASURY FILE'!D695:D5696="TURNOVER")*('TREASURY FILE'!A695:A5696=A796)*('TREASURY FILE'!F695:F5696))</f>
        <v>0</v>
      </c>
      <c r="E796" s="31">
        <f t="shared" si="38"/>
        <v>0</v>
      </c>
      <c r="G796" s="24" cm="1">
        <f t="array" ref="G796">SUMPRODUCT(('TREASURY FILE'!B695:B5696=$G$4)*('TREASURY FILE'!D695:D5696="INCOME")*('TREASURY FILE'!A695:A5696=A796)*('TREASURY FILE'!F695:F5696))</f>
        <v>0</v>
      </c>
      <c r="H796" s="24" cm="1">
        <f t="array" ref="H796">SUMPRODUCT(('TREASURY FILE'!B695:B5696=$H$4)*('TREASURY FILE'!D695:D5696="INCOME")*('TREASURY FILE'!A695:A5696=A796)*('TREASURY FILE'!F695:F5696))</f>
        <v>0</v>
      </c>
      <c r="I796" s="24" cm="1">
        <f t="array" ref="I796">SUMPRODUCT(('TREASURY FILE'!D704:D5696=$I$4)*('TREASURY FILE'!F704:F5696="INCOME")*('TREASURY FILE'!C704:C5696=C796)*('TREASURY FILE'!H704:H5696))</f>
        <v>0</v>
      </c>
      <c r="J796" s="31">
        <f t="shared" si="39"/>
        <v>0</v>
      </c>
      <c r="K796" s="33" t="e">
        <f t="shared" si="40"/>
        <v>#DIV/0!</v>
      </c>
    </row>
    <row r="797" spans="1:11" x14ac:dyDescent="0.3">
      <c r="A797" s="30">
        <v>46450</v>
      </c>
      <c r="B797" s="24" cm="1">
        <f t="array" ref="B797">SUMPRODUCT(('TREASURY FILE'!B696:B5697=$B$4)*('TREASURY FILE'!D696:D5697="TURNOVER")*('TREASURY FILE'!A696:A5697=A797)*('TREASURY FILE'!F696:F5697))</f>
        <v>0</v>
      </c>
      <c r="C797" s="24" cm="1">
        <f t="array" ref="C797">SUMPRODUCT(('TREASURY FILE'!B696:B5697=$C$4)*('TREASURY FILE'!D696:D5697="TURNOVER")*('TREASURY FILE'!A696:A5697=A797)*('TREASURY FILE'!F696:F5697))</f>
        <v>0</v>
      </c>
      <c r="D797" s="24" cm="1">
        <f t="array" ref="D797">SUMPRODUCT(('TREASURY FILE'!B696:B5697=$D$4)*('TREASURY FILE'!D696:D5697="TURNOVER")*('TREASURY FILE'!A696:A5697=A797)*('TREASURY FILE'!F696:F5697))</f>
        <v>0</v>
      </c>
      <c r="E797" s="31">
        <f t="shared" si="38"/>
        <v>0</v>
      </c>
      <c r="G797" s="24" cm="1">
        <f t="array" ref="G797">SUMPRODUCT(('TREASURY FILE'!B696:B5697=$G$4)*('TREASURY FILE'!D696:D5697="INCOME")*('TREASURY FILE'!A696:A5697=A797)*('TREASURY FILE'!F696:F5697))</f>
        <v>0</v>
      </c>
      <c r="H797" s="24" cm="1">
        <f t="array" ref="H797">SUMPRODUCT(('TREASURY FILE'!B696:B5697=$H$4)*('TREASURY FILE'!D696:D5697="INCOME")*('TREASURY FILE'!A696:A5697=A797)*('TREASURY FILE'!F696:F5697))</f>
        <v>0</v>
      </c>
      <c r="I797" s="24" cm="1">
        <f t="array" ref="I797">SUMPRODUCT(('TREASURY FILE'!D705:D5697=$I$4)*('TREASURY FILE'!F705:F5697="INCOME")*('TREASURY FILE'!C705:C5697=C797)*('TREASURY FILE'!H705:H5697))</f>
        <v>0</v>
      </c>
      <c r="J797" s="31">
        <f t="shared" si="39"/>
        <v>0</v>
      </c>
      <c r="K797" s="33" t="e">
        <f t="shared" si="40"/>
        <v>#DIV/0!</v>
      </c>
    </row>
    <row r="798" spans="1:11" x14ac:dyDescent="0.3">
      <c r="A798" s="30">
        <v>46451</v>
      </c>
      <c r="B798" s="24" cm="1">
        <f t="array" ref="B798">SUMPRODUCT(('TREASURY FILE'!B697:B5698=$B$4)*('TREASURY FILE'!D697:D5698="TURNOVER")*('TREASURY FILE'!A697:A5698=A798)*('TREASURY FILE'!F697:F5698))</f>
        <v>0</v>
      </c>
      <c r="C798" s="24" cm="1">
        <f t="array" ref="C798">SUMPRODUCT(('TREASURY FILE'!B697:B5698=$C$4)*('TREASURY FILE'!D697:D5698="TURNOVER")*('TREASURY FILE'!A697:A5698=A798)*('TREASURY FILE'!F697:F5698))</f>
        <v>0</v>
      </c>
      <c r="D798" s="24" cm="1">
        <f t="array" ref="D798">SUMPRODUCT(('TREASURY FILE'!B697:B5698=$D$4)*('TREASURY FILE'!D697:D5698="TURNOVER")*('TREASURY FILE'!A697:A5698=A798)*('TREASURY FILE'!F697:F5698))</f>
        <v>0</v>
      </c>
      <c r="E798" s="31">
        <f t="shared" si="38"/>
        <v>0</v>
      </c>
      <c r="G798" s="24" cm="1">
        <f t="array" ref="G798">SUMPRODUCT(('TREASURY FILE'!B697:B5698=$G$4)*('TREASURY FILE'!D697:D5698="INCOME")*('TREASURY FILE'!A697:A5698=A798)*('TREASURY FILE'!F697:F5698))</f>
        <v>0</v>
      </c>
      <c r="H798" s="24" cm="1">
        <f t="array" ref="H798">SUMPRODUCT(('TREASURY FILE'!B697:B5698=$H$4)*('TREASURY FILE'!D697:D5698="INCOME")*('TREASURY FILE'!A697:A5698=A798)*('TREASURY FILE'!F697:F5698))</f>
        <v>0</v>
      </c>
      <c r="I798" s="24" cm="1">
        <f t="array" ref="I798">SUMPRODUCT(('TREASURY FILE'!D706:D5698=$I$4)*('TREASURY FILE'!F706:F5698="INCOME")*('TREASURY FILE'!C706:C5698=C798)*('TREASURY FILE'!H706:H5698))</f>
        <v>0</v>
      </c>
      <c r="J798" s="31">
        <f t="shared" si="39"/>
        <v>0</v>
      </c>
      <c r="K798" s="33" t="e">
        <f t="shared" si="40"/>
        <v>#DIV/0!</v>
      </c>
    </row>
    <row r="799" spans="1:11" x14ac:dyDescent="0.3">
      <c r="A799" s="30">
        <v>46452</v>
      </c>
      <c r="B799" s="24" cm="1">
        <f t="array" ref="B799">SUMPRODUCT(('TREASURY FILE'!B698:B5699=$B$4)*('TREASURY FILE'!D698:D5699="TURNOVER")*('TREASURY FILE'!A698:A5699=A799)*('TREASURY FILE'!F698:F5699))</f>
        <v>0</v>
      </c>
      <c r="C799" s="24" cm="1">
        <f t="array" ref="C799">SUMPRODUCT(('TREASURY FILE'!B698:B5699=$C$4)*('TREASURY FILE'!D698:D5699="TURNOVER")*('TREASURY FILE'!A698:A5699=A799)*('TREASURY FILE'!F698:F5699))</f>
        <v>0</v>
      </c>
      <c r="D799" s="24" cm="1">
        <f t="array" ref="D799">SUMPRODUCT(('TREASURY FILE'!B698:B5699=$D$4)*('TREASURY FILE'!D698:D5699="TURNOVER")*('TREASURY FILE'!A698:A5699=A799)*('TREASURY FILE'!F698:F5699))</f>
        <v>0</v>
      </c>
      <c r="E799" s="31">
        <f t="shared" si="38"/>
        <v>0</v>
      </c>
      <c r="G799" s="24" cm="1">
        <f t="array" ref="G799">SUMPRODUCT(('TREASURY FILE'!B698:B5699=$G$4)*('TREASURY FILE'!D698:D5699="INCOME")*('TREASURY FILE'!A698:A5699=A799)*('TREASURY FILE'!F698:F5699))</f>
        <v>0</v>
      </c>
      <c r="H799" s="24" cm="1">
        <f t="array" ref="H799">SUMPRODUCT(('TREASURY FILE'!B698:B5699=$H$4)*('TREASURY FILE'!D698:D5699="INCOME")*('TREASURY FILE'!A698:A5699=A799)*('TREASURY FILE'!F698:F5699))</f>
        <v>0</v>
      </c>
      <c r="I799" s="24" cm="1">
        <f t="array" ref="I799">SUMPRODUCT(('TREASURY FILE'!D707:D5699=$I$4)*('TREASURY FILE'!F707:F5699="INCOME")*('TREASURY FILE'!C707:C5699=C799)*('TREASURY FILE'!H707:H5699))</f>
        <v>0</v>
      </c>
      <c r="J799" s="31">
        <f t="shared" si="39"/>
        <v>0</v>
      </c>
      <c r="K799" s="33" t="e">
        <f t="shared" si="40"/>
        <v>#DIV/0!</v>
      </c>
    </row>
    <row r="800" spans="1:11" x14ac:dyDescent="0.3">
      <c r="A800" s="30">
        <v>46453</v>
      </c>
      <c r="B800" s="24" cm="1">
        <f t="array" ref="B800">SUMPRODUCT(('TREASURY FILE'!B699:B5700=$B$4)*('TREASURY FILE'!D699:D5700="TURNOVER")*('TREASURY FILE'!A699:A5700=A800)*('TREASURY FILE'!F699:F5700))</f>
        <v>0</v>
      </c>
      <c r="C800" s="24" cm="1">
        <f t="array" ref="C800">SUMPRODUCT(('TREASURY FILE'!B699:B5700=$C$4)*('TREASURY FILE'!D699:D5700="TURNOVER")*('TREASURY FILE'!A699:A5700=A800)*('TREASURY FILE'!F699:F5700))</f>
        <v>0</v>
      </c>
      <c r="D800" s="24" cm="1">
        <f t="array" ref="D800">SUMPRODUCT(('TREASURY FILE'!B699:B5700=$D$4)*('TREASURY FILE'!D699:D5700="TURNOVER")*('TREASURY FILE'!A699:A5700=A800)*('TREASURY FILE'!F699:F5700))</f>
        <v>0</v>
      </c>
      <c r="E800" s="31">
        <f t="shared" si="38"/>
        <v>0</v>
      </c>
      <c r="G800" s="24" cm="1">
        <f t="array" ref="G800">SUMPRODUCT(('TREASURY FILE'!B699:B5700=$G$4)*('TREASURY FILE'!D699:D5700="INCOME")*('TREASURY FILE'!A699:A5700=A800)*('TREASURY FILE'!F699:F5700))</f>
        <v>0</v>
      </c>
      <c r="H800" s="24" cm="1">
        <f t="array" ref="H800">SUMPRODUCT(('TREASURY FILE'!B699:B5700=$H$4)*('TREASURY FILE'!D699:D5700="INCOME")*('TREASURY FILE'!A699:A5700=A800)*('TREASURY FILE'!F699:F5700))</f>
        <v>0</v>
      </c>
      <c r="I800" s="24" cm="1">
        <f t="array" ref="I800">SUMPRODUCT(('TREASURY FILE'!D708:D5700=$I$4)*('TREASURY FILE'!F708:F5700="INCOME")*('TREASURY FILE'!C708:C5700=C800)*('TREASURY FILE'!H708:H5700))</f>
        <v>0</v>
      </c>
      <c r="J800" s="31">
        <f t="shared" si="39"/>
        <v>0</v>
      </c>
      <c r="K800" s="33" t="e">
        <f t="shared" si="40"/>
        <v>#DIV/0!</v>
      </c>
    </row>
    <row r="801" spans="1:11" x14ac:dyDescent="0.3">
      <c r="A801" s="30">
        <v>46454</v>
      </c>
      <c r="B801" s="24" cm="1">
        <f t="array" ref="B801">SUMPRODUCT(('TREASURY FILE'!B700:B5701=$B$4)*('TREASURY FILE'!D700:D5701="TURNOVER")*('TREASURY FILE'!A700:A5701=A801)*('TREASURY FILE'!F700:F5701))</f>
        <v>0</v>
      </c>
      <c r="C801" s="24" cm="1">
        <f t="array" ref="C801">SUMPRODUCT(('TREASURY FILE'!B700:B5701=$C$4)*('TREASURY FILE'!D700:D5701="TURNOVER")*('TREASURY FILE'!A700:A5701=A801)*('TREASURY FILE'!F700:F5701))</f>
        <v>0</v>
      </c>
      <c r="D801" s="24" cm="1">
        <f t="array" ref="D801">SUMPRODUCT(('TREASURY FILE'!B700:B5701=$D$4)*('TREASURY FILE'!D700:D5701="TURNOVER")*('TREASURY FILE'!A700:A5701=A801)*('TREASURY FILE'!F700:F5701))</f>
        <v>0</v>
      </c>
      <c r="E801" s="31">
        <f t="shared" si="38"/>
        <v>0</v>
      </c>
      <c r="G801" s="24" cm="1">
        <f t="array" ref="G801">SUMPRODUCT(('TREASURY FILE'!B700:B5701=$G$4)*('TREASURY FILE'!D700:D5701="INCOME")*('TREASURY FILE'!A700:A5701=A801)*('TREASURY FILE'!F700:F5701))</f>
        <v>0</v>
      </c>
      <c r="H801" s="24" cm="1">
        <f t="array" ref="H801">SUMPRODUCT(('TREASURY FILE'!B700:B5701=$H$4)*('TREASURY FILE'!D700:D5701="INCOME")*('TREASURY FILE'!A700:A5701=A801)*('TREASURY FILE'!F700:F5701))</f>
        <v>0</v>
      </c>
      <c r="I801" s="24" cm="1">
        <f t="array" ref="I801">SUMPRODUCT(('TREASURY FILE'!D709:D5701=$I$4)*('TREASURY FILE'!F709:F5701="INCOME")*('TREASURY FILE'!C709:C5701=C801)*('TREASURY FILE'!H709:H5701))</f>
        <v>0</v>
      </c>
      <c r="J801" s="31">
        <f t="shared" si="39"/>
        <v>0</v>
      </c>
      <c r="K801" s="33" t="e">
        <f t="shared" si="40"/>
        <v>#DIV/0!</v>
      </c>
    </row>
    <row r="802" spans="1:11" x14ac:dyDescent="0.3">
      <c r="A802" s="30">
        <v>46455</v>
      </c>
      <c r="B802" s="24" cm="1">
        <f t="array" ref="B802">SUMPRODUCT(('TREASURY FILE'!B701:B5702=$B$4)*('TREASURY FILE'!D701:D5702="TURNOVER")*('TREASURY FILE'!A701:A5702=A802)*('TREASURY FILE'!F701:F5702))</f>
        <v>0</v>
      </c>
      <c r="C802" s="24" cm="1">
        <f t="array" ref="C802">SUMPRODUCT(('TREASURY FILE'!B701:B5702=$C$4)*('TREASURY FILE'!D701:D5702="TURNOVER")*('TREASURY FILE'!A701:A5702=A802)*('TREASURY FILE'!F701:F5702))</f>
        <v>0</v>
      </c>
      <c r="D802" s="24" cm="1">
        <f t="array" ref="D802">SUMPRODUCT(('TREASURY FILE'!B701:B5702=$D$4)*('TREASURY FILE'!D701:D5702="TURNOVER")*('TREASURY FILE'!A701:A5702=A802)*('TREASURY FILE'!F701:F5702))</f>
        <v>0</v>
      </c>
      <c r="E802" s="31">
        <f t="shared" si="38"/>
        <v>0</v>
      </c>
      <c r="G802" s="24" cm="1">
        <f t="array" ref="G802">SUMPRODUCT(('TREASURY FILE'!B701:B5702=$G$4)*('TREASURY FILE'!D701:D5702="INCOME")*('TREASURY FILE'!A701:A5702=A802)*('TREASURY FILE'!F701:F5702))</f>
        <v>0</v>
      </c>
      <c r="H802" s="24" cm="1">
        <f t="array" ref="H802">SUMPRODUCT(('TREASURY FILE'!B701:B5702=$H$4)*('TREASURY FILE'!D701:D5702="INCOME")*('TREASURY FILE'!A701:A5702=A802)*('TREASURY FILE'!F701:F5702))</f>
        <v>0</v>
      </c>
      <c r="I802" s="24" cm="1">
        <f t="array" ref="I802">SUMPRODUCT(('TREASURY FILE'!D710:D5702=$I$4)*('TREASURY FILE'!F710:F5702="INCOME")*('TREASURY FILE'!C710:C5702=C802)*('TREASURY FILE'!H710:H5702))</f>
        <v>0</v>
      </c>
      <c r="J802" s="31">
        <f t="shared" si="39"/>
        <v>0</v>
      </c>
      <c r="K802" s="33" t="e">
        <f t="shared" si="40"/>
        <v>#DIV/0!</v>
      </c>
    </row>
    <row r="803" spans="1:11" x14ac:dyDescent="0.3">
      <c r="A803" s="30">
        <v>46456</v>
      </c>
      <c r="B803" s="24" cm="1">
        <f t="array" ref="B803">SUMPRODUCT(('TREASURY FILE'!B702:B5703=$B$4)*('TREASURY FILE'!D702:D5703="TURNOVER")*('TREASURY FILE'!A702:A5703=A803)*('TREASURY FILE'!F702:F5703))</f>
        <v>0</v>
      </c>
      <c r="C803" s="24" cm="1">
        <f t="array" ref="C803">SUMPRODUCT(('TREASURY FILE'!B702:B5703=$C$4)*('TREASURY FILE'!D702:D5703="TURNOVER")*('TREASURY FILE'!A702:A5703=A803)*('TREASURY FILE'!F702:F5703))</f>
        <v>0</v>
      </c>
      <c r="D803" s="24" cm="1">
        <f t="array" ref="D803">SUMPRODUCT(('TREASURY FILE'!B702:B5703=$D$4)*('TREASURY FILE'!D702:D5703="TURNOVER")*('TREASURY FILE'!A702:A5703=A803)*('TREASURY FILE'!F702:F5703))</f>
        <v>0</v>
      </c>
      <c r="E803" s="31">
        <f t="shared" si="38"/>
        <v>0</v>
      </c>
      <c r="G803" s="24" cm="1">
        <f t="array" ref="G803">SUMPRODUCT(('TREASURY FILE'!B702:B5703=$G$4)*('TREASURY FILE'!D702:D5703="INCOME")*('TREASURY FILE'!A702:A5703=A803)*('TREASURY FILE'!F702:F5703))</f>
        <v>0</v>
      </c>
      <c r="H803" s="24" cm="1">
        <f t="array" ref="H803">SUMPRODUCT(('TREASURY FILE'!B702:B5703=$H$4)*('TREASURY FILE'!D702:D5703="INCOME")*('TREASURY FILE'!A702:A5703=A803)*('TREASURY FILE'!F702:F5703))</f>
        <v>0</v>
      </c>
      <c r="I803" s="24" cm="1">
        <f t="array" ref="I803">SUMPRODUCT(('TREASURY FILE'!D711:D5703=$I$4)*('TREASURY FILE'!F711:F5703="INCOME")*('TREASURY FILE'!C711:C5703=C803)*('TREASURY FILE'!H711:H5703))</f>
        <v>0</v>
      </c>
      <c r="J803" s="31">
        <f t="shared" si="39"/>
        <v>0</v>
      </c>
      <c r="K803" s="33" t="e">
        <f t="shared" si="40"/>
        <v>#DIV/0!</v>
      </c>
    </row>
    <row r="804" spans="1:11" x14ac:dyDescent="0.3">
      <c r="A804" s="30">
        <v>46457</v>
      </c>
      <c r="B804" s="24" cm="1">
        <f t="array" ref="B804">SUMPRODUCT(('TREASURY FILE'!B703:B5704=$B$4)*('TREASURY FILE'!D703:D5704="TURNOVER")*('TREASURY FILE'!A703:A5704=A804)*('TREASURY FILE'!F703:F5704))</f>
        <v>0</v>
      </c>
      <c r="C804" s="24" cm="1">
        <f t="array" ref="C804">SUMPRODUCT(('TREASURY FILE'!B703:B5704=$C$4)*('TREASURY FILE'!D703:D5704="TURNOVER")*('TREASURY FILE'!A703:A5704=A804)*('TREASURY FILE'!F703:F5704))</f>
        <v>0</v>
      </c>
      <c r="D804" s="24" cm="1">
        <f t="array" ref="D804">SUMPRODUCT(('TREASURY FILE'!B703:B5704=$D$4)*('TREASURY FILE'!D703:D5704="TURNOVER")*('TREASURY FILE'!A703:A5704=A804)*('TREASURY FILE'!F703:F5704))</f>
        <v>0</v>
      </c>
      <c r="E804" s="31">
        <f t="shared" si="38"/>
        <v>0</v>
      </c>
      <c r="G804" s="24" cm="1">
        <f t="array" ref="G804">SUMPRODUCT(('TREASURY FILE'!B703:B5704=$G$4)*('TREASURY FILE'!D703:D5704="INCOME")*('TREASURY FILE'!A703:A5704=A804)*('TREASURY FILE'!F703:F5704))</f>
        <v>0</v>
      </c>
      <c r="H804" s="24" cm="1">
        <f t="array" ref="H804">SUMPRODUCT(('TREASURY FILE'!B703:B5704=$H$4)*('TREASURY FILE'!D703:D5704="INCOME")*('TREASURY FILE'!A703:A5704=A804)*('TREASURY FILE'!F703:F5704))</f>
        <v>0</v>
      </c>
      <c r="I804" s="24" cm="1">
        <f t="array" ref="I804">SUMPRODUCT(('TREASURY FILE'!D712:D5704=$I$4)*('TREASURY FILE'!F712:F5704="INCOME")*('TREASURY FILE'!C712:C5704=C804)*('TREASURY FILE'!H712:H5704))</f>
        <v>0</v>
      </c>
      <c r="J804" s="31">
        <f t="shared" si="39"/>
        <v>0</v>
      </c>
      <c r="K804" s="33" t="e">
        <f t="shared" si="40"/>
        <v>#DIV/0!</v>
      </c>
    </row>
    <row r="805" spans="1:11" x14ac:dyDescent="0.3">
      <c r="A805" s="30">
        <v>46458</v>
      </c>
      <c r="B805" s="24" cm="1">
        <f t="array" ref="B805">SUMPRODUCT(('TREASURY FILE'!B704:B5705=$B$4)*('TREASURY FILE'!D704:D5705="TURNOVER")*('TREASURY FILE'!A704:A5705=A805)*('TREASURY FILE'!F704:F5705))</f>
        <v>0</v>
      </c>
      <c r="C805" s="24" cm="1">
        <f t="array" ref="C805">SUMPRODUCT(('TREASURY FILE'!B704:B5705=$C$4)*('TREASURY FILE'!D704:D5705="TURNOVER")*('TREASURY FILE'!A704:A5705=A805)*('TREASURY FILE'!F704:F5705))</f>
        <v>0</v>
      </c>
      <c r="D805" s="24" cm="1">
        <f t="array" ref="D805">SUMPRODUCT(('TREASURY FILE'!B704:B5705=$D$4)*('TREASURY FILE'!D704:D5705="TURNOVER")*('TREASURY FILE'!A704:A5705=A805)*('TREASURY FILE'!F704:F5705))</f>
        <v>0</v>
      </c>
      <c r="E805" s="31">
        <f t="shared" si="38"/>
        <v>0</v>
      </c>
      <c r="G805" s="24" cm="1">
        <f t="array" ref="G805">SUMPRODUCT(('TREASURY FILE'!B704:B5705=$G$4)*('TREASURY FILE'!D704:D5705="INCOME")*('TREASURY FILE'!A704:A5705=A805)*('TREASURY FILE'!F704:F5705))</f>
        <v>0</v>
      </c>
      <c r="H805" s="24" cm="1">
        <f t="array" ref="H805">SUMPRODUCT(('TREASURY FILE'!B704:B5705=$H$4)*('TREASURY FILE'!D704:D5705="INCOME")*('TREASURY FILE'!A704:A5705=A805)*('TREASURY FILE'!F704:F5705))</f>
        <v>0</v>
      </c>
      <c r="I805" s="24" cm="1">
        <f t="array" ref="I805">SUMPRODUCT(('TREASURY FILE'!D713:D5705=$I$4)*('TREASURY FILE'!F713:F5705="INCOME")*('TREASURY FILE'!C713:C5705=C805)*('TREASURY FILE'!H713:H5705))</f>
        <v>0</v>
      </c>
      <c r="J805" s="31">
        <f t="shared" si="39"/>
        <v>0</v>
      </c>
      <c r="K805" s="33" t="e">
        <f t="shared" si="40"/>
        <v>#DIV/0!</v>
      </c>
    </row>
    <row r="806" spans="1:11" x14ac:dyDescent="0.3">
      <c r="A806" s="30">
        <v>46459</v>
      </c>
      <c r="B806" s="24" cm="1">
        <f t="array" ref="B806">SUMPRODUCT(('TREASURY FILE'!B705:B5706=$B$4)*('TREASURY FILE'!D705:D5706="TURNOVER")*('TREASURY FILE'!A705:A5706=A806)*('TREASURY FILE'!F705:F5706))</f>
        <v>0</v>
      </c>
      <c r="C806" s="24" cm="1">
        <f t="array" ref="C806">SUMPRODUCT(('TREASURY FILE'!B705:B5706=$C$4)*('TREASURY FILE'!D705:D5706="TURNOVER")*('TREASURY FILE'!A705:A5706=A806)*('TREASURY FILE'!F705:F5706))</f>
        <v>0</v>
      </c>
      <c r="D806" s="24" cm="1">
        <f t="array" ref="D806">SUMPRODUCT(('TREASURY FILE'!B705:B5706=$D$4)*('TREASURY FILE'!D705:D5706="TURNOVER")*('TREASURY FILE'!A705:A5706=A806)*('TREASURY FILE'!F705:F5706))</f>
        <v>0</v>
      </c>
      <c r="E806" s="31">
        <f t="shared" si="38"/>
        <v>0</v>
      </c>
      <c r="G806" s="24" cm="1">
        <f t="array" ref="G806">SUMPRODUCT(('TREASURY FILE'!B705:B5706=$G$4)*('TREASURY FILE'!D705:D5706="INCOME")*('TREASURY FILE'!A705:A5706=A806)*('TREASURY FILE'!F705:F5706))</f>
        <v>0</v>
      </c>
      <c r="H806" s="24" cm="1">
        <f t="array" ref="H806">SUMPRODUCT(('TREASURY FILE'!B705:B5706=$H$4)*('TREASURY FILE'!D705:D5706="INCOME")*('TREASURY FILE'!A705:A5706=A806)*('TREASURY FILE'!F705:F5706))</f>
        <v>0</v>
      </c>
      <c r="I806" s="24" cm="1">
        <f t="array" ref="I806">SUMPRODUCT(('TREASURY FILE'!D714:D5706=$I$4)*('TREASURY FILE'!F714:F5706="INCOME")*('TREASURY FILE'!C714:C5706=C806)*('TREASURY FILE'!H714:H5706))</f>
        <v>0</v>
      </c>
      <c r="J806" s="31">
        <f t="shared" si="39"/>
        <v>0</v>
      </c>
      <c r="K806" s="33" t="e">
        <f t="shared" si="40"/>
        <v>#DIV/0!</v>
      </c>
    </row>
    <row r="807" spans="1:11" x14ac:dyDescent="0.3">
      <c r="A807" s="30">
        <v>46460</v>
      </c>
      <c r="B807" s="24" cm="1">
        <f t="array" ref="B807">SUMPRODUCT(('TREASURY FILE'!B706:B5707=$B$4)*('TREASURY FILE'!D706:D5707="TURNOVER")*('TREASURY FILE'!A706:A5707=A807)*('TREASURY FILE'!F706:F5707))</f>
        <v>0</v>
      </c>
      <c r="C807" s="24" cm="1">
        <f t="array" ref="C807">SUMPRODUCT(('TREASURY FILE'!B706:B5707=$C$4)*('TREASURY FILE'!D706:D5707="TURNOVER")*('TREASURY FILE'!A706:A5707=A807)*('TREASURY FILE'!F706:F5707))</f>
        <v>0</v>
      </c>
      <c r="D807" s="24" cm="1">
        <f t="array" ref="D807">SUMPRODUCT(('TREASURY FILE'!B706:B5707=$D$4)*('TREASURY FILE'!D706:D5707="TURNOVER")*('TREASURY FILE'!A706:A5707=A807)*('TREASURY FILE'!F706:F5707))</f>
        <v>0</v>
      </c>
      <c r="E807" s="31">
        <f t="shared" si="38"/>
        <v>0</v>
      </c>
      <c r="G807" s="24" cm="1">
        <f t="array" ref="G807">SUMPRODUCT(('TREASURY FILE'!B706:B5707=$G$4)*('TREASURY FILE'!D706:D5707="INCOME")*('TREASURY FILE'!A706:A5707=A807)*('TREASURY FILE'!F706:F5707))</f>
        <v>0</v>
      </c>
      <c r="H807" s="24" cm="1">
        <f t="array" ref="H807">SUMPRODUCT(('TREASURY FILE'!B706:B5707=$H$4)*('TREASURY FILE'!D706:D5707="INCOME")*('TREASURY FILE'!A706:A5707=A807)*('TREASURY FILE'!F706:F5707))</f>
        <v>0</v>
      </c>
      <c r="I807" s="24" cm="1">
        <f t="array" ref="I807">SUMPRODUCT(('TREASURY FILE'!D715:D5707=$I$4)*('TREASURY FILE'!F715:F5707="INCOME")*('TREASURY FILE'!C715:C5707=C807)*('TREASURY FILE'!H715:H5707))</f>
        <v>0</v>
      </c>
      <c r="J807" s="31">
        <f t="shared" si="39"/>
        <v>0</v>
      </c>
      <c r="K807" s="33" t="e">
        <f t="shared" si="40"/>
        <v>#DIV/0!</v>
      </c>
    </row>
    <row r="808" spans="1:11" x14ac:dyDescent="0.3">
      <c r="A808" s="30">
        <v>46461</v>
      </c>
      <c r="B808" s="24" cm="1">
        <f t="array" ref="B808">SUMPRODUCT(('TREASURY FILE'!B707:B5708=$B$4)*('TREASURY FILE'!D707:D5708="TURNOVER")*('TREASURY FILE'!A707:A5708=A808)*('TREASURY FILE'!F707:F5708))</f>
        <v>0</v>
      </c>
      <c r="C808" s="24" cm="1">
        <f t="array" ref="C808">SUMPRODUCT(('TREASURY FILE'!B707:B5708=$C$4)*('TREASURY FILE'!D707:D5708="TURNOVER")*('TREASURY FILE'!A707:A5708=A808)*('TREASURY FILE'!F707:F5708))</f>
        <v>0</v>
      </c>
      <c r="D808" s="24" cm="1">
        <f t="array" ref="D808">SUMPRODUCT(('TREASURY FILE'!B707:B5708=$D$4)*('TREASURY FILE'!D707:D5708="TURNOVER")*('TREASURY FILE'!A707:A5708=A808)*('TREASURY FILE'!F707:F5708))</f>
        <v>0</v>
      </c>
      <c r="E808" s="31">
        <f t="shared" si="38"/>
        <v>0</v>
      </c>
      <c r="G808" s="24" cm="1">
        <f t="array" ref="G808">SUMPRODUCT(('TREASURY FILE'!B707:B5708=$G$4)*('TREASURY FILE'!D707:D5708="INCOME")*('TREASURY FILE'!A707:A5708=A808)*('TREASURY FILE'!F707:F5708))</f>
        <v>0</v>
      </c>
      <c r="H808" s="24" cm="1">
        <f t="array" ref="H808">SUMPRODUCT(('TREASURY FILE'!B707:B5708=$H$4)*('TREASURY FILE'!D707:D5708="INCOME")*('TREASURY FILE'!A707:A5708=A808)*('TREASURY FILE'!F707:F5708))</f>
        <v>0</v>
      </c>
      <c r="I808" s="24" cm="1">
        <f t="array" ref="I808">SUMPRODUCT(('TREASURY FILE'!D716:D5708=$I$4)*('TREASURY FILE'!F716:F5708="INCOME")*('TREASURY FILE'!C716:C5708=C808)*('TREASURY FILE'!H716:H5708))</f>
        <v>0</v>
      </c>
      <c r="J808" s="31">
        <f t="shared" si="39"/>
        <v>0</v>
      </c>
      <c r="K808" s="33" t="e">
        <f t="shared" si="40"/>
        <v>#DIV/0!</v>
      </c>
    </row>
    <row r="809" spans="1:11" x14ac:dyDescent="0.3">
      <c r="A809" s="30">
        <v>46462</v>
      </c>
      <c r="B809" s="24" cm="1">
        <f t="array" ref="B809">SUMPRODUCT(('TREASURY FILE'!B708:B5709=$B$4)*('TREASURY FILE'!D708:D5709="TURNOVER")*('TREASURY FILE'!A708:A5709=A809)*('TREASURY FILE'!F708:F5709))</f>
        <v>0</v>
      </c>
      <c r="C809" s="24" cm="1">
        <f t="array" ref="C809">SUMPRODUCT(('TREASURY FILE'!B708:B5709=$C$4)*('TREASURY FILE'!D708:D5709="TURNOVER")*('TREASURY FILE'!A708:A5709=A809)*('TREASURY FILE'!F708:F5709))</f>
        <v>0</v>
      </c>
      <c r="D809" s="24" cm="1">
        <f t="array" ref="D809">SUMPRODUCT(('TREASURY FILE'!B708:B5709=$D$4)*('TREASURY FILE'!D708:D5709="TURNOVER")*('TREASURY FILE'!A708:A5709=A809)*('TREASURY FILE'!F708:F5709))</f>
        <v>0</v>
      </c>
      <c r="E809" s="31">
        <f t="shared" si="38"/>
        <v>0</v>
      </c>
      <c r="G809" s="24" cm="1">
        <f t="array" ref="G809">SUMPRODUCT(('TREASURY FILE'!B708:B5709=$G$4)*('TREASURY FILE'!D708:D5709="INCOME")*('TREASURY FILE'!A708:A5709=A809)*('TREASURY FILE'!F708:F5709))</f>
        <v>0</v>
      </c>
      <c r="H809" s="24" cm="1">
        <f t="array" ref="H809">SUMPRODUCT(('TREASURY FILE'!B708:B5709=$H$4)*('TREASURY FILE'!D708:D5709="INCOME")*('TREASURY FILE'!A708:A5709=A809)*('TREASURY FILE'!F708:F5709))</f>
        <v>0</v>
      </c>
      <c r="I809" s="24" cm="1">
        <f t="array" ref="I809">SUMPRODUCT(('TREASURY FILE'!D717:D5709=$I$4)*('TREASURY FILE'!F717:F5709="INCOME")*('TREASURY FILE'!C717:C5709=C809)*('TREASURY FILE'!H717:H5709))</f>
        <v>0</v>
      </c>
      <c r="J809" s="31">
        <f t="shared" si="39"/>
        <v>0</v>
      </c>
      <c r="K809" s="33" t="e">
        <f t="shared" si="40"/>
        <v>#DIV/0!</v>
      </c>
    </row>
    <row r="810" spans="1:11" x14ac:dyDescent="0.3">
      <c r="A810" s="30">
        <v>46463</v>
      </c>
      <c r="B810" s="24" cm="1">
        <f t="array" ref="B810">SUMPRODUCT(('TREASURY FILE'!B709:B5710=$B$4)*('TREASURY FILE'!D709:D5710="TURNOVER")*('TREASURY FILE'!A709:A5710=A810)*('TREASURY FILE'!F709:F5710))</f>
        <v>0</v>
      </c>
      <c r="C810" s="24" cm="1">
        <f t="array" ref="C810">SUMPRODUCT(('TREASURY FILE'!B709:B5710=$C$4)*('TREASURY FILE'!D709:D5710="TURNOVER")*('TREASURY FILE'!A709:A5710=A810)*('TREASURY FILE'!F709:F5710))</f>
        <v>0</v>
      </c>
      <c r="D810" s="24" cm="1">
        <f t="array" ref="D810">SUMPRODUCT(('TREASURY FILE'!B709:B5710=$D$4)*('TREASURY FILE'!D709:D5710="TURNOVER")*('TREASURY FILE'!A709:A5710=A810)*('TREASURY FILE'!F709:F5710))</f>
        <v>0</v>
      </c>
      <c r="E810" s="31">
        <f t="shared" si="38"/>
        <v>0</v>
      </c>
      <c r="G810" s="24" cm="1">
        <f t="array" ref="G810">SUMPRODUCT(('TREASURY FILE'!B709:B5710=$G$4)*('TREASURY FILE'!D709:D5710="INCOME")*('TREASURY FILE'!A709:A5710=A810)*('TREASURY FILE'!F709:F5710))</f>
        <v>0</v>
      </c>
      <c r="H810" s="24" cm="1">
        <f t="array" ref="H810">SUMPRODUCT(('TREASURY FILE'!B709:B5710=$H$4)*('TREASURY FILE'!D709:D5710="INCOME")*('TREASURY FILE'!A709:A5710=A810)*('TREASURY FILE'!F709:F5710))</f>
        <v>0</v>
      </c>
      <c r="I810" s="24" cm="1">
        <f t="array" ref="I810">SUMPRODUCT(('TREASURY FILE'!D718:D5710=$I$4)*('TREASURY FILE'!F718:F5710="INCOME")*('TREASURY FILE'!C718:C5710=C810)*('TREASURY FILE'!H718:H5710))</f>
        <v>0</v>
      </c>
      <c r="J810" s="31">
        <f t="shared" si="39"/>
        <v>0</v>
      </c>
      <c r="K810" s="33" t="e">
        <f t="shared" si="40"/>
        <v>#DIV/0!</v>
      </c>
    </row>
    <row r="811" spans="1:11" x14ac:dyDescent="0.3">
      <c r="A811" s="30">
        <v>46464</v>
      </c>
      <c r="B811" s="24" cm="1">
        <f t="array" ref="B811">SUMPRODUCT(('TREASURY FILE'!B710:B5711=$B$4)*('TREASURY FILE'!D710:D5711="TURNOVER")*('TREASURY FILE'!A710:A5711=A811)*('TREASURY FILE'!F710:F5711))</f>
        <v>0</v>
      </c>
      <c r="C811" s="24" cm="1">
        <f t="array" ref="C811">SUMPRODUCT(('TREASURY FILE'!B710:B5711=$C$4)*('TREASURY FILE'!D710:D5711="TURNOVER")*('TREASURY FILE'!A710:A5711=A811)*('TREASURY FILE'!F710:F5711))</f>
        <v>0</v>
      </c>
      <c r="D811" s="24" cm="1">
        <f t="array" ref="D811">SUMPRODUCT(('TREASURY FILE'!B710:B5711=$D$4)*('TREASURY FILE'!D710:D5711="TURNOVER")*('TREASURY FILE'!A710:A5711=A811)*('TREASURY FILE'!F710:F5711))</f>
        <v>0</v>
      </c>
      <c r="E811" s="31">
        <f t="shared" si="38"/>
        <v>0</v>
      </c>
      <c r="G811" s="24" cm="1">
        <f t="array" ref="G811">SUMPRODUCT(('TREASURY FILE'!B710:B5711=$G$4)*('TREASURY FILE'!D710:D5711="INCOME")*('TREASURY FILE'!A710:A5711=A811)*('TREASURY FILE'!F710:F5711))</f>
        <v>0</v>
      </c>
      <c r="H811" s="24" cm="1">
        <f t="array" ref="H811">SUMPRODUCT(('TREASURY FILE'!B710:B5711=$H$4)*('TREASURY FILE'!D710:D5711="INCOME")*('TREASURY FILE'!A710:A5711=A811)*('TREASURY FILE'!F710:F5711))</f>
        <v>0</v>
      </c>
      <c r="I811" s="24" cm="1">
        <f t="array" ref="I811">SUMPRODUCT(('TREASURY FILE'!D719:D5711=$I$4)*('TREASURY FILE'!F719:F5711="INCOME")*('TREASURY FILE'!C719:C5711=C811)*('TREASURY FILE'!H719:H5711))</f>
        <v>0</v>
      </c>
      <c r="J811" s="31">
        <f t="shared" si="39"/>
        <v>0</v>
      </c>
      <c r="K811" s="33" t="e">
        <f t="shared" si="40"/>
        <v>#DIV/0!</v>
      </c>
    </row>
    <row r="812" spans="1:11" x14ac:dyDescent="0.3">
      <c r="A812" s="30">
        <v>46465</v>
      </c>
      <c r="B812" s="24" cm="1">
        <f t="array" ref="B812">SUMPRODUCT(('TREASURY FILE'!B711:B5712=$B$4)*('TREASURY FILE'!D711:D5712="TURNOVER")*('TREASURY FILE'!A711:A5712=A812)*('TREASURY FILE'!F711:F5712))</f>
        <v>0</v>
      </c>
      <c r="C812" s="24" cm="1">
        <f t="array" ref="C812">SUMPRODUCT(('TREASURY FILE'!B711:B5712=$C$4)*('TREASURY FILE'!D711:D5712="TURNOVER")*('TREASURY FILE'!A711:A5712=A812)*('TREASURY FILE'!F711:F5712))</f>
        <v>0</v>
      </c>
      <c r="D812" s="24" cm="1">
        <f t="array" ref="D812">SUMPRODUCT(('TREASURY FILE'!B711:B5712=$D$4)*('TREASURY FILE'!D711:D5712="TURNOVER")*('TREASURY FILE'!A711:A5712=A812)*('TREASURY FILE'!F711:F5712))</f>
        <v>0</v>
      </c>
      <c r="E812" s="31">
        <f t="shared" si="38"/>
        <v>0</v>
      </c>
      <c r="G812" s="24" cm="1">
        <f t="array" ref="G812">SUMPRODUCT(('TREASURY FILE'!B711:B5712=$G$4)*('TREASURY FILE'!D711:D5712="INCOME")*('TREASURY FILE'!A711:A5712=A812)*('TREASURY FILE'!F711:F5712))</f>
        <v>0</v>
      </c>
      <c r="H812" s="24" cm="1">
        <f t="array" ref="H812">SUMPRODUCT(('TREASURY FILE'!B711:B5712=$H$4)*('TREASURY FILE'!D711:D5712="INCOME")*('TREASURY FILE'!A711:A5712=A812)*('TREASURY FILE'!F711:F5712))</f>
        <v>0</v>
      </c>
      <c r="I812" s="24" cm="1">
        <f t="array" ref="I812">SUMPRODUCT(('TREASURY FILE'!D720:D5712=$I$4)*('TREASURY FILE'!F720:F5712="INCOME")*('TREASURY FILE'!C720:C5712=C812)*('TREASURY FILE'!H720:H5712))</f>
        <v>0</v>
      </c>
      <c r="J812" s="31">
        <f t="shared" si="39"/>
        <v>0</v>
      </c>
      <c r="K812" s="33" t="e">
        <f t="shared" si="40"/>
        <v>#DIV/0!</v>
      </c>
    </row>
    <row r="813" spans="1:11" x14ac:dyDescent="0.3">
      <c r="A813" s="30">
        <v>46466</v>
      </c>
      <c r="B813" s="24" cm="1">
        <f t="array" ref="B813">SUMPRODUCT(('TREASURY FILE'!B712:B5713=$B$4)*('TREASURY FILE'!D712:D5713="TURNOVER")*('TREASURY FILE'!A712:A5713=A813)*('TREASURY FILE'!F712:F5713))</f>
        <v>0</v>
      </c>
      <c r="C813" s="24" cm="1">
        <f t="array" ref="C813">SUMPRODUCT(('TREASURY FILE'!B712:B5713=$C$4)*('TREASURY FILE'!D712:D5713="TURNOVER")*('TREASURY FILE'!A712:A5713=A813)*('TREASURY FILE'!F712:F5713))</f>
        <v>0</v>
      </c>
      <c r="D813" s="24" cm="1">
        <f t="array" ref="D813">SUMPRODUCT(('TREASURY FILE'!B712:B5713=$D$4)*('TREASURY FILE'!D712:D5713="TURNOVER")*('TREASURY FILE'!A712:A5713=A813)*('TREASURY FILE'!F712:F5713))</f>
        <v>0</v>
      </c>
      <c r="E813" s="31">
        <f t="shared" si="38"/>
        <v>0</v>
      </c>
      <c r="G813" s="24" cm="1">
        <f t="array" ref="G813">SUMPRODUCT(('TREASURY FILE'!B712:B5713=$G$4)*('TREASURY FILE'!D712:D5713="INCOME")*('TREASURY FILE'!A712:A5713=A813)*('TREASURY FILE'!F712:F5713))</f>
        <v>0</v>
      </c>
      <c r="H813" s="24" cm="1">
        <f t="array" ref="H813">SUMPRODUCT(('TREASURY FILE'!B712:B5713=$H$4)*('TREASURY FILE'!D712:D5713="INCOME")*('TREASURY FILE'!A712:A5713=A813)*('TREASURY FILE'!F712:F5713))</f>
        <v>0</v>
      </c>
      <c r="I813" s="24" cm="1">
        <f t="array" ref="I813">SUMPRODUCT(('TREASURY FILE'!D721:D5713=$I$4)*('TREASURY FILE'!F721:F5713="INCOME")*('TREASURY FILE'!C721:C5713=C813)*('TREASURY FILE'!H721:H5713))</f>
        <v>0</v>
      </c>
      <c r="J813" s="31">
        <f t="shared" si="39"/>
        <v>0</v>
      </c>
      <c r="K813" s="33" t="e">
        <f t="shared" si="40"/>
        <v>#DIV/0!</v>
      </c>
    </row>
    <row r="814" spans="1:11" x14ac:dyDescent="0.3">
      <c r="A814" s="30">
        <v>46467</v>
      </c>
      <c r="B814" s="24" cm="1">
        <f t="array" ref="B814">SUMPRODUCT(('TREASURY FILE'!B713:B5714=$B$4)*('TREASURY FILE'!D713:D5714="TURNOVER")*('TREASURY FILE'!A713:A5714=A814)*('TREASURY FILE'!F713:F5714))</f>
        <v>0</v>
      </c>
      <c r="C814" s="24" cm="1">
        <f t="array" ref="C814">SUMPRODUCT(('TREASURY FILE'!B713:B5714=$C$4)*('TREASURY FILE'!D713:D5714="TURNOVER")*('TREASURY FILE'!A713:A5714=A814)*('TREASURY FILE'!F713:F5714))</f>
        <v>0</v>
      </c>
      <c r="D814" s="24" cm="1">
        <f t="array" ref="D814">SUMPRODUCT(('TREASURY FILE'!B713:B5714=$D$4)*('TREASURY FILE'!D713:D5714="TURNOVER")*('TREASURY FILE'!A713:A5714=A814)*('TREASURY FILE'!F713:F5714))</f>
        <v>0</v>
      </c>
      <c r="E814" s="31">
        <f t="shared" si="38"/>
        <v>0</v>
      </c>
      <c r="G814" s="24" cm="1">
        <f t="array" ref="G814">SUMPRODUCT(('TREASURY FILE'!B713:B5714=$G$4)*('TREASURY FILE'!D713:D5714="INCOME")*('TREASURY FILE'!A713:A5714=A814)*('TREASURY FILE'!F713:F5714))</f>
        <v>0</v>
      </c>
      <c r="H814" s="24" cm="1">
        <f t="array" ref="H814">SUMPRODUCT(('TREASURY FILE'!B713:B5714=$H$4)*('TREASURY FILE'!D713:D5714="INCOME")*('TREASURY FILE'!A713:A5714=A814)*('TREASURY FILE'!F713:F5714))</f>
        <v>0</v>
      </c>
      <c r="I814" s="24" cm="1">
        <f t="array" ref="I814">SUMPRODUCT(('TREASURY FILE'!D722:D5714=$I$4)*('TREASURY FILE'!F722:F5714="INCOME")*('TREASURY FILE'!C722:C5714=C814)*('TREASURY FILE'!H722:H5714))</f>
        <v>0</v>
      </c>
      <c r="J814" s="31">
        <f t="shared" si="39"/>
        <v>0</v>
      </c>
      <c r="K814" s="33" t="e">
        <f t="shared" si="40"/>
        <v>#DIV/0!</v>
      </c>
    </row>
    <row r="815" spans="1:11" x14ac:dyDescent="0.3">
      <c r="A815" s="30">
        <v>46468</v>
      </c>
      <c r="B815" s="24" cm="1">
        <f t="array" ref="B815">SUMPRODUCT(('TREASURY FILE'!B714:B5715=$B$4)*('TREASURY FILE'!D714:D5715="TURNOVER")*('TREASURY FILE'!A714:A5715=A815)*('TREASURY FILE'!F714:F5715))</f>
        <v>0</v>
      </c>
      <c r="C815" s="24" cm="1">
        <f t="array" ref="C815">SUMPRODUCT(('TREASURY FILE'!B714:B5715=$C$4)*('TREASURY FILE'!D714:D5715="TURNOVER")*('TREASURY FILE'!A714:A5715=A815)*('TREASURY FILE'!F714:F5715))</f>
        <v>0</v>
      </c>
      <c r="D815" s="24" cm="1">
        <f t="array" ref="D815">SUMPRODUCT(('TREASURY FILE'!B714:B5715=$D$4)*('TREASURY FILE'!D714:D5715="TURNOVER")*('TREASURY FILE'!A714:A5715=A815)*('TREASURY FILE'!F714:F5715))</f>
        <v>0</v>
      </c>
      <c r="E815" s="31">
        <f t="shared" si="38"/>
        <v>0</v>
      </c>
      <c r="G815" s="24" cm="1">
        <f t="array" ref="G815">SUMPRODUCT(('TREASURY FILE'!B714:B5715=$G$4)*('TREASURY FILE'!D714:D5715="INCOME")*('TREASURY FILE'!A714:A5715=A815)*('TREASURY FILE'!F714:F5715))</f>
        <v>0</v>
      </c>
      <c r="H815" s="24" cm="1">
        <f t="array" ref="H815">SUMPRODUCT(('TREASURY FILE'!B714:B5715=$H$4)*('TREASURY FILE'!D714:D5715="INCOME")*('TREASURY FILE'!A714:A5715=A815)*('TREASURY FILE'!F714:F5715))</f>
        <v>0</v>
      </c>
      <c r="I815" s="24" cm="1">
        <f t="array" ref="I815">SUMPRODUCT(('TREASURY FILE'!D723:D5715=$I$4)*('TREASURY FILE'!F723:F5715="INCOME")*('TREASURY FILE'!C723:C5715=C815)*('TREASURY FILE'!H723:H5715))</f>
        <v>0</v>
      </c>
      <c r="J815" s="31">
        <f t="shared" si="39"/>
        <v>0</v>
      </c>
      <c r="K815" s="33" t="e">
        <f t="shared" si="40"/>
        <v>#DIV/0!</v>
      </c>
    </row>
    <row r="816" spans="1:11" x14ac:dyDescent="0.3">
      <c r="A816" s="30">
        <v>46469</v>
      </c>
      <c r="B816" s="24" cm="1">
        <f t="array" ref="B816">SUMPRODUCT(('TREASURY FILE'!B715:B5716=$B$4)*('TREASURY FILE'!D715:D5716="TURNOVER")*('TREASURY FILE'!A715:A5716=A816)*('TREASURY FILE'!F715:F5716))</f>
        <v>0</v>
      </c>
      <c r="C816" s="24" cm="1">
        <f t="array" ref="C816">SUMPRODUCT(('TREASURY FILE'!B715:B5716=$C$4)*('TREASURY FILE'!D715:D5716="TURNOVER")*('TREASURY FILE'!A715:A5716=A816)*('TREASURY FILE'!F715:F5716))</f>
        <v>0</v>
      </c>
      <c r="D816" s="24" cm="1">
        <f t="array" ref="D816">SUMPRODUCT(('TREASURY FILE'!B715:B5716=$D$4)*('TREASURY FILE'!D715:D5716="TURNOVER")*('TREASURY FILE'!A715:A5716=A816)*('TREASURY FILE'!F715:F5716))</f>
        <v>0</v>
      </c>
      <c r="E816" s="31">
        <f t="shared" si="38"/>
        <v>0</v>
      </c>
      <c r="G816" s="24" cm="1">
        <f t="array" ref="G816">SUMPRODUCT(('TREASURY FILE'!B715:B5716=$G$4)*('TREASURY FILE'!D715:D5716="INCOME")*('TREASURY FILE'!A715:A5716=A816)*('TREASURY FILE'!F715:F5716))</f>
        <v>0</v>
      </c>
      <c r="H816" s="24" cm="1">
        <f t="array" ref="H816">SUMPRODUCT(('TREASURY FILE'!B715:B5716=$H$4)*('TREASURY FILE'!D715:D5716="INCOME")*('TREASURY FILE'!A715:A5716=A816)*('TREASURY FILE'!F715:F5716))</f>
        <v>0</v>
      </c>
      <c r="I816" s="24" cm="1">
        <f t="array" ref="I816">SUMPRODUCT(('TREASURY FILE'!D724:D5716=$I$4)*('TREASURY FILE'!F724:F5716="INCOME")*('TREASURY FILE'!C724:C5716=C816)*('TREASURY FILE'!H724:H5716))</f>
        <v>0</v>
      </c>
      <c r="J816" s="31">
        <f t="shared" si="39"/>
        <v>0</v>
      </c>
      <c r="K816" s="33" t="e">
        <f t="shared" si="40"/>
        <v>#DIV/0!</v>
      </c>
    </row>
    <row r="817" spans="1:11" x14ac:dyDescent="0.3">
      <c r="A817" s="30">
        <v>46470</v>
      </c>
      <c r="B817" s="24" cm="1">
        <f t="array" ref="B817">SUMPRODUCT(('TREASURY FILE'!B716:B5717=$B$4)*('TREASURY FILE'!D716:D5717="TURNOVER")*('TREASURY FILE'!A716:A5717=A817)*('TREASURY FILE'!F716:F5717))</f>
        <v>0</v>
      </c>
      <c r="C817" s="24" cm="1">
        <f t="array" ref="C817">SUMPRODUCT(('TREASURY FILE'!B716:B5717=$C$4)*('TREASURY FILE'!D716:D5717="TURNOVER")*('TREASURY FILE'!A716:A5717=A817)*('TREASURY FILE'!F716:F5717))</f>
        <v>0</v>
      </c>
      <c r="D817" s="24" cm="1">
        <f t="array" ref="D817">SUMPRODUCT(('TREASURY FILE'!B716:B5717=$D$4)*('TREASURY FILE'!D716:D5717="TURNOVER")*('TREASURY FILE'!A716:A5717=A817)*('TREASURY FILE'!F716:F5717))</f>
        <v>0</v>
      </c>
      <c r="E817" s="31">
        <f t="shared" si="38"/>
        <v>0</v>
      </c>
      <c r="G817" s="24" cm="1">
        <f t="array" ref="G817">SUMPRODUCT(('TREASURY FILE'!B716:B5717=$G$4)*('TREASURY FILE'!D716:D5717="INCOME")*('TREASURY FILE'!A716:A5717=A817)*('TREASURY FILE'!F716:F5717))</f>
        <v>0</v>
      </c>
      <c r="H817" s="24" cm="1">
        <f t="array" ref="H817">SUMPRODUCT(('TREASURY FILE'!B716:B5717=$H$4)*('TREASURY FILE'!D716:D5717="INCOME")*('TREASURY FILE'!A716:A5717=A817)*('TREASURY FILE'!F716:F5717))</f>
        <v>0</v>
      </c>
      <c r="I817" s="24" cm="1">
        <f t="array" ref="I817">SUMPRODUCT(('TREASURY FILE'!D725:D5717=$I$4)*('TREASURY FILE'!F725:F5717="INCOME")*('TREASURY FILE'!C725:C5717=C817)*('TREASURY FILE'!H725:H5717))</f>
        <v>0</v>
      </c>
      <c r="J817" s="31">
        <f t="shared" si="39"/>
        <v>0</v>
      </c>
      <c r="K817" s="33" t="e">
        <f t="shared" si="40"/>
        <v>#DIV/0!</v>
      </c>
    </row>
    <row r="818" spans="1:11" x14ac:dyDescent="0.3">
      <c r="A818" s="30">
        <v>46471</v>
      </c>
      <c r="B818" s="24" cm="1">
        <f t="array" ref="B818">SUMPRODUCT(('TREASURY FILE'!B717:B5718=$B$4)*('TREASURY FILE'!D717:D5718="TURNOVER")*('TREASURY FILE'!A717:A5718=A818)*('TREASURY FILE'!F717:F5718))</f>
        <v>0</v>
      </c>
      <c r="C818" s="24" cm="1">
        <f t="array" ref="C818">SUMPRODUCT(('TREASURY FILE'!B717:B5718=$C$4)*('TREASURY FILE'!D717:D5718="TURNOVER")*('TREASURY FILE'!A717:A5718=A818)*('TREASURY FILE'!F717:F5718))</f>
        <v>0</v>
      </c>
      <c r="D818" s="24" cm="1">
        <f t="array" ref="D818">SUMPRODUCT(('TREASURY FILE'!B717:B5718=$D$4)*('TREASURY FILE'!D717:D5718="TURNOVER")*('TREASURY FILE'!A717:A5718=A818)*('TREASURY FILE'!F717:F5718))</f>
        <v>0</v>
      </c>
      <c r="E818" s="31">
        <f t="shared" si="38"/>
        <v>0</v>
      </c>
      <c r="G818" s="24" cm="1">
        <f t="array" ref="G818">SUMPRODUCT(('TREASURY FILE'!B717:B5718=$G$4)*('TREASURY FILE'!D717:D5718="INCOME")*('TREASURY FILE'!A717:A5718=A818)*('TREASURY FILE'!F717:F5718))</f>
        <v>0</v>
      </c>
      <c r="H818" s="24" cm="1">
        <f t="array" ref="H818">SUMPRODUCT(('TREASURY FILE'!B717:B5718=$H$4)*('TREASURY FILE'!D717:D5718="INCOME")*('TREASURY FILE'!A717:A5718=A818)*('TREASURY FILE'!F717:F5718))</f>
        <v>0</v>
      </c>
      <c r="I818" s="24" cm="1">
        <f t="array" ref="I818">SUMPRODUCT(('TREASURY FILE'!D726:D5718=$I$4)*('TREASURY FILE'!F726:F5718="INCOME")*('TREASURY FILE'!C726:C5718=C818)*('TREASURY FILE'!H726:H5718))</f>
        <v>0</v>
      </c>
      <c r="J818" s="31">
        <f t="shared" si="39"/>
        <v>0</v>
      </c>
      <c r="K818" s="33" t="e">
        <f t="shared" si="40"/>
        <v>#DIV/0!</v>
      </c>
    </row>
    <row r="819" spans="1:11" x14ac:dyDescent="0.3">
      <c r="A819" s="30">
        <v>46472</v>
      </c>
      <c r="B819" s="24" cm="1">
        <f t="array" ref="B819">SUMPRODUCT(('TREASURY FILE'!B718:B5719=$B$4)*('TREASURY FILE'!D718:D5719="TURNOVER")*('TREASURY FILE'!A718:A5719=A819)*('TREASURY FILE'!F718:F5719))</f>
        <v>0</v>
      </c>
      <c r="C819" s="24" cm="1">
        <f t="array" ref="C819">SUMPRODUCT(('TREASURY FILE'!B718:B5719=$C$4)*('TREASURY FILE'!D718:D5719="TURNOVER")*('TREASURY FILE'!A718:A5719=A819)*('TREASURY FILE'!F718:F5719))</f>
        <v>0</v>
      </c>
      <c r="D819" s="24" cm="1">
        <f t="array" ref="D819">SUMPRODUCT(('TREASURY FILE'!B718:B5719=$D$4)*('TREASURY FILE'!D718:D5719="TURNOVER")*('TREASURY FILE'!A718:A5719=A819)*('TREASURY FILE'!F718:F5719))</f>
        <v>0</v>
      </c>
      <c r="E819" s="31">
        <f t="shared" si="38"/>
        <v>0</v>
      </c>
      <c r="G819" s="24" cm="1">
        <f t="array" ref="G819">SUMPRODUCT(('TREASURY FILE'!B718:B5719=$G$4)*('TREASURY FILE'!D718:D5719="INCOME")*('TREASURY FILE'!A718:A5719=A819)*('TREASURY FILE'!F718:F5719))</f>
        <v>0</v>
      </c>
      <c r="H819" s="24" cm="1">
        <f t="array" ref="H819">SUMPRODUCT(('TREASURY FILE'!B718:B5719=$H$4)*('TREASURY FILE'!D718:D5719="INCOME")*('TREASURY FILE'!A718:A5719=A819)*('TREASURY FILE'!F718:F5719))</f>
        <v>0</v>
      </c>
      <c r="I819" s="24" cm="1">
        <f t="array" ref="I819">SUMPRODUCT(('TREASURY FILE'!D727:D5719=$I$4)*('TREASURY FILE'!F727:F5719="INCOME")*('TREASURY FILE'!C727:C5719=C819)*('TREASURY FILE'!H727:H5719))</f>
        <v>0</v>
      </c>
      <c r="J819" s="31">
        <f t="shared" si="39"/>
        <v>0</v>
      </c>
      <c r="K819" s="33" t="e">
        <f t="shared" si="40"/>
        <v>#DIV/0!</v>
      </c>
    </row>
    <row r="820" spans="1:11" x14ac:dyDescent="0.3">
      <c r="A820" s="30">
        <v>46473</v>
      </c>
      <c r="B820" s="24" cm="1">
        <f t="array" ref="B820">SUMPRODUCT(('TREASURY FILE'!B719:B5720=$B$4)*('TREASURY FILE'!D719:D5720="TURNOVER")*('TREASURY FILE'!A719:A5720=A820)*('TREASURY FILE'!F719:F5720))</f>
        <v>0</v>
      </c>
      <c r="C820" s="24" cm="1">
        <f t="array" ref="C820">SUMPRODUCT(('TREASURY FILE'!B719:B5720=$C$4)*('TREASURY FILE'!D719:D5720="TURNOVER")*('TREASURY FILE'!A719:A5720=A820)*('TREASURY FILE'!F719:F5720))</f>
        <v>0</v>
      </c>
      <c r="D820" s="24" cm="1">
        <f t="array" ref="D820">SUMPRODUCT(('TREASURY FILE'!B719:B5720=$D$4)*('TREASURY FILE'!D719:D5720="TURNOVER")*('TREASURY FILE'!A719:A5720=A820)*('TREASURY FILE'!F719:F5720))</f>
        <v>0</v>
      </c>
      <c r="E820" s="31">
        <f t="shared" si="38"/>
        <v>0</v>
      </c>
      <c r="G820" s="24" cm="1">
        <f t="array" ref="G820">SUMPRODUCT(('TREASURY FILE'!B719:B5720=$G$4)*('TREASURY FILE'!D719:D5720="INCOME")*('TREASURY FILE'!A719:A5720=A820)*('TREASURY FILE'!F719:F5720))</f>
        <v>0</v>
      </c>
      <c r="H820" s="24" cm="1">
        <f t="array" ref="H820">SUMPRODUCT(('TREASURY FILE'!B719:B5720=$H$4)*('TREASURY FILE'!D719:D5720="INCOME")*('TREASURY FILE'!A719:A5720=A820)*('TREASURY FILE'!F719:F5720))</f>
        <v>0</v>
      </c>
      <c r="I820" s="24" cm="1">
        <f t="array" ref="I820">SUMPRODUCT(('TREASURY FILE'!D728:D5720=$I$4)*('TREASURY FILE'!F728:F5720="INCOME")*('TREASURY FILE'!C728:C5720=C820)*('TREASURY FILE'!H728:H5720))</f>
        <v>0</v>
      </c>
      <c r="J820" s="31">
        <f t="shared" si="39"/>
        <v>0</v>
      </c>
      <c r="K820" s="33" t="e">
        <f t="shared" si="40"/>
        <v>#DIV/0!</v>
      </c>
    </row>
    <row r="821" spans="1:11" x14ac:dyDescent="0.3">
      <c r="A821" s="30">
        <v>46474</v>
      </c>
      <c r="B821" s="24" cm="1">
        <f t="array" ref="B821">SUMPRODUCT(('TREASURY FILE'!B720:B5721=$B$4)*('TREASURY FILE'!D720:D5721="TURNOVER")*('TREASURY FILE'!A720:A5721=A821)*('TREASURY FILE'!F720:F5721))</f>
        <v>0</v>
      </c>
      <c r="C821" s="24" cm="1">
        <f t="array" ref="C821">SUMPRODUCT(('TREASURY FILE'!B720:B5721=$C$4)*('TREASURY FILE'!D720:D5721="TURNOVER")*('TREASURY FILE'!A720:A5721=A821)*('TREASURY FILE'!F720:F5721))</f>
        <v>0</v>
      </c>
      <c r="D821" s="24" cm="1">
        <f t="array" ref="D821">SUMPRODUCT(('TREASURY FILE'!B720:B5721=$D$4)*('TREASURY FILE'!D720:D5721="TURNOVER")*('TREASURY FILE'!A720:A5721=A821)*('TREASURY FILE'!F720:F5721))</f>
        <v>0</v>
      </c>
      <c r="E821" s="31">
        <f t="shared" si="38"/>
        <v>0</v>
      </c>
      <c r="G821" s="24" cm="1">
        <f t="array" ref="G821">SUMPRODUCT(('TREASURY FILE'!B720:B5721=$G$4)*('TREASURY FILE'!D720:D5721="INCOME")*('TREASURY FILE'!A720:A5721=A821)*('TREASURY FILE'!F720:F5721))</f>
        <v>0</v>
      </c>
      <c r="H821" s="24" cm="1">
        <f t="array" ref="H821">SUMPRODUCT(('TREASURY FILE'!B720:B5721=$H$4)*('TREASURY FILE'!D720:D5721="INCOME")*('TREASURY FILE'!A720:A5721=A821)*('TREASURY FILE'!F720:F5721))</f>
        <v>0</v>
      </c>
      <c r="I821" s="24" cm="1">
        <f t="array" ref="I821">SUMPRODUCT(('TREASURY FILE'!D729:D5721=$I$4)*('TREASURY FILE'!F729:F5721="INCOME")*('TREASURY FILE'!C729:C5721=C821)*('TREASURY FILE'!H729:H5721))</f>
        <v>0</v>
      </c>
      <c r="J821" s="31">
        <f t="shared" si="39"/>
        <v>0</v>
      </c>
      <c r="K821" s="33" t="e">
        <f t="shared" si="40"/>
        <v>#DIV/0!</v>
      </c>
    </row>
    <row r="822" spans="1:11" x14ac:dyDescent="0.3">
      <c r="A822" s="30">
        <v>46475</v>
      </c>
      <c r="B822" s="24" cm="1">
        <f t="array" ref="B822">SUMPRODUCT(('TREASURY FILE'!B721:B5722=$B$4)*('TREASURY FILE'!D721:D5722="TURNOVER")*('TREASURY FILE'!A721:A5722=A822)*('TREASURY FILE'!F721:F5722))</f>
        <v>0</v>
      </c>
      <c r="C822" s="24" cm="1">
        <f t="array" ref="C822">SUMPRODUCT(('TREASURY FILE'!B721:B5722=$C$4)*('TREASURY FILE'!D721:D5722="TURNOVER")*('TREASURY FILE'!A721:A5722=A822)*('TREASURY FILE'!F721:F5722))</f>
        <v>0</v>
      </c>
      <c r="D822" s="24" cm="1">
        <f t="array" ref="D822">SUMPRODUCT(('TREASURY FILE'!B721:B5722=$D$4)*('TREASURY FILE'!D721:D5722="TURNOVER")*('TREASURY FILE'!A721:A5722=A822)*('TREASURY FILE'!F721:F5722))</f>
        <v>0</v>
      </c>
      <c r="E822" s="31">
        <f t="shared" si="38"/>
        <v>0</v>
      </c>
      <c r="G822" s="24" cm="1">
        <f t="array" ref="G822">SUMPRODUCT(('TREASURY FILE'!B721:B5722=$G$4)*('TREASURY FILE'!D721:D5722="INCOME")*('TREASURY FILE'!A721:A5722=A822)*('TREASURY FILE'!F721:F5722))</f>
        <v>0</v>
      </c>
      <c r="H822" s="24" cm="1">
        <f t="array" ref="H822">SUMPRODUCT(('TREASURY FILE'!B721:B5722=$H$4)*('TREASURY FILE'!D721:D5722="INCOME")*('TREASURY FILE'!A721:A5722=A822)*('TREASURY FILE'!F721:F5722))</f>
        <v>0</v>
      </c>
      <c r="I822" s="24" cm="1">
        <f t="array" ref="I822">SUMPRODUCT(('TREASURY FILE'!D730:D5722=$I$4)*('TREASURY FILE'!F730:F5722="INCOME")*('TREASURY FILE'!C730:C5722=C822)*('TREASURY FILE'!H730:H5722))</f>
        <v>0</v>
      </c>
      <c r="J822" s="31">
        <f t="shared" si="39"/>
        <v>0</v>
      </c>
      <c r="K822" s="33" t="e">
        <f t="shared" si="40"/>
        <v>#DIV/0!</v>
      </c>
    </row>
    <row r="823" spans="1:11" x14ac:dyDescent="0.3">
      <c r="A823" s="30">
        <v>46476</v>
      </c>
      <c r="B823" s="24" cm="1">
        <f t="array" ref="B823">SUMPRODUCT(('TREASURY FILE'!B722:B5723=$B$4)*('TREASURY FILE'!D722:D5723="TURNOVER")*('TREASURY FILE'!A722:A5723=A823)*('TREASURY FILE'!F722:F5723))</f>
        <v>0</v>
      </c>
      <c r="C823" s="24" cm="1">
        <f t="array" ref="C823">SUMPRODUCT(('TREASURY FILE'!B722:B5723=$C$4)*('TREASURY FILE'!D722:D5723="TURNOVER")*('TREASURY FILE'!A722:A5723=A823)*('TREASURY FILE'!F722:F5723))</f>
        <v>0</v>
      </c>
      <c r="D823" s="24" cm="1">
        <f t="array" ref="D823">SUMPRODUCT(('TREASURY FILE'!B722:B5723=$D$4)*('TREASURY FILE'!D722:D5723="TURNOVER")*('TREASURY FILE'!A722:A5723=A823)*('TREASURY FILE'!F722:F5723))</f>
        <v>0</v>
      </c>
      <c r="E823" s="31">
        <f t="shared" si="38"/>
        <v>0</v>
      </c>
      <c r="G823" s="24" cm="1">
        <f t="array" ref="G823">SUMPRODUCT(('TREASURY FILE'!B722:B5723=$G$4)*('TREASURY FILE'!D722:D5723="INCOME")*('TREASURY FILE'!A722:A5723=A823)*('TREASURY FILE'!F722:F5723))</f>
        <v>0</v>
      </c>
      <c r="H823" s="24" cm="1">
        <f t="array" ref="H823">SUMPRODUCT(('TREASURY FILE'!B722:B5723=$H$4)*('TREASURY FILE'!D722:D5723="INCOME")*('TREASURY FILE'!A722:A5723=A823)*('TREASURY FILE'!F722:F5723))</f>
        <v>0</v>
      </c>
      <c r="I823" s="24" cm="1">
        <f t="array" ref="I823">SUMPRODUCT(('TREASURY FILE'!D731:D5723=$I$4)*('TREASURY FILE'!F731:F5723="INCOME")*('TREASURY FILE'!C731:C5723=C823)*('TREASURY FILE'!H731:H5723))</f>
        <v>0</v>
      </c>
      <c r="J823" s="31">
        <f t="shared" si="39"/>
        <v>0</v>
      </c>
      <c r="K823" s="33" t="e">
        <f t="shared" si="40"/>
        <v>#DIV/0!</v>
      </c>
    </row>
    <row r="824" spans="1:11" x14ac:dyDescent="0.3">
      <c r="A824" s="30">
        <v>46477</v>
      </c>
      <c r="B824" s="24" cm="1">
        <f t="array" ref="B824">SUMPRODUCT(('TREASURY FILE'!B723:B5724=$B$4)*('TREASURY FILE'!D723:D5724="TURNOVER")*('TREASURY FILE'!A723:A5724=A824)*('TREASURY FILE'!F723:F5724))</f>
        <v>0</v>
      </c>
      <c r="C824" s="24" cm="1">
        <f t="array" ref="C824">SUMPRODUCT(('TREASURY FILE'!B723:B5724=$C$4)*('TREASURY FILE'!D723:D5724="TURNOVER")*('TREASURY FILE'!A723:A5724=A824)*('TREASURY FILE'!F723:F5724))</f>
        <v>0</v>
      </c>
      <c r="D824" s="24" cm="1">
        <f t="array" ref="D824">SUMPRODUCT(('TREASURY FILE'!B723:B5724=$D$4)*('TREASURY FILE'!D723:D5724="TURNOVER")*('TREASURY FILE'!A723:A5724=A824)*('TREASURY FILE'!F723:F5724))</f>
        <v>0</v>
      </c>
      <c r="E824" s="31">
        <f t="shared" si="38"/>
        <v>0</v>
      </c>
      <c r="G824" s="24" cm="1">
        <f t="array" ref="G824">SUMPRODUCT(('TREASURY FILE'!B723:B5724=$G$4)*('TREASURY FILE'!D723:D5724="INCOME")*('TREASURY FILE'!A723:A5724=A824)*('TREASURY FILE'!F723:F5724))</f>
        <v>0</v>
      </c>
      <c r="H824" s="24" cm="1">
        <f t="array" ref="H824">SUMPRODUCT(('TREASURY FILE'!B723:B5724=$H$4)*('TREASURY FILE'!D723:D5724="INCOME")*('TREASURY FILE'!A723:A5724=A824)*('TREASURY FILE'!F723:F5724))</f>
        <v>0</v>
      </c>
      <c r="I824" s="24" cm="1">
        <f t="array" ref="I824">SUMPRODUCT(('TREASURY FILE'!D732:D5724=$I$4)*('TREASURY FILE'!F732:F5724="INCOME")*('TREASURY FILE'!C732:C5724=C824)*('TREASURY FILE'!H732:H5724))</f>
        <v>0</v>
      </c>
      <c r="J824" s="31">
        <f t="shared" si="39"/>
        <v>0</v>
      </c>
      <c r="K824" s="33" t="e">
        <f t="shared" si="40"/>
        <v>#DIV/0!</v>
      </c>
    </row>
    <row r="825" spans="1:11" x14ac:dyDescent="0.3">
      <c r="A825" s="30">
        <v>46478</v>
      </c>
      <c r="B825" s="24" cm="1">
        <f t="array" ref="B825">SUMPRODUCT(('TREASURY FILE'!B724:B5725=$B$4)*('TREASURY FILE'!D724:D5725="TURNOVER")*('TREASURY FILE'!A724:A5725=A825)*('TREASURY FILE'!F724:F5725))</f>
        <v>0</v>
      </c>
      <c r="C825" s="24" cm="1">
        <f t="array" ref="C825">SUMPRODUCT(('TREASURY FILE'!B724:B5725=$C$4)*('TREASURY FILE'!D724:D5725="TURNOVER")*('TREASURY FILE'!A724:A5725=A825)*('TREASURY FILE'!F724:F5725))</f>
        <v>0</v>
      </c>
      <c r="D825" s="24" cm="1">
        <f t="array" ref="D825">SUMPRODUCT(('TREASURY FILE'!B724:B5725=$D$4)*('TREASURY FILE'!D724:D5725="TURNOVER")*('TREASURY FILE'!A724:A5725=A825)*('TREASURY FILE'!F724:F5725))</f>
        <v>0</v>
      </c>
      <c r="E825" s="31">
        <f t="shared" si="38"/>
        <v>0</v>
      </c>
      <c r="G825" s="24" cm="1">
        <f t="array" ref="G825">SUMPRODUCT(('TREASURY FILE'!B724:B5725=$G$4)*('TREASURY FILE'!D724:D5725="INCOME")*('TREASURY FILE'!A724:A5725=A825)*('TREASURY FILE'!F724:F5725))</f>
        <v>0</v>
      </c>
      <c r="H825" s="24" cm="1">
        <f t="array" ref="H825">SUMPRODUCT(('TREASURY FILE'!B724:B5725=$H$4)*('TREASURY FILE'!D724:D5725="INCOME")*('TREASURY FILE'!A724:A5725=A825)*('TREASURY FILE'!F724:F5725))</f>
        <v>0</v>
      </c>
      <c r="I825" s="24" cm="1">
        <f t="array" ref="I825">SUMPRODUCT(('TREASURY FILE'!D733:D5725=$I$4)*('TREASURY FILE'!F733:F5725="INCOME")*('TREASURY FILE'!C733:C5725=C825)*('TREASURY FILE'!H733:H5725))</f>
        <v>0</v>
      </c>
      <c r="J825" s="31">
        <f t="shared" si="39"/>
        <v>0</v>
      </c>
      <c r="K825" s="33" t="e">
        <f t="shared" si="40"/>
        <v>#DIV/0!</v>
      </c>
    </row>
    <row r="826" spans="1:11" x14ac:dyDescent="0.3">
      <c r="A826" s="30">
        <v>46479</v>
      </c>
      <c r="B826" s="24" cm="1">
        <f t="array" ref="B826">SUMPRODUCT(('TREASURY FILE'!B725:B5726=$B$4)*('TREASURY FILE'!D725:D5726="TURNOVER")*('TREASURY FILE'!A725:A5726=A826)*('TREASURY FILE'!F725:F5726))</f>
        <v>0</v>
      </c>
      <c r="C826" s="24" cm="1">
        <f t="array" ref="C826">SUMPRODUCT(('TREASURY FILE'!B725:B5726=$C$4)*('TREASURY FILE'!D725:D5726="TURNOVER")*('TREASURY FILE'!A725:A5726=A826)*('TREASURY FILE'!F725:F5726))</f>
        <v>0</v>
      </c>
      <c r="D826" s="24" cm="1">
        <f t="array" ref="D826">SUMPRODUCT(('TREASURY FILE'!B725:B5726=$D$4)*('TREASURY FILE'!D725:D5726="TURNOVER")*('TREASURY FILE'!A725:A5726=A826)*('TREASURY FILE'!F725:F5726))</f>
        <v>0</v>
      </c>
      <c r="E826" s="31">
        <f t="shared" si="38"/>
        <v>0</v>
      </c>
      <c r="G826" s="24" cm="1">
        <f t="array" ref="G826">SUMPRODUCT(('TREASURY FILE'!B725:B5726=$G$4)*('TREASURY FILE'!D725:D5726="INCOME")*('TREASURY FILE'!A725:A5726=A826)*('TREASURY FILE'!F725:F5726))</f>
        <v>0</v>
      </c>
      <c r="H826" s="24" cm="1">
        <f t="array" ref="H826">SUMPRODUCT(('TREASURY FILE'!B725:B5726=$H$4)*('TREASURY FILE'!D725:D5726="INCOME")*('TREASURY FILE'!A725:A5726=A826)*('TREASURY FILE'!F725:F5726))</f>
        <v>0</v>
      </c>
      <c r="I826" s="24" cm="1">
        <f t="array" ref="I826">SUMPRODUCT(('TREASURY FILE'!D734:D5726=$I$4)*('TREASURY FILE'!F734:F5726="INCOME")*('TREASURY FILE'!C734:C5726=C826)*('TREASURY FILE'!H734:H5726))</f>
        <v>0</v>
      </c>
      <c r="J826" s="31">
        <f t="shared" si="39"/>
        <v>0</v>
      </c>
      <c r="K826" s="33" t="e">
        <f t="shared" si="40"/>
        <v>#DIV/0!</v>
      </c>
    </row>
    <row r="827" spans="1:11" x14ac:dyDescent="0.3">
      <c r="A827" s="30">
        <v>46480</v>
      </c>
      <c r="B827" s="24" cm="1">
        <f t="array" ref="B827">SUMPRODUCT(('TREASURY FILE'!B726:B5727=$B$4)*('TREASURY FILE'!D726:D5727="TURNOVER")*('TREASURY FILE'!A726:A5727=A827)*('TREASURY FILE'!F726:F5727))</f>
        <v>0</v>
      </c>
      <c r="C827" s="24" cm="1">
        <f t="array" ref="C827">SUMPRODUCT(('TREASURY FILE'!B726:B5727=$C$4)*('TREASURY FILE'!D726:D5727="TURNOVER")*('TREASURY FILE'!A726:A5727=A827)*('TREASURY FILE'!F726:F5727))</f>
        <v>0</v>
      </c>
      <c r="D827" s="24" cm="1">
        <f t="array" ref="D827">SUMPRODUCT(('TREASURY FILE'!B726:B5727=$D$4)*('TREASURY FILE'!D726:D5727="TURNOVER")*('TREASURY FILE'!A726:A5727=A827)*('TREASURY FILE'!F726:F5727))</f>
        <v>0</v>
      </c>
      <c r="E827" s="31">
        <f t="shared" si="38"/>
        <v>0</v>
      </c>
      <c r="G827" s="24" cm="1">
        <f t="array" ref="G827">SUMPRODUCT(('TREASURY FILE'!B726:B5727=$G$4)*('TREASURY FILE'!D726:D5727="INCOME")*('TREASURY FILE'!A726:A5727=A827)*('TREASURY FILE'!F726:F5727))</f>
        <v>0</v>
      </c>
      <c r="H827" s="24" cm="1">
        <f t="array" ref="H827">SUMPRODUCT(('TREASURY FILE'!B726:B5727=$H$4)*('TREASURY FILE'!D726:D5727="INCOME")*('TREASURY FILE'!A726:A5727=A827)*('TREASURY FILE'!F726:F5727))</f>
        <v>0</v>
      </c>
      <c r="I827" s="24" cm="1">
        <f t="array" ref="I827">SUMPRODUCT(('TREASURY FILE'!D735:D5727=$I$4)*('TREASURY FILE'!F735:F5727="INCOME")*('TREASURY FILE'!C735:C5727=C827)*('TREASURY FILE'!H735:H5727))</f>
        <v>0</v>
      </c>
      <c r="J827" s="31">
        <f t="shared" si="39"/>
        <v>0</v>
      </c>
      <c r="K827" s="33" t="e">
        <f t="shared" si="40"/>
        <v>#DIV/0!</v>
      </c>
    </row>
    <row r="828" spans="1:11" x14ac:dyDescent="0.3">
      <c r="A828" s="30">
        <v>46481</v>
      </c>
      <c r="B828" s="24" cm="1">
        <f t="array" ref="B828">SUMPRODUCT(('TREASURY FILE'!B727:B5728=$B$4)*('TREASURY FILE'!D727:D5728="TURNOVER")*('TREASURY FILE'!A727:A5728=A828)*('TREASURY FILE'!F727:F5728))</f>
        <v>0</v>
      </c>
      <c r="C828" s="24" cm="1">
        <f t="array" ref="C828">SUMPRODUCT(('TREASURY FILE'!B727:B5728=$C$4)*('TREASURY FILE'!D727:D5728="TURNOVER")*('TREASURY FILE'!A727:A5728=A828)*('TREASURY FILE'!F727:F5728))</f>
        <v>0</v>
      </c>
      <c r="D828" s="24" cm="1">
        <f t="array" ref="D828">SUMPRODUCT(('TREASURY FILE'!B727:B5728=$D$4)*('TREASURY FILE'!D727:D5728="TURNOVER")*('TREASURY FILE'!A727:A5728=A828)*('TREASURY FILE'!F727:F5728))</f>
        <v>0</v>
      </c>
      <c r="E828" s="31">
        <f t="shared" si="38"/>
        <v>0</v>
      </c>
      <c r="G828" s="24" cm="1">
        <f t="array" ref="G828">SUMPRODUCT(('TREASURY FILE'!B727:B5728=$G$4)*('TREASURY FILE'!D727:D5728="INCOME")*('TREASURY FILE'!A727:A5728=A828)*('TREASURY FILE'!F727:F5728))</f>
        <v>0</v>
      </c>
      <c r="H828" s="24" cm="1">
        <f t="array" ref="H828">SUMPRODUCT(('TREASURY FILE'!B727:B5728=$H$4)*('TREASURY FILE'!D727:D5728="INCOME")*('TREASURY FILE'!A727:A5728=A828)*('TREASURY FILE'!F727:F5728))</f>
        <v>0</v>
      </c>
      <c r="I828" s="24" cm="1">
        <f t="array" ref="I828">SUMPRODUCT(('TREASURY FILE'!D736:D5728=$I$4)*('TREASURY FILE'!F736:F5728="INCOME")*('TREASURY FILE'!C736:C5728=C828)*('TREASURY FILE'!H736:H5728))</f>
        <v>0</v>
      </c>
      <c r="J828" s="31">
        <f t="shared" si="39"/>
        <v>0</v>
      </c>
      <c r="K828" s="33" t="e">
        <f t="shared" si="40"/>
        <v>#DIV/0!</v>
      </c>
    </row>
    <row r="829" spans="1:11" x14ac:dyDescent="0.3">
      <c r="A829" s="30">
        <v>46482</v>
      </c>
      <c r="B829" s="24" cm="1">
        <f t="array" ref="B829">SUMPRODUCT(('TREASURY FILE'!B728:B5729=$B$4)*('TREASURY FILE'!D728:D5729="TURNOVER")*('TREASURY FILE'!A728:A5729=A829)*('TREASURY FILE'!F728:F5729))</f>
        <v>0</v>
      </c>
      <c r="C829" s="24" cm="1">
        <f t="array" ref="C829">SUMPRODUCT(('TREASURY FILE'!B728:B5729=$C$4)*('TREASURY FILE'!D728:D5729="TURNOVER")*('TREASURY FILE'!A728:A5729=A829)*('TREASURY FILE'!F728:F5729))</f>
        <v>0</v>
      </c>
      <c r="D829" s="24" cm="1">
        <f t="array" ref="D829">SUMPRODUCT(('TREASURY FILE'!B728:B5729=$D$4)*('TREASURY FILE'!D728:D5729="TURNOVER")*('TREASURY FILE'!A728:A5729=A829)*('TREASURY FILE'!F728:F5729))</f>
        <v>0</v>
      </c>
      <c r="E829" s="31">
        <f t="shared" si="38"/>
        <v>0</v>
      </c>
      <c r="G829" s="24" cm="1">
        <f t="array" ref="G829">SUMPRODUCT(('TREASURY FILE'!B728:B5729=$G$4)*('TREASURY FILE'!D728:D5729="INCOME")*('TREASURY FILE'!A728:A5729=A829)*('TREASURY FILE'!F728:F5729))</f>
        <v>0</v>
      </c>
      <c r="H829" s="24" cm="1">
        <f t="array" ref="H829">SUMPRODUCT(('TREASURY FILE'!B728:B5729=$H$4)*('TREASURY FILE'!D728:D5729="INCOME")*('TREASURY FILE'!A728:A5729=A829)*('TREASURY FILE'!F728:F5729))</f>
        <v>0</v>
      </c>
      <c r="I829" s="24" cm="1">
        <f t="array" ref="I829">SUMPRODUCT(('TREASURY FILE'!D737:D5729=$I$4)*('TREASURY FILE'!F737:F5729="INCOME")*('TREASURY FILE'!C737:C5729=C829)*('TREASURY FILE'!H737:H5729))</f>
        <v>0</v>
      </c>
      <c r="J829" s="31">
        <f t="shared" si="39"/>
        <v>0</v>
      </c>
      <c r="K829" s="33" t="e">
        <f t="shared" si="40"/>
        <v>#DIV/0!</v>
      </c>
    </row>
    <row r="830" spans="1:11" x14ac:dyDescent="0.3">
      <c r="A830" s="30">
        <v>46483</v>
      </c>
      <c r="B830" s="24" cm="1">
        <f t="array" ref="B830">SUMPRODUCT(('TREASURY FILE'!B729:B5730=$B$4)*('TREASURY FILE'!D729:D5730="TURNOVER")*('TREASURY FILE'!A729:A5730=A830)*('TREASURY FILE'!F729:F5730))</f>
        <v>0</v>
      </c>
      <c r="C830" s="24" cm="1">
        <f t="array" ref="C830">SUMPRODUCT(('TREASURY FILE'!B729:B5730=$C$4)*('TREASURY FILE'!D729:D5730="TURNOVER")*('TREASURY FILE'!A729:A5730=A830)*('TREASURY FILE'!F729:F5730))</f>
        <v>0</v>
      </c>
      <c r="D830" s="24" cm="1">
        <f t="array" ref="D830">SUMPRODUCT(('TREASURY FILE'!B729:B5730=$D$4)*('TREASURY FILE'!D729:D5730="TURNOVER")*('TREASURY FILE'!A729:A5730=A830)*('TREASURY FILE'!F729:F5730))</f>
        <v>0</v>
      </c>
      <c r="E830" s="31">
        <f t="shared" si="38"/>
        <v>0</v>
      </c>
      <c r="G830" s="24" cm="1">
        <f t="array" ref="G830">SUMPRODUCT(('TREASURY FILE'!B729:B5730=$G$4)*('TREASURY FILE'!D729:D5730="INCOME")*('TREASURY FILE'!A729:A5730=A830)*('TREASURY FILE'!F729:F5730))</f>
        <v>0</v>
      </c>
      <c r="H830" s="24" cm="1">
        <f t="array" ref="H830">SUMPRODUCT(('TREASURY FILE'!B729:B5730=$H$4)*('TREASURY FILE'!D729:D5730="INCOME")*('TREASURY FILE'!A729:A5730=A830)*('TREASURY FILE'!F729:F5730))</f>
        <v>0</v>
      </c>
      <c r="I830" s="24" cm="1">
        <f t="array" ref="I830">SUMPRODUCT(('TREASURY FILE'!D738:D5730=$I$4)*('TREASURY FILE'!F738:F5730="INCOME")*('TREASURY FILE'!C738:C5730=C830)*('TREASURY FILE'!H738:H5730))</f>
        <v>0</v>
      </c>
      <c r="J830" s="31">
        <f t="shared" si="39"/>
        <v>0</v>
      </c>
      <c r="K830" s="33" t="e">
        <f t="shared" si="40"/>
        <v>#DIV/0!</v>
      </c>
    </row>
    <row r="831" spans="1:11" x14ac:dyDescent="0.3">
      <c r="A831" s="30">
        <v>46484</v>
      </c>
      <c r="B831" s="24" cm="1">
        <f t="array" ref="B831">SUMPRODUCT(('TREASURY FILE'!B730:B5731=$B$4)*('TREASURY FILE'!D730:D5731="TURNOVER")*('TREASURY FILE'!A730:A5731=A831)*('TREASURY FILE'!F730:F5731))</f>
        <v>0</v>
      </c>
      <c r="C831" s="24" cm="1">
        <f t="array" ref="C831">SUMPRODUCT(('TREASURY FILE'!B730:B5731=$C$4)*('TREASURY FILE'!D730:D5731="TURNOVER")*('TREASURY FILE'!A730:A5731=A831)*('TREASURY FILE'!F730:F5731))</f>
        <v>0</v>
      </c>
      <c r="D831" s="24" cm="1">
        <f t="array" ref="D831">SUMPRODUCT(('TREASURY FILE'!B730:B5731=$D$4)*('TREASURY FILE'!D730:D5731="TURNOVER")*('TREASURY FILE'!A730:A5731=A831)*('TREASURY FILE'!F730:F5731))</f>
        <v>0</v>
      </c>
      <c r="E831" s="31">
        <f t="shared" si="38"/>
        <v>0</v>
      </c>
      <c r="G831" s="24" cm="1">
        <f t="array" ref="G831">SUMPRODUCT(('TREASURY FILE'!B730:B5731=$G$4)*('TREASURY FILE'!D730:D5731="INCOME")*('TREASURY FILE'!A730:A5731=A831)*('TREASURY FILE'!F730:F5731))</f>
        <v>0</v>
      </c>
      <c r="H831" s="24" cm="1">
        <f t="array" ref="H831">SUMPRODUCT(('TREASURY FILE'!B730:B5731=$H$4)*('TREASURY FILE'!D730:D5731="INCOME")*('TREASURY FILE'!A730:A5731=A831)*('TREASURY FILE'!F730:F5731))</f>
        <v>0</v>
      </c>
      <c r="I831" s="24" cm="1">
        <f t="array" ref="I831">SUMPRODUCT(('TREASURY FILE'!D739:D5731=$I$4)*('TREASURY FILE'!F739:F5731="INCOME")*('TREASURY FILE'!C739:C5731=C831)*('TREASURY FILE'!H739:H5731))</f>
        <v>0</v>
      </c>
      <c r="J831" s="31">
        <f t="shared" si="39"/>
        <v>0</v>
      </c>
      <c r="K831" s="33" t="e">
        <f t="shared" si="40"/>
        <v>#DIV/0!</v>
      </c>
    </row>
    <row r="832" spans="1:11" x14ac:dyDescent="0.3">
      <c r="A832" s="30">
        <v>46485</v>
      </c>
      <c r="B832" s="24" cm="1">
        <f t="array" ref="B832">SUMPRODUCT(('TREASURY FILE'!B731:B5732=$B$4)*('TREASURY FILE'!D731:D5732="TURNOVER")*('TREASURY FILE'!A731:A5732=A832)*('TREASURY FILE'!F731:F5732))</f>
        <v>0</v>
      </c>
      <c r="C832" s="24" cm="1">
        <f t="array" ref="C832">SUMPRODUCT(('TREASURY FILE'!B731:B5732=$C$4)*('TREASURY FILE'!D731:D5732="TURNOVER")*('TREASURY FILE'!A731:A5732=A832)*('TREASURY FILE'!F731:F5732))</f>
        <v>0</v>
      </c>
      <c r="D832" s="24" cm="1">
        <f t="array" ref="D832">SUMPRODUCT(('TREASURY FILE'!B731:B5732=$D$4)*('TREASURY FILE'!D731:D5732="TURNOVER")*('TREASURY FILE'!A731:A5732=A832)*('TREASURY FILE'!F731:F5732))</f>
        <v>0</v>
      </c>
      <c r="E832" s="31">
        <f t="shared" si="38"/>
        <v>0</v>
      </c>
      <c r="G832" s="24" cm="1">
        <f t="array" ref="G832">SUMPRODUCT(('TREASURY FILE'!B731:B5732=$G$4)*('TREASURY FILE'!D731:D5732="INCOME")*('TREASURY FILE'!A731:A5732=A832)*('TREASURY FILE'!F731:F5732))</f>
        <v>0</v>
      </c>
      <c r="H832" s="24" cm="1">
        <f t="array" ref="H832">SUMPRODUCT(('TREASURY FILE'!B731:B5732=$H$4)*('TREASURY FILE'!D731:D5732="INCOME")*('TREASURY FILE'!A731:A5732=A832)*('TREASURY FILE'!F731:F5732))</f>
        <v>0</v>
      </c>
      <c r="I832" s="24" cm="1">
        <f t="array" ref="I832">SUMPRODUCT(('TREASURY FILE'!D740:D5732=$I$4)*('TREASURY FILE'!F740:F5732="INCOME")*('TREASURY FILE'!C740:C5732=C832)*('TREASURY FILE'!H740:H5732))</f>
        <v>0</v>
      </c>
      <c r="J832" s="31">
        <f t="shared" si="39"/>
        <v>0</v>
      </c>
      <c r="K832" s="33" t="e">
        <f t="shared" si="40"/>
        <v>#DIV/0!</v>
      </c>
    </row>
    <row r="833" spans="1:11" x14ac:dyDescent="0.3">
      <c r="A833" s="30">
        <v>46486</v>
      </c>
      <c r="B833" s="24" cm="1">
        <f t="array" ref="B833">SUMPRODUCT(('TREASURY FILE'!B732:B5733=$B$4)*('TREASURY FILE'!D732:D5733="TURNOVER")*('TREASURY FILE'!A732:A5733=A833)*('TREASURY FILE'!F732:F5733))</f>
        <v>0</v>
      </c>
      <c r="C833" s="24" cm="1">
        <f t="array" ref="C833">SUMPRODUCT(('TREASURY FILE'!B732:B5733=$C$4)*('TREASURY FILE'!D732:D5733="TURNOVER")*('TREASURY FILE'!A732:A5733=A833)*('TREASURY FILE'!F732:F5733))</f>
        <v>0</v>
      </c>
      <c r="D833" s="24" cm="1">
        <f t="array" ref="D833">SUMPRODUCT(('TREASURY FILE'!B732:B5733=$D$4)*('TREASURY FILE'!D732:D5733="TURNOVER")*('TREASURY FILE'!A732:A5733=A833)*('TREASURY FILE'!F732:F5733))</f>
        <v>0</v>
      </c>
      <c r="E833" s="31">
        <f t="shared" si="38"/>
        <v>0</v>
      </c>
      <c r="G833" s="24" cm="1">
        <f t="array" ref="G833">SUMPRODUCT(('TREASURY FILE'!B732:B5733=$G$4)*('TREASURY FILE'!D732:D5733="INCOME")*('TREASURY FILE'!A732:A5733=A833)*('TREASURY FILE'!F732:F5733))</f>
        <v>0</v>
      </c>
      <c r="H833" s="24" cm="1">
        <f t="array" ref="H833">SUMPRODUCT(('TREASURY FILE'!B732:B5733=$H$4)*('TREASURY FILE'!D732:D5733="INCOME")*('TREASURY FILE'!A732:A5733=A833)*('TREASURY FILE'!F732:F5733))</f>
        <v>0</v>
      </c>
      <c r="I833" s="24" cm="1">
        <f t="array" ref="I833">SUMPRODUCT(('TREASURY FILE'!D741:D5733=$I$4)*('TREASURY FILE'!F741:F5733="INCOME")*('TREASURY FILE'!C741:C5733=C833)*('TREASURY FILE'!H741:H5733))</f>
        <v>0</v>
      </c>
      <c r="J833" s="31">
        <f t="shared" si="39"/>
        <v>0</v>
      </c>
      <c r="K833" s="33" t="e">
        <f t="shared" si="40"/>
        <v>#DIV/0!</v>
      </c>
    </row>
    <row r="834" spans="1:11" x14ac:dyDescent="0.3">
      <c r="A834" s="30">
        <v>46487</v>
      </c>
      <c r="B834" s="24" cm="1">
        <f t="array" ref="B834">SUMPRODUCT(('TREASURY FILE'!B733:B5734=$B$4)*('TREASURY FILE'!D733:D5734="TURNOVER")*('TREASURY FILE'!A733:A5734=A834)*('TREASURY FILE'!F733:F5734))</f>
        <v>0</v>
      </c>
      <c r="C834" s="24" cm="1">
        <f t="array" ref="C834">SUMPRODUCT(('TREASURY FILE'!B733:B5734=$C$4)*('TREASURY FILE'!D733:D5734="TURNOVER")*('TREASURY FILE'!A733:A5734=A834)*('TREASURY FILE'!F733:F5734))</f>
        <v>0</v>
      </c>
      <c r="D834" s="24" cm="1">
        <f t="array" ref="D834">SUMPRODUCT(('TREASURY FILE'!B733:B5734=$D$4)*('TREASURY FILE'!D733:D5734="TURNOVER")*('TREASURY FILE'!A733:A5734=A834)*('TREASURY FILE'!F733:F5734))</f>
        <v>0</v>
      </c>
      <c r="E834" s="31">
        <f t="shared" si="38"/>
        <v>0</v>
      </c>
      <c r="G834" s="24" cm="1">
        <f t="array" ref="G834">SUMPRODUCT(('TREASURY FILE'!B733:B5734=$G$4)*('TREASURY FILE'!D733:D5734="INCOME")*('TREASURY FILE'!A733:A5734=A834)*('TREASURY FILE'!F733:F5734))</f>
        <v>0</v>
      </c>
      <c r="H834" s="24" cm="1">
        <f t="array" ref="H834">SUMPRODUCT(('TREASURY FILE'!B733:B5734=$H$4)*('TREASURY FILE'!D733:D5734="INCOME")*('TREASURY FILE'!A733:A5734=A834)*('TREASURY FILE'!F733:F5734))</f>
        <v>0</v>
      </c>
      <c r="I834" s="24" cm="1">
        <f t="array" ref="I834">SUMPRODUCT(('TREASURY FILE'!D742:D5734=$I$4)*('TREASURY FILE'!F742:F5734="INCOME")*('TREASURY FILE'!C742:C5734=C834)*('TREASURY FILE'!H742:H5734))</f>
        <v>0</v>
      </c>
      <c r="J834" s="31">
        <f t="shared" si="39"/>
        <v>0</v>
      </c>
      <c r="K834" s="33" t="e">
        <f t="shared" si="40"/>
        <v>#DIV/0!</v>
      </c>
    </row>
    <row r="835" spans="1:11" x14ac:dyDescent="0.3">
      <c r="A835" s="30">
        <v>46488</v>
      </c>
      <c r="B835" s="24" cm="1">
        <f t="array" ref="B835">SUMPRODUCT(('TREASURY FILE'!B734:B5735=$B$4)*('TREASURY FILE'!D734:D5735="TURNOVER")*('TREASURY FILE'!A734:A5735=A835)*('TREASURY FILE'!F734:F5735))</f>
        <v>0</v>
      </c>
      <c r="C835" s="24" cm="1">
        <f t="array" ref="C835">SUMPRODUCT(('TREASURY FILE'!B734:B5735=$C$4)*('TREASURY FILE'!D734:D5735="TURNOVER")*('TREASURY FILE'!A734:A5735=A835)*('TREASURY FILE'!F734:F5735))</f>
        <v>0</v>
      </c>
      <c r="D835" s="24" cm="1">
        <f t="array" ref="D835">SUMPRODUCT(('TREASURY FILE'!B734:B5735=$D$4)*('TREASURY FILE'!D734:D5735="TURNOVER")*('TREASURY FILE'!A734:A5735=A835)*('TREASURY FILE'!F734:F5735))</f>
        <v>0</v>
      </c>
      <c r="E835" s="31">
        <f t="shared" si="38"/>
        <v>0</v>
      </c>
      <c r="G835" s="24" cm="1">
        <f t="array" ref="G835">SUMPRODUCT(('TREASURY FILE'!B734:B5735=$G$4)*('TREASURY FILE'!D734:D5735="INCOME")*('TREASURY FILE'!A734:A5735=A835)*('TREASURY FILE'!F734:F5735))</f>
        <v>0</v>
      </c>
      <c r="H835" s="24" cm="1">
        <f t="array" ref="H835">SUMPRODUCT(('TREASURY FILE'!B734:B5735=$H$4)*('TREASURY FILE'!D734:D5735="INCOME")*('TREASURY FILE'!A734:A5735=A835)*('TREASURY FILE'!F734:F5735))</f>
        <v>0</v>
      </c>
      <c r="I835" s="24" cm="1">
        <f t="array" ref="I835">SUMPRODUCT(('TREASURY FILE'!D743:D5735=$I$4)*('TREASURY FILE'!F743:F5735="INCOME")*('TREASURY FILE'!C743:C5735=C835)*('TREASURY FILE'!H743:H5735))</f>
        <v>0</v>
      </c>
      <c r="J835" s="31">
        <f t="shared" si="39"/>
        <v>0</v>
      </c>
      <c r="K835" s="33" t="e">
        <f t="shared" si="40"/>
        <v>#DIV/0!</v>
      </c>
    </row>
    <row r="836" spans="1:11" x14ac:dyDescent="0.3">
      <c r="A836" s="30">
        <v>46489</v>
      </c>
      <c r="B836" s="24" cm="1">
        <f t="array" ref="B836">SUMPRODUCT(('TREASURY FILE'!B735:B5736=$B$4)*('TREASURY FILE'!D735:D5736="TURNOVER")*('TREASURY FILE'!A735:A5736=A836)*('TREASURY FILE'!F735:F5736))</f>
        <v>0</v>
      </c>
      <c r="C836" s="24" cm="1">
        <f t="array" ref="C836">SUMPRODUCT(('TREASURY FILE'!B735:B5736=$C$4)*('TREASURY FILE'!D735:D5736="TURNOVER")*('TREASURY FILE'!A735:A5736=A836)*('TREASURY FILE'!F735:F5736))</f>
        <v>0</v>
      </c>
      <c r="D836" s="24" cm="1">
        <f t="array" ref="D836">SUMPRODUCT(('TREASURY FILE'!B735:B5736=$D$4)*('TREASURY FILE'!D735:D5736="TURNOVER")*('TREASURY FILE'!A735:A5736=A836)*('TREASURY FILE'!F735:F5736))</f>
        <v>0</v>
      </c>
      <c r="E836" s="31">
        <f t="shared" si="38"/>
        <v>0</v>
      </c>
      <c r="G836" s="24" cm="1">
        <f t="array" ref="G836">SUMPRODUCT(('TREASURY FILE'!B735:B5736=$G$4)*('TREASURY FILE'!D735:D5736="INCOME")*('TREASURY FILE'!A735:A5736=A836)*('TREASURY FILE'!F735:F5736))</f>
        <v>0</v>
      </c>
      <c r="H836" s="24" cm="1">
        <f t="array" ref="H836">SUMPRODUCT(('TREASURY FILE'!B735:B5736=$H$4)*('TREASURY FILE'!D735:D5736="INCOME")*('TREASURY FILE'!A735:A5736=A836)*('TREASURY FILE'!F735:F5736))</f>
        <v>0</v>
      </c>
      <c r="I836" s="24" cm="1">
        <f t="array" ref="I836">SUMPRODUCT(('TREASURY FILE'!D744:D5736=$I$4)*('TREASURY FILE'!F744:F5736="INCOME")*('TREASURY FILE'!C744:C5736=C836)*('TREASURY FILE'!H744:H5736))</f>
        <v>0</v>
      </c>
      <c r="J836" s="31">
        <f t="shared" si="39"/>
        <v>0</v>
      </c>
      <c r="K836" s="33" t="e">
        <f t="shared" si="40"/>
        <v>#DIV/0!</v>
      </c>
    </row>
    <row r="837" spans="1:11" x14ac:dyDescent="0.3">
      <c r="A837" s="30">
        <v>46490</v>
      </c>
      <c r="B837" s="24" cm="1">
        <f t="array" ref="B837">SUMPRODUCT(('TREASURY FILE'!B736:B5737=$B$4)*('TREASURY FILE'!D736:D5737="TURNOVER")*('TREASURY FILE'!A736:A5737=A837)*('TREASURY FILE'!F736:F5737))</f>
        <v>0</v>
      </c>
      <c r="C837" s="24" cm="1">
        <f t="array" ref="C837">SUMPRODUCT(('TREASURY FILE'!B736:B5737=$C$4)*('TREASURY FILE'!D736:D5737="TURNOVER")*('TREASURY FILE'!A736:A5737=A837)*('TREASURY FILE'!F736:F5737))</f>
        <v>0</v>
      </c>
      <c r="D837" s="24" cm="1">
        <f t="array" ref="D837">SUMPRODUCT(('TREASURY FILE'!B736:B5737=$D$4)*('TREASURY FILE'!D736:D5737="TURNOVER")*('TREASURY FILE'!A736:A5737=A837)*('TREASURY FILE'!F736:F5737))</f>
        <v>0</v>
      </c>
      <c r="E837" s="31">
        <f t="shared" si="38"/>
        <v>0</v>
      </c>
      <c r="G837" s="24" cm="1">
        <f t="array" ref="G837">SUMPRODUCT(('TREASURY FILE'!B736:B5737=$G$4)*('TREASURY FILE'!D736:D5737="INCOME")*('TREASURY FILE'!A736:A5737=A837)*('TREASURY FILE'!F736:F5737))</f>
        <v>0</v>
      </c>
      <c r="H837" s="24" cm="1">
        <f t="array" ref="H837">SUMPRODUCT(('TREASURY FILE'!B736:B5737=$H$4)*('TREASURY FILE'!D736:D5737="INCOME")*('TREASURY FILE'!A736:A5737=A837)*('TREASURY FILE'!F736:F5737))</f>
        <v>0</v>
      </c>
      <c r="I837" s="24" cm="1">
        <f t="array" ref="I837">SUMPRODUCT(('TREASURY FILE'!D745:D5737=$I$4)*('TREASURY FILE'!F745:F5737="INCOME")*('TREASURY FILE'!C745:C5737=C837)*('TREASURY FILE'!H745:H5737))</f>
        <v>0</v>
      </c>
      <c r="J837" s="31">
        <f t="shared" si="39"/>
        <v>0</v>
      </c>
      <c r="K837" s="33" t="e">
        <f t="shared" si="40"/>
        <v>#DIV/0!</v>
      </c>
    </row>
    <row r="838" spans="1:11" x14ac:dyDescent="0.3">
      <c r="A838" s="30">
        <v>46491</v>
      </c>
      <c r="B838" s="24" cm="1">
        <f t="array" ref="B838">SUMPRODUCT(('TREASURY FILE'!B737:B5738=$B$4)*('TREASURY FILE'!D737:D5738="TURNOVER")*('TREASURY FILE'!A737:A5738=A838)*('TREASURY FILE'!F737:F5738))</f>
        <v>0</v>
      </c>
      <c r="C838" s="24" cm="1">
        <f t="array" ref="C838">SUMPRODUCT(('TREASURY FILE'!B737:B5738=$C$4)*('TREASURY FILE'!D737:D5738="TURNOVER")*('TREASURY FILE'!A737:A5738=A838)*('TREASURY FILE'!F737:F5738))</f>
        <v>0</v>
      </c>
      <c r="D838" s="24" cm="1">
        <f t="array" ref="D838">SUMPRODUCT(('TREASURY FILE'!B737:B5738=$D$4)*('TREASURY FILE'!D737:D5738="TURNOVER")*('TREASURY FILE'!A737:A5738=A838)*('TREASURY FILE'!F737:F5738))</f>
        <v>0</v>
      </c>
      <c r="E838" s="31">
        <f t="shared" ref="E838:E874" si="41">SUM(B838:D838)</f>
        <v>0</v>
      </c>
      <c r="G838" s="24" cm="1">
        <f t="array" ref="G838">SUMPRODUCT(('TREASURY FILE'!B737:B5738=$G$4)*('TREASURY FILE'!D737:D5738="INCOME")*('TREASURY FILE'!A737:A5738=A838)*('TREASURY FILE'!F737:F5738))</f>
        <v>0</v>
      </c>
      <c r="H838" s="24" cm="1">
        <f t="array" ref="H838">SUMPRODUCT(('TREASURY FILE'!B737:B5738=$H$4)*('TREASURY FILE'!D737:D5738="INCOME")*('TREASURY FILE'!A737:A5738=A838)*('TREASURY FILE'!F737:F5738))</f>
        <v>0</v>
      </c>
      <c r="I838" s="24" cm="1">
        <f t="array" ref="I838">SUMPRODUCT(('TREASURY FILE'!D746:D5738=$I$4)*('TREASURY FILE'!F746:F5738="INCOME")*('TREASURY FILE'!C746:C5738=C838)*('TREASURY FILE'!H746:H5738))</f>
        <v>0</v>
      </c>
      <c r="J838" s="31">
        <f t="shared" ref="J838:J874" si="42">SUM(G838:I838)</f>
        <v>0</v>
      </c>
      <c r="K838" s="33" t="e">
        <f t="shared" ref="K838:K874" si="43">+J838/E838</f>
        <v>#DIV/0!</v>
      </c>
    </row>
    <row r="839" spans="1:11" x14ac:dyDescent="0.3">
      <c r="A839" s="30">
        <v>46492</v>
      </c>
      <c r="B839" s="24" cm="1">
        <f t="array" ref="B839">SUMPRODUCT(('TREASURY FILE'!B738:B5739=$B$4)*('TREASURY FILE'!D738:D5739="TURNOVER")*('TREASURY FILE'!A738:A5739=A839)*('TREASURY FILE'!F738:F5739))</f>
        <v>0</v>
      </c>
      <c r="C839" s="24" cm="1">
        <f t="array" ref="C839">SUMPRODUCT(('TREASURY FILE'!B738:B5739=$C$4)*('TREASURY FILE'!D738:D5739="TURNOVER")*('TREASURY FILE'!A738:A5739=A839)*('TREASURY FILE'!F738:F5739))</f>
        <v>0</v>
      </c>
      <c r="D839" s="24" cm="1">
        <f t="array" ref="D839">SUMPRODUCT(('TREASURY FILE'!B738:B5739=$D$4)*('TREASURY FILE'!D738:D5739="TURNOVER")*('TREASURY FILE'!A738:A5739=A839)*('TREASURY FILE'!F738:F5739))</f>
        <v>0</v>
      </c>
      <c r="E839" s="31">
        <f t="shared" si="41"/>
        <v>0</v>
      </c>
      <c r="G839" s="24" cm="1">
        <f t="array" ref="G839">SUMPRODUCT(('TREASURY FILE'!B738:B5739=$G$4)*('TREASURY FILE'!D738:D5739="INCOME")*('TREASURY FILE'!A738:A5739=A839)*('TREASURY FILE'!F738:F5739))</f>
        <v>0</v>
      </c>
      <c r="H839" s="24" cm="1">
        <f t="array" ref="H839">SUMPRODUCT(('TREASURY FILE'!B738:B5739=$H$4)*('TREASURY FILE'!D738:D5739="INCOME")*('TREASURY FILE'!A738:A5739=A839)*('TREASURY FILE'!F738:F5739))</f>
        <v>0</v>
      </c>
      <c r="I839" s="24" cm="1">
        <f t="array" ref="I839">SUMPRODUCT(('TREASURY FILE'!D747:D5739=$I$4)*('TREASURY FILE'!F747:F5739="INCOME")*('TREASURY FILE'!C747:C5739=C839)*('TREASURY FILE'!H747:H5739))</f>
        <v>0</v>
      </c>
      <c r="J839" s="31">
        <f t="shared" si="42"/>
        <v>0</v>
      </c>
      <c r="K839" s="33" t="e">
        <f t="shared" si="43"/>
        <v>#DIV/0!</v>
      </c>
    </row>
    <row r="840" spans="1:11" x14ac:dyDescent="0.3">
      <c r="A840" s="30">
        <v>46493</v>
      </c>
      <c r="B840" s="24" cm="1">
        <f t="array" ref="B840">SUMPRODUCT(('TREASURY FILE'!B739:B5740=$B$4)*('TREASURY FILE'!D739:D5740="TURNOVER")*('TREASURY FILE'!A739:A5740=A840)*('TREASURY FILE'!F739:F5740))</f>
        <v>0</v>
      </c>
      <c r="C840" s="24" cm="1">
        <f t="array" ref="C840">SUMPRODUCT(('TREASURY FILE'!B739:B5740=$C$4)*('TREASURY FILE'!D739:D5740="TURNOVER")*('TREASURY FILE'!A739:A5740=A840)*('TREASURY FILE'!F739:F5740))</f>
        <v>0</v>
      </c>
      <c r="D840" s="24" cm="1">
        <f t="array" ref="D840">SUMPRODUCT(('TREASURY FILE'!B739:B5740=$D$4)*('TREASURY FILE'!D739:D5740="TURNOVER")*('TREASURY FILE'!A739:A5740=A840)*('TREASURY FILE'!F739:F5740))</f>
        <v>0</v>
      </c>
      <c r="E840" s="31">
        <f t="shared" si="41"/>
        <v>0</v>
      </c>
      <c r="G840" s="24" cm="1">
        <f t="array" ref="G840">SUMPRODUCT(('TREASURY FILE'!B739:B5740=$G$4)*('TREASURY FILE'!D739:D5740="INCOME")*('TREASURY FILE'!A739:A5740=A840)*('TREASURY FILE'!F739:F5740))</f>
        <v>0</v>
      </c>
      <c r="H840" s="24" cm="1">
        <f t="array" ref="H840">SUMPRODUCT(('TREASURY FILE'!B739:B5740=$H$4)*('TREASURY FILE'!D739:D5740="INCOME")*('TREASURY FILE'!A739:A5740=A840)*('TREASURY FILE'!F739:F5740))</f>
        <v>0</v>
      </c>
      <c r="I840" s="24" cm="1">
        <f t="array" ref="I840">SUMPRODUCT(('TREASURY FILE'!D748:D5740=$I$4)*('TREASURY FILE'!F748:F5740="INCOME")*('TREASURY FILE'!C748:C5740=C840)*('TREASURY FILE'!H748:H5740))</f>
        <v>0</v>
      </c>
      <c r="J840" s="31">
        <f t="shared" si="42"/>
        <v>0</v>
      </c>
      <c r="K840" s="33" t="e">
        <f t="shared" si="43"/>
        <v>#DIV/0!</v>
      </c>
    </row>
    <row r="841" spans="1:11" x14ac:dyDescent="0.3">
      <c r="A841" s="30">
        <v>46494</v>
      </c>
      <c r="B841" s="24" cm="1">
        <f t="array" ref="B841">SUMPRODUCT(('TREASURY FILE'!B740:B5741=$B$4)*('TREASURY FILE'!D740:D5741="TURNOVER")*('TREASURY FILE'!A740:A5741=A841)*('TREASURY FILE'!F740:F5741))</f>
        <v>0</v>
      </c>
      <c r="C841" s="24" cm="1">
        <f t="array" ref="C841">SUMPRODUCT(('TREASURY FILE'!B740:B5741=$C$4)*('TREASURY FILE'!D740:D5741="TURNOVER")*('TREASURY FILE'!A740:A5741=A841)*('TREASURY FILE'!F740:F5741))</f>
        <v>0</v>
      </c>
      <c r="D841" s="24" cm="1">
        <f t="array" ref="D841">SUMPRODUCT(('TREASURY FILE'!B740:B5741=$D$4)*('TREASURY FILE'!D740:D5741="TURNOVER")*('TREASURY FILE'!A740:A5741=A841)*('TREASURY FILE'!F740:F5741))</f>
        <v>0</v>
      </c>
      <c r="E841" s="31">
        <f t="shared" si="41"/>
        <v>0</v>
      </c>
      <c r="G841" s="24" cm="1">
        <f t="array" ref="G841">SUMPRODUCT(('TREASURY FILE'!B740:B5741=$G$4)*('TREASURY FILE'!D740:D5741="INCOME")*('TREASURY FILE'!A740:A5741=A841)*('TREASURY FILE'!F740:F5741))</f>
        <v>0</v>
      </c>
      <c r="H841" s="24" cm="1">
        <f t="array" ref="H841">SUMPRODUCT(('TREASURY FILE'!B740:B5741=$H$4)*('TREASURY FILE'!D740:D5741="INCOME")*('TREASURY FILE'!A740:A5741=A841)*('TREASURY FILE'!F740:F5741))</f>
        <v>0</v>
      </c>
      <c r="I841" s="24" cm="1">
        <f t="array" ref="I841">SUMPRODUCT(('TREASURY FILE'!D749:D5741=$I$4)*('TREASURY FILE'!F749:F5741="INCOME")*('TREASURY FILE'!C749:C5741=C841)*('TREASURY FILE'!H749:H5741))</f>
        <v>0</v>
      </c>
      <c r="J841" s="31">
        <f t="shared" si="42"/>
        <v>0</v>
      </c>
      <c r="K841" s="33" t="e">
        <f t="shared" si="43"/>
        <v>#DIV/0!</v>
      </c>
    </row>
    <row r="842" spans="1:11" x14ac:dyDescent="0.3">
      <c r="A842" s="30">
        <v>46495</v>
      </c>
      <c r="B842" s="24" cm="1">
        <f t="array" ref="B842">SUMPRODUCT(('TREASURY FILE'!B741:B5742=$B$4)*('TREASURY FILE'!D741:D5742="TURNOVER")*('TREASURY FILE'!A741:A5742=A842)*('TREASURY FILE'!F741:F5742))</f>
        <v>0</v>
      </c>
      <c r="C842" s="24" cm="1">
        <f t="array" ref="C842">SUMPRODUCT(('TREASURY FILE'!B741:B5742=$C$4)*('TREASURY FILE'!D741:D5742="TURNOVER")*('TREASURY FILE'!A741:A5742=A842)*('TREASURY FILE'!F741:F5742))</f>
        <v>0</v>
      </c>
      <c r="D842" s="24" cm="1">
        <f t="array" ref="D842">SUMPRODUCT(('TREASURY FILE'!B741:B5742=$D$4)*('TREASURY FILE'!D741:D5742="TURNOVER")*('TREASURY FILE'!A741:A5742=A842)*('TREASURY FILE'!F741:F5742))</f>
        <v>0</v>
      </c>
      <c r="E842" s="31">
        <f t="shared" si="41"/>
        <v>0</v>
      </c>
      <c r="G842" s="24" cm="1">
        <f t="array" ref="G842">SUMPRODUCT(('TREASURY FILE'!B741:B5742=$G$4)*('TREASURY FILE'!D741:D5742="INCOME")*('TREASURY FILE'!A741:A5742=A842)*('TREASURY FILE'!F741:F5742))</f>
        <v>0</v>
      </c>
      <c r="H842" s="24" cm="1">
        <f t="array" ref="H842">SUMPRODUCT(('TREASURY FILE'!B741:B5742=$H$4)*('TREASURY FILE'!D741:D5742="INCOME")*('TREASURY FILE'!A741:A5742=A842)*('TREASURY FILE'!F741:F5742))</f>
        <v>0</v>
      </c>
      <c r="I842" s="24" cm="1">
        <f t="array" ref="I842">SUMPRODUCT(('TREASURY FILE'!D750:D5742=$I$4)*('TREASURY FILE'!F750:F5742="INCOME")*('TREASURY FILE'!C750:C5742=C842)*('TREASURY FILE'!H750:H5742))</f>
        <v>0</v>
      </c>
      <c r="J842" s="31">
        <f t="shared" si="42"/>
        <v>0</v>
      </c>
      <c r="K842" s="33" t="e">
        <f t="shared" si="43"/>
        <v>#DIV/0!</v>
      </c>
    </row>
    <row r="843" spans="1:11" x14ac:dyDescent="0.3">
      <c r="A843" s="30">
        <v>46496</v>
      </c>
      <c r="B843" s="24" cm="1">
        <f t="array" ref="B843">SUMPRODUCT(('TREASURY FILE'!B742:B5743=$B$4)*('TREASURY FILE'!D742:D5743="TURNOVER")*('TREASURY FILE'!A742:A5743=A843)*('TREASURY FILE'!F742:F5743))</f>
        <v>0</v>
      </c>
      <c r="C843" s="24" cm="1">
        <f t="array" ref="C843">SUMPRODUCT(('TREASURY FILE'!B742:B5743=$C$4)*('TREASURY FILE'!D742:D5743="TURNOVER")*('TREASURY FILE'!A742:A5743=A843)*('TREASURY FILE'!F742:F5743))</f>
        <v>0</v>
      </c>
      <c r="D843" s="24" cm="1">
        <f t="array" ref="D843">SUMPRODUCT(('TREASURY FILE'!B742:B5743=$D$4)*('TREASURY FILE'!D742:D5743="TURNOVER")*('TREASURY FILE'!A742:A5743=A843)*('TREASURY FILE'!F742:F5743))</f>
        <v>0</v>
      </c>
      <c r="E843" s="31">
        <f t="shared" si="41"/>
        <v>0</v>
      </c>
      <c r="G843" s="24" cm="1">
        <f t="array" ref="G843">SUMPRODUCT(('TREASURY FILE'!B742:B5743=$G$4)*('TREASURY FILE'!D742:D5743="INCOME")*('TREASURY FILE'!A742:A5743=A843)*('TREASURY FILE'!F742:F5743))</f>
        <v>0</v>
      </c>
      <c r="H843" s="24" cm="1">
        <f t="array" ref="H843">SUMPRODUCT(('TREASURY FILE'!B742:B5743=$H$4)*('TREASURY FILE'!D742:D5743="INCOME")*('TREASURY FILE'!A742:A5743=A843)*('TREASURY FILE'!F742:F5743))</f>
        <v>0</v>
      </c>
      <c r="I843" s="24" cm="1">
        <f t="array" ref="I843">SUMPRODUCT(('TREASURY FILE'!D751:D5743=$I$4)*('TREASURY FILE'!F751:F5743="INCOME")*('TREASURY FILE'!C751:C5743=C843)*('TREASURY FILE'!H751:H5743))</f>
        <v>0</v>
      </c>
      <c r="J843" s="31">
        <f t="shared" si="42"/>
        <v>0</v>
      </c>
      <c r="K843" s="33" t="e">
        <f t="shared" si="43"/>
        <v>#DIV/0!</v>
      </c>
    </row>
    <row r="844" spans="1:11" x14ac:dyDescent="0.3">
      <c r="A844" s="30">
        <v>46497</v>
      </c>
      <c r="B844" s="24" cm="1">
        <f t="array" ref="B844">SUMPRODUCT(('TREASURY FILE'!B743:B5744=$B$4)*('TREASURY FILE'!D743:D5744="TURNOVER")*('TREASURY FILE'!A743:A5744=A844)*('TREASURY FILE'!F743:F5744))</f>
        <v>0</v>
      </c>
      <c r="C844" s="24" cm="1">
        <f t="array" ref="C844">SUMPRODUCT(('TREASURY FILE'!B743:B5744=$C$4)*('TREASURY FILE'!D743:D5744="TURNOVER")*('TREASURY FILE'!A743:A5744=A844)*('TREASURY FILE'!F743:F5744))</f>
        <v>0</v>
      </c>
      <c r="D844" s="24" cm="1">
        <f t="array" ref="D844">SUMPRODUCT(('TREASURY FILE'!B743:B5744=$D$4)*('TREASURY FILE'!D743:D5744="TURNOVER")*('TREASURY FILE'!A743:A5744=A844)*('TREASURY FILE'!F743:F5744))</f>
        <v>0</v>
      </c>
      <c r="E844" s="31">
        <f t="shared" si="41"/>
        <v>0</v>
      </c>
      <c r="G844" s="24" cm="1">
        <f t="array" ref="G844">SUMPRODUCT(('TREASURY FILE'!B743:B5744=$G$4)*('TREASURY FILE'!D743:D5744="INCOME")*('TREASURY FILE'!A743:A5744=A844)*('TREASURY FILE'!F743:F5744))</f>
        <v>0</v>
      </c>
      <c r="H844" s="24" cm="1">
        <f t="array" ref="H844">SUMPRODUCT(('TREASURY FILE'!B743:B5744=$H$4)*('TREASURY FILE'!D743:D5744="INCOME")*('TREASURY FILE'!A743:A5744=A844)*('TREASURY FILE'!F743:F5744))</f>
        <v>0</v>
      </c>
      <c r="I844" s="24" cm="1">
        <f t="array" ref="I844">SUMPRODUCT(('TREASURY FILE'!D752:D5744=$I$4)*('TREASURY FILE'!F752:F5744="INCOME")*('TREASURY FILE'!C752:C5744=C844)*('TREASURY FILE'!H752:H5744))</f>
        <v>0</v>
      </c>
      <c r="J844" s="31">
        <f t="shared" si="42"/>
        <v>0</v>
      </c>
      <c r="K844" s="33" t="e">
        <f t="shared" si="43"/>
        <v>#DIV/0!</v>
      </c>
    </row>
    <row r="845" spans="1:11" x14ac:dyDescent="0.3">
      <c r="A845" s="30">
        <v>46498</v>
      </c>
      <c r="B845" s="24" cm="1">
        <f t="array" ref="B845">SUMPRODUCT(('TREASURY FILE'!B744:B5745=$B$4)*('TREASURY FILE'!D744:D5745="TURNOVER")*('TREASURY FILE'!A744:A5745=A845)*('TREASURY FILE'!F744:F5745))</f>
        <v>0</v>
      </c>
      <c r="C845" s="24" cm="1">
        <f t="array" ref="C845">SUMPRODUCT(('TREASURY FILE'!B744:B5745=$C$4)*('TREASURY FILE'!D744:D5745="TURNOVER")*('TREASURY FILE'!A744:A5745=A845)*('TREASURY FILE'!F744:F5745))</f>
        <v>0</v>
      </c>
      <c r="D845" s="24" cm="1">
        <f t="array" ref="D845">SUMPRODUCT(('TREASURY FILE'!B744:B5745=$D$4)*('TREASURY FILE'!D744:D5745="TURNOVER")*('TREASURY FILE'!A744:A5745=A845)*('TREASURY FILE'!F744:F5745))</f>
        <v>0</v>
      </c>
      <c r="E845" s="31">
        <f t="shared" si="41"/>
        <v>0</v>
      </c>
      <c r="G845" s="24" cm="1">
        <f t="array" ref="G845">SUMPRODUCT(('TREASURY FILE'!B744:B5745=$G$4)*('TREASURY FILE'!D744:D5745="INCOME")*('TREASURY FILE'!A744:A5745=A845)*('TREASURY FILE'!F744:F5745))</f>
        <v>0</v>
      </c>
      <c r="H845" s="24" cm="1">
        <f t="array" ref="H845">SUMPRODUCT(('TREASURY FILE'!B744:B5745=$H$4)*('TREASURY FILE'!D744:D5745="INCOME")*('TREASURY FILE'!A744:A5745=A845)*('TREASURY FILE'!F744:F5745))</f>
        <v>0</v>
      </c>
      <c r="I845" s="24" cm="1">
        <f t="array" ref="I845">SUMPRODUCT(('TREASURY FILE'!D753:D5745=$I$4)*('TREASURY FILE'!F753:F5745="INCOME")*('TREASURY FILE'!C753:C5745=C845)*('TREASURY FILE'!H753:H5745))</f>
        <v>0</v>
      </c>
      <c r="J845" s="31">
        <f t="shared" si="42"/>
        <v>0</v>
      </c>
      <c r="K845" s="33" t="e">
        <f t="shared" si="43"/>
        <v>#DIV/0!</v>
      </c>
    </row>
    <row r="846" spans="1:11" x14ac:dyDescent="0.3">
      <c r="A846" s="30">
        <v>46499</v>
      </c>
      <c r="B846" s="24" cm="1">
        <f t="array" ref="B846">SUMPRODUCT(('TREASURY FILE'!B745:B5746=$B$4)*('TREASURY FILE'!D745:D5746="TURNOVER")*('TREASURY FILE'!A745:A5746=A846)*('TREASURY FILE'!F745:F5746))</f>
        <v>0</v>
      </c>
      <c r="C846" s="24" cm="1">
        <f t="array" ref="C846">SUMPRODUCT(('TREASURY FILE'!B745:B5746=$C$4)*('TREASURY FILE'!D745:D5746="TURNOVER")*('TREASURY FILE'!A745:A5746=A846)*('TREASURY FILE'!F745:F5746))</f>
        <v>0</v>
      </c>
      <c r="D846" s="24" cm="1">
        <f t="array" ref="D846">SUMPRODUCT(('TREASURY FILE'!B745:B5746=$D$4)*('TREASURY FILE'!D745:D5746="TURNOVER")*('TREASURY FILE'!A745:A5746=A846)*('TREASURY FILE'!F745:F5746))</f>
        <v>0</v>
      </c>
      <c r="E846" s="31">
        <f t="shared" si="41"/>
        <v>0</v>
      </c>
      <c r="G846" s="24" cm="1">
        <f t="array" ref="G846">SUMPRODUCT(('TREASURY FILE'!B745:B5746=$G$4)*('TREASURY FILE'!D745:D5746="INCOME")*('TREASURY FILE'!A745:A5746=A846)*('TREASURY FILE'!F745:F5746))</f>
        <v>0</v>
      </c>
      <c r="H846" s="24" cm="1">
        <f t="array" ref="H846">SUMPRODUCT(('TREASURY FILE'!B745:B5746=$H$4)*('TREASURY FILE'!D745:D5746="INCOME")*('TREASURY FILE'!A745:A5746=A846)*('TREASURY FILE'!F745:F5746))</f>
        <v>0</v>
      </c>
      <c r="I846" s="24" cm="1">
        <f t="array" ref="I846">SUMPRODUCT(('TREASURY FILE'!D754:D5746=$I$4)*('TREASURY FILE'!F754:F5746="INCOME")*('TREASURY FILE'!C754:C5746=C846)*('TREASURY FILE'!H754:H5746))</f>
        <v>0</v>
      </c>
      <c r="J846" s="31">
        <f t="shared" si="42"/>
        <v>0</v>
      </c>
      <c r="K846" s="33" t="e">
        <f t="shared" si="43"/>
        <v>#DIV/0!</v>
      </c>
    </row>
    <row r="847" spans="1:11" x14ac:dyDescent="0.3">
      <c r="A847" s="30">
        <v>46500</v>
      </c>
      <c r="B847" s="24" cm="1">
        <f t="array" ref="B847">SUMPRODUCT(('TREASURY FILE'!B746:B5747=$B$4)*('TREASURY FILE'!D746:D5747="TURNOVER")*('TREASURY FILE'!A746:A5747=A847)*('TREASURY FILE'!F746:F5747))</f>
        <v>0</v>
      </c>
      <c r="C847" s="24" cm="1">
        <f t="array" ref="C847">SUMPRODUCT(('TREASURY FILE'!B746:B5747=$C$4)*('TREASURY FILE'!D746:D5747="TURNOVER")*('TREASURY FILE'!A746:A5747=A847)*('TREASURY FILE'!F746:F5747))</f>
        <v>0</v>
      </c>
      <c r="D847" s="24" cm="1">
        <f t="array" ref="D847">SUMPRODUCT(('TREASURY FILE'!B746:B5747=$D$4)*('TREASURY FILE'!D746:D5747="TURNOVER")*('TREASURY FILE'!A746:A5747=A847)*('TREASURY FILE'!F746:F5747))</f>
        <v>0</v>
      </c>
      <c r="E847" s="31">
        <f t="shared" si="41"/>
        <v>0</v>
      </c>
      <c r="G847" s="24" cm="1">
        <f t="array" ref="G847">SUMPRODUCT(('TREASURY FILE'!B746:B5747=$G$4)*('TREASURY FILE'!D746:D5747="INCOME")*('TREASURY FILE'!A746:A5747=A847)*('TREASURY FILE'!F746:F5747))</f>
        <v>0</v>
      </c>
      <c r="H847" s="24" cm="1">
        <f t="array" ref="H847">SUMPRODUCT(('TREASURY FILE'!B746:B5747=$H$4)*('TREASURY FILE'!D746:D5747="INCOME")*('TREASURY FILE'!A746:A5747=A847)*('TREASURY FILE'!F746:F5747))</f>
        <v>0</v>
      </c>
      <c r="I847" s="24" cm="1">
        <f t="array" ref="I847">SUMPRODUCT(('TREASURY FILE'!D755:D5747=$I$4)*('TREASURY FILE'!F755:F5747="INCOME")*('TREASURY FILE'!C755:C5747=C847)*('TREASURY FILE'!H755:H5747))</f>
        <v>0</v>
      </c>
      <c r="J847" s="31">
        <f t="shared" si="42"/>
        <v>0</v>
      </c>
      <c r="K847" s="33" t="e">
        <f t="shared" si="43"/>
        <v>#DIV/0!</v>
      </c>
    </row>
    <row r="848" spans="1:11" x14ac:dyDescent="0.3">
      <c r="A848" s="30">
        <v>46501</v>
      </c>
      <c r="B848" s="24" cm="1">
        <f t="array" ref="B848">SUMPRODUCT(('TREASURY FILE'!B747:B5748=$B$4)*('TREASURY FILE'!D747:D5748="TURNOVER")*('TREASURY FILE'!A747:A5748=A848)*('TREASURY FILE'!F747:F5748))</f>
        <v>0</v>
      </c>
      <c r="C848" s="24" cm="1">
        <f t="array" ref="C848">SUMPRODUCT(('TREASURY FILE'!B747:B5748=$C$4)*('TREASURY FILE'!D747:D5748="TURNOVER")*('TREASURY FILE'!A747:A5748=A848)*('TREASURY FILE'!F747:F5748))</f>
        <v>0</v>
      </c>
      <c r="D848" s="24" cm="1">
        <f t="array" ref="D848">SUMPRODUCT(('TREASURY FILE'!B747:B5748=$D$4)*('TREASURY FILE'!D747:D5748="TURNOVER")*('TREASURY FILE'!A747:A5748=A848)*('TREASURY FILE'!F747:F5748))</f>
        <v>0</v>
      </c>
      <c r="E848" s="31">
        <f t="shared" si="41"/>
        <v>0</v>
      </c>
      <c r="G848" s="24" cm="1">
        <f t="array" ref="G848">SUMPRODUCT(('TREASURY FILE'!B747:B5748=$G$4)*('TREASURY FILE'!D747:D5748="INCOME")*('TREASURY FILE'!A747:A5748=A848)*('TREASURY FILE'!F747:F5748))</f>
        <v>0</v>
      </c>
      <c r="H848" s="24" cm="1">
        <f t="array" ref="H848">SUMPRODUCT(('TREASURY FILE'!B747:B5748=$H$4)*('TREASURY FILE'!D747:D5748="INCOME")*('TREASURY FILE'!A747:A5748=A848)*('TREASURY FILE'!F747:F5748))</f>
        <v>0</v>
      </c>
      <c r="I848" s="24" cm="1">
        <f t="array" ref="I848">SUMPRODUCT(('TREASURY FILE'!D756:D5748=$I$4)*('TREASURY FILE'!F756:F5748="INCOME")*('TREASURY FILE'!C756:C5748=C848)*('TREASURY FILE'!H756:H5748))</f>
        <v>0</v>
      </c>
      <c r="J848" s="31">
        <f t="shared" si="42"/>
        <v>0</v>
      </c>
      <c r="K848" s="33" t="e">
        <f t="shared" si="43"/>
        <v>#DIV/0!</v>
      </c>
    </row>
    <row r="849" spans="1:11" x14ac:dyDescent="0.3">
      <c r="A849" s="30">
        <v>46502</v>
      </c>
      <c r="B849" s="24" cm="1">
        <f t="array" ref="B849">SUMPRODUCT(('TREASURY FILE'!B748:B5749=$B$4)*('TREASURY FILE'!D748:D5749="TURNOVER")*('TREASURY FILE'!A748:A5749=A849)*('TREASURY FILE'!F748:F5749))</f>
        <v>0</v>
      </c>
      <c r="C849" s="24" cm="1">
        <f t="array" ref="C849">SUMPRODUCT(('TREASURY FILE'!B748:B5749=$C$4)*('TREASURY FILE'!D748:D5749="TURNOVER")*('TREASURY FILE'!A748:A5749=A849)*('TREASURY FILE'!F748:F5749))</f>
        <v>0</v>
      </c>
      <c r="D849" s="24" cm="1">
        <f t="array" ref="D849">SUMPRODUCT(('TREASURY FILE'!B748:B5749=$D$4)*('TREASURY FILE'!D748:D5749="TURNOVER")*('TREASURY FILE'!A748:A5749=A849)*('TREASURY FILE'!F748:F5749))</f>
        <v>0</v>
      </c>
      <c r="E849" s="31">
        <f t="shared" si="41"/>
        <v>0</v>
      </c>
      <c r="G849" s="24" cm="1">
        <f t="array" ref="G849">SUMPRODUCT(('TREASURY FILE'!B748:B5749=$G$4)*('TREASURY FILE'!D748:D5749="INCOME")*('TREASURY FILE'!A748:A5749=A849)*('TREASURY FILE'!F748:F5749))</f>
        <v>0</v>
      </c>
      <c r="H849" s="24" cm="1">
        <f t="array" ref="H849">SUMPRODUCT(('TREASURY FILE'!B748:B5749=$H$4)*('TREASURY FILE'!D748:D5749="INCOME")*('TREASURY FILE'!A748:A5749=A849)*('TREASURY FILE'!F748:F5749))</f>
        <v>0</v>
      </c>
      <c r="I849" s="24" cm="1">
        <f t="array" ref="I849">SUMPRODUCT(('TREASURY FILE'!D757:D5749=$I$4)*('TREASURY FILE'!F757:F5749="INCOME")*('TREASURY FILE'!C757:C5749=C849)*('TREASURY FILE'!H757:H5749))</f>
        <v>0</v>
      </c>
      <c r="J849" s="31">
        <f t="shared" si="42"/>
        <v>0</v>
      </c>
      <c r="K849" s="33" t="e">
        <f t="shared" si="43"/>
        <v>#DIV/0!</v>
      </c>
    </row>
    <row r="850" spans="1:11" x14ac:dyDescent="0.3">
      <c r="A850" s="30">
        <v>46503</v>
      </c>
      <c r="B850" s="24" cm="1">
        <f t="array" ref="B850">SUMPRODUCT(('TREASURY FILE'!B749:B5750=$B$4)*('TREASURY FILE'!D749:D5750="TURNOVER")*('TREASURY FILE'!A749:A5750=A850)*('TREASURY FILE'!F749:F5750))</f>
        <v>0</v>
      </c>
      <c r="C850" s="24" cm="1">
        <f t="array" ref="C850">SUMPRODUCT(('TREASURY FILE'!B749:B5750=$C$4)*('TREASURY FILE'!D749:D5750="TURNOVER")*('TREASURY FILE'!A749:A5750=A850)*('TREASURY FILE'!F749:F5750))</f>
        <v>0</v>
      </c>
      <c r="D850" s="24" cm="1">
        <f t="array" ref="D850">SUMPRODUCT(('TREASURY FILE'!B749:B5750=$D$4)*('TREASURY FILE'!D749:D5750="TURNOVER")*('TREASURY FILE'!A749:A5750=A850)*('TREASURY FILE'!F749:F5750))</f>
        <v>0</v>
      </c>
      <c r="E850" s="31">
        <f t="shared" si="41"/>
        <v>0</v>
      </c>
      <c r="G850" s="24" cm="1">
        <f t="array" ref="G850">SUMPRODUCT(('TREASURY FILE'!B749:B5750=$G$4)*('TREASURY FILE'!D749:D5750="INCOME")*('TREASURY FILE'!A749:A5750=A850)*('TREASURY FILE'!F749:F5750))</f>
        <v>0</v>
      </c>
      <c r="H850" s="24" cm="1">
        <f t="array" ref="H850">SUMPRODUCT(('TREASURY FILE'!B749:B5750=$H$4)*('TREASURY FILE'!D749:D5750="INCOME")*('TREASURY FILE'!A749:A5750=A850)*('TREASURY FILE'!F749:F5750))</f>
        <v>0</v>
      </c>
      <c r="I850" s="24" cm="1">
        <f t="array" ref="I850">SUMPRODUCT(('TREASURY FILE'!D758:D5750=$I$4)*('TREASURY FILE'!F758:F5750="INCOME")*('TREASURY FILE'!C758:C5750=C850)*('TREASURY FILE'!H758:H5750))</f>
        <v>0</v>
      </c>
      <c r="J850" s="31">
        <f t="shared" si="42"/>
        <v>0</v>
      </c>
      <c r="K850" s="33" t="e">
        <f t="shared" si="43"/>
        <v>#DIV/0!</v>
      </c>
    </row>
    <row r="851" spans="1:11" x14ac:dyDescent="0.3">
      <c r="A851" s="30">
        <v>46504</v>
      </c>
      <c r="B851" s="24" cm="1">
        <f t="array" ref="B851">SUMPRODUCT(('TREASURY FILE'!B750:B5751=$B$4)*('TREASURY FILE'!D750:D5751="TURNOVER")*('TREASURY FILE'!A750:A5751=A851)*('TREASURY FILE'!F750:F5751))</f>
        <v>0</v>
      </c>
      <c r="C851" s="24" cm="1">
        <f t="array" ref="C851">SUMPRODUCT(('TREASURY FILE'!B750:B5751=$C$4)*('TREASURY FILE'!D750:D5751="TURNOVER")*('TREASURY FILE'!A750:A5751=A851)*('TREASURY FILE'!F750:F5751))</f>
        <v>0</v>
      </c>
      <c r="D851" s="24" cm="1">
        <f t="array" ref="D851">SUMPRODUCT(('TREASURY FILE'!B750:B5751=$D$4)*('TREASURY FILE'!D750:D5751="TURNOVER")*('TREASURY FILE'!A750:A5751=A851)*('TREASURY FILE'!F750:F5751))</f>
        <v>0</v>
      </c>
      <c r="E851" s="31">
        <f t="shared" si="41"/>
        <v>0</v>
      </c>
      <c r="G851" s="24" cm="1">
        <f t="array" ref="G851">SUMPRODUCT(('TREASURY FILE'!B750:B5751=$G$4)*('TREASURY FILE'!D750:D5751="INCOME")*('TREASURY FILE'!A750:A5751=A851)*('TREASURY FILE'!F750:F5751))</f>
        <v>0</v>
      </c>
      <c r="H851" s="24" cm="1">
        <f t="array" ref="H851">SUMPRODUCT(('TREASURY FILE'!B750:B5751=$H$4)*('TREASURY FILE'!D750:D5751="INCOME")*('TREASURY FILE'!A750:A5751=A851)*('TREASURY FILE'!F750:F5751))</f>
        <v>0</v>
      </c>
      <c r="I851" s="24" cm="1">
        <f t="array" ref="I851">SUMPRODUCT(('TREASURY FILE'!D759:D5751=$I$4)*('TREASURY FILE'!F759:F5751="INCOME")*('TREASURY FILE'!C759:C5751=C851)*('TREASURY FILE'!H759:H5751))</f>
        <v>0</v>
      </c>
      <c r="J851" s="31">
        <f t="shared" si="42"/>
        <v>0</v>
      </c>
      <c r="K851" s="33" t="e">
        <f t="shared" si="43"/>
        <v>#DIV/0!</v>
      </c>
    </row>
    <row r="852" spans="1:11" x14ac:dyDescent="0.3">
      <c r="A852" s="30">
        <v>46505</v>
      </c>
      <c r="B852" s="24" cm="1">
        <f t="array" ref="B852">SUMPRODUCT(('TREASURY FILE'!B751:B5752=$B$4)*('TREASURY FILE'!D751:D5752="TURNOVER")*('TREASURY FILE'!A751:A5752=A852)*('TREASURY FILE'!F751:F5752))</f>
        <v>0</v>
      </c>
      <c r="C852" s="24" cm="1">
        <f t="array" ref="C852">SUMPRODUCT(('TREASURY FILE'!B751:B5752=$C$4)*('TREASURY FILE'!D751:D5752="TURNOVER")*('TREASURY FILE'!A751:A5752=A852)*('TREASURY FILE'!F751:F5752))</f>
        <v>0</v>
      </c>
      <c r="D852" s="24" cm="1">
        <f t="array" ref="D852">SUMPRODUCT(('TREASURY FILE'!B751:B5752=$D$4)*('TREASURY FILE'!D751:D5752="TURNOVER")*('TREASURY FILE'!A751:A5752=A852)*('TREASURY FILE'!F751:F5752))</f>
        <v>0</v>
      </c>
      <c r="E852" s="31">
        <f t="shared" si="41"/>
        <v>0</v>
      </c>
      <c r="G852" s="24" cm="1">
        <f t="array" ref="G852">SUMPRODUCT(('TREASURY FILE'!B751:B5752=$G$4)*('TREASURY FILE'!D751:D5752="INCOME")*('TREASURY FILE'!A751:A5752=A852)*('TREASURY FILE'!F751:F5752))</f>
        <v>0</v>
      </c>
      <c r="H852" s="24" cm="1">
        <f t="array" ref="H852">SUMPRODUCT(('TREASURY FILE'!B751:B5752=$H$4)*('TREASURY FILE'!D751:D5752="INCOME")*('TREASURY FILE'!A751:A5752=A852)*('TREASURY FILE'!F751:F5752))</f>
        <v>0</v>
      </c>
      <c r="I852" s="24" cm="1">
        <f t="array" ref="I852">SUMPRODUCT(('TREASURY FILE'!D760:D5752=$I$4)*('TREASURY FILE'!F760:F5752="INCOME")*('TREASURY FILE'!C760:C5752=C852)*('TREASURY FILE'!H760:H5752))</f>
        <v>0</v>
      </c>
      <c r="J852" s="31">
        <f t="shared" si="42"/>
        <v>0</v>
      </c>
      <c r="K852" s="33" t="e">
        <f t="shared" si="43"/>
        <v>#DIV/0!</v>
      </c>
    </row>
    <row r="853" spans="1:11" x14ac:dyDescent="0.3">
      <c r="A853" s="30">
        <v>46506</v>
      </c>
      <c r="B853" s="24" cm="1">
        <f t="array" ref="B853">SUMPRODUCT(('TREASURY FILE'!B752:B5753=$B$4)*('TREASURY FILE'!D752:D5753="TURNOVER")*('TREASURY FILE'!A752:A5753=A853)*('TREASURY FILE'!F752:F5753))</f>
        <v>0</v>
      </c>
      <c r="C853" s="24" cm="1">
        <f t="array" ref="C853">SUMPRODUCT(('TREASURY FILE'!B752:B5753=$C$4)*('TREASURY FILE'!D752:D5753="TURNOVER")*('TREASURY FILE'!A752:A5753=A853)*('TREASURY FILE'!F752:F5753))</f>
        <v>0</v>
      </c>
      <c r="D853" s="24" cm="1">
        <f t="array" ref="D853">SUMPRODUCT(('TREASURY FILE'!B752:B5753=$D$4)*('TREASURY FILE'!D752:D5753="TURNOVER")*('TREASURY FILE'!A752:A5753=A853)*('TREASURY FILE'!F752:F5753))</f>
        <v>0</v>
      </c>
      <c r="E853" s="31">
        <f t="shared" si="41"/>
        <v>0</v>
      </c>
      <c r="G853" s="24" cm="1">
        <f t="array" ref="G853">SUMPRODUCT(('TREASURY FILE'!B752:B5753=$G$4)*('TREASURY FILE'!D752:D5753="INCOME")*('TREASURY FILE'!A752:A5753=A853)*('TREASURY FILE'!F752:F5753))</f>
        <v>0</v>
      </c>
      <c r="H853" s="24" cm="1">
        <f t="array" ref="H853">SUMPRODUCT(('TREASURY FILE'!B752:B5753=$H$4)*('TREASURY FILE'!D752:D5753="INCOME")*('TREASURY FILE'!A752:A5753=A853)*('TREASURY FILE'!F752:F5753))</f>
        <v>0</v>
      </c>
      <c r="I853" s="24" cm="1">
        <f t="array" ref="I853">SUMPRODUCT(('TREASURY FILE'!D761:D5753=$I$4)*('TREASURY FILE'!F761:F5753="INCOME")*('TREASURY FILE'!C761:C5753=C853)*('TREASURY FILE'!H761:H5753))</f>
        <v>0</v>
      </c>
      <c r="J853" s="31">
        <f t="shared" si="42"/>
        <v>0</v>
      </c>
      <c r="K853" s="33" t="e">
        <f t="shared" si="43"/>
        <v>#DIV/0!</v>
      </c>
    </row>
    <row r="854" spans="1:11" x14ac:dyDescent="0.3">
      <c r="A854" s="30">
        <v>46507</v>
      </c>
      <c r="B854" s="24" cm="1">
        <f t="array" ref="B854">SUMPRODUCT(('TREASURY FILE'!B753:B5754=$B$4)*('TREASURY FILE'!D753:D5754="TURNOVER")*('TREASURY FILE'!A753:A5754=A854)*('TREASURY FILE'!F753:F5754))</f>
        <v>0</v>
      </c>
      <c r="C854" s="24" cm="1">
        <f t="array" ref="C854">SUMPRODUCT(('TREASURY FILE'!B753:B5754=$C$4)*('TREASURY FILE'!D753:D5754="TURNOVER")*('TREASURY FILE'!A753:A5754=A854)*('TREASURY FILE'!F753:F5754))</f>
        <v>0</v>
      </c>
      <c r="D854" s="24" cm="1">
        <f t="array" ref="D854">SUMPRODUCT(('TREASURY FILE'!B753:B5754=$D$4)*('TREASURY FILE'!D753:D5754="TURNOVER")*('TREASURY FILE'!A753:A5754=A854)*('TREASURY FILE'!F753:F5754))</f>
        <v>0</v>
      </c>
      <c r="E854" s="31">
        <f t="shared" si="41"/>
        <v>0</v>
      </c>
      <c r="G854" s="24" cm="1">
        <f t="array" ref="G854">SUMPRODUCT(('TREASURY FILE'!B753:B5754=$G$4)*('TREASURY FILE'!D753:D5754="INCOME")*('TREASURY FILE'!A753:A5754=A854)*('TREASURY FILE'!F753:F5754))</f>
        <v>0</v>
      </c>
      <c r="H854" s="24" cm="1">
        <f t="array" ref="H854">SUMPRODUCT(('TREASURY FILE'!B753:B5754=$H$4)*('TREASURY FILE'!D753:D5754="INCOME")*('TREASURY FILE'!A753:A5754=A854)*('TREASURY FILE'!F753:F5754))</f>
        <v>0</v>
      </c>
      <c r="I854" s="24" cm="1">
        <f t="array" ref="I854">SUMPRODUCT(('TREASURY FILE'!D762:D5754=$I$4)*('TREASURY FILE'!F762:F5754="INCOME")*('TREASURY FILE'!C762:C5754=C854)*('TREASURY FILE'!H762:H5754))</f>
        <v>0</v>
      </c>
      <c r="J854" s="31">
        <f t="shared" si="42"/>
        <v>0</v>
      </c>
      <c r="K854" s="33" t="e">
        <f t="shared" si="43"/>
        <v>#DIV/0!</v>
      </c>
    </row>
    <row r="855" spans="1:11" x14ac:dyDescent="0.3">
      <c r="A855" s="30">
        <v>46508</v>
      </c>
      <c r="B855" s="24" cm="1">
        <f t="array" ref="B855">SUMPRODUCT(('TREASURY FILE'!B754:B5755=$B$4)*('TREASURY FILE'!D754:D5755="TURNOVER")*('TREASURY FILE'!A754:A5755=A855)*('TREASURY FILE'!F754:F5755))</f>
        <v>0</v>
      </c>
      <c r="C855" s="24" cm="1">
        <f t="array" ref="C855">SUMPRODUCT(('TREASURY FILE'!B754:B5755=$C$4)*('TREASURY FILE'!D754:D5755="TURNOVER")*('TREASURY FILE'!A754:A5755=A855)*('TREASURY FILE'!F754:F5755))</f>
        <v>0</v>
      </c>
      <c r="D855" s="24" cm="1">
        <f t="array" ref="D855">SUMPRODUCT(('TREASURY FILE'!B754:B5755=$D$4)*('TREASURY FILE'!D754:D5755="TURNOVER")*('TREASURY FILE'!A754:A5755=A855)*('TREASURY FILE'!F754:F5755))</f>
        <v>0</v>
      </c>
      <c r="E855" s="31">
        <f t="shared" si="41"/>
        <v>0</v>
      </c>
      <c r="G855" s="24" cm="1">
        <f t="array" ref="G855">SUMPRODUCT(('TREASURY FILE'!B754:B5755=$G$4)*('TREASURY FILE'!D754:D5755="INCOME")*('TREASURY FILE'!A754:A5755=A855)*('TREASURY FILE'!F754:F5755))</f>
        <v>0</v>
      </c>
      <c r="H855" s="24" cm="1">
        <f t="array" ref="H855">SUMPRODUCT(('TREASURY FILE'!B754:B5755=$H$4)*('TREASURY FILE'!D754:D5755="INCOME")*('TREASURY FILE'!A754:A5755=A855)*('TREASURY FILE'!F754:F5755))</f>
        <v>0</v>
      </c>
      <c r="I855" s="24" cm="1">
        <f t="array" ref="I855">SUMPRODUCT(('TREASURY FILE'!D763:D5755=$I$4)*('TREASURY FILE'!F763:F5755="INCOME")*('TREASURY FILE'!C763:C5755=C855)*('TREASURY FILE'!H763:H5755))</f>
        <v>0</v>
      </c>
      <c r="J855" s="31">
        <f t="shared" si="42"/>
        <v>0</v>
      </c>
      <c r="K855" s="33" t="e">
        <f t="shared" si="43"/>
        <v>#DIV/0!</v>
      </c>
    </row>
    <row r="856" spans="1:11" x14ac:dyDescent="0.3">
      <c r="A856" s="30">
        <v>46509</v>
      </c>
      <c r="B856" s="24" cm="1">
        <f t="array" ref="B856">SUMPRODUCT(('TREASURY FILE'!B755:B5756=$B$4)*('TREASURY FILE'!D755:D5756="TURNOVER")*('TREASURY FILE'!A755:A5756=A856)*('TREASURY FILE'!F755:F5756))</f>
        <v>0</v>
      </c>
      <c r="C856" s="24" cm="1">
        <f t="array" ref="C856">SUMPRODUCT(('TREASURY FILE'!B755:B5756=$C$4)*('TREASURY FILE'!D755:D5756="TURNOVER")*('TREASURY FILE'!A755:A5756=A856)*('TREASURY FILE'!F755:F5756))</f>
        <v>0</v>
      </c>
      <c r="D856" s="24" cm="1">
        <f t="array" ref="D856">SUMPRODUCT(('TREASURY FILE'!B755:B5756=$D$4)*('TREASURY FILE'!D755:D5756="TURNOVER")*('TREASURY FILE'!A755:A5756=A856)*('TREASURY FILE'!F755:F5756))</f>
        <v>0</v>
      </c>
      <c r="E856" s="31">
        <f t="shared" si="41"/>
        <v>0</v>
      </c>
      <c r="G856" s="24" cm="1">
        <f t="array" ref="G856">SUMPRODUCT(('TREASURY FILE'!B755:B5756=$G$4)*('TREASURY FILE'!D755:D5756="INCOME")*('TREASURY FILE'!A755:A5756=A856)*('TREASURY FILE'!F755:F5756))</f>
        <v>0</v>
      </c>
      <c r="H856" s="24" cm="1">
        <f t="array" ref="H856">SUMPRODUCT(('TREASURY FILE'!B755:B5756=$H$4)*('TREASURY FILE'!D755:D5756="INCOME")*('TREASURY FILE'!A755:A5756=A856)*('TREASURY FILE'!F755:F5756))</f>
        <v>0</v>
      </c>
      <c r="I856" s="24" cm="1">
        <f t="array" ref="I856">SUMPRODUCT(('TREASURY FILE'!D764:D5756=$I$4)*('TREASURY FILE'!F764:F5756="INCOME")*('TREASURY FILE'!C764:C5756=C856)*('TREASURY FILE'!H764:H5756))</f>
        <v>0</v>
      </c>
      <c r="J856" s="31">
        <f t="shared" si="42"/>
        <v>0</v>
      </c>
      <c r="K856" s="33" t="e">
        <f t="shared" si="43"/>
        <v>#DIV/0!</v>
      </c>
    </row>
    <row r="857" spans="1:11" x14ac:dyDescent="0.3">
      <c r="A857" s="30">
        <v>46510</v>
      </c>
      <c r="B857" s="24" cm="1">
        <f t="array" ref="B857">SUMPRODUCT(('TREASURY FILE'!B756:B5757=$B$4)*('TREASURY FILE'!D756:D5757="TURNOVER")*('TREASURY FILE'!A756:A5757=A857)*('TREASURY FILE'!F756:F5757))</f>
        <v>0</v>
      </c>
      <c r="C857" s="24" cm="1">
        <f t="array" ref="C857">SUMPRODUCT(('TREASURY FILE'!B756:B5757=$C$4)*('TREASURY FILE'!D756:D5757="TURNOVER")*('TREASURY FILE'!A756:A5757=A857)*('TREASURY FILE'!F756:F5757))</f>
        <v>0</v>
      </c>
      <c r="D857" s="24" cm="1">
        <f t="array" ref="D857">SUMPRODUCT(('TREASURY FILE'!B756:B5757=$D$4)*('TREASURY FILE'!D756:D5757="TURNOVER")*('TREASURY FILE'!A756:A5757=A857)*('TREASURY FILE'!F756:F5757))</f>
        <v>0</v>
      </c>
      <c r="E857" s="31">
        <f t="shared" si="41"/>
        <v>0</v>
      </c>
      <c r="G857" s="24" cm="1">
        <f t="array" ref="G857">SUMPRODUCT(('TREASURY FILE'!B756:B5757=$G$4)*('TREASURY FILE'!D756:D5757="INCOME")*('TREASURY FILE'!A756:A5757=A857)*('TREASURY FILE'!F756:F5757))</f>
        <v>0</v>
      </c>
      <c r="H857" s="24" cm="1">
        <f t="array" ref="H857">SUMPRODUCT(('TREASURY FILE'!B756:B5757=$H$4)*('TREASURY FILE'!D756:D5757="INCOME")*('TREASURY FILE'!A756:A5757=A857)*('TREASURY FILE'!F756:F5757))</f>
        <v>0</v>
      </c>
      <c r="I857" s="24" cm="1">
        <f t="array" ref="I857">SUMPRODUCT(('TREASURY FILE'!D765:D5757=$I$4)*('TREASURY FILE'!F765:F5757="INCOME")*('TREASURY FILE'!C765:C5757=C857)*('TREASURY FILE'!H765:H5757))</f>
        <v>0</v>
      </c>
      <c r="J857" s="31">
        <f t="shared" si="42"/>
        <v>0</v>
      </c>
      <c r="K857" s="33" t="e">
        <f t="shared" si="43"/>
        <v>#DIV/0!</v>
      </c>
    </row>
    <row r="858" spans="1:11" x14ac:dyDescent="0.3">
      <c r="A858" s="30">
        <v>46511</v>
      </c>
      <c r="B858" s="24" cm="1">
        <f t="array" ref="B858">SUMPRODUCT(('TREASURY FILE'!B757:B5758=$B$4)*('TREASURY FILE'!D757:D5758="TURNOVER")*('TREASURY FILE'!A757:A5758=A858)*('TREASURY FILE'!F757:F5758))</f>
        <v>0</v>
      </c>
      <c r="C858" s="24" cm="1">
        <f t="array" ref="C858">SUMPRODUCT(('TREASURY FILE'!B757:B5758=$C$4)*('TREASURY FILE'!D757:D5758="TURNOVER")*('TREASURY FILE'!A757:A5758=A858)*('TREASURY FILE'!F757:F5758))</f>
        <v>0</v>
      </c>
      <c r="D858" s="24" cm="1">
        <f t="array" ref="D858">SUMPRODUCT(('TREASURY FILE'!B757:B5758=$D$4)*('TREASURY FILE'!D757:D5758="TURNOVER")*('TREASURY FILE'!A757:A5758=A858)*('TREASURY FILE'!F757:F5758))</f>
        <v>0</v>
      </c>
      <c r="E858" s="31">
        <f t="shared" si="41"/>
        <v>0</v>
      </c>
      <c r="G858" s="24" cm="1">
        <f t="array" ref="G858">SUMPRODUCT(('TREASURY FILE'!B757:B5758=$G$4)*('TREASURY FILE'!D757:D5758="INCOME")*('TREASURY FILE'!A757:A5758=A858)*('TREASURY FILE'!F757:F5758))</f>
        <v>0</v>
      </c>
      <c r="H858" s="24" cm="1">
        <f t="array" ref="H858">SUMPRODUCT(('TREASURY FILE'!B757:B5758=$H$4)*('TREASURY FILE'!D757:D5758="INCOME")*('TREASURY FILE'!A757:A5758=A858)*('TREASURY FILE'!F757:F5758))</f>
        <v>0</v>
      </c>
      <c r="I858" s="24" cm="1">
        <f t="array" ref="I858">SUMPRODUCT(('TREASURY FILE'!D766:D5758=$I$4)*('TREASURY FILE'!F766:F5758="INCOME")*('TREASURY FILE'!C766:C5758=C858)*('TREASURY FILE'!H766:H5758))</f>
        <v>0</v>
      </c>
      <c r="J858" s="31">
        <f t="shared" si="42"/>
        <v>0</v>
      </c>
      <c r="K858" s="33" t="e">
        <f t="shared" si="43"/>
        <v>#DIV/0!</v>
      </c>
    </row>
    <row r="859" spans="1:11" x14ac:dyDescent="0.3">
      <c r="A859" s="30">
        <v>46512</v>
      </c>
      <c r="B859" s="24" cm="1">
        <f t="array" ref="B859">SUMPRODUCT(('TREASURY FILE'!B758:B5759=$B$4)*('TREASURY FILE'!D758:D5759="TURNOVER")*('TREASURY FILE'!A758:A5759=A859)*('TREASURY FILE'!F758:F5759))</f>
        <v>0</v>
      </c>
      <c r="C859" s="24" cm="1">
        <f t="array" ref="C859">SUMPRODUCT(('TREASURY FILE'!B758:B5759=$C$4)*('TREASURY FILE'!D758:D5759="TURNOVER")*('TREASURY FILE'!A758:A5759=A859)*('TREASURY FILE'!F758:F5759))</f>
        <v>0</v>
      </c>
      <c r="D859" s="24" cm="1">
        <f t="array" ref="D859">SUMPRODUCT(('TREASURY FILE'!B758:B5759=$D$4)*('TREASURY FILE'!D758:D5759="TURNOVER")*('TREASURY FILE'!A758:A5759=A859)*('TREASURY FILE'!F758:F5759))</f>
        <v>0</v>
      </c>
      <c r="E859" s="31">
        <f t="shared" si="41"/>
        <v>0</v>
      </c>
      <c r="G859" s="24" cm="1">
        <f t="array" ref="G859">SUMPRODUCT(('TREASURY FILE'!B758:B5759=$G$4)*('TREASURY FILE'!D758:D5759="INCOME")*('TREASURY FILE'!A758:A5759=A859)*('TREASURY FILE'!F758:F5759))</f>
        <v>0</v>
      </c>
      <c r="H859" s="24" cm="1">
        <f t="array" ref="H859">SUMPRODUCT(('TREASURY FILE'!B758:B5759=$H$4)*('TREASURY FILE'!D758:D5759="INCOME")*('TREASURY FILE'!A758:A5759=A859)*('TREASURY FILE'!F758:F5759))</f>
        <v>0</v>
      </c>
      <c r="I859" s="24" cm="1">
        <f t="array" ref="I859">SUMPRODUCT(('TREASURY FILE'!D767:D5759=$I$4)*('TREASURY FILE'!F767:F5759="INCOME")*('TREASURY FILE'!C767:C5759=C859)*('TREASURY FILE'!H767:H5759))</f>
        <v>0</v>
      </c>
      <c r="J859" s="31">
        <f t="shared" si="42"/>
        <v>0</v>
      </c>
      <c r="K859" s="33" t="e">
        <f t="shared" si="43"/>
        <v>#DIV/0!</v>
      </c>
    </row>
    <row r="860" spans="1:11" x14ac:dyDescent="0.3">
      <c r="A860" s="30">
        <v>46513</v>
      </c>
      <c r="B860" s="24" cm="1">
        <f t="array" ref="B860">SUMPRODUCT(('TREASURY FILE'!B759:B5760=$B$4)*('TREASURY FILE'!D759:D5760="TURNOVER")*('TREASURY FILE'!A759:A5760=A860)*('TREASURY FILE'!F759:F5760))</f>
        <v>0</v>
      </c>
      <c r="C860" s="24" cm="1">
        <f t="array" ref="C860">SUMPRODUCT(('TREASURY FILE'!B759:B5760=$C$4)*('TREASURY FILE'!D759:D5760="TURNOVER")*('TREASURY FILE'!A759:A5760=A860)*('TREASURY FILE'!F759:F5760))</f>
        <v>0</v>
      </c>
      <c r="D860" s="24" cm="1">
        <f t="array" ref="D860">SUMPRODUCT(('TREASURY FILE'!B759:B5760=$D$4)*('TREASURY FILE'!D759:D5760="TURNOVER")*('TREASURY FILE'!A759:A5760=A860)*('TREASURY FILE'!F759:F5760))</f>
        <v>0</v>
      </c>
      <c r="E860" s="31">
        <f t="shared" si="41"/>
        <v>0</v>
      </c>
      <c r="G860" s="24" cm="1">
        <f t="array" ref="G860">SUMPRODUCT(('TREASURY FILE'!B759:B5760=$G$4)*('TREASURY FILE'!D759:D5760="INCOME")*('TREASURY FILE'!A759:A5760=A860)*('TREASURY FILE'!F759:F5760))</f>
        <v>0</v>
      </c>
      <c r="H860" s="24" cm="1">
        <f t="array" ref="H860">SUMPRODUCT(('TREASURY FILE'!B759:B5760=$H$4)*('TREASURY FILE'!D759:D5760="INCOME")*('TREASURY FILE'!A759:A5760=A860)*('TREASURY FILE'!F759:F5760))</f>
        <v>0</v>
      </c>
      <c r="I860" s="24" cm="1">
        <f t="array" ref="I860">SUMPRODUCT(('TREASURY FILE'!D768:D5760=$I$4)*('TREASURY FILE'!F768:F5760="INCOME")*('TREASURY FILE'!C768:C5760=C860)*('TREASURY FILE'!H768:H5760))</f>
        <v>0</v>
      </c>
      <c r="J860" s="31">
        <f t="shared" si="42"/>
        <v>0</v>
      </c>
      <c r="K860" s="33" t="e">
        <f t="shared" si="43"/>
        <v>#DIV/0!</v>
      </c>
    </row>
    <row r="861" spans="1:11" x14ac:dyDescent="0.3">
      <c r="A861" s="30">
        <v>46514</v>
      </c>
      <c r="B861" s="24" cm="1">
        <f t="array" ref="B861">SUMPRODUCT(('TREASURY FILE'!B760:B5761=$B$4)*('TREASURY FILE'!D760:D5761="TURNOVER")*('TREASURY FILE'!A760:A5761=A861)*('TREASURY FILE'!F760:F5761))</f>
        <v>0</v>
      </c>
      <c r="C861" s="24" cm="1">
        <f t="array" ref="C861">SUMPRODUCT(('TREASURY FILE'!B760:B5761=$C$4)*('TREASURY FILE'!D760:D5761="TURNOVER")*('TREASURY FILE'!A760:A5761=A861)*('TREASURY FILE'!F760:F5761))</f>
        <v>0</v>
      </c>
      <c r="D861" s="24" cm="1">
        <f t="array" ref="D861">SUMPRODUCT(('TREASURY FILE'!B760:B5761=$D$4)*('TREASURY FILE'!D760:D5761="TURNOVER")*('TREASURY FILE'!A760:A5761=A861)*('TREASURY FILE'!F760:F5761))</f>
        <v>0</v>
      </c>
      <c r="E861" s="31">
        <f t="shared" si="41"/>
        <v>0</v>
      </c>
      <c r="G861" s="24" cm="1">
        <f t="array" ref="G861">SUMPRODUCT(('TREASURY FILE'!B760:B5761=$G$4)*('TREASURY FILE'!D760:D5761="INCOME")*('TREASURY FILE'!A760:A5761=A861)*('TREASURY FILE'!F760:F5761))</f>
        <v>0</v>
      </c>
      <c r="H861" s="24" cm="1">
        <f t="array" ref="H861">SUMPRODUCT(('TREASURY FILE'!B760:B5761=$H$4)*('TREASURY FILE'!D760:D5761="INCOME")*('TREASURY FILE'!A760:A5761=A861)*('TREASURY FILE'!F760:F5761))</f>
        <v>0</v>
      </c>
      <c r="I861" s="24" cm="1">
        <f t="array" ref="I861">SUMPRODUCT(('TREASURY FILE'!D769:D5761=$I$4)*('TREASURY FILE'!F769:F5761="INCOME")*('TREASURY FILE'!C769:C5761=C861)*('TREASURY FILE'!H769:H5761))</f>
        <v>0</v>
      </c>
      <c r="J861" s="31">
        <f t="shared" si="42"/>
        <v>0</v>
      </c>
      <c r="K861" s="33" t="e">
        <f t="shared" si="43"/>
        <v>#DIV/0!</v>
      </c>
    </row>
    <row r="862" spans="1:11" x14ac:dyDescent="0.3">
      <c r="A862" s="30">
        <v>46515</v>
      </c>
      <c r="B862" s="24" cm="1">
        <f t="array" ref="B862">SUMPRODUCT(('TREASURY FILE'!B761:B5762=$B$4)*('TREASURY FILE'!D761:D5762="TURNOVER")*('TREASURY FILE'!A761:A5762=A862)*('TREASURY FILE'!F761:F5762))</f>
        <v>0</v>
      </c>
      <c r="C862" s="24" cm="1">
        <f t="array" ref="C862">SUMPRODUCT(('TREASURY FILE'!B761:B5762=$C$4)*('TREASURY FILE'!D761:D5762="TURNOVER")*('TREASURY FILE'!A761:A5762=A862)*('TREASURY FILE'!F761:F5762))</f>
        <v>0</v>
      </c>
      <c r="D862" s="24" cm="1">
        <f t="array" ref="D862">SUMPRODUCT(('TREASURY FILE'!B761:B5762=$D$4)*('TREASURY FILE'!D761:D5762="TURNOVER")*('TREASURY FILE'!A761:A5762=A862)*('TREASURY FILE'!F761:F5762))</f>
        <v>0</v>
      </c>
      <c r="E862" s="31">
        <f t="shared" si="41"/>
        <v>0</v>
      </c>
      <c r="G862" s="24" cm="1">
        <f t="array" ref="G862">SUMPRODUCT(('TREASURY FILE'!B761:B5762=$G$4)*('TREASURY FILE'!D761:D5762="INCOME")*('TREASURY FILE'!A761:A5762=A862)*('TREASURY FILE'!F761:F5762))</f>
        <v>0</v>
      </c>
      <c r="H862" s="24" cm="1">
        <f t="array" ref="H862">SUMPRODUCT(('TREASURY FILE'!B761:B5762=$H$4)*('TREASURY FILE'!D761:D5762="INCOME")*('TREASURY FILE'!A761:A5762=A862)*('TREASURY FILE'!F761:F5762))</f>
        <v>0</v>
      </c>
      <c r="I862" s="24" cm="1">
        <f t="array" ref="I862">SUMPRODUCT(('TREASURY FILE'!D770:D5762=$I$4)*('TREASURY FILE'!F770:F5762="INCOME")*('TREASURY FILE'!C770:C5762=C862)*('TREASURY FILE'!H770:H5762))</f>
        <v>0</v>
      </c>
      <c r="J862" s="31">
        <f t="shared" si="42"/>
        <v>0</v>
      </c>
      <c r="K862" s="33" t="e">
        <f t="shared" si="43"/>
        <v>#DIV/0!</v>
      </c>
    </row>
    <row r="863" spans="1:11" x14ac:dyDescent="0.3">
      <c r="A863" s="30">
        <v>46516</v>
      </c>
      <c r="B863" s="24" cm="1">
        <f t="array" ref="B863">SUMPRODUCT(('TREASURY FILE'!B762:B5763=$B$4)*('TREASURY FILE'!D762:D5763="TURNOVER")*('TREASURY FILE'!A762:A5763=A863)*('TREASURY FILE'!F762:F5763))</f>
        <v>0</v>
      </c>
      <c r="C863" s="24" cm="1">
        <f t="array" ref="C863">SUMPRODUCT(('TREASURY FILE'!B762:B5763=$C$4)*('TREASURY FILE'!D762:D5763="TURNOVER")*('TREASURY FILE'!A762:A5763=A863)*('TREASURY FILE'!F762:F5763))</f>
        <v>0</v>
      </c>
      <c r="D863" s="24" cm="1">
        <f t="array" ref="D863">SUMPRODUCT(('TREASURY FILE'!B762:B5763=$D$4)*('TREASURY FILE'!D762:D5763="TURNOVER")*('TREASURY FILE'!A762:A5763=A863)*('TREASURY FILE'!F762:F5763))</f>
        <v>0</v>
      </c>
      <c r="E863" s="31">
        <f t="shared" si="41"/>
        <v>0</v>
      </c>
      <c r="G863" s="24" cm="1">
        <f t="array" ref="G863">SUMPRODUCT(('TREASURY FILE'!B762:B5763=$G$4)*('TREASURY FILE'!D762:D5763="INCOME")*('TREASURY FILE'!A762:A5763=A863)*('TREASURY FILE'!F762:F5763))</f>
        <v>0</v>
      </c>
      <c r="H863" s="24" cm="1">
        <f t="array" ref="H863">SUMPRODUCT(('TREASURY FILE'!B762:B5763=$H$4)*('TREASURY FILE'!D762:D5763="INCOME")*('TREASURY FILE'!A762:A5763=A863)*('TREASURY FILE'!F762:F5763))</f>
        <v>0</v>
      </c>
      <c r="I863" s="24" cm="1">
        <f t="array" ref="I863">SUMPRODUCT(('TREASURY FILE'!D771:D5763=$I$4)*('TREASURY FILE'!F771:F5763="INCOME")*('TREASURY FILE'!C771:C5763=C863)*('TREASURY FILE'!H771:H5763))</f>
        <v>0</v>
      </c>
      <c r="J863" s="31">
        <f t="shared" si="42"/>
        <v>0</v>
      </c>
      <c r="K863" s="33" t="e">
        <f t="shared" si="43"/>
        <v>#DIV/0!</v>
      </c>
    </row>
    <row r="864" spans="1:11" x14ac:dyDescent="0.3">
      <c r="A864" s="30">
        <v>46517</v>
      </c>
      <c r="B864" s="24" cm="1">
        <f t="array" ref="B864">SUMPRODUCT(('TREASURY FILE'!B763:B5764=$B$4)*('TREASURY FILE'!D763:D5764="TURNOVER")*('TREASURY FILE'!A763:A5764=A864)*('TREASURY FILE'!F763:F5764))</f>
        <v>0</v>
      </c>
      <c r="C864" s="24" cm="1">
        <f t="array" ref="C864">SUMPRODUCT(('TREASURY FILE'!B763:B5764=$C$4)*('TREASURY FILE'!D763:D5764="TURNOVER")*('TREASURY FILE'!A763:A5764=A864)*('TREASURY FILE'!F763:F5764))</f>
        <v>0</v>
      </c>
      <c r="D864" s="24" cm="1">
        <f t="array" ref="D864">SUMPRODUCT(('TREASURY FILE'!B763:B5764=$D$4)*('TREASURY FILE'!D763:D5764="TURNOVER")*('TREASURY FILE'!A763:A5764=A864)*('TREASURY FILE'!F763:F5764))</f>
        <v>0</v>
      </c>
      <c r="E864" s="31">
        <f t="shared" si="41"/>
        <v>0</v>
      </c>
      <c r="G864" s="24" cm="1">
        <f t="array" ref="G864">SUMPRODUCT(('TREASURY FILE'!B763:B5764=$G$4)*('TREASURY FILE'!D763:D5764="INCOME")*('TREASURY FILE'!A763:A5764=A864)*('TREASURY FILE'!F763:F5764))</f>
        <v>0</v>
      </c>
      <c r="H864" s="24" cm="1">
        <f t="array" ref="H864">SUMPRODUCT(('TREASURY FILE'!B763:B5764=$H$4)*('TREASURY FILE'!D763:D5764="INCOME")*('TREASURY FILE'!A763:A5764=A864)*('TREASURY FILE'!F763:F5764))</f>
        <v>0</v>
      </c>
      <c r="I864" s="24" cm="1">
        <f t="array" ref="I864">SUMPRODUCT(('TREASURY FILE'!D772:D5764=$I$4)*('TREASURY FILE'!F772:F5764="INCOME")*('TREASURY FILE'!C772:C5764=C864)*('TREASURY FILE'!H772:H5764))</f>
        <v>0</v>
      </c>
      <c r="J864" s="31">
        <f t="shared" si="42"/>
        <v>0</v>
      </c>
      <c r="K864" s="33" t="e">
        <f t="shared" si="43"/>
        <v>#DIV/0!</v>
      </c>
    </row>
    <row r="865" spans="1:11" x14ac:dyDescent="0.3">
      <c r="A865" s="30">
        <v>46518</v>
      </c>
      <c r="B865" s="24" cm="1">
        <f t="array" ref="B865">SUMPRODUCT(('TREASURY FILE'!B764:B5765=$B$4)*('TREASURY FILE'!D764:D5765="TURNOVER")*('TREASURY FILE'!A764:A5765=A865)*('TREASURY FILE'!F764:F5765))</f>
        <v>0</v>
      </c>
      <c r="C865" s="24" cm="1">
        <f t="array" ref="C865">SUMPRODUCT(('TREASURY FILE'!B764:B5765=$C$4)*('TREASURY FILE'!D764:D5765="TURNOVER")*('TREASURY FILE'!A764:A5765=A865)*('TREASURY FILE'!F764:F5765))</f>
        <v>0</v>
      </c>
      <c r="D865" s="24" cm="1">
        <f t="array" ref="D865">SUMPRODUCT(('TREASURY FILE'!B764:B5765=$D$4)*('TREASURY FILE'!D764:D5765="TURNOVER")*('TREASURY FILE'!A764:A5765=A865)*('TREASURY FILE'!F764:F5765))</f>
        <v>0</v>
      </c>
      <c r="E865" s="31">
        <f t="shared" si="41"/>
        <v>0</v>
      </c>
      <c r="G865" s="24" cm="1">
        <f t="array" ref="G865">SUMPRODUCT(('TREASURY FILE'!B764:B5765=$G$4)*('TREASURY FILE'!D764:D5765="INCOME")*('TREASURY FILE'!A764:A5765=A865)*('TREASURY FILE'!F764:F5765))</f>
        <v>0</v>
      </c>
      <c r="H865" s="24" cm="1">
        <f t="array" ref="H865">SUMPRODUCT(('TREASURY FILE'!B764:B5765=$H$4)*('TREASURY FILE'!D764:D5765="INCOME")*('TREASURY FILE'!A764:A5765=A865)*('TREASURY FILE'!F764:F5765))</f>
        <v>0</v>
      </c>
      <c r="I865" s="24" cm="1">
        <f t="array" ref="I865">SUMPRODUCT(('TREASURY FILE'!D773:D5765=$I$4)*('TREASURY FILE'!F773:F5765="INCOME")*('TREASURY FILE'!C773:C5765=C865)*('TREASURY FILE'!H773:H5765))</f>
        <v>0</v>
      </c>
      <c r="J865" s="31">
        <f t="shared" si="42"/>
        <v>0</v>
      </c>
      <c r="K865" s="33" t="e">
        <f t="shared" si="43"/>
        <v>#DIV/0!</v>
      </c>
    </row>
    <row r="866" spans="1:11" x14ac:dyDescent="0.3">
      <c r="A866" s="30">
        <v>46519</v>
      </c>
      <c r="B866" s="24" cm="1">
        <f t="array" ref="B866">SUMPRODUCT(('TREASURY FILE'!B765:B5766=$B$4)*('TREASURY FILE'!D765:D5766="TURNOVER")*('TREASURY FILE'!A765:A5766=A866)*('TREASURY FILE'!F765:F5766))</f>
        <v>0</v>
      </c>
      <c r="C866" s="24" cm="1">
        <f t="array" ref="C866">SUMPRODUCT(('TREASURY FILE'!B765:B5766=$C$4)*('TREASURY FILE'!D765:D5766="TURNOVER")*('TREASURY FILE'!A765:A5766=A866)*('TREASURY FILE'!F765:F5766))</f>
        <v>0</v>
      </c>
      <c r="D866" s="24" cm="1">
        <f t="array" ref="D866">SUMPRODUCT(('TREASURY FILE'!B765:B5766=$D$4)*('TREASURY FILE'!D765:D5766="TURNOVER")*('TREASURY FILE'!A765:A5766=A866)*('TREASURY FILE'!F765:F5766))</f>
        <v>0</v>
      </c>
      <c r="E866" s="31">
        <f t="shared" si="41"/>
        <v>0</v>
      </c>
      <c r="G866" s="24" cm="1">
        <f t="array" ref="G866">SUMPRODUCT(('TREASURY FILE'!B765:B5766=$G$4)*('TREASURY FILE'!D765:D5766="INCOME")*('TREASURY FILE'!A765:A5766=A866)*('TREASURY FILE'!F765:F5766))</f>
        <v>0</v>
      </c>
      <c r="H866" s="24" cm="1">
        <f t="array" ref="H866">SUMPRODUCT(('TREASURY FILE'!B765:B5766=$H$4)*('TREASURY FILE'!D765:D5766="INCOME")*('TREASURY FILE'!A765:A5766=A866)*('TREASURY FILE'!F765:F5766))</f>
        <v>0</v>
      </c>
      <c r="I866" s="24" cm="1">
        <f t="array" ref="I866">SUMPRODUCT(('TREASURY FILE'!D774:D5766=$I$4)*('TREASURY FILE'!F774:F5766="INCOME")*('TREASURY FILE'!C774:C5766=C866)*('TREASURY FILE'!H774:H5766))</f>
        <v>0</v>
      </c>
      <c r="J866" s="31">
        <f t="shared" si="42"/>
        <v>0</v>
      </c>
      <c r="K866" s="33" t="e">
        <f t="shared" si="43"/>
        <v>#DIV/0!</v>
      </c>
    </row>
    <row r="867" spans="1:11" x14ac:dyDescent="0.3">
      <c r="A867" s="30">
        <v>46520</v>
      </c>
      <c r="B867" s="24" cm="1">
        <f t="array" ref="B867">SUMPRODUCT(('TREASURY FILE'!B766:B5767=$B$4)*('TREASURY FILE'!D766:D5767="TURNOVER")*('TREASURY FILE'!A766:A5767=A867)*('TREASURY FILE'!F766:F5767))</f>
        <v>0</v>
      </c>
      <c r="C867" s="24" cm="1">
        <f t="array" ref="C867">SUMPRODUCT(('TREASURY FILE'!B766:B5767=$C$4)*('TREASURY FILE'!D766:D5767="TURNOVER")*('TREASURY FILE'!A766:A5767=A867)*('TREASURY FILE'!F766:F5767))</f>
        <v>0</v>
      </c>
      <c r="D867" s="24" cm="1">
        <f t="array" ref="D867">SUMPRODUCT(('TREASURY FILE'!B766:B5767=$D$4)*('TREASURY FILE'!D766:D5767="TURNOVER")*('TREASURY FILE'!A766:A5767=A867)*('TREASURY FILE'!F766:F5767))</f>
        <v>0</v>
      </c>
      <c r="E867" s="31">
        <f t="shared" si="41"/>
        <v>0</v>
      </c>
      <c r="G867" s="24" cm="1">
        <f t="array" ref="G867">SUMPRODUCT(('TREASURY FILE'!B766:B5767=$G$4)*('TREASURY FILE'!D766:D5767="INCOME")*('TREASURY FILE'!A766:A5767=A867)*('TREASURY FILE'!F766:F5767))</f>
        <v>0</v>
      </c>
      <c r="H867" s="24" cm="1">
        <f t="array" ref="H867">SUMPRODUCT(('TREASURY FILE'!B766:B5767=$H$4)*('TREASURY FILE'!D766:D5767="INCOME")*('TREASURY FILE'!A766:A5767=A867)*('TREASURY FILE'!F766:F5767))</f>
        <v>0</v>
      </c>
      <c r="I867" s="24" cm="1">
        <f t="array" ref="I867">SUMPRODUCT(('TREASURY FILE'!D775:D5767=$I$4)*('TREASURY FILE'!F775:F5767="INCOME")*('TREASURY FILE'!C775:C5767=C867)*('TREASURY FILE'!H775:H5767))</f>
        <v>0</v>
      </c>
      <c r="J867" s="31">
        <f t="shared" si="42"/>
        <v>0</v>
      </c>
      <c r="K867" s="33" t="e">
        <f t="shared" si="43"/>
        <v>#DIV/0!</v>
      </c>
    </row>
    <row r="868" spans="1:11" x14ac:dyDescent="0.3">
      <c r="A868" s="30">
        <v>46521</v>
      </c>
      <c r="B868" s="24" cm="1">
        <f t="array" ref="B868">SUMPRODUCT(('TREASURY FILE'!B767:B5768=$B$4)*('TREASURY FILE'!D767:D5768="TURNOVER")*('TREASURY FILE'!A767:A5768=A868)*('TREASURY FILE'!F767:F5768))</f>
        <v>0</v>
      </c>
      <c r="C868" s="24" cm="1">
        <f t="array" ref="C868">SUMPRODUCT(('TREASURY FILE'!B767:B5768=$C$4)*('TREASURY FILE'!D767:D5768="TURNOVER")*('TREASURY FILE'!A767:A5768=A868)*('TREASURY FILE'!F767:F5768))</f>
        <v>0</v>
      </c>
      <c r="D868" s="24" cm="1">
        <f t="array" ref="D868">SUMPRODUCT(('TREASURY FILE'!B767:B5768=$D$4)*('TREASURY FILE'!D767:D5768="TURNOVER")*('TREASURY FILE'!A767:A5768=A868)*('TREASURY FILE'!F767:F5768))</f>
        <v>0</v>
      </c>
      <c r="E868" s="31">
        <f t="shared" si="41"/>
        <v>0</v>
      </c>
      <c r="G868" s="24" cm="1">
        <f t="array" ref="G868">SUMPRODUCT(('TREASURY FILE'!B767:B5768=$G$4)*('TREASURY FILE'!D767:D5768="INCOME")*('TREASURY FILE'!A767:A5768=A868)*('TREASURY FILE'!F767:F5768))</f>
        <v>0</v>
      </c>
      <c r="H868" s="24" cm="1">
        <f t="array" ref="H868">SUMPRODUCT(('TREASURY FILE'!B767:B5768=$H$4)*('TREASURY FILE'!D767:D5768="INCOME")*('TREASURY FILE'!A767:A5768=A868)*('TREASURY FILE'!F767:F5768))</f>
        <v>0</v>
      </c>
      <c r="I868" s="24" cm="1">
        <f t="array" ref="I868">SUMPRODUCT(('TREASURY FILE'!D776:D5768=$I$4)*('TREASURY FILE'!F776:F5768="INCOME")*('TREASURY FILE'!C776:C5768=C868)*('TREASURY FILE'!H776:H5768))</f>
        <v>0</v>
      </c>
      <c r="J868" s="31">
        <f t="shared" si="42"/>
        <v>0</v>
      </c>
      <c r="K868" s="33" t="e">
        <f t="shared" si="43"/>
        <v>#DIV/0!</v>
      </c>
    </row>
    <row r="869" spans="1:11" x14ac:dyDescent="0.3">
      <c r="A869" s="30">
        <v>46522</v>
      </c>
      <c r="B869" s="24" cm="1">
        <f t="array" ref="B869">SUMPRODUCT(('TREASURY FILE'!B768:B5769=$B$4)*('TREASURY FILE'!D768:D5769="TURNOVER")*('TREASURY FILE'!A768:A5769=A869)*('TREASURY FILE'!F768:F5769))</f>
        <v>0</v>
      </c>
      <c r="C869" s="24" cm="1">
        <f t="array" ref="C869">SUMPRODUCT(('TREASURY FILE'!B768:B5769=$C$4)*('TREASURY FILE'!D768:D5769="TURNOVER")*('TREASURY FILE'!A768:A5769=A869)*('TREASURY FILE'!F768:F5769))</f>
        <v>0</v>
      </c>
      <c r="D869" s="24" cm="1">
        <f t="array" ref="D869">SUMPRODUCT(('TREASURY FILE'!B768:B5769=$D$4)*('TREASURY FILE'!D768:D5769="TURNOVER")*('TREASURY FILE'!A768:A5769=A869)*('TREASURY FILE'!F768:F5769))</f>
        <v>0</v>
      </c>
      <c r="E869" s="31">
        <f t="shared" si="41"/>
        <v>0</v>
      </c>
      <c r="G869" s="24" cm="1">
        <f t="array" ref="G869">SUMPRODUCT(('TREASURY FILE'!B768:B5769=$G$4)*('TREASURY FILE'!D768:D5769="INCOME")*('TREASURY FILE'!A768:A5769=A869)*('TREASURY FILE'!F768:F5769))</f>
        <v>0</v>
      </c>
      <c r="H869" s="24" cm="1">
        <f t="array" ref="H869">SUMPRODUCT(('TREASURY FILE'!B768:B5769=$H$4)*('TREASURY FILE'!D768:D5769="INCOME")*('TREASURY FILE'!A768:A5769=A869)*('TREASURY FILE'!F768:F5769))</f>
        <v>0</v>
      </c>
      <c r="I869" s="24" cm="1">
        <f t="array" ref="I869">SUMPRODUCT(('TREASURY FILE'!D777:D5769=$I$4)*('TREASURY FILE'!F777:F5769="INCOME")*('TREASURY FILE'!C777:C5769=C869)*('TREASURY FILE'!H777:H5769))</f>
        <v>0</v>
      </c>
      <c r="J869" s="31">
        <f t="shared" si="42"/>
        <v>0</v>
      </c>
      <c r="K869" s="33" t="e">
        <f t="shared" si="43"/>
        <v>#DIV/0!</v>
      </c>
    </row>
    <row r="870" spans="1:11" x14ac:dyDescent="0.3">
      <c r="A870" s="30">
        <v>46523</v>
      </c>
      <c r="B870" s="24" cm="1">
        <f t="array" ref="B870">SUMPRODUCT(('TREASURY FILE'!B769:B5770=$B$4)*('TREASURY FILE'!D769:D5770="TURNOVER")*('TREASURY FILE'!A769:A5770=A870)*('TREASURY FILE'!F769:F5770))</f>
        <v>0</v>
      </c>
      <c r="C870" s="24" cm="1">
        <f t="array" ref="C870">SUMPRODUCT(('TREASURY FILE'!B769:B5770=$C$4)*('TREASURY FILE'!D769:D5770="TURNOVER")*('TREASURY FILE'!A769:A5770=A870)*('TREASURY FILE'!F769:F5770))</f>
        <v>0</v>
      </c>
      <c r="D870" s="24" cm="1">
        <f t="array" ref="D870">SUMPRODUCT(('TREASURY FILE'!B769:B5770=$D$4)*('TREASURY FILE'!D769:D5770="TURNOVER")*('TREASURY FILE'!A769:A5770=A870)*('TREASURY FILE'!F769:F5770))</f>
        <v>0</v>
      </c>
      <c r="E870" s="31">
        <f t="shared" si="41"/>
        <v>0</v>
      </c>
      <c r="G870" s="24" cm="1">
        <f t="array" ref="G870">SUMPRODUCT(('TREASURY FILE'!B769:B5770=$G$4)*('TREASURY FILE'!D769:D5770="INCOME")*('TREASURY FILE'!A769:A5770=A870)*('TREASURY FILE'!F769:F5770))</f>
        <v>0</v>
      </c>
      <c r="H870" s="24" cm="1">
        <f t="array" ref="H870">SUMPRODUCT(('TREASURY FILE'!B769:B5770=$H$4)*('TREASURY FILE'!D769:D5770="INCOME")*('TREASURY FILE'!A769:A5770=A870)*('TREASURY FILE'!F769:F5770))</f>
        <v>0</v>
      </c>
      <c r="I870" s="24" cm="1">
        <f t="array" ref="I870">SUMPRODUCT(('TREASURY FILE'!D778:D5770=$I$4)*('TREASURY FILE'!F778:F5770="INCOME")*('TREASURY FILE'!C778:C5770=C870)*('TREASURY FILE'!H778:H5770))</f>
        <v>0</v>
      </c>
      <c r="J870" s="31">
        <f t="shared" si="42"/>
        <v>0</v>
      </c>
      <c r="K870" s="33" t="e">
        <f t="shared" si="43"/>
        <v>#DIV/0!</v>
      </c>
    </row>
    <row r="871" spans="1:11" x14ac:dyDescent="0.3">
      <c r="A871" s="30">
        <v>46524</v>
      </c>
      <c r="B871" s="24" cm="1">
        <f t="array" ref="B871">SUMPRODUCT(('TREASURY FILE'!B770:B5771=$B$4)*('TREASURY FILE'!D770:D5771="TURNOVER")*('TREASURY FILE'!A770:A5771=A871)*('TREASURY FILE'!F770:F5771))</f>
        <v>0</v>
      </c>
      <c r="C871" s="24" cm="1">
        <f t="array" ref="C871">SUMPRODUCT(('TREASURY FILE'!B770:B5771=$C$4)*('TREASURY FILE'!D770:D5771="TURNOVER")*('TREASURY FILE'!A770:A5771=A871)*('TREASURY FILE'!F770:F5771))</f>
        <v>0</v>
      </c>
      <c r="D871" s="24" cm="1">
        <f t="array" ref="D871">SUMPRODUCT(('TREASURY FILE'!B770:B5771=$D$4)*('TREASURY FILE'!D770:D5771="TURNOVER")*('TREASURY FILE'!A770:A5771=A871)*('TREASURY FILE'!F770:F5771))</f>
        <v>0</v>
      </c>
      <c r="E871" s="31">
        <f t="shared" si="41"/>
        <v>0</v>
      </c>
      <c r="G871" s="24" cm="1">
        <f t="array" ref="G871">SUMPRODUCT(('TREASURY FILE'!B770:B5771=$G$4)*('TREASURY FILE'!D770:D5771="INCOME")*('TREASURY FILE'!A770:A5771=A871)*('TREASURY FILE'!F770:F5771))</f>
        <v>0</v>
      </c>
      <c r="H871" s="24" cm="1">
        <f t="array" ref="H871">SUMPRODUCT(('TREASURY FILE'!B770:B5771=$H$4)*('TREASURY FILE'!D770:D5771="INCOME")*('TREASURY FILE'!A770:A5771=A871)*('TREASURY FILE'!F770:F5771))</f>
        <v>0</v>
      </c>
      <c r="I871" s="24" cm="1">
        <f t="array" ref="I871">SUMPRODUCT(('TREASURY FILE'!D779:D5771=$I$4)*('TREASURY FILE'!F779:F5771="INCOME")*('TREASURY FILE'!C779:C5771=C871)*('TREASURY FILE'!H779:H5771))</f>
        <v>0</v>
      </c>
      <c r="J871" s="31">
        <f t="shared" si="42"/>
        <v>0</v>
      </c>
      <c r="K871" s="33" t="e">
        <f t="shared" si="43"/>
        <v>#DIV/0!</v>
      </c>
    </row>
    <row r="872" spans="1:11" x14ac:dyDescent="0.3">
      <c r="A872" s="30">
        <v>46525</v>
      </c>
      <c r="B872" s="24" cm="1">
        <f t="array" ref="B872">SUMPRODUCT(('TREASURY FILE'!B771:B5772=$B$4)*('TREASURY FILE'!D771:D5772="TURNOVER")*('TREASURY FILE'!A771:A5772=A872)*('TREASURY FILE'!F771:F5772))</f>
        <v>0</v>
      </c>
      <c r="C872" s="24" cm="1">
        <f t="array" ref="C872">SUMPRODUCT(('TREASURY FILE'!B771:B5772=$C$4)*('TREASURY FILE'!D771:D5772="TURNOVER")*('TREASURY FILE'!A771:A5772=A872)*('TREASURY FILE'!F771:F5772))</f>
        <v>0</v>
      </c>
      <c r="D872" s="24" cm="1">
        <f t="array" ref="D872">SUMPRODUCT(('TREASURY FILE'!B771:B5772=$D$4)*('TREASURY FILE'!D771:D5772="TURNOVER")*('TREASURY FILE'!A771:A5772=A872)*('TREASURY FILE'!F771:F5772))</f>
        <v>0</v>
      </c>
      <c r="E872" s="31">
        <f t="shared" si="41"/>
        <v>0</v>
      </c>
      <c r="G872" s="24" cm="1">
        <f t="array" ref="G872">SUMPRODUCT(('TREASURY FILE'!B771:B5772=$G$4)*('TREASURY FILE'!D771:D5772="INCOME")*('TREASURY FILE'!A771:A5772=A872)*('TREASURY FILE'!F771:F5772))</f>
        <v>0</v>
      </c>
      <c r="H872" s="24" cm="1">
        <f t="array" ref="H872">SUMPRODUCT(('TREASURY FILE'!B771:B5772=$H$4)*('TREASURY FILE'!D771:D5772="INCOME")*('TREASURY FILE'!A771:A5772=A872)*('TREASURY FILE'!F771:F5772))</f>
        <v>0</v>
      </c>
      <c r="I872" s="24" cm="1">
        <f t="array" ref="I872">SUMPRODUCT(('TREASURY FILE'!D780:D5772=$I$4)*('TREASURY FILE'!F780:F5772="INCOME")*('TREASURY FILE'!C780:C5772=C872)*('TREASURY FILE'!H780:H5772))</f>
        <v>0</v>
      </c>
      <c r="J872" s="31">
        <f t="shared" si="42"/>
        <v>0</v>
      </c>
      <c r="K872" s="33" t="e">
        <f t="shared" si="43"/>
        <v>#DIV/0!</v>
      </c>
    </row>
    <row r="873" spans="1:11" x14ac:dyDescent="0.3">
      <c r="A873" s="30">
        <v>46526</v>
      </c>
      <c r="B873" s="24" cm="1">
        <f t="array" ref="B873">SUMPRODUCT(('TREASURY FILE'!B772:B5773=$B$4)*('TREASURY FILE'!D772:D5773="TURNOVER")*('TREASURY FILE'!A772:A5773=A873)*('TREASURY FILE'!F772:F5773))</f>
        <v>0</v>
      </c>
      <c r="C873" s="24" cm="1">
        <f t="array" ref="C873">SUMPRODUCT(('TREASURY FILE'!B772:B5773=$C$4)*('TREASURY FILE'!D772:D5773="TURNOVER")*('TREASURY FILE'!A772:A5773=A873)*('TREASURY FILE'!F772:F5773))</f>
        <v>0</v>
      </c>
      <c r="D873" s="24" cm="1">
        <f t="array" ref="D873">SUMPRODUCT(('TREASURY FILE'!B772:B5773=$D$4)*('TREASURY FILE'!D772:D5773="TURNOVER")*('TREASURY FILE'!A772:A5773=A873)*('TREASURY FILE'!F772:F5773))</f>
        <v>0</v>
      </c>
      <c r="E873" s="31">
        <f t="shared" si="41"/>
        <v>0</v>
      </c>
      <c r="G873" s="24" cm="1">
        <f t="array" ref="G873">SUMPRODUCT(('TREASURY FILE'!B772:B5773=$G$4)*('TREASURY FILE'!D772:D5773="INCOME")*('TREASURY FILE'!A772:A5773=A873)*('TREASURY FILE'!F772:F5773))</f>
        <v>0</v>
      </c>
      <c r="H873" s="24" cm="1">
        <f t="array" ref="H873">SUMPRODUCT(('TREASURY FILE'!B772:B5773=$H$4)*('TREASURY FILE'!D772:D5773="INCOME")*('TREASURY FILE'!A772:A5773=A873)*('TREASURY FILE'!F772:F5773))</f>
        <v>0</v>
      </c>
      <c r="I873" s="24" cm="1">
        <f t="array" ref="I873">SUMPRODUCT(('TREASURY FILE'!D781:D5773=$I$4)*('TREASURY FILE'!F781:F5773="INCOME")*('TREASURY FILE'!C781:C5773=C873)*('TREASURY FILE'!H781:H5773))</f>
        <v>0</v>
      </c>
      <c r="J873" s="31">
        <f t="shared" si="42"/>
        <v>0</v>
      </c>
      <c r="K873" s="33" t="e">
        <f t="shared" si="43"/>
        <v>#DIV/0!</v>
      </c>
    </row>
    <row r="874" spans="1:11" x14ac:dyDescent="0.3">
      <c r="A874" s="30">
        <v>46527</v>
      </c>
      <c r="B874" s="24" cm="1">
        <f t="array" ref="B874">SUMPRODUCT(('TREASURY FILE'!B773:B5774=$B$4)*('TREASURY FILE'!D773:D5774="TURNOVER")*('TREASURY FILE'!A773:A5774=A874)*('TREASURY FILE'!F773:F5774))</f>
        <v>0</v>
      </c>
      <c r="C874" s="24" cm="1">
        <f t="array" ref="C874">SUMPRODUCT(('TREASURY FILE'!B773:B5774=$C$4)*('TREASURY FILE'!D773:D5774="TURNOVER")*('TREASURY FILE'!A773:A5774=A874)*('TREASURY FILE'!F773:F5774))</f>
        <v>0</v>
      </c>
      <c r="D874" s="24" cm="1">
        <f t="array" ref="D874">SUMPRODUCT(('TREASURY FILE'!B773:B5774=$D$4)*('TREASURY FILE'!D773:D5774="TURNOVER")*('TREASURY FILE'!A773:A5774=A874)*('TREASURY FILE'!F773:F5774))</f>
        <v>0</v>
      </c>
      <c r="E874" s="31">
        <f t="shared" si="41"/>
        <v>0</v>
      </c>
      <c r="G874" s="24" cm="1">
        <f t="array" ref="G874">SUMPRODUCT(('TREASURY FILE'!B773:B5774=$G$4)*('TREASURY FILE'!D773:D5774="INCOME")*('TREASURY FILE'!A773:A5774=A874)*('TREASURY FILE'!F773:F5774))</f>
        <v>0</v>
      </c>
      <c r="H874" s="24" cm="1">
        <f t="array" ref="H874">SUMPRODUCT(('TREASURY FILE'!B773:B5774=$H$4)*('TREASURY FILE'!D773:D5774="INCOME")*('TREASURY FILE'!A773:A5774=A874)*('TREASURY FILE'!F773:F5774))</f>
        <v>0</v>
      </c>
      <c r="I874" s="24" cm="1">
        <f t="array" ref="I874">SUMPRODUCT(('TREASURY FILE'!D782:D5774=$I$4)*('TREASURY FILE'!F782:F5774="INCOME")*('TREASURY FILE'!C782:C5774=C874)*('TREASURY FILE'!H782:H5774))</f>
        <v>0</v>
      </c>
      <c r="J874" s="31">
        <f t="shared" si="42"/>
        <v>0</v>
      </c>
      <c r="K874" s="33" t="e">
        <f t="shared" si="43"/>
        <v>#DIV/0!</v>
      </c>
    </row>
  </sheetData>
  <mergeCells count="2">
    <mergeCell ref="B3:D3"/>
    <mergeCell ref="G3:I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1">
    <pageSetUpPr fitToPage="1"/>
  </sheetPr>
  <dimension ref="C2:E63"/>
  <sheetViews>
    <sheetView zoomScale="75" workbookViewId="0">
      <selection activeCell="D26" sqref="D26"/>
    </sheetView>
  </sheetViews>
  <sheetFormatPr defaultColWidth="9.1796875" defaultRowHeight="15.5" x14ac:dyDescent="0.35"/>
  <cols>
    <col min="1" max="2" width="9.1796875" style="1"/>
    <col min="3" max="4" width="28.81640625" style="1" bestFit="1" customWidth="1"/>
    <col min="5" max="5" width="10.81640625" style="1" bestFit="1" customWidth="1"/>
    <col min="6" max="16384" width="9.1796875" style="1"/>
  </cols>
  <sheetData>
    <row r="2" spans="3:5" x14ac:dyDescent="0.35">
      <c r="C2" s="8" t="s">
        <v>32</v>
      </c>
      <c r="D2" s="8" t="s">
        <v>32</v>
      </c>
      <c r="E2" s="1" t="b">
        <f>C2=D2</f>
        <v>1</v>
      </c>
    </row>
    <row r="3" spans="3:5" x14ac:dyDescent="0.35">
      <c r="C3" s="8" t="s">
        <v>24</v>
      </c>
      <c r="D3" s="8" t="s">
        <v>24</v>
      </c>
      <c r="E3" s="1" t="b">
        <f t="shared" ref="E3:E4" si="0">C3=D3</f>
        <v>1</v>
      </c>
    </row>
    <row r="4" spans="3:5" x14ac:dyDescent="0.35">
      <c r="C4" s="8" t="s">
        <v>25</v>
      </c>
      <c r="D4" s="8" t="s">
        <v>25</v>
      </c>
      <c r="E4" s="1" t="b">
        <f t="shared" si="0"/>
        <v>1</v>
      </c>
    </row>
    <row r="63" spans="3:4" x14ac:dyDescent="0.35">
      <c r="C63" s="8"/>
      <c r="D63" s="8"/>
    </row>
  </sheetData>
  <phoneticPr fontId="5" type="noConversion"/>
  <pageMargins left="0.17" right="0.16" top="1" bottom="1" header="0.5" footer="0.5"/>
  <pageSetup paperSize="9" scale="71" fitToWidth="2" orientation="portrait" r:id="rId1"/>
  <headerFooter alignWithMargins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4045177-5082-457D-9A7E-AD9B52AB466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Table 1</vt:lpstr>
      <vt:lpstr>TREASURY FILE</vt:lpstr>
      <vt:lpstr>TOPLAM month</vt:lpstr>
      <vt:lpstr>TOPLAM day</vt:lpstr>
      <vt:lpstr>SPECIFICATIONF</vt:lpstr>
      <vt:lpstr>'TREASURY FILE'!Print_Area</vt:lpstr>
      <vt:lpstr>'TREASURY FILE'!Print_Titles</vt:lpstr>
    </vt:vector>
  </TitlesOfParts>
  <Company>ZORLU HOLDING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GOKHANA</dc:creator>
  <cp:lastModifiedBy>Batuhan Helvacı</cp:lastModifiedBy>
  <cp:lastPrinted>2019-06-21T12:52:51Z</cp:lastPrinted>
  <dcterms:created xsi:type="dcterms:W3CDTF">2000-01-05T09:13:57Z</dcterms:created>
  <dcterms:modified xsi:type="dcterms:W3CDTF">2026-06-30T06:55:11Z</dcterms:modified>
  <cp:contentStatus/>
</cp:coreProperties>
</file>