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AABB69FF-170E-4673-AD07-D5B25E299CD0}" xr6:coauthVersionLast="47" xr6:coauthVersionMax="47" xr10:uidLastSave="{00000000-0000-0000-0000-000000000000}"/>
  <bookViews>
    <workbookView xWindow="-57720" yWindow="1830" windowWidth="29040" windowHeight="15720" firstSheet="151" activeTab="160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  <sheet name="26.08.2026" sheetId="184" r:id="rId16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84" l="1"/>
  <c r="F9" i="184"/>
  <c r="G7" i="184"/>
  <c r="F7" i="184"/>
  <c r="E7" i="184"/>
  <c r="C7" i="184"/>
  <c r="G5" i="184"/>
  <c r="F5" i="184"/>
  <c r="I9" i="184"/>
  <c r="E9" i="184" s="1"/>
  <c r="K8" i="184"/>
  <c r="I8" i="184"/>
  <c r="F8" i="184" s="1"/>
  <c r="K7" i="184"/>
  <c r="I7" i="184"/>
  <c r="K6" i="184"/>
  <c r="I6" i="184"/>
  <c r="G6" i="184" s="1"/>
  <c r="K5" i="184"/>
  <c r="I5" i="184"/>
  <c r="E5" i="184" s="1"/>
  <c r="K4" i="184"/>
  <c r="I4" i="184"/>
  <c r="G4" i="184" s="1"/>
  <c r="K3" i="184"/>
  <c r="I3" i="184"/>
  <c r="BS187" i="10"/>
  <c r="AI187" i="10"/>
  <c r="Q187" i="10"/>
  <c r="C9" i="183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B9" i="184" l="1"/>
  <c r="C9" i="184"/>
  <c r="D9" i="184"/>
  <c r="D8" i="184"/>
  <c r="G8" i="184"/>
  <c r="B8" i="184"/>
  <c r="C8" i="184"/>
  <c r="E8" i="184"/>
  <c r="C6" i="184"/>
  <c r="E6" i="184"/>
  <c r="F6" i="184"/>
  <c r="C5" i="184"/>
  <c r="F4" i="184"/>
  <c r="B4" i="184"/>
  <c r="C4" i="184"/>
  <c r="D4" i="184"/>
  <c r="E4" i="184"/>
  <c r="D9" i="183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C2AEAE1-2C1A-4BFE-8776-42B43685967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<sst xmlns="http://schemas.openxmlformats.org/spreadsheetml/2006/main" count="7449" uniqueCount="68">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</sst>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29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calcChain" Target="calcChain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12935</xdr:colOff>
      <xdr:row>196</xdr:row>
      <xdr:rowOff>148695</xdr:rowOff>
    </xdr:from>
    <xdr:to>
      <xdr:col>33</xdr:col>
      <xdr:colOff>359921</xdr:colOff>
      <xdr:row>230</xdr:row>
      <xdr:rowOff>162003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9285" y="36242095"/>
          <a:ext cx="6487436" cy="62775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8.xml"/><Relationship Id="rId1" Type="http://schemas.openxmlformats.org/officeDocument/2006/relationships/vmlDrawing" Target="../drawings/vmlDrawing15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26" zoomScale="115" zoomScaleNormal="115" workbookViewId="0">
      <selection activeCell="G239" sqref="G239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>
        <v>78993</v>
      </c>
    </row>
    <row r="239" spans="1:7" x14ac:dyDescent="0.35">
      <c r="A239" s="80">
        <v>46260</v>
      </c>
      <c r="B239" s="81">
        <v>5.2499999999999998E-2</v>
      </c>
      <c r="C239" s="22">
        <v>2.9600000000000001E-2</v>
      </c>
      <c r="D239" s="22">
        <v>4.9099999999999998E-2</v>
      </c>
      <c r="E239" s="22">
        <v>5.5800000000000002E-2</v>
      </c>
      <c r="F239" s="22">
        <v>5.8099999999999999E-2</v>
      </c>
      <c r="G239" s="88"/>
    </row>
    <row r="240" spans="1:7" x14ac:dyDescent="0.35">
      <c r="A240" s="80">
        <v>46261</v>
      </c>
      <c r="B240" s="81"/>
      <c r="C240" s="22"/>
      <c r="D240" s="22"/>
      <c r="E240" s="22"/>
      <c r="F240" s="22"/>
      <c r="G240" s="88"/>
    </row>
    <row r="241" spans="1:7" x14ac:dyDescent="0.35">
      <c r="A241" s="80">
        <v>46262</v>
      </c>
      <c r="B241" s="81"/>
      <c r="C241" s="22"/>
      <c r="D241" s="22"/>
      <c r="E241" s="22"/>
      <c r="F241" s="22"/>
      <c r="G241" s="88"/>
    </row>
    <row r="242" spans="1:7" x14ac:dyDescent="0.35">
      <c r="A242" s="80">
        <v>46263</v>
      </c>
      <c r="B242" s="81"/>
      <c r="C242" s="22"/>
      <c r="D242" s="22"/>
      <c r="E242" s="22"/>
      <c r="F242" s="22"/>
      <c r="G242" s="88"/>
    </row>
    <row r="243" spans="1:7" x14ac:dyDescent="0.35">
      <c r="A243" s="80">
        <v>46264</v>
      </c>
      <c r="B243" s="81"/>
      <c r="C243" s="22"/>
      <c r="D243" s="22"/>
      <c r="E243" s="22"/>
      <c r="F243" s="22"/>
      <c r="G243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N161" zoomScaleNormal="100" workbookViewId="0">
      <selection activeCell="AT187" sqref="AT187:AZ187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87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87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187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>
        <v>2.9399999999999999E-2</v>
      </c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>
        <v>5.2900000000000003E-2</v>
      </c>
      <c r="Q187" s="84">
        <f t="shared" si="21"/>
        <v>2.3500000000000004E-2</v>
      </c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>
        <v>3.5000000000000003E-2</v>
      </c>
      <c r="Y187" s="3" t="s">
        <v>33</v>
      </c>
      <c r="Z187" s="6">
        <v>2.8000000000000001E-2</v>
      </c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>
        <v>0.03</v>
      </c>
      <c r="AI187" s="12">
        <f t="shared" si="13"/>
        <v>1.9999999999999983E-3</v>
      </c>
      <c r="AK187" s="4">
        <v>46260</v>
      </c>
      <c r="AL187" s="6">
        <v>0.02</v>
      </c>
      <c r="AM187" s="3"/>
      <c r="AN187" s="3"/>
      <c r="AO187" s="3"/>
      <c r="AP187" s="3" t="s">
        <v>33</v>
      </c>
      <c r="AQ187" s="3" t="s">
        <v>33</v>
      </c>
      <c r="AR187" s="6">
        <v>1.9199999999999998E-2</v>
      </c>
      <c r="AS187" s="2">
        <v>46260</v>
      </c>
      <c r="AT187" s="13">
        <v>4.7E-2</v>
      </c>
      <c r="AU187" s="13">
        <v>4.48E-2</v>
      </c>
      <c r="AV187" s="13">
        <v>5.4600000000000003E-2</v>
      </c>
      <c r="AW187" s="13">
        <v>4.9700000000000001E-2</v>
      </c>
      <c r="AX187" s="13">
        <v>6.9800000000000001E-2</v>
      </c>
      <c r="AY187" s="13">
        <v>5.5E-2</v>
      </c>
      <c r="AZ187" s="13">
        <v>4.9399999999999999E-2</v>
      </c>
      <c r="BA187" s="12">
        <v>2.5999999999999999E-2</v>
      </c>
      <c r="BC187" s="4">
        <v>46260</v>
      </c>
      <c r="BD187" s="6" t="s">
        <v>33</v>
      </c>
      <c r="BE187" s="6">
        <v>2.8000000000000001E-2</v>
      </c>
      <c r="BF187" s="6">
        <v>3.2000000000000001E-2</v>
      </c>
      <c r="BG187" s="3"/>
      <c r="BH187" s="3"/>
      <c r="BI187" s="3"/>
      <c r="BJ187" s="6">
        <v>2.6599999999999999E-2</v>
      </c>
      <c r="BK187" s="2">
        <v>46260</v>
      </c>
      <c r="BL187" s="57">
        <v>5.5E-2</v>
      </c>
      <c r="BM187" s="1"/>
      <c r="BN187" s="57">
        <v>6.0499999999999998E-2</v>
      </c>
      <c r="BO187" s="1"/>
      <c r="BP187" s="1"/>
      <c r="BQ187" s="1"/>
      <c r="BR187" s="57">
        <v>0.05</v>
      </c>
      <c r="BS187" s="12">
        <f t="shared" si="24"/>
        <v>2.3400000000000004E-2</v>
      </c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/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/>
      <c r="Q188" s="84"/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/>
      <c r="Y188" s="3" t="s">
        <v>33</v>
      </c>
      <c r="Z188" s="6"/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/>
      <c r="AI188" s="12"/>
      <c r="AK188" s="4">
        <v>46261</v>
      </c>
      <c r="AL188" s="6"/>
      <c r="AM188" s="3"/>
      <c r="AN188" s="3"/>
      <c r="AO188" s="3"/>
      <c r="AP188" s="3" t="s">
        <v>33</v>
      </c>
      <c r="AQ188" s="3" t="s">
        <v>33</v>
      </c>
      <c r="AR188" s="6"/>
      <c r="AS188" s="2">
        <v>46261</v>
      </c>
      <c r="AT188" s="13"/>
      <c r="AU188" s="13"/>
      <c r="AV188" s="13"/>
      <c r="AW188" s="13"/>
      <c r="AX188" s="13"/>
      <c r="AY188" s="13"/>
      <c r="AZ188" s="13"/>
      <c r="BA188" s="12"/>
      <c r="BC188" s="4">
        <v>46261</v>
      </c>
      <c r="BD188" s="6" t="s">
        <v>33</v>
      </c>
      <c r="BE188" s="6"/>
      <c r="BF188" s="6"/>
      <c r="BG188" s="3"/>
      <c r="BH188" s="3"/>
      <c r="BI188" s="3"/>
      <c r="BJ188" s="6"/>
      <c r="BK188" s="2">
        <v>46261</v>
      </c>
      <c r="BL188" s="57"/>
      <c r="BM188" s="1"/>
      <c r="BN188" s="57"/>
      <c r="BO188" s="1"/>
      <c r="BP188" s="1"/>
      <c r="BQ188" s="1"/>
      <c r="BR188" s="57"/>
      <c r="BS188" s="12"/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/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/>
      <c r="Q189" s="84"/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/>
      <c r="Y189" s="3" t="s">
        <v>33</v>
      </c>
      <c r="Z189" s="6"/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/>
      <c r="AI189" s="12"/>
      <c r="AK189" s="4">
        <v>46262</v>
      </c>
      <c r="AL189" s="6"/>
      <c r="AM189" s="3"/>
      <c r="AN189" s="3"/>
      <c r="AO189" s="3"/>
      <c r="AP189" s="3" t="s">
        <v>33</v>
      </c>
      <c r="AQ189" s="3" t="s">
        <v>33</v>
      </c>
      <c r="AR189" s="6"/>
      <c r="AS189" s="2">
        <v>46262</v>
      </c>
      <c r="AT189" s="13"/>
      <c r="AU189" s="13"/>
      <c r="AV189" s="13"/>
      <c r="AW189" s="13"/>
      <c r="AX189" s="13"/>
      <c r="AY189" s="13"/>
      <c r="AZ189" s="13"/>
      <c r="BA189" s="12"/>
      <c r="BC189" s="4">
        <v>46262</v>
      </c>
      <c r="BD189" s="6" t="s">
        <v>33</v>
      </c>
      <c r="BE189" s="6"/>
      <c r="BF189" s="6"/>
      <c r="BG189" s="3"/>
      <c r="BH189" s="3"/>
      <c r="BI189" s="3"/>
      <c r="BJ189" s="6"/>
      <c r="BK189" s="2">
        <v>46262</v>
      </c>
      <c r="BL189" s="57"/>
      <c r="BM189" s="1"/>
      <c r="BN189" s="57"/>
      <c r="BO189" s="1"/>
      <c r="BP189" s="1"/>
      <c r="BQ189" s="1"/>
      <c r="BR189" s="57"/>
      <c r="BS189" s="12"/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/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/>
      <c r="Q190" s="84"/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/>
      <c r="Y190" s="3" t="s">
        <v>33</v>
      </c>
      <c r="Z190" s="6"/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/>
      <c r="AI190" s="12"/>
      <c r="AK190" s="4">
        <v>46263</v>
      </c>
      <c r="AL190" s="6"/>
      <c r="AM190" s="3"/>
      <c r="AN190" s="3"/>
      <c r="AO190" s="3"/>
      <c r="AP190" s="3" t="s">
        <v>33</v>
      </c>
      <c r="AQ190" s="3" t="s">
        <v>33</v>
      </c>
      <c r="AR190" s="6"/>
      <c r="AS190" s="2">
        <v>46263</v>
      </c>
      <c r="AT190" s="13"/>
      <c r="AU190" s="13"/>
      <c r="AV190" s="13"/>
      <c r="AW190" s="13"/>
      <c r="AX190" s="13"/>
      <c r="AY190" s="13"/>
      <c r="AZ190" s="13"/>
      <c r="BA190" s="12"/>
      <c r="BC190" s="4">
        <v>46263</v>
      </c>
      <c r="BD190" s="6" t="s">
        <v>33</v>
      </c>
      <c r="BE190" s="6"/>
      <c r="BF190" s="6"/>
      <c r="BG190" s="3"/>
      <c r="BH190" s="3"/>
      <c r="BI190" s="3"/>
      <c r="BJ190" s="6"/>
      <c r="BK190" s="2">
        <v>46263</v>
      </c>
      <c r="BL190" s="57"/>
      <c r="BM190" s="1"/>
      <c r="BN190" s="57"/>
      <c r="BO190" s="1"/>
      <c r="BP190" s="1"/>
      <c r="BQ190" s="1"/>
      <c r="BR190" s="57"/>
      <c r="BS190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2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288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287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286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285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284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283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282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281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280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279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278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277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276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275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274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273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272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271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270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269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268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2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2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2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2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2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2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2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2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2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2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2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2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2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2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2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2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2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2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2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2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2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2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07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06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05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0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2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6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4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1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40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39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38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7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6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13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4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3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2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3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8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2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4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2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0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1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7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16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1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4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3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12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1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0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0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0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06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5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104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0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02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1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00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9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8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7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6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9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4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3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2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9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9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88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8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6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5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84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8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2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1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80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7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8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77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6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75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7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3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72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1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70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6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8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67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6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65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6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3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62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1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60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5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8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57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6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55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5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3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52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1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50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4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8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47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6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45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4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3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42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0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8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7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6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35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3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3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32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1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30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2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8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27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6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25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2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3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22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20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8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7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5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2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0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63B7-04E8-4A4A-8CEC-4C094197BB9A}">
  <dimension ref="A1:K10"/>
  <sheetViews>
    <sheetView tabSelected="1"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4.7E-2</v>
      </c>
      <c r="C3" s="54">
        <v>4.48E-2</v>
      </c>
      <c r="D3" s="54">
        <v>5.4600000000000003E-2</v>
      </c>
      <c r="E3" s="54">
        <v>4.9700000000000001E-2</v>
      </c>
      <c r="F3" s="54">
        <v>6.9800000000000001E-2</v>
      </c>
      <c r="G3" s="54">
        <v>5.5E-2</v>
      </c>
      <c r="H3" s="52">
        <v>4.9399999999999999E-2</v>
      </c>
      <c r="I3" s="73">
        <f>(1+H3/365)^365-1</f>
        <v>5.0637010983829667E-2</v>
      </c>
      <c r="J3" s="74"/>
      <c r="K3" s="67">
        <f>H3-'Daily Data'!AR153</f>
        <v>3.3000000000000002E-2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5.5825598083176296E-2</v>
      </c>
      <c r="C9" s="55">
        <f t="shared" ref="C9:G9" si="6">((1+$I9)^(C2/365)-1)*365/C2</f>
        <v>5.5855482304831679E-2</v>
      </c>
      <c r="D9" s="55">
        <f t="shared" si="6"/>
        <v>5.5923869220788257E-2</v>
      </c>
      <c r="E9" s="55">
        <f t="shared" si="6"/>
        <v>5.6052395761142147E-2</v>
      </c>
      <c r="F9" s="55">
        <f t="shared" si="6"/>
        <v>5.618131614815066E-2</v>
      </c>
      <c r="G9" s="55">
        <f t="shared" si="6"/>
        <v>5.6570453991400212E-2</v>
      </c>
      <c r="H9" s="52">
        <v>5.5800000000000002E-2</v>
      </c>
      <c r="I9" s="73">
        <f t="shared" si="1"/>
        <v>5.7381675792276265E-2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5" priority="9">
      <formula>_xlfn.ISFORMULA(A1)</formula>
    </cfRule>
    <cfRule type="expression" priority="10">
      <formula>_xlfn.ISFORMULA(A1)</formula>
    </cfRule>
  </conditionalFormatting>
  <conditionalFormatting sqref="H3:H9">
    <cfRule type="expression" dxfId="4" priority="3">
      <formula>_xlfn.ISFORMULA(H3)</formula>
    </cfRule>
    <cfRule type="expression" priority="4">
      <formula>_xlfn.ISFORMULA(H3)</formula>
    </cfRule>
  </conditionalFormatting>
  <conditionalFormatting sqref="I3:I10">
    <cfRule type="expression" dxfId="3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2" priority="7">
      <formula>_xlfn.ISFORMULA(B3)</formula>
    </cfRule>
    <cfRule type="expression" priority="8">
      <formula>_xlfn.ISFORMULA(B3)</formula>
    </cfRule>
  </conditionalFormatting>
  <conditionalFormatting sqref="B3:G9">
    <cfRule type="expression" dxfId="0" priority="1">
      <formula>_xlfn.ISFORMULA(B3)</formula>
    </cfRule>
    <cfRule type="expression" priority="2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  <vt:lpstr>26.08.2026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2026-08-26T07:09:54Z</dcterms:modified>
</cp:coreProperties>
</file>