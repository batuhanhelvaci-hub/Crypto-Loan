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D5AF8C66-4CBF-4432-A9CA-972F1B803D9B}" xr6:coauthVersionLast="47" xr6:coauthVersionMax="47" xr10:uidLastSave="{00000000-0000-0000-0000-000000000000}"/>
  <bookViews>
    <workbookView xWindow="-28920" yWindow="855" windowWidth="29040" windowHeight="17520" firstSheet="115" activeTab="124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  <sheet name="18.07.2026" sheetId="145" r:id="rId123"/>
    <sheet name="19.07.2026" sheetId="146" r:id="rId124"/>
    <sheet name="20.07.2026" sheetId="147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<sst xmlns="http://schemas.openxmlformats.org/spreadsheetml/2006/main" count="6038" uniqueCount="73">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</sst>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7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3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353571</xdr:colOff>
      <xdr:row>199</xdr:row>
      <xdr:rowOff>6428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86" zoomScale="115" zoomScaleNormal="115" workbookViewId="0">
      <selection activeCell="G200" sqref="G200"/>
    </sheetView>
  </sheetViews>
  <sheetFormatPr defaultRowHeight="14.5" x14ac:dyDescent="0.35"/>
  <cols>
    <col min="1" max="2" width="15.54296875" style="80" customWidth="1"/>
    <col min="3" max="6" width="15.54296875" style="24" customWidth="1"/>
    <col min="7" max="7" width="11.81640625" style="92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0" t="s">
        <v>68</v>
      </c>
    </row>
    <row r="2" spans="1:7" x14ac:dyDescent="0.35">
      <c r="A2" s="86">
        <v>46023</v>
      </c>
      <c r="B2" s="87">
        <v>4.36E-2</v>
      </c>
      <c r="C2" s="88">
        <v>3.1600000000000003E-2</v>
      </c>
      <c r="D2" s="88">
        <v>3.85E-2</v>
      </c>
      <c r="E2" s="88">
        <v>4.5400000000000003E-2</v>
      </c>
      <c r="F2" s="88">
        <v>4.4299999999999999E-2</v>
      </c>
      <c r="G2" s="89">
        <v>88728</v>
      </c>
    </row>
    <row r="3" spans="1:7" x14ac:dyDescent="0.35">
      <c r="A3" s="86">
        <v>46024</v>
      </c>
      <c r="B3" s="87">
        <v>4.4600000000000001E-2</v>
      </c>
      <c r="C3" s="88">
        <v>3.1600000000000003E-2</v>
      </c>
      <c r="D3" s="88">
        <v>3.9399999999999998E-2</v>
      </c>
      <c r="E3" s="88">
        <v>4.6199999999999998E-2</v>
      </c>
      <c r="F3" s="88">
        <v>4.36E-2</v>
      </c>
      <c r="G3" s="89">
        <v>89926</v>
      </c>
    </row>
    <row r="4" spans="1:7" x14ac:dyDescent="0.35">
      <c r="A4" s="86">
        <v>46025</v>
      </c>
      <c r="B4" s="87">
        <v>4.5900000000000003E-2</v>
      </c>
      <c r="C4" s="88">
        <v>3.1600000000000003E-2</v>
      </c>
      <c r="D4" s="88">
        <v>3.9699999999999999E-2</v>
      </c>
      <c r="E4" s="88">
        <v>4.7199999999999999E-2</v>
      </c>
      <c r="F4" s="88">
        <v>4.2700000000000002E-2</v>
      </c>
      <c r="G4" s="89">
        <v>90594</v>
      </c>
    </row>
    <row r="5" spans="1:7" x14ac:dyDescent="0.35">
      <c r="A5" s="86">
        <v>46026</v>
      </c>
      <c r="B5" s="87">
        <v>4.5900000000000003E-2</v>
      </c>
      <c r="C5" s="88">
        <v>3.1600000000000003E-2</v>
      </c>
      <c r="D5" s="88">
        <v>3.9600000000000003E-2</v>
      </c>
      <c r="E5" s="88">
        <v>4.7800000000000002E-2</v>
      </c>
      <c r="F5" s="88">
        <v>4.0399999999999998E-2</v>
      </c>
      <c r="G5" s="89">
        <v>91373</v>
      </c>
    </row>
    <row r="6" spans="1:7" x14ac:dyDescent="0.35">
      <c r="A6" s="86">
        <v>46027</v>
      </c>
      <c r="B6" s="87">
        <v>4.6199999999999998E-2</v>
      </c>
      <c r="C6" s="88">
        <v>3.1600000000000003E-2</v>
      </c>
      <c r="D6" s="88">
        <v>3.95E-2</v>
      </c>
      <c r="E6" s="88">
        <v>4.7899999999999998E-2</v>
      </c>
      <c r="F6" s="88">
        <v>4.8899999999999999E-2</v>
      </c>
      <c r="G6" s="89">
        <v>93927</v>
      </c>
    </row>
    <row r="7" spans="1:7" x14ac:dyDescent="0.35">
      <c r="A7" s="86">
        <v>46028</v>
      </c>
      <c r="B7" s="87">
        <v>4.58E-2</v>
      </c>
      <c r="C7" s="88">
        <v>3.1600000000000003E-2</v>
      </c>
      <c r="D7" s="88">
        <v>3.9699999999999999E-2</v>
      </c>
      <c r="E7" s="88">
        <v>4.7E-2</v>
      </c>
      <c r="F7" s="88">
        <v>5.0299999999999997E-2</v>
      </c>
      <c r="G7" s="89">
        <v>93667</v>
      </c>
    </row>
    <row r="8" spans="1:7" x14ac:dyDescent="0.35">
      <c r="A8" s="86">
        <v>46029</v>
      </c>
      <c r="B8" s="87">
        <v>4.5600000000000002E-2</v>
      </c>
      <c r="C8" s="88">
        <v>3.1600000000000003E-2</v>
      </c>
      <c r="D8" s="88">
        <v>3.9800000000000002E-2</v>
      </c>
      <c r="E8" s="88">
        <v>4.7500000000000001E-2</v>
      </c>
      <c r="F8" s="88">
        <v>5.1400000000000001E-2</v>
      </c>
      <c r="G8" s="89">
        <v>91257</v>
      </c>
    </row>
    <row r="9" spans="1:7" x14ac:dyDescent="0.35">
      <c r="A9" s="86">
        <v>46030</v>
      </c>
      <c r="B9" s="87">
        <v>4.6100000000000002E-2</v>
      </c>
      <c r="C9" s="88">
        <v>3.1600000000000003E-2</v>
      </c>
      <c r="D9" s="88">
        <v>3.8399999999999997E-2</v>
      </c>
      <c r="E9" s="88">
        <v>4.8000000000000001E-2</v>
      </c>
      <c r="F9" s="88">
        <v>5.0599999999999999E-2</v>
      </c>
      <c r="G9" s="89">
        <v>90984</v>
      </c>
    </row>
    <row r="10" spans="1:7" x14ac:dyDescent="0.35">
      <c r="A10" s="86">
        <v>46031</v>
      </c>
      <c r="B10" s="87">
        <v>4.6100000000000002E-2</v>
      </c>
      <c r="C10" s="88">
        <v>3.1600000000000003E-2</v>
      </c>
      <c r="D10" s="88">
        <v>3.73E-2</v>
      </c>
      <c r="E10" s="88">
        <v>4.8599999999999997E-2</v>
      </c>
      <c r="F10" s="88">
        <v>5.1700000000000003E-2</v>
      </c>
      <c r="G10" s="89">
        <v>90505</v>
      </c>
    </row>
    <row r="11" spans="1:7" x14ac:dyDescent="0.35">
      <c r="A11" s="86">
        <v>46032</v>
      </c>
      <c r="B11" s="87">
        <v>4.65E-2</v>
      </c>
      <c r="C11" s="88">
        <v>3.1600000000000003E-2</v>
      </c>
      <c r="D11" s="88">
        <v>3.7100000000000001E-2</v>
      </c>
      <c r="E11" s="88">
        <v>4.7500000000000001E-2</v>
      </c>
      <c r="F11" s="88">
        <v>5.1799999999999999E-2</v>
      </c>
      <c r="G11" s="89">
        <v>90442</v>
      </c>
    </row>
    <row r="12" spans="1:7" x14ac:dyDescent="0.35">
      <c r="A12" s="86">
        <v>46033</v>
      </c>
      <c r="B12" s="87">
        <v>4.6600000000000003E-2</v>
      </c>
      <c r="C12" s="88">
        <v>3.1600000000000003E-2</v>
      </c>
      <c r="D12" s="88">
        <v>3.73E-2</v>
      </c>
      <c r="E12" s="88">
        <v>4.8099999999999997E-2</v>
      </c>
      <c r="F12" s="88">
        <v>5.21E-2</v>
      </c>
      <c r="G12" s="89">
        <v>90819</v>
      </c>
    </row>
    <row r="13" spans="1:7" x14ac:dyDescent="0.35">
      <c r="A13" s="86">
        <v>46034</v>
      </c>
      <c r="B13" s="87">
        <v>4.7100000000000003E-2</v>
      </c>
      <c r="C13" s="88">
        <v>3.1600000000000003E-2</v>
      </c>
      <c r="D13" s="88">
        <v>3.8300000000000001E-2</v>
      </c>
      <c r="E13" s="88">
        <v>4.8899999999999999E-2</v>
      </c>
      <c r="F13" s="88">
        <v>5.2200000000000003E-2</v>
      </c>
      <c r="G13" s="89">
        <v>91135</v>
      </c>
    </row>
    <row r="14" spans="1:7" x14ac:dyDescent="0.35">
      <c r="A14" s="86">
        <v>46035</v>
      </c>
      <c r="B14" s="87">
        <v>4.6600000000000003E-2</v>
      </c>
      <c r="C14" s="88">
        <v>3.1600000000000003E-2</v>
      </c>
      <c r="D14" s="88">
        <v>3.8699999999999998E-2</v>
      </c>
      <c r="E14" s="88">
        <v>4.9200000000000001E-2</v>
      </c>
      <c r="F14" s="88">
        <v>5.0799999999999998E-2</v>
      </c>
      <c r="G14" s="89">
        <v>95260</v>
      </c>
    </row>
    <row r="15" spans="1:7" x14ac:dyDescent="0.35">
      <c r="A15" s="86">
        <v>46036</v>
      </c>
      <c r="B15" s="87">
        <v>4.9399999999999999E-2</v>
      </c>
      <c r="C15" s="88">
        <v>3.1600000000000003E-2</v>
      </c>
      <c r="D15" s="88">
        <v>4.2500000000000003E-2</v>
      </c>
      <c r="E15" s="88">
        <v>5.0200000000000002E-2</v>
      </c>
      <c r="F15" s="88">
        <v>4.7399999999999998E-2</v>
      </c>
      <c r="G15" s="89">
        <v>97008</v>
      </c>
    </row>
    <row r="16" spans="1:7" x14ac:dyDescent="0.35">
      <c r="A16" s="86">
        <v>46037</v>
      </c>
      <c r="B16" s="87">
        <v>4.99E-2</v>
      </c>
      <c r="C16" s="88">
        <v>3.1600000000000003E-2</v>
      </c>
      <c r="D16" s="88">
        <v>4.3900000000000002E-2</v>
      </c>
      <c r="E16" s="88">
        <v>5.11E-2</v>
      </c>
      <c r="F16" s="88">
        <v>5.3800000000000001E-2</v>
      </c>
      <c r="G16" s="89">
        <v>95585</v>
      </c>
    </row>
    <row r="17" spans="1:7" x14ac:dyDescent="0.35">
      <c r="A17" s="86">
        <v>46038</v>
      </c>
      <c r="B17" s="87">
        <v>4.9299999999999997E-2</v>
      </c>
      <c r="C17" s="88">
        <v>3.7499999999999999E-2</v>
      </c>
      <c r="D17" s="88">
        <v>5.3699999999999998E-2</v>
      </c>
      <c r="E17" s="88">
        <v>5.0999999999999997E-2</v>
      </c>
      <c r="F17" s="88">
        <v>5.8799999999999998E-2</v>
      </c>
      <c r="G17" s="89">
        <v>95516</v>
      </c>
    </row>
    <row r="18" spans="1:7" x14ac:dyDescent="0.35">
      <c r="A18" s="86">
        <v>46039</v>
      </c>
      <c r="B18" s="87">
        <v>4.7199999999999999E-2</v>
      </c>
      <c r="C18" s="88">
        <v>3.7499999999999999E-2</v>
      </c>
      <c r="D18" s="88">
        <v>5.1999999999999998E-2</v>
      </c>
      <c r="E18" s="88">
        <v>4.8899999999999999E-2</v>
      </c>
      <c r="F18" s="88">
        <v>5.7299999999999997E-2</v>
      </c>
      <c r="G18" s="89">
        <v>95100</v>
      </c>
    </row>
    <row r="19" spans="1:7" x14ac:dyDescent="0.35">
      <c r="A19" s="86">
        <v>46040</v>
      </c>
      <c r="B19" s="87">
        <v>4.5699999999999998E-2</v>
      </c>
      <c r="C19" s="88">
        <v>3.7499999999999999E-2</v>
      </c>
      <c r="D19" s="88">
        <v>5.0799999999999998E-2</v>
      </c>
      <c r="E19" s="88">
        <v>4.8300000000000003E-2</v>
      </c>
      <c r="F19" s="88">
        <v>5.6099999999999997E-2</v>
      </c>
      <c r="G19" s="89">
        <v>93753</v>
      </c>
    </row>
    <row r="20" spans="1:7" x14ac:dyDescent="0.35">
      <c r="A20" s="86">
        <v>46041</v>
      </c>
      <c r="B20" s="87">
        <v>4.53E-2</v>
      </c>
      <c r="C20" s="88">
        <v>3.7499999999999999E-2</v>
      </c>
      <c r="D20" s="88">
        <v>4.9700000000000001E-2</v>
      </c>
      <c r="E20" s="88">
        <v>4.7199999999999999E-2</v>
      </c>
      <c r="F20" s="88">
        <v>5.6000000000000001E-2</v>
      </c>
      <c r="G20" s="89">
        <v>92558</v>
      </c>
    </row>
    <row r="21" spans="1:7" x14ac:dyDescent="0.35">
      <c r="A21" s="86">
        <v>46042</v>
      </c>
      <c r="B21" s="87">
        <v>4.4200000000000003E-2</v>
      </c>
      <c r="C21" s="88">
        <v>3.7499999999999999E-2</v>
      </c>
      <c r="D21" s="88">
        <v>4.8599999999999997E-2</v>
      </c>
      <c r="E21" s="88">
        <v>4.6100000000000002E-2</v>
      </c>
      <c r="F21" s="88">
        <v>5.5899999999999998E-2</v>
      </c>
      <c r="G21" s="89">
        <v>88313</v>
      </c>
    </row>
    <row r="22" spans="1:7" x14ac:dyDescent="0.35">
      <c r="A22" s="86">
        <v>46043</v>
      </c>
      <c r="B22" s="87">
        <v>4.4699999999999997E-2</v>
      </c>
      <c r="C22" s="88">
        <v>3.7499999999999999E-2</v>
      </c>
      <c r="D22" s="88">
        <v>4.9099999999999998E-2</v>
      </c>
      <c r="E22" s="88">
        <v>4.6699999999999998E-2</v>
      </c>
      <c r="F22" s="88">
        <v>5.91E-2</v>
      </c>
      <c r="G22" s="89">
        <v>89354</v>
      </c>
    </row>
    <row r="23" spans="1:7" x14ac:dyDescent="0.35">
      <c r="A23" s="86">
        <v>46044</v>
      </c>
      <c r="B23" s="87">
        <v>4.41E-2</v>
      </c>
      <c r="C23" s="88">
        <v>3.7499999999999999E-2</v>
      </c>
      <c r="D23" s="88">
        <v>4.9000000000000002E-2</v>
      </c>
      <c r="E23" s="88">
        <v>4.6600000000000003E-2</v>
      </c>
      <c r="F23" s="88">
        <v>5.8099999999999999E-2</v>
      </c>
      <c r="G23" s="89">
        <v>89443</v>
      </c>
    </row>
    <row r="24" spans="1:7" x14ac:dyDescent="0.35">
      <c r="A24" s="86">
        <v>46045</v>
      </c>
      <c r="B24" s="87">
        <v>4.4299999999999999E-2</v>
      </c>
      <c r="C24" s="88">
        <v>3.7499999999999999E-2</v>
      </c>
      <c r="D24" s="88">
        <v>4.8399999999999999E-2</v>
      </c>
      <c r="E24" s="88">
        <v>4.6100000000000002E-2</v>
      </c>
      <c r="F24" s="88">
        <v>5.8299999999999998E-2</v>
      </c>
      <c r="G24" s="89">
        <v>89412</v>
      </c>
    </row>
    <row r="25" spans="1:7" x14ac:dyDescent="0.35">
      <c r="A25" s="86">
        <v>46046</v>
      </c>
      <c r="B25" s="87">
        <v>4.5400000000000003E-2</v>
      </c>
      <c r="C25" s="88">
        <v>3.7499999999999999E-2</v>
      </c>
      <c r="D25" s="88">
        <v>4.9000000000000002E-2</v>
      </c>
      <c r="E25" s="88">
        <v>4.7100000000000003E-2</v>
      </c>
      <c r="F25" s="88">
        <v>5.7200000000000001E-2</v>
      </c>
      <c r="G25" s="89">
        <v>89171</v>
      </c>
    </row>
    <row r="26" spans="1:7" x14ac:dyDescent="0.35">
      <c r="A26" s="86">
        <v>46047</v>
      </c>
      <c r="B26" s="87">
        <v>4.5999999999999999E-2</v>
      </c>
      <c r="C26" s="88">
        <v>3.7499999999999999E-2</v>
      </c>
      <c r="D26" s="88">
        <v>5.0500000000000003E-2</v>
      </c>
      <c r="E26" s="88">
        <v>4.8000000000000001E-2</v>
      </c>
      <c r="F26" s="88">
        <v>5.6800000000000003E-2</v>
      </c>
      <c r="G26" s="89">
        <v>86548</v>
      </c>
    </row>
    <row r="27" spans="1:7" x14ac:dyDescent="0.35">
      <c r="A27" s="86">
        <v>46048</v>
      </c>
      <c r="B27" s="87">
        <v>4.58E-2</v>
      </c>
      <c r="C27" s="88">
        <v>3.7499999999999999E-2</v>
      </c>
      <c r="D27" s="88">
        <v>5.0299999999999997E-2</v>
      </c>
      <c r="E27" s="88">
        <v>4.7699999999999999E-2</v>
      </c>
      <c r="F27" s="88">
        <v>5.7700000000000001E-2</v>
      </c>
      <c r="G27" s="89">
        <v>88308</v>
      </c>
    </row>
    <row r="28" spans="1:7" x14ac:dyDescent="0.35">
      <c r="A28" s="86">
        <v>46049</v>
      </c>
      <c r="B28" s="87">
        <v>4.65E-2</v>
      </c>
      <c r="C28" s="88">
        <v>3.7499999999999999E-2</v>
      </c>
      <c r="D28" s="88">
        <v>5.0900000000000001E-2</v>
      </c>
      <c r="E28" s="88">
        <v>4.8399999999999999E-2</v>
      </c>
      <c r="F28" s="88">
        <v>5.0500000000000003E-2</v>
      </c>
      <c r="G28" s="89">
        <v>89204</v>
      </c>
    </row>
    <row r="29" spans="1:7" x14ac:dyDescent="0.35">
      <c r="A29" s="86">
        <v>46050</v>
      </c>
      <c r="B29" s="87">
        <v>4.7E-2</v>
      </c>
      <c r="C29" s="88">
        <v>3.7499999999999999E-2</v>
      </c>
      <c r="D29" s="88">
        <v>5.0900000000000001E-2</v>
      </c>
      <c r="E29" s="88">
        <v>4.8399999999999999E-2</v>
      </c>
      <c r="F29" s="88">
        <v>5.5399999999999998E-2</v>
      </c>
      <c r="G29" s="89">
        <v>89162</v>
      </c>
    </row>
    <row r="30" spans="1:7" x14ac:dyDescent="0.35">
      <c r="A30" s="86">
        <v>46051</v>
      </c>
      <c r="B30" s="87">
        <v>4.8099999999999997E-2</v>
      </c>
      <c r="C30" s="88">
        <v>3.7499999999999999E-2</v>
      </c>
      <c r="D30" s="88">
        <v>5.21E-2</v>
      </c>
      <c r="E30" s="88">
        <v>4.99E-2</v>
      </c>
      <c r="F30" s="88">
        <v>5.5399999999999998E-2</v>
      </c>
      <c r="G30" s="89">
        <v>84570</v>
      </c>
    </row>
    <row r="31" spans="1:7" x14ac:dyDescent="0.35">
      <c r="A31" s="86">
        <v>46052</v>
      </c>
      <c r="B31" s="87">
        <v>4.6699999999999998E-2</v>
      </c>
      <c r="C31" s="88">
        <v>3.7499999999999999E-2</v>
      </c>
      <c r="D31" s="88">
        <v>5.1999999999999998E-2</v>
      </c>
      <c r="E31" s="88">
        <v>4.8800000000000003E-2</v>
      </c>
      <c r="F31" s="88">
        <v>5.3999999999999999E-2</v>
      </c>
      <c r="G31" s="89">
        <v>84142</v>
      </c>
    </row>
    <row r="32" spans="1:7" x14ac:dyDescent="0.35">
      <c r="A32" s="86">
        <v>46053</v>
      </c>
      <c r="B32" s="87">
        <v>4.4699999999999997E-2</v>
      </c>
      <c r="C32" s="88">
        <v>3.7499999999999999E-2</v>
      </c>
      <c r="D32" s="88">
        <v>4.8899999999999999E-2</v>
      </c>
      <c r="E32" s="88">
        <v>4.65E-2</v>
      </c>
      <c r="F32" s="88">
        <v>5.3499999999999999E-2</v>
      </c>
      <c r="G32" s="89">
        <v>78726</v>
      </c>
    </row>
    <row r="33" spans="1:7" x14ac:dyDescent="0.35">
      <c r="A33" s="81">
        <v>46054.125</v>
      </c>
      <c r="B33" s="87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76937</v>
      </c>
    </row>
    <row r="34" spans="1:7" x14ac:dyDescent="0.35">
      <c r="A34" s="81">
        <v>46055.125</v>
      </c>
      <c r="B34" s="82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78768</v>
      </c>
    </row>
    <row r="35" spans="1:7" x14ac:dyDescent="0.35">
      <c r="A35" s="81">
        <v>46056.125</v>
      </c>
      <c r="B35" s="82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75639</v>
      </c>
    </row>
    <row r="36" spans="1:7" x14ac:dyDescent="0.35">
      <c r="A36" s="81">
        <v>46057.125</v>
      </c>
      <c r="B36" s="82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73172</v>
      </c>
    </row>
    <row r="37" spans="1:7" x14ac:dyDescent="0.35">
      <c r="A37" s="81">
        <v>46058.125</v>
      </c>
      <c r="B37" s="82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62854</v>
      </c>
    </row>
    <row r="38" spans="1:7" x14ac:dyDescent="0.35">
      <c r="A38" s="81">
        <v>46059.125</v>
      </c>
      <c r="B38" s="82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70524</v>
      </c>
    </row>
    <row r="39" spans="1:7" x14ac:dyDescent="0.35">
      <c r="A39" s="81">
        <v>46060.125</v>
      </c>
      <c r="B39" s="82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69297</v>
      </c>
    </row>
    <row r="40" spans="1:7" x14ac:dyDescent="0.35">
      <c r="A40" s="81">
        <v>46061.125</v>
      </c>
      <c r="B40" s="82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70542</v>
      </c>
    </row>
    <row r="41" spans="1:7" x14ac:dyDescent="0.35">
      <c r="A41" s="81">
        <v>46062.125</v>
      </c>
      <c r="B41" s="82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70096</v>
      </c>
    </row>
    <row r="42" spans="1:7" x14ac:dyDescent="0.35">
      <c r="A42" s="81">
        <v>46063.125</v>
      </c>
      <c r="B42" s="82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68780</v>
      </c>
    </row>
    <row r="43" spans="1:7" x14ac:dyDescent="0.35">
      <c r="A43" s="81">
        <v>46064.125</v>
      </c>
      <c r="B43" s="82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66938</v>
      </c>
    </row>
    <row r="44" spans="1:7" x14ac:dyDescent="0.35">
      <c r="A44" s="81">
        <v>46065.125</v>
      </c>
      <c r="B44" s="82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66185</v>
      </c>
    </row>
    <row r="45" spans="1:7" x14ac:dyDescent="0.35">
      <c r="A45" s="81">
        <v>46066.125</v>
      </c>
      <c r="B45" s="82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68839</v>
      </c>
    </row>
    <row r="46" spans="1:7" x14ac:dyDescent="0.35">
      <c r="A46" s="81">
        <v>46067.125</v>
      </c>
      <c r="B46" s="82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69766</v>
      </c>
    </row>
    <row r="47" spans="1:7" x14ac:dyDescent="0.35">
      <c r="A47" s="81">
        <v>46068.125</v>
      </c>
      <c r="B47" s="82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68717</v>
      </c>
    </row>
    <row r="48" spans="1:7" x14ac:dyDescent="0.35">
      <c r="A48" s="81">
        <v>46069.125</v>
      </c>
      <c r="B48" s="82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68908</v>
      </c>
    </row>
    <row r="49" spans="1:8" x14ac:dyDescent="0.35">
      <c r="A49" s="81">
        <v>46070.125</v>
      </c>
      <c r="B49" s="82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67489</v>
      </c>
    </row>
    <row r="50" spans="1:8" x14ac:dyDescent="0.35">
      <c r="A50" s="81">
        <v>46071.125</v>
      </c>
      <c r="B50" s="82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66456</v>
      </c>
    </row>
    <row r="51" spans="1:8" x14ac:dyDescent="0.35">
      <c r="A51" s="81">
        <v>46072.125</v>
      </c>
      <c r="B51" s="82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66919</v>
      </c>
    </row>
    <row r="52" spans="1:8" x14ac:dyDescent="0.35">
      <c r="A52" s="81">
        <v>46073.125</v>
      </c>
      <c r="B52" s="82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67970</v>
      </c>
    </row>
    <row r="53" spans="1:8" x14ac:dyDescent="0.35">
      <c r="A53" s="81">
        <v>46074.125</v>
      </c>
      <c r="B53" s="82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67978</v>
      </c>
    </row>
    <row r="54" spans="1:8" x14ac:dyDescent="0.35">
      <c r="A54" s="81">
        <v>46075.125</v>
      </c>
      <c r="B54" s="82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67585</v>
      </c>
    </row>
    <row r="55" spans="1:8" x14ac:dyDescent="0.35">
      <c r="A55" s="81">
        <v>46076.125</v>
      </c>
      <c r="B55" s="82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64578</v>
      </c>
    </row>
    <row r="56" spans="1:8" x14ac:dyDescent="0.35">
      <c r="A56" s="81">
        <v>46077.125</v>
      </c>
      <c r="B56" s="82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64074</v>
      </c>
    </row>
    <row r="57" spans="1:8" x14ac:dyDescent="0.35">
      <c r="A57" s="81">
        <v>46078.125</v>
      </c>
      <c r="B57" s="82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67947</v>
      </c>
    </row>
    <row r="58" spans="1:8" x14ac:dyDescent="0.35">
      <c r="A58" s="81">
        <v>46079.125</v>
      </c>
      <c r="B58" s="82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67469</v>
      </c>
    </row>
    <row r="59" spans="1:8" x14ac:dyDescent="0.35">
      <c r="A59" s="81">
        <v>46080.125</v>
      </c>
      <c r="B59" s="82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65884</v>
      </c>
    </row>
    <row r="60" spans="1:8" x14ac:dyDescent="0.35">
      <c r="A60" s="81">
        <v>46081.125</v>
      </c>
      <c r="B60" s="82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67008</v>
      </c>
    </row>
    <row r="61" spans="1:8" x14ac:dyDescent="0.35">
      <c r="A61" s="81">
        <v>46082.125</v>
      </c>
      <c r="B61" s="82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65713</v>
      </c>
    </row>
    <row r="62" spans="1:8" x14ac:dyDescent="0.35">
      <c r="A62" s="81">
        <v>46083.125</v>
      </c>
      <c r="B62" s="82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68864</v>
      </c>
    </row>
    <row r="63" spans="1:8" x14ac:dyDescent="0.35">
      <c r="A63" s="81">
        <v>46084.125</v>
      </c>
      <c r="B63" s="82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68322</v>
      </c>
      <c r="H63" s="47"/>
    </row>
    <row r="64" spans="1:8" x14ac:dyDescent="0.35">
      <c r="A64" s="81">
        <v>46085.125</v>
      </c>
      <c r="B64" s="82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72670</v>
      </c>
    </row>
    <row r="65" spans="1:7" x14ac:dyDescent="0.35">
      <c r="A65" s="81">
        <v>46086.125</v>
      </c>
      <c r="B65" s="82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70875</v>
      </c>
    </row>
    <row r="66" spans="1:7" x14ac:dyDescent="0.35">
      <c r="A66" s="81">
        <v>46087.125</v>
      </c>
      <c r="B66" s="82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68148</v>
      </c>
    </row>
    <row r="67" spans="1:7" x14ac:dyDescent="0.35">
      <c r="A67" s="81">
        <v>46088.125</v>
      </c>
      <c r="B67" s="82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67271</v>
      </c>
    </row>
    <row r="68" spans="1:7" x14ac:dyDescent="0.35">
      <c r="A68" s="81">
        <v>46089.125</v>
      </c>
      <c r="B68" s="82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66036</v>
      </c>
    </row>
    <row r="69" spans="1:7" x14ac:dyDescent="0.35">
      <c r="A69" s="81">
        <v>46090.125</v>
      </c>
      <c r="B69" s="82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68459</v>
      </c>
    </row>
    <row r="70" spans="1:7" x14ac:dyDescent="0.35">
      <c r="A70" s="81">
        <v>46091.125</v>
      </c>
      <c r="B70" s="82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69883</v>
      </c>
    </row>
    <row r="71" spans="1:7" x14ac:dyDescent="0.35">
      <c r="A71" s="81">
        <v>46092.125</v>
      </c>
      <c r="B71" s="82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70227</v>
      </c>
    </row>
    <row r="72" spans="1:7" x14ac:dyDescent="0.35">
      <c r="A72" s="81">
        <v>46093.125</v>
      </c>
      <c r="B72" s="82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70544</v>
      </c>
    </row>
    <row r="73" spans="1:7" x14ac:dyDescent="0.35">
      <c r="A73" s="81">
        <v>46094.125</v>
      </c>
      <c r="B73" s="82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70965</v>
      </c>
    </row>
    <row r="74" spans="1:7" x14ac:dyDescent="0.35">
      <c r="A74" s="81">
        <v>46095.125</v>
      </c>
      <c r="B74" s="82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71217</v>
      </c>
    </row>
    <row r="75" spans="1:7" x14ac:dyDescent="0.35">
      <c r="A75" s="81">
        <v>46096.125</v>
      </c>
      <c r="B75" s="82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72682</v>
      </c>
    </row>
    <row r="76" spans="1:7" x14ac:dyDescent="0.35">
      <c r="A76" s="81">
        <v>46097.125</v>
      </c>
      <c r="B76" s="82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74858</v>
      </c>
    </row>
    <row r="77" spans="1:7" x14ac:dyDescent="0.35">
      <c r="A77" s="81">
        <v>46098.125</v>
      </c>
      <c r="B77" s="82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73926</v>
      </c>
    </row>
    <row r="78" spans="1:7" x14ac:dyDescent="0.35">
      <c r="A78" s="81">
        <v>46099.125</v>
      </c>
      <c r="B78" s="82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71256</v>
      </c>
    </row>
    <row r="79" spans="1:7" x14ac:dyDescent="0.35">
      <c r="A79" s="81">
        <v>46100.125</v>
      </c>
      <c r="B79" s="82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69871</v>
      </c>
    </row>
    <row r="80" spans="1:7" x14ac:dyDescent="0.35">
      <c r="A80" s="81">
        <v>46101.125</v>
      </c>
      <c r="B80" s="82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70553</v>
      </c>
    </row>
    <row r="81" spans="1:7" x14ac:dyDescent="0.35">
      <c r="A81" s="81">
        <v>46102.125</v>
      </c>
      <c r="B81" s="82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68734</v>
      </c>
    </row>
    <row r="82" spans="1:7" x14ac:dyDescent="0.35">
      <c r="A82" s="81">
        <v>46103.125</v>
      </c>
      <c r="B82" s="82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67849</v>
      </c>
    </row>
    <row r="83" spans="1:7" x14ac:dyDescent="0.35">
      <c r="A83" s="81">
        <v>46104.125</v>
      </c>
      <c r="B83" s="82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70893</v>
      </c>
    </row>
    <row r="84" spans="1:7" x14ac:dyDescent="0.35">
      <c r="A84" s="81">
        <v>46105.125</v>
      </c>
      <c r="B84" s="82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70525</v>
      </c>
    </row>
    <row r="85" spans="1:7" x14ac:dyDescent="0.35">
      <c r="A85" s="81">
        <v>46106.125</v>
      </c>
      <c r="B85" s="82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71309</v>
      </c>
    </row>
    <row r="86" spans="1:7" x14ac:dyDescent="0.35">
      <c r="A86" s="81">
        <v>46107.125</v>
      </c>
      <c r="B86" s="82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68791</v>
      </c>
    </row>
    <row r="87" spans="1:7" x14ac:dyDescent="0.35">
      <c r="A87" s="81">
        <v>46108.125</v>
      </c>
      <c r="B87" s="82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66321</v>
      </c>
    </row>
    <row r="88" spans="1:7" x14ac:dyDescent="0.35">
      <c r="A88" s="81">
        <v>46109.125</v>
      </c>
      <c r="B88" s="82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66321</v>
      </c>
    </row>
    <row r="89" spans="1:7" x14ac:dyDescent="0.35">
      <c r="A89" s="81">
        <v>46110.125</v>
      </c>
      <c r="B89" s="82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65970</v>
      </c>
    </row>
    <row r="90" spans="1:7" x14ac:dyDescent="0.35">
      <c r="A90" s="81">
        <v>46111.125</v>
      </c>
      <c r="B90" s="82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66699</v>
      </c>
    </row>
    <row r="91" spans="1:7" x14ac:dyDescent="0.35">
      <c r="A91" s="81">
        <v>46112.125</v>
      </c>
      <c r="B91" s="82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68232</v>
      </c>
    </row>
    <row r="92" spans="1:7" x14ac:dyDescent="0.35">
      <c r="A92" s="81">
        <v>46113.125</v>
      </c>
      <c r="B92" s="82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68089</v>
      </c>
    </row>
    <row r="93" spans="1:7" x14ac:dyDescent="0.35">
      <c r="A93" s="81">
        <v>46114.125</v>
      </c>
      <c r="B93" s="82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66892</v>
      </c>
    </row>
    <row r="94" spans="1:7" x14ac:dyDescent="0.35">
      <c r="A94" s="81">
        <v>46115.125</v>
      </c>
      <c r="B94" s="82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66940</v>
      </c>
    </row>
    <row r="95" spans="1:7" x14ac:dyDescent="0.35">
      <c r="A95" s="81">
        <v>46116.125</v>
      </c>
      <c r="B95" s="82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67304</v>
      </c>
    </row>
    <row r="96" spans="1:7" x14ac:dyDescent="0.35">
      <c r="A96" s="81">
        <v>46117.125</v>
      </c>
      <c r="B96" s="82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68986</v>
      </c>
    </row>
    <row r="97" spans="1:7" x14ac:dyDescent="0.35">
      <c r="A97" s="81">
        <v>46118.125</v>
      </c>
      <c r="B97" s="82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68864</v>
      </c>
    </row>
    <row r="98" spans="1:7" x14ac:dyDescent="0.35">
      <c r="A98" s="81">
        <v>46119.125</v>
      </c>
      <c r="B98" s="82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71976</v>
      </c>
    </row>
    <row r="99" spans="1:7" x14ac:dyDescent="0.35">
      <c r="A99" s="81">
        <v>46120.125</v>
      </c>
      <c r="B99" s="82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71117</v>
      </c>
    </row>
    <row r="100" spans="1:7" x14ac:dyDescent="0.35">
      <c r="A100" s="81">
        <v>46121.125</v>
      </c>
      <c r="B100" s="82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71771</v>
      </c>
    </row>
    <row r="101" spans="1:7" x14ac:dyDescent="0.35">
      <c r="A101" s="81">
        <v>46122.125</v>
      </c>
      <c r="B101" s="82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72973</v>
      </c>
    </row>
    <row r="102" spans="1:7" x14ac:dyDescent="0.35">
      <c r="A102" s="81">
        <v>46123.125</v>
      </c>
      <c r="B102" s="82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73054</v>
      </c>
    </row>
    <row r="103" spans="1:7" x14ac:dyDescent="0.35">
      <c r="A103" s="81">
        <v>46124.125</v>
      </c>
      <c r="B103" s="82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70757</v>
      </c>
    </row>
    <row r="104" spans="1:7" x14ac:dyDescent="0.35">
      <c r="A104" s="81">
        <v>46125.125</v>
      </c>
      <c r="B104" s="82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74515</v>
      </c>
    </row>
    <row r="105" spans="1:7" x14ac:dyDescent="0.35">
      <c r="A105" s="81">
        <v>46126.125</v>
      </c>
      <c r="B105" s="82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74181</v>
      </c>
    </row>
    <row r="106" spans="1:7" x14ac:dyDescent="0.35">
      <c r="A106" s="81">
        <v>46127.125</v>
      </c>
      <c r="B106" s="82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74834</v>
      </c>
    </row>
    <row r="107" spans="1:7" x14ac:dyDescent="0.35">
      <c r="A107" s="81">
        <v>46128.125</v>
      </c>
      <c r="B107" s="82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74810</v>
      </c>
    </row>
    <row r="108" spans="1:7" x14ac:dyDescent="0.35">
      <c r="A108" s="81">
        <v>46129.125</v>
      </c>
      <c r="B108" s="82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1">
        <v>77154</v>
      </c>
    </row>
    <row r="109" spans="1:7" x14ac:dyDescent="0.35">
      <c r="A109" s="81">
        <v>46130.125</v>
      </c>
      <c r="B109" s="82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1">
        <v>77072</v>
      </c>
    </row>
    <row r="110" spans="1:7" x14ac:dyDescent="0.35">
      <c r="A110" s="81">
        <v>46131.125</v>
      </c>
      <c r="B110" s="82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1">
        <v>75691</v>
      </c>
    </row>
    <row r="111" spans="1:7" x14ac:dyDescent="0.35">
      <c r="A111" s="81">
        <v>46132.125</v>
      </c>
      <c r="B111" s="82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89">
        <v>75965.25</v>
      </c>
    </row>
    <row r="112" spans="1:7" x14ac:dyDescent="0.35">
      <c r="A112" s="81">
        <v>46133.125</v>
      </c>
      <c r="B112" s="82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89">
        <v>75841</v>
      </c>
    </row>
    <row r="113" spans="1:7" x14ac:dyDescent="0.35">
      <c r="A113" s="81">
        <v>46134.125</v>
      </c>
      <c r="B113" s="82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1">
        <v>76336</v>
      </c>
    </row>
    <row r="114" spans="1:7" x14ac:dyDescent="0.35">
      <c r="A114" s="81">
        <v>46135.125</v>
      </c>
      <c r="B114" s="82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89">
        <v>78179</v>
      </c>
    </row>
    <row r="115" spans="1:7" x14ac:dyDescent="0.35">
      <c r="A115" s="81">
        <v>46136.125</v>
      </c>
      <c r="B115" s="82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89">
        <v>78257</v>
      </c>
    </row>
    <row r="116" spans="1:7" x14ac:dyDescent="0.35">
      <c r="A116" s="81">
        <v>46137.125</v>
      </c>
      <c r="B116" s="82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89">
        <v>77437</v>
      </c>
    </row>
    <row r="117" spans="1:7" x14ac:dyDescent="0.35">
      <c r="A117" s="81">
        <v>46138.125</v>
      </c>
      <c r="B117" s="82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89">
        <v>77625</v>
      </c>
    </row>
    <row r="118" spans="1:7" x14ac:dyDescent="0.35">
      <c r="A118" s="81">
        <v>46139.125</v>
      </c>
      <c r="B118" s="82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89">
        <v>78657</v>
      </c>
    </row>
    <row r="119" spans="1:7" x14ac:dyDescent="0.35">
      <c r="A119" s="81">
        <v>46140.125</v>
      </c>
      <c r="B119" s="82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89">
        <v>77372</v>
      </c>
    </row>
    <row r="120" spans="1:7" x14ac:dyDescent="0.35">
      <c r="A120" s="81">
        <v>46141.125</v>
      </c>
      <c r="B120" s="82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89">
        <v>76342</v>
      </c>
    </row>
    <row r="121" spans="1:7" x14ac:dyDescent="0.35">
      <c r="A121" s="81">
        <v>46142.125</v>
      </c>
      <c r="B121" s="82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89">
        <v>75780</v>
      </c>
    </row>
    <row r="122" spans="1:7" x14ac:dyDescent="0.35">
      <c r="A122" s="81">
        <v>46143</v>
      </c>
      <c r="B122" s="82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89">
        <v>76347</v>
      </c>
    </row>
    <row r="123" spans="1:7" x14ac:dyDescent="0.35">
      <c r="A123" s="81">
        <v>46144</v>
      </c>
      <c r="B123" s="82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89">
        <v>78232</v>
      </c>
    </row>
    <row r="124" spans="1:7" x14ac:dyDescent="0.35">
      <c r="A124" s="81">
        <v>46145</v>
      </c>
      <c r="B124" s="82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89">
        <v>78687</v>
      </c>
    </row>
    <row r="125" spans="1:7" x14ac:dyDescent="0.35">
      <c r="A125" s="81">
        <v>46146</v>
      </c>
      <c r="B125" s="82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89">
        <v>78569</v>
      </c>
    </row>
    <row r="126" spans="1:7" x14ac:dyDescent="0.35">
      <c r="A126" s="81">
        <v>46147</v>
      </c>
      <c r="B126" s="82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89">
        <v>80905</v>
      </c>
    </row>
    <row r="127" spans="1:7" x14ac:dyDescent="0.35">
      <c r="A127" s="81">
        <v>46148</v>
      </c>
      <c r="B127" s="82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89">
        <v>81200</v>
      </c>
    </row>
    <row r="128" spans="1:7" x14ac:dyDescent="0.35">
      <c r="A128" s="81">
        <v>46149</v>
      </c>
      <c r="B128" s="82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89">
        <v>81448</v>
      </c>
    </row>
    <row r="129" spans="1:7" x14ac:dyDescent="0.35">
      <c r="A129" s="81">
        <v>46150</v>
      </c>
      <c r="B129" s="82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89">
        <v>80007</v>
      </c>
    </row>
    <row r="130" spans="1:7" x14ac:dyDescent="0.35">
      <c r="A130" s="81">
        <v>46151</v>
      </c>
      <c r="B130" s="82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89">
        <v>82215</v>
      </c>
    </row>
    <row r="131" spans="1:7" x14ac:dyDescent="0.35">
      <c r="A131" s="81">
        <v>46152</v>
      </c>
      <c r="B131" s="82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89">
        <v>80678</v>
      </c>
    </row>
    <row r="132" spans="1:7" x14ac:dyDescent="0.35">
      <c r="A132" s="81">
        <v>46153</v>
      </c>
      <c r="B132" s="82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89">
        <v>82210</v>
      </c>
    </row>
    <row r="133" spans="1:7" x14ac:dyDescent="0.35">
      <c r="A133" s="81">
        <v>46154</v>
      </c>
      <c r="B133" s="82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89">
        <v>81745</v>
      </c>
    </row>
    <row r="134" spans="1:7" x14ac:dyDescent="0.35">
      <c r="A134" s="81">
        <v>46155</v>
      </c>
      <c r="B134" s="82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89">
        <v>80505</v>
      </c>
    </row>
    <row r="135" spans="1:7" x14ac:dyDescent="0.35">
      <c r="A135" s="81">
        <v>46156</v>
      </c>
      <c r="B135" s="82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89">
        <v>79315</v>
      </c>
    </row>
    <row r="136" spans="1:7" x14ac:dyDescent="0.35">
      <c r="A136" s="81">
        <v>46157</v>
      </c>
      <c r="B136" s="82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89">
        <v>81090</v>
      </c>
    </row>
    <row r="137" spans="1:7" x14ac:dyDescent="0.35">
      <c r="A137" s="81">
        <v>46158</v>
      </c>
      <c r="B137" s="82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89">
        <v>79114</v>
      </c>
    </row>
    <row r="138" spans="1:7" x14ac:dyDescent="0.35">
      <c r="A138" s="81">
        <v>46159</v>
      </c>
      <c r="B138" s="82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89">
        <v>78149</v>
      </c>
    </row>
    <row r="139" spans="1:7" x14ac:dyDescent="0.35">
      <c r="A139" s="81">
        <v>46160</v>
      </c>
      <c r="B139" s="82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89">
        <v>76751</v>
      </c>
    </row>
    <row r="140" spans="1:7" x14ac:dyDescent="0.35">
      <c r="A140" s="81">
        <v>46161</v>
      </c>
      <c r="B140" s="82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89">
        <v>77002</v>
      </c>
    </row>
    <row r="141" spans="1:7" x14ac:dyDescent="0.35">
      <c r="A141" s="81">
        <v>46162</v>
      </c>
      <c r="B141" s="82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89">
        <v>76835</v>
      </c>
    </row>
    <row r="142" spans="1:7" x14ac:dyDescent="0.35">
      <c r="A142" s="81">
        <v>46163</v>
      </c>
      <c r="B142" s="82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89">
        <v>77553</v>
      </c>
    </row>
    <row r="143" spans="1:7" x14ac:dyDescent="0.35">
      <c r="A143" s="81">
        <v>46164</v>
      </c>
      <c r="B143" s="82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89">
        <v>77616</v>
      </c>
    </row>
    <row r="144" spans="1:7" x14ac:dyDescent="0.35">
      <c r="A144" s="81">
        <v>46165</v>
      </c>
      <c r="B144" s="82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89">
        <v>75540</v>
      </c>
    </row>
    <row r="145" spans="1:7" x14ac:dyDescent="0.35">
      <c r="A145" s="81">
        <v>46166</v>
      </c>
      <c r="B145" s="82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89">
        <v>76752</v>
      </c>
    </row>
    <row r="146" spans="1:7" x14ac:dyDescent="0.35">
      <c r="A146" s="81">
        <v>46167</v>
      </c>
      <c r="B146" s="82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89">
        <v>77065</v>
      </c>
    </row>
    <row r="147" spans="1:7" x14ac:dyDescent="0.35">
      <c r="A147" s="81">
        <v>46168</v>
      </c>
      <c r="B147" s="82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89">
        <v>77323</v>
      </c>
    </row>
    <row r="148" spans="1:7" x14ac:dyDescent="0.35">
      <c r="A148" s="81">
        <v>46169</v>
      </c>
      <c r="B148" s="82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89">
        <v>75931</v>
      </c>
    </row>
    <row r="149" spans="1:7" x14ac:dyDescent="0.35">
      <c r="A149" s="81">
        <v>46170</v>
      </c>
      <c r="B149" s="82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89">
        <v>74450</v>
      </c>
    </row>
    <row r="150" spans="1:7" x14ac:dyDescent="0.35">
      <c r="A150" s="81">
        <v>46171</v>
      </c>
      <c r="B150" s="82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89">
        <v>73618</v>
      </c>
    </row>
    <row r="151" spans="1:7" x14ac:dyDescent="0.35">
      <c r="A151" s="81">
        <v>46172</v>
      </c>
      <c r="B151" s="82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89">
        <v>73461</v>
      </c>
    </row>
    <row r="152" spans="1:7" x14ac:dyDescent="0.35">
      <c r="A152" s="81">
        <v>46173</v>
      </c>
      <c r="B152" s="82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89">
        <v>73885</v>
      </c>
    </row>
    <row r="153" spans="1:7" x14ac:dyDescent="0.35">
      <c r="A153" s="81">
        <v>46174</v>
      </c>
      <c r="B153" s="82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89">
        <v>73675</v>
      </c>
    </row>
    <row r="154" spans="1:7" x14ac:dyDescent="0.35">
      <c r="A154" s="81">
        <v>46175</v>
      </c>
      <c r="B154" s="82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89">
        <v>71408</v>
      </c>
    </row>
    <row r="155" spans="1:7" x14ac:dyDescent="0.35">
      <c r="A155" s="81">
        <v>46176</v>
      </c>
      <c r="B155" s="82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89">
        <v>66761</v>
      </c>
    </row>
    <row r="156" spans="1:7" x14ac:dyDescent="0.35">
      <c r="A156" s="81">
        <v>46177</v>
      </c>
      <c r="B156" s="82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89">
        <v>64143</v>
      </c>
    </row>
    <row r="157" spans="1:7" x14ac:dyDescent="0.35">
      <c r="A157" s="81">
        <v>46178</v>
      </c>
      <c r="B157" s="82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89">
        <v>63885</v>
      </c>
    </row>
    <row r="158" spans="1:7" x14ac:dyDescent="0.35">
      <c r="A158" s="81">
        <v>46179</v>
      </c>
      <c r="B158" s="82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89">
        <v>61057</v>
      </c>
    </row>
    <row r="159" spans="1:7" x14ac:dyDescent="0.35">
      <c r="A159" s="81">
        <v>46180</v>
      </c>
      <c r="B159" s="82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89">
        <v>60885</v>
      </c>
    </row>
    <row r="160" spans="1:7" x14ac:dyDescent="0.35">
      <c r="A160" s="81">
        <v>46181</v>
      </c>
      <c r="B160" s="82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89">
        <v>63332</v>
      </c>
    </row>
    <row r="161" spans="1:7" x14ac:dyDescent="0.35">
      <c r="A161" s="81">
        <v>46182</v>
      </c>
      <c r="B161" s="82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89">
        <v>61685</v>
      </c>
    </row>
    <row r="162" spans="1:7" x14ac:dyDescent="0.35">
      <c r="A162" s="81">
        <v>46183</v>
      </c>
      <c r="B162" s="82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89">
        <v>61509</v>
      </c>
    </row>
    <row r="163" spans="1:7" x14ac:dyDescent="0.35">
      <c r="A163" s="81">
        <v>46184</v>
      </c>
      <c r="B163" s="82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89">
        <v>63612</v>
      </c>
    </row>
    <row r="164" spans="1:7" x14ac:dyDescent="0.35">
      <c r="A164" s="81">
        <v>46185</v>
      </c>
      <c r="B164" s="82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89">
        <v>63626</v>
      </c>
    </row>
    <row r="165" spans="1:7" x14ac:dyDescent="0.35">
      <c r="A165" s="81">
        <v>46186</v>
      </c>
      <c r="B165" s="82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89">
        <v>63580</v>
      </c>
    </row>
    <row r="166" spans="1:7" x14ac:dyDescent="0.35">
      <c r="A166" s="81">
        <v>46187</v>
      </c>
      <c r="B166" s="82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89">
        <v>64459</v>
      </c>
    </row>
    <row r="167" spans="1:7" x14ac:dyDescent="0.35">
      <c r="A167" s="81">
        <v>46188</v>
      </c>
      <c r="B167" s="82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89">
        <v>66515</v>
      </c>
    </row>
    <row r="168" spans="1:7" x14ac:dyDescent="0.35">
      <c r="A168" s="81">
        <v>46189</v>
      </c>
      <c r="B168" s="82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89">
        <v>66328</v>
      </c>
    </row>
    <row r="169" spans="1:7" x14ac:dyDescent="0.35">
      <c r="A169" s="81">
        <v>46190</v>
      </c>
      <c r="B169" s="82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89">
        <v>65676</v>
      </c>
    </row>
    <row r="170" spans="1:7" x14ac:dyDescent="0.35">
      <c r="A170" s="81">
        <v>46191</v>
      </c>
      <c r="B170" s="82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89">
        <v>64510</v>
      </c>
    </row>
    <row r="171" spans="1:7" x14ac:dyDescent="0.35">
      <c r="A171" s="81">
        <v>46192</v>
      </c>
      <c r="B171" s="82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89">
        <v>62960</v>
      </c>
    </row>
    <row r="172" spans="1:7" x14ac:dyDescent="0.35">
      <c r="A172" s="81">
        <v>46193</v>
      </c>
      <c r="B172" s="82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89">
        <v>63544</v>
      </c>
    </row>
    <row r="173" spans="1:7" x14ac:dyDescent="0.35">
      <c r="A173" s="81">
        <v>46194</v>
      </c>
      <c r="B173" s="82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89">
        <v>64298</v>
      </c>
    </row>
    <row r="174" spans="1:7" x14ac:dyDescent="0.35">
      <c r="A174" s="81">
        <v>46195</v>
      </c>
      <c r="B174" s="82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89">
        <v>63313</v>
      </c>
    </row>
    <row r="175" spans="1:7" x14ac:dyDescent="0.35">
      <c r="A175" s="81">
        <v>46196</v>
      </c>
      <c r="B175" s="82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89">
        <v>64021</v>
      </c>
    </row>
    <row r="176" spans="1:7" x14ac:dyDescent="0.35">
      <c r="A176" s="81">
        <v>46197</v>
      </c>
      <c r="B176" s="82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89">
        <v>62735</v>
      </c>
    </row>
    <row r="177" spans="1:7" x14ac:dyDescent="0.35">
      <c r="A177" s="81">
        <v>46198</v>
      </c>
      <c r="B177" s="82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89">
        <v>61079</v>
      </c>
    </row>
    <row r="178" spans="1:7" x14ac:dyDescent="0.35">
      <c r="A178" s="81">
        <v>46199</v>
      </c>
      <c r="B178" s="82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89">
        <v>59795</v>
      </c>
    </row>
    <row r="179" spans="1:7" x14ac:dyDescent="0.35">
      <c r="A179" s="81">
        <v>46200</v>
      </c>
      <c r="B179" s="82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89">
        <v>60098</v>
      </c>
    </row>
    <row r="180" spans="1:7" x14ac:dyDescent="0.35">
      <c r="A180" s="81">
        <v>46201</v>
      </c>
      <c r="B180" s="82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89">
        <v>59578</v>
      </c>
    </row>
    <row r="181" spans="1:7" x14ac:dyDescent="0.35">
      <c r="A181" s="81">
        <v>46202</v>
      </c>
      <c r="B181" s="82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89">
        <v>60030</v>
      </c>
    </row>
    <row r="182" spans="1:7" x14ac:dyDescent="0.35">
      <c r="A182" s="81">
        <v>46203</v>
      </c>
      <c r="B182" s="82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89">
        <v>60261</v>
      </c>
    </row>
    <row r="183" spans="1:7" x14ac:dyDescent="0.35">
      <c r="A183" s="81">
        <v>46204</v>
      </c>
      <c r="B183" s="82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89">
        <v>58625</v>
      </c>
    </row>
    <row r="184" spans="1:7" x14ac:dyDescent="0.35">
      <c r="A184" s="81">
        <v>46205</v>
      </c>
      <c r="B184" s="82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89">
        <v>60025</v>
      </c>
    </row>
    <row r="185" spans="1:7" x14ac:dyDescent="0.35">
      <c r="A185" s="81">
        <v>46206</v>
      </c>
      <c r="B185" s="82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89">
        <v>61561</v>
      </c>
    </row>
    <row r="186" spans="1:7" x14ac:dyDescent="0.35">
      <c r="A186" s="81">
        <v>46207</v>
      </c>
      <c r="B186" s="82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89">
        <v>62584</v>
      </c>
    </row>
    <row r="187" spans="1:7" x14ac:dyDescent="0.35">
      <c r="A187" s="81">
        <v>46208</v>
      </c>
      <c r="B187" s="82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89">
        <v>63145</v>
      </c>
    </row>
    <row r="188" spans="1:7" x14ac:dyDescent="0.35">
      <c r="A188" s="81">
        <v>46209</v>
      </c>
      <c r="B188" s="82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89">
        <v>63651</v>
      </c>
    </row>
    <row r="189" spans="1:7" x14ac:dyDescent="0.35">
      <c r="A189" s="81">
        <v>46210</v>
      </c>
      <c r="B189" s="82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89">
        <v>63331</v>
      </c>
    </row>
    <row r="190" spans="1:7" x14ac:dyDescent="0.35">
      <c r="A190" s="81">
        <v>46211</v>
      </c>
      <c r="B190" s="82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89">
        <v>63365</v>
      </c>
    </row>
    <row r="191" spans="1:7" x14ac:dyDescent="0.35">
      <c r="A191" s="81">
        <v>46212</v>
      </c>
      <c r="B191" s="82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89">
        <v>62291</v>
      </c>
    </row>
    <row r="192" spans="1:7" x14ac:dyDescent="0.35">
      <c r="A192" s="81">
        <v>46213</v>
      </c>
      <c r="B192" s="82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89">
        <v>64231</v>
      </c>
    </row>
    <row r="193" spans="1:7" x14ac:dyDescent="0.35">
      <c r="A193" s="81">
        <v>46214</v>
      </c>
      <c r="B193" s="82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89">
        <v>64161</v>
      </c>
    </row>
    <row r="194" spans="1:7" x14ac:dyDescent="0.35">
      <c r="A194" s="81">
        <v>46215</v>
      </c>
      <c r="B194" s="82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89">
        <v>63819</v>
      </c>
    </row>
    <row r="195" spans="1:7" x14ac:dyDescent="0.35">
      <c r="A195" s="81">
        <v>46216</v>
      </c>
      <c r="B195" s="82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89">
        <v>63781</v>
      </c>
    </row>
    <row r="196" spans="1:7" x14ac:dyDescent="0.35">
      <c r="A196" s="81">
        <v>46217</v>
      </c>
      <c r="B196" s="82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89">
        <v>62335</v>
      </c>
    </row>
    <row r="197" spans="1:7" x14ac:dyDescent="0.35">
      <c r="A197" s="81">
        <v>46218</v>
      </c>
      <c r="B197" s="82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89">
        <v>65044</v>
      </c>
    </row>
    <row r="198" spans="1:7" x14ac:dyDescent="0.35">
      <c r="A198" s="81">
        <v>46219</v>
      </c>
      <c r="B198" s="82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89">
        <v>63831</v>
      </c>
    </row>
    <row r="199" spans="1:7" x14ac:dyDescent="0.35">
      <c r="A199" s="81">
        <v>46220</v>
      </c>
      <c r="B199" s="82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89">
        <v>63831</v>
      </c>
    </row>
    <row r="200" spans="1:7" x14ac:dyDescent="0.35">
      <c r="A200" s="81">
        <v>46221</v>
      </c>
      <c r="B200" s="82">
        <v>3.6299999999999999E-2</v>
      </c>
      <c r="C200" s="23">
        <v>2.47E-2</v>
      </c>
      <c r="D200" s="23">
        <v>3.9899999999999998E-2</v>
      </c>
      <c r="E200" s="23">
        <v>3.8100000000000002E-2</v>
      </c>
      <c r="F200" s="23">
        <v>4.3900000000000002E-2</v>
      </c>
      <c r="G200" s="89">
        <v>63932</v>
      </c>
    </row>
    <row r="201" spans="1:7" x14ac:dyDescent="0.35">
      <c r="A201" s="81">
        <v>46222</v>
      </c>
      <c r="B201" s="82">
        <v>3.5900000000000001E-2</v>
      </c>
      <c r="C201" s="23">
        <v>2.47E-2</v>
      </c>
      <c r="D201" s="23">
        <v>3.95E-2</v>
      </c>
      <c r="E201" s="23">
        <v>3.78E-2</v>
      </c>
      <c r="F201" s="23">
        <v>4.3700000000000003E-2</v>
      </c>
      <c r="G201" s="89">
        <v>64835</v>
      </c>
    </row>
    <row r="202" spans="1:7" x14ac:dyDescent="0.35">
      <c r="A202" s="81">
        <v>46223</v>
      </c>
      <c r="B202" s="82">
        <v>3.6600000000000001E-2</v>
      </c>
      <c r="C202" s="23">
        <v>2.47E-2</v>
      </c>
      <c r="D202" s="23">
        <v>3.95E-2</v>
      </c>
      <c r="E202" s="23">
        <v>3.78E-2</v>
      </c>
      <c r="F202" s="23">
        <v>4.3099999999999999E-2</v>
      </c>
      <c r="G202" s="89"/>
    </row>
    <row r="203" spans="1:7" x14ac:dyDescent="0.35">
      <c r="A203" s="81">
        <v>46224</v>
      </c>
      <c r="B203" s="82"/>
      <c r="C203" s="23"/>
      <c r="D203" s="23"/>
      <c r="E203" s="23"/>
      <c r="F203" s="23"/>
      <c r="G203" s="89"/>
    </row>
    <row r="204" spans="1:7" x14ac:dyDescent="0.35">
      <c r="A204" s="81">
        <v>46225</v>
      </c>
      <c r="B204" s="82"/>
      <c r="C204" s="23"/>
      <c r="D204" s="23"/>
      <c r="E204" s="23"/>
      <c r="F204" s="23"/>
      <c r="G204" s="89"/>
    </row>
    <row r="205" spans="1:7" x14ac:dyDescent="0.35">
      <c r="A205" s="81">
        <v>46226</v>
      </c>
      <c r="B205" s="82"/>
      <c r="C205" s="23"/>
      <c r="D205" s="23"/>
      <c r="E205" s="23"/>
      <c r="F205" s="23"/>
      <c r="G205" s="89"/>
    </row>
    <row r="206" spans="1:7" x14ac:dyDescent="0.35">
      <c r="A206" s="81">
        <v>46227</v>
      </c>
      <c r="B206" s="82"/>
      <c r="C206" s="23"/>
      <c r="D206" s="23"/>
      <c r="E206" s="23"/>
      <c r="F206" s="23"/>
      <c r="G206" s="89"/>
    </row>
    <row r="207" spans="1:7" x14ac:dyDescent="0.35">
      <c r="A207" s="81">
        <v>46228</v>
      </c>
      <c r="B207" s="82"/>
      <c r="C207" s="23"/>
      <c r="D207" s="23"/>
      <c r="E207" s="23"/>
      <c r="F207" s="23"/>
      <c r="G207" s="89"/>
    </row>
    <row r="208" spans="1:7" x14ac:dyDescent="0.35">
      <c r="A208" s="81">
        <v>46229</v>
      </c>
      <c r="B208" s="82"/>
      <c r="C208" s="23"/>
      <c r="D208" s="23"/>
      <c r="E208" s="23"/>
      <c r="F208" s="23"/>
      <c r="G208" s="89"/>
    </row>
    <row r="209" spans="1:7" x14ac:dyDescent="0.35">
      <c r="A209" s="81">
        <v>46230</v>
      </c>
      <c r="B209" s="82"/>
      <c r="C209" s="23"/>
      <c r="D209" s="23"/>
      <c r="E209" s="23"/>
      <c r="F209" s="23"/>
      <c r="G209" s="89"/>
    </row>
    <row r="210" spans="1:7" x14ac:dyDescent="0.35">
      <c r="A210" s="81">
        <v>46231</v>
      </c>
      <c r="B210" s="82"/>
      <c r="C210" s="23"/>
      <c r="D210" s="23"/>
      <c r="E210" s="23"/>
      <c r="F210" s="23"/>
      <c r="G210" s="89"/>
    </row>
    <row r="211" spans="1:7" x14ac:dyDescent="0.35">
      <c r="A211" s="81">
        <v>46232</v>
      </c>
      <c r="B211" s="82"/>
      <c r="C211" s="23"/>
      <c r="D211" s="23"/>
      <c r="E211" s="23"/>
      <c r="F211" s="23"/>
      <c r="G211" s="89"/>
    </row>
    <row r="212" spans="1:7" x14ac:dyDescent="0.35">
      <c r="A212" s="81">
        <v>46233</v>
      </c>
      <c r="B212" s="82"/>
      <c r="C212" s="23"/>
      <c r="D212" s="23"/>
      <c r="E212" s="23"/>
      <c r="F212" s="23"/>
      <c r="G212" s="89"/>
    </row>
    <row r="213" spans="1:7" x14ac:dyDescent="0.35">
      <c r="A213" s="81">
        <v>46234</v>
      </c>
      <c r="B213" s="82"/>
      <c r="C213" s="23"/>
      <c r="D213" s="23"/>
      <c r="E213" s="23"/>
      <c r="F213" s="23"/>
      <c r="G213" s="89"/>
    </row>
    <row r="214" spans="1:7" x14ac:dyDescent="0.35">
      <c r="A214" s="81">
        <v>46235</v>
      </c>
      <c r="B214" s="82"/>
      <c r="C214" s="23"/>
      <c r="D214" s="23"/>
      <c r="E214" s="23"/>
      <c r="F214" s="23"/>
      <c r="G214" s="89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0" zoomScale="80" zoomScaleNormal="80" workbookViewId="0">
      <selection activeCell="P151" sqref="P151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5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5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5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5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5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5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5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5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5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5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5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5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5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5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5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5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5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5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5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5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5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5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5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5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5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5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5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5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5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5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5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5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5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5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5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5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5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5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5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5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5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5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5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5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5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5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5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5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5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5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5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5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5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5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5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5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5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5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5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5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5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5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5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5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5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5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5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5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5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5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5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5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5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5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5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5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5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5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5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5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5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50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5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5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5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5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5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5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5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5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5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50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5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5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5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5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5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>
        <v>3.7400000000000003E-2</v>
      </c>
      <c r="Q148" s="85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>
        <v>2.5000000000000001E-2</v>
      </c>
      <c r="AI148" s="13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4">
        <v>3.3000000000000002E-2</v>
      </c>
      <c r="AU148" s="14">
        <v>3.39E-2</v>
      </c>
      <c r="AV148" s="14">
        <v>3.7699999999999997E-2</v>
      </c>
      <c r="AW148" s="14">
        <v>3.9899999999999998E-2</v>
      </c>
      <c r="AX148" s="14">
        <v>4.2900000000000001E-2</v>
      </c>
      <c r="AY148" s="14">
        <v>4.9799999999999997E-2</v>
      </c>
      <c r="AZ148" s="14">
        <v>4.0599999999999997E-2</v>
      </c>
      <c r="BA148" s="13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8">
        <v>4.5199999999999997E-2</v>
      </c>
      <c r="BM148" s="1"/>
      <c r="BN148" s="58">
        <v>5.4199999999999998E-2</v>
      </c>
      <c r="BO148" s="1"/>
      <c r="BP148" s="1"/>
      <c r="BQ148" s="1"/>
      <c r="BR148" s="58">
        <v>3.7499999999999999E-2</v>
      </c>
      <c r="BS148" s="13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>
        <v>3.6799999999999999E-2</v>
      </c>
      <c r="Q149" s="85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>
        <v>2.5000000000000001E-2</v>
      </c>
      <c r="AI149" s="13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4">
        <v>3.3000000000000002E-2</v>
      </c>
      <c r="AU149" s="14">
        <v>3.39E-2</v>
      </c>
      <c r="AV149" s="14">
        <v>3.7699999999999997E-2</v>
      </c>
      <c r="AW149" s="14">
        <v>3.9899999999999998E-2</v>
      </c>
      <c r="AX149" s="14">
        <v>4.2900000000000001E-2</v>
      </c>
      <c r="AY149" s="14">
        <v>4.9799999999999997E-2</v>
      </c>
      <c r="AZ149" s="14">
        <v>4.0599999999999997E-2</v>
      </c>
      <c r="BA149" s="13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8">
        <v>4.5199999999999997E-2</v>
      </c>
      <c r="BM149" s="1"/>
      <c r="BN149" s="58">
        <v>5.4199999999999998E-2</v>
      </c>
      <c r="BO149" s="1"/>
      <c r="BP149" s="1"/>
      <c r="BQ149" s="1"/>
      <c r="BR149" s="58">
        <v>3.6999999999999998E-2</v>
      </c>
      <c r="BS149" s="13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>
        <v>3.7400000000000003E-2</v>
      </c>
      <c r="Q150" s="85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>
        <v>2.5000000000000001E-2</v>
      </c>
      <c r="AI150" s="13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4">
        <v>3.3000000000000002E-2</v>
      </c>
      <c r="AU150" s="14">
        <v>3.39E-2</v>
      </c>
      <c r="AV150" s="14">
        <v>3.7699999999999997E-2</v>
      </c>
      <c r="AW150" s="14">
        <v>3.9899999999999998E-2</v>
      </c>
      <c r="AX150" s="14">
        <v>4.2900000000000001E-2</v>
      </c>
      <c r="AY150" s="14">
        <v>4.9799999999999997E-2</v>
      </c>
      <c r="AZ150" s="14">
        <v>4.0599999999999997E-2</v>
      </c>
      <c r="BA150" s="13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8">
        <v>4.5199999999999997E-2</v>
      </c>
      <c r="BM150" s="1"/>
      <c r="BN150" s="58">
        <v>5.4199999999999998E-2</v>
      </c>
      <c r="BO150" s="1"/>
      <c r="BP150" s="1"/>
      <c r="BQ150" s="1"/>
      <c r="BR150" s="58">
        <v>3.78E-2</v>
      </c>
      <c r="BS150" s="13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/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/>
      <c r="Q151" s="85">
        <f t="shared" si="19"/>
        <v>0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/>
      <c r="Y151" s="3" t="s">
        <v>33</v>
      </c>
      <c r="Z151" s="6"/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/>
      <c r="AI151" s="13"/>
      <c r="AK151" s="4">
        <v>46224</v>
      </c>
      <c r="AL151" s="6"/>
      <c r="AM151" s="3"/>
      <c r="AN151" s="3"/>
      <c r="AO151" s="3"/>
      <c r="AP151" s="3"/>
      <c r="AQ151" s="3"/>
      <c r="AR151" s="6"/>
      <c r="AS151" s="2">
        <v>46224</v>
      </c>
      <c r="AT151" s="14"/>
      <c r="AU151" s="14"/>
      <c r="AV151" s="14"/>
      <c r="AW151" s="14"/>
      <c r="AX151" s="14"/>
      <c r="AY151" s="14"/>
      <c r="AZ151" s="14"/>
      <c r="BA151" s="13">
        <f t="shared" si="20"/>
        <v>0</v>
      </c>
      <c r="BC151" s="4">
        <v>46224</v>
      </c>
      <c r="BD151" s="6"/>
      <c r="BE151" s="6"/>
      <c r="BF151" s="6"/>
      <c r="BG151" s="3"/>
      <c r="BH151" s="3"/>
      <c r="BI151" s="3"/>
      <c r="BJ151" s="6"/>
      <c r="BK151" s="2">
        <v>46224</v>
      </c>
      <c r="BL151" s="58"/>
      <c r="BM151" s="1"/>
      <c r="BN151" s="58"/>
      <c r="BO151" s="1"/>
      <c r="BP151" s="1"/>
      <c r="BQ151" s="1"/>
      <c r="BR151" s="58"/>
      <c r="BS151" s="13"/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/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/>
      <c r="Q152" s="85">
        <f t="shared" si="19"/>
        <v>0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/>
      <c r="Y152" s="3" t="s">
        <v>33</v>
      </c>
      <c r="Z152" s="6"/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/>
      <c r="AI152" s="13"/>
      <c r="AK152" s="4">
        <v>46225</v>
      </c>
      <c r="AL152" s="6"/>
      <c r="AM152" s="3"/>
      <c r="AN152" s="3"/>
      <c r="AO152" s="3"/>
      <c r="AP152" s="3"/>
      <c r="AQ152" s="3"/>
      <c r="AR152" s="6"/>
      <c r="AS152" s="2">
        <v>46225</v>
      </c>
      <c r="AT152" s="14"/>
      <c r="AU152" s="14"/>
      <c r="AV152" s="14"/>
      <c r="AW152" s="14"/>
      <c r="AX152" s="14"/>
      <c r="AY152" s="14"/>
      <c r="AZ152" s="14"/>
      <c r="BA152" s="13">
        <f t="shared" si="20"/>
        <v>0</v>
      </c>
      <c r="BC152" s="4">
        <v>46225</v>
      </c>
      <c r="BD152" s="6"/>
      <c r="BE152" s="6"/>
      <c r="BF152" s="6"/>
      <c r="BG152" s="3"/>
      <c r="BH152" s="3"/>
      <c r="BI152" s="3"/>
      <c r="BJ152" s="6"/>
      <c r="BK152" s="2">
        <v>46225</v>
      </c>
      <c r="BL152" s="58"/>
      <c r="BM152" s="1"/>
      <c r="BN152" s="58"/>
      <c r="BO152" s="1"/>
      <c r="BP152" s="1"/>
      <c r="BQ152" s="1"/>
      <c r="BR152" s="58"/>
      <c r="BS152" s="13"/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6" t="s">
        <v>44</v>
      </c>
      <c r="C1" s="96"/>
      <c r="D1" s="9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3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3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3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3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3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3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3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3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2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2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2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2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2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2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2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2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2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1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1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17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4" t="s">
        <v>67</v>
      </c>
      <c r="B10" s="83">
        <f>AVERAGE(B3:B9)</f>
        <v>3.115988142928364E-2</v>
      </c>
      <c r="C10" s="83">
        <f t="shared" ref="C10:I10" si="6">AVERAGE(C3:C9)</f>
        <v>2.4052790043091139E-2</v>
      </c>
      <c r="D10" s="83">
        <f t="shared" si="6"/>
        <v>3.18077508576027E-2</v>
      </c>
      <c r="E10" s="83">
        <f t="shared" si="6"/>
        <v>2.5730851265227984E-2</v>
      </c>
      <c r="F10" s="83">
        <f t="shared" si="6"/>
        <v>2.8768144048917692E-2</v>
      </c>
      <c r="G10" s="83">
        <f t="shared" si="6"/>
        <v>2.8894535758690804E-2</v>
      </c>
      <c r="H10" s="83">
        <f t="shared" si="6"/>
        <v>2.861428571428571E-2</v>
      </c>
      <c r="I10" s="83">
        <f t="shared" si="6"/>
        <v>2.904266688358681E-2</v>
      </c>
    </row>
  </sheetData>
  <conditionalFormatting sqref="A1:J9 A10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5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5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8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7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2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3.7024389340166004E-2</v>
      </c>
      <c r="D5" s="56">
        <v>5.4199999999999998E-2</v>
      </c>
      <c r="E5" s="56">
        <f t="shared" si="2"/>
        <v>3.7110862363455399E-2</v>
      </c>
      <c r="F5" s="56">
        <f t="shared" si="2"/>
        <v>3.7167402871694732E-2</v>
      </c>
      <c r="G5" s="56">
        <f t="shared" si="2"/>
        <v>3.7337714413147337E-2</v>
      </c>
      <c r="H5" s="57">
        <v>3.6999999999999998E-2</v>
      </c>
      <c r="I5" s="74">
        <f t="shared" si="1"/>
        <v>3.7691074941686109E-2</v>
      </c>
      <c r="J5" s="75"/>
      <c r="K5" s="68">
        <f>H5-'Daily Data'!BJ146</f>
        <v>2.1399999999999999E-2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5">((1+$I8)^(C2/365)-1)*365/C2</f>
        <v>3.6824126331346081E-2</v>
      </c>
      <c r="D8" s="52">
        <f t="shared" si="5"/>
        <v>3.6853849234498227E-2</v>
      </c>
      <c r="E8" s="52">
        <f t="shared" si="5"/>
        <v>3.6909665927788916E-2</v>
      </c>
      <c r="F8" s="52">
        <f t="shared" si="5"/>
        <v>3.6965595336695314E-2</v>
      </c>
      <c r="G8" s="52">
        <f t="shared" si="5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Data'!H146</f>
        <v>2.1399999999999999E-2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6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5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1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tabSelected="1" zoomScale="70" zoomScaleNormal="7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4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3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125</vt:i4>
      </vt:variant>
    </vt:vector>
  </HeadingPairs>
  <TitlesOfParts>
    <vt:vector size="125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2026-07-20T08:24:44Z</dcterms:modified>
</cp:coreProperties>
</file>