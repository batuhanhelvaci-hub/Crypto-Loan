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9154FE19-CCD9-4C87-A1EA-70C073848EC7}" xr6:coauthVersionLast="47" xr6:coauthVersionMax="47" xr10:uidLastSave="{00000000-0000-0000-0000-000000000000}"/>
  <bookViews>
    <workbookView xWindow="-110" yWindow="-110" windowWidth="19420" windowHeight="11500" firstSheet="91" activeTab="96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  <sheet name="20.06.2026" sheetId="117" r:id="rId95"/>
    <sheet name="21.06.2026" sheetId="118" r:id="rId96"/>
    <sheet name="22.06.2026" sheetId="119" r:id="rId9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19" l="1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<sst xmlns="http://schemas.openxmlformats.org/spreadsheetml/2006/main" count="5184" uniqueCount="71">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</sst>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9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43098</xdr:colOff>
      <xdr:row>135</xdr:row>
      <xdr:rowOff>1851</xdr:rowOff>
    </xdr:from>
    <xdr:to>
      <xdr:col>33</xdr:col>
      <xdr:colOff>398021</xdr:colOff>
      <xdr:row>169</xdr:row>
      <xdr:rowOff>34209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4270" y="24112007"/>
          <a:ext cx="6476720" cy="610454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65" zoomScale="115" zoomScaleNormal="115" workbookViewId="0">
      <selection activeCell="G174" sqref="G174"/>
    </sheetView>
  </sheetViews>
  <sheetFormatPr defaultRowHeight="14.5" x14ac:dyDescent="0.35"/>
  <cols>
    <col min="1" max="2" width="15.54296875" style="81" customWidth="1"/>
    <col min="3" max="6" width="15.5429687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>
        <v>61685</v>
      </c>
    </row>
    <row r="162" spans="1:7" x14ac:dyDescent="0.35">
      <c r="A162" s="82">
        <v>46183</v>
      </c>
      <c r="B162" s="83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90">
        <v>61509</v>
      </c>
    </row>
    <row r="163" spans="1:7" x14ac:dyDescent="0.35">
      <c r="A163" s="82">
        <v>46184</v>
      </c>
      <c r="B163" s="83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90">
        <v>63612</v>
      </c>
    </row>
    <row r="164" spans="1:7" x14ac:dyDescent="0.35">
      <c r="A164" s="82">
        <v>46185</v>
      </c>
      <c r="B164" s="83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90">
        <v>63626</v>
      </c>
    </row>
    <row r="165" spans="1:7" x14ac:dyDescent="0.35">
      <c r="A165" s="82">
        <v>46186</v>
      </c>
      <c r="B165" s="83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90">
        <v>63580</v>
      </c>
    </row>
    <row r="166" spans="1:7" x14ac:dyDescent="0.35">
      <c r="A166" s="82">
        <v>46187</v>
      </c>
      <c r="B166" s="83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90">
        <v>64459</v>
      </c>
    </row>
    <row r="167" spans="1:7" x14ac:dyDescent="0.35">
      <c r="A167" s="82">
        <v>46188</v>
      </c>
      <c r="B167" s="83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90">
        <v>66515</v>
      </c>
    </row>
    <row r="168" spans="1:7" x14ac:dyDescent="0.35">
      <c r="A168" s="82">
        <v>46189</v>
      </c>
      <c r="B168" s="83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90">
        <v>66328</v>
      </c>
    </row>
    <row r="169" spans="1:7" x14ac:dyDescent="0.35">
      <c r="A169" s="82">
        <v>46190</v>
      </c>
      <c r="B169" s="83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90">
        <v>65676</v>
      </c>
    </row>
    <row r="170" spans="1:7" x14ac:dyDescent="0.35">
      <c r="A170" s="82">
        <v>46191</v>
      </c>
      <c r="B170" s="83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90">
        <v>64510</v>
      </c>
    </row>
    <row r="171" spans="1:7" x14ac:dyDescent="0.35">
      <c r="A171" s="82">
        <v>46192</v>
      </c>
      <c r="B171" s="83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90">
        <v>62960</v>
      </c>
    </row>
    <row r="172" spans="1:7" x14ac:dyDescent="0.35">
      <c r="A172" s="82">
        <v>46193</v>
      </c>
      <c r="B172" s="83">
        <v>3.0800000000000001E-2</v>
      </c>
      <c r="C172" s="23">
        <v>2.47E-2</v>
      </c>
      <c r="D172" s="23">
        <v>3.39E-2</v>
      </c>
      <c r="E172" s="23">
        <v>3.2399999999999998E-2</v>
      </c>
      <c r="F172" s="23">
        <v>3.9300000000000002E-2</v>
      </c>
      <c r="G172" s="90">
        <v>63544</v>
      </c>
    </row>
    <row r="173" spans="1:7" x14ac:dyDescent="0.35">
      <c r="A173" s="82">
        <v>46194</v>
      </c>
      <c r="B173" s="83">
        <v>3.1300000000000001E-2</v>
      </c>
      <c r="C173" s="23">
        <v>2.47E-2</v>
      </c>
      <c r="D173" s="23">
        <v>3.44E-2</v>
      </c>
      <c r="E173" s="23">
        <v>3.2800000000000003E-2</v>
      </c>
      <c r="F173" s="23">
        <v>3.6499999999999998E-2</v>
      </c>
      <c r="G173" s="90">
        <v>64298</v>
      </c>
    </row>
    <row r="174" spans="1:7" x14ac:dyDescent="0.35">
      <c r="A174" s="82">
        <v>46195</v>
      </c>
      <c r="B174" s="83">
        <v>3.1300000000000001E-2</v>
      </c>
      <c r="C174" s="23">
        <v>2.47E-2</v>
      </c>
      <c r="D174" s="23">
        <v>3.4000000000000002E-2</v>
      </c>
      <c r="E174" s="23">
        <v>3.2500000000000001E-2</v>
      </c>
      <c r="F174" s="23">
        <v>6.13E-2</v>
      </c>
      <c r="G174" s="90"/>
    </row>
    <row r="175" spans="1:7" x14ac:dyDescent="0.35">
      <c r="A175" s="82">
        <v>46196</v>
      </c>
      <c r="B175" s="83"/>
      <c r="C175" s="23"/>
      <c r="D175" s="23"/>
      <c r="E175" s="23"/>
      <c r="F175" s="23"/>
      <c r="G175" s="90"/>
    </row>
    <row r="176" spans="1:7" x14ac:dyDescent="0.35">
      <c r="A176" s="82">
        <v>46197</v>
      </c>
      <c r="B176" s="83"/>
      <c r="C176" s="23"/>
      <c r="D176" s="23"/>
      <c r="E176" s="23"/>
      <c r="F176" s="23"/>
      <c r="G176" s="90"/>
    </row>
    <row r="177" spans="1:7" x14ac:dyDescent="0.35">
      <c r="A177" s="82">
        <v>46198</v>
      </c>
      <c r="B177" s="83"/>
      <c r="C177" s="23"/>
      <c r="D177" s="23"/>
      <c r="E177" s="23"/>
      <c r="F177" s="23"/>
      <c r="G177" s="90"/>
    </row>
    <row r="178" spans="1:7" x14ac:dyDescent="0.35">
      <c r="A178" s="82">
        <v>46199</v>
      </c>
      <c r="B178" s="83"/>
      <c r="C178" s="23"/>
      <c r="D178" s="23"/>
      <c r="E178" s="23"/>
      <c r="F178" s="23"/>
      <c r="G178" s="90"/>
    </row>
    <row r="179" spans="1:7" x14ac:dyDescent="0.35">
      <c r="A179" s="82">
        <v>46200</v>
      </c>
      <c r="B179" s="83"/>
      <c r="C179" s="23"/>
      <c r="D179" s="23"/>
      <c r="E179" s="23"/>
      <c r="F179" s="23"/>
      <c r="G179" s="90"/>
    </row>
    <row r="180" spans="1:7" x14ac:dyDescent="0.35">
      <c r="A180" s="82">
        <v>46201</v>
      </c>
      <c r="B180" s="83"/>
      <c r="C180" s="23"/>
      <c r="D180" s="23"/>
      <c r="E180" s="23"/>
      <c r="F180" s="23"/>
      <c r="G180" s="90"/>
    </row>
    <row r="181" spans="1:7" x14ac:dyDescent="0.35">
      <c r="A181" s="82">
        <v>46202</v>
      </c>
      <c r="B181" s="83"/>
      <c r="C181" s="23"/>
      <c r="D181" s="23"/>
      <c r="E181" s="23"/>
      <c r="F181" s="23"/>
      <c r="G181" s="90"/>
    </row>
    <row r="182" spans="1:7" x14ac:dyDescent="0.35">
      <c r="A182" s="80"/>
      <c r="B182" s="80"/>
    </row>
    <row r="183" spans="1:7" x14ac:dyDescent="0.35">
      <c r="A183" s="80"/>
      <c r="B183" s="80"/>
    </row>
    <row r="184" spans="1:7" x14ac:dyDescent="0.35">
      <c r="A184" s="80"/>
      <c r="B184" s="80"/>
    </row>
    <row r="185" spans="1:7" x14ac:dyDescent="0.35">
      <c r="A185" s="80"/>
      <c r="B185" s="80"/>
    </row>
    <row r="186" spans="1:7" x14ac:dyDescent="0.35">
      <c r="A186" s="80"/>
      <c r="B186" s="80"/>
    </row>
    <row r="187" spans="1:7" x14ac:dyDescent="0.35">
      <c r="A187" s="80"/>
      <c r="B187" s="80"/>
    </row>
    <row r="188" spans="1:7" x14ac:dyDescent="0.35">
      <c r="A188" s="80"/>
      <c r="B188" s="80"/>
    </row>
    <row r="189" spans="1:7" x14ac:dyDescent="0.35">
      <c r="A189" s="80"/>
      <c r="B189" s="80"/>
    </row>
    <row r="190" spans="1:7" x14ac:dyDescent="0.35">
      <c r="A190" s="80"/>
      <c r="B190" s="80"/>
    </row>
    <row r="191" spans="1:7" x14ac:dyDescent="0.35">
      <c r="A191" s="80"/>
      <c r="B191" s="80"/>
    </row>
    <row r="192" spans="1:7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06" zoomScale="96" zoomScaleNormal="96" workbookViewId="0">
      <selection activeCell="BL122" sqref="BL122:BR122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179687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1796875" bestFit="1" customWidth="1"/>
    <col min="37" max="37" width="10.54296875" bestFit="1" customWidth="1"/>
    <col min="38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179687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22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2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2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6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6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6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6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6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6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6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6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6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6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>
        <v>3.15E-2</v>
      </c>
      <c r="Q120" s="86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>
        <v>2.5000000000000001E-2</v>
      </c>
      <c r="AI120" s="13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4">
        <v>3.2000000000000001E-2</v>
      </c>
      <c r="AU120" s="14">
        <v>3.2500000000000001E-2</v>
      </c>
      <c r="AV120" s="14">
        <v>3.6600000000000001E-2</v>
      </c>
      <c r="AW120" s="14">
        <v>3.8899999999999997E-2</v>
      </c>
      <c r="AX120" s="14">
        <v>4.65E-2</v>
      </c>
      <c r="AY120" s="14">
        <v>5.7799999999999997E-2</v>
      </c>
      <c r="AZ120" s="14">
        <v>3.5299999999999998E-2</v>
      </c>
      <c r="BA120" s="13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8">
        <v>4.1000000000000002E-2</v>
      </c>
      <c r="BM120" s="1"/>
      <c r="BN120" s="58">
        <v>4.7399999999999998E-2</v>
      </c>
      <c r="BO120" s="1"/>
      <c r="BP120" s="1"/>
      <c r="BQ120" s="1"/>
      <c r="BR120" s="58">
        <v>3.1300000000000001E-2</v>
      </c>
      <c r="BS120" s="13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>
        <v>3.1800000000000002E-2</v>
      </c>
      <c r="Q121" s="86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>
        <v>2.5000000000000001E-2</v>
      </c>
      <c r="AI121" s="13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4">
        <v>3.2000000000000001E-2</v>
      </c>
      <c r="AU121" s="14">
        <v>3.2500000000000001E-2</v>
      </c>
      <c r="AV121" s="14">
        <v>3.6600000000000001E-2</v>
      </c>
      <c r="AW121" s="14">
        <v>3.8899999999999997E-2</v>
      </c>
      <c r="AX121" s="14">
        <v>4.65E-2</v>
      </c>
      <c r="AY121" s="14">
        <v>5.7799999999999997E-2</v>
      </c>
      <c r="AZ121" s="14">
        <v>3.5299999999999998E-2</v>
      </c>
      <c r="BA121" s="13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8">
        <v>5.9299999999999999E-2</v>
      </c>
      <c r="BM121" s="1"/>
      <c r="BN121" s="58">
        <v>7.1099999999999997E-2</v>
      </c>
      <c r="BO121" s="1"/>
      <c r="BP121" s="1"/>
      <c r="BQ121" s="1"/>
      <c r="BR121" s="58">
        <v>4.1700000000000001E-2</v>
      </c>
      <c r="BS121" s="13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8">
        <v>3.1800000000000002E-2</v>
      </c>
      <c r="Q122" s="86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8">
        <v>2.5000000000000001E-2</v>
      </c>
      <c r="AI122" s="13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4">
        <v>3.2000000000000001E-2</v>
      </c>
      <c r="AU122" s="14">
        <v>3.2500000000000001E-2</v>
      </c>
      <c r="AV122" s="14">
        <v>3.6600000000000001E-2</v>
      </c>
      <c r="AW122" s="14">
        <v>3.8899999999999997E-2</v>
      </c>
      <c r="AX122" s="14">
        <v>4.65E-2</v>
      </c>
      <c r="AY122" s="14">
        <v>5.7799999999999997E-2</v>
      </c>
      <c r="AZ122" s="14">
        <v>3.5299999999999998E-2</v>
      </c>
      <c r="BA122" s="13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8">
        <v>5.9299999999999999E-2</v>
      </c>
      <c r="BM122" s="1"/>
      <c r="BN122" s="58">
        <v>7.1099999999999997E-2</v>
      </c>
      <c r="BO122" s="1"/>
      <c r="BP122" s="1"/>
      <c r="BQ122" s="1"/>
      <c r="BR122" s="58">
        <v>4.9500000000000002E-2</v>
      </c>
      <c r="BS122" s="13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/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8"/>
      <c r="Q123" s="86">
        <f t="shared" si="10"/>
        <v>0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/>
      <c r="Y123" s="3" t="s">
        <v>33</v>
      </c>
      <c r="Z123" s="6"/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8"/>
      <c r="AI123" s="13"/>
      <c r="AK123" s="4">
        <v>46196</v>
      </c>
      <c r="AL123" s="3"/>
      <c r="AM123" s="3"/>
      <c r="AN123" s="3"/>
      <c r="AO123" s="3"/>
      <c r="AP123" s="3"/>
      <c r="AQ123" s="6"/>
      <c r="AR123" s="6"/>
      <c r="AS123" s="2">
        <v>46196</v>
      </c>
      <c r="AT123" s="14"/>
      <c r="AU123" s="14"/>
      <c r="AV123" s="14"/>
      <c r="AW123" s="14"/>
      <c r="AX123" s="14"/>
      <c r="AY123" s="14"/>
      <c r="AZ123" s="14"/>
      <c r="BA123" s="13"/>
      <c r="BC123" s="4">
        <v>46196</v>
      </c>
      <c r="BD123" s="6"/>
      <c r="BE123" s="6"/>
      <c r="BF123" s="6"/>
      <c r="BG123" s="3"/>
      <c r="BH123" s="3"/>
      <c r="BI123" s="3"/>
      <c r="BJ123" s="6"/>
      <c r="BK123" s="2">
        <v>46196</v>
      </c>
      <c r="BL123" s="58"/>
      <c r="BM123" s="1"/>
      <c r="BN123" s="58"/>
      <c r="BO123" s="1"/>
      <c r="BP123" s="1"/>
      <c r="BQ123" s="1"/>
      <c r="BR123" s="58"/>
      <c r="BS123" s="13"/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/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8"/>
      <c r="Q124" s="86">
        <f t="shared" si="10"/>
        <v>0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/>
      <c r="Y124" s="3" t="s">
        <v>33</v>
      </c>
      <c r="Z124" s="6"/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8"/>
      <c r="AI124" s="13"/>
      <c r="AK124" s="4">
        <v>46197</v>
      </c>
      <c r="AL124" s="3"/>
      <c r="AM124" s="3"/>
      <c r="AN124" s="3"/>
      <c r="AO124" s="3"/>
      <c r="AP124" s="3"/>
      <c r="AQ124" s="6"/>
      <c r="AR124" s="6"/>
      <c r="AS124" s="2">
        <v>46197</v>
      </c>
      <c r="AT124" s="14"/>
      <c r="AU124" s="14"/>
      <c r="AV124" s="14"/>
      <c r="AW124" s="14"/>
      <c r="AX124" s="14"/>
      <c r="AY124" s="14"/>
      <c r="AZ124" s="14"/>
      <c r="BA124" s="13"/>
      <c r="BC124" s="4">
        <v>46197</v>
      </c>
      <c r="BD124" s="6"/>
      <c r="BE124" s="6"/>
      <c r="BF124" s="6"/>
      <c r="BG124" s="3"/>
      <c r="BH124" s="3"/>
      <c r="BI124" s="3"/>
      <c r="BJ124" s="6"/>
      <c r="BK124" s="2">
        <v>46197</v>
      </c>
      <c r="BL124" s="58"/>
      <c r="BM124" s="1"/>
      <c r="BN124" s="58"/>
      <c r="BO124" s="1"/>
      <c r="BP124" s="1"/>
      <c r="BQ124" s="1"/>
      <c r="BR124" s="58"/>
      <c r="BS124" s="13"/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/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8"/>
      <c r="Q125" s="86">
        <f t="shared" si="10"/>
        <v>0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/>
      <c r="Y125" s="3" t="s">
        <v>33</v>
      </c>
      <c r="Z125" s="6"/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8"/>
      <c r="AI125" s="13"/>
      <c r="AK125" s="4">
        <v>46198</v>
      </c>
      <c r="AL125" s="3"/>
      <c r="AM125" s="3"/>
      <c r="AN125" s="3"/>
      <c r="AO125" s="3"/>
      <c r="AP125" s="3"/>
      <c r="AQ125" s="6"/>
      <c r="AR125" s="6"/>
      <c r="AS125" s="2">
        <v>46198</v>
      </c>
      <c r="AT125" s="14"/>
      <c r="AU125" s="14"/>
      <c r="AV125" s="14"/>
      <c r="AW125" s="14"/>
      <c r="AX125" s="14"/>
      <c r="AY125" s="14"/>
      <c r="AZ125" s="14"/>
      <c r="BA125" s="13"/>
      <c r="BC125" s="4">
        <v>46198</v>
      </c>
      <c r="BD125" s="6"/>
      <c r="BE125" s="6"/>
      <c r="BF125" s="6"/>
      <c r="BG125" s="3"/>
      <c r="BH125" s="3"/>
      <c r="BI125" s="3"/>
      <c r="BJ125" s="6"/>
      <c r="BK125" s="2">
        <v>46198</v>
      </c>
      <c r="BL125" s="58"/>
      <c r="BM125" s="1"/>
      <c r="BN125" s="58"/>
      <c r="BO125" s="1"/>
      <c r="BP125" s="1"/>
      <c r="BQ125" s="1"/>
      <c r="BR125" s="58"/>
      <c r="BS125" s="13"/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/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8"/>
      <c r="Q126" s="86">
        <f t="shared" si="10"/>
        <v>0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/>
      <c r="Y126" s="3" t="s">
        <v>33</v>
      </c>
      <c r="Z126" s="6"/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8"/>
      <c r="AI126" s="13"/>
      <c r="AK126" s="4">
        <v>46199</v>
      </c>
      <c r="AL126" s="3"/>
      <c r="AM126" s="3"/>
      <c r="AN126" s="3"/>
      <c r="AO126" s="3"/>
      <c r="AP126" s="3"/>
      <c r="AQ126" s="6"/>
      <c r="AR126" s="6"/>
      <c r="AS126" s="2">
        <v>46199</v>
      </c>
      <c r="AT126" s="14"/>
      <c r="AU126" s="14"/>
      <c r="AV126" s="14"/>
      <c r="AW126" s="14"/>
      <c r="AX126" s="14"/>
      <c r="AY126" s="14"/>
      <c r="AZ126" s="14"/>
      <c r="BA126" s="13"/>
      <c r="BC126" s="4">
        <v>46199</v>
      </c>
      <c r="BD126" s="6"/>
      <c r="BE126" s="6"/>
      <c r="BF126" s="6"/>
      <c r="BG126" s="3"/>
      <c r="BH126" s="3"/>
      <c r="BI126" s="3"/>
      <c r="BJ126" s="6"/>
      <c r="BK126" s="2">
        <v>46199</v>
      </c>
      <c r="BL126" s="58"/>
      <c r="BM126" s="1"/>
      <c r="BN126" s="58"/>
      <c r="BO126" s="1"/>
      <c r="BP126" s="1"/>
      <c r="BQ126" s="1"/>
      <c r="BR126" s="58"/>
      <c r="BS126" s="13"/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/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8"/>
      <c r="Q127" s="86">
        <f t="shared" si="10"/>
        <v>0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/>
      <c r="Y127" s="3" t="s">
        <v>33</v>
      </c>
      <c r="Z127" s="6"/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8"/>
      <c r="AI127" s="13"/>
      <c r="AK127" s="4">
        <v>46200</v>
      </c>
      <c r="AL127" s="3"/>
      <c r="AM127" s="3"/>
      <c r="AN127" s="3"/>
      <c r="AO127" s="3"/>
      <c r="AP127" s="3"/>
      <c r="AQ127" s="6"/>
      <c r="AR127" s="6"/>
      <c r="AS127" s="2">
        <v>46200</v>
      </c>
      <c r="AT127" s="14"/>
      <c r="AU127" s="14"/>
      <c r="AV127" s="14"/>
      <c r="AW127" s="14"/>
      <c r="AX127" s="14"/>
      <c r="AY127" s="14"/>
      <c r="AZ127" s="14"/>
      <c r="BA127" s="13"/>
      <c r="BC127" s="4">
        <v>46200</v>
      </c>
      <c r="BD127" s="6"/>
      <c r="BE127" s="6"/>
      <c r="BF127" s="6"/>
      <c r="BG127" s="3"/>
      <c r="BH127" s="3"/>
      <c r="BI127" s="3"/>
      <c r="BJ127" s="6"/>
      <c r="BK127" s="2">
        <v>46200</v>
      </c>
      <c r="BL127" s="58"/>
      <c r="BM127" s="1"/>
      <c r="BN127" s="58"/>
      <c r="BO127" s="1"/>
      <c r="BP127" s="1"/>
      <c r="BQ127" s="1"/>
      <c r="BR127" s="58"/>
      <c r="BS127" s="13"/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/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8"/>
      <c r="Q128" s="86">
        <f t="shared" si="10"/>
        <v>0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/>
      <c r="Y128" s="3" t="s">
        <v>33</v>
      </c>
      <c r="Z128" s="6"/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8"/>
      <c r="AI128" s="13"/>
      <c r="AK128" s="4">
        <v>46201</v>
      </c>
      <c r="AL128" s="3"/>
      <c r="AM128" s="3"/>
      <c r="AN128" s="3"/>
      <c r="AO128" s="3"/>
      <c r="AP128" s="3"/>
      <c r="AQ128" s="6"/>
      <c r="AR128" s="6"/>
      <c r="AS128" s="2">
        <v>46201</v>
      </c>
      <c r="AT128" s="14"/>
      <c r="AU128" s="14"/>
      <c r="AV128" s="14"/>
      <c r="AW128" s="14"/>
      <c r="AX128" s="14"/>
      <c r="AY128" s="14"/>
      <c r="AZ128" s="14"/>
      <c r="BA128" s="13"/>
      <c r="BC128" s="4">
        <v>46201</v>
      </c>
      <c r="BD128" s="6"/>
      <c r="BE128" s="6"/>
      <c r="BF128" s="6"/>
      <c r="BG128" s="3"/>
      <c r="BH128" s="3"/>
      <c r="BI128" s="3"/>
      <c r="BJ128" s="6"/>
      <c r="BK128" s="2">
        <v>46201</v>
      </c>
      <c r="BL128" s="58"/>
      <c r="BM128" s="1"/>
      <c r="BN128" s="58"/>
      <c r="BO128" s="1"/>
      <c r="BP128" s="1"/>
      <c r="BQ128" s="1"/>
      <c r="BR128" s="58"/>
      <c r="BS128" s="13"/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/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8"/>
      <c r="Q129" s="86">
        <f t="shared" si="10"/>
        <v>0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/>
      <c r="Y129" s="3" t="s">
        <v>33</v>
      </c>
      <c r="Z129" s="6"/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8"/>
      <c r="AI129" s="13"/>
      <c r="AK129" s="4">
        <v>46202</v>
      </c>
      <c r="AL129" s="3"/>
      <c r="AM129" s="3"/>
      <c r="AN129" s="3"/>
      <c r="AO129" s="3"/>
      <c r="AP129" s="3"/>
      <c r="AQ129" s="6"/>
      <c r="AR129" s="6"/>
      <c r="AS129" s="2">
        <v>46202</v>
      </c>
      <c r="AT129" s="14"/>
      <c r="AU129" s="14"/>
      <c r="AV129" s="14"/>
      <c r="AW129" s="14"/>
      <c r="AX129" s="14"/>
      <c r="AY129" s="14"/>
      <c r="AZ129" s="14"/>
      <c r="BA129" s="13"/>
      <c r="BC129" s="4">
        <v>46202</v>
      </c>
      <c r="BD129" s="6"/>
      <c r="BE129" s="6"/>
      <c r="BF129" s="6"/>
      <c r="BG129" s="3"/>
      <c r="BH129" s="3"/>
      <c r="BI129" s="3"/>
      <c r="BJ129" s="6"/>
      <c r="BK129" s="2">
        <v>46202</v>
      </c>
      <c r="BL129" s="58"/>
      <c r="BM129" s="1"/>
      <c r="BN129" s="58"/>
      <c r="BO129" s="1"/>
      <c r="BP129" s="1"/>
      <c r="BQ129" s="1"/>
      <c r="BR129" s="58"/>
      <c r="BS129" s="13"/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/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8"/>
      <c r="Q130" s="86">
        <f t="shared" si="10"/>
        <v>0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/>
      <c r="Y130" s="3" t="s">
        <v>33</v>
      </c>
      <c r="Z130" s="6"/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8"/>
      <c r="AI130" s="13"/>
      <c r="AK130" s="4">
        <v>46203</v>
      </c>
      <c r="AL130" s="3"/>
      <c r="AM130" s="3"/>
      <c r="AN130" s="3"/>
      <c r="AO130" s="3"/>
      <c r="AP130" s="3"/>
      <c r="AQ130" s="6"/>
      <c r="AR130" s="6"/>
      <c r="AS130" s="2">
        <v>46203</v>
      </c>
      <c r="AT130" s="14"/>
      <c r="AU130" s="14"/>
      <c r="AV130" s="14"/>
      <c r="AW130" s="14"/>
      <c r="AX130" s="14"/>
      <c r="AY130" s="14"/>
      <c r="AZ130" s="14"/>
      <c r="BA130" s="13"/>
      <c r="BC130" s="4">
        <v>46203</v>
      </c>
      <c r="BD130" s="6"/>
      <c r="BE130" s="6"/>
      <c r="BF130" s="6"/>
      <c r="BG130" s="3"/>
      <c r="BH130" s="3"/>
      <c r="BI130" s="3"/>
      <c r="BJ130" s="6"/>
      <c r="BK130" s="2">
        <v>46203</v>
      </c>
      <c r="BL130" s="58"/>
      <c r="BM130" s="1"/>
      <c r="BN130" s="58"/>
      <c r="BO130" s="1"/>
      <c r="BP130" s="1"/>
      <c r="BQ130" s="1"/>
      <c r="BR130" s="58"/>
      <c r="BS130" s="13"/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/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8"/>
      <c r="Q131" s="86">
        <f t="shared" si="10"/>
        <v>0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/>
      <c r="Y131" s="3" t="s">
        <v>33</v>
      </c>
      <c r="Z131" s="6"/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8"/>
      <c r="AI131" s="13"/>
      <c r="AK131" s="4">
        <v>46204</v>
      </c>
      <c r="AL131" s="3"/>
      <c r="AM131" s="3"/>
      <c r="AN131" s="3"/>
      <c r="AO131" s="3"/>
      <c r="AP131" s="3"/>
      <c r="AQ131" s="6"/>
      <c r="AR131" s="6"/>
      <c r="AS131" s="2">
        <v>46204</v>
      </c>
      <c r="AT131" s="14"/>
      <c r="AU131" s="14"/>
      <c r="AV131" s="14"/>
      <c r="AW131" s="14"/>
      <c r="AX131" s="14"/>
      <c r="AY131" s="14"/>
      <c r="AZ131" s="14"/>
      <c r="BA131" s="13"/>
      <c r="BC131" s="4">
        <v>46204</v>
      </c>
      <c r="BD131" s="6"/>
      <c r="BE131" s="6"/>
      <c r="BF131" s="6"/>
      <c r="BG131" s="3"/>
      <c r="BH131" s="3"/>
      <c r="BI131" s="3"/>
      <c r="BJ131" s="6"/>
      <c r="BK131" s="2">
        <v>46204</v>
      </c>
      <c r="BL131" s="58"/>
      <c r="BM131" s="1"/>
      <c r="BN131" s="58"/>
      <c r="BO131" s="1"/>
      <c r="BP131" s="1"/>
      <c r="BQ131" s="1"/>
      <c r="BR131" s="58"/>
      <c r="BS131" s="13"/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/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8"/>
      <c r="Q132" s="86">
        <f t="shared" si="10"/>
        <v>0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/>
      <c r="Y132" s="3" t="s">
        <v>33</v>
      </c>
      <c r="Z132" s="6"/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8"/>
      <c r="AI132" s="13"/>
      <c r="AK132" s="4">
        <v>46205</v>
      </c>
      <c r="AL132" s="3"/>
      <c r="AM132" s="3"/>
      <c r="AN132" s="3"/>
      <c r="AO132" s="3"/>
      <c r="AP132" s="3"/>
      <c r="AQ132" s="6"/>
      <c r="AR132" s="6"/>
      <c r="AS132" s="2">
        <v>46205</v>
      </c>
      <c r="AT132" s="14"/>
      <c r="AU132" s="14"/>
      <c r="AV132" s="14"/>
      <c r="AW132" s="14"/>
      <c r="AX132" s="14"/>
      <c r="AY132" s="14"/>
      <c r="AZ132" s="14"/>
      <c r="BA132" s="13"/>
      <c r="BC132" s="4">
        <v>46205</v>
      </c>
      <c r="BD132" s="6"/>
      <c r="BE132" s="6"/>
      <c r="BF132" s="6"/>
      <c r="BG132" s="3"/>
      <c r="BH132" s="3"/>
      <c r="BI132" s="3"/>
      <c r="BJ132" s="6"/>
      <c r="BK132" s="2">
        <v>46205</v>
      </c>
      <c r="BL132" s="58"/>
      <c r="BM132" s="1"/>
      <c r="BN132" s="58"/>
      <c r="BO132" s="1"/>
      <c r="BP132" s="1"/>
      <c r="BQ132" s="1"/>
      <c r="BR132" s="58"/>
      <c r="BS132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5429687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8164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54296875" style="24" customWidth="1"/>
    <col min="33" max="34" width="8.7265625" style="24"/>
    <col min="35" max="35" width="10.17968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92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91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90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5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5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89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5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5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88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5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87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86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85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84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83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5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82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81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80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79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5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5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78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5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5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5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77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5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5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5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76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5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5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75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5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74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73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72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5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5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5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5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5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5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5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5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5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5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5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5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5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5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5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5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5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5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5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5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5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5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5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5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5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5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5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5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5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5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5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5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5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5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5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5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5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5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5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5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5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5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5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5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5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5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-46200.963400000001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11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0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9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8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5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Data'!Z120</f>
        <v>9.8000000000000014E-3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3.131745252004222E-2</v>
      </c>
      <c r="D5" s="56">
        <v>4.7399999999999998E-2</v>
      </c>
      <c r="E5" s="56">
        <f t="shared" si="2"/>
        <v>3.137931185839702E-2</v>
      </c>
      <c r="F5" s="56">
        <f t="shared" si="2"/>
        <v>3.1419742666299495E-2</v>
      </c>
      <c r="G5" s="56">
        <f t="shared" si="2"/>
        <v>3.1541452283600606E-2</v>
      </c>
      <c r="H5" s="57">
        <v>3.1300000000000001E-2</v>
      </c>
      <c r="I5" s="74">
        <f t="shared" si="1"/>
        <v>3.1793611327958216E-2</v>
      </c>
      <c r="J5" s="75"/>
      <c r="K5" s="68">
        <f>H5-'Daily Data'!BJ120</f>
        <v>1.6800000000000002E-2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3.1508156652631909E-2</v>
      </c>
      <c r="C8" s="52">
        <f t="shared" ref="C8:G8" si="5">((1+$I8)^(C2/365)-1)*365/C2</f>
        <v>3.1517676306815581E-2</v>
      </c>
      <c r="D8" s="52">
        <f t="shared" si="5"/>
        <v>3.1539449919734897E-2</v>
      </c>
      <c r="E8" s="52">
        <f t="shared" si="5"/>
        <v>3.1580329518414073E-2</v>
      </c>
      <c r="F8" s="52">
        <f t="shared" si="5"/>
        <v>3.1621279764769708E-2</v>
      </c>
      <c r="G8" s="52">
        <f t="shared" si="5"/>
        <v>3.1744555764847346E-2</v>
      </c>
      <c r="H8" s="53">
        <v>3.15E-2</v>
      </c>
      <c r="I8" s="74">
        <f t="shared" si="1"/>
        <v>3.1999972932999388E-2</v>
      </c>
      <c r="J8" s="75"/>
      <c r="K8" s="68">
        <f>H8-'Daily Data'!H120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3.2408629440969942E-2</v>
      </c>
      <c r="C9" s="56">
        <f t="shared" ref="C9:G9" si="6">((1+$I9)^(C2/365)-1)*365/C2</f>
        <v>3.2418700995537265E-2</v>
      </c>
      <c r="D9" s="56">
        <f t="shared" si="6"/>
        <v>3.2441737365686896E-2</v>
      </c>
      <c r="E9" s="56">
        <f t="shared" si="6"/>
        <v>3.2484989406369791E-2</v>
      </c>
      <c r="F9" s="56">
        <f t="shared" si="6"/>
        <v>3.2528318333154047E-2</v>
      </c>
      <c r="G9" s="56">
        <f t="shared" si="6"/>
        <v>3.2658767969349564E-2</v>
      </c>
      <c r="H9" s="53">
        <v>3.2399999999999998E-2</v>
      </c>
      <c r="I9" s="74">
        <f t="shared" si="1"/>
        <v>3.2929109626098185E-2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J4:J9 A10:F10 I4:I10 A4:H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B3-'Daily Data'!AR121</f>
        <v>2.0700000000000003E-2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Data'!Z121</f>
        <v>9.8000000000000014E-3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4.1730980689982856E-2</v>
      </c>
      <c r="D5" s="56">
        <v>7.1099999999999997E-2</v>
      </c>
      <c r="E5" s="56">
        <f t="shared" si="2"/>
        <v>4.1840851351749211E-2</v>
      </c>
      <c r="F5" s="56">
        <f t="shared" si="2"/>
        <v>4.1912713893351702E-2</v>
      </c>
      <c r="G5" s="56">
        <f t="shared" si="2"/>
        <v>4.2129290335449224E-2</v>
      </c>
      <c r="H5" s="57">
        <v>4.1700000000000001E-2</v>
      </c>
      <c r="I5" s="74">
        <f t="shared" si="1"/>
        <v>4.2579174052441493E-2</v>
      </c>
      <c r="J5" s="75"/>
      <c r="K5" s="68">
        <f>H5-'Daily Data'!BJ121</f>
        <v>2.1600000000000001E-2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Data'!H121</f>
        <v>2.1600000000000001E-2</v>
      </c>
    </row>
    <row r="9" spans="1:11" ht="23.15" customHeight="1" x14ac:dyDescent="0.5">
      <c r="A9" s="51" t="s">
        <v>61</v>
      </c>
      <c r="B9" s="56">
        <f>((1+$I9)^(B2/365)-1)*365/B2</f>
        <v>3.280884384506149E-2</v>
      </c>
      <c r="C9" s="56">
        <f t="shared" ref="C9:G9" si="6">((1+$I9)^(C2/365)-1)*365/C2</f>
        <v>3.2819165682932416E-2</v>
      </c>
      <c r="D9" s="56">
        <f t="shared" si="6"/>
        <v>3.2842774717098698E-2</v>
      </c>
      <c r="E9" s="56">
        <f t="shared" si="6"/>
        <v>3.2887102710980422E-2</v>
      </c>
      <c r="F9" s="56">
        <f t="shared" si="6"/>
        <v>3.2931510477701459E-2</v>
      </c>
      <c r="G9" s="56">
        <f t="shared" si="6"/>
        <v>3.306521403168864E-2</v>
      </c>
      <c r="H9" s="53">
        <v>3.2800000000000003E-2</v>
      </c>
      <c r="I9" s="74">
        <f t="shared" si="1"/>
        <v>3.334232700144435E-2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J4:J9 A10:F10 I4:I10 A4:H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tabSelected="1" zoomScale="50" zoomScaleNormal="50" workbookViewId="0">
      <selection activeCell="C27" sqref="C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Data'!Z122</f>
        <v>1.0400000000000001E-2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4.9543658268123091E-2</v>
      </c>
      <c r="D5" s="56">
        <v>7.1099999999999997E-2</v>
      </c>
      <c r="E5" s="56">
        <f t="shared" si="2"/>
        <v>4.9698554137662457E-2</v>
      </c>
      <c r="F5" s="56">
        <f t="shared" si="2"/>
        <v>4.9799920991994019E-2</v>
      </c>
      <c r="G5" s="56">
        <f t="shared" si="2"/>
        <v>5.0105678377983978E-2</v>
      </c>
      <c r="H5" s="57">
        <v>4.9500000000000002E-2</v>
      </c>
      <c r="I5" s="74">
        <f t="shared" si="1"/>
        <v>5.0742065704776351E-2</v>
      </c>
      <c r="J5" s="75"/>
      <c r="K5" s="68">
        <f>H5-'Daily Data'!BJ122</f>
        <v>2.8000000000000004E-2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Data'!H122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3.2508682795319786E-2</v>
      </c>
      <c r="C9" s="56">
        <f t="shared" ref="C9:G9" si="6">((1+$I9)^(C2/365)-1)*365/C2</f>
        <v>3.2518816632587697E-2</v>
      </c>
      <c r="D9" s="56">
        <f t="shared" si="6"/>
        <v>3.2541995508796773E-2</v>
      </c>
      <c r="E9" s="56">
        <f t="shared" si="6"/>
        <v>3.2585515295304769E-2</v>
      </c>
      <c r="F9" s="56">
        <f t="shared" si="6"/>
        <v>3.2629112682946743E-2</v>
      </c>
      <c r="G9" s="56">
        <f t="shared" si="6"/>
        <v>3.2760372011032608E-2</v>
      </c>
      <c r="H9" s="53">
        <v>3.2500000000000001E-2</v>
      </c>
      <c r="I9" s="74">
        <f t="shared" si="1"/>
        <v>3.303239851864892E-2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J4:J9 A10:F10 I4:I10 A4:H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97</vt:i4>
      </vt:variant>
    </vt:vector>
  </HeadingPairs>
  <TitlesOfParts>
    <vt:vector size="97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2026-06-22T10:36:20Z</dcterms:modified>
</cp:coreProperties>
</file>