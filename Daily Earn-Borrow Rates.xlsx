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545DD9F0-550D-4BD8-ABD3-DDD2E6B6E152}" xr6:coauthVersionLast="47" xr6:coauthVersionMax="47" xr10:uidLastSave="{00000000-0000-0000-0000-000000000000}"/>
  <bookViews>
    <workbookView xWindow="-28920" yWindow="855" windowWidth="29040" windowHeight="17520" firstSheet="103" activeTab="112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.3.2026" sheetId="29" r:id="rId12"/>
    <sheet name="30.3.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  <sheet name="27.06.2026" sheetId="124" r:id="rId102"/>
    <sheet name="28.06.2026" sheetId="125" r:id="rId103"/>
    <sheet name="29.06.2026" sheetId="126" r:id="rId104"/>
    <sheet name="30.06.2026" sheetId="127" r:id="rId105"/>
    <sheet name="01.07.2026" sheetId="128" r:id="rId106"/>
    <sheet name="02.07.2026" sheetId="129" r:id="rId107"/>
    <sheet name="03.07.2026" sheetId="130" r:id="rId108"/>
    <sheet name="04.07.2026" sheetId="131" r:id="rId109"/>
    <sheet name="05.07.2026" sheetId="132" r:id="rId110"/>
    <sheet name="06.07.2026" sheetId="133" r:id="rId111"/>
    <sheet name="07.07.2026" sheetId="134" r:id="rId112"/>
    <sheet name="08.07.2026" sheetId="135" r:id="rId1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35" l="1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<sst xmlns="http://schemas.openxmlformats.org/spreadsheetml/2006/main" count="5548" uniqueCount="73">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</sst>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1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calcChain" Target="calcChain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46273</xdr:colOff>
      <xdr:row>147</xdr:row>
      <xdr:rowOff>101070</xdr:rowOff>
    </xdr:from>
    <xdr:to>
      <xdr:col>33</xdr:col>
      <xdr:colOff>398021</xdr:colOff>
      <xdr:row>181</xdr:row>
      <xdr:rowOff>120728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76195" y="26354351"/>
          <a:ext cx="6542998" cy="609819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77" zoomScale="115" zoomScaleNormal="115" workbookViewId="0">
      <selection activeCell="G190" sqref="G190"/>
    </sheetView>
  </sheetViews>
  <sheetFormatPr defaultRowHeight="14.5" x14ac:dyDescent="0.35"/>
  <cols>
    <col min="1" max="2" width="15.54296875" style="81" customWidth="1"/>
    <col min="3" max="6" width="15.5429687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3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>
        <v>66328</v>
      </c>
    </row>
    <row r="169" spans="1:7" x14ac:dyDescent="0.35">
      <c r="A169" s="82">
        <v>46190</v>
      </c>
      <c r="B169" s="83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90">
        <v>65676</v>
      </c>
    </row>
    <row r="170" spans="1:7" x14ac:dyDescent="0.35">
      <c r="A170" s="82">
        <v>46191</v>
      </c>
      <c r="B170" s="83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90">
        <v>64510</v>
      </c>
    </row>
    <row r="171" spans="1:7" x14ac:dyDescent="0.35">
      <c r="A171" s="82">
        <v>46192</v>
      </c>
      <c r="B171" s="83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90">
        <v>62960</v>
      </c>
    </row>
    <row r="172" spans="1:7" x14ac:dyDescent="0.35">
      <c r="A172" s="82">
        <v>46193</v>
      </c>
      <c r="B172" s="83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90">
        <v>63544</v>
      </c>
    </row>
    <row r="173" spans="1:7" x14ac:dyDescent="0.35">
      <c r="A173" s="82">
        <v>46194</v>
      </c>
      <c r="B173" s="83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90">
        <v>64298</v>
      </c>
    </row>
    <row r="174" spans="1:7" x14ac:dyDescent="0.35">
      <c r="A174" s="82">
        <v>46195</v>
      </c>
      <c r="B174" s="83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90">
        <v>63313</v>
      </c>
    </row>
    <row r="175" spans="1:7" x14ac:dyDescent="0.35">
      <c r="A175" s="82">
        <v>46196</v>
      </c>
      <c r="B175" s="83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90">
        <v>64021</v>
      </c>
    </row>
    <row r="176" spans="1:7" x14ac:dyDescent="0.35">
      <c r="A176" s="82">
        <v>46197</v>
      </c>
      <c r="B176" s="83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90">
        <v>62735</v>
      </c>
    </row>
    <row r="177" spans="1:7" x14ac:dyDescent="0.35">
      <c r="A177" s="82">
        <v>46198</v>
      </c>
      <c r="B177" s="83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90">
        <v>61079</v>
      </c>
    </row>
    <row r="178" spans="1:7" x14ac:dyDescent="0.35">
      <c r="A178" s="82">
        <v>46199</v>
      </c>
      <c r="B178" s="83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90">
        <v>59795</v>
      </c>
    </row>
    <row r="179" spans="1:7" x14ac:dyDescent="0.35">
      <c r="A179" s="82">
        <v>46200</v>
      </c>
      <c r="B179" s="83">
        <v>3.3300000000000003E-2</v>
      </c>
      <c r="C179" s="23">
        <v>2.47E-2</v>
      </c>
      <c r="D179" s="23">
        <v>3.6600000000000001E-2</v>
      </c>
      <c r="E179" s="23">
        <v>3.5000000000000003E-2</v>
      </c>
      <c r="F179" s="23">
        <v>6.2199999999999998E-2</v>
      </c>
      <c r="G179" s="90">
        <v>60098</v>
      </c>
    </row>
    <row r="180" spans="1:7" x14ac:dyDescent="0.35">
      <c r="A180" s="82">
        <v>46201</v>
      </c>
      <c r="B180" s="83">
        <v>3.2599999999999997E-2</v>
      </c>
      <c r="C180" s="23">
        <v>2.47E-2</v>
      </c>
      <c r="D180" s="23">
        <v>3.5799999999999998E-2</v>
      </c>
      <c r="E180" s="23">
        <v>3.4299999999999997E-2</v>
      </c>
      <c r="F180" s="23">
        <v>6.2100000000000002E-2</v>
      </c>
      <c r="G180" s="90">
        <v>59578</v>
      </c>
    </row>
    <row r="181" spans="1:7" x14ac:dyDescent="0.35">
      <c r="A181" s="82">
        <v>46202</v>
      </c>
      <c r="B181" s="83">
        <v>3.2599999999999997E-2</v>
      </c>
      <c r="C181" s="23">
        <v>2.47E-2</v>
      </c>
      <c r="D181" s="23">
        <v>3.5700000000000003E-2</v>
      </c>
      <c r="E181" s="23">
        <v>3.4200000000000001E-2</v>
      </c>
      <c r="F181" s="23">
        <v>6.1600000000000002E-2</v>
      </c>
      <c r="G181" s="90">
        <v>60030</v>
      </c>
    </row>
    <row r="182" spans="1:7" x14ac:dyDescent="0.35">
      <c r="A182" s="82">
        <v>46203</v>
      </c>
      <c r="B182" s="83">
        <v>3.5400000000000001E-2</v>
      </c>
      <c r="C182" s="23">
        <v>2.47E-2</v>
      </c>
      <c r="D182" s="23">
        <v>3.8600000000000002E-2</v>
      </c>
      <c r="E182" s="23">
        <v>3.6799999999999999E-2</v>
      </c>
      <c r="F182" s="23">
        <v>5.0599999999999999E-2</v>
      </c>
      <c r="G182" s="90">
        <v>60261</v>
      </c>
    </row>
    <row r="183" spans="1:7" x14ac:dyDescent="0.35">
      <c r="A183" s="82">
        <v>46204</v>
      </c>
      <c r="B183" s="83">
        <v>3.5700000000000003E-2</v>
      </c>
      <c r="C183" s="23">
        <v>2.47E-2</v>
      </c>
      <c r="D183" s="23">
        <v>3.8800000000000001E-2</v>
      </c>
      <c r="E183" s="23">
        <v>3.7100000000000001E-2</v>
      </c>
      <c r="F183" s="23">
        <v>5.57E-2</v>
      </c>
      <c r="G183" s="90">
        <v>58625</v>
      </c>
    </row>
    <row r="184" spans="1:7" x14ac:dyDescent="0.35">
      <c r="A184" s="82">
        <v>46205</v>
      </c>
      <c r="B184" s="83">
        <v>3.6700000000000003E-2</v>
      </c>
      <c r="C184" s="23">
        <v>2.47E-2</v>
      </c>
      <c r="D184" s="23">
        <v>3.95E-2</v>
      </c>
      <c r="E184" s="23">
        <v>3.78E-2</v>
      </c>
      <c r="F184" s="23">
        <v>4.1700000000000001E-2</v>
      </c>
      <c r="G184" s="90">
        <v>60025</v>
      </c>
    </row>
    <row r="185" spans="1:7" x14ac:dyDescent="0.35">
      <c r="A185" s="82">
        <v>46206</v>
      </c>
      <c r="B185" s="83">
        <v>3.6999999999999998E-2</v>
      </c>
      <c r="C185" s="23">
        <v>2.47E-2</v>
      </c>
      <c r="D185" s="23">
        <v>4.07E-2</v>
      </c>
      <c r="E185" s="23">
        <v>3.8899999999999997E-2</v>
      </c>
      <c r="F185" s="23">
        <v>4.3200000000000002E-2</v>
      </c>
      <c r="G185" s="90">
        <v>61561</v>
      </c>
    </row>
    <row r="186" spans="1:7" x14ac:dyDescent="0.35">
      <c r="A186" s="82">
        <v>46207</v>
      </c>
      <c r="B186" s="83">
        <v>3.6200000000000003E-2</v>
      </c>
      <c r="C186" s="23">
        <v>2.47E-2</v>
      </c>
      <c r="D186" s="23">
        <v>3.9899999999999998E-2</v>
      </c>
      <c r="E186" s="23">
        <v>3.8100000000000002E-2</v>
      </c>
      <c r="F186" s="23">
        <v>4.24E-2</v>
      </c>
      <c r="G186" s="90">
        <v>62584</v>
      </c>
    </row>
    <row r="187" spans="1:7" x14ac:dyDescent="0.35">
      <c r="A187" s="82">
        <v>46208</v>
      </c>
      <c r="B187" s="83">
        <v>3.6900000000000002E-2</v>
      </c>
      <c r="C187" s="23">
        <v>2.47E-2</v>
      </c>
      <c r="D187" s="23">
        <v>4.0099999999999997E-2</v>
      </c>
      <c r="E187" s="23">
        <v>3.8399999999999997E-2</v>
      </c>
      <c r="F187" s="23">
        <v>4.3499999999999997E-2</v>
      </c>
      <c r="G187" s="90">
        <v>63145</v>
      </c>
    </row>
    <row r="188" spans="1:7" x14ac:dyDescent="0.35">
      <c r="A188" s="82">
        <v>46209</v>
      </c>
      <c r="B188" s="83">
        <v>3.6299999999999999E-2</v>
      </c>
      <c r="C188" s="23">
        <v>2.47E-2</v>
      </c>
      <c r="D188" s="23">
        <v>3.9899999999999998E-2</v>
      </c>
      <c r="E188" s="23">
        <v>3.8100000000000002E-2</v>
      </c>
      <c r="F188" s="23">
        <v>4.3700000000000003E-2</v>
      </c>
      <c r="G188" s="90">
        <v>63651</v>
      </c>
    </row>
    <row r="189" spans="1:7" x14ac:dyDescent="0.35">
      <c r="A189" s="82">
        <v>46210</v>
      </c>
      <c r="B189" s="83">
        <v>3.7499999999999999E-2</v>
      </c>
      <c r="C189" s="23">
        <v>2.47E-2</v>
      </c>
      <c r="D189" s="23">
        <v>4.1300000000000003E-2</v>
      </c>
      <c r="E189" s="23">
        <v>3.95E-2</v>
      </c>
      <c r="F189" s="23">
        <v>4.4999999999999998E-2</v>
      </c>
      <c r="G189" s="90">
        <v>63331</v>
      </c>
    </row>
    <row r="190" spans="1:7" x14ac:dyDescent="0.35">
      <c r="A190" s="82">
        <v>46211</v>
      </c>
      <c r="B190" s="83">
        <v>3.8100000000000002E-2</v>
      </c>
      <c r="C190" s="23">
        <v>2.47E-2</v>
      </c>
      <c r="D190" s="23">
        <v>4.19E-2</v>
      </c>
      <c r="E190" s="23">
        <v>4.0099999999999997E-2</v>
      </c>
      <c r="F190" s="23">
        <v>4.5499999999999999E-2</v>
      </c>
      <c r="G190" s="90"/>
    </row>
    <row r="191" spans="1:7" x14ac:dyDescent="0.35">
      <c r="A191" s="82">
        <v>46212</v>
      </c>
      <c r="B191" s="83"/>
      <c r="C191" s="23"/>
      <c r="D191" s="23"/>
      <c r="E191" s="23"/>
      <c r="F191" s="23"/>
      <c r="G191" s="90"/>
    </row>
    <row r="192" spans="1:7" x14ac:dyDescent="0.35">
      <c r="A192" s="82">
        <v>46213</v>
      </c>
      <c r="B192" s="83"/>
      <c r="C192" s="23"/>
      <c r="D192" s="23"/>
      <c r="E192" s="23"/>
      <c r="F192" s="23"/>
      <c r="G192" s="90"/>
    </row>
    <row r="193" spans="1:7" x14ac:dyDescent="0.35">
      <c r="A193" s="82">
        <v>46214</v>
      </c>
      <c r="B193" s="83"/>
      <c r="C193" s="23"/>
      <c r="D193" s="23"/>
      <c r="E193" s="23"/>
      <c r="F193" s="23"/>
      <c r="G193" s="90"/>
    </row>
    <row r="194" spans="1:7" x14ac:dyDescent="0.35">
      <c r="A194" s="80"/>
      <c r="B194" s="80"/>
    </row>
    <row r="195" spans="1:7" x14ac:dyDescent="0.35">
      <c r="A195" s="80"/>
      <c r="B195" s="80"/>
    </row>
    <row r="196" spans="1:7" x14ac:dyDescent="0.35">
      <c r="A196" s="80"/>
      <c r="B196" s="80"/>
    </row>
    <row r="197" spans="1:7" x14ac:dyDescent="0.35">
      <c r="A197" s="80"/>
      <c r="B197" s="80"/>
    </row>
    <row r="198" spans="1:7" x14ac:dyDescent="0.35">
      <c r="A198" s="80"/>
      <c r="B198" s="80"/>
    </row>
    <row r="199" spans="1:7" x14ac:dyDescent="0.35">
      <c r="A199" s="80"/>
      <c r="B199" s="80"/>
    </row>
    <row r="200" spans="1:7" x14ac:dyDescent="0.35">
      <c r="A200" s="80"/>
      <c r="B200" s="80"/>
    </row>
    <row r="201" spans="1:7" x14ac:dyDescent="0.35">
      <c r="A201" s="80"/>
      <c r="B201" s="80"/>
    </row>
    <row r="202" spans="1:7" x14ac:dyDescent="0.35">
      <c r="A202" s="80"/>
      <c r="B202" s="80"/>
    </row>
    <row r="203" spans="1:7" x14ac:dyDescent="0.35">
      <c r="A203" s="80"/>
      <c r="B203" s="80"/>
    </row>
    <row r="204" spans="1:7" x14ac:dyDescent="0.35">
      <c r="A204" s="80"/>
      <c r="B204" s="80"/>
    </row>
    <row r="205" spans="1:7" x14ac:dyDescent="0.35">
      <c r="A205" s="80"/>
      <c r="B205" s="80"/>
    </row>
    <row r="206" spans="1:7" x14ac:dyDescent="0.35">
      <c r="A206" s="80"/>
      <c r="B206" s="80"/>
    </row>
    <row r="207" spans="1:7" x14ac:dyDescent="0.35">
      <c r="A207" s="80"/>
      <c r="B207" s="80"/>
    </row>
    <row r="208" spans="1:7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18" zoomScale="96" zoomScaleNormal="96" workbookViewId="0">
      <selection activeCell="AT138" sqref="AT138:AZ138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179687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1796875" bestFit="1" customWidth="1"/>
    <col min="37" max="37" width="10.54296875" bestFit="1" customWidth="1"/>
    <col min="38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6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6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6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6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6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6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6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6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6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6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>
        <v>3.39E-2</v>
      </c>
      <c r="Q127" s="86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>
        <v>2.5000000000000001E-2</v>
      </c>
      <c r="AI127" s="13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4">
        <v>3.2000000000000001E-2</v>
      </c>
      <c r="AU127" s="14">
        <v>3.78E-2</v>
      </c>
      <c r="AV127" s="14">
        <v>4.0800000000000003E-2</v>
      </c>
      <c r="AW127" s="14">
        <v>5.8400000000000001E-2</v>
      </c>
      <c r="AX127" s="14">
        <v>0.04</v>
      </c>
      <c r="AY127" s="14">
        <v>4.3999999999999997E-2</v>
      </c>
      <c r="AZ127" s="14">
        <v>3.6600000000000001E-2</v>
      </c>
      <c r="BA127" s="13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8">
        <v>5.1900000000000002E-2</v>
      </c>
      <c r="BM127" s="1"/>
      <c r="BN127" s="58">
        <v>6.2199999999999998E-2</v>
      </c>
      <c r="BO127" s="1"/>
      <c r="BP127" s="1"/>
      <c r="BQ127" s="1"/>
      <c r="BR127" s="58">
        <v>5.3600000000000002E-2</v>
      </c>
      <c r="BS127" s="13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>
        <v>3.4200000000000001E-2</v>
      </c>
      <c r="Q128" s="86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>
        <v>2.5000000000000001E-2</v>
      </c>
      <c r="AI128" s="13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4">
        <v>3.2000000000000001E-2</v>
      </c>
      <c r="AU128" s="14">
        <v>3.78E-2</v>
      </c>
      <c r="AV128" s="14">
        <v>4.0800000000000003E-2</v>
      </c>
      <c r="AW128" s="14">
        <v>5.8400000000000001E-2</v>
      </c>
      <c r="AX128" s="14">
        <v>0.04</v>
      </c>
      <c r="AY128" s="14">
        <v>4.3999999999999997E-2</v>
      </c>
      <c r="AZ128" s="14">
        <v>3.6600000000000001E-2</v>
      </c>
      <c r="BA128" s="13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8">
        <v>5.1900000000000002E-2</v>
      </c>
      <c r="BM128" s="1"/>
      <c r="BN128" s="58">
        <v>6.2199999999999998E-2</v>
      </c>
      <c r="BO128" s="1"/>
      <c r="BP128" s="1"/>
      <c r="BQ128" s="1"/>
      <c r="BR128" s="58">
        <v>5.3600000000000002E-2</v>
      </c>
      <c r="BS128" s="13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>
        <v>3.2899999999999999E-2</v>
      </c>
      <c r="Q129" s="86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>
        <v>2.5000000000000001E-2</v>
      </c>
      <c r="AI129" s="13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4">
        <v>3.2000000000000001E-2</v>
      </c>
      <c r="AU129" s="14">
        <v>3.78E-2</v>
      </c>
      <c r="AV129" s="14">
        <v>4.0800000000000003E-2</v>
      </c>
      <c r="AW129" s="14">
        <v>5.8400000000000001E-2</v>
      </c>
      <c r="AX129" s="14">
        <v>0.04</v>
      </c>
      <c r="AY129" s="14">
        <v>4.3999999999999997E-2</v>
      </c>
      <c r="AZ129" s="14">
        <v>3.6600000000000001E-2</v>
      </c>
      <c r="BA129" s="13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8">
        <v>5.1900000000000002E-2</v>
      </c>
      <c r="BM129" s="1"/>
      <c r="BN129" s="58">
        <v>6.2199999999999998E-2</v>
      </c>
      <c r="BO129" s="1"/>
      <c r="BP129" s="1"/>
      <c r="BQ129" s="1"/>
      <c r="BR129" s="58">
        <v>4.3200000000000002E-2</v>
      </c>
      <c r="BS129" s="13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>
        <v>3.5900000000000001E-2</v>
      </c>
      <c r="Q130" s="86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>
        <v>2.5000000000000001E-2</v>
      </c>
      <c r="AI130" s="13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4">
        <v>0.03</v>
      </c>
      <c r="AU130" s="14">
        <v>3.1899999999999998E-2</v>
      </c>
      <c r="AV130" s="14">
        <v>3.9E-2</v>
      </c>
      <c r="AW130" s="14">
        <v>5.7799999999999997E-2</v>
      </c>
      <c r="AX130" s="14">
        <v>4.4999999999999998E-2</v>
      </c>
      <c r="AY130" s="14">
        <v>4.1000000000000002E-2</v>
      </c>
      <c r="AZ130" s="14">
        <v>3.9800000000000002E-2</v>
      </c>
      <c r="BA130" s="13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8">
        <v>5.1900000000000002E-2</v>
      </c>
      <c r="BM130" s="1"/>
      <c r="BN130" s="58">
        <v>6.2199999999999998E-2</v>
      </c>
      <c r="BO130" s="1"/>
      <c r="BP130" s="1"/>
      <c r="BQ130" s="1"/>
      <c r="BR130" s="58">
        <v>4.3200000000000002E-2</v>
      </c>
      <c r="BS130" s="13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>
        <v>3.5499999999999997E-2</v>
      </c>
      <c r="Q131" s="86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>
        <v>2.5000000000000001E-2</v>
      </c>
      <c r="AI131" s="13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4">
        <v>3.2000000000000001E-2</v>
      </c>
      <c r="AU131" s="14">
        <v>4.2999999999999997E-2</v>
      </c>
      <c r="AV131" s="14">
        <v>4.1000000000000002E-2</v>
      </c>
      <c r="AW131" s="14">
        <v>5.8000000000000003E-2</v>
      </c>
      <c r="AX131" s="14">
        <v>4.9500000000000002E-2</v>
      </c>
      <c r="AY131" s="14">
        <v>5.5E-2</v>
      </c>
      <c r="AZ131" s="14">
        <v>3.9600000000000003E-2</v>
      </c>
      <c r="BA131" s="13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8">
        <v>4.87E-2</v>
      </c>
      <c r="BM131" s="1"/>
      <c r="BN131" s="58">
        <v>5.16E-2</v>
      </c>
      <c r="BO131" s="1"/>
      <c r="BP131" s="1"/>
      <c r="BQ131" s="1"/>
      <c r="BR131" s="58">
        <v>3.5900000000000001E-2</v>
      </c>
      <c r="BS131" s="13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>
        <v>3.6299999999999999E-2</v>
      </c>
      <c r="Q132" s="86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>
        <v>2.5000000000000001E-2</v>
      </c>
      <c r="AI132" s="13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4">
        <v>3.5000000000000003E-2</v>
      </c>
      <c r="AU132" s="14">
        <v>4.2999999999999997E-2</v>
      </c>
      <c r="AV132" s="14">
        <v>4.1000000000000002E-2</v>
      </c>
      <c r="AW132" s="14">
        <v>5.21E-2</v>
      </c>
      <c r="AX132" s="14">
        <v>4.8800000000000003E-2</v>
      </c>
      <c r="AY132" s="14">
        <v>5.9700000000000003E-2</v>
      </c>
      <c r="AZ132" s="14">
        <v>4.0300000000000002E-2</v>
      </c>
      <c r="BA132" s="13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8">
        <v>4.7E-2</v>
      </c>
      <c r="BM132" s="1"/>
      <c r="BN132" s="58">
        <v>5.4199999999999998E-2</v>
      </c>
      <c r="BO132" s="1"/>
      <c r="BP132" s="1"/>
      <c r="BQ132" s="1"/>
      <c r="BR132" s="58">
        <v>3.7600000000000001E-2</v>
      </c>
      <c r="BS132" s="13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8">
        <v>3.73E-2</v>
      </c>
      <c r="Q133" s="86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8">
        <v>2.5000000000000001E-2</v>
      </c>
      <c r="AI133" s="13">
        <f t="shared" ref="AI133:AI141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4">
        <v>3.49E-2</v>
      </c>
      <c r="AU133" s="14">
        <v>3.7999999999999999E-2</v>
      </c>
      <c r="AV133" s="14">
        <v>3.9899999999999998E-2</v>
      </c>
      <c r="AW133" s="14">
        <v>5.7599999999999998E-2</v>
      </c>
      <c r="AX133" s="14">
        <v>3.9100000000000003E-2</v>
      </c>
      <c r="AY133" s="14">
        <v>5.1999999999999998E-2</v>
      </c>
      <c r="AZ133" s="14">
        <v>4.1500000000000002E-2</v>
      </c>
      <c r="BA133" s="13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8">
        <v>4.6600000000000003E-2</v>
      </c>
      <c r="BM133" s="1"/>
      <c r="BN133" s="58">
        <v>5.3499999999999999E-2</v>
      </c>
      <c r="BO133" s="1"/>
      <c r="BP133" s="1"/>
      <c r="BQ133" s="1"/>
      <c r="BR133" s="58">
        <v>3.7100000000000001E-2</v>
      </c>
      <c r="BS133" s="13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8">
        <v>3.6900000000000002E-2</v>
      </c>
      <c r="Q134" s="86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8">
        <v>2.5000000000000001E-2</v>
      </c>
      <c r="AI134" s="13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4">
        <v>5.0999999999999997E-2</v>
      </c>
      <c r="AU134" s="14">
        <v>4.2799999999999998E-2</v>
      </c>
      <c r="AV134" s="14">
        <v>0.04</v>
      </c>
      <c r="AW134" s="14">
        <v>5.5899999999999998E-2</v>
      </c>
      <c r="AX134" s="14">
        <v>3.9100000000000003E-2</v>
      </c>
      <c r="AY134" s="14">
        <v>4.0099999999999997E-2</v>
      </c>
      <c r="AZ134" s="14">
        <v>4.1000000000000002E-2</v>
      </c>
      <c r="BA134" s="13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8">
        <v>4.5999999999999999E-2</v>
      </c>
      <c r="BM134" s="1"/>
      <c r="BN134" s="58">
        <v>5.4899999999999997E-2</v>
      </c>
      <c r="BO134" s="1"/>
      <c r="BP134" s="1"/>
      <c r="BQ134" s="1"/>
      <c r="BR134" s="58">
        <v>3.73E-2</v>
      </c>
      <c r="BS134" s="13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8">
        <v>3.7999999999999999E-2</v>
      </c>
      <c r="Q135" s="86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8">
        <v>2.5000000000000001E-2</v>
      </c>
      <c r="AI135" s="13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4">
        <v>5.0999999999999997E-2</v>
      </c>
      <c r="AU135" s="14">
        <v>4.2799999999999998E-2</v>
      </c>
      <c r="AV135" s="14">
        <v>0.04</v>
      </c>
      <c r="AW135" s="14">
        <v>5.5899999999999998E-2</v>
      </c>
      <c r="AX135" s="14">
        <v>3.9100000000000003E-2</v>
      </c>
      <c r="AY135" s="14">
        <v>4.0099999999999997E-2</v>
      </c>
      <c r="AZ135" s="14">
        <v>4.1000000000000002E-2</v>
      </c>
      <c r="BA135" s="13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8">
        <v>4.5999999999999999E-2</v>
      </c>
      <c r="BM135" s="1"/>
      <c r="BN135" s="58">
        <v>5.4899999999999997E-2</v>
      </c>
      <c r="BO135" s="1"/>
      <c r="BP135" s="1"/>
      <c r="BQ135" s="1"/>
      <c r="BR135" s="58">
        <v>3.7499999999999999E-2</v>
      </c>
      <c r="BS135" s="13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8">
        <v>3.8199999999999998E-2</v>
      </c>
      <c r="Q136" s="86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8">
        <v>2.5000000000000001E-2</v>
      </c>
      <c r="AI136" s="13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4">
        <v>5.0999999999999997E-2</v>
      </c>
      <c r="AU136" s="14">
        <v>4.2799999999999998E-2</v>
      </c>
      <c r="AV136" s="14">
        <v>0.04</v>
      </c>
      <c r="AW136" s="14">
        <v>5.5899999999999998E-2</v>
      </c>
      <c r="AX136" s="14">
        <v>3.9100000000000003E-2</v>
      </c>
      <c r="AY136" s="14">
        <v>4.0099999999999997E-2</v>
      </c>
      <c r="AZ136" s="14">
        <v>4.1000000000000002E-2</v>
      </c>
      <c r="BA136" s="13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8">
        <v>4.5999999999999999E-2</v>
      </c>
      <c r="BM136" s="1"/>
      <c r="BN136" s="58">
        <v>5.4899999999999997E-2</v>
      </c>
      <c r="BO136" s="1"/>
      <c r="BP136" s="1"/>
      <c r="BQ136" s="1"/>
      <c r="BR136" s="58">
        <v>3.8199999999999998E-2</v>
      </c>
      <c r="BS136" s="13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8">
        <v>3.7600000000000001E-2</v>
      </c>
      <c r="Q137" s="86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8">
        <v>2.5000000000000001E-2</v>
      </c>
      <c r="AI137" s="13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4">
        <v>3.5000000000000003E-2</v>
      </c>
      <c r="AU137" s="14">
        <v>0.04</v>
      </c>
      <c r="AV137" s="14">
        <v>4.4999999999999998E-2</v>
      </c>
      <c r="AW137" s="14">
        <v>5.5E-2</v>
      </c>
      <c r="AX137" s="14">
        <v>4.4900000000000002E-2</v>
      </c>
      <c r="AY137" s="14">
        <v>4.0099999999999997E-2</v>
      </c>
      <c r="AZ137" s="14">
        <v>4.2000000000000003E-2</v>
      </c>
      <c r="BA137" s="13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8">
        <v>4.6300000000000001E-2</v>
      </c>
      <c r="BM137" s="1"/>
      <c r="BN137" s="58">
        <v>5.5599999999999997E-2</v>
      </c>
      <c r="BO137" s="1"/>
      <c r="BP137" s="1"/>
      <c r="BQ137" s="1"/>
      <c r="BR137" s="58">
        <v>3.8600000000000002E-2</v>
      </c>
      <c r="BS137" s="13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8">
        <v>3.7600000000000001E-2</v>
      </c>
      <c r="Q138" s="86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8">
        <v>2.5000000000000001E-2</v>
      </c>
      <c r="AI138" s="13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4">
        <v>3.49E-2</v>
      </c>
      <c r="AU138" s="14">
        <v>0.04</v>
      </c>
      <c r="AV138" s="14">
        <v>4.1000000000000002E-2</v>
      </c>
      <c r="AW138" s="14">
        <v>4.2900000000000001E-2</v>
      </c>
      <c r="AX138" s="14">
        <v>4.2900000000000001E-2</v>
      </c>
      <c r="AY138" s="14">
        <v>4.0099999999999997E-2</v>
      </c>
      <c r="AZ138" s="14">
        <v>4.19E-2</v>
      </c>
      <c r="BA138" s="13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8">
        <v>4.7399999999999998E-2</v>
      </c>
      <c r="BM138" s="1"/>
      <c r="BN138" s="58">
        <v>5.6899999999999999E-2</v>
      </c>
      <c r="BO138" s="1"/>
      <c r="BP138" s="1"/>
      <c r="BQ138" s="1"/>
      <c r="BR138" s="58">
        <v>3.9399999999999998E-2</v>
      </c>
      <c r="BS138" s="13">
        <f t="shared" si="15"/>
        <v>2.4399999999999998E-2</v>
      </c>
    </row>
    <row r="139" spans="1:71" x14ac:dyDescent="0.35">
      <c r="A139" s="4">
        <v>46212</v>
      </c>
      <c r="B139" s="3"/>
      <c r="C139" s="3"/>
      <c r="D139" s="3"/>
      <c r="E139" s="3"/>
      <c r="F139" s="3"/>
      <c r="G139" s="3"/>
      <c r="H139" s="9"/>
      <c r="I139" s="2">
        <v>46212</v>
      </c>
      <c r="J139" s="1"/>
      <c r="K139" s="1"/>
      <c r="L139" s="1"/>
      <c r="M139" s="1"/>
      <c r="N139" s="1"/>
      <c r="O139" s="1"/>
      <c r="P139" s="58"/>
      <c r="Q139" s="86">
        <f t="shared" si="12"/>
        <v>0</v>
      </c>
      <c r="S139" s="4">
        <v>46212</v>
      </c>
      <c r="T139" s="3"/>
      <c r="U139" s="3"/>
      <c r="V139" s="3"/>
      <c r="W139" s="3"/>
      <c r="X139" s="6"/>
      <c r="Y139" s="3"/>
      <c r="Z139" s="6"/>
      <c r="AA139" s="2">
        <v>46212</v>
      </c>
      <c r="AB139" s="1"/>
      <c r="AC139" s="1"/>
      <c r="AD139" s="1"/>
      <c r="AE139" s="1"/>
      <c r="AF139" s="1"/>
      <c r="AG139" s="1"/>
      <c r="AH139" s="58"/>
      <c r="AI139" s="13">
        <f t="shared" si="13"/>
        <v>0</v>
      </c>
      <c r="AK139" s="4">
        <v>46212</v>
      </c>
      <c r="AL139" s="6"/>
      <c r="AM139" s="3"/>
      <c r="AN139" s="3"/>
      <c r="AO139" s="3"/>
      <c r="AP139" s="3"/>
      <c r="AQ139" s="3"/>
      <c r="AR139" s="6"/>
      <c r="AS139" s="2">
        <v>46212</v>
      </c>
      <c r="AT139" s="14"/>
      <c r="AU139" s="14"/>
      <c r="AV139" s="14"/>
      <c r="AW139" s="14"/>
      <c r="AX139" s="14"/>
      <c r="AY139" s="14"/>
      <c r="AZ139" s="14"/>
      <c r="BA139" s="13">
        <f t="shared" si="14"/>
        <v>0</v>
      </c>
      <c r="BC139" s="4">
        <v>46212</v>
      </c>
      <c r="BD139" s="6"/>
      <c r="BE139" s="6"/>
      <c r="BF139" s="6"/>
      <c r="BG139" s="3"/>
      <c r="BH139" s="3"/>
      <c r="BI139" s="3"/>
      <c r="BJ139" s="6"/>
      <c r="BK139" s="2">
        <v>46212</v>
      </c>
      <c r="BL139" s="58"/>
      <c r="BM139" s="1"/>
      <c r="BN139" s="58"/>
      <c r="BO139" s="1"/>
      <c r="BP139" s="1"/>
      <c r="BQ139" s="1"/>
      <c r="BR139" s="58"/>
      <c r="BS139" s="13">
        <f t="shared" si="15"/>
        <v>0</v>
      </c>
    </row>
    <row r="140" spans="1:71" x14ac:dyDescent="0.35">
      <c r="A140" s="4">
        <v>46213</v>
      </c>
      <c r="B140" s="3"/>
      <c r="C140" s="3"/>
      <c r="D140" s="3"/>
      <c r="E140" s="3"/>
      <c r="F140" s="3"/>
      <c r="G140" s="3"/>
      <c r="H140" s="9"/>
      <c r="I140" s="2">
        <v>46213</v>
      </c>
      <c r="J140" s="1"/>
      <c r="K140" s="1"/>
      <c r="L140" s="1"/>
      <c r="M140" s="1"/>
      <c r="N140" s="1"/>
      <c r="O140" s="1"/>
      <c r="P140" s="58"/>
      <c r="Q140" s="86">
        <f t="shared" si="12"/>
        <v>0</v>
      </c>
      <c r="S140" s="4">
        <v>46213</v>
      </c>
      <c r="T140" s="3"/>
      <c r="U140" s="3"/>
      <c r="V140" s="3"/>
      <c r="W140" s="3"/>
      <c r="X140" s="6"/>
      <c r="Y140" s="3"/>
      <c r="Z140" s="6"/>
      <c r="AA140" s="2">
        <v>46213</v>
      </c>
      <c r="AB140" s="1"/>
      <c r="AC140" s="1"/>
      <c r="AD140" s="1"/>
      <c r="AE140" s="1"/>
      <c r="AF140" s="1"/>
      <c r="AG140" s="1"/>
      <c r="AH140" s="58"/>
      <c r="AI140" s="13">
        <f t="shared" si="13"/>
        <v>0</v>
      </c>
      <c r="AK140" s="4">
        <v>46213</v>
      </c>
      <c r="AL140" s="6"/>
      <c r="AM140" s="3"/>
      <c r="AN140" s="3"/>
      <c r="AO140" s="3"/>
      <c r="AP140" s="3"/>
      <c r="AQ140" s="3"/>
      <c r="AR140" s="6"/>
      <c r="AS140" s="2">
        <v>46213</v>
      </c>
      <c r="AT140" s="14"/>
      <c r="AU140" s="14"/>
      <c r="AV140" s="14"/>
      <c r="AW140" s="14"/>
      <c r="AX140" s="14"/>
      <c r="AY140" s="14"/>
      <c r="AZ140" s="14"/>
      <c r="BA140" s="13">
        <f t="shared" si="14"/>
        <v>0</v>
      </c>
      <c r="BC140" s="4">
        <v>46213</v>
      </c>
      <c r="BD140" s="6"/>
      <c r="BE140" s="6"/>
      <c r="BF140" s="6"/>
      <c r="BG140" s="3"/>
      <c r="BH140" s="3"/>
      <c r="BI140" s="3"/>
      <c r="BJ140" s="6"/>
      <c r="BK140" s="2">
        <v>46213</v>
      </c>
      <c r="BL140" s="58"/>
      <c r="BM140" s="1"/>
      <c r="BN140" s="58"/>
      <c r="BO140" s="1"/>
      <c r="BP140" s="1"/>
      <c r="BQ140" s="1"/>
      <c r="BR140" s="58"/>
      <c r="BS140" s="13">
        <f t="shared" si="15"/>
        <v>0</v>
      </c>
    </row>
    <row r="141" spans="1:71" x14ac:dyDescent="0.35">
      <c r="A141" s="4">
        <v>46214</v>
      </c>
      <c r="B141" s="3"/>
      <c r="C141" s="3"/>
      <c r="D141" s="3"/>
      <c r="E141" s="3"/>
      <c r="F141" s="3"/>
      <c r="G141" s="3"/>
      <c r="H141" s="9"/>
      <c r="I141" s="2">
        <v>46214</v>
      </c>
      <c r="J141" s="1"/>
      <c r="K141" s="1"/>
      <c r="L141" s="1"/>
      <c r="M141" s="1"/>
      <c r="N141" s="1"/>
      <c r="O141" s="1"/>
      <c r="P141" s="58"/>
      <c r="Q141" s="86">
        <f t="shared" si="12"/>
        <v>0</v>
      </c>
      <c r="S141" s="4">
        <v>46214</v>
      </c>
      <c r="T141" s="3"/>
      <c r="U141" s="3"/>
      <c r="V141" s="3"/>
      <c r="W141" s="3"/>
      <c r="X141" s="6"/>
      <c r="Y141" s="3"/>
      <c r="Z141" s="6"/>
      <c r="AA141" s="2">
        <v>46214</v>
      </c>
      <c r="AB141" s="1"/>
      <c r="AC141" s="1"/>
      <c r="AD141" s="1"/>
      <c r="AE141" s="1"/>
      <c r="AF141" s="1"/>
      <c r="AG141" s="1"/>
      <c r="AH141" s="58"/>
      <c r="AI141" s="13">
        <f t="shared" si="13"/>
        <v>0</v>
      </c>
      <c r="AK141" s="4">
        <v>46214</v>
      </c>
      <c r="AL141" s="6"/>
      <c r="AM141" s="3"/>
      <c r="AN141" s="3"/>
      <c r="AO141" s="3"/>
      <c r="AP141" s="3"/>
      <c r="AQ141" s="3"/>
      <c r="AR141" s="6"/>
      <c r="AS141" s="2">
        <v>46214</v>
      </c>
      <c r="AT141" s="14"/>
      <c r="AU141" s="14"/>
      <c r="AV141" s="14"/>
      <c r="AW141" s="14"/>
      <c r="AX141" s="14"/>
      <c r="AY141" s="14"/>
      <c r="AZ141" s="14"/>
      <c r="BA141" s="13">
        <f t="shared" si="14"/>
        <v>0</v>
      </c>
      <c r="BC141" s="4">
        <v>46214</v>
      </c>
      <c r="BD141" s="6"/>
      <c r="BE141" s="6"/>
      <c r="BF141" s="6"/>
      <c r="BG141" s="3"/>
      <c r="BH141" s="3"/>
      <c r="BI141" s="3"/>
      <c r="BJ141" s="6"/>
      <c r="BK141" s="2">
        <v>46214</v>
      </c>
      <c r="BL141" s="58"/>
      <c r="BM141" s="1"/>
      <c r="BN141" s="58"/>
      <c r="BO141" s="1"/>
      <c r="BP141" s="1"/>
      <c r="BQ141" s="1"/>
      <c r="BR141" s="58"/>
      <c r="BS141" s="13">
        <f t="shared" si="15"/>
        <v>0</v>
      </c>
    </row>
    <row r="1048576" spans="34:42" x14ac:dyDescent="0.35">
      <c r="AH1048576" s="60"/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1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111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110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109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108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107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106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105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104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103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102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101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100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99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98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97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96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95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94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93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92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91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30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28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Data'!AR127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Data'!Z127</f>
        <v>1.6299999999999999E-2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5.4653120929969511E-2</v>
      </c>
      <c r="D5" s="56">
        <v>6.2199999999999998E-2</v>
      </c>
      <c r="E5" s="56">
        <f t="shared" si="2"/>
        <v>5.4841641376906967E-2</v>
      </c>
      <c r="F5" s="56">
        <f t="shared" si="2"/>
        <v>5.4965056522566016E-2</v>
      </c>
      <c r="G5" s="56">
        <f t="shared" si="2"/>
        <v>5.5337527987590028E-2</v>
      </c>
      <c r="H5" s="57">
        <v>5.4600000000000003E-2</v>
      </c>
      <c r="I5" s="74">
        <f t="shared" si="1"/>
        <v>5.6113770425693321E-2</v>
      </c>
      <c r="J5" s="75"/>
      <c r="K5" s="68">
        <f>H5-'Daily Data'!BJ127</f>
        <v>3.4300000000000004E-2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3.3909447023868777E-2</v>
      </c>
      <c r="C8" s="52">
        <f t="shared" ref="C8:G8" si="5">((1+$I8)^(C2/365)-1)*365/C2</f>
        <v>3.3920472988498589E-2</v>
      </c>
      <c r="D8" s="52">
        <f t="shared" si="5"/>
        <v>3.3945693147479895E-2</v>
      </c>
      <c r="E8" s="52">
        <f t="shared" si="5"/>
        <v>3.3993048356382727E-2</v>
      </c>
      <c r="F8" s="52">
        <f t="shared" si="5"/>
        <v>3.4040491647770316E-2</v>
      </c>
      <c r="G8" s="52">
        <f t="shared" si="5"/>
        <v>3.4183351862080429E-2</v>
      </c>
      <c r="H8" s="53">
        <v>3.39E-2</v>
      </c>
      <c r="I8" s="74">
        <f t="shared" si="1"/>
        <v>3.4479524999688094E-2</v>
      </c>
      <c r="J8" s="75"/>
      <c r="K8" s="68">
        <f>H8-'Daily Data'!H127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Data'!AR128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Data'!Z128</f>
        <v>9.1999999999999998E-3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5.3651192366085794E-2</v>
      </c>
      <c r="D5" s="56">
        <v>6.2199999999999998E-2</v>
      </c>
      <c r="E5" s="56">
        <f t="shared" si="2"/>
        <v>5.3832858749404591E-2</v>
      </c>
      <c r="F5" s="56">
        <f t="shared" si="2"/>
        <v>5.3951778611946395E-2</v>
      </c>
      <c r="G5" s="56">
        <f t="shared" si="2"/>
        <v>5.4310643676858256E-2</v>
      </c>
      <c r="H5" s="57">
        <v>5.3600000000000002E-2</v>
      </c>
      <c r="I5" s="74">
        <f t="shared" si="1"/>
        <v>5.5058340892861102E-2</v>
      </c>
      <c r="J5" s="75"/>
      <c r="K5" s="68">
        <f>H5-'Daily Data'!BJ128</f>
        <v>3.4299999999999997E-2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Data'!H128</f>
        <v>2.3E-2</v>
      </c>
    </row>
    <row r="9" spans="1:11" ht="23.15" customHeight="1" x14ac:dyDescent="0.5">
      <c r="A9" s="51" t="s">
        <v>61</v>
      </c>
      <c r="B9" s="56">
        <f>((1+$I9)^(B2/365)-1)*365/B2</f>
        <v>3.430967129548395E-2</v>
      </c>
      <c r="C9" s="56">
        <f t="shared" ref="C9:G9" si="6">((1+$I9)^(C2/365)-1)*365/C2</f>
        <v>3.4320959069194204E-2</v>
      </c>
      <c r="D9" s="56">
        <f t="shared" si="6"/>
        <v>3.4346778292231983E-2</v>
      </c>
      <c r="E9" s="56">
        <f t="shared" si="6"/>
        <v>3.4395259162604379E-2</v>
      </c>
      <c r="F9" s="56">
        <f t="shared" si="6"/>
        <v>3.4443831274714017E-2</v>
      </c>
      <c r="G9" s="56">
        <f t="shared" si="6"/>
        <v>3.459009699547997E-2</v>
      </c>
      <c r="H9" s="53">
        <v>3.4299999999999997E-2</v>
      </c>
      <c r="I9" s="74">
        <f t="shared" si="1"/>
        <v>3.4893360908936799E-2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Data'!AR129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Data'!Z129</f>
        <v>9.9000000000000008E-3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3.290889785714822E-2</v>
      </c>
      <c r="C8" s="52">
        <f t="shared" ref="C8:G8" si="5">((1+$I8)^(C2/365)-1)*365/C2</f>
        <v>3.2919282746055836E-2</v>
      </c>
      <c r="D8" s="52">
        <f t="shared" si="5"/>
        <v>3.2943036046151376E-2</v>
      </c>
      <c r="E8" s="52">
        <f t="shared" si="5"/>
        <v>3.2987635099189561E-2</v>
      </c>
      <c r="F8" s="52">
        <f t="shared" si="5"/>
        <v>3.3032314657883019E-2</v>
      </c>
      <c r="G8" s="52">
        <f t="shared" si="5"/>
        <v>3.3166838004525655E-2</v>
      </c>
      <c r="H8" s="53">
        <v>3.2899999999999999E-2</v>
      </c>
      <c r="I8" s="74">
        <f t="shared" si="1"/>
        <v>3.3445657100777071E-2</v>
      </c>
      <c r="J8" s="75"/>
      <c r="K8" s="68">
        <f>H8-'Daily Data'!H129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3.4209614980849228E-2</v>
      </c>
      <c r="C9" s="56">
        <f t="shared" ref="C9:G9" si="6">((1+$I9)^(C2/365)-1)*365/C2</f>
        <v>3.4220837014135107E-2</v>
      </c>
      <c r="D9" s="56">
        <f t="shared" si="6"/>
        <v>3.4246505811097595E-2</v>
      </c>
      <c r="E9" s="56">
        <f t="shared" si="6"/>
        <v>3.4294704023164348E-2</v>
      </c>
      <c r="F9" s="56">
        <f t="shared" si="6"/>
        <v>3.4342992680180727E-2</v>
      </c>
      <c r="G9" s="56">
        <f t="shared" si="6"/>
        <v>3.4488403232455951E-2</v>
      </c>
      <c r="H9" s="53">
        <v>3.4200000000000001E-2</v>
      </c>
      <c r="I9" s="74">
        <f t="shared" si="1"/>
        <v>3.4789886456186414E-2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3.1899999999999998E-2</v>
      </c>
      <c r="D3" s="55">
        <v>3.9E-2</v>
      </c>
      <c r="E3" s="55">
        <v>5.7799999999999997E-2</v>
      </c>
      <c r="F3" s="55">
        <v>4.4999999999999998E-2</v>
      </c>
      <c r="G3" s="55">
        <v>4.1000000000000002E-2</v>
      </c>
      <c r="H3" s="53">
        <v>3.9800000000000002E-2</v>
      </c>
      <c r="I3" s="74">
        <f>(1+H3/365)^365-1</f>
        <v>4.0600374996768718E-2</v>
      </c>
      <c r="J3" s="75"/>
      <c r="K3" s="68">
        <f>H3-'Daily Data'!AR130</f>
        <v>2.6000000000000002E-2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Data'!Z130</f>
        <v>8.8000000000000023E-3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3.5299999999999998E-2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3.5910594695506913E-2</v>
      </c>
      <c r="C8" s="52">
        <f t="shared" ref="C8:G8" si="5">((1+$I8)^(C2/365)-1)*365/C2</f>
        <v>3.5922960443012478E-2</v>
      </c>
      <c r="D8" s="52">
        <f t="shared" si="5"/>
        <v>3.5951246333042218E-2</v>
      </c>
      <c r="E8" s="52">
        <f t="shared" si="5"/>
        <v>3.6004362447270476E-2</v>
      </c>
      <c r="F8" s="52">
        <f t="shared" si="5"/>
        <v>3.6057583196594925E-2</v>
      </c>
      <c r="G8" s="52">
        <f t="shared" si="5"/>
        <v>3.6217875576784582E-2</v>
      </c>
      <c r="H8" s="53">
        <v>3.5900000000000001E-2</v>
      </c>
      <c r="I8" s="74">
        <f t="shared" si="1"/>
        <v>3.6550356185158339E-2</v>
      </c>
      <c r="J8" s="75"/>
      <c r="K8" s="68">
        <f>H8-'Daily Data'!H130</f>
        <v>2.23E-2</v>
      </c>
    </row>
    <row r="9" spans="1:11" ht="23.15" customHeight="1" x14ac:dyDescent="0.5">
      <c r="A9" s="51" t="s">
        <v>61</v>
      </c>
      <c r="B9" s="56">
        <f>((1+$I9)^(B2/365)-1)*365/B2</f>
        <v>3.6811132610262698E-2</v>
      </c>
      <c r="C9" s="56">
        <f t="shared" ref="C9:G9" si="6">((1+$I9)^(C2/365)-1)*365/C2</f>
        <v>3.6824126331346081E-2</v>
      </c>
      <c r="D9" s="56">
        <f t="shared" si="6"/>
        <v>3.6853849234498227E-2</v>
      </c>
      <c r="E9" s="56">
        <f t="shared" si="6"/>
        <v>3.6909665927788916E-2</v>
      </c>
      <c r="F9" s="56">
        <f t="shared" si="6"/>
        <v>3.6965595336695314E-2</v>
      </c>
      <c r="G9" s="56">
        <f t="shared" si="6"/>
        <v>3.7134062420906062E-2</v>
      </c>
      <c r="H9" s="53">
        <v>3.6799999999999999E-2</v>
      </c>
      <c r="I9" s="74">
        <f t="shared" si="1"/>
        <v>3.7483578454069244E-2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4.2999999999999997E-2</v>
      </c>
      <c r="D3" s="55">
        <v>4.1000000000000002E-2</v>
      </c>
      <c r="E3" s="55">
        <v>5.8000000000000003E-2</v>
      </c>
      <c r="F3" s="55">
        <v>4.9500000000000002E-2</v>
      </c>
      <c r="G3" s="55">
        <v>5.5E-2</v>
      </c>
      <c r="H3" s="53">
        <v>3.9600000000000003E-2</v>
      </c>
      <c r="I3" s="74">
        <f>(1+H3/365)^365-1</f>
        <v>4.0392298362033729E-2</v>
      </c>
      <c r="J3" s="75"/>
      <c r="K3" s="68">
        <f>H3-'Daily Data'!AR131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Data'!Z131</f>
        <v>8.5000000000000006E-3</v>
      </c>
    </row>
    <row r="5" spans="1:11" ht="23.15" customHeight="1" x14ac:dyDescent="0.5">
      <c r="A5" s="51" t="s">
        <v>17</v>
      </c>
      <c r="B5" s="56">
        <v>4.87E-2</v>
      </c>
      <c r="C5" s="56">
        <f t="shared" ref="C5:G5" si="2">((1+$I5)^(C2/365)-1)*365/C2</f>
        <v>3.5922960443012478E-2</v>
      </c>
      <c r="D5" s="56">
        <v>5.16E-2</v>
      </c>
      <c r="E5" s="56">
        <f t="shared" si="2"/>
        <v>3.6004362447270476E-2</v>
      </c>
      <c r="F5" s="56">
        <f t="shared" si="2"/>
        <v>3.6057583196594925E-2</v>
      </c>
      <c r="G5" s="56">
        <f t="shared" si="2"/>
        <v>3.6217875576784582E-2</v>
      </c>
      <c r="H5" s="57">
        <v>3.5900000000000001E-2</v>
      </c>
      <c r="I5" s="74">
        <f t="shared" si="1"/>
        <v>3.6550356185158339E-2</v>
      </c>
      <c r="J5" s="75"/>
      <c r="K5" s="68">
        <f>H5-'Daily Data'!BJ131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3.6999999999999998E-2</v>
      </c>
      <c r="C7" s="52">
        <f t="shared" ref="C7:G7" si="4">((1+$I7)^(C2/365)-1)*365/C2</f>
        <v>3.5222073609817203E-2</v>
      </c>
      <c r="D7" s="52">
        <v>3.8699999999999998E-2</v>
      </c>
      <c r="E7" s="52">
        <f t="shared" si="4"/>
        <v>3.5300328557368831E-2</v>
      </c>
      <c r="F7" s="52">
        <f t="shared" si="4"/>
        <v>3.5351489269211729E-2</v>
      </c>
      <c r="G7" s="52">
        <f t="shared" si="4"/>
        <v>3.5505565298553574E-2</v>
      </c>
      <c r="H7" s="53">
        <v>3.5200000000000002E-2</v>
      </c>
      <c r="I7" s="74">
        <f t="shared" si="1"/>
        <v>3.582509544513357E-2</v>
      </c>
      <c r="J7" s="75"/>
      <c r="K7" s="68">
        <f>H7-1.06%</f>
        <v>2.4600000000000004E-2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Data'!H131</f>
        <v>2.1999999999999999E-2</v>
      </c>
    </row>
    <row r="9" spans="1:11" ht="23.15" customHeight="1" x14ac:dyDescent="0.5">
      <c r="A9" s="51" t="s">
        <v>61</v>
      </c>
      <c r="B9" s="56">
        <f>((1+$I9)^(B2/365)-1)*365/B2</f>
        <v>3.7111314875581947E-2</v>
      </c>
      <c r="C9" s="56">
        <f t="shared" ref="C9:G9" si="6">((1+$I9)^(C2/365)-1)*365/C2</f>
        <v>3.7124521379478526E-2</v>
      </c>
      <c r="D9" s="56">
        <f t="shared" si="6"/>
        <v>3.7154731209908344E-2</v>
      </c>
      <c r="E9" s="56">
        <f t="shared" si="6"/>
        <v>3.7211463020234627E-2</v>
      </c>
      <c r="F9" s="56">
        <f t="shared" si="6"/>
        <v>3.7268310329474294E-2</v>
      </c>
      <c r="G9" s="56">
        <f t="shared" si="6"/>
        <v>3.7439547899246244E-2</v>
      </c>
      <c r="H9" s="53">
        <v>3.7100000000000001E-2</v>
      </c>
      <c r="I9" s="74">
        <f t="shared" si="1"/>
        <v>3.7794838704558797E-2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4.1000000000000002E-2</v>
      </c>
      <c r="E3" s="55">
        <v>5.21E-2</v>
      </c>
      <c r="F3" s="55">
        <v>4.8800000000000003E-2</v>
      </c>
      <c r="G3" s="55">
        <v>5.9700000000000003E-2</v>
      </c>
      <c r="H3" s="53">
        <v>4.0300000000000002E-2</v>
      </c>
      <c r="I3" s="74">
        <f>(1+H3/365)^365-1</f>
        <v>4.1120748168237853E-2</v>
      </c>
      <c r="J3" s="75"/>
      <c r="K3" s="68">
        <f>H3-'Daily Data'!AR132</f>
        <v>2.4800000000000003E-2</v>
      </c>
    </row>
    <row r="4" spans="1:11" ht="23.15" customHeight="1" x14ac:dyDescent="0.5">
      <c r="A4" s="51" t="s">
        <v>15</v>
      </c>
      <c r="B4" s="56">
        <f>((1+$I4)^(B2/365)-1)*365/B2</f>
        <v>2.5035149911084891E-2</v>
      </c>
      <c r="C4" s="56">
        <f t="shared" ref="C4:G4" si="0">((1+$I4)^(C2/365)-1)*365/C2</f>
        <v>2.5041159926311014E-2</v>
      </c>
      <c r="D4" s="56">
        <f t="shared" si="0"/>
        <v>2.5054904328822736E-2</v>
      </c>
      <c r="E4" s="56">
        <f t="shared" si="0"/>
        <v>2.5080702201325855E-2</v>
      </c>
      <c r="F4" s="56">
        <f t="shared" si="0"/>
        <v>2.5106535490993349E-2</v>
      </c>
      <c r="G4" s="56">
        <f t="shared" si="0"/>
        <v>2.5184248410435296E-2</v>
      </c>
      <c r="H4" s="57">
        <v>2.503E-2</v>
      </c>
      <c r="I4" s="74">
        <f t="shared" ref="I4:I9" si="1">(1+H4/365)^365-1</f>
        <v>2.5345000507333015E-2</v>
      </c>
      <c r="J4" s="75"/>
      <c r="K4" s="68">
        <f>H4-'Daily Data'!Z132</f>
        <v>7.4299999999999991E-3</v>
      </c>
    </row>
    <row r="5" spans="1:11" ht="23.15" customHeight="1" x14ac:dyDescent="0.5">
      <c r="A5" s="51" t="s">
        <v>17</v>
      </c>
      <c r="B5" s="56">
        <v>3.6600000000000001E-2</v>
      </c>
      <c r="C5" s="56">
        <f t="shared" ref="C5:G5" si="2">((1+$I5)^(C2/365)-1)*365/C2</f>
        <v>3.762518692503198E-2</v>
      </c>
      <c r="D5" s="56">
        <v>3.8399999999999997E-2</v>
      </c>
      <c r="E5" s="56">
        <f t="shared" si="2"/>
        <v>3.7714490694561884E-2</v>
      </c>
      <c r="F5" s="56">
        <f t="shared" si="2"/>
        <v>3.7772884523489474E-2</v>
      </c>
      <c r="G5" s="56">
        <f t="shared" si="2"/>
        <v>3.7948790239201682E-2</v>
      </c>
      <c r="H5" s="57">
        <v>3.7600000000000001E-2</v>
      </c>
      <c r="I5" s="74">
        <f t="shared" si="1"/>
        <v>3.8313812750667031E-2</v>
      </c>
      <c r="J5" s="75"/>
      <c r="K5" s="68">
        <f>H5-'Daily Data'!Z132</f>
        <v>0.02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3.6600000000000001E-2</v>
      </c>
      <c r="C7" s="52">
        <f t="shared" ref="C7:G7" si="4">((1+$I7)^(C2/365)-1)*365/C2</f>
        <v>3.4921698887096272E-2</v>
      </c>
      <c r="D7" s="52">
        <v>3.8399999999999997E-2</v>
      </c>
      <c r="E7" s="52">
        <f t="shared" si="4"/>
        <v>3.4998624130466095E-2</v>
      </c>
      <c r="F7" s="52">
        <f t="shared" si="4"/>
        <v>3.5048914474249737E-2</v>
      </c>
      <c r="G7" s="52">
        <f t="shared" si="4"/>
        <v>3.52003643051041E-2</v>
      </c>
      <c r="H7" s="53">
        <v>3.49E-2</v>
      </c>
      <c r="I7" s="74">
        <f t="shared" si="1"/>
        <v>3.5514424352408591E-2</v>
      </c>
      <c r="J7" s="75"/>
      <c r="K7" s="68">
        <f>H7-1.06%</f>
        <v>2.4300000000000002E-2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Data'!H132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3.7999999999999999E-2</v>
      </c>
      <c r="D3" s="55">
        <v>3.9899999999999998E-2</v>
      </c>
      <c r="E3" s="55">
        <v>5.7599999999999998E-2</v>
      </c>
      <c r="F3" s="55">
        <v>3.9100000000000003E-2</v>
      </c>
      <c r="G3" s="55">
        <v>5.1999999999999998E-2</v>
      </c>
      <c r="H3" s="53">
        <v>4.1500000000000002E-2</v>
      </c>
      <c r="I3" s="74">
        <f>(1+H3/365)^365-1</f>
        <v>4.237070282542077E-2</v>
      </c>
      <c r="J3" s="75"/>
      <c r="K3" s="68">
        <f>H3-'Daily Data'!AR133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Data'!Z133</f>
        <v>7.6000000000000026E-3</v>
      </c>
    </row>
    <row r="5" spans="1:11" ht="23.15" customHeight="1" x14ac:dyDescent="0.5">
      <c r="A5" s="51" t="s">
        <v>17</v>
      </c>
      <c r="B5" s="56">
        <v>4.6600000000000003E-2</v>
      </c>
      <c r="C5" s="56">
        <f t="shared" ref="C5:G5" si="2">((1+$I5)^(C2/365)-1)*365/C2</f>
        <v>3.7124521379478526E-2</v>
      </c>
      <c r="D5" s="56">
        <v>5.3499999999999999E-2</v>
      </c>
      <c r="E5" s="56">
        <f t="shared" si="2"/>
        <v>3.7211463020234627E-2</v>
      </c>
      <c r="F5" s="56">
        <f t="shared" si="2"/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Data'!BJ133</f>
        <v>2.2100000000000002E-2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3.8100000000000002E-2</v>
      </c>
      <c r="C7" s="52">
        <f t="shared" ref="C7:G7" si="4">((1+$I7)^(C2/365)-1)*365/C2</f>
        <v>3.6323475049729645E-2</v>
      </c>
      <c r="D7" s="56">
        <v>3.9899999999999998E-2</v>
      </c>
      <c r="E7" s="52">
        <f t="shared" si="4"/>
        <v>3.6406703291771501E-2</v>
      </c>
      <c r="F7" s="52">
        <f t="shared" si="4"/>
        <v>3.6461119549689336E-2</v>
      </c>
      <c r="G7" s="52">
        <f t="shared" si="4"/>
        <v>3.6625019812009267E-2</v>
      </c>
      <c r="H7" s="53">
        <v>3.6299999999999999E-2</v>
      </c>
      <c r="I7" s="74">
        <f t="shared" si="1"/>
        <v>3.6965018242766767E-2</v>
      </c>
      <c r="J7" s="75"/>
      <c r="K7" s="68">
        <f>H7-1.06%</f>
        <v>2.5700000000000001E-2</v>
      </c>
    </row>
    <row r="8" spans="1:11" ht="23.15" customHeight="1" x14ac:dyDescent="0.4">
      <c r="A8" s="51" t="s">
        <v>62</v>
      </c>
      <c r="B8" s="52">
        <f>((1+$I8)^(B2/365)-1)*365/B2</f>
        <v>3.7311437208140515E-2</v>
      </c>
      <c r="C8" s="52">
        <f t="shared" ref="C8:G8" si="5">((1+$I8)^(C2/365)-1)*365/C2</f>
        <v>3.7324786527908681E-2</v>
      </c>
      <c r="D8" s="52">
        <f t="shared" si="5"/>
        <v>3.735532317743958E-2</v>
      </c>
      <c r="E8" s="52">
        <f t="shared" si="5"/>
        <v>3.7412669211809337E-2</v>
      </c>
      <c r="F8" s="52">
        <f t="shared" si="5"/>
        <v>3.74701326258867E-2</v>
      </c>
      <c r="G8" s="52">
        <f t="shared" si="5"/>
        <v>3.7643229852613126E-2</v>
      </c>
      <c r="H8" s="53">
        <v>3.73E-2</v>
      </c>
      <c r="I8" s="74">
        <f t="shared" si="1"/>
        <v>3.8002397273573685E-2</v>
      </c>
      <c r="J8" s="75"/>
      <c r="K8" s="68">
        <f>H8-'Daily Data'!H133</f>
        <v>2.24E-2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3.7324786527908681E-2</v>
      </c>
      <c r="D5" s="56">
        <v>5.4899999999999997E-2</v>
      </c>
      <c r="E5" s="56">
        <f t="shared" si="2"/>
        <v>3.7412669211809337E-2</v>
      </c>
      <c r="F5" s="56">
        <f t="shared" si="2"/>
        <v>3.74701326258867E-2</v>
      </c>
      <c r="G5" s="56">
        <f t="shared" si="2"/>
        <v>3.7643229852613126E-2</v>
      </c>
      <c r="H5" s="57">
        <v>3.73E-2</v>
      </c>
      <c r="I5" s="74">
        <f t="shared" si="1"/>
        <v>3.8002397273573685E-2</v>
      </c>
      <c r="J5" s="75"/>
      <c r="K5" s="68">
        <f>H5-'Daily Data'!BJ134</f>
        <v>2.3400000000000001E-2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3.9800000000000002E-2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Data'!H134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 t="s">
        <v>72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3.801187055273008E-2</v>
      </c>
      <c r="C8" s="52">
        <f t="shared" ref="C8:F8" si="5">((1+$I8)^(C2/365)-1)*365/C2</f>
        <v>3.8025725780286922E-2</v>
      </c>
      <c r="D8" s="52">
        <f t="shared" si="5"/>
        <v>3.8057420163112088E-2</v>
      </c>
      <c r="E8" s="52">
        <f t="shared" si="5"/>
        <v>3.8116942104048458E-2</v>
      </c>
      <c r="F8" s="52">
        <f t="shared" si="5"/>
        <v>3.8176588168356236E-2</v>
      </c>
      <c r="G8" s="52">
        <f>((1+$I8)^(G2/365)-1)*365/G2</f>
        <v>3.8356274017090804E-2</v>
      </c>
      <c r="H8" s="53">
        <v>3.7999999999999999E-2</v>
      </c>
      <c r="I8" s="74">
        <f t="shared" si="1"/>
        <v>3.8729178327362002E-2</v>
      </c>
      <c r="J8" s="75"/>
      <c r="K8" s="68">
        <f>H8-'Daily Data'!H134</f>
        <v>2.35E-2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3.9199999999999999E-2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3.8211995845654566E-2</v>
      </c>
      <c r="C8" s="52">
        <f t="shared" ref="C8:G8" si="5">((1+$I8)^(C2/365)-1)*365/C2</f>
        <v>3.8225997347559368E-2</v>
      </c>
      <c r="D8" s="52">
        <f t="shared" si="5"/>
        <v>3.8258026473317185E-2</v>
      </c>
      <c r="E8" s="52">
        <f t="shared" si="5"/>
        <v>3.8318177566042645E-2</v>
      </c>
      <c r="F8" s="52">
        <f t="shared" si="5"/>
        <v>3.837845475532109E-2</v>
      </c>
      <c r="G8" s="52">
        <f t="shared" si="5"/>
        <v>3.8560045880042144E-2</v>
      </c>
      <c r="H8" s="53">
        <v>3.8199999999999998E-2</v>
      </c>
      <c r="I8" s="74">
        <f t="shared" si="1"/>
        <v>3.8936923251637001E-2</v>
      </c>
      <c r="J8" s="75"/>
      <c r="K8" s="68">
        <f>H8-'Daily Data'!H134</f>
        <v>2.3699999999999999E-2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0.04</v>
      </c>
      <c r="D3" s="55">
        <v>4.4999999999999998E-2</v>
      </c>
      <c r="E3" s="55">
        <v>5.5E-2</v>
      </c>
      <c r="F3" s="55">
        <v>4.4900000000000002E-2</v>
      </c>
      <c r="G3" s="55">
        <v>4.0099999999999997E-2</v>
      </c>
      <c r="H3" s="53">
        <v>4.2000000000000003E-2</v>
      </c>
      <c r="I3" s="74">
        <f>(1+H3/365)^365-1</f>
        <v>4.2891958856924539E-2</v>
      </c>
      <c r="J3" s="75"/>
      <c r="K3" s="68">
        <f>H3-'Daily Data'!AR137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Data'!Z137</f>
        <v>6.7000000000000011E-3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Data'!BJ137</f>
        <v>2.4100000000000003E-2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3.78E-2</v>
      </c>
      <c r="C7" s="56">
        <f t="shared" ref="C7:G7" si="4">((1+$I7)^(C2/365)-1)*365/C2</f>
        <v>3.6023088559835527E-2</v>
      </c>
      <c r="D7" s="56">
        <v>3.9600000000000003E-2</v>
      </c>
      <c r="E7" s="56">
        <f t="shared" si="4"/>
        <v>3.6104945219826261E-2</v>
      </c>
      <c r="F7" s="56">
        <f t="shared" si="4"/>
        <v>3.6158463595416697E-2</v>
      </c>
      <c r="G7" s="56">
        <f t="shared" si="4"/>
        <v>3.6319654148926378E-2</v>
      </c>
      <c r="H7" s="53">
        <v>3.5999999999999997E-2</v>
      </c>
      <c r="I7" s="74">
        <f t="shared" si="1"/>
        <v>3.6654006194406952E-2</v>
      </c>
      <c r="J7" s="75"/>
      <c r="K7" s="68">
        <f>H7-1.06%</f>
        <v>2.5399999999999999E-2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Data'!H137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3.9512826285834003E-2</v>
      </c>
      <c r="C9" s="56">
        <f t="shared" ref="C9:G9" si="6">((1+$I9)^(C2/365)-1)*365/C2</f>
        <v>3.9527797305134844E-2</v>
      </c>
      <c r="D9" s="56">
        <f t="shared" si="6"/>
        <v>3.9562045185176621E-2</v>
      </c>
      <c r="E9" s="56">
        <f t="shared" si="6"/>
        <v>3.9626366640761357E-2</v>
      </c>
      <c r="F9" s="56">
        <f t="shared" si="6"/>
        <v>3.969082753132306E-2</v>
      </c>
      <c r="G9" s="56">
        <f t="shared" si="6"/>
        <v>3.9885050217776455E-2</v>
      </c>
      <c r="H9" s="53">
        <v>3.95E-2</v>
      </c>
      <c r="I9" s="74">
        <f t="shared" si="1"/>
        <v>4.0288275604905666E-2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tabSelected="1"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0.04</v>
      </c>
      <c r="D3" s="55">
        <v>4.1000000000000002E-2</v>
      </c>
      <c r="E3" s="55">
        <v>4.2900000000000001E-2</v>
      </c>
      <c r="F3" s="55">
        <v>4.2900000000000001E-2</v>
      </c>
      <c r="G3" s="55">
        <v>4.0099999999999997E-2</v>
      </c>
      <c r="H3" s="53">
        <v>4.19E-2</v>
      </c>
      <c r="I3" s="74">
        <f>(1+H3/365)^365-1</f>
        <v>4.2787686858843488E-2</v>
      </c>
      <c r="J3" s="75"/>
      <c r="K3" s="68">
        <f>H3-'Daily Data'!AR138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Data'!Z138</f>
        <v>6.7000000000000011E-3</v>
      </c>
    </row>
    <row r="5" spans="1:11" ht="23.15" customHeight="1" x14ac:dyDescent="0.5">
      <c r="A5" s="51" t="s">
        <v>17</v>
      </c>
      <c r="B5" s="56">
        <v>4.7399999999999998E-2</v>
      </c>
      <c r="C5" s="56">
        <f t="shared" ref="C5:G5" si="2">((1+$I5)^(C2/365)-1)*365/C2</f>
        <v>3.9427656707190346E-2</v>
      </c>
      <c r="D5" s="56">
        <v>5.6899999999999999E-2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Data'!BJ138</f>
        <v>2.4399999999999998E-2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3.9699999999999999E-2</v>
      </c>
      <c r="C7" s="56">
        <f t="shared" ref="C7:G7" si="4">((1+$I7)^(C2/365)-1)*365/C2</f>
        <v>3.7825455639434812E-2</v>
      </c>
      <c r="D7" s="56">
        <v>4.1599999999999998E-2</v>
      </c>
      <c r="E7" s="56">
        <f t="shared" si="4"/>
        <v>3.7915713146943579E-2</v>
      </c>
      <c r="F7" s="56">
        <f t="shared" si="4"/>
        <v>3.7974731424557651E-2</v>
      </c>
      <c r="G7" s="56">
        <f t="shared" si="4"/>
        <v>3.8152522137446708E-2</v>
      </c>
      <c r="H7" s="53">
        <v>3.78E-2</v>
      </c>
      <c r="I7" s="74">
        <f t="shared" si="1"/>
        <v>3.8521474829770863E-2</v>
      </c>
      <c r="J7" s="75"/>
      <c r="K7" s="68">
        <f>H7-1.06%</f>
        <v>2.7200000000000002E-2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Data'!H138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4.0113218940828678E-2</v>
      </c>
      <c r="C9" s="56">
        <f t="shared" ref="C9:G9" si="6">((1+$I9)^(C2/365)-1)*365/C2</f>
        <v>4.0128648382387055E-2</v>
      </c>
      <c r="D9" s="56">
        <f t="shared" si="6"/>
        <v>4.0163945399559919E-2</v>
      </c>
      <c r="E9" s="56">
        <f t="shared" si="6"/>
        <v>4.0230238927370383E-2</v>
      </c>
      <c r="F9" s="56">
        <f t="shared" si="6"/>
        <v>4.0296678351598655E-2</v>
      </c>
      <c r="G9" s="56">
        <f t="shared" si="6"/>
        <v>4.0496875619757178E-2</v>
      </c>
      <c r="H9" s="53">
        <v>4.0099999999999997E-2</v>
      </c>
      <c r="I9" s="74">
        <f t="shared" si="1"/>
        <v>4.0912567765710728E-2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3 A4 H4 A5:H9">
    <cfRule type="expression" dxfId="2" priority="3">
      <formula>_xlfn.ISFORMULA(A1)</formula>
    </cfRule>
    <cfRule type="expression" priority="4">
      <formula>_xlfn.ISFORMULA(A1)</formula>
    </cfRule>
  </conditionalFormatting>
  <conditionalFormatting sqref="J1:J9 I1:I10 A10:F10">
    <cfRule type="expression" dxfId="1" priority="5">
      <formula>_xlfn.ISFORMULA(A1)</formula>
    </cfRule>
    <cfRule type="expression" priority="6">
      <formula>_xlfn.ISFORMULA(A1)</formula>
    </cfRule>
  </conditionalFormatting>
  <conditionalFormatting sqref="B4:G4">
    <cfRule type="expression" dxfId="0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113</vt:i4>
      </vt:variant>
    </vt:vector>
  </HeadingPairs>
  <TitlesOfParts>
    <vt:vector size="113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2026-07-08T07:53:25Z</dcterms:modified>
</cp:coreProperties>
</file>