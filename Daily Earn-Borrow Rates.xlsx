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omments172.xml" ContentType="application/vnd.openxmlformats-officedocument.spreadsheetml.comments+xml"/>
  <Override PartName="/xl/comments173.xml" ContentType="application/vnd.openxmlformats-officedocument.spreadsheetml.comments+xml"/>
  <Override PartName="/xl/comments174.xml" ContentType="application/vnd.openxmlformats-officedocument.spreadsheetml.comments+xml"/>
  <Override PartName="/xl/comments175.xml" ContentType="application/vnd.openxmlformats-officedocument.spreadsheetml.comments+xml"/>
  <Override PartName="/xl/comments176.xml" ContentType="application/vnd.openxmlformats-officedocument.spreadsheetml.comments+xml"/>
  <Override PartName="/xl/comments177.xml" ContentType="application/vnd.openxmlformats-officedocument.spreadsheetml.comments+xml"/>
  <Override PartName="/xl/comments178.xml" ContentType="application/vnd.openxmlformats-officedocument.spreadsheetml.comments+xml"/>
  <Override PartName="/xl/comments179.xml" ContentType="application/vnd.openxmlformats-officedocument.spreadsheetml.comments+xml"/>
  <Override PartName="/xl/comments180.xml" ContentType="application/vnd.openxmlformats-officedocument.spreadsheetml.comments+xml"/>
  <Override PartName="/xl/comments181.xml" ContentType="application/vnd.openxmlformats-officedocument.spreadsheetml.comments+xml"/>
  <Override PartName="/xl/comments182.xml" ContentType="application/vnd.openxmlformats-officedocument.spreadsheetml.comments+xml"/>
  <Override PartName="/xl/comments183.xml" ContentType="application/vnd.openxmlformats-officedocument.spreadsheetml.comments+xml"/>
  <Override PartName="/xl/comments184.xml" ContentType="application/vnd.openxmlformats-officedocument.spreadsheetml.comments+xml"/>
  <Override PartName="/xl/comments185.xml" ContentType="application/vnd.openxmlformats-officedocument.spreadsheetml.comments+xml"/>
  <Override PartName="/xl/comments186.xml" ContentType="application/vnd.openxmlformats-officedocument.spreadsheetml.comments+xml"/>
  <Override PartName="/xl/comments187.xml" ContentType="application/vnd.openxmlformats-officedocument.spreadsheetml.comments+xml"/>
  <Override PartName="/xl/comments18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EBBACE14-774A-4981-A215-275C82BA1D0D}" xr6:coauthVersionLast="47" xr6:coauthVersionMax="47" xr10:uidLastSave="{00000000-0000-0000-0000-000000000000}"/>
  <bookViews>
    <workbookView xWindow="-28920" yWindow="855" windowWidth="29040" windowHeight="17520" firstSheet="182" activeTab="190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  <sheet name="04.09.2026" sheetId="193" r:id="rId170"/>
    <sheet name="05.09.2026" sheetId="194" r:id="rId171"/>
    <sheet name="06.09.2026" sheetId="195" r:id="rId172"/>
    <sheet name="07.09.2026" sheetId="196" r:id="rId173"/>
    <sheet name="08.09.2026" sheetId="197" r:id="rId174"/>
    <sheet name="09.09.2026" sheetId="198" r:id="rId175"/>
    <sheet name="10.09.2026" sheetId="199" r:id="rId176"/>
    <sheet name="11.09.2026" sheetId="201" r:id="rId177"/>
    <sheet name="12.09.2026" sheetId="202" r:id="rId178"/>
    <sheet name="13.09.2026" sheetId="200" r:id="rId179"/>
    <sheet name="14.09.2026" sheetId="203" r:id="rId180"/>
    <sheet name="15.09.2026" sheetId="204" r:id="rId181"/>
    <sheet name="16.09.2026" sheetId="205" r:id="rId182"/>
    <sheet name="17.09.2026" sheetId="206" r:id="rId183"/>
    <sheet name="18.09.2026" sheetId="207" r:id="rId184"/>
    <sheet name="19.09.2026" sheetId="208" r:id="rId185"/>
    <sheet name="20.09.2026" sheetId="209" r:id="rId186"/>
    <sheet name="21.09.2026" sheetId="210" r:id="rId187"/>
    <sheet name="22.09.2026" sheetId="211" r:id="rId188"/>
    <sheet name="23.09.2026" sheetId="212" r:id="rId189"/>
    <sheet name="24.09.2026" sheetId="213" r:id="rId190"/>
    <sheet name="25.09.2026" sheetId="214" r:id="rId19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14" l="1"/>
  <c r="D9" i="214" s="1"/>
  <c r="K8" i="214"/>
  <c r="I8" i="214"/>
  <c r="B8" i="214" s="1"/>
  <c r="G8" i="214"/>
  <c r="F8" i="214"/>
  <c r="E8" i="214"/>
  <c r="D8" i="214"/>
  <c r="C8" i="214"/>
  <c r="K7" i="214"/>
  <c r="I7" i="214"/>
  <c r="G7" i="214" s="1"/>
  <c r="K6" i="214"/>
  <c r="I6" i="214"/>
  <c r="C6" i="214" s="1"/>
  <c r="G6" i="214"/>
  <c r="F6" i="214"/>
  <c r="E6" i="214"/>
  <c r="K5" i="214"/>
  <c r="I5" i="214"/>
  <c r="E5" i="214" s="1"/>
  <c r="G5" i="214"/>
  <c r="F5" i="214"/>
  <c r="K4" i="214"/>
  <c r="I4" i="214"/>
  <c r="F4" i="214" s="1"/>
  <c r="G4" i="214"/>
  <c r="K3" i="214"/>
  <c r="I3" i="214"/>
  <c r="I9" i="213"/>
  <c r="G9" i="213" s="1"/>
  <c r="B9" i="213"/>
  <c r="K8" i="213"/>
  <c r="I8" i="213"/>
  <c r="C8" i="213" s="1"/>
  <c r="K7" i="213"/>
  <c r="I7" i="213"/>
  <c r="G7" i="213"/>
  <c r="F7" i="213"/>
  <c r="E7" i="213"/>
  <c r="C7" i="213"/>
  <c r="K6" i="213"/>
  <c r="I6" i="213"/>
  <c r="F6" i="213" s="1"/>
  <c r="G6" i="213"/>
  <c r="K5" i="213"/>
  <c r="I5" i="213"/>
  <c r="G5" i="213" s="1"/>
  <c r="K4" i="213"/>
  <c r="I4" i="213"/>
  <c r="G4" i="213" s="1"/>
  <c r="D4" i="213"/>
  <c r="B4" i="213"/>
  <c r="K3" i="213"/>
  <c r="I3" i="213"/>
  <c r="I9" i="212"/>
  <c r="G9" i="212" s="1"/>
  <c r="K8" i="212"/>
  <c r="I8" i="212"/>
  <c r="G8" i="212" s="1"/>
  <c r="K7" i="212"/>
  <c r="I7" i="212"/>
  <c r="G7" i="212" s="1"/>
  <c r="K6" i="212"/>
  <c r="I6" i="212"/>
  <c r="G6" i="212"/>
  <c r="F6" i="212"/>
  <c r="E6" i="212"/>
  <c r="C6" i="212"/>
  <c r="K5" i="212"/>
  <c r="I5" i="212"/>
  <c r="C5" i="212" s="1"/>
  <c r="E5" i="212"/>
  <c r="K4" i="212"/>
  <c r="I4" i="212"/>
  <c r="G4" i="212"/>
  <c r="F4" i="212"/>
  <c r="E4" i="212"/>
  <c r="D4" i="212"/>
  <c r="C4" i="212"/>
  <c r="B4" i="212"/>
  <c r="K3" i="212"/>
  <c r="I3" i="212"/>
  <c r="I9" i="211"/>
  <c r="G9" i="211" s="1"/>
  <c r="K8" i="211"/>
  <c r="I8" i="211"/>
  <c r="F8" i="211" s="1"/>
  <c r="B8" i="211"/>
  <c r="K7" i="211"/>
  <c r="I7" i="211"/>
  <c r="G7" i="211" s="1"/>
  <c r="K6" i="211"/>
  <c r="I6" i="211"/>
  <c r="G6" i="211" s="1"/>
  <c r="K5" i="211"/>
  <c r="I5" i="211"/>
  <c r="G5" i="211" s="1"/>
  <c r="K4" i="211"/>
  <c r="I4" i="211"/>
  <c r="G4" i="211" s="1"/>
  <c r="K3" i="211"/>
  <c r="I3" i="211"/>
  <c r="G6" i="208"/>
  <c r="F6" i="208"/>
  <c r="E6" i="208"/>
  <c r="C6" i="208"/>
  <c r="G4" i="208"/>
  <c r="F4" i="208"/>
  <c r="E4" i="208"/>
  <c r="D4" i="208"/>
  <c r="C4" i="208"/>
  <c r="B4" i="208"/>
  <c r="C7" i="214" l="1"/>
  <c r="E7" i="214"/>
  <c r="F7" i="214"/>
  <c r="C5" i="214"/>
  <c r="B9" i="214"/>
  <c r="C9" i="214"/>
  <c r="E9" i="214"/>
  <c r="F9" i="214"/>
  <c r="G9" i="214"/>
  <c r="B4" i="214"/>
  <c r="C4" i="214"/>
  <c r="D4" i="214"/>
  <c r="E4" i="214"/>
  <c r="F5" i="212"/>
  <c r="C4" i="213"/>
  <c r="E4" i="213"/>
  <c r="F4" i="213"/>
  <c r="B8" i="213"/>
  <c r="C9" i="213"/>
  <c r="D8" i="213"/>
  <c r="E8" i="213"/>
  <c r="C5" i="213"/>
  <c r="F8" i="213"/>
  <c r="E5" i="213"/>
  <c r="G8" i="213"/>
  <c r="F5" i="213"/>
  <c r="C6" i="213"/>
  <c r="E6" i="213"/>
  <c r="E9" i="213"/>
  <c r="D9" i="213"/>
  <c r="F9" i="213"/>
  <c r="C7" i="212"/>
  <c r="E7" i="212"/>
  <c r="F7" i="212"/>
  <c r="B8" i="212"/>
  <c r="C8" i="212"/>
  <c r="D8" i="212"/>
  <c r="G5" i="212"/>
  <c r="E8" i="212"/>
  <c r="F8" i="212"/>
  <c r="B9" i="212"/>
  <c r="C9" i="212"/>
  <c r="D9" i="212"/>
  <c r="E9" i="212"/>
  <c r="F9" i="212"/>
  <c r="C7" i="211"/>
  <c r="E7" i="211"/>
  <c r="B4" i="211"/>
  <c r="F7" i="211"/>
  <c r="C4" i="211"/>
  <c r="D4" i="211"/>
  <c r="E4" i="211"/>
  <c r="F4" i="211"/>
  <c r="C8" i="211"/>
  <c r="G8" i="211"/>
  <c r="B9" i="211"/>
  <c r="C9" i="211"/>
  <c r="C6" i="211"/>
  <c r="D9" i="211"/>
  <c r="D8" i="211"/>
  <c r="E8" i="211"/>
  <c r="C5" i="211"/>
  <c r="E5" i="211"/>
  <c r="F5" i="211"/>
  <c r="E6" i="211"/>
  <c r="E9" i="211"/>
  <c r="F6" i="211"/>
  <c r="F9" i="211"/>
  <c r="I9" i="210"/>
  <c r="K8" i="210"/>
  <c r="I8" i="210"/>
  <c r="K7" i="210"/>
  <c r="I7" i="210"/>
  <c r="K6" i="210"/>
  <c r="I6" i="210"/>
  <c r="K5" i="210"/>
  <c r="I5" i="210"/>
  <c r="K4" i="210"/>
  <c r="I4" i="210"/>
  <c r="K3" i="210"/>
  <c r="I3" i="210"/>
  <c r="I9" i="209"/>
  <c r="K8" i="209"/>
  <c r="I8" i="209"/>
  <c r="K7" i="209"/>
  <c r="I7" i="209"/>
  <c r="K6" i="209"/>
  <c r="I6" i="209"/>
  <c r="K5" i="209"/>
  <c r="I5" i="209"/>
  <c r="K4" i="209"/>
  <c r="I4" i="209"/>
  <c r="K3" i="209"/>
  <c r="I3" i="209"/>
  <c r="I9" i="208"/>
  <c r="K8" i="208"/>
  <c r="I8" i="208"/>
  <c r="K7" i="208"/>
  <c r="I7" i="208"/>
  <c r="K6" i="208"/>
  <c r="I6" i="208"/>
  <c r="K5" i="208"/>
  <c r="I5" i="208"/>
  <c r="K4" i="208"/>
  <c r="I4" i="208"/>
  <c r="K3" i="208"/>
  <c r="I3" i="208"/>
  <c r="I9" i="207"/>
  <c r="G9" i="207" s="1"/>
  <c r="E9" i="207"/>
  <c r="K8" i="207"/>
  <c r="I8" i="207"/>
  <c r="G8" i="207" s="1"/>
  <c r="K7" i="207"/>
  <c r="I7" i="207"/>
  <c r="G7" i="207"/>
  <c r="F7" i="207"/>
  <c r="E7" i="207"/>
  <c r="C7" i="207"/>
  <c r="K6" i="207"/>
  <c r="I6" i="207"/>
  <c r="G6" i="207" s="1"/>
  <c r="K5" i="207"/>
  <c r="I5" i="207"/>
  <c r="G5" i="207"/>
  <c r="F5" i="207"/>
  <c r="E5" i="207"/>
  <c r="C5" i="207"/>
  <c r="K4" i="207"/>
  <c r="I4" i="207"/>
  <c r="C4" i="207" s="1"/>
  <c r="G4" i="207"/>
  <c r="E4" i="207"/>
  <c r="D4" i="207"/>
  <c r="B4" i="207"/>
  <c r="K3" i="207"/>
  <c r="I3" i="207"/>
  <c r="G9" i="206"/>
  <c r="F9" i="206"/>
  <c r="E9" i="206"/>
  <c r="D9" i="206"/>
  <c r="C9" i="206"/>
  <c r="B9" i="206"/>
  <c r="G8" i="206"/>
  <c r="F8" i="206"/>
  <c r="E8" i="206"/>
  <c r="D8" i="206"/>
  <c r="C8" i="206"/>
  <c r="B8" i="206"/>
  <c r="G7" i="206"/>
  <c r="F7" i="206"/>
  <c r="E7" i="206"/>
  <c r="C7" i="206"/>
  <c r="G6" i="206"/>
  <c r="F6" i="206"/>
  <c r="E6" i="206"/>
  <c r="C6" i="206"/>
  <c r="G5" i="206"/>
  <c r="F5" i="206"/>
  <c r="E5" i="206"/>
  <c r="C5" i="206"/>
  <c r="G4" i="206"/>
  <c r="F4" i="206"/>
  <c r="E4" i="206"/>
  <c r="D4" i="206"/>
  <c r="C4" i="206"/>
  <c r="B4" i="206"/>
  <c r="I9" i="206"/>
  <c r="K8" i="206"/>
  <c r="I8" i="206"/>
  <c r="K7" i="206"/>
  <c r="I7" i="206"/>
  <c r="K6" i="206"/>
  <c r="I6" i="206"/>
  <c r="K5" i="206"/>
  <c r="I5" i="206"/>
  <c r="K4" i="206"/>
  <c r="I4" i="206"/>
  <c r="K3" i="206"/>
  <c r="I3" i="206"/>
  <c r="I9" i="205"/>
  <c r="G9" i="205" s="1"/>
  <c r="E9" i="205"/>
  <c r="D9" i="205"/>
  <c r="C9" i="205"/>
  <c r="B9" i="205"/>
  <c r="K8" i="205"/>
  <c r="I8" i="205"/>
  <c r="G8" i="205"/>
  <c r="F8" i="205"/>
  <c r="E8" i="205"/>
  <c r="D8" i="205"/>
  <c r="C8" i="205"/>
  <c r="B8" i="205"/>
  <c r="K7" i="205"/>
  <c r="I7" i="205"/>
  <c r="G7" i="205"/>
  <c r="F7" i="205"/>
  <c r="E7" i="205"/>
  <c r="C7" i="205"/>
  <c r="K6" i="205"/>
  <c r="I6" i="205"/>
  <c r="G6" i="205" s="1"/>
  <c r="E6" i="205"/>
  <c r="C6" i="205"/>
  <c r="K5" i="205"/>
  <c r="I5" i="205"/>
  <c r="G5" i="205"/>
  <c r="F5" i="205"/>
  <c r="E5" i="205"/>
  <c r="C5" i="205"/>
  <c r="K4" i="205"/>
  <c r="I4" i="205"/>
  <c r="G4" i="205"/>
  <c r="F4" i="205"/>
  <c r="E4" i="205"/>
  <c r="D4" i="205"/>
  <c r="C4" i="205"/>
  <c r="B4" i="205"/>
  <c r="K3" i="205"/>
  <c r="I3" i="205"/>
  <c r="I9" i="204"/>
  <c r="G9" i="204" s="1"/>
  <c r="E9" i="204"/>
  <c r="K8" i="204"/>
  <c r="I8" i="204"/>
  <c r="G8" i="204"/>
  <c r="F8" i="204"/>
  <c r="E8" i="204"/>
  <c r="D8" i="204"/>
  <c r="C8" i="204"/>
  <c r="B8" i="204"/>
  <c r="K7" i="204"/>
  <c r="I7" i="204"/>
  <c r="G7" i="204"/>
  <c r="F7" i="204"/>
  <c r="E7" i="204"/>
  <c r="C7" i="204"/>
  <c r="K6" i="204"/>
  <c r="I6" i="204"/>
  <c r="G6" i="204" s="1"/>
  <c r="E6" i="204"/>
  <c r="C6" i="204"/>
  <c r="K5" i="204"/>
  <c r="I5" i="204"/>
  <c r="G5" i="204" s="1"/>
  <c r="F5" i="204"/>
  <c r="E5" i="204"/>
  <c r="C5" i="204"/>
  <c r="K4" i="204"/>
  <c r="I4" i="204"/>
  <c r="G4" i="204"/>
  <c r="F4" i="204"/>
  <c r="E4" i="204"/>
  <c r="D4" i="204"/>
  <c r="C4" i="204"/>
  <c r="B4" i="204"/>
  <c r="K3" i="204"/>
  <c r="I3" i="204"/>
  <c r="I9" i="203"/>
  <c r="F9" i="203" s="1"/>
  <c r="K8" i="203"/>
  <c r="I8" i="203"/>
  <c r="G8" i="203"/>
  <c r="F8" i="203"/>
  <c r="E8" i="203"/>
  <c r="D8" i="203"/>
  <c r="C8" i="203"/>
  <c r="B8" i="203"/>
  <c r="K7" i="203"/>
  <c r="I7" i="203"/>
  <c r="G7" i="203"/>
  <c r="F7" i="203"/>
  <c r="E7" i="203"/>
  <c r="C7" i="203"/>
  <c r="K6" i="203"/>
  <c r="I6" i="203"/>
  <c r="F6" i="203" s="1"/>
  <c r="G6" i="203"/>
  <c r="E6" i="203"/>
  <c r="C6" i="203"/>
  <c r="K5" i="203"/>
  <c r="I5" i="203"/>
  <c r="G5" i="203"/>
  <c r="F5" i="203"/>
  <c r="E5" i="203"/>
  <c r="C5" i="203"/>
  <c r="K4" i="203"/>
  <c r="I4" i="203"/>
  <c r="G4" i="203"/>
  <c r="F4" i="203"/>
  <c r="E4" i="203"/>
  <c r="D4" i="203"/>
  <c r="C4" i="203"/>
  <c r="B4" i="203"/>
  <c r="K3" i="203"/>
  <c r="I3" i="203"/>
  <c r="I9" i="200"/>
  <c r="G9" i="200" s="1"/>
  <c r="K8" i="200"/>
  <c r="I8" i="200"/>
  <c r="G8" i="200"/>
  <c r="F8" i="200"/>
  <c r="E8" i="200"/>
  <c r="D8" i="200"/>
  <c r="C8" i="200"/>
  <c r="B8" i="200"/>
  <c r="K7" i="200"/>
  <c r="I7" i="200"/>
  <c r="G7" i="200"/>
  <c r="F7" i="200"/>
  <c r="E7" i="200"/>
  <c r="C7" i="200"/>
  <c r="K6" i="200"/>
  <c r="I6" i="200"/>
  <c r="G6" i="200" s="1"/>
  <c r="K5" i="200"/>
  <c r="I5" i="200"/>
  <c r="G5" i="200" s="1"/>
  <c r="K4" i="200"/>
  <c r="I4" i="200"/>
  <c r="G4" i="200"/>
  <c r="F4" i="200"/>
  <c r="E4" i="200"/>
  <c r="D4" i="200"/>
  <c r="C4" i="200"/>
  <c r="B4" i="200"/>
  <c r="K3" i="200"/>
  <c r="I3" i="200"/>
  <c r="I9" i="202"/>
  <c r="G9" i="202" s="1"/>
  <c r="K8" i="202"/>
  <c r="I8" i="202"/>
  <c r="G8" i="202" s="1"/>
  <c r="F8" i="202"/>
  <c r="E8" i="202"/>
  <c r="D8" i="202"/>
  <c r="C8" i="202"/>
  <c r="B8" i="202"/>
  <c r="K7" i="202"/>
  <c r="I7" i="202"/>
  <c r="G7" i="202"/>
  <c r="F7" i="202"/>
  <c r="E7" i="202"/>
  <c r="C7" i="202"/>
  <c r="K6" i="202"/>
  <c r="I6" i="202"/>
  <c r="G6" i="202"/>
  <c r="F6" i="202"/>
  <c r="E6" i="202"/>
  <c r="C6" i="202"/>
  <c r="K5" i="202"/>
  <c r="I5" i="202"/>
  <c r="G5" i="202" s="1"/>
  <c r="C5" i="202"/>
  <c r="K4" i="202"/>
  <c r="I4" i="202"/>
  <c r="G4" i="202"/>
  <c r="F4" i="202"/>
  <c r="E4" i="202"/>
  <c r="D4" i="202"/>
  <c r="C4" i="202"/>
  <c r="B4" i="202"/>
  <c r="K3" i="202"/>
  <c r="I3" i="202"/>
  <c r="I9" i="201"/>
  <c r="G9" i="201" s="1"/>
  <c r="F9" i="201"/>
  <c r="E9" i="201"/>
  <c r="C9" i="201"/>
  <c r="B9" i="201"/>
  <c r="K8" i="201"/>
  <c r="I8" i="201"/>
  <c r="G8" i="201"/>
  <c r="F8" i="201"/>
  <c r="E8" i="201"/>
  <c r="D8" i="201"/>
  <c r="C8" i="201"/>
  <c r="B8" i="201"/>
  <c r="K7" i="201"/>
  <c r="I7" i="201"/>
  <c r="G7" i="201"/>
  <c r="F7" i="201"/>
  <c r="E7" i="201"/>
  <c r="C7" i="201"/>
  <c r="K6" i="201"/>
  <c r="I6" i="201"/>
  <c r="G6" i="201"/>
  <c r="F6" i="201"/>
  <c r="E6" i="201"/>
  <c r="C6" i="201"/>
  <c r="K5" i="201"/>
  <c r="I5" i="201"/>
  <c r="F5" i="201" s="1"/>
  <c r="G5" i="201"/>
  <c r="E5" i="201"/>
  <c r="C5" i="201"/>
  <c r="K4" i="201"/>
  <c r="I4" i="201"/>
  <c r="G4" i="201"/>
  <c r="F4" i="201"/>
  <c r="E4" i="201"/>
  <c r="D4" i="201"/>
  <c r="C4" i="201"/>
  <c r="B4" i="201"/>
  <c r="K3" i="201"/>
  <c r="I3" i="201"/>
  <c r="I9" i="199"/>
  <c r="F9" i="199" s="1"/>
  <c r="K8" i="199"/>
  <c r="I8" i="199"/>
  <c r="G8" i="199" s="1"/>
  <c r="F8" i="199"/>
  <c r="E8" i="199"/>
  <c r="D8" i="199"/>
  <c r="C8" i="199"/>
  <c r="B8" i="199"/>
  <c r="K7" i="199"/>
  <c r="I7" i="199"/>
  <c r="G7" i="199"/>
  <c r="F7" i="199"/>
  <c r="E7" i="199"/>
  <c r="C7" i="199"/>
  <c r="K6" i="199"/>
  <c r="I6" i="199"/>
  <c r="G6" i="199"/>
  <c r="F6" i="199"/>
  <c r="E6" i="199"/>
  <c r="C6" i="199"/>
  <c r="K5" i="199"/>
  <c r="I5" i="199"/>
  <c r="G5" i="199"/>
  <c r="F5" i="199"/>
  <c r="E5" i="199"/>
  <c r="C5" i="199"/>
  <c r="K4" i="199"/>
  <c r="I4" i="199"/>
  <c r="G4" i="199"/>
  <c r="F4" i="199"/>
  <c r="E4" i="199"/>
  <c r="D4" i="199"/>
  <c r="C4" i="199"/>
  <c r="B4" i="199"/>
  <c r="K3" i="199"/>
  <c r="I3" i="199"/>
  <c r="I9" i="198"/>
  <c r="G9" i="198" s="1"/>
  <c r="F9" i="198"/>
  <c r="E9" i="198"/>
  <c r="D9" i="198"/>
  <c r="C9" i="198"/>
  <c r="B9" i="198"/>
  <c r="K8" i="198"/>
  <c r="I8" i="198"/>
  <c r="G8" i="198"/>
  <c r="F8" i="198"/>
  <c r="E8" i="198"/>
  <c r="D8" i="198"/>
  <c r="C8" i="198"/>
  <c r="B8" i="198"/>
  <c r="K7" i="198"/>
  <c r="I7" i="198"/>
  <c r="G7" i="198"/>
  <c r="F7" i="198"/>
  <c r="E7" i="198"/>
  <c r="C7" i="198"/>
  <c r="K6" i="198"/>
  <c r="I6" i="198"/>
  <c r="G6" i="198" s="1"/>
  <c r="E6" i="198"/>
  <c r="C6" i="198"/>
  <c r="K5" i="198"/>
  <c r="I5" i="198"/>
  <c r="G5" i="198" s="1"/>
  <c r="F5" i="198"/>
  <c r="E5" i="198"/>
  <c r="C5" i="198"/>
  <c r="K4" i="198"/>
  <c r="I4" i="198"/>
  <c r="G4" i="198"/>
  <c r="F4" i="198"/>
  <c r="E4" i="198"/>
  <c r="D4" i="198"/>
  <c r="C4" i="198"/>
  <c r="B4" i="198"/>
  <c r="K3" i="198"/>
  <c r="I3" i="198"/>
  <c r="I9" i="197"/>
  <c r="F9" i="197" s="1"/>
  <c r="K8" i="197"/>
  <c r="I8" i="197"/>
  <c r="F8" i="197" s="1"/>
  <c r="G8" i="197"/>
  <c r="E8" i="197"/>
  <c r="D8" i="197"/>
  <c r="C8" i="197"/>
  <c r="B8" i="197"/>
  <c r="K7" i="197"/>
  <c r="I7" i="197"/>
  <c r="G7" i="197" s="1"/>
  <c r="K6" i="197"/>
  <c r="I6" i="197"/>
  <c r="F6" i="197" s="1"/>
  <c r="G6" i="197"/>
  <c r="K5" i="197"/>
  <c r="I5" i="197"/>
  <c r="G5" i="197"/>
  <c r="F5" i="197"/>
  <c r="E5" i="197"/>
  <c r="C5" i="197"/>
  <c r="K4" i="197"/>
  <c r="I4" i="197"/>
  <c r="G4" i="197"/>
  <c r="F4" i="197"/>
  <c r="E4" i="197"/>
  <c r="D4" i="197"/>
  <c r="C4" i="197"/>
  <c r="B4" i="197"/>
  <c r="K3" i="197"/>
  <c r="I3" i="197"/>
  <c r="BS200" i="10"/>
  <c r="BS199" i="10"/>
  <c r="AI200" i="10"/>
  <c r="Q200" i="10"/>
  <c r="I9" i="195"/>
  <c r="G9" i="195"/>
  <c r="F9" i="195"/>
  <c r="E9" i="195"/>
  <c r="D9" i="195"/>
  <c r="C9" i="195"/>
  <c r="B9" i="195"/>
  <c r="I8" i="195"/>
  <c r="F8" i="195" s="1"/>
  <c r="G8" i="195"/>
  <c r="I7" i="195"/>
  <c r="G7" i="195"/>
  <c r="F7" i="195"/>
  <c r="E7" i="195"/>
  <c r="C7" i="195"/>
  <c r="I6" i="195"/>
  <c r="E6" i="195" s="1"/>
  <c r="G6" i="195"/>
  <c r="F6" i="195"/>
  <c r="I5" i="195"/>
  <c r="G5" i="195"/>
  <c r="F5" i="195"/>
  <c r="E5" i="195"/>
  <c r="C5" i="195"/>
  <c r="I4" i="195"/>
  <c r="G4" i="195"/>
  <c r="F4" i="195"/>
  <c r="E4" i="195"/>
  <c r="D4" i="195"/>
  <c r="C4" i="195"/>
  <c r="B4" i="195"/>
  <c r="I3" i="195"/>
  <c r="BS198" i="10"/>
  <c r="BS197" i="10"/>
  <c r="AI197" i="10"/>
  <c r="AI198" i="10"/>
  <c r="AI199" i="10"/>
  <c r="Q199" i="10"/>
  <c r="Q198" i="10"/>
  <c r="Q197" i="10"/>
  <c r="I9" i="196"/>
  <c r="B9" i="196" s="1"/>
  <c r="G9" i="196"/>
  <c r="F9" i="196"/>
  <c r="E9" i="196"/>
  <c r="D9" i="196"/>
  <c r="C9" i="196"/>
  <c r="K8" i="196"/>
  <c r="I8" i="196"/>
  <c r="G8" i="196"/>
  <c r="F8" i="196"/>
  <c r="E8" i="196"/>
  <c r="D8" i="196"/>
  <c r="C8" i="196"/>
  <c r="B8" i="196"/>
  <c r="K7" i="196"/>
  <c r="I7" i="196"/>
  <c r="G7" i="196"/>
  <c r="F7" i="196"/>
  <c r="E7" i="196"/>
  <c r="C7" i="196"/>
  <c r="K6" i="196"/>
  <c r="I6" i="196"/>
  <c r="G6" i="196"/>
  <c r="F6" i="196"/>
  <c r="E6" i="196"/>
  <c r="C6" i="196"/>
  <c r="K5" i="196"/>
  <c r="I5" i="196"/>
  <c r="G5" i="196"/>
  <c r="F5" i="196"/>
  <c r="E5" i="196"/>
  <c r="C5" i="196"/>
  <c r="K4" i="196"/>
  <c r="I4" i="196"/>
  <c r="G4" i="196"/>
  <c r="F4" i="196"/>
  <c r="E4" i="196"/>
  <c r="D4" i="196"/>
  <c r="C4" i="196"/>
  <c r="B4" i="196"/>
  <c r="K3" i="196"/>
  <c r="I3" i="196"/>
  <c r="K8" i="195"/>
  <c r="K7" i="195"/>
  <c r="K6" i="195"/>
  <c r="K5" i="195"/>
  <c r="K4" i="195"/>
  <c r="K3" i="195"/>
  <c r="I9" i="194"/>
  <c r="G9" i="194" s="1"/>
  <c r="K8" i="194"/>
  <c r="I8" i="194"/>
  <c r="F8" i="194" s="1"/>
  <c r="G8" i="194"/>
  <c r="D8" i="194"/>
  <c r="C8" i="194"/>
  <c r="B8" i="194"/>
  <c r="K7" i="194"/>
  <c r="I7" i="194"/>
  <c r="G7" i="194" s="1"/>
  <c r="C7" i="194"/>
  <c r="K6" i="194"/>
  <c r="I6" i="194"/>
  <c r="G6" i="194" s="1"/>
  <c r="K5" i="194"/>
  <c r="I5" i="194"/>
  <c r="G5" i="194"/>
  <c r="F5" i="194"/>
  <c r="E5" i="194"/>
  <c r="C5" i="194"/>
  <c r="K4" i="194"/>
  <c r="I4" i="194"/>
  <c r="G4" i="194" s="1"/>
  <c r="F4" i="194"/>
  <c r="E4" i="194"/>
  <c r="D4" i="194"/>
  <c r="C4" i="194"/>
  <c r="B4" i="194"/>
  <c r="K3" i="194"/>
  <c r="I3" i="194"/>
  <c r="I9" i="193"/>
  <c r="F9" i="193" s="1"/>
  <c r="K8" i="193"/>
  <c r="I8" i="193"/>
  <c r="G8" i="193"/>
  <c r="F8" i="193"/>
  <c r="E8" i="193"/>
  <c r="D8" i="193"/>
  <c r="C8" i="193"/>
  <c r="B8" i="193"/>
  <c r="K7" i="193"/>
  <c r="I7" i="193"/>
  <c r="G7" i="193"/>
  <c r="F7" i="193"/>
  <c r="E7" i="193"/>
  <c r="C7" i="193"/>
  <c r="K6" i="193"/>
  <c r="I6" i="193"/>
  <c r="F6" i="193" s="1"/>
  <c r="G6" i="193"/>
  <c r="K5" i="193"/>
  <c r="I5" i="193"/>
  <c r="G5" i="193"/>
  <c r="F5" i="193"/>
  <c r="E5" i="193"/>
  <c r="C5" i="193"/>
  <c r="K4" i="193"/>
  <c r="I4" i="193"/>
  <c r="G4" i="193"/>
  <c r="F4" i="193"/>
  <c r="E4" i="193"/>
  <c r="D4" i="193"/>
  <c r="C4" i="193"/>
  <c r="B4" i="193"/>
  <c r="K3" i="193"/>
  <c r="I3" i="193"/>
  <c r="BS196" i="10"/>
  <c r="AI196" i="10"/>
  <c r="Q196" i="10"/>
  <c r="BS195" i="10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G7" i="210" l="1"/>
  <c r="F7" i="210"/>
  <c r="E7" i="210"/>
  <c r="C7" i="210"/>
  <c r="G5" i="210"/>
  <c r="F5" i="210"/>
  <c r="E5" i="210"/>
  <c r="C5" i="210"/>
  <c r="E8" i="210"/>
  <c r="C8" i="210"/>
  <c r="B8" i="210"/>
  <c r="G8" i="210"/>
  <c r="F8" i="210"/>
  <c r="D8" i="210"/>
  <c r="G9" i="210"/>
  <c r="F9" i="210"/>
  <c r="E9" i="210"/>
  <c r="D9" i="210"/>
  <c r="C9" i="210"/>
  <c r="B9" i="210"/>
  <c r="G6" i="210"/>
  <c r="F6" i="210"/>
  <c r="E6" i="210"/>
  <c r="C6" i="210"/>
  <c r="G4" i="210"/>
  <c r="F4" i="210"/>
  <c r="E4" i="210"/>
  <c r="D4" i="210"/>
  <c r="C4" i="210"/>
  <c r="B4" i="210"/>
  <c r="F7" i="209"/>
  <c r="C7" i="209"/>
  <c r="G7" i="209"/>
  <c r="E7" i="209"/>
  <c r="F6" i="209"/>
  <c r="C6" i="209"/>
  <c r="G6" i="209"/>
  <c r="E6" i="209"/>
  <c r="E5" i="209"/>
  <c r="F5" i="209"/>
  <c r="C5" i="209"/>
  <c r="G5" i="209"/>
  <c r="F8" i="209"/>
  <c r="D8" i="209"/>
  <c r="B8" i="209"/>
  <c r="G8" i="209"/>
  <c r="E8" i="209"/>
  <c r="C8" i="209"/>
  <c r="G4" i="209"/>
  <c r="C4" i="209"/>
  <c r="B4" i="209"/>
  <c r="F4" i="209"/>
  <c r="E4" i="209"/>
  <c r="D4" i="209"/>
  <c r="G9" i="209"/>
  <c r="C9" i="209"/>
  <c r="B9" i="209"/>
  <c r="F9" i="209"/>
  <c r="E9" i="209"/>
  <c r="D9" i="209"/>
  <c r="G9" i="208"/>
  <c r="F9" i="208"/>
  <c r="E9" i="208"/>
  <c r="D9" i="208"/>
  <c r="C9" i="208"/>
  <c r="B9" i="208"/>
  <c r="G8" i="208"/>
  <c r="D8" i="208"/>
  <c r="C8" i="208"/>
  <c r="B8" i="208"/>
  <c r="F8" i="208"/>
  <c r="E8" i="208"/>
  <c r="F7" i="208"/>
  <c r="C7" i="208"/>
  <c r="G7" i="208"/>
  <c r="E7" i="208"/>
  <c r="E5" i="208"/>
  <c r="G5" i="208"/>
  <c r="C5" i="208"/>
  <c r="F5" i="208"/>
  <c r="F6" i="207"/>
  <c r="F4" i="207"/>
  <c r="F9" i="207"/>
  <c r="B9" i="207"/>
  <c r="C9" i="207"/>
  <c r="B8" i="207"/>
  <c r="C8" i="207"/>
  <c r="D8" i="207"/>
  <c r="E8" i="207"/>
  <c r="F8" i="207"/>
  <c r="C6" i="207"/>
  <c r="E6" i="207"/>
  <c r="D9" i="207"/>
  <c r="F6" i="205"/>
  <c r="F9" i="205"/>
  <c r="E5" i="202"/>
  <c r="F5" i="202"/>
  <c r="B9" i="204"/>
  <c r="C9" i="204"/>
  <c r="D9" i="204"/>
  <c r="F6" i="204"/>
  <c r="F9" i="204"/>
  <c r="B9" i="203"/>
  <c r="E9" i="203"/>
  <c r="C9" i="203"/>
  <c r="D9" i="203"/>
  <c r="G9" i="203"/>
  <c r="B9" i="200"/>
  <c r="E5" i="200"/>
  <c r="C6" i="200"/>
  <c r="E6" i="200"/>
  <c r="F6" i="200"/>
  <c r="F9" i="200"/>
  <c r="C5" i="200"/>
  <c r="F5" i="200"/>
  <c r="C9" i="200"/>
  <c r="D9" i="200"/>
  <c r="E9" i="200"/>
  <c r="F9" i="202"/>
  <c r="B9" i="202"/>
  <c r="C9" i="202"/>
  <c r="D9" i="202"/>
  <c r="E9" i="202"/>
  <c r="D9" i="201"/>
  <c r="G9" i="199"/>
  <c r="B9" i="199"/>
  <c r="C9" i="199"/>
  <c r="D9" i="199"/>
  <c r="E9" i="199"/>
  <c r="F6" i="198"/>
  <c r="G9" i="197"/>
  <c r="E7" i="197"/>
  <c r="F7" i="197"/>
  <c r="C7" i="197"/>
  <c r="D9" i="197"/>
  <c r="E6" i="197"/>
  <c r="E9" i="197"/>
  <c r="B9" i="197"/>
  <c r="C9" i="197"/>
  <c r="C6" i="197"/>
  <c r="B8" i="195"/>
  <c r="C8" i="195"/>
  <c r="D8" i="195"/>
  <c r="E8" i="195"/>
  <c r="C6" i="195"/>
  <c r="F7" i="194"/>
  <c r="B9" i="194"/>
  <c r="E7" i="194"/>
  <c r="C9" i="194"/>
  <c r="D9" i="194"/>
  <c r="E8" i="194"/>
  <c r="C6" i="194"/>
  <c r="E6" i="194"/>
  <c r="E9" i="194"/>
  <c r="F6" i="194"/>
  <c r="F9" i="194"/>
  <c r="G9" i="193"/>
  <c r="B9" i="193"/>
  <c r="C9" i="193"/>
  <c r="C6" i="193"/>
  <c r="D9" i="193"/>
  <c r="E6" i="193"/>
  <c r="E9" i="193"/>
  <c r="B8" i="192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14F2BE3-F6A7-472E-9141-2E2DB9ACC1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DEABC9-2048-499D-B666-8187086F39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8EE7E2-BF2F-4183-A060-E64173007E3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B1FAFA4-38F5-4B0B-B571-FC24003473A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F7FD0-31D0-45AD-8301-B75D7271453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2245AE-5341-4158-8B33-435668D5A4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B3263C-8057-4920-8E5F-59D31CF0C6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81DCB8F-D419-4C8A-8F90-6AAE7EBF15B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D73E398-5AF4-4D18-87DD-1C90EBB82BD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3322D8-1162-453C-AED0-D26629DE7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0122B6A-8B14-4388-B720-CCAF9605E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44E2BA6-AB5B-4CAE-BAF8-3F42C69A23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A188E3-8759-47EB-A8D4-85F4443221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DD888A0-1EC6-4D33-9E80-E0E2A40729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A322753-F429-4E0F-BC41-33E7A42B09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34972AF-8DC5-48EB-AA0A-C1DCB5ED0FF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10FF63A-137A-4AA8-81C0-E1922F4CEAA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62432F-456F-47FB-8934-B4DCE4CEF8D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3AED46C-B0ED-4575-94D2-3B87A3D19A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E80DB7-D298-42CA-BD74-6081D78289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52C4E5-ABFA-458E-947B-D5C30F20B3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CAE7A4-1CF9-448B-9F5D-44B27D16456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<sst xmlns="http://schemas.openxmlformats.org/spreadsheetml/2006/main" count="8337" uniqueCount="76">
  <si>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</si>
  <si>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</si>
  <si>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</si>
  <si>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</si>
  <si>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</si>
  <si>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</si>
  <si>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</si>
  <si>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</si>
  <si>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</si>
  <si>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</si>
  <si>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</si>
  <si>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</si>
  <si>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</si>
  <si>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</si>
  <si>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</si>
  <si>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</si>
  <si>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</si>
  <si>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</si>
  <si>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</si>
  <si>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</si>
  <si>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</si>
  <si>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</si>
  <si>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</si>
  <si>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</si>
  <si>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</si>
  <si>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</si>
  <si>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</si>
  <si>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</si>
  <si>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</si>
  <si>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</si>
  <si>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</si>
  <si>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</si>
  <si>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</si>
  <si>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</si>
  <si>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</si>
  <si>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</si>
  <si>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</si>
  <si>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</si>
  <si>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</si>
  <si>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</si>
  <si>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</si>
  <si>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</si>
  <si>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</si>
  <si>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</si>
  <si>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</si>
  <si>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</si>
  <si>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</si>
  <si>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</si>
  <si>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</si>
  <si>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</si>
  <si>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</si>
  <si>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</si>
  <si>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</si>
  <si>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</si>
  <si>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</si>
  <si>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</si>
  <si>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</si>
  <si>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</si>
  <si>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</si>
  <si>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</si>
  <si>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</si>
  <si>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</si>
  <si>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</si>
  <si>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</si>
  <si>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</si>
  <si>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</si>
  <si>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</si>
  <si>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</si>
  <si>
    <t>18.09.20268</t>
  </si>
  <si>
    <t>19.09.20268</t>
  </si>
  <si>
    <t>20.09.20268</t>
  </si>
  <si>
    <t>21.09.20268</t>
  </si>
  <si>
    <t>22.09.20268</t>
  </si>
  <si>
    <t>23.09.20268</t>
  </si>
  <si>
    <t>24.09.20268</t>
  </si>
  <si>
    <t>25.09.20268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</si>
</sst>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3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theme" Target="theme/theme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styles" Target="style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calcChain" Target="calcChain.xml"/><Relationship Id="rId190" Type="http://schemas.openxmlformats.org/officeDocument/2006/relationships/worksheet" Target="worksheets/sheet190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28653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7.xml"/><Relationship Id="rId1" Type="http://schemas.openxmlformats.org/officeDocument/2006/relationships/vmlDrawing" Target="../drawings/vmlDrawing167.v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8.xml"/><Relationship Id="rId1" Type="http://schemas.openxmlformats.org/officeDocument/2006/relationships/vmlDrawing" Target="../drawings/vmlDrawing168.v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9.xml"/><Relationship Id="rId1" Type="http://schemas.openxmlformats.org/officeDocument/2006/relationships/vmlDrawing" Target="../drawings/vmlDrawing169.vml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2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1.xml"/><Relationship Id="rId1" Type="http://schemas.openxmlformats.org/officeDocument/2006/relationships/vmlDrawing" Target="../drawings/vmlDrawing171.vml"/></Relationships>
</file>

<file path=xl/worksheets/_rels/sheet1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2.xml"/><Relationship Id="rId1" Type="http://schemas.openxmlformats.org/officeDocument/2006/relationships/vmlDrawing" Target="../drawings/vmlDrawing172.vml"/></Relationships>
</file>

<file path=xl/worksheets/_rels/sheet1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3.xml"/><Relationship Id="rId1" Type="http://schemas.openxmlformats.org/officeDocument/2006/relationships/vmlDrawing" Target="../drawings/vmlDrawing173.vml"/></Relationships>
</file>

<file path=xl/worksheets/_rels/sheet1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4.xml"/><Relationship Id="rId1" Type="http://schemas.openxmlformats.org/officeDocument/2006/relationships/vmlDrawing" Target="../drawings/vmlDrawing174.vml"/></Relationships>
</file>

<file path=xl/worksheets/_rels/sheet1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5.xml"/><Relationship Id="rId1" Type="http://schemas.openxmlformats.org/officeDocument/2006/relationships/vmlDrawing" Target="../drawings/vmlDrawing175.vml"/></Relationships>
</file>

<file path=xl/worksheets/_rels/sheet1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6.xml"/><Relationship Id="rId1" Type="http://schemas.openxmlformats.org/officeDocument/2006/relationships/vmlDrawing" Target="../drawings/vmlDrawing176.vml"/></Relationships>
</file>

<file path=xl/worksheets/_rels/sheet1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7.xml"/><Relationship Id="rId1" Type="http://schemas.openxmlformats.org/officeDocument/2006/relationships/vmlDrawing" Target="../drawings/vmlDrawing177.vml"/></Relationships>
</file>

<file path=xl/worksheets/_rels/sheet1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8.xml"/><Relationship Id="rId1" Type="http://schemas.openxmlformats.org/officeDocument/2006/relationships/vmlDrawing" Target="../drawings/vmlDrawing178.vml"/></Relationships>
</file>

<file path=xl/worksheets/_rels/sheet1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9.xml"/><Relationship Id="rId1" Type="http://schemas.openxmlformats.org/officeDocument/2006/relationships/vmlDrawing" Target="../drawings/vmlDrawing179.vml"/></Relationships>
</file>

<file path=xl/worksheets/_rels/sheet1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0.xml"/><Relationship Id="rId1" Type="http://schemas.openxmlformats.org/officeDocument/2006/relationships/vmlDrawing" Target="../drawings/vmlDrawing180.vml"/></Relationships>
</file>

<file path=xl/worksheets/_rels/sheet1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1.xml"/><Relationship Id="rId1" Type="http://schemas.openxmlformats.org/officeDocument/2006/relationships/vmlDrawing" Target="../drawings/vmlDrawing181.vml"/></Relationships>
</file>

<file path=xl/worksheets/_rels/sheet1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2.xml"/><Relationship Id="rId1" Type="http://schemas.openxmlformats.org/officeDocument/2006/relationships/vmlDrawing" Target="../drawings/vmlDrawing182.vml"/></Relationships>
</file>

<file path=xl/worksheets/_rels/sheet1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3.xml"/><Relationship Id="rId1" Type="http://schemas.openxmlformats.org/officeDocument/2006/relationships/vmlDrawing" Target="../drawings/vmlDrawing183.vml"/></Relationships>
</file>

<file path=xl/worksheets/_rels/sheet1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4.xml"/><Relationship Id="rId1" Type="http://schemas.openxmlformats.org/officeDocument/2006/relationships/vmlDrawing" Target="../drawings/vmlDrawing184.vml"/></Relationships>
</file>

<file path=xl/worksheets/_rels/sheet1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5.xml"/><Relationship Id="rId1" Type="http://schemas.openxmlformats.org/officeDocument/2006/relationships/vmlDrawing" Target="../drawings/vmlDrawing185.vml"/></Relationships>
</file>

<file path=xl/worksheets/_rels/sheet1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6.xml"/><Relationship Id="rId1" Type="http://schemas.openxmlformats.org/officeDocument/2006/relationships/vmlDrawing" Target="../drawings/vmlDrawing186.vml"/></Relationships>
</file>

<file path=xl/worksheets/_rels/sheet1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7.xml"/><Relationship Id="rId1" Type="http://schemas.openxmlformats.org/officeDocument/2006/relationships/vmlDrawing" Target="../drawings/vmlDrawing187.vml"/></Relationships>
</file>

<file path=xl/worksheets/_rels/sheet1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8.xml"/><Relationship Id="rId1" Type="http://schemas.openxmlformats.org/officeDocument/2006/relationships/vmlDrawing" Target="../drawings/vmlDrawing18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47" zoomScale="115" zoomScaleNormal="115" workbookViewId="0">
      <selection activeCell="G252" sqref="G25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>
        <v>77341</v>
      </c>
    </row>
    <row r="248" spans="1:7" x14ac:dyDescent="0.35">
      <c r="A248" s="80">
        <v>46269</v>
      </c>
      <c r="B248" s="81">
        <v>5.2600000000000001E-2</v>
      </c>
      <c r="C248" s="22">
        <v>3.4599999999999999E-2</v>
      </c>
      <c r="D248" s="22">
        <v>4.9200000000000001E-2</v>
      </c>
      <c r="E248" s="22">
        <v>5.3499999999999999E-2</v>
      </c>
      <c r="F248" s="22">
        <v>5.8099999999999999E-2</v>
      </c>
      <c r="G248" s="88">
        <v>81270</v>
      </c>
    </row>
    <row r="249" spans="1:7" x14ac:dyDescent="0.35">
      <c r="A249" s="80">
        <v>46270</v>
      </c>
      <c r="B249" s="81">
        <v>5.1700000000000003E-2</v>
      </c>
      <c r="C249" s="22">
        <v>3.4599999999999999E-2</v>
      </c>
      <c r="D249" s="22">
        <v>4.8399999999999999E-2</v>
      </c>
      <c r="E249" s="81">
        <v>5.5E-2</v>
      </c>
      <c r="F249" s="22">
        <v>5.8099999999999999E-2</v>
      </c>
      <c r="G249" s="88">
        <v>79660</v>
      </c>
    </row>
    <row r="250" spans="1:7" x14ac:dyDescent="0.35">
      <c r="A250" s="80">
        <v>46271</v>
      </c>
      <c r="B250" s="81">
        <v>5.0900000000000001E-2</v>
      </c>
      <c r="C250" s="22">
        <v>3.4599999999999999E-2</v>
      </c>
      <c r="D250" s="22">
        <v>4.7600000000000003E-2</v>
      </c>
      <c r="E250" s="81">
        <v>5.3499999999999999E-2</v>
      </c>
      <c r="F250" s="22">
        <v>5.79E-2</v>
      </c>
      <c r="G250" s="88">
        <v>79831</v>
      </c>
    </row>
    <row r="251" spans="1:7" x14ac:dyDescent="0.35">
      <c r="A251" s="80">
        <v>46272</v>
      </c>
      <c r="B251" s="81">
        <v>5.1299999999999998E-2</v>
      </c>
      <c r="C251" s="22">
        <v>3.4599999999999999E-2</v>
      </c>
      <c r="D251" s="22">
        <v>4.8000000000000001E-2</v>
      </c>
      <c r="E251" s="81">
        <v>5.33E-2</v>
      </c>
      <c r="F251" s="22">
        <v>5.8099999999999999E-2</v>
      </c>
      <c r="G251" s="88">
        <v>80342</v>
      </c>
    </row>
    <row r="252" spans="1:7" x14ac:dyDescent="0.35">
      <c r="A252" s="80">
        <v>46273</v>
      </c>
      <c r="B252" s="81">
        <v>5.0900000000000001E-2</v>
      </c>
      <c r="C252" s="22">
        <v>3.4599999999999999E-2</v>
      </c>
      <c r="D252" s="22">
        <v>4.7600000000000003E-2</v>
      </c>
      <c r="E252" s="22">
        <v>5.3499999999999999E-2</v>
      </c>
      <c r="F252" s="22">
        <v>5.8099999999999999E-2</v>
      </c>
      <c r="G252" s="88"/>
    </row>
    <row r="253" spans="1:7" x14ac:dyDescent="0.35">
      <c r="A253" s="80">
        <v>46274</v>
      </c>
      <c r="B253" s="81"/>
      <c r="C253" s="22"/>
      <c r="D253" s="22"/>
      <c r="E253" s="22"/>
      <c r="F253" s="22"/>
      <c r="G253" s="88"/>
    </row>
    <row r="254" spans="1:7" x14ac:dyDescent="0.35">
      <c r="A254" s="80">
        <v>46275</v>
      </c>
      <c r="B254" s="81"/>
      <c r="C254" s="22"/>
      <c r="D254" s="22"/>
      <c r="E254" s="22"/>
      <c r="F254" s="22"/>
      <c r="G254" s="88"/>
    </row>
    <row r="255" spans="1:7" x14ac:dyDescent="0.35">
      <c r="A255" s="80">
        <v>46276</v>
      </c>
      <c r="B255" s="81"/>
      <c r="C255" s="22"/>
      <c r="D255" s="22"/>
      <c r="E255" s="22"/>
      <c r="F255" s="22"/>
      <c r="G255" s="88"/>
    </row>
    <row r="256" spans="1:7" x14ac:dyDescent="0.35">
      <c r="A256" s="80">
        <v>46277</v>
      </c>
      <c r="B256" s="81"/>
      <c r="C256" s="22"/>
      <c r="D256" s="22"/>
      <c r="E256" s="22"/>
      <c r="F256" s="22"/>
      <c r="G256" s="88"/>
    </row>
    <row r="257" spans="1:7" x14ac:dyDescent="0.35">
      <c r="A257" s="80">
        <v>46278</v>
      </c>
      <c r="B257" s="81"/>
      <c r="C257" s="22"/>
      <c r="D257" s="22"/>
      <c r="E257" s="22"/>
      <c r="F257" s="22"/>
      <c r="G257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Z189" zoomScaleNormal="100" workbookViewId="0">
      <selection activeCell="AT200" sqref="AT200:AZ20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20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200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>
        <v>3.0599999999999999E-2</v>
      </c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>
        <v>5.3900000000000003E-2</v>
      </c>
      <c r="Q196" s="84">
        <f t="shared" si="21"/>
        <v>2.3300000000000005E-2</v>
      </c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>
        <v>0.04</v>
      </c>
      <c r="Y196" s="3" t="s">
        <v>33</v>
      </c>
      <c r="Z196" s="6">
        <v>3.15E-2</v>
      </c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>
        <v>3.5000000000000003E-2</v>
      </c>
      <c r="AI196" s="12">
        <f t="shared" si="13"/>
        <v>3.5000000000000031E-3</v>
      </c>
      <c r="AK196" s="4">
        <v>46269</v>
      </c>
      <c r="AL196" s="6">
        <v>0.02</v>
      </c>
      <c r="AM196" s="3"/>
      <c r="AN196" s="3"/>
      <c r="AO196" s="3"/>
      <c r="AP196" s="3" t="s">
        <v>33</v>
      </c>
      <c r="AQ196" s="3" t="s">
        <v>33</v>
      </c>
      <c r="AR196" s="6">
        <v>1.9800000000000002E-2</v>
      </c>
      <c r="AS196" s="2">
        <v>46269</v>
      </c>
      <c r="AT196" s="13">
        <v>4.1799999999999997E-2</v>
      </c>
      <c r="AU196" s="13">
        <v>4.2000000000000003E-2</v>
      </c>
      <c r="AV196" s="13">
        <v>4.5100000000000001E-2</v>
      </c>
      <c r="AW196" s="13">
        <v>4.4999999999999998E-2</v>
      </c>
      <c r="AX196" s="13">
        <v>5.5300000000000002E-2</v>
      </c>
      <c r="AY196" s="13">
        <v>6.5000000000000002E-2</v>
      </c>
      <c r="AZ196" s="13">
        <v>5.0200000000000002E-2</v>
      </c>
      <c r="BA196" s="12">
        <v>2.5999999999999999E-2</v>
      </c>
      <c r="BC196" s="4">
        <v>46269</v>
      </c>
      <c r="BD196" s="6" t="s">
        <v>33</v>
      </c>
      <c r="BE196" s="6">
        <v>2.8000000000000001E-2</v>
      </c>
      <c r="BF196" s="6">
        <v>3.2000000000000001E-2</v>
      </c>
      <c r="BG196" s="3"/>
      <c r="BH196" s="3"/>
      <c r="BI196" s="3"/>
      <c r="BJ196" s="6">
        <v>2.5000000000000001E-2</v>
      </c>
      <c r="BK196" s="2">
        <v>46269</v>
      </c>
      <c r="BL196" s="57">
        <v>5.5E-2</v>
      </c>
      <c r="BM196" s="1"/>
      <c r="BN196" s="57">
        <v>6.0499999999999998E-2</v>
      </c>
      <c r="BO196" s="1"/>
      <c r="BP196" s="1"/>
      <c r="BQ196" s="1"/>
      <c r="BR196" s="57">
        <v>0.05</v>
      </c>
      <c r="BS196" s="12">
        <f t="shared" si="24"/>
        <v>2.5000000000000001E-2</v>
      </c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>
        <v>2.81E-2</v>
      </c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>
        <v>5.3499999999999999E-2</v>
      </c>
      <c r="Q197" s="84">
        <f t="shared" si="21"/>
        <v>2.5399999999999999E-2</v>
      </c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>
        <v>0.04</v>
      </c>
      <c r="Y197" s="3" t="s">
        <v>33</v>
      </c>
      <c r="Z197" s="6">
        <v>3.0200000000000001E-2</v>
      </c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>
        <v>3.5000000000000003E-2</v>
      </c>
      <c r="AI197" s="12">
        <f t="shared" si="13"/>
        <v>4.8000000000000022E-3</v>
      </c>
      <c r="AK197" s="4">
        <v>46270</v>
      </c>
      <c r="AL197" s="6">
        <v>0.02</v>
      </c>
      <c r="AM197" s="3"/>
      <c r="AN197" s="3"/>
      <c r="AO197" s="3"/>
      <c r="AP197" s="3" t="s">
        <v>33</v>
      </c>
      <c r="AQ197" s="3" t="s">
        <v>33</v>
      </c>
      <c r="AR197" s="6">
        <v>1.8200000000000001E-2</v>
      </c>
      <c r="AS197" s="2">
        <v>46270</v>
      </c>
      <c r="AT197" s="13">
        <v>4.19E-2</v>
      </c>
      <c r="AU197" s="13">
        <v>4.19E-2</v>
      </c>
      <c r="AV197" s="13">
        <v>4.5199999999999997E-2</v>
      </c>
      <c r="AW197" s="13">
        <v>4.9799999999999997E-2</v>
      </c>
      <c r="AX197" s="13">
        <v>5.0999999999999997E-2</v>
      </c>
      <c r="AY197" s="13">
        <v>6.3700000000000007E-2</v>
      </c>
      <c r="AZ197" s="13">
        <v>4.8800000000000003E-2</v>
      </c>
      <c r="BA197" s="12">
        <v>2.5999999999999999E-2</v>
      </c>
      <c r="BC197" s="4">
        <v>46270</v>
      </c>
      <c r="BD197" s="6" t="s">
        <v>33</v>
      </c>
      <c r="BE197" s="6">
        <v>2.8000000000000001E-2</v>
      </c>
      <c r="BF197" s="6">
        <v>3.2000000000000001E-2</v>
      </c>
      <c r="BG197" s="3"/>
      <c r="BH197" s="3"/>
      <c r="BI197" s="3"/>
      <c r="BJ197" s="6">
        <v>2.23E-2</v>
      </c>
      <c r="BK197" s="2">
        <v>46270</v>
      </c>
      <c r="BL197" s="57">
        <v>5.5E-2</v>
      </c>
      <c r="BM197" s="1"/>
      <c r="BN197" s="57">
        <v>6.0499999999999998E-2</v>
      </c>
      <c r="BO197" s="1"/>
      <c r="BP197" s="1"/>
      <c r="BQ197" s="1"/>
      <c r="BR197" s="57">
        <v>4.9700000000000001E-2</v>
      </c>
      <c r="BS197" s="12">
        <f t="shared" si="24"/>
        <v>2.7400000000000001E-2</v>
      </c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>
        <v>2.8299999999999999E-2</v>
      </c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>
        <v>5.2600000000000001E-2</v>
      </c>
      <c r="Q198" s="84">
        <f t="shared" si="21"/>
        <v>2.4300000000000002E-2</v>
      </c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>
        <v>0.04</v>
      </c>
      <c r="Y198" s="3" t="s">
        <v>33</v>
      </c>
      <c r="Z198" s="6">
        <v>3.0200000000000001E-2</v>
      </c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>
        <v>3.5000000000000003E-2</v>
      </c>
      <c r="AI198" s="12">
        <f t="shared" ref="AI198:AI200" si="25">AH198-Z198</f>
        <v>4.8000000000000022E-3</v>
      </c>
      <c r="AK198" s="4">
        <v>46271</v>
      </c>
      <c r="AL198" s="6">
        <v>0.02</v>
      </c>
      <c r="AM198" s="3"/>
      <c r="AN198" s="3"/>
      <c r="AO198" s="3"/>
      <c r="AP198" s="3" t="s">
        <v>33</v>
      </c>
      <c r="AQ198" s="3" t="s">
        <v>33</v>
      </c>
      <c r="AR198" s="6">
        <v>1.8200000000000001E-2</v>
      </c>
      <c r="AS198" s="2">
        <v>46271</v>
      </c>
      <c r="AT198" s="13">
        <v>4.19E-2</v>
      </c>
      <c r="AU198" s="13">
        <v>4.19E-2</v>
      </c>
      <c r="AV198" s="13">
        <v>4.5199999999999997E-2</v>
      </c>
      <c r="AW198" s="13">
        <v>4.9799999999999997E-2</v>
      </c>
      <c r="AX198" s="13">
        <v>5.0999999999999997E-2</v>
      </c>
      <c r="AY198" s="13">
        <v>6.3700000000000007E-2</v>
      </c>
      <c r="AZ198" s="13">
        <v>4.8800000000000003E-2</v>
      </c>
      <c r="BA198" s="12">
        <v>2.5999999999999999E-2</v>
      </c>
      <c r="BC198" s="4">
        <v>46271</v>
      </c>
      <c r="BD198" s="6" t="s">
        <v>33</v>
      </c>
      <c r="BE198" s="6">
        <v>2.8000000000000001E-2</v>
      </c>
      <c r="BF198" s="6">
        <v>3.2000000000000001E-2</v>
      </c>
      <c r="BG198" s="3"/>
      <c r="BH198" s="3"/>
      <c r="BI198" s="3"/>
      <c r="BJ198" s="6">
        <v>2.2200000000000001E-2</v>
      </c>
      <c r="BK198" s="2">
        <v>46271</v>
      </c>
      <c r="BL198" s="57">
        <v>5.5E-2</v>
      </c>
      <c r="BM198" s="1"/>
      <c r="BN198" s="57">
        <v>6.0499999999999998E-2</v>
      </c>
      <c r="BO198" s="1"/>
      <c r="BP198" s="1"/>
      <c r="BQ198" s="1"/>
      <c r="BR198" s="57">
        <v>0.05</v>
      </c>
      <c r="BS198" s="12">
        <f t="shared" si="24"/>
        <v>2.7800000000000002E-2</v>
      </c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>
        <v>2.8299999999999999E-2</v>
      </c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>
        <v>5.1900000000000002E-2</v>
      </c>
      <c r="Q199" s="84">
        <f t="shared" si="21"/>
        <v>2.3600000000000003E-2</v>
      </c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>
        <v>0.04</v>
      </c>
      <c r="Y199" s="3" t="s">
        <v>33</v>
      </c>
      <c r="Z199" s="6">
        <v>2.76E-2</v>
      </c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>
        <v>3.5000000000000003E-2</v>
      </c>
      <c r="AI199" s="12">
        <f t="shared" si="25"/>
        <v>7.4000000000000038E-3</v>
      </c>
      <c r="AK199" s="4">
        <v>46272</v>
      </c>
      <c r="AL199" s="6">
        <v>0.02</v>
      </c>
      <c r="AM199" s="3"/>
      <c r="AN199" s="3"/>
      <c r="AO199" s="3"/>
      <c r="AP199" s="3" t="s">
        <v>33</v>
      </c>
      <c r="AQ199" s="3" t="s">
        <v>33</v>
      </c>
      <c r="AR199" s="6">
        <v>1.8200000000000001E-2</v>
      </c>
      <c r="AS199" s="2">
        <v>46272</v>
      </c>
      <c r="AT199" s="13">
        <v>4.19E-2</v>
      </c>
      <c r="AU199" s="13">
        <v>4.19E-2</v>
      </c>
      <c r="AV199" s="13">
        <v>4.5199999999999997E-2</v>
      </c>
      <c r="AW199" s="13">
        <v>4.9799999999999997E-2</v>
      </c>
      <c r="AX199" s="13">
        <v>5.0999999999999997E-2</v>
      </c>
      <c r="AY199" s="13">
        <v>6.3700000000000007E-2</v>
      </c>
      <c r="AZ199" s="13">
        <v>4.8800000000000003E-2</v>
      </c>
      <c r="BA199" s="12">
        <v>2.5999999999999999E-2</v>
      </c>
      <c r="BC199" s="4">
        <v>46272</v>
      </c>
      <c r="BD199" s="6" t="s">
        <v>33</v>
      </c>
      <c r="BE199" s="6">
        <v>2.8000000000000001E-2</v>
      </c>
      <c r="BF199" s="6">
        <v>3.2000000000000001E-2</v>
      </c>
      <c r="BG199" s="3"/>
      <c r="BH199" s="3"/>
      <c r="BI199" s="3"/>
      <c r="BJ199" s="6">
        <v>2.3199999999999998E-2</v>
      </c>
      <c r="BK199" s="2">
        <v>46272</v>
      </c>
      <c r="BL199" s="57">
        <v>5.5E-2</v>
      </c>
      <c r="BM199" s="1"/>
      <c r="BN199" s="57">
        <v>6.0499999999999998E-2</v>
      </c>
      <c r="BO199" s="1"/>
      <c r="BP199" s="1"/>
      <c r="BQ199" s="1"/>
      <c r="BR199" s="57">
        <v>0.05</v>
      </c>
      <c r="BS199" s="12">
        <f t="shared" si="24"/>
        <v>2.6800000000000004E-2</v>
      </c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>
        <v>2.7900000000000001E-2</v>
      </c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>
        <v>5.1299999999999998E-2</v>
      </c>
      <c r="Q200" s="84">
        <f t="shared" si="21"/>
        <v>2.3399999999999997E-2</v>
      </c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>
        <v>0.04</v>
      </c>
      <c r="Y200" s="3" t="s">
        <v>33</v>
      </c>
      <c r="Z200" s="6">
        <v>3.0200000000000001E-2</v>
      </c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>
        <v>3.5000000000000003E-2</v>
      </c>
      <c r="AI200" s="12">
        <f t="shared" si="25"/>
        <v>4.8000000000000022E-3</v>
      </c>
      <c r="AK200" s="4">
        <v>46273</v>
      </c>
      <c r="AL200" s="6">
        <v>0.02</v>
      </c>
      <c r="AM200" s="3"/>
      <c r="AN200" s="3"/>
      <c r="AO200" s="3"/>
      <c r="AP200" s="3" t="s">
        <v>33</v>
      </c>
      <c r="AQ200" s="3" t="s">
        <v>33</v>
      </c>
      <c r="AR200" s="6">
        <v>1.7600000000000001E-2</v>
      </c>
      <c r="AS200" s="2">
        <v>46273</v>
      </c>
      <c r="AT200" s="13">
        <v>4.4999999999999998E-2</v>
      </c>
      <c r="AU200" s="13">
        <v>4.19E-2</v>
      </c>
      <c r="AV200" s="13">
        <v>4.5199999999999997E-2</v>
      </c>
      <c r="AW200" s="13">
        <v>0.05</v>
      </c>
      <c r="AX200" s="13">
        <v>5.0999999999999997E-2</v>
      </c>
      <c r="AY200" s="13">
        <v>6.3E-2</v>
      </c>
      <c r="AZ200" s="13">
        <v>4.82E-2</v>
      </c>
      <c r="BA200" s="12">
        <v>2.5999999999999999E-2</v>
      </c>
      <c r="BC200" s="4">
        <v>46273</v>
      </c>
      <c r="BD200" s="6" t="s">
        <v>33</v>
      </c>
      <c r="BE200" s="6">
        <v>2.8000000000000001E-2</v>
      </c>
      <c r="BF200" s="6">
        <v>3.2000000000000001E-2</v>
      </c>
      <c r="BG200" s="3"/>
      <c r="BH200" s="3"/>
      <c r="BI200" s="3"/>
      <c r="BJ200" s="6">
        <v>2.35E-2</v>
      </c>
      <c r="BK200" s="2">
        <v>46273</v>
      </c>
      <c r="BL200" s="57">
        <v>5.5E-2</v>
      </c>
      <c r="BM200" s="1"/>
      <c r="BN200" s="57">
        <v>6.0499999999999998E-2</v>
      </c>
      <c r="BO200" s="1"/>
      <c r="BP200" s="1"/>
      <c r="BQ200" s="1"/>
      <c r="BR200" s="57">
        <v>0.05</v>
      </c>
      <c r="BS200" s="12">
        <f t="shared" si="24"/>
        <v>2.6500000000000003E-2</v>
      </c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4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43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435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43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43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43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43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43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42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42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42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42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42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42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42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42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42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42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41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41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41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41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4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4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4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4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4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3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3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3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3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3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3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3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3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3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3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3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3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3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3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3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3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3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3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3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5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5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5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5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3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3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2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2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2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2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2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2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4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2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89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288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287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8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8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4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28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8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8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7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7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7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7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7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7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6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6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6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6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6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62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1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60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5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8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5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5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4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3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252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25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4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4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4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7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36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3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4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3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232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23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2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2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2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4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23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2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2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218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2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21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21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1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0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0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0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20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2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0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20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9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9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9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9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8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8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8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78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1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7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73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1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1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170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6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6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6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6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5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5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5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5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4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4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3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3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2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2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2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1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99FA-5214-4DBC-A91B-263E58EB80E2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4.1799999999999997E-2</v>
      </c>
      <c r="C3" s="54">
        <v>4.2000000000000003E-2</v>
      </c>
      <c r="D3" s="54">
        <v>4.5100000000000001E-2</v>
      </c>
      <c r="E3" s="54">
        <v>4.4999999999999998E-2</v>
      </c>
      <c r="F3" s="54">
        <v>5.5300000000000002E-2</v>
      </c>
      <c r="G3" s="54">
        <v>6.5000000000000002E-2</v>
      </c>
      <c r="H3" s="52">
        <v>5.0200000000000002E-2</v>
      </c>
      <c r="I3" s="73">
        <f>(1+H3/365)^365-1</f>
        <v>5.1477742132218118E-2</v>
      </c>
      <c r="J3" s="74"/>
      <c r="K3" s="67">
        <f>H3-'Daily Data'!AR153</f>
        <v>3.3799999999999997E-2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5.3923884316161734E-2</v>
      </c>
      <c r="C8" s="51">
        <f t="shared" ref="C8:G8" si="5">((1+$I8)^(C2/365)-1)*365/C2</f>
        <v>5.3951767188901635E-2</v>
      </c>
      <c r="D8" s="51">
        <f t="shared" si="5"/>
        <v>5.4015571679666675E-2</v>
      </c>
      <c r="E8" s="51">
        <f t="shared" si="5"/>
        <v>5.4135476418728942E-2</v>
      </c>
      <c r="F8" s="51">
        <f t="shared" si="5"/>
        <v>5.4255736046726039E-2</v>
      </c>
      <c r="G8" s="51">
        <f t="shared" si="5"/>
        <v>5.4618656102147008E-2</v>
      </c>
      <c r="H8" s="52">
        <v>5.3900000000000003E-2</v>
      </c>
      <c r="I8" s="73">
        <f t="shared" si="1"/>
        <v>5.5374859259955445E-2</v>
      </c>
      <c r="J8" s="74"/>
      <c r="K8" s="67">
        <f>H8-'Daily Data'!H153</f>
        <v>3.8100000000000002E-2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F9168-8583-40E6-BFF2-FDCE60BF8683}">
  <dimension ref="A1:K10"/>
  <sheetViews>
    <sheetView topLeftCell="B1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4.9744011871407721E-2</v>
      </c>
      <c r="D5" s="55">
        <v>6.0499999999999998E-2</v>
      </c>
      <c r="E5" s="55">
        <f t="shared" si="2"/>
        <v>4.9900163980003645E-2</v>
      </c>
      <c r="F5" s="55">
        <f t="shared" si="2"/>
        <v>5.0002354361223716E-2</v>
      </c>
      <c r="G5" s="55">
        <f t="shared" si="2"/>
        <v>5.0310602566360212E-2</v>
      </c>
      <c r="H5" s="56">
        <v>4.9700000000000001E-2</v>
      </c>
      <c r="I5" s="73">
        <f t="shared" si="1"/>
        <v>5.095220657517685E-2</v>
      </c>
      <c r="J5" s="74"/>
      <c r="K5" s="67">
        <f>H5-'Daily Data'!BJ153</f>
        <v>3.5000000000000003E-2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5.3523531090315615E-2</v>
      </c>
      <c r="C8" s="51">
        <f t="shared" ref="C8:G8" si="5">((1+$I8)^(C2/365)-1)*365/C2</f>
        <v>5.3551001472040914E-2</v>
      </c>
      <c r="D8" s="51">
        <f t="shared" si="5"/>
        <v>5.3613861529600459E-2</v>
      </c>
      <c r="E8" s="51">
        <f t="shared" si="5"/>
        <v>5.3731989453494652E-2</v>
      </c>
      <c r="F8" s="51">
        <f t="shared" si="5"/>
        <v>5.3850464407207296E-2</v>
      </c>
      <c r="G8" s="51">
        <f t="shared" si="5"/>
        <v>5.4207982936684315E-2</v>
      </c>
      <c r="H8" s="52">
        <v>5.3499999999999999E-2</v>
      </c>
      <c r="I8" s="73">
        <f t="shared" si="1"/>
        <v>5.4952855809036416E-2</v>
      </c>
      <c r="J8" s="74"/>
      <c r="K8" s="67">
        <f>H8-'Daily Data'!H153</f>
        <v>3.7699999999999997E-2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D9A8-D4C5-4A6C-803D-F5E43E5ED48C}">
  <dimension ref="A1:K10"/>
  <sheetViews>
    <sheetView topLeftCell="B1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9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9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68EA8-9206-4B42-8497-2F9C7F49F2B9}">
  <dimension ref="A1:K10"/>
  <sheetViews>
    <sheetView zoomScale="77" zoomScaleNormal="77" zoomScaleSheetLayoutView="9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5.1922144507718135E-2</v>
      </c>
      <c r="C8" s="51">
        <f t="shared" ref="C8:G8" si="5">((1+$I8)^(C2/365)-1)*365/C2</f>
        <v>5.1947995690773206E-2</v>
      </c>
      <c r="D8" s="51">
        <f t="shared" si="5"/>
        <v>5.200714857177343E-2</v>
      </c>
      <c r="E8" s="51">
        <f t="shared" si="5"/>
        <v>5.211830241434353E-2</v>
      </c>
      <c r="F8" s="51">
        <f t="shared" si="5"/>
        <v>5.2229773012772797E-2</v>
      </c>
      <c r="G8" s="51">
        <f t="shared" si="5"/>
        <v>5.256609551552166E-2</v>
      </c>
      <c r="H8" s="52">
        <v>5.1900000000000002E-2</v>
      </c>
      <c r="I8" s="73">
        <f t="shared" si="1"/>
        <v>5.3266524143395388E-2</v>
      </c>
      <c r="J8" s="74"/>
      <c r="K8" s="67">
        <f>H8-'Daily Data'!H153</f>
        <v>3.61E-2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9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9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930A-0DDC-45A9-9DF6-75783638D03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5.1321635396292135E-2</v>
      </c>
      <c r="C8" s="51">
        <f t="shared" ref="C8:G8" si="5">((1+$I8)^(C2/365)-1)*365/C2</f>
        <v>5.1346892070021868E-2</v>
      </c>
      <c r="D8" s="51">
        <f t="shared" si="5"/>
        <v>5.1404683861439961E-2</v>
      </c>
      <c r="E8" s="51">
        <f t="shared" si="5"/>
        <v>5.151327734868321E-2</v>
      </c>
      <c r="F8" s="51">
        <f t="shared" si="5"/>
        <v>5.1622176710658767E-2</v>
      </c>
      <c r="G8" s="51">
        <f t="shared" si="5"/>
        <v>5.195071975387968E-2</v>
      </c>
      <c r="H8" s="52">
        <v>5.1299999999999998E-2</v>
      </c>
      <c r="I8" s="73">
        <f t="shared" si="1"/>
        <v>5.2634843052846048E-2</v>
      </c>
      <c r="J8" s="74"/>
      <c r="K8" s="67">
        <f>H8-'Daily Data'!H153</f>
        <v>3.5499999999999997E-2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B016D-596E-4E8D-B8E9-D85957EFB822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50413-5157-40DD-AE4A-71ECF44FCB9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3.1818014660799525E-2</v>
      </c>
      <c r="D7" s="55">
        <v>3.39E-2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5.1922144507718135E-2</v>
      </c>
      <c r="C9" s="55">
        <f t="shared" ref="C9:G9" si="6">((1+$I9)^(C2/365)-1)*365/C2</f>
        <v>5.1947995690773206E-2</v>
      </c>
      <c r="D9" s="55">
        <f t="shared" si="6"/>
        <v>5.200714857177343E-2</v>
      </c>
      <c r="E9" s="55">
        <f t="shared" si="6"/>
        <v>5.211830241434353E-2</v>
      </c>
      <c r="F9" s="55">
        <f t="shared" si="6"/>
        <v>5.2229773012772797E-2</v>
      </c>
      <c r="G9" s="55">
        <f t="shared" si="6"/>
        <v>5.256609551552166E-2</v>
      </c>
      <c r="H9" s="52">
        <v>5.1900000000000002E-2</v>
      </c>
      <c r="I9" s="73">
        <f t="shared" si="1"/>
        <v>5.3266524143395388E-2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473C-6AE6-4C8A-A0F0-1E14E50C10C6}">
  <dimension ref="A1:K10"/>
  <sheetViews>
    <sheetView zoomScale="80" zoomScaleNormal="8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4.8642084712093782E-2</v>
      </c>
      <c r="D5" s="55">
        <v>6.0499999999999998E-2</v>
      </c>
      <c r="E5" s="55">
        <f t="shared" si="2"/>
        <v>4.8791390489693422E-2</v>
      </c>
      <c r="F5" s="55">
        <f t="shared" si="2"/>
        <v>4.8889092971250651E-2</v>
      </c>
      <c r="G5" s="55">
        <f t="shared" si="2"/>
        <v>4.918376818637326E-2</v>
      </c>
      <c r="H5" s="56">
        <v>4.8599999999999997E-2</v>
      </c>
      <c r="I5" s="73">
        <f t="shared" si="1"/>
        <v>4.979695021942665E-2</v>
      </c>
      <c r="J5" s="74"/>
      <c r="K5" s="67">
        <f>H5-'Daily Data'!BJ153</f>
        <v>3.39E-2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4.9219900141506283E-2</v>
      </c>
      <c r="C9" s="55">
        <f t="shared" ref="C9:G9" si="6">((1+$I9)^(C2/365)-1)*365/C2</f>
        <v>4.9243130538759651E-2</v>
      </c>
      <c r="D9" s="55">
        <f t="shared" si="6"/>
        <v>4.9296283501290596E-2</v>
      </c>
      <c r="E9" s="55">
        <f t="shared" si="6"/>
        <v>4.9396151593087793E-2</v>
      </c>
      <c r="F9" s="55">
        <f t="shared" si="6"/>
        <v>4.949628944520007E-2</v>
      </c>
      <c r="G9" s="55">
        <f t="shared" si="6"/>
        <v>4.9798329774235386E-2</v>
      </c>
      <c r="H9" s="52">
        <v>4.9200000000000001E-2</v>
      </c>
      <c r="I9" s="73">
        <f t="shared" si="1"/>
        <v>5.0426932964994675E-2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1F8C6-69B9-4900-B64E-A2738210BE83}">
  <dimension ref="A1:K10"/>
  <sheetViews>
    <sheetView zoomScale="80" zoomScaleNormal="80" workbookViewId="0">
      <selection activeCell="D49" sqref="D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4.6839024285446694E-2</v>
      </c>
      <c r="D5" s="55">
        <v>6.0499999999999998E-2</v>
      </c>
      <c r="E5" s="55">
        <f t="shared" si="2"/>
        <v>4.697745901432996E-2</v>
      </c>
      <c r="F5" s="55">
        <f t="shared" si="2"/>
        <v>4.7068036389975622E-2</v>
      </c>
      <c r="G5" s="55">
        <f t="shared" si="2"/>
        <v>4.7341167902940996E-2</v>
      </c>
      <c r="H5" s="56">
        <v>4.6800000000000001E-2</v>
      </c>
      <c r="I5" s="73">
        <f t="shared" si="1"/>
        <v>4.7909261830630268E-2</v>
      </c>
      <c r="J5" s="74"/>
      <c r="K5" s="67">
        <f>H5-'Daily Data'!BJ153</f>
        <v>3.2100000000000004E-2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4.8619417678629998E-2</v>
      </c>
      <c r="C8" s="51">
        <f t="shared" ref="C8:G8" si="5">((1+$I8)^(C2/365)-1)*365/C2</f>
        <v>4.8642084712093782E-2</v>
      </c>
      <c r="D8" s="51">
        <f t="shared" si="5"/>
        <v>4.8693948000438324E-2</v>
      </c>
      <c r="E8" s="51">
        <f t="shared" si="5"/>
        <v>4.8791390489693422E-2</v>
      </c>
      <c r="F8" s="51">
        <f t="shared" si="5"/>
        <v>4.8889092971250651E-2</v>
      </c>
      <c r="G8" s="51">
        <f t="shared" si="5"/>
        <v>4.918376818637326E-2</v>
      </c>
      <c r="H8" s="52">
        <v>4.8599999999999997E-2</v>
      </c>
      <c r="I8" s="73">
        <f t="shared" si="1"/>
        <v>4.979695021942665E-2</v>
      </c>
      <c r="J8" s="74"/>
      <c r="K8" s="67">
        <f>H8-'Daily Data'!H153</f>
        <v>3.2799999999999996E-2</v>
      </c>
    </row>
    <row r="9" spans="1:11" ht="23.15" customHeight="1" x14ac:dyDescent="0.5">
      <c r="A9" s="50" t="s">
        <v>56</v>
      </c>
      <c r="B9" s="55">
        <f>((1+$I9)^(B2/365)-1)*365/B2</f>
        <v>4.781878360630297E-2</v>
      </c>
      <c r="C9" s="55">
        <f t="shared" ref="C9:G9" si="6">((1+$I9)^(C2/365)-1)*365/C2</f>
        <v>4.784071025350968E-2</v>
      </c>
      <c r="D9" s="55">
        <f t="shared" si="6"/>
        <v>4.7890878658311507E-2</v>
      </c>
      <c r="E9" s="55">
        <f t="shared" si="6"/>
        <v>4.7985133573050565E-2</v>
      </c>
      <c r="F9" s="55">
        <f t="shared" si="6"/>
        <v>4.8079635827554312E-2</v>
      </c>
      <c r="G9" s="55">
        <f t="shared" si="6"/>
        <v>4.8364633943058503E-2</v>
      </c>
      <c r="H9" s="52">
        <v>4.7800000000000002E-2</v>
      </c>
      <c r="I9" s="73">
        <f t="shared" si="1"/>
        <v>4.8957559305959908E-2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92201-2600-4E51-BA87-D1B2FFFDF142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4.7218314960694494E-2</v>
      </c>
      <c r="C9" s="55">
        <f t="shared" ref="C9:G9" si="6">((1+$I9)^(C2/365)-1)*365/C2</f>
        <v>4.7239694392027319E-2</v>
      </c>
      <c r="D9" s="55">
        <f t="shared" si="6"/>
        <v>4.7288610144328315E-2</v>
      </c>
      <c r="E9" s="55">
        <f t="shared" si="6"/>
        <v>4.7380509294304006E-2</v>
      </c>
      <c r="F9" s="55">
        <f t="shared" si="6"/>
        <v>4.7472646569378531E-2</v>
      </c>
      <c r="G9" s="55">
        <f t="shared" si="6"/>
        <v>4.7750494097470252E-2</v>
      </c>
      <c r="H9" s="52">
        <v>4.7199999999999999E-2</v>
      </c>
      <c r="I9" s="73">
        <f t="shared" si="1"/>
        <v>4.8328455390099778E-2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8E08-7F6F-4B42-B942-DA3AD7C9FA85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4.7018160061424688E-2</v>
      </c>
      <c r="C9" s="55">
        <f t="shared" ref="C9:G9" si="6">((1+$I9)^(C2/365)-1)*365/C2</f>
        <v>4.7039358625298178E-2</v>
      </c>
      <c r="D9" s="55">
        <f t="shared" si="6"/>
        <v>4.708786035229743E-2</v>
      </c>
      <c r="E9" s="55">
        <f t="shared" si="6"/>
        <v>4.7178980897196632E-2</v>
      </c>
      <c r="F9" s="55">
        <f t="shared" si="6"/>
        <v>4.7270336547384134E-2</v>
      </c>
      <c r="G9" s="55">
        <f t="shared" si="6"/>
        <v>4.754582096458574E-2</v>
      </c>
      <c r="H9" s="52">
        <v>4.7E-2</v>
      </c>
      <c r="I9" s="73">
        <f t="shared" si="1"/>
        <v>4.8118837710792173E-2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D92DE-6A32-4F7D-B0E5-488097098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4.8141223000003501E-2</v>
      </c>
      <c r="D5" s="55">
        <v>6.0499999999999998E-2</v>
      </c>
      <c r="E5" s="55">
        <f t="shared" si="2"/>
        <v>4.8287467700355462E-2</v>
      </c>
      <c r="F5" s="55">
        <f t="shared" si="2"/>
        <v>4.8383163755165409E-2</v>
      </c>
      <c r="G5" s="55">
        <f t="shared" si="2"/>
        <v>4.8671771629338244E-2</v>
      </c>
      <c r="H5" s="56">
        <v>4.8099999999999997E-2</v>
      </c>
      <c r="I5" s="73">
        <f t="shared" si="1"/>
        <v>4.9272252434162667E-2</v>
      </c>
      <c r="J5" s="74"/>
      <c r="K5" s="67">
        <f>H5-'Daily Data'!BJ153</f>
        <v>3.3399999999999999E-2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4.8219099326477499E-2</v>
      </c>
      <c r="C8" s="51">
        <f t="shared" ref="C8:G8" si="5">((1+$I8)^(C2/365)-1)*365/C2</f>
        <v>4.8241394628907468E-2</v>
      </c>
      <c r="D8" s="51">
        <f t="shared" si="5"/>
        <v>4.8292406949608901E-2</v>
      </c>
      <c r="E8" s="51">
        <f t="shared" si="5"/>
        <v>4.8388249000388961E-2</v>
      </c>
      <c r="F8" s="51">
        <f t="shared" si="5"/>
        <v>4.8484344664501182E-2</v>
      </c>
      <c r="G8" s="51">
        <f t="shared" si="5"/>
        <v>4.8774160898719429E-2</v>
      </c>
      <c r="H8" s="52">
        <v>4.82E-2</v>
      </c>
      <c r="I8" s="73">
        <f t="shared" si="1"/>
        <v>4.9377171064564962E-2</v>
      </c>
      <c r="J8" s="74"/>
      <c r="K8" s="67">
        <f>H8-'Daily Data'!H153</f>
        <v>3.2399999999999998E-2</v>
      </c>
    </row>
    <row r="9" spans="1:11" ht="23.15" customHeight="1" x14ac:dyDescent="0.5">
      <c r="A9" s="50" t="s">
        <v>56</v>
      </c>
      <c r="B9" s="55">
        <f>((1+$I9)^(B2/365)-1)*365/B2</f>
        <v>4.8819577841624176E-2</v>
      </c>
      <c r="C9" s="55">
        <f t="shared" ref="C9:G9" si="6">((1+$I9)^(C2/365)-1)*365/C2</f>
        <v>4.8842431894041062E-2</v>
      </c>
      <c r="D9" s="55">
        <f t="shared" si="6"/>
        <v>4.8894723310711985E-2</v>
      </c>
      <c r="E9" s="55">
        <f t="shared" si="6"/>
        <v>4.8992971008012476E-2</v>
      </c>
      <c r="F9" s="55">
        <f t="shared" si="6"/>
        <v>4.909148192689964E-2</v>
      </c>
      <c r="G9" s="55">
        <f t="shared" si="6"/>
        <v>4.9388601959502426E-2</v>
      </c>
      <c r="H9" s="52">
        <v>4.8800000000000003E-2</v>
      </c>
      <c r="I9" s="73">
        <f t="shared" si="1"/>
        <v>5.0006902591170466E-2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1D6B-363E-47DA-B35E-13D4C3DF72DD}">
  <dimension ref="A1:K10"/>
  <sheetViews>
    <sheetView zoomScale="80" zoomScaleNormal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4.19E-2</v>
      </c>
      <c r="E3" s="54">
        <v>4.5400000000000003E-2</v>
      </c>
      <c r="F3" s="54">
        <v>4.7800000000000002E-2</v>
      </c>
      <c r="G3" s="54">
        <v>6.1600000000000002E-2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4.7339862810497069E-2</v>
      </c>
      <c r="D5" s="55">
        <v>6.0499999999999998E-2</v>
      </c>
      <c r="E5" s="55">
        <f t="shared" si="2"/>
        <v>4.7481275935784405E-2</v>
      </c>
      <c r="F5" s="55">
        <f t="shared" si="2"/>
        <v>4.7573805279766984E-2</v>
      </c>
      <c r="G5" s="55">
        <f t="shared" si="2"/>
        <v>4.7852838191262785E-2</v>
      </c>
      <c r="H5" s="56">
        <v>4.7300000000000002E-2</v>
      </c>
      <c r="I5" s="73">
        <f t="shared" si="1"/>
        <v>4.8433279907055482E-2</v>
      </c>
      <c r="J5" s="74"/>
      <c r="K5" s="67">
        <f>H5-'Daily Data'!BJ153</f>
        <v>3.2600000000000004E-2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4.8519337843843581E-2</v>
      </c>
      <c r="C9" s="55">
        <f t="shared" ref="C9:G9" si="6">((1+$I9)^(C2/365)-1)*365/C2</f>
        <v>4.8541911656190581E-2</v>
      </c>
      <c r="D9" s="55">
        <f t="shared" si="6"/>
        <v>4.8593561541501372E-2</v>
      </c>
      <c r="E9" s="55">
        <f t="shared" si="6"/>
        <v>4.8690602673965806E-2</v>
      </c>
      <c r="F9" s="55">
        <f t="shared" si="6"/>
        <v>4.8787902194059214E-2</v>
      </c>
      <c r="G9" s="55">
        <f t="shared" si="6"/>
        <v>4.9081358832476933E-2</v>
      </c>
      <c r="H9" s="52">
        <v>4.8500000000000001E-2</v>
      </c>
      <c r="I9" s="73">
        <f t="shared" si="1"/>
        <v>4.9691989733668729E-2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3644C-8F5D-4418-9670-2621C579483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4.1500000000000002E-2</v>
      </c>
      <c r="E3" s="54">
        <v>4.4900000000000002E-2</v>
      </c>
      <c r="F3" s="54">
        <v>4.7899999999999998E-2</v>
      </c>
      <c r="G3" s="54">
        <v>0.06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4.7940880812261187E-2</v>
      </c>
      <c r="D5" s="55">
        <v>6.0499999999999998E-2</v>
      </c>
      <c r="E5" s="55">
        <f t="shared" si="2"/>
        <v>4.808590998667276E-2</v>
      </c>
      <c r="F5" s="55">
        <f t="shared" si="2"/>
        <v>4.8180809336710879E-2</v>
      </c>
      <c r="G5" s="55">
        <f t="shared" si="2"/>
        <v>4.8467008151711975E-2</v>
      </c>
      <c r="H5" s="56">
        <v>4.7899999999999998E-2</v>
      </c>
      <c r="I5" s="73">
        <f t="shared" si="1"/>
        <v>4.9062446555858896E-2</v>
      </c>
      <c r="J5" s="74"/>
      <c r="K5" s="67">
        <f>H5-'Daily Data'!BJ153</f>
        <v>3.32E-2</v>
      </c>
    </row>
    <row r="6" spans="1:11" ht="23.15" customHeight="1" x14ac:dyDescent="0.5">
      <c r="A6" s="50" t="s">
        <v>55</v>
      </c>
      <c r="B6" s="51">
        <v>3.1800000000000002E-2</v>
      </c>
      <c r="C6" s="51">
        <f t="shared" ref="C6:G6" si="3">((1+$I6)^(C2/365)-1)*365/C2</f>
        <v>3.3720232087598924E-2</v>
      </c>
      <c r="D6" s="51">
        <v>3.5000000000000003E-2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4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C380-766C-4DD8-B763-A2F60667CE38}">
  <dimension ref="A1:K10"/>
  <sheetViews>
    <sheetView zoomScale="70" zoomScaleNormal="7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0.04</v>
      </c>
      <c r="D3" s="54">
        <v>4.1399999999999999E-2</v>
      </c>
      <c r="E3" s="54">
        <v>4.48E-2</v>
      </c>
      <c r="F3" s="54">
        <v>4.4999999999999998E-2</v>
      </c>
      <c r="G3" s="54">
        <v>0.06</v>
      </c>
      <c r="H3" s="52">
        <v>3.7199999999999997E-2</v>
      </c>
      <c r="I3" s="73">
        <f>(1+H3/365)^365-1</f>
        <v>3.7898612814819987E-2</v>
      </c>
      <c r="J3" s="74"/>
      <c r="K3" s="67">
        <f>H3-'Daily Data'!AR153</f>
        <v>2.0799999999999996E-2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4.9042780502923891E-2</v>
      </c>
      <c r="D5" s="55">
        <v>6.0499999999999998E-2</v>
      </c>
      <c r="E5" s="55">
        <f t="shared" si="2"/>
        <v>4.9194558042406578E-2</v>
      </c>
      <c r="F5" s="55">
        <f t="shared" si="2"/>
        <v>4.9293880751389449E-2</v>
      </c>
      <c r="G5" s="55">
        <f t="shared" si="2"/>
        <v>4.9593455821469214E-2</v>
      </c>
      <c r="H5" s="56">
        <v>4.9000000000000002E-2</v>
      </c>
      <c r="I5" s="73">
        <f t="shared" si="1"/>
        <v>5.0216896836915881E-2</v>
      </c>
      <c r="J5" s="74"/>
      <c r="K5" s="67">
        <f>H5-'Daily Data'!BJ153</f>
        <v>3.4300000000000004E-2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2.8814775512232469E-2</v>
      </c>
      <c r="D7" s="55">
        <v>2.81E-2</v>
      </c>
      <c r="E7" s="55">
        <f t="shared" si="4"/>
        <v>2.8867139310035983E-2</v>
      </c>
      <c r="F7" s="55">
        <f t="shared" si="4"/>
        <v>2.8901357961484207E-2</v>
      </c>
      <c r="G7" s="55">
        <f t="shared" si="4"/>
        <v>2.9004338734472852E-2</v>
      </c>
      <c r="H7" s="56">
        <v>2.8799999999999999E-2</v>
      </c>
      <c r="I7" s="73">
        <f t="shared" si="1"/>
        <v>2.9217560787452745E-2</v>
      </c>
      <c r="J7" s="74"/>
      <c r="K7" s="67">
        <f>H7-1.06%</f>
        <v>1.8200000000000001E-2</v>
      </c>
    </row>
    <row r="8" spans="1:11" ht="23.15" customHeight="1" x14ac:dyDescent="0.4">
      <c r="A8" s="50" t="s">
        <v>57</v>
      </c>
      <c r="B8" s="51">
        <f>((1+$I8)^(B2/365)-1)*365/B2</f>
        <v>4.8319178667796274E-2</v>
      </c>
      <c r="C8" s="51">
        <f t="shared" ref="C8:G8" si="5">((1+$I8)^(C2/365)-1)*365/C2</f>
        <v>4.834156661462926E-2</v>
      </c>
      <c r="D8" s="51">
        <f t="shared" si="5"/>
        <v>4.8392791016124481E-2</v>
      </c>
      <c r="E8" s="51">
        <f t="shared" si="5"/>
        <v>4.8489031929371658E-2</v>
      </c>
      <c r="F8" s="51">
        <f t="shared" si="5"/>
        <v>4.8585528040776788E-2</v>
      </c>
      <c r="G8" s="51">
        <f t="shared" si="5"/>
        <v>4.8876555188927598E-2</v>
      </c>
      <c r="H8" s="52">
        <v>4.8300000000000003E-2</v>
      </c>
      <c r="I8" s="73">
        <f t="shared" si="1"/>
        <v>4.9482100157312026E-2</v>
      </c>
      <c r="J8" s="74"/>
      <c r="K8" s="67">
        <f>H8-'Daily Data'!H153</f>
        <v>3.2500000000000001E-2</v>
      </c>
    </row>
    <row r="9" spans="1:11" ht="23.15" customHeight="1" x14ac:dyDescent="0.5">
      <c r="A9" s="50" t="s">
        <v>56</v>
      </c>
      <c r="B9" s="55">
        <f>((1+$I9)^(B2/365)-1)*365/B2</f>
        <v>4.9620225073435824E-2</v>
      </c>
      <c r="C9" s="55">
        <f t="shared" ref="C9:G9" si="6">((1+$I9)^(C2/365)-1)*365/C2</f>
        <v>4.9643834891457801E-2</v>
      </c>
      <c r="D9" s="55">
        <f t="shared" si="6"/>
        <v>4.9697856452395404E-2</v>
      </c>
      <c r="E9" s="55">
        <f t="shared" si="6"/>
        <v>4.979935824428551E-2</v>
      </c>
      <c r="F9" s="55">
        <f t="shared" si="6"/>
        <v>4.9901136442830521E-2</v>
      </c>
      <c r="G9" s="55">
        <f t="shared" si="6"/>
        <v>5.0208137960153429E-2</v>
      </c>
      <c r="H9" s="52">
        <v>4.9599999999999998E-2</v>
      </c>
      <c r="I9" s="73">
        <f t="shared" si="1"/>
        <v>5.084713090162829E-2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AD9F-A141-426B-93FD-6C1452B5CBBE}">
  <dimension ref="A1:K10"/>
  <sheetViews>
    <sheetView zoomScale="60" zoomScaleNormal="6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4.9543658268123091E-2</v>
      </c>
      <c r="D5" s="55">
        <v>6.0499999999999998E-2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Data'!BJ153</f>
        <v>3.4800000000000005E-2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5.2822919278608618E-2</v>
      </c>
      <c r="C8" s="51">
        <f t="shared" ref="C8:G8" si="5">((1+$I8)^(C2/365)-1)*365/C2</f>
        <v>5.2849675204099188E-2</v>
      </c>
      <c r="D8" s="51">
        <f t="shared" si="5"/>
        <v>5.2910899481721042E-2</v>
      </c>
      <c r="E8" s="51">
        <f t="shared" si="5"/>
        <v>5.3025950027636201E-2</v>
      </c>
      <c r="F8" s="51">
        <f t="shared" si="5"/>
        <v>5.3141334131244666E-2</v>
      </c>
      <c r="G8" s="51">
        <f t="shared" si="5"/>
        <v>5.3489498686576945E-2</v>
      </c>
      <c r="H8" s="52">
        <v>5.28E-2</v>
      </c>
      <c r="I8" s="73">
        <f t="shared" si="1"/>
        <v>5.4214754655201425E-2</v>
      </c>
      <c r="J8" s="74"/>
      <c r="K8" s="67">
        <f>H8-'Daily Data'!H153</f>
        <v>3.6999999999999998E-2</v>
      </c>
    </row>
    <row r="9" spans="1:11" ht="23.15" customHeight="1" x14ac:dyDescent="0.5">
      <c r="A9" s="50" t="s">
        <v>56</v>
      </c>
      <c r="B9" s="55">
        <f>((1+$I9)^(B2/365)-1)*365/B2</f>
        <v>5.3223267898339879E-2</v>
      </c>
      <c r="C9" s="55">
        <f t="shared" ref="C9:G9" si="6">((1+$I9)^(C2/365)-1)*365/C2</f>
        <v>5.3250430930830629E-2</v>
      </c>
      <c r="D9" s="55">
        <f t="shared" si="6"/>
        <v>5.3312587293962634E-2</v>
      </c>
      <c r="E9" s="55">
        <f t="shared" si="6"/>
        <v>5.3429391347276901E-2</v>
      </c>
      <c r="F9" s="55">
        <f t="shared" si="6"/>
        <v>5.3546536612990449E-2</v>
      </c>
      <c r="G9" s="55">
        <f t="shared" si="6"/>
        <v>5.3900030917774011E-2</v>
      </c>
      <c r="H9" s="52">
        <v>5.3199999999999997E-2</v>
      </c>
      <c r="I9" s="73">
        <f t="shared" si="1"/>
        <v>5.4636463658827239E-2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3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7C394-8C0B-4BAE-AF9E-5C9F4E9A8C2F}">
  <dimension ref="A1:K10"/>
  <sheetViews>
    <sheetView zoomScale="60" zoomScaleNormal="6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5.4524419090024194E-2</v>
      </c>
      <c r="C8" s="51">
        <f t="shared" ref="C8:G8" si="5">((1+$I8)^(C2/365)-1)*365/C2</f>
        <v>5.4552926468024218E-2</v>
      </c>
      <c r="D8" s="51">
        <f t="shared" si="5"/>
        <v>5.4618160839190209E-2</v>
      </c>
      <c r="E8" s="51">
        <f t="shared" si="5"/>
        <v>5.4740755777277363E-2</v>
      </c>
      <c r="F8" s="51">
        <f t="shared" si="5"/>
        <v>5.4863717614545018E-2</v>
      </c>
      <c r="G8" s="51">
        <f t="shared" si="5"/>
        <v>5.5234816896660405E-2</v>
      </c>
      <c r="H8" s="52">
        <v>5.45E-2</v>
      </c>
      <c r="I8" s="73">
        <f t="shared" si="1"/>
        <v>5.6008180108992223E-2</v>
      </c>
      <c r="J8" s="74"/>
      <c r="K8" s="67">
        <f>H8-'Daily Data'!H153</f>
        <v>3.8699999999999998E-2</v>
      </c>
    </row>
    <row r="9" spans="1:11" ht="23.15" customHeight="1" x14ac:dyDescent="0.5">
      <c r="A9" s="50" t="s">
        <v>56</v>
      </c>
      <c r="B9" s="55">
        <f>((1+$I9)^(B2/365)-1)*365/B2</f>
        <v>5.5225050477858258E-2</v>
      </c>
      <c r="C9" s="55">
        <f t="shared" ref="C9:G9" si="6">((1+$I9)^(C2/365)-1)*365/C2</f>
        <v>5.5254295194850443E-2</v>
      </c>
      <c r="D9" s="55">
        <f t="shared" si="6"/>
        <v>5.5321217827473644E-2</v>
      </c>
      <c r="E9" s="55">
        <f t="shared" si="6"/>
        <v>5.5446989216866527E-2</v>
      </c>
      <c r="F9" s="55">
        <f t="shared" si="6"/>
        <v>5.5573141857023459E-2</v>
      </c>
      <c r="G9" s="55">
        <f t="shared" si="6"/>
        <v>5.5953900307197851E-2</v>
      </c>
      <c r="H9" s="52">
        <v>5.5199999999999999E-2</v>
      </c>
      <c r="I9" s="73">
        <f t="shared" si="1"/>
        <v>5.6747533472974565E-2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A9695-6975-4EF0-AFA9-E7B4896969D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5.692661740811019E-2</v>
      </c>
      <c r="C8" s="51">
        <f t="shared" ref="C8:G8" si="5">((1+$I8)^(C2/365)-1)*365/C2</f>
        <v>5.6957692036032785E-2</v>
      </c>
      <c r="D8" s="51">
        <f t="shared" si="5"/>
        <v>5.7028804716004279E-2</v>
      </c>
      <c r="E8" s="51">
        <f t="shared" si="5"/>
        <v>5.7162460246167703E-2</v>
      </c>
      <c r="F8" s="51">
        <f t="shared" si="5"/>
        <v>5.7296533431956162E-2</v>
      </c>
      <c r="G8" s="51">
        <f t="shared" si="5"/>
        <v>5.7701273633187382E-2</v>
      </c>
      <c r="H8" s="52">
        <v>5.6899999999999999E-2</v>
      </c>
      <c r="I8" s="73">
        <f t="shared" si="1"/>
        <v>5.8545255849804745E-2</v>
      </c>
      <c r="J8" s="74"/>
      <c r="K8" s="67">
        <f>H8-'Daily Data'!H153</f>
        <v>4.1099999999999998E-2</v>
      </c>
    </row>
    <row r="9" spans="1:11" ht="23.15" customHeight="1" x14ac:dyDescent="0.5">
      <c r="A9" s="50" t="s">
        <v>56</v>
      </c>
      <c r="B9" s="55">
        <f>((1+$I9)^(B2/365)-1)*365/B2</f>
        <v>5.5325141334093671E-2</v>
      </c>
      <c r="C9" s="55">
        <f t="shared" ref="C9:G9" si="6">((1+$I9)^(C2/365)-1)*365/C2</f>
        <v>5.5354492154433714E-2</v>
      </c>
      <c r="D9" s="55">
        <f t="shared" si="6"/>
        <v>5.542165773154839E-2</v>
      </c>
      <c r="E9" s="55">
        <f t="shared" si="6"/>
        <v>5.5547886230688258E-2</v>
      </c>
      <c r="F9" s="55">
        <f t="shared" si="6"/>
        <v>5.5674498060932227E-2</v>
      </c>
      <c r="G9" s="55">
        <f t="shared" si="6"/>
        <v>5.6056646658316459E-2</v>
      </c>
      <c r="H9" s="52">
        <v>5.5300000000000002E-2</v>
      </c>
      <c r="I9" s="73">
        <f t="shared" si="1"/>
        <v>5.6853197515025489E-2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2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1449-438A-494B-B8F5-8478B8A4A95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3.8399999999999997E-2</v>
      </c>
      <c r="I3" s="73">
        <f>(1+H3/365)^365-1</f>
        <v>3.9144709610959838E-2</v>
      </c>
      <c r="J3" s="74"/>
      <c r="K3" s="67">
        <f>H3-'Daily Data'!AR153</f>
        <v>2.1999999999999995E-2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3.4099999999999998E-2</v>
      </c>
      <c r="C7" s="55">
        <f t="shared" ref="C7:G7" si="4">((1+$I7)^(C2/365)-1)*365/C2</f>
        <v>2.9315293088140817E-2</v>
      </c>
      <c r="D7" s="55">
        <v>2.86E-2</v>
      </c>
      <c r="E7" s="55">
        <f t="shared" si="4"/>
        <v>2.9369492614198467E-2</v>
      </c>
      <c r="F7" s="55">
        <f t="shared" si="4"/>
        <v>2.940491210560266E-2</v>
      </c>
      <c r="G7" s="55">
        <f t="shared" si="4"/>
        <v>2.9511512649485608E-2</v>
      </c>
      <c r="H7" s="56">
        <v>2.93E-2</v>
      </c>
      <c r="I7" s="73">
        <f t="shared" si="1"/>
        <v>2.9732257267065743E-2</v>
      </c>
      <c r="J7" s="74"/>
      <c r="K7" s="67">
        <f>H7-1.06%</f>
        <v>1.8700000000000001E-2</v>
      </c>
    </row>
    <row r="8" spans="1:11" ht="23.15" customHeight="1" x14ac:dyDescent="0.4">
      <c r="A8" s="50" t="s">
        <v>57</v>
      </c>
      <c r="B8" s="51">
        <f>((1+$I8)^(B2/365)-1)*365/B2</f>
        <v>5.4824688697727719E-2</v>
      </c>
      <c r="C8" s="51">
        <f t="shared" ref="C8:G8" si="5">((1+$I8)^(C2/365)-1)*365/C2</f>
        <v>5.4853510924354122E-2</v>
      </c>
      <c r="D8" s="51">
        <f t="shared" si="5"/>
        <v>5.4919466189767653E-2</v>
      </c>
      <c r="E8" s="51">
        <f t="shared" si="5"/>
        <v>5.5043417467845468E-2</v>
      </c>
      <c r="F8" s="51">
        <f t="shared" si="5"/>
        <v>5.516774175074695E-2</v>
      </c>
      <c r="G8" s="51">
        <f t="shared" si="5"/>
        <v>5.5542965279088391E-2</v>
      </c>
      <c r="H8" s="52">
        <v>5.4800000000000001E-2</v>
      </c>
      <c r="I8" s="73">
        <f t="shared" si="1"/>
        <v>5.6324982647392607E-2</v>
      </c>
      <c r="J8" s="74"/>
      <c r="K8" s="67">
        <f>H8-'Daily Data'!H153</f>
        <v>3.9E-2</v>
      </c>
    </row>
    <row r="9" spans="1:11" ht="23.15" customHeight="1" x14ac:dyDescent="0.5">
      <c r="A9" s="50" t="s">
        <v>56</v>
      </c>
      <c r="B9" s="55">
        <f>((1+$I9)^(B2/365)-1)*365/B2</f>
        <v>5.6326058945079804E-2</v>
      </c>
      <c r="C9" s="55">
        <f t="shared" ref="C9:G9" si="6">((1+$I9)^(C2/365)-1)*365/C2</f>
        <v>5.6356481375785368E-2</v>
      </c>
      <c r="D9" s="55">
        <f t="shared" si="6"/>
        <v>5.6426100658335532E-2</v>
      </c>
      <c r="E9" s="55">
        <f t="shared" si="6"/>
        <v>5.6556946062535439E-2</v>
      </c>
      <c r="F9" s="55">
        <f t="shared" si="6"/>
        <v>5.6688196019935945E-2</v>
      </c>
      <c r="G9" s="55">
        <f t="shared" si="6"/>
        <v>5.7084387309141296E-2</v>
      </c>
      <c r="H9" s="52">
        <v>5.6300000000000003E-2</v>
      </c>
      <c r="I9" s="73">
        <f t="shared" si="1"/>
        <v>5.7910417610233855E-2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0056A-D27D-4EDC-9853-F592F0D8C12A}">
  <dimension ref="A1:K10"/>
  <sheetViews>
    <sheetView zoomScale="80" zoomScaleNormal="80" workbookViewId="0">
      <selection activeCell="G7" sqref="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3.85E-2</v>
      </c>
      <c r="C3" s="54">
        <v>3.85E-2</v>
      </c>
      <c r="D3" s="54">
        <v>4.1000000000000002E-2</v>
      </c>
      <c r="E3" s="54">
        <v>4.4900000000000002E-2</v>
      </c>
      <c r="F3" s="54">
        <v>5.4899999999999997E-2</v>
      </c>
      <c r="G3" s="54">
        <v>0.06</v>
      </c>
      <c r="H3" s="52">
        <v>3.8199999999999998E-2</v>
      </c>
      <c r="I3" s="73">
        <f>(1+H3/365)^365-1</f>
        <v>3.8936923251637001E-2</v>
      </c>
      <c r="J3" s="74"/>
      <c r="K3" s="67">
        <f>H3-'Daily Data'!AR153</f>
        <v>2.1799999999999996E-2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6.7799999999999999E-2</v>
      </c>
      <c r="C5" s="55">
        <f t="shared" ref="C5:G5" si="2">((1+$I5)^(C2/365)-1)*365/C2</f>
        <v>5.6556883501895125E-2</v>
      </c>
      <c r="D5" s="55">
        <v>8.1299999999999997E-2</v>
      </c>
      <c r="E5" s="55">
        <f t="shared" si="2"/>
        <v>5.6758777599616041E-2</v>
      </c>
      <c r="F5" s="55">
        <f t="shared" si="2"/>
        <v>5.6890965269933536E-2</v>
      </c>
      <c r="G5" s="55">
        <f t="shared" si="2"/>
        <v>5.7289995918756581E-2</v>
      </c>
      <c r="H5" s="56">
        <v>5.6500000000000002E-2</v>
      </c>
      <c r="I5" s="73">
        <f t="shared" si="1"/>
        <v>5.8121988158102544E-2</v>
      </c>
      <c r="J5" s="74"/>
      <c r="K5" s="67">
        <f>H5-'Daily Data'!BJ153</f>
        <v>4.1800000000000004E-2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3.4099999999999998E-2</v>
      </c>
      <c r="C7" s="55">
        <f t="shared" ref="C7:G7" si="4">((1+$I7)^(C2/365)-1)*365/C2</f>
        <v>2.9315293088140817E-2</v>
      </c>
      <c r="D7" s="55">
        <v>2.86E-2</v>
      </c>
      <c r="E7" s="55">
        <f t="shared" si="4"/>
        <v>2.9369492614198467E-2</v>
      </c>
      <c r="F7" s="55">
        <f t="shared" si="4"/>
        <v>2.940491210560266E-2</v>
      </c>
      <c r="G7" s="55">
        <f t="shared" si="4"/>
        <v>2.9511512649485608E-2</v>
      </c>
      <c r="H7" s="56">
        <v>2.93E-2</v>
      </c>
      <c r="I7" s="73">
        <f t="shared" si="1"/>
        <v>2.9732257267065743E-2</v>
      </c>
      <c r="J7" s="74"/>
      <c r="K7" s="67">
        <f>H7-1.06%</f>
        <v>1.8700000000000001E-2</v>
      </c>
    </row>
    <row r="8" spans="1:11" ht="23.15" customHeight="1" x14ac:dyDescent="0.4">
      <c r="A8" s="50" t="s">
        <v>57</v>
      </c>
      <c r="B8" s="51">
        <f>((1+$I8)^(B2/365)-1)*365/B2</f>
        <v>5.4023973033909982E-2</v>
      </c>
      <c r="C8" s="51">
        <f t="shared" ref="C8:G8" si="5">((1+$I8)^(C2/365)-1)*365/C2</f>
        <v>5.4051959510119416E-2</v>
      </c>
      <c r="D8" s="51">
        <f t="shared" si="5"/>
        <v>5.4116001211719368E-2</v>
      </c>
      <c r="E8" s="51">
        <f t="shared" si="5"/>
        <v>5.4236352235846871E-2</v>
      </c>
      <c r="F8" s="51">
        <f t="shared" si="5"/>
        <v>5.4357060132095486E-2</v>
      </c>
      <c r="G8" s="51">
        <f t="shared" si="5"/>
        <v>5.4721336979709788E-2</v>
      </c>
      <c r="H8" s="52">
        <v>5.3999999999999999E-2</v>
      </c>
      <c r="I8" s="73">
        <f t="shared" si="1"/>
        <v>5.5480386424407557E-2</v>
      </c>
      <c r="J8" s="74"/>
      <c r="K8" s="67">
        <f>H8-'Daily Data'!H153</f>
        <v>3.8199999999999998E-2</v>
      </c>
    </row>
    <row r="9" spans="1:11" ht="23.15" customHeight="1" x14ac:dyDescent="0.5">
      <c r="A9" s="50" t="s">
        <v>56</v>
      </c>
      <c r="B9" s="55">
        <f>((1+$I9)^(B2/365)-1)*365/B2</f>
        <v>5.6726430595697944E-2</v>
      </c>
      <c r="C9" s="55">
        <f t="shared" ref="C9:G9" si="6">((1+$I9)^(C2/365)-1)*365/C2</f>
        <v>5.6757287055287771E-2</v>
      </c>
      <c r="D9" s="55">
        <f t="shared" si="6"/>
        <v>5.6827900171508704E-2</v>
      </c>
      <c r="E9" s="55">
        <f t="shared" si="6"/>
        <v>5.6960615660738546E-2</v>
      </c>
      <c r="F9" s="55">
        <f t="shared" si="6"/>
        <v>5.70937444070947E-2</v>
      </c>
      <c r="G9" s="55">
        <f t="shared" si="6"/>
        <v>5.7495624692763078E-2</v>
      </c>
      <c r="H9" s="52">
        <v>5.67E-2</v>
      </c>
      <c r="I9" s="73">
        <f t="shared" si="1"/>
        <v>5.8333600901808058E-2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E5E87-A23C-41F7-9657-18584189F709}">
  <dimension ref="A1:K10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3.85E-2</v>
      </c>
      <c r="C3" s="54">
        <v>3.85E-2</v>
      </c>
      <c r="D3" s="54">
        <v>4.1000000000000002E-2</v>
      </c>
      <c r="E3" s="54">
        <v>4.4900000000000002E-2</v>
      </c>
      <c r="F3" s="54">
        <v>5.4899999999999997E-2</v>
      </c>
      <c r="G3" s="54">
        <v>0.06</v>
      </c>
      <c r="H3" s="52">
        <v>3.85E-2</v>
      </c>
      <c r="I3" s="73">
        <f>(1+H3/365)^365-1</f>
        <v>3.9248618331255036E-2</v>
      </c>
      <c r="J3" s="74"/>
      <c r="K3" s="67">
        <f>H3-'Daily Data'!AR153</f>
        <v>2.2099999999999998E-2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6.7199999999999996E-2</v>
      </c>
      <c r="C5" s="55">
        <f t="shared" ref="C5:G5" si="2">((1+$I5)^(C2/365)-1)*365/C2</f>
        <v>5.5955681405426123E-2</v>
      </c>
      <c r="D5" s="55">
        <v>8.0600000000000005E-2</v>
      </c>
      <c r="E5" s="55">
        <f t="shared" si="2"/>
        <v>5.6153302559693509E-2</v>
      </c>
      <c r="F5" s="55">
        <f t="shared" si="2"/>
        <v>5.6282687179555743E-2</v>
      </c>
      <c r="G5" s="55">
        <f t="shared" si="2"/>
        <v>5.6673230575245356E-2</v>
      </c>
      <c r="H5" s="56">
        <v>5.5899999999999998E-2</v>
      </c>
      <c r="I5" s="73">
        <f t="shared" si="1"/>
        <v>5.7487403068471998E-2</v>
      </c>
      <c r="J5" s="74"/>
      <c r="K5" s="67">
        <f>H5-'Daily Data'!BJ153</f>
        <v>4.1200000000000001E-2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3.4200000000000001E-2</v>
      </c>
      <c r="C7" s="55">
        <f t="shared" ref="C7:G7" si="4">((1+$I7)^(C2/365)-1)*365/C2</f>
        <v>2.9315293088140817E-2</v>
      </c>
      <c r="D7" s="55">
        <v>2.86E-2</v>
      </c>
      <c r="E7" s="55">
        <f t="shared" si="4"/>
        <v>2.9369492614198467E-2</v>
      </c>
      <c r="F7" s="55">
        <f t="shared" si="4"/>
        <v>2.940491210560266E-2</v>
      </c>
      <c r="G7" s="55">
        <f t="shared" si="4"/>
        <v>2.9511512649485608E-2</v>
      </c>
      <c r="H7" s="56">
        <v>2.93E-2</v>
      </c>
      <c r="I7" s="73">
        <f t="shared" si="1"/>
        <v>2.9732257267065743E-2</v>
      </c>
      <c r="J7" s="74"/>
      <c r="K7" s="67">
        <f>H7-1.06%</f>
        <v>1.8700000000000001E-2</v>
      </c>
    </row>
    <row r="8" spans="1:11" ht="23.15" customHeight="1" x14ac:dyDescent="0.4">
      <c r="A8" s="50" t="s">
        <v>57</v>
      </c>
      <c r="B8" s="51">
        <f>((1+$I8)^(B2/365)-1)*365/B2</f>
        <v>5.5425232354945661E-2</v>
      </c>
      <c r="C8" s="51">
        <f t="shared" ref="C8:G8" si="5">((1+$I8)^(C2/365)-1)*365/C2</f>
        <v>5.5454689470933224E-2</v>
      </c>
      <c r="D8" s="51">
        <f t="shared" si="5"/>
        <v>5.5522098433626432E-2</v>
      </c>
      <c r="E8" s="51">
        <f t="shared" si="5"/>
        <v>5.56487848753165E-2</v>
      </c>
      <c r="F8" s="51">
        <f t="shared" si="5"/>
        <v>5.5775856736024941E-2</v>
      </c>
      <c r="G8" s="51">
        <f t="shared" si="5"/>
        <v>5.6159398047692419E-2</v>
      </c>
      <c r="H8" s="52">
        <v>5.5399999999999998E-2</v>
      </c>
      <c r="I8" s="73">
        <f t="shared" si="1"/>
        <v>5.6958872093566981E-2</v>
      </c>
      <c r="J8" s="74"/>
      <c r="K8" s="67">
        <f>H8-'Daily Data'!H153</f>
        <v>3.9599999999999996E-2</v>
      </c>
    </row>
    <row r="9" spans="1:11" ht="23.15" customHeight="1" x14ac:dyDescent="0.5">
      <c r="A9" s="50" t="s">
        <v>56</v>
      </c>
      <c r="B9" s="55">
        <f>((1+$I9)^(B2/365)-1)*365/B2</f>
        <v>5.4224150962816235E-2</v>
      </c>
      <c r="C9" s="55">
        <f t="shared" ref="C9:G9" si="6">((1+$I9)^(C2/365)-1)*365/C2</f>
        <v>5.4252345222869529E-2</v>
      </c>
      <c r="D9" s="55">
        <f t="shared" si="6"/>
        <v>5.4316862669191668E-2</v>
      </c>
      <c r="E9" s="55">
        <f t="shared" si="6"/>
        <v>5.4438108761119063E-2</v>
      </c>
      <c r="F9" s="55">
        <f t="shared" si="6"/>
        <v>5.4559715713721611E-2</v>
      </c>
      <c r="G9" s="55">
        <f t="shared" si="6"/>
        <v>5.4926713839870592E-2</v>
      </c>
      <c r="H9" s="52">
        <v>5.4199999999999998E-2</v>
      </c>
      <c r="I9" s="73">
        <f t="shared" si="1"/>
        <v>5.5691472322580093E-2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F69B7-105F-4C9C-A1B3-5D385C52773B}">
  <dimension ref="A1:K10"/>
  <sheetViews>
    <sheetView tabSelected="1" zoomScale="85" zoomScaleNormal="85" workbookViewId="0">
      <selection activeCell="F30" sqref="F3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3.85E-2</v>
      </c>
      <c r="C3" s="54">
        <v>3.85E-2</v>
      </c>
      <c r="D3" s="54">
        <v>4.1000000000000002E-2</v>
      </c>
      <c r="E3" s="54">
        <v>4.4900000000000002E-2</v>
      </c>
      <c r="F3" s="54">
        <v>5.4899999999999997E-2</v>
      </c>
      <c r="G3" s="54">
        <v>0.06</v>
      </c>
      <c r="H3" s="52">
        <v>3.85E-2</v>
      </c>
      <c r="I3" s="73">
        <f>(1+H3/365)^365-1</f>
        <v>3.9248618331255036E-2</v>
      </c>
      <c r="J3" s="74"/>
      <c r="K3" s="67">
        <f>H3-'Daily Data'!AR153</f>
        <v>2.2099999999999998E-2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6.5299999999999997E-2</v>
      </c>
      <c r="C5" s="55">
        <f t="shared" ref="C5:G5" si="2">((1+$I5)^(C2/365)-1)*365/C2</f>
        <v>5.4552926468024218E-2</v>
      </c>
      <c r="D5" s="55">
        <v>7.8399999999999997E-2</v>
      </c>
      <c r="E5" s="55">
        <f t="shared" si="2"/>
        <v>5.4740755777277363E-2</v>
      </c>
      <c r="F5" s="55">
        <f t="shared" si="2"/>
        <v>5.4863717614545018E-2</v>
      </c>
      <c r="G5" s="55">
        <f t="shared" si="2"/>
        <v>5.5234816896660405E-2</v>
      </c>
      <c r="H5" s="56">
        <v>5.45E-2</v>
      </c>
      <c r="I5" s="73">
        <f t="shared" si="1"/>
        <v>5.6008180108992223E-2</v>
      </c>
      <c r="J5" s="74"/>
      <c r="K5" s="67">
        <f>H5-'Daily Data'!BJ153</f>
        <v>3.9800000000000002E-2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3.3599999999999998E-2</v>
      </c>
      <c r="C7" s="55">
        <f t="shared" ref="C7:G7" si="4">((1+$I7)^(C2/365)-1)*365/C2</f>
        <v>2.8814775512232469E-2</v>
      </c>
      <c r="D7" s="55">
        <v>2.8199999999999999E-2</v>
      </c>
      <c r="E7" s="55">
        <f t="shared" si="4"/>
        <v>2.8867139310035983E-2</v>
      </c>
      <c r="F7" s="55">
        <f t="shared" si="4"/>
        <v>2.8901357961484207E-2</v>
      </c>
      <c r="G7" s="55">
        <f t="shared" si="4"/>
        <v>2.9004338734472852E-2</v>
      </c>
      <c r="H7" s="56">
        <v>2.8799999999999999E-2</v>
      </c>
      <c r="I7" s="73">
        <f t="shared" si="1"/>
        <v>2.9217560787452745E-2</v>
      </c>
      <c r="J7" s="74"/>
      <c r="K7" s="67">
        <f>H7-1.06%</f>
        <v>1.8200000000000001E-2</v>
      </c>
    </row>
    <row r="8" spans="1:11" ht="23.15" customHeight="1" x14ac:dyDescent="0.4">
      <c r="A8" s="50" t="s">
        <v>57</v>
      </c>
      <c r="B8" s="51">
        <f>((1+$I8)^(B2/365)-1)*365/B2</f>
        <v>5.1922144507718135E-2</v>
      </c>
      <c r="C8" s="51">
        <f t="shared" ref="C8:G8" si="5">((1+$I8)^(C2/365)-1)*365/C2</f>
        <v>5.1947995690773206E-2</v>
      </c>
      <c r="D8" s="51">
        <f t="shared" si="5"/>
        <v>5.200714857177343E-2</v>
      </c>
      <c r="E8" s="51">
        <f t="shared" si="5"/>
        <v>5.211830241434353E-2</v>
      </c>
      <c r="F8" s="51">
        <f t="shared" si="5"/>
        <v>5.2229773012772797E-2</v>
      </c>
      <c r="G8" s="51">
        <f t="shared" si="5"/>
        <v>5.256609551552166E-2</v>
      </c>
      <c r="H8" s="52">
        <v>5.1900000000000002E-2</v>
      </c>
      <c r="I8" s="73">
        <f t="shared" si="1"/>
        <v>5.3266524143395388E-2</v>
      </c>
      <c r="J8" s="74"/>
      <c r="K8" s="67">
        <f>H8-'Daily Data'!H153</f>
        <v>3.61E-2</v>
      </c>
    </row>
    <row r="9" spans="1:11" ht="23.15" customHeight="1" x14ac:dyDescent="0.5">
      <c r="A9" s="50" t="s">
        <v>56</v>
      </c>
      <c r="B9" s="55">
        <f>((1+$I9)^(B2/365)-1)*365/B2</f>
        <v>5.5225050477858258E-2</v>
      </c>
      <c r="C9" s="55">
        <f t="shared" ref="C9:G9" si="6">((1+$I9)^(C2/365)-1)*365/C2</f>
        <v>5.5254295194850443E-2</v>
      </c>
      <c r="D9" s="55">
        <f t="shared" si="6"/>
        <v>5.5321217827473644E-2</v>
      </c>
      <c r="E9" s="55">
        <f t="shared" si="6"/>
        <v>5.5446989216866527E-2</v>
      </c>
      <c r="F9" s="55">
        <f t="shared" si="6"/>
        <v>5.5573141857023459E-2</v>
      </c>
      <c r="G9" s="55">
        <f t="shared" si="6"/>
        <v>5.5953900307197851E-2</v>
      </c>
      <c r="H9" s="52">
        <v>5.5199999999999999E-2</v>
      </c>
      <c r="I9" s="73">
        <f t="shared" si="1"/>
        <v>5.6747533472974565E-2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191</vt:i4>
      </vt:variant>
    </vt:vector>
  </HeadingPairs>
  <TitlesOfParts>
    <vt:vector size="191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  <vt:lpstr>04.09.2026</vt:lpstr>
      <vt:lpstr>05.09.2026</vt:lpstr>
      <vt:lpstr>06.09.2026</vt:lpstr>
      <vt:lpstr>07.09.2026</vt:lpstr>
      <vt:lpstr>08.09.2026</vt:lpstr>
      <vt:lpstr>09.09.2026</vt:lpstr>
      <vt:lpstr>10.09.2026</vt:lpstr>
      <vt:lpstr>11.09.2026</vt:lpstr>
      <vt:lpstr>12.09.2026</vt:lpstr>
      <vt:lpstr>13.09.2026</vt:lpstr>
      <vt:lpstr>14.09.2026</vt:lpstr>
      <vt:lpstr>15.09.2026</vt:lpstr>
      <vt:lpstr>16.09.2026</vt:lpstr>
      <vt:lpstr>17.09.2026</vt:lpstr>
      <vt:lpstr>18.09.2026</vt:lpstr>
      <vt:lpstr>19.09.2026</vt:lpstr>
      <vt:lpstr>20.09.2026</vt:lpstr>
      <vt:lpstr>21.09.2026</vt:lpstr>
      <vt:lpstr>22.09.2026</vt:lpstr>
      <vt:lpstr>23.09.2026</vt:lpstr>
      <vt:lpstr>24.09.2026</vt:lpstr>
      <vt:lpstr>25.09.2026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2026-09-25T07:28:04Z</dcterms:modified>
</cp:coreProperties>
</file>