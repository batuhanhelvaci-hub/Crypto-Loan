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omments165.xml" ContentType="application/vnd.openxmlformats-officedocument.spreadsheetml.comments+xml"/>
  <Override PartName="/xl/comments166.xml" ContentType="application/vnd.openxmlformats-officedocument.spreadsheetml.comments+xml"/>
  <Override PartName="/xl/comments167.xml" ContentType="application/vnd.openxmlformats-officedocument.spreadsheetml.comments+xml"/>
  <Override PartName="/xl/comments168.xml" ContentType="application/vnd.openxmlformats-officedocument.spreadsheetml.comments+xml"/>
  <Override PartName="/xl/comments169.xml" ContentType="application/vnd.openxmlformats-officedocument.spreadsheetml.comments+xml"/>
  <Override PartName="/xl/comments170.xml" ContentType="application/vnd.openxmlformats-officedocument.spreadsheetml.comments+xml"/>
  <Override PartName="/xl/comments17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4932EC42-4FB9-47FF-BE56-654D62E2F472}" xr6:coauthVersionLast="47" xr6:coauthVersionMax="47" xr10:uidLastSave="{00000000-0000-0000-0000-000000000000}"/>
  <bookViews>
    <workbookView xWindow="-28920" yWindow="1725" windowWidth="29040" windowHeight="15720" firstSheet="164" activeTab="173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  <sheet name="29.08.2026" sheetId="187" r:id="rId164"/>
    <sheet name="30.08.2026" sheetId="188" r:id="rId165"/>
    <sheet name="31.08.2026" sheetId="189" r:id="rId166"/>
    <sheet name="01.09.2026" sheetId="190" r:id="rId167"/>
    <sheet name="02.09.2026" sheetId="191" r:id="rId168"/>
    <sheet name="03.09.2026" sheetId="192" r:id="rId169"/>
    <sheet name="04.09.2026" sheetId="193" r:id="rId170"/>
    <sheet name="05.09.2026" sheetId="194" r:id="rId171"/>
    <sheet name="06.09.2026" sheetId="195" r:id="rId172"/>
    <sheet name="07.09.2026" sheetId="196" r:id="rId173"/>
    <sheet name="08.09.2026" sheetId="197" r:id="rId17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97" l="1"/>
  <c r="F9" i="197" s="1"/>
  <c r="K8" i="197"/>
  <c r="I8" i="197"/>
  <c r="F8" i="197" s="1"/>
  <c r="G8" i="197"/>
  <c r="E8" i="197"/>
  <c r="D8" i="197"/>
  <c r="C8" i="197"/>
  <c r="B8" i="197"/>
  <c r="K7" i="197"/>
  <c r="I7" i="197"/>
  <c r="G7" i="197" s="1"/>
  <c r="K6" i="197"/>
  <c r="I6" i="197"/>
  <c r="F6" i="197" s="1"/>
  <c r="G6" i="197"/>
  <c r="K5" i="197"/>
  <c r="I5" i="197"/>
  <c r="G5" i="197"/>
  <c r="F5" i="197"/>
  <c r="E5" i="197"/>
  <c r="C5" i="197"/>
  <c r="K4" i="197"/>
  <c r="I4" i="197"/>
  <c r="G4" i="197"/>
  <c r="F4" i="197"/>
  <c r="E4" i="197"/>
  <c r="D4" i="197"/>
  <c r="C4" i="197"/>
  <c r="B4" i="197"/>
  <c r="K3" i="197"/>
  <c r="I3" i="197"/>
  <c r="BS200" i="10"/>
  <c r="BS199" i="10"/>
  <c r="AI200" i="10"/>
  <c r="Q200" i="10"/>
  <c r="I9" i="195"/>
  <c r="G9" i="195"/>
  <c r="F9" i="195"/>
  <c r="E9" i="195"/>
  <c r="D9" i="195"/>
  <c r="C9" i="195"/>
  <c r="B9" i="195"/>
  <c r="I8" i="195"/>
  <c r="F8" i="195" s="1"/>
  <c r="G8" i="195"/>
  <c r="I7" i="195"/>
  <c r="G7" i="195"/>
  <c r="F7" i="195"/>
  <c r="E7" i="195"/>
  <c r="C7" i="195"/>
  <c r="I6" i="195"/>
  <c r="E6" i="195" s="1"/>
  <c r="G6" i="195"/>
  <c r="F6" i="195"/>
  <c r="I5" i="195"/>
  <c r="G5" i="195"/>
  <c r="F5" i="195"/>
  <c r="E5" i="195"/>
  <c r="C5" i="195"/>
  <c r="I4" i="195"/>
  <c r="G4" i="195"/>
  <c r="F4" i="195"/>
  <c r="E4" i="195"/>
  <c r="D4" i="195"/>
  <c r="C4" i="195"/>
  <c r="B4" i="195"/>
  <c r="I3" i="195"/>
  <c r="BS198" i="10"/>
  <c r="BS197" i="10"/>
  <c r="AI197" i="10"/>
  <c r="AI198" i="10"/>
  <c r="AI199" i="10"/>
  <c r="Q199" i="10"/>
  <c r="Q198" i="10"/>
  <c r="Q197" i="10"/>
  <c r="I9" i="196"/>
  <c r="B9" i="196" s="1"/>
  <c r="G9" i="196"/>
  <c r="F9" i="196"/>
  <c r="E9" i="196"/>
  <c r="D9" i="196"/>
  <c r="C9" i="196"/>
  <c r="K8" i="196"/>
  <c r="I8" i="196"/>
  <c r="G8" i="196"/>
  <c r="F8" i="196"/>
  <c r="E8" i="196"/>
  <c r="D8" i="196"/>
  <c r="C8" i="196"/>
  <c r="B8" i="196"/>
  <c r="K7" i="196"/>
  <c r="I7" i="196"/>
  <c r="G7" i="196"/>
  <c r="F7" i="196"/>
  <c r="E7" i="196"/>
  <c r="C7" i="196"/>
  <c r="K6" i="196"/>
  <c r="I6" i="196"/>
  <c r="G6" i="196"/>
  <c r="F6" i="196"/>
  <c r="E6" i="196"/>
  <c r="C6" i="196"/>
  <c r="K5" i="196"/>
  <c r="I5" i="196"/>
  <c r="G5" i="196"/>
  <c r="F5" i="196"/>
  <c r="E5" i="196"/>
  <c r="C5" i="196"/>
  <c r="K4" i="196"/>
  <c r="I4" i="196"/>
  <c r="G4" i="196"/>
  <c r="F4" i="196"/>
  <c r="E4" i="196"/>
  <c r="D4" i="196"/>
  <c r="C4" i="196"/>
  <c r="B4" i="196"/>
  <c r="K3" i="196"/>
  <c r="I3" i="196"/>
  <c r="K8" i="195"/>
  <c r="K7" i="195"/>
  <c r="K6" i="195"/>
  <c r="K5" i="195"/>
  <c r="K4" i="195"/>
  <c r="K3" i="195"/>
  <c r="I9" i="194"/>
  <c r="G9" i="194" s="1"/>
  <c r="K8" i="194"/>
  <c r="I8" i="194"/>
  <c r="F8" i="194" s="1"/>
  <c r="G8" i="194"/>
  <c r="D8" i="194"/>
  <c r="C8" i="194"/>
  <c r="B8" i="194"/>
  <c r="K7" i="194"/>
  <c r="I7" i="194"/>
  <c r="G7" i="194" s="1"/>
  <c r="C7" i="194"/>
  <c r="K6" i="194"/>
  <c r="I6" i="194"/>
  <c r="G6" i="194" s="1"/>
  <c r="K5" i="194"/>
  <c r="I5" i="194"/>
  <c r="G5" i="194"/>
  <c r="F5" i="194"/>
  <c r="E5" i="194"/>
  <c r="C5" i="194"/>
  <c r="K4" i="194"/>
  <c r="I4" i="194"/>
  <c r="G4" i="194" s="1"/>
  <c r="F4" i="194"/>
  <c r="E4" i="194"/>
  <c r="D4" i="194"/>
  <c r="C4" i="194"/>
  <c r="B4" i="194"/>
  <c r="K3" i="194"/>
  <c r="I3" i="194"/>
  <c r="I9" i="193"/>
  <c r="F9" i="193" s="1"/>
  <c r="K8" i="193"/>
  <c r="I8" i="193"/>
  <c r="G8" i="193"/>
  <c r="F8" i="193"/>
  <c r="E8" i="193"/>
  <c r="D8" i="193"/>
  <c r="C8" i="193"/>
  <c r="B8" i="193"/>
  <c r="K7" i="193"/>
  <c r="I7" i="193"/>
  <c r="G7" i="193"/>
  <c r="F7" i="193"/>
  <c r="E7" i="193"/>
  <c r="C7" i="193"/>
  <c r="K6" i="193"/>
  <c r="I6" i="193"/>
  <c r="F6" i="193" s="1"/>
  <c r="G6" i="193"/>
  <c r="K5" i="193"/>
  <c r="I5" i="193"/>
  <c r="G5" i="193"/>
  <c r="F5" i="193"/>
  <c r="E5" i="193"/>
  <c r="C5" i="193"/>
  <c r="K4" i="193"/>
  <c r="I4" i="193"/>
  <c r="G4" i="193"/>
  <c r="F4" i="193"/>
  <c r="E4" i="193"/>
  <c r="D4" i="193"/>
  <c r="C4" i="193"/>
  <c r="B4" i="193"/>
  <c r="K3" i="193"/>
  <c r="I3" i="193"/>
  <c r="BS196" i="10"/>
  <c r="AI196" i="10"/>
  <c r="Q196" i="10"/>
  <c r="BS195" i="10"/>
  <c r="AI195" i="10"/>
  <c r="Q195" i="10"/>
  <c r="I9" i="192"/>
  <c r="C9" i="192" s="1"/>
  <c r="G9" i="192"/>
  <c r="F9" i="192"/>
  <c r="E9" i="192"/>
  <c r="D9" i="192"/>
  <c r="B9" i="192"/>
  <c r="K8" i="192"/>
  <c r="I8" i="192"/>
  <c r="G8" i="192" s="1"/>
  <c r="K7" i="192"/>
  <c r="I7" i="192"/>
  <c r="C7" i="192" s="1"/>
  <c r="K6" i="192"/>
  <c r="I6" i="192"/>
  <c r="G6" i="192"/>
  <c r="F6" i="192"/>
  <c r="E6" i="192"/>
  <c r="C6" i="192"/>
  <c r="K5" i="192"/>
  <c r="I5" i="192"/>
  <c r="G5" i="192"/>
  <c r="F5" i="192"/>
  <c r="E5" i="192"/>
  <c r="C5" i="192"/>
  <c r="K4" i="192"/>
  <c r="I4" i="192"/>
  <c r="G4" i="192"/>
  <c r="F4" i="192"/>
  <c r="E4" i="192"/>
  <c r="D4" i="192"/>
  <c r="C4" i="192"/>
  <c r="B4" i="192"/>
  <c r="K3" i="192"/>
  <c r="I3" i="192"/>
  <c r="BS194" i="10"/>
  <c r="AI194" i="10"/>
  <c r="Q194" i="10"/>
  <c r="I9" i="191"/>
  <c r="F9" i="191" s="1"/>
  <c r="G9" i="191"/>
  <c r="C9" i="191"/>
  <c r="K8" i="191"/>
  <c r="I8" i="191"/>
  <c r="G8" i="191"/>
  <c r="F8" i="191"/>
  <c r="E8" i="191"/>
  <c r="D8" i="191"/>
  <c r="C8" i="191"/>
  <c r="B8" i="191"/>
  <c r="K7" i="191"/>
  <c r="I7" i="191"/>
  <c r="G7" i="191" s="1"/>
  <c r="K6" i="191"/>
  <c r="I6" i="191"/>
  <c r="F6" i="191" s="1"/>
  <c r="G6" i="191"/>
  <c r="K5" i="191"/>
  <c r="I5" i="191"/>
  <c r="G5" i="191"/>
  <c r="F5" i="191"/>
  <c r="E5" i="191"/>
  <c r="C5" i="191"/>
  <c r="K4" i="191"/>
  <c r="I4" i="191"/>
  <c r="G4" i="191"/>
  <c r="F4" i="191"/>
  <c r="E4" i="191"/>
  <c r="D4" i="191"/>
  <c r="C4" i="191"/>
  <c r="B4" i="191"/>
  <c r="K3" i="191"/>
  <c r="I3" i="191"/>
  <c r="BS193" i="10"/>
  <c r="AI192" i="10"/>
  <c r="AI193" i="10"/>
  <c r="Q193" i="10"/>
  <c r="I9" i="190"/>
  <c r="G9" i="190" s="1"/>
  <c r="K8" i="190"/>
  <c r="I8" i="190"/>
  <c r="D8" i="190" s="1"/>
  <c r="K7" i="190"/>
  <c r="I7" i="190"/>
  <c r="G7" i="190" s="1"/>
  <c r="K6" i="190"/>
  <c r="I6" i="190"/>
  <c r="G6" i="190" s="1"/>
  <c r="K5" i="190"/>
  <c r="I5" i="190"/>
  <c r="C5" i="190" s="1"/>
  <c r="K4" i="190"/>
  <c r="I4" i="190"/>
  <c r="G4" i="190" s="1"/>
  <c r="K3" i="190"/>
  <c r="I3" i="190"/>
  <c r="G9" i="197" l="1"/>
  <c r="E7" i="197"/>
  <c r="F7" i="197"/>
  <c r="C7" i="197"/>
  <c r="D9" i="197"/>
  <c r="E6" i="197"/>
  <c r="E9" i="197"/>
  <c r="B9" i="197"/>
  <c r="C9" i="197"/>
  <c r="C6" i="197"/>
  <c r="B8" i="195"/>
  <c r="C8" i="195"/>
  <c r="D8" i="195"/>
  <c r="E8" i="195"/>
  <c r="C6" i="195"/>
  <c r="F7" i="194"/>
  <c r="B9" i="194"/>
  <c r="E7" i="194"/>
  <c r="C9" i="194"/>
  <c r="D9" i="194"/>
  <c r="E8" i="194"/>
  <c r="C6" i="194"/>
  <c r="E6" i="194"/>
  <c r="E9" i="194"/>
  <c r="F6" i="194"/>
  <c r="F9" i="194"/>
  <c r="G9" i="193"/>
  <c r="B9" i="193"/>
  <c r="C9" i="193"/>
  <c r="C6" i="193"/>
  <c r="D9" i="193"/>
  <c r="E6" i="193"/>
  <c r="E9" i="193"/>
  <c r="B8" i="192"/>
  <c r="C8" i="192"/>
  <c r="D8" i="192"/>
  <c r="E8" i="192"/>
  <c r="F8" i="192"/>
  <c r="G7" i="192"/>
  <c r="E7" i="192"/>
  <c r="F7" i="192"/>
  <c r="C7" i="191"/>
  <c r="E7" i="191"/>
  <c r="F7" i="191"/>
  <c r="B9" i="191"/>
  <c r="C6" i="191"/>
  <c r="D9" i="191"/>
  <c r="E6" i="191"/>
  <c r="E9" i="191"/>
  <c r="B9" i="190"/>
  <c r="C7" i="190"/>
  <c r="E7" i="190"/>
  <c r="B4" i="190"/>
  <c r="F7" i="190"/>
  <c r="C4" i="190"/>
  <c r="D4" i="190"/>
  <c r="E8" i="190"/>
  <c r="F8" i="190"/>
  <c r="E5" i="190"/>
  <c r="G8" i="190"/>
  <c r="F5" i="190"/>
  <c r="C9" i="190"/>
  <c r="C6" i="190"/>
  <c r="D9" i="190"/>
  <c r="E6" i="190"/>
  <c r="E9" i="190"/>
  <c r="G5" i="190"/>
  <c r="F6" i="190"/>
  <c r="F9" i="190"/>
  <c r="E4" i="190"/>
  <c r="F4" i="190"/>
  <c r="B8" i="190"/>
  <c r="C8" i="190"/>
  <c r="E9" i="189"/>
  <c r="D9" i="189"/>
  <c r="C9" i="189"/>
  <c r="B9" i="189"/>
  <c r="G7" i="189"/>
  <c r="F7" i="189"/>
  <c r="E7" i="189"/>
  <c r="C7" i="189"/>
  <c r="F6" i="189"/>
  <c r="E6" i="189"/>
  <c r="C6" i="189"/>
  <c r="G5" i="189"/>
  <c r="F5" i="189"/>
  <c r="E7" i="188"/>
  <c r="G5" i="188"/>
  <c r="F5" i="188"/>
  <c r="E5" i="188"/>
  <c r="D4" i="188"/>
  <c r="C4" i="188"/>
  <c r="B4" i="188"/>
  <c r="BS190" i="10"/>
  <c r="BS191" i="10"/>
  <c r="BS192" i="10"/>
  <c r="AI190" i="10"/>
  <c r="AI191" i="10"/>
  <c r="Q192" i="10"/>
  <c r="Q191" i="10"/>
  <c r="Q190" i="10"/>
  <c r="I9" i="189"/>
  <c r="G9" i="189" s="1"/>
  <c r="K8" i="189"/>
  <c r="I8" i="189"/>
  <c r="F8" i="189" s="1"/>
  <c r="K7" i="189"/>
  <c r="I7" i="189"/>
  <c r="K6" i="189"/>
  <c r="I6" i="189"/>
  <c r="G6" i="189" s="1"/>
  <c r="K5" i="189"/>
  <c r="I5" i="189"/>
  <c r="E5" i="189" s="1"/>
  <c r="K4" i="189"/>
  <c r="I4" i="189"/>
  <c r="G4" i="189" s="1"/>
  <c r="K3" i="189"/>
  <c r="I3" i="189"/>
  <c r="I9" i="188"/>
  <c r="G9" i="188" s="1"/>
  <c r="K8" i="188"/>
  <c r="I8" i="188"/>
  <c r="G8" i="188" s="1"/>
  <c r="K7" i="188"/>
  <c r="I7" i="188"/>
  <c r="F7" i="188" s="1"/>
  <c r="K6" i="188"/>
  <c r="I6" i="188"/>
  <c r="C6" i="188" s="1"/>
  <c r="K5" i="188"/>
  <c r="I5" i="188"/>
  <c r="C5" i="188" s="1"/>
  <c r="K4" i="188"/>
  <c r="I4" i="188"/>
  <c r="E4" i="188" s="1"/>
  <c r="K3" i="188"/>
  <c r="I3" i="188"/>
  <c r="I9" i="187"/>
  <c r="G9" i="187" s="1"/>
  <c r="E9" i="187"/>
  <c r="D9" i="187"/>
  <c r="C9" i="187"/>
  <c r="B9" i="187"/>
  <c r="K8" i="187"/>
  <c r="I8" i="187"/>
  <c r="G8" i="187" s="1"/>
  <c r="K7" i="187"/>
  <c r="I7" i="187"/>
  <c r="G7" i="187"/>
  <c r="F7" i="187"/>
  <c r="E7" i="187"/>
  <c r="C7" i="187"/>
  <c r="K6" i="187"/>
  <c r="I6" i="187"/>
  <c r="G6" i="187" s="1"/>
  <c r="E6" i="187"/>
  <c r="C6" i="187"/>
  <c r="K5" i="187"/>
  <c r="I5" i="187"/>
  <c r="E5" i="187" s="1"/>
  <c r="G5" i="187"/>
  <c r="F5" i="187"/>
  <c r="K4" i="187"/>
  <c r="I4" i="187"/>
  <c r="G4" i="187"/>
  <c r="F4" i="187"/>
  <c r="E4" i="187"/>
  <c r="D4" i="187"/>
  <c r="C4" i="187"/>
  <c r="B4" i="187"/>
  <c r="K3" i="187"/>
  <c r="I3" i="187"/>
  <c r="BS189" i="10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9" l="1"/>
  <c r="D8" i="189"/>
  <c r="E8" i="189"/>
  <c r="B8" i="189"/>
  <c r="G8" i="189"/>
  <c r="B4" i="189"/>
  <c r="C5" i="189"/>
  <c r="F9" i="189"/>
  <c r="C4" i="189"/>
  <c r="D4" i="189"/>
  <c r="E4" i="189"/>
  <c r="F4" i="189"/>
  <c r="F6" i="188"/>
  <c r="E8" i="188"/>
  <c r="F4" i="188"/>
  <c r="D9" i="188"/>
  <c r="C7" i="188"/>
  <c r="G7" i="188"/>
  <c r="C8" i="188"/>
  <c r="B9" i="188"/>
  <c r="C9" i="188"/>
  <c r="G4" i="188"/>
  <c r="E9" i="188"/>
  <c r="E6" i="188"/>
  <c r="G6" i="188"/>
  <c r="B8" i="188"/>
  <c r="D8" i="188"/>
  <c r="F8" i="188"/>
  <c r="F9" i="188"/>
  <c r="B8" i="187"/>
  <c r="C8" i="187"/>
  <c r="D8" i="187"/>
  <c r="E8" i="187"/>
  <c r="C5" i="187"/>
  <c r="F8" i="187"/>
  <c r="F6" i="187"/>
  <c r="F9" i="187"/>
  <c r="C8" i="186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09EA11A-5E88-48E8-8881-1A479BB4F5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CD4BFA-80A6-4154-BA85-24C296D5DFD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C8D44E-928C-404B-A892-11C6BE9B9C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1B41C8B-7333-4C71-BCC6-8DAEF74AF7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8F6559-7B58-4650-9CA3-61BE87AEA9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B9476F-178E-4C79-93D2-06F7153F37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14F2BE3-F6A7-472E-9141-2E2DB9ACC1C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DEABC9-2048-499D-B666-8187086F39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8EE7E2-BF2F-4183-A060-E64173007E3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B1FAFA4-38F5-4B0B-B571-FC24003473A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F7FD0-31D0-45AD-8301-B75D7271453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<sst xmlns="http://schemas.openxmlformats.org/spreadsheetml/2006/main" count="8125" uniqueCount="68">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</sst>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5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haredStrings" Target="sharedString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28810</xdr:colOff>
      <xdr:row>212</xdr:row>
      <xdr:rowOff>8995</xdr:rowOff>
    </xdr:from>
    <xdr:to>
      <xdr:col>33</xdr:col>
      <xdr:colOff>378971</xdr:colOff>
      <xdr:row>246</xdr:row>
      <xdr:rowOff>28653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910" y="38375695"/>
          <a:ext cx="6512836" cy="6172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1.xml"/><Relationship Id="rId1" Type="http://schemas.openxmlformats.org/officeDocument/2006/relationships/vmlDrawing" Target="../drawings/vmlDrawing161.v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2.xml"/><Relationship Id="rId1" Type="http://schemas.openxmlformats.org/officeDocument/2006/relationships/vmlDrawing" Target="../drawings/vmlDrawing162.v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3.xml"/><Relationship Id="rId1" Type="http://schemas.openxmlformats.org/officeDocument/2006/relationships/vmlDrawing" Target="../drawings/vmlDrawing163.v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4.xml"/><Relationship Id="rId1" Type="http://schemas.openxmlformats.org/officeDocument/2006/relationships/vmlDrawing" Target="../drawings/vmlDrawing164.v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5.xml"/><Relationship Id="rId1" Type="http://schemas.openxmlformats.org/officeDocument/2006/relationships/vmlDrawing" Target="../drawings/vmlDrawing165.vml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6.xml"/><Relationship Id="rId1" Type="http://schemas.openxmlformats.org/officeDocument/2006/relationships/vmlDrawing" Target="../drawings/vmlDrawing166.vml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7.xml"/><Relationship Id="rId1" Type="http://schemas.openxmlformats.org/officeDocument/2006/relationships/vmlDrawing" Target="../drawings/vmlDrawing167.vml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8.xml"/><Relationship Id="rId1" Type="http://schemas.openxmlformats.org/officeDocument/2006/relationships/vmlDrawing" Target="../drawings/vmlDrawing168.vml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9.xml"/><Relationship Id="rId1" Type="http://schemas.openxmlformats.org/officeDocument/2006/relationships/vmlDrawing" Target="../drawings/vmlDrawing169.vml"/></Relationships>
</file>

<file path=xl/worksheets/_rels/sheet1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0.xml"/><Relationship Id="rId2" Type="http://schemas.openxmlformats.org/officeDocument/2006/relationships/vmlDrawing" Target="../drawings/vmlDrawing170.vml"/><Relationship Id="rId1" Type="http://schemas.openxmlformats.org/officeDocument/2006/relationships/printerSettings" Target="../printerSettings/printerSettings12.bin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1.xml"/><Relationship Id="rId1" Type="http://schemas.openxmlformats.org/officeDocument/2006/relationships/vmlDrawing" Target="../drawings/vmlDrawing17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47" zoomScale="115" zoomScaleNormal="115" workbookViewId="0">
      <selection activeCell="G252" sqref="G252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>
        <v>79024</v>
      </c>
    </row>
    <row r="242" spans="1:7" x14ac:dyDescent="0.35">
      <c r="A242" s="80">
        <v>46263</v>
      </c>
      <c r="B242" s="81">
        <v>5.0700000000000002E-2</v>
      </c>
      <c r="C242" s="22">
        <v>3.4599999999999999E-2</v>
      </c>
      <c r="D242" s="22">
        <v>4.7399999999999998E-2</v>
      </c>
      <c r="E242" s="22">
        <v>5.16E-2</v>
      </c>
      <c r="F242" s="22">
        <v>5.8099999999999999E-2</v>
      </c>
      <c r="G242" s="88">
        <v>80250</v>
      </c>
    </row>
    <row r="243" spans="1:7" x14ac:dyDescent="0.35">
      <c r="A243" s="80">
        <v>46264</v>
      </c>
      <c r="B243" s="81">
        <v>5.0099999999999999E-2</v>
      </c>
      <c r="C243" s="22">
        <v>3.4599999999999999E-2</v>
      </c>
      <c r="D243" s="22">
        <v>4.6899999999999997E-2</v>
      </c>
      <c r="E243" s="22">
        <v>5.16E-2</v>
      </c>
      <c r="F243" s="22">
        <v>5.8099999999999999E-2</v>
      </c>
      <c r="G243" s="88">
        <v>77846</v>
      </c>
    </row>
    <row r="244" spans="1:7" x14ac:dyDescent="0.35">
      <c r="A244" s="80">
        <v>46265</v>
      </c>
      <c r="B244" s="81">
        <v>5.0799999999999998E-2</v>
      </c>
      <c r="C244" s="22">
        <v>3.4599999999999999E-2</v>
      </c>
      <c r="D244" s="22">
        <v>4.6800000000000001E-2</v>
      </c>
      <c r="E244" s="22">
        <v>5.16E-2</v>
      </c>
      <c r="F244" s="22">
        <v>5.8099999999999999E-2</v>
      </c>
      <c r="G244" s="88">
        <v>78231</v>
      </c>
    </row>
    <row r="245" spans="1:7" x14ac:dyDescent="0.35">
      <c r="A245" s="80">
        <v>46266</v>
      </c>
      <c r="B245" s="81">
        <v>4.9500000000000002E-2</v>
      </c>
      <c r="C245" s="22">
        <v>3.4599999999999999E-2</v>
      </c>
      <c r="D245" s="22">
        <v>4.6300000000000001E-2</v>
      </c>
      <c r="E245" s="22">
        <v>5.16E-2</v>
      </c>
      <c r="F245" s="22">
        <v>5.8099999999999999E-2</v>
      </c>
      <c r="G245" s="88">
        <v>78582</v>
      </c>
    </row>
    <row r="246" spans="1:7" x14ac:dyDescent="0.35">
      <c r="A246" s="80">
        <v>46267</v>
      </c>
      <c r="B246" s="81">
        <v>5.0500000000000003E-2</v>
      </c>
      <c r="C246" s="22">
        <v>3.4599999999999999E-2</v>
      </c>
      <c r="D246" s="22">
        <v>4.7199999999999999E-2</v>
      </c>
      <c r="E246" s="22">
        <v>5.16E-2</v>
      </c>
      <c r="F246" s="22">
        <v>5.8099999999999999E-2</v>
      </c>
      <c r="G246" s="88">
        <v>77440</v>
      </c>
    </row>
    <row r="247" spans="1:7" x14ac:dyDescent="0.35">
      <c r="A247" s="80">
        <v>46268</v>
      </c>
      <c r="B247" s="81">
        <v>5.11E-2</v>
      </c>
      <c r="C247" s="22">
        <v>3.4599999999999999E-2</v>
      </c>
      <c r="D247" s="22">
        <v>4.7100000000000003E-2</v>
      </c>
      <c r="E247" s="22">
        <v>5.3499999999999999E-2</v>
      </c>
      <c r="F247" s="22">
        <v>5.8099999999999999E-2</v>
      </c>
      <c r="G247" s="88">
        <v>77341</v>
      </c>
    </row>
    <row r="248" spans="1:7" x14ac:dyDescent="0.35">
      <c r="A248" s="80">
        <v>46269</v>
      </c>
      <c r="B248" s="81">
        <v>5.2600000000000001E-2</v>
      </c>
      <c r="C248" s="22">
        <v>3.4599999999999999E-2</v>
      </c>
      <c r="D248" s="22">
        <v>4.9200000000000001E-2</v>
      </c>
      <c r="E248" s="22">
        <v>5.3499999999999999E-2</v>
      </c>
      <c r="F248" s="22">
        <v>5.8099999999999999E-2</v>
      </c>
      <c r="G248" s="88">
        <v>81270</v>
      </c>
    </row>
    <row r="249" spans="1:7" x14ac:dyDescent="0.35">
      <c r="A249" s="80">
        <v>46270</v>
      </c>
      <c r="B249" s="81">
        <v>5.1700000000000003E-2</v>
      </c>
      <c r="C249" s="22">
        <v>3.4599999999999999E-2</v>
      </c>
      <c r="D249" s="22">
        <v>4.8399999999999999E-2</v>
      </c>
      <c r="E249" s="81">
        <v>5.5E-2</v>
      </c>
      <c r="F249" s="22">
        <v>5.8099999999999999E-2</v>
      </c>
      <c r="G249" s="88">
        <v>79660</v>
      </c>
    </row>
    <row r="250" spans="1:7" x14ac:dyDescent="0.35">
      <c r="A250" s="80">
        <v>46271</v>
      </c>
      <c r="B250" s="81">
        <v>5.0900000000000001E-2</v>
      </c>
      <c r="C250" s="22">
        <v>3.4599999999999999E-2</v>
      </c>
      <c r="D250" s="22">
        <v>4.7600000000000003E-2</v>
      </c>
      <c r="E250" s="81">
        <v>5.3499999999999999E-2</v>
      </c>
      <c r="F250" s="22">
        <v>5.79E-2</v>
      </c>
      <c r="G250" s="88">
        <v>79831</v>
      </c>
    </row>
    <row r="251" spans="1:7" x14ac:dyDescent="0.35">
      <c r="A251" s="80">
        <v>46272</v>
      </c>
      <c r="B251" s="81">
        <v>5.1299999999999998E-2</v>
      </c>
      <c r="C251" s="22">
        <v>3.4599999999999999E-2</v>
      </c>
      <c r="D251" s="22">
        <v>4.8000000000000001E-2</v>
      </c>
      <c r="E251" s="81">
        <v>5.33E-2</v>
      </c>
      <c r="F251" s="22">
        <v>5.8099999999999999E-2</v>
      </c>
      <c r="G251" s="88">
        <v>80342</v>
      </c>
    </row>
    <row r="252" spans="1:7" x14ac:dyDescent="0.35">
      <c r="A252" s="80">
        <v>46273</v>
      </c>
      <c r="B252" s="81">
        <v>5.0900000000000001E-2</v>
      </c>
      <c r="C252" s="22">
        <v>3.4599999999999999E-2</v>
      </c>
      <c r="D252" s="22">
        <v>4.7600000000000003E-2</v>
      </c>
      <c r="E252" s="22">
        <v>5.3499999999999999E-2</v>
      </c>
      <c r="F252" s="22">
        <v>5.8099999999999999E-2</v>
      </c>
      <c r="G252" s="88"/>
    </row>
    <row r="253" spans="1:7" x14ac:dyDescent="0.35">
      <c r="A253" s="80">
        <v>46274</v>
      </c>
      <c r="B253" s="81"/>
      <c r="C253" s="22"/>
      <c r="D253" s="22"/>
      <c r="E253" s="22"/>
      <c r="F253" s="22"/>
      <c r="G253" s="88"/>
    </row>
    <row r="254" spans="1:7" x14ac:dyDescent="0.35">
      <c r="A254" s="80">
        <v>46275</v>
      </c>
      <c r="B254" s="81"/>
      <c r="C254" s="22"/>
      <c r="D254" s="22"/>
      <c r="E254" s="22"/>
      <c r="F254" s="22"/>
      <c r="G254" s="88"/>
    </row>
    <row r="255" spans="1:7" x14ac:dyDescent="0.35">
      <c r="A255" s="80">
        <v>46276</v>
      </c>
      <c r="B255" s="81"/>
      <c r="C255" s="22"/>
      <c r="D255" s="22"/>
      <c r="E255" s="22"/>
      <c r="F255" s="22"/>
      <c r="G255" s="88"/>
    </row>
    <row r="256" spans="1:7" x14ac:dyDescent="0.35">
      <c r="A256" s="80">
        <v>46277</v>
      </c>
      <c r="B256" s="81"/>
      <c r="C256" s="22"/>
      <c r="D256" s="22"/>
      <c r="E256" s="22"/>
      <c r="F256" s="22"/>
      <c r="G256" s="88"/>
    </row>
    <row r="257" spans="1:7" x14ac:dyDescent="0.35">
      <c r="A257" s="80">
        <v>46278</v>
      </c>
      <c r="B257" s="81"/>
      <c r="C257" s="22"/>
      <c r="D257" s="22"/>
      <c r="E257" s="22"/>
      <c r="F257" s="22"/>
      <c r="G257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Z189" zoomScaleNormal="100" workbookViewId="0">
      <selection activeCell="AT200" sqref="AT200:AZ200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9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200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200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>
        <v>2.7699999999999999E-2</v>
      </c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>
        <v>5.2600000000000001E-2</v>
      </c>
      <c r="Q190" s="84">
        <f t="shared" si="21"/>
        <v>2.4900000000000002E-2</v>
      </c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>
        <v>3.5000000000000003E-2</v>
      </c>
      <c r="Y190" s="3" t="s">
        <v>33</v>
      </c>
      <c r="Z190" s="6">
        <v>3.1800000000000002E-2</v>
      </c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>
        <v>3.5000000000000003E-2</v>
      </c>
      <c r="AI190" s="12">
        <f t="shared" si="13"/>
        <v>3.2000000000000015E-3</v>
      </c>
      <c r="AK190" s="4">
        <v>46263</v>
      </c>
      <c r="AL190" s="6">
        <v>0.02</v>
      </c>
      <c r="AM190" s="3"/>
      <c r="AN190" s="3"/>
      <c r="AO190" s="3"/>
      <c r="AP190" s="3" t="s">
        <v>33</v>
      </c>
      <c r="AQ190" s="3" t="s">
        <v>33</v>
      </c>
      <c r="AR190" s="6">
        <v>1.6799999999999999E-2</v>
      </c>
      <c r="AS190" s="2">
        <v>46263</v>
      </c>
      <c r="AT190" s="13">
        <v>0.04</v>
      </c>
      <c r="AU190" s="13">
        <v>0.04</v>
      </c>
      <c r="AV190" s="13">
        <v>0.04</v>
      </c>
      <c r="AW190" s="13">
        <v>0.04</v>
      </c>
      <c r="AX190" s="13">
        <v>0.04</v>
      </c>
      <c r="AY190" s="13">
        <v>6.8500000000000005E-2</v>
      </c>
      <c r="AZ190" s="13">
        <v>4.7399999999999998E-2</v>
      </c>
      <c r="BA190" s="12">
        <v>2.5999999999999999E-2</v>
      </c>
      <c r="BC190" s="4">
        <v>46263</v>
      </c>
      <c r="BD190" s="6" t="s">
        <v>33</v>
      </c>
      <c r="BE190" s="6">
        <v>2.8000000000000001E-2</v>
      </c>
      <c r="BF190" s="6">
        <v>3.2000000000000001E-2</v>
      </c>
      <c r="BG190" s="3"/>
      <c r="BH190" s="3"/>
      <c r="BI190" s="3"/>
      <c r="BJ190" s="6">
        <v>2.3900000000000001E-2</v>
      </c>
      <c r="BK190" s="2">
        <v>46263</v>
      </c>
      <c r="BL190" s="57">
        <v>5.5E-2</v>
      </c>
      <c r="BM190" s="1"/>
      <c r="BN190" s="57">
        <v>6.0499999999999998E-2</v>
      </c>
      <c r="BO190" s="1"/>
      <c r="BP190" s="1"/>
      <c r="BQ190" s="1"/>
      <c r="BR190" s="57">
        <v>0.05</v>
      </c>
      <c r="BS190" s="12">
        <f t="shared" si="24"/>
        <v>2.6100000000000002E-2</v>
      </c>
    </row>
    <row r="191" spans="1:71" x14ac:dyDescent="0.35">
      <c r="A191" s="4">
        <v>46264</v>
      </c>
      <c r="B191" s="3" t="s">
        <v>33</v>
      </c>
      <c r="C191" s="3" t="s">
        <v>33</v>
      </c>
      <c r="D191" s="3" t="s">
        <v>32</v>
      </c>
      <c r="E191" s="3" t="s">
        <v>33</v>
      </c>
      <c r="F191" s="3" t="s">
        <v>32</v>
      </c>
      <c r="G191" s="3" t="s">
        <v>33</v>
      </c>
      <c r="H191" s="9">
        <v>2.76E-2</v>
      </c>
      <c r="I191" s="2">
        <v>46264</v>
      </c>
      <c r="J191" s="1" t="s">
        <v>33</v>
      </c>
      <c r="K191" s="1" t="s">
        <v>33</v>
      </c>
      <c r="L191" s="1" t="s">
        <v>32</v>
      </c>
      <c r="M191" s="1" t="s">
        <v>33</v>
      </c>
      <c r="N191" s="1" t="s">
        <v>32</v>
      </c>
      <c r="O191" s="1" t="s">
        <v>32</v>
      </c>
      <c r="P191" s="57">
        <v>5.2299999999999999E-2</v>
      </c>
      <c r="Q191" s="84">
        <f t="shared" si="21"/>
        <v>2.47E-2</v>
      </c>
      <c r="S191" s="4">
        <v>46264</v>
      </c>
      <c r="T191" s="3" t="s">
        <v>33</v>
      </c>
      <c r="U191" s="3" t="s">
        <v>33</v>
      </c>
      <c r="V191" s="3" t="s">
        <v>33</v>
      </c>
      <c r="W191" s="3" t="s">
        <v>33</v>
      </c>
      <c r="X191" s="6">
        <v>3.5000000000000003E-2</v>
      </c>
      <c r="Y191" s="3" t="s">
        <v>33</v>
      </c>
      <c r="Z191" s="6">
        <v>3.1800000000000002E-2</v>
      </c>
      <c r="AA191" s="2">
        <v>46264</v>
      </c>
      <c r="AB191" s="1" t="s">
        <v>33</v>
      </c>
      <c r="AC191" s="1" t="s">
        <v>33</v>
      </c>
      <c r="AD191" s="1" t="s">
        <v>33</v>
      </c>
      <c r="AE191" s="1" t="s">
        <v>33</v>
      </c>
      <c r="AF191" s="1" t="s">
        <v>33</v>
      </c>
      <c r="AG191" s="1" t="s">
        <v>33</v>
      </c>
      <c r="AH191" s="57">
        <v>3.5000000000000003E-2</v>
      </c>
      <c r="AI191" s="12">
        <f t="shared" si="13"/>
        <v>3.2000000000000015E-3</v>
      </c>
      <c r="AK191" s="4">
        <v>46264</v>
      </c>
      <c r="AL191" s="6">
        <v>0.02</v>
      </c>
      <c r="AM191" s="3"/>
      <c r="AN191" s="3"/>
      <c r="AO191" s="3"/>
      <c r="AP191" s="3" t="s">
        <v>33</v>
      </c>
      <c r="AQ191" s="3" t="s">
        <v>33</v>
      </c>
      <c r="AR191" s="6">
        <v>1.6799999999999999E-2</v>
      </c>
      <c r="AS191" s="2">
        <v>46264</v>
      </c>
      <c r="AT191" s="13">
        <v>0.04</v>
      </c>
      <c r="AU191" s="13">
        <v>0.04</v>
      </c>
      <c r="AV191" s="13">
        <v>0.04</v>
      </c>
      <c r="AW191" s="13">
        <v>0.04</v>
      </c>
      <c r="AX191" s="13">
        <v>0.04</v>
      </c>
      <c r="AY191" s="13">
        <v>6.8500000000000005E-2</v>
      </c>
      <c r="AZ191" s="13">
        <v>4.7399999999999998E-2</v>
      </c>
      <c r="BA191" s="12">
        <v>2.5999999999999999E-2</v>
      </c>
      <c r="BC191" s="4">
        <v>46264</v>
      </c>
      <c r="BD191" s="6" t="s">
        <v>33</v>
      </c>
      <c r="BE191" s="6">
        <v>2.8000000000000001E-2</v>
      </c>
      <c r="BF191" s="6">
        <v>3.2000000000000001E-2</v>
      </c>
      <c r="BG191" s="3"/>
      <c r="BH191" s="3"/>
      <c r="BI191" s="3"/>
      <c r="BJ191" s="6">
        <v>2.3900000000000001E-2</v>
      </c>
      <c r="BK191" s="2">
        <v>46264</v>
      </c>
      <c r="BL191" s="57">
        <v>5.5E-2</v>
      </c>
      <c r="BM191" s="1"/>
      <c r="BN191" s="57">
        <v>6.0499999999999998E-2</v>
      </c>
      <c r="BO191" s="1"/>
      <c r="BP191" s="1"/>
      <c r="BQ191" s="1"/>
      <c r="BR191" s="57">
        <v>0.05</v>
      </c>
      <c r="BS191" s="12">
        <f t="shared" si="24"/>
        <v>2.6100000000000002E-2</v>
      </c>
    </row>
    <row r="192" spans="1:71" x14ac:dyDescent="0.35">
      <c r="A192" s="4">
        <v>46265</v>
      </c>
      <c r="B192" s="3" t="s">
        <v>33</v>
      </c>
      <c r="C192" s="3" t="s">
        <v>33</v>
      </c>
      <c r="D192" s="3" t="s">
        <v>32</v>
      </c>
      <c r="E192" s="3" t="s">
        <v>33</v>
      </c>
      <c r="F192" s="3" t="s">
        <v>32</v>
      </c>
      <c r="G192" s="3" t="s">
        <v>33</v>
      </c>
      <c r="H192" s="9">
        <v>2.76E-2</v>
      </c>
      <c r="I192" s="2">
        <v>46265</v>
      </c>
      <c r="J192" s="1" t="s">
        <v>33</v>
      </c>
      <c r="K192" s="1" t="s">
        <v>33</v>
      </c>
      <c r="L192" s="1" t="s">
        <v>32</v>
      </c>
      <c r="M192" s="1" t="s">
        <v>33</v>
      </c>
      <c r="N192" s="1" t="s">
        <v>32</v>
      </c>
      <c r="O192" s="1" t="s">
        <v>32</v>
      </c>
      <c r="P192" s="57">
        <v>5.11E-2</v>
      </c>
      <c r="Q192" s="84">
        <f t="shared" si="21"/>
        <v>2.35E-2</v>
      </c>
      <c r="S192" s="4">
        <v>46265</v>
      </c>
      <c r="T192" s="3" t="s">
        <v>33</v>
      </c>
      <c r="U192" s="3" t="s">
        <v>33</v>
      </c>
      <c r="V192" s="3" t="s">
        <v>33</v>
      </c>
      <c r="W192" s="3" t="s">
        <v>33</v>
      </c>
      <c r="X192" s="6">
        <v>3.5000000000000003E-2</v>
      </c>
      <c r="Y192" s="3" t="s">
        <v>33</v>
      </c>
      <c r="Z192" s="6">
        <v>3.1800000000000002E-2</v>
      </c>
      <c r="AA192" s="2">
        <v>46265</v>
      </c>
      <c r="AB192" s="1" t="s">
        <v>33</v>
      </c>
      <c r="AC192" s="1" t="s">
        <v>33</v>
      </c>
      <c r="AD192" s="1" t="s">
        <v>33</v>
      </c>
      <c r="AE192" s="1" t="s">
        <v>33</v>
      </c>
      <c r="AF192" s="1" t="s">
        <v>33</v>
      </c>
      <c r="AG192" s="1" t="s">
        <v>33</v>
      </c>
      <c r="AH192" s="57">
        <v>3.5000000000000003E-2</v>
      </c>
      <c r="AI192" s="12">
        <f t="shared" si="13"/>
        <v>3.2000000000000015E-3</v>
      </c>
      <c r="AK192" s="4">
        <v>46265</v>
      </c>
      <c r="AL192" s="6">
        <v>0.02</v>
      </c>
      <c r="AM192" s="3"/>
      <c r="AN192" s="3"/>
      <c r="AO192" s="3"/>
      <c r="AP192" s="3" t="s">
        <v>33</v>
      </c>
      <c r="AQ192" s="3" t="s">
        <v>33</v>
      </c>
      <c r="AR192" s="6">
        <v>1.6799999999999999E-2</v>
      </c>
      <c r="AS192" s="2">
        <v>46265</v>
      </c>
      <c r="AT192" s="13">
        <v>0.04</v>
      </c>
      <c r="AU192" s="13">
        <v>0.04</v>
      </c>
      <c r="AV192" s="13">
        <v>0.04</v>
      </c>
      <c r="AW192" s="13">
        <v>0.04</v>
      </c>
      <c r="AX192" s="13">
        <v>0.04</v>
      </c>
      <c r="AY192" s="13">
        <v>6.8500000000000005E-2</v>
      </c>
      <c r="AZ192" s="13">
        <v>4.7399999999999998E-2</v>
      </c>
      <c r="BA192" s="12">
        <v>2.5999999999999999E-2</v>
      </c>
      <c r="BC192" s="4">
        <v>46265</v>
      </c>
      <c r="BD192" s="6" t="s">
        <v>33</v>
      </c>
      <c r="BE192" s="6">
        <v>2.8000000000000001E-2</v>
      </c>
      <c r="BF192" s="6">
        <v>3.2000000000000001E-2</v>
      </c>
      <c r="BG192" s="3"/>
      <c r="BH192" s="3"/>
      <c r="BI192" s="3"/>
      <c r="BJ192" s="6">
        <v>2.4899999999999999E-2</v>
      </c>
      <c r="BK192" s="2">
        <v>46265</v>
      </c>
      <c r="BL192" s="57">
        <v>5.5E-2</v>
      </c>
      <c r="BM192" s="1"/>
      <c r="BN192" s="57">
        <v>6.0499999999999998E-2</v>
      </c>
      <c r="BO192" s="1"/>
      <c r="BP192" s="1"/>
      <c r="BQ192" s="1"/>
      <c r="BR192" s="57">
        <v>0.05</v>
      </c>
      <c r="BS192" s="12">
        <f t="shared" si="24"/>
        <v>2.5100000000000004E-2</v>
      </c>
    </row>
    <row r="193" spans="1:71" x14ac:dyDescent="0.35">
      <c r="A193" s="4">
        <v>46266</v>
      </c>
      <c r="B193" s="3" t="s">
        <v>33</v>
      </c>
      <c r="C193" s="3" t="s">
        <v>33</v>
      </c>
      <c r="D193" s="3" t="s">
        <v>32</v>
      </c>
      <c r="E193" s="3" t="s">
        <v>33</v>
      </c>
      <c r="F193" s="3" t="s">
        <v>32</v>
      </c>
      <c r="G193" s="3" t="s">
        <v>33</v>
      </c>
      <c r="H193" s="9">
        <v>2.7199999999999998E-2</v>
      </c>
      <c r="I193" s="2">
        <v>46266</v>
      </c>
      <c r="J193" s="1" t="s">
        <v>33</v>
      </c>
      <c r="K193" s="1" t="s">
        <v>33</v>
      </c>
      <c r="L193" s="1" t="s">
        <v>32</v>
      </c>
      <c r="M193" s="1" t="s">
        <v>33</v>
      </c>
      <c r="N193" s="1" t="s">
        <v>32</v>
      </c>
      <c r="O193" s="1" t="s">
        <v>32</v>
      </c>
      <c r="P193" s="57">
        <v>5.0799999999999998E-2</v>
      </c>
      <c r="Q193" s="84">
        <f t="shared" si="21"/>
        <v>2.3599999999999999E-2</v>
      </c>
      <c r="S193" s="4">
        <v>46266</v>
      </c>
      <c r="T193" s="3" t="s">
        <v>33</v>
      </c>
      <c r="U193" s="3" t="s">
        <v>33</v>
      </c>
      <c r="V193" s="3" t="s">
        <v>33</v>
      </c>
      <c r="W193" s="3" t="s">
        <v>33</v>
      </c>
      <c r="X193" s="6">
        <v>3.5000000000000003E-2</v>
      </c>
      <c r="Y193" s="3" t="s">
        <v>33</v>
      </c>
      <c r="Z193" s="6">
        <v>3.1300000000000001E-2</v>
      </c>
      <c r="AA193" s="2">
        <v>46266</v>
      </c>
      <c r="AB193" s="1" t="s">
        <v>33</v>
      </c>
      <c r="AC193" s="1" t="s">
        <v>33</v>
      </c>
      <c r="AD193" s="1" t="s">
        <v>33</v>
      </c>
      <c r="AE193" s="1" t="s">
        <v>33</v>
      </c>
      <c r="AF193" s="1" t="s">
        <v>33</v>
      </c>
      <c r="AG193" s="1" t="s">
        <v>33</v>
      </c>
      <c r="AH193" s="57">
        <v>3.5000000000000003E-2</v>
      </c>
      <c r="AI193" s="12">
        <f t="shared" si="13"/>
        <v>3.7000000000000019E-3</v>
      </c>
      <c r="AK193" s="4">
        <v>46266</v>
      </c>
      <c r="AL193" s="6">
        <v>0.02</v>
      </c>
      <c r="AM193" s="3"/>
      <c r="AN193" s="3"/>
      <c r="AO193" s="3"/>
      <c r="AP193" s="3" t="s">
        <v>33</v>
      </c>
      <c r="AQ193" s="3" t="s">
        <v>33</v>
      </c>
      <c r="AR193" s="6">
        <v>1.6799999999999999E-2</v>
      </c>
      <c r="AS193" s="2">
        <v>46266</v>
      </c>
      <c r="AT193" s="13">
        <v>3.0099999999999998E-2</v>
      </c>
      <c r="AU193" s="13">
        <v>4.0800000000000003E-2</v>
      </c>
      <c r="AV193" s="13">
        <v>4.99E-2</v>
      </c>
      <c r="AW193" s="13">
        <v>0.04</v>
      </c>
      <c r="AX193" s="13">
        <v>5.5300000000000002E-2</v>
      </c>
      <c r="AY193" s="13">
        <v>6.7400000000000002E-2</v>
      </c>
      <c r="AZ193" s="13">
        <v>4.6600000000000003E-2</v>
      </c>
      <c r="BA193" s="12">
        <v>2.5999999999999999E-2</v>
      </c>
      <c r="BC193" s="4">
        <v>46266</v>
      </c>
      <c r="BD193" s="6" t="s">
        <v>33</v>
      </c>
      <c r="BE193" s="6">
        <v>2.8000000000000001E-2</v>
      </c>
      <c r="BF193" s="6">
        <v>3.2000000000000001E-2</v>
      </c>
      <c r="BG193" s="3"/>
      <c r="BH193" s="3"/>
      <c r="BI193" s="3"/>
      <c r="BJ193" s="6">
        <v>2.4500000000000001E-2</v>
      </c>
      <c r="BK193" s="2">
        <v>46266</v>
      </c>
      <c r="BL193" s="57">
        <v>5.5E-2</v>
      </c>
      <c r="BM193" s="1"/>
      <c r="BN193" s="57">
        <v>6.0499999999999998E-2</v>
      </c>
      <c r="BO193" s="1"/>
      <c r="BP193" s="1"/>
      <c r="BQ193" s="1"/>
      <c r="BR193" s="57">
        <v>0.05</v>
      </c>
      <c r="BS193" s="12">
        <f t="shared" si="24"/>
        <v>2.5500000000000002E-2</v>
      </c>
    </row>
    <row r="194" spans="1:71" x14ac:dyDescent="0.35">
      <c r="A194" s="4">
        <v>46267</v>
      </c>
      <c r="B194" s="3" t="s">
        <v>33</v>
      </c>
      <c r="C194" s="3" t="s">
        <v>33</v>
      </c>
      <c r="D194" s="3" t="s">
        <v>32</v>
      </c>
      <c r="E194" s="3" t="s">
        <v>33</v>
      </c>
      <c r="F194" s="3" t="s">
        <v>32</v>
      </c>
      <c r="G194" s="3" t="s">
        <v>33</v>
      </c>
      <c r="H194" s="9">
        <v>2.76E-2</v>
      </c>
      <c r="I194" s="2">
        <v>46267</v>
      </c>
      <c r="J194" s="1" t="s">
        <v>33</v>
      </c>
      <c r="K194" s="1" t="s">
        <v>33</v>
      </c>
      <c r="L194" s="1" t="s">
        <v>32</v>
      </c>
      <c r="M194" s="1" t="s">
        <v>33</v>
      </c>
      <c r="N194" s="1" t="s">
        <v>32</v>
      </c>
      <c r="O194" s="1" t="s">
        <v>32</v>
      </c>
      <c r="P194" s="57">
        <v>5.1200000000000002E-2</v>
      </c>
      <c r="Q194" s="84">
        <f t="shared" si="21"/>
        <v>2.3600000000000003E-2</v>
      </c>
      <c r="S194" s="4">
        <v>46267</v>
      </c>
      <c r="T194" s="3" t="s">
        <v>33</v>
      </c>
      <c r="U194" s="3" t="s">
        <v>33</v>
      </c>
      <c r="V194" s="3" t="s">
        <v>33</v>
      </c>
      <c r="W194" s="3" t="s">
        <v>33</v>
      </c>
      <c r="X194" s="6">
        <v>0.04</v>
      </c>
      <c r="Y194" s="3" t="s">
        <v>33</v>
      </c>
      <c r="Z194" s="6">
        <v>0.03</v>
      </c>
      <c r="AA194" s="2">
        <v>46267</v>
      </c>
      <c r="AB194" s="1" t="s">
        <v>33</v>
      </c>
      <c r="AC194" s="1" t="s">
        <v>33</v>
      </c>
      <c r="AD194" s="1" t="s">
        <v>33</v>
      </c>
      <c r="AE194" s="1" t="s">
        <v>33</v>
      </c>
      <c r="AF194" s="1" t="s">
        <v>33</v>
      </c>
      <c r="AG194" s="1" t="s">
        <v>33</v>
      </c>
      <c r="AH194" s="57">
        <v>3.5000000000000003E-2</v>
      </c>
      <c r="AI194" s="12">
        <f t="shared" si="13"/>
        <v>5.0000000000000044E-3</v>
      </c>
      <c r="AK194" s="4">
        <v>46267</v>
      </c>
      <c r="AL194" s="6">
        <v>0.02</v>
      </c>
      <c r="AM194" s="3"/>
      <c r="AN194" s="3"/>
      <c r="AO194" s="3"/>
      <c r="AP194" s="3" t="s">
        <v>33</v>
      </c>
      <c r="AQ194" s="3" t="s">
        <v>33</v>
      </c>
      <c r="AR194" s="6">
        <v>1.6400000000000001E-2</v>
      </c>
      <c r="AS194" s="2">
        <v>46267</v>
      </c>
      <c r="AT194" s="13">
        <v>0.04</v>
      </c>
      <c r="AU194" s="13">
        <v>0.04</v>
      </c>
      <c r="AV194" s="13">
        <v>4.5199999999999997E-2</v>
      </c>
      <c r="AW194" s="13">
        <v>4.4999999999999998E-2</v>
      </c>
      <c r="AX194" s="13">
        <v>5.5300000000000002E-2</v>
      </c>
      <c r="AY194" s="13">
        <v>3.85E-2</v>
      </c>
      <c r="AZ194" s="13">
        <v>4.7399999999999998E-2</v>
      </c>
      <c r="BA194" s="12">
        <v>2.5999999999999999E-2</v>
      </c>
      <c r="BC194" s="4">
        <v>46267</v>
      </c>
      <c r="BD194" s="6" t="s">
        <v>33</v>
      </c>
      <c r="BE194" s="6">
        <v>2.8000000000000001E-2</v>
      </c>
      <c r="BF194" s="6">
        <v>3.2000000000000001E-2</v>
      </c>
      <c r="BG194" s="3"/>
      <c r="BH194" s="3"/>
      <c r="BI194" s="3"/>
      <c r="BJ194" s="6">
        <v>2.4500000000000001E-2</v>
      </c>
      <c r="BK194" s="2">
        <v>46267</v>
      </c>
      <c r="BL194" s="57">
        <v>5.5E-2</v>
      </c>
      <c r="BM194" s="1"/>
      <c r="BN194" s="57">
        <v>6.0499999999999998E-2</v>
      </c>
      <c r="BO194" s="1"/>
      <c r="BP194" s="1"/>
      <c r="BQ194" s="1"/>
      <c r="BR194" s="57">
        <v>0.05</v>
      </c>
      <c r="BS194" s="12">
        <f t="shared" si="24"/>
        <v>2.5500000000000002E-2</v>
      </c>
    </row>
    <row r="195" spans="1:71" x14ac:dyDescent="0.35">
      <c r="A195" s="4">
        <v>46268</v>
      </c>
      <c r="B195" s="3" t="s">
        <v>33</v>
      </c>
      <c r="C195" s="3" t="s">
        <v>33</v>
      </c>
      <c r="D195" s="3" t="s">
        <v>32</v>
      </c>
      <c r="E195" s="3" t="s">
        <v>33</v>
      </c>
      <c r="F195" s="3" t="s">
        <v>32</v>
      </c>
      <c r="G195" s="3" t="s">
        <v>33</v>
      </c>
      <c r="H195" s="9">
        <v>2.76E-2</v>
      </c>
      <c r="I195" s="2">
        <v>46268</v>
      </c>
      <c r="J195" s="1" t="s">
        <v>33</v>
      </c>
      <c r="K195" s="1" t="s">
        <v>33</v>
      </c>
      <c r="L195" s="1" t="s">
        <v>32</v>
      </c>
      <c r="M195" s="1" t="s">
        <v>33</v>
      </c>
      <c r="N195" s="1" t="s">
        <v>32</v>
      </c>
      <c r="O195" s="1" t="s">
        <v>32</v>
      </c>
      <c r="P195" s="57">
        <v>5.11E-2</v>
      </c>
      <c r="Q195" s="84">
        <f t="shared" si="21"/>
        <v>2.35E-2</v>
      </c>
      <c r="S195" s="4">
        <v>46268</v>
      </c>
      <c r="T195" s="3" t="s">
        <v>33</v>
      </c>
      <c r="U195" s="3" t="s">
        <v>33</v>
      </c>
      <c r="V195" s="3" t="s">
        <v>33</v>
      </c>
      <c r="W195" s="3" t="s">
        <v>33</v>
      </c>
      <c r="X195" s="6">
        <v>0.04</v>
      </c>
      <c r="Y195" s="3" t="s">
        <v>33</v>
      </c>
      <c r="Z195" s="6">
        <v>3.04E-2</v>
      </c>
      <c r="AA195" s="2">
        <v>46268</v>
      </c>
      <c r="AB195" s="1" t="s">
        <v>33</v>
      </c>
      <c r="AC195" s="1" t="s">
        <v>33</v>
      </c>
      <c r="AD195" s="1" t="s">
        <v>33</v>
      </c>
      <c r="AE195" s="1" t="s">
        <v>33</v>
      </c>
      <c r="AF195" s="1" t="s">
        <v>33</v>
      </c>
      <c r="AG195" s="1" t="s">
        <v>33</v>
      </c>
      <c r="AH195" s="57">
        <v>3.5000000000000003E-2</v>
      </c>
      <c r="AI195" s="12">
        <f t="shared" si="13"/>
        <v>4.6000000000000034E-3</v>
      </c>
      <c r="AK195" s="4">
        <v>46268</v>
      </c>
      <c r="AL195" s="6">
        <v>0.02</v>
      </c>
      <c r="AM195" s="3"/>
      <c r="AN195" s="3"/>
      <c r="AO195" s="3"/>
      <c r="AP195" s="3" t="s">
        <v>33</v>
      </c>
      <c r="AQ195" s="3" t="s">
        <v>33</v>
      </c>
      <c r="AR195" s="6">
        <v>1.6899999999999998E-2</v>
      </c>
      <c r="AS195" s="2">
        <v>46268</v>
      </c>
      <c r="AT195" s="13">
        <v>4.1000000000000002E-2</v>
      </c>
      <c r="AU195" s="13">
        <v>4.4900000000000002E-2</v>
      </c>
      <c r="AV195" s="13">
        <v>4.3999999999999997E-2</v>
      </c>
      <c r="AW195" s="13">
        <v>4.4999999999999998E-2</v>
      </c>
      <c r="AX195" s="13">
        <v>5.5399999999999998E-2</v>
      </c>
      <c r="AY195" s="13">
        <v>6.6000000000000003E-2</v>
      </c>
      <c r="AZ195" s="13">
        <v>4.7600000000000003E-2</v>
      </c>
      <c r="BA195" s="12">
        <v>2.5999999999999999E-2</v>
      </c>
      <c r="BC195" s="4">
        <v>46268</v>
      </c>
      <c r="BD195" s="6" t="s">
        <v>33</v>
      </c>
      <c r="BE195" s="6">
        <v>2.8000000000000001E-2</v>
      </c>
      <c r="BF195" s="6">
        <v>3.2000000000000001E-2</v>
      </c>
      <c r="BG195" s="3"/>
      <c r="BH195" s="3"/>
      <c r="BI195" s="3"/>
      <c r="BJ195" s="6">
        <v>2.4199999999999999E-2</v>
      </c>
      <c r="BK195" s="2">
        <v>46268</v>
      </c>
      <c r="BL195" s="57">
        <v>5.5E-2</v>
      </c>
      <c r="BM195" s="1"/>
      <c r="BN195" s="57">
        <v>6.0499999999999998E-2</v>
      </c>
      <c r="BO195" s="1"/>
      <c r="BP195" s="1"/>
      <c r="BQ195" s="1"/>
      <c r="BR195" s="57">
        <v>0.05</v>
      </c>
      <c r="BS195" s="12">
        <f t="shared" si="24"/>
        <v>2.5800000000000003E-2</v>
      </c>
    </row>
    <row r="196" spans="1:71" x14ac:dyDescent="0.35">
      <c r="A196" s="4">
        <v>46269</v>
      </c>
      <c r="B196" s="3" t="s">
        <v>33</v>
      </c>
      <c r="C196" s="3" t="s">
        <v>33</v>
      </c>
      <c r="D196" s="3" t="s">
        <v>32</v>
      </c>
      <c r="E196" s="3" t="s">
        <v>33</v>
      </c>
      <c r="F196" s="3" t="s">
        <v>32</v>
      </c>
      <c r="G196" s="3" t="s">
        <v>33</v>
      </c>
      <c r="H196" s="9">
        <v>3.0599999999999999E-2</v>
      </c>
      <c r="I196" s="2">
        <v>46269</v>
      </c>
      <c r="J196" s="1" t="s">
        <v>33</v>
      </c>
      <c r="K196" s="1" t="s">
        <v>33</v>
      </c>
      <c r="L196" s="1" t="s">
        <v>32</v>
      </c>
      <c r="M196" s="1" t="s">
        <v>33</v>
      </c>
      <c r="N196" s="1" t="s">
        <v>32</v>
      </c>
      <c r="O196" s="1" t="s">
        <v>32</v>
      </c>
      <c r="P196" s="57">
        <v>5.3900000000000003E-2</v>
      </c>
      <c r="Q196" s="84">
        <f t="shared" si="21"/>
        <v>2.3300000000000005E-2</v>
      </c>
      <c r="S196" s="4">
        <v>46269</v>
      </c>
      <c r="T196" s="3" t="s">
        <v>33</v>
      </c>
      <c r="U196" s="3" t="s">
        <v>33</v>
      </c>
      <c r="V196" s="3" t="s">
        <v>33</v>
      </c>
      <c r="W196" s="3" t="s">
        <v>33</v>
      </c>
      <c r="X196" s="6">
        <v>0.04</v>
      </c>
      <c r="Y196" s="3" t="s">
        <v>33</v>
      </c>
      <c r="Z196" s="6">
        <v>3.15E-2</v>
      </c>
      <c r="AA196" s="2">
        <v>46269</v>
      </c>
      <c r="AB196" s="1" t="s">
        <v>33</v>
      </c>
      <c r="AC196" s="1" t="s">
        <v>33</v>
      </c>
      <c r="AD196" s="1" t="s">
        <v>33</v>
      </c>
      <c r="AE196" s="1" t="s">
        <v>33</v>
      </c>
      <c r="AF196" s="1" t="s">
        <v>33</v>
      </c>
      <c r="AG196" s="1" t="s">
        <v>33</v>
      </c>
      <c r="AH196" s="57">
        <v>3.5000000000000003E-2</v>
      </c>
      <c r="AI196" s="12">
        <f t="shared" si="13"/>
        <v>3.5000000000000031E-3</v>
      </c>
      <c r="AK196" s="4">
        <v>46269</v>
      </c>
      <c r="AL196" s="6">
        <v>0.02</v>
      </c>
      <c r="AM196" s="3"/>
      <c r="AN196" s="3"/>
      <c r="AO196" s="3"/>
      <c r="AP196" s="3" t="s">
        <v>33</v>
      </c>
      <c r="AQ196" s="3" t="s">
        <v>33</v>
      </c>
      <c r="AR196" s="6">
        <v>1.9800000000000002E-2</v>
      </c>
      <c r="AS196" s="2">
        <v>46269</v>
      </c>
      <c r="AT196" s="13">
        <v>4.1799999999999997E-2</v>
      </c>
      <c r="AU196" s="13">
        <v>4.2000000000000003E-2</v>
      </c>
      <c r="AV196" s="13">
        <v>4.5100000000000001E-2</v>
      </c>
      <c r="AW196" s="13">
        <v>4.4999999999999998E-2</v>
      </c>
      <c r="AX196" s="13">
        <v>5.5300000000000002E-2</v>
      </c>
      <c r="AY196" s="13">
        <v>6.5000000000000002E-2</v>
      </c>
      <c r="AZ196" s="13">
        <v>5.0200000000000002E-2</v>
      </c>
      <c r="BA196" s="12">
        <v>2.5999999999999999E-2</v>
      </c>
      <c r="BC196" s="4">
        <v>46269</v>
      </c>
      <c r="BD196" s="6" t="s">
        <v>33</v>
      </c>
      <c r="BE196" s="6">
        <v>2.8000000000000001E-2</v>
      </c>
      <c r="BF196" s="6">
        <v>3.2000000000000001E-2</v>
      </c>
      <c r="BG196" s="3"/>
      <c r="BH196" s="3"/>
      <c r="BI196" s="3"/>
      <c r="BJ196" s="6">
        <v>2.5000000000000001E-2</v>
      </c>
      <c r="BK196" s="2">
        <v>46269</v>
      </c>
      <c r="BL196" s="57">
        <v>5.5E-2</v>
      </c>
      <c r="BM196" s="1"/>
      <c r="BN196" s="57">
        <v>6.0499999999999998E-2</v>
      </c>
      <c r="BO196" s="1"/>
      <c r="BP196" s="1"/>
      <c r="BQ196" s="1"/>
      <c r="BR196" s="57">
        <v>0.05</v>
      </c>
      <c r="BS196" s="12">
        <f t="shared" si="24"/>
        <v>2.5000000000000001E-2</v>
      </c>
    </row>
    <row r="197" spans="1:71" x14ac:dyDescent="0.35">
      <c r="A197" s="4">
        <v>46270</v>
      </c>
      <c r="B197" s="3" t="s">
        <v>33</v>
      </c>
      <c r="C197" s="3" t="s">
        <v>33</v>
      </c>
      <c r="D197" s="3" t="s">
        <v>32</v>
      </c>
      <c r="E197" s="3" t="s">
        <v>33</v>
      </c>
      <c r="F197" s="3" t="s">
        <v>32</v>
      </c>
      <c r="G197" s="3" t="s">
        <v>33</v>
      </c>
      <c r="H197" s="9">
        <v>2.81E-2</v>
      </c>
      <c r="I197" s="2">
        <v>46270</v>
      </c>
      <c r="J197" s="1" t="s">
        <v>33</v>
      </c>
      <c r="K197" s="1" t="s">
        <v>33</v>
      </c>
      <c r="L197" s="1" t="s">
        <v>32</v>
      </c>
      <c r="M197" s="1" t="s">
        <v>33</v>
      </c>
      <c r="N197" s="1" t="s">
        <v>32</v>
      </c>
      <c r="O197" s="1" t="s">
        <v>32</v>
      </c>
      <c r="P197" s="57">
        <v>5.3499999999999999E-2</v>
      </c>
      <c r="Q197" s="84">
        <f t="shared" si="21"/>
        <v>2.5399999999999999E-2</v>
      </c>
      <c r="S197" s="4">
        <v>46270</v>
      </c>
      <c r="T197" s="3" t="s">
        <v>33</v>
      </c>
      <c r="U197" s="3" t="s">
        <v>33</v>
      </c>
      <c r="V197" s="3" t="s">
        <v>33</v>
      </c>
      <c r="W197" s="3" t="s">
        <v>33</v>
      </c>
      <c r="X197" s="6">
        <v>0.04</v>
      </c>
      <c r="Y197" s="3" t="s">
        <v>33</v>
      </c>
      <c r="Z197" s="6">
        <v>3.0200000000000001E-2</v>
      </c>
      <c r="AA197" s="2">
        <v>46270</v>
      </c>
      <c r="AB197" s="1" t="s">
        <v>33</v>
      </c>
      <c r="AC197" s="1" t="s">
        <v>33</v>
      </c>
      <c r="AD197" s="1" t="s">
        <v>33</v>
      </c>
      <c r="AE197" s="1" t="s">
        <v>33</v>
      </c>
      <c r="AF197" s="1" t="s">
        <v>33</v>
      </c>
      <c r="AG197" s="1" t="s">
        <v>33</v>
      </c>
      <c r="AH197" s="57">
        <v>3.5000000000000003E-2</v>
      </c>
      <c r="AI197" s="12">
        <f t="shared" si="13"/>
        <v>4.8000000000000022E-3</v>
      </c>
      <c r="AK197" s="4">
        <v>46270</v>
      </c>
      <c r="AL197" s="6">
        <v>0.02</v>
      </c>
      <c r="AM197" s="3"/>
      <c r="AN197" s="3"/>
      <c r="AO197" s="3"/>
      <c r="AP197" s="3" t="s">
        <v>33</v>
      </c>
      <c r="AQ197" s="3" t="s">
        <v>33</v>
      </c>
      <c r="AR197" s="6">
        <v>1.8200000000000001E-2</v>
      </c>
      <c r="AS197" s="2">
        <v>46270</v>
      </c>
      <c r="AT197" s="13">
        <v>4.19E-2</v>
      </c>
      <c r="AU197" s="13">
        <v>4.19E-2</v>
      </c>
      <c r="AV197" s="13">
        <v>4.5199999999999997E-2</v>
      </c>
      <c r="AW197" s="13">
        <v>4.9799999999999997E-2</v>
      </c>
      <c r="AX197" s="13">
        <v>5.0999999999999997E-2</v>
      </c>
      <c r="AY197" s="13">
        <v>6.3700000000000007E-2</v>
      </c>
      <c r="AZ197" s="13">
        <v>4.8800000000000003E-2</v>
      </c>
      <c r="BA197" s="12">
        <v>2.5999999999999999E-2</v>
      </c>
      <c r="BC197" s="4">
        <v>46270</v>
      </c>
      <c r="BD197" s="6" t="s">
        <v>33</v>
      </c>
      <c r="BE197" s="6">
        <v>2.8000000000000001E-2</v>
      </c>
      <c r="BF197" s="6">
        <v>3.2000000000000001E-2</v>
      </c>
      <c r="BG197" s="3"/>
      <c r="BH197" s="3"/>
      <c r="BI197" s="3"/>
      <c r="BJ197" s="6">
        <v>2.23E-2</v>
      </c>
      <c r="BK197" s="2">
        <v>46270</v>
      </c>
      <c r="BL197" s="57">
        <v>5.5E-2</v>
      </c>
      <c r="BM197" s="1"/>
      <c r="BN197" s="57">
        <v>6.0499999999999998E-2</v>
      </c>
      <c r="BO197" s="1"/>
      <c r="BP197" s="1"/>
      <c r="BQ197" s="1"/>
      <c r="BR197" s="57">
        <v>4.9700000000000001E-2</v>
      </c>
      <c r="BS197" s="12">
        <f t="shared" si="24"/>
        <v>2.7400000000000001E-2</v>
      </c>
    </row>
    <row r="198" spans="1:71" x14ac:dyDescent="0.35">
      <c r="A198" s="4">
        <v>46271</v>
      </c>
      <c r="B198" s="3" t="s">
        <v>33</v>
      </c>
      <c r="C198" s="3" t="s">
        <v>33</v>
      </c>
      <c r="D198" s="3" t="s">
        <v>32</v>
      </c>
      <c r="E198" s="3" t="s">
        <v>33</v>
      </c>
      <c r="F198" s="3" t="s">
        <v>32</v>
      </c>
      <c r="G198" s="3" t="s">
        <v>33</v>
      </c>
      <c r="H198" s="9">
        <v>2.8299999999999999E-2</v>
      </c>
      <c r="I198" s="2">
        <v>46271</v>
      </c>
      <c r="J198" s="1" t="s">
        <v>33</v>
      </c>
      <c r="K198" s="1" t="s">
        <v>33</v>
      </c>
      <c r="L198" s="1" t="s">
        <v>32</v>
      </c>
      <c r="M198" s="1" t="s">
        <v>33</v>
      </c>
      <c r="N198" s="1" t="s">
        <v>32</v>
      </c>
      <c r="O198" s="1" t="s">
        <v>32</v>
      </c>
      <c r="P198" s="57">
        <v>5.2600000000000001E-2</v>
      </c>
      <c r="Q198" s="84">
        <f t="shared" si="21"/>
        <v>2.4300000000000002E-2</v>
      </c>
      <c r="S198" s="4">
        <v>46271</v>
      </c>
      <c r="T198" s="3" t="s">
        <v>33</v>
      </c>
      <c r="U198" s="3" t="s">
        <v>33</v>
      </c>
      <c r="V198" s="3" t="s">
        <v>33</v>
      </c>
      <c r="W198" s="3" t="s">
        <v>33</v>
      </c>
      <c r="X198" s="6">
        <v>0.04</v>
      </c>
      <c r="Y198" s="3" t="s">
        <v>33</v>
      </c>
      <c r="Z198" s="6">
        <v>3.0200000000000001E-2</v>
      </c>
      <c r="AA198" s="2">
        <v>46271</v>
      </c>
      <c r="AB198" s="1" t="s">
        <v>33</v>
      </c>
      <c r="AC198" s="1" t="s">
        <v>33</v>
      </c>
      <c r="AD198" s="1" t="s">
        <v>33</v>
      </c>
      <c r="AE198" s="1" t="s">
        <v>33</v>
      </c>
      <c r="AF198" s="1" t="s">
        <v>33</v>
      </c>
      <c r="AG198" s="1" t="s">
        <v>33</v>
      </c>
      <c r="AH198" s="57">
        <v>3.5000000000000003E-2</v>
      </c>
      <c r="AI198" s="12">
        <f t="shared" ref="AI198:AI200" si="25">AH198-Z198</f>
        <v>4.8000000000000022E-3</v>
      </c>
      <c r="AK198" s="4">
        <v>46271</v>
      </c>
      <c r="AL198" s="6">
        <v>0.02</v>
      </c>
      <c r="AM198" s="3"/>
      <c r="AN198" s="3"/>
      <c r="AO198" s="3"/>
      <c r="AP198" s="3" t="s">
        <v>33</v>
      </c>
      <c r="AQ198" s="3" t="s">
        <v>33</v>
      </c>
      <c r="AR198" s="6">
        <v>1.8200000000000001E-2</v>
      </c>
      <c r="AS198" s="2">
        <v>46271</v>
      </c>
      <c r="AT198" s="13">
        <v>4.19E-2</v>
      </c>
      <c r="AU198" s="13">
        <v>4.19E-2</v>
      </c>
      <c r="AV198" s="13">
        <v>4.5199999999999997E-2</v>
      </c>
      <c r="AW198" s="13">
        <v>4.9799999999999997E-2</v>
      </c>
      <c r="AX198" s="13">
        <v>5.0999999999999997E-2</v>
      </c>
      <c r="AY198" s="13">
        <v>6.3700000000000007E-2</v>
      </c>
      <c r="AZ198" s="13">
        <v>4.8800000000000003E-2</v>
      </c>
      <c r="BA198" s="12">
        <v>2.5999999999999999E-2</v>
      </c>
      <c r="BC198" s="4">
        <v>46271</v>
      </c>
      <c r="BD198" s="6" t="s">
        <v>33</v>
      </c>
      <c r="BE198" s="6">
        <v>2.8000000000000001E-2</v>
      </c>
      <c r="BF198" s="6">
        <v>3.2000000000000001E-2</v>
      </c>
      <c r="BG198" s="3"/>
      <c r="BH198" s="3"/>
      <c r="BI198" s="3"/>
      <c r="BJ198" s="6">
        <v>2.2200000000000001E-2</v>
      </c>
      <c r="BK198" s="2">
        <v>46271</v>
      </c>
      <c r="BL198" s="57">
        <v>5.5E-2</v>
      </c>
      <c r="BM198" s="1"/>
      <c r="BN198" s="57">
        <v>6.0499999999999998E-2</v>
      </c>
      <c r="BO198" s="1"/>
      <c r="BP198" s="1"/>
      <c r="BQ198" s="1"/>
      <c r="BR198" s="57">
        <v>0.05</v>
      </c>
      <c r="BS198" s="12">
        <f t="shared" si="24"/>
        <v>2.7800000000000002E-2</v>
      </c>
    </row>
    <row r="199" spans="1:71" x14ac:dyDescent="0.35">
      <c r="A199" s="4">
        <v>46272</v>
      </c>
      <c r="B199" s="3" t="s">
        <v>33</v>
      </c>
      <c r="C199" s="3" t="s">
        <v>33</v>
      </c>
      <c r="D199" s="3" t="s">
        <v>32</v>
      </c>
      <c r="E199" s="3" t="s">
        <v>33</v>
      </c>
      <c r="F199" s="3" t="s">
        <v>32</v>
      </c>
      <c r="G199" s="3" t="s">
        <v>33</v>
      </c>
      <c r="H199" s="9">
        <v>2.8299999999999999E-2</v>
      </c>
      <c r="I199" s="2">
        <v>46272</v>
      </c>
      <c r="J199" s="1" t="s">
        <v>33</v>
      </c>
      <c r="K199" s="1" t="s">
        <v>33</v>
      </c>
      <c r="L199" s="1" t="s">
        <v>32</v>
      </c>
      <c r="M199" s="1" t="s">
        <v>33</v>
      </c>
      <c r="N199" s="1" t="s">
        <v>32</v>
      </c>
      <c r="O199" s="1" t="s">
        <v>32</v>
      </c>
      <c r="P199" s="57">
        <v>5.1900000000000002E-2</v>
      </c>
      <c r="Q199" s="84">
        <f t="shared" si="21"/>
        <v>2.3600000000000003E-2</v>
      </c>
      <c r="S199" s="4">
        <v>46272</v>
      </c>
      <c r="T199" s="3" t="s">
        <v>33</v>
      </c>
      <c r="U199" s="3" t="s">
        <v>33</v>
      </c>
      <c r="V199" s="3" t="s">
        <v>33</v>
      </c>
      <c r="W199" s="3" t="s">
        <v>33</v>
      </c>
      <c r="X199" s="6">
        <v>0.04</v>
      </c>
      <c r="Y199" s="3" t="s">
        <v>33</v>
      </c>
      <c r="Z199" s="6">
        <v>2.76E-2</v>
      </c>
      <c r="AA199" s="2">
        <v>46272</v>
      </c>
      <c r="AB199" s="1" t="s">
        <v>33</v>
      </c>
      <c r="AC199" s="1" t="s">
        <v>33</v>
      </c>
      <c r="AD199" s="1" t="s">
        <v>33</v>
      </c>
      <c r="AE199" s="1" t="s">
        <v>33</v>
      </c>
      <c r="AF199" s="1" t="s">
        <v>33</v>
      </c>
      <c r="AG199" s="1" t="s">
        <v>33</v>
      </c>
      <c r="AH199" s="57">
        <v>3.5000000000000003E-2</v>
      </c>
      <c r="AI199" s="12">
        <f t="shared" si="25"/>
        <v>7.4000000000000038E-3</v>
      </c>
      <c r="AK199" s="4">
        <v>46272</v>
      </c>
      <c r="AL199" s="6">
        <v>0.02</v>
      </c>
      <c r="AM199" s="3"/>
      <c r="AN199" s="3"/>
      <c r="AO199" s="3"/>
      <c r="AP199" s="3" t="s">
        <v>33</v>
      </c>
      <c r="AQ199" s="3" t="s">
        <v>33</v>
      </c>
      <c r="AR199" s="6">
        <v>1.8200000000000001E-2</v>
      </c>
      <c r="AS199" s="2">
        <v>46272</v>
      </c>
      <c r="AT199" s="13">
        <v>4.19E-2</v>
      </c>
      <c r="AU199" s="13">
        <v>4.19E-2</v>
      </c>
      <c r="AV199" s="13">
        <v>4.5199999999999997E-2</v>
      </c>
      <c r="AW199" s="13">
        <v>4.9799999999999997E-2</v>
      </c>
      <c r="AX199" s="13">
        <v>5.0999999999999997E-2</v>
      </c>
      <c r="AY199" s="13">
        <v>6.3700000000000007E-2</v>
      </c>
      <c r="AZ199" s="13">
        <v>4.8800000000000003E-2</v>
      </c>
      <c r="BA199" s="12">
        <v>2.5999999999999999E-2</v>
      </c>
      <c r="BC199" s="4">
        <v>46272</v>
      </c>
      <c r="BD199" s="6" t="s">
        <v>33</v>
      </c>
      <c r="BE199" s="6">
        <v>2.8000000000000001E-2</v>
      </c>
      <c r="BF199" s="6">
        <v>3.2000000000000001E-2</v>
      </c>
      <c r="BG199" s="3"/>
      <c r="BH199" s="3"/>
      <c r="BI199" s="3"/>
      <c r="BJ199" s="6">
        <v>2.3199999999999998E-2</v>
      </c>
      <c r="BK199" s="2">
        <v>46272</v>
      </c>
      <c r="BL199" s="57">
        <v>5.5E-2</v>
      </c>
      <c r="BM199" s="1"/>
      <c r="BN199" s="57">
        <v>6.0499999999999998E-2</v>
      </c>
      <c r="BO199" s="1"/>
      <c r="BP199" s="1"/>
      <c r="BQ199" s="1"/>
      <c r="BR199" s="57">
        <v>0.05</v>
      </c>
      <c r="BS199" s="12">
        <f t="shared" si="24"/>
        <v>2.6800000000000004E-2</v>
      </c>
    </row>
    <row r="200" spans="1:71" x14ac:dyDescent="0.35">
      <c r="A200" s="4">
        <v>46273</v>
      </c>
      <c r="B200" s="3" t="s">
        <v>33</v>
      </c>
      <c r="C200" s="3" t="s">
        <v>33</v>
      </c>
      <c r="D200" s="3" t="s">
        <v>32</v>
      </c>
      <c r="E200" s="3" t="s">
        <v>33</v>
      </c>
      <c r="F200" s="3" t="s">
        <v>32</v>
      </c>
      <c r="G200" s="3" t="s">
        <v>33</v>
      </c>
      <c r="H200" s="9">
        <v>2.7900000000000001E-2</v>
      </c>
      <c r="I200" s="2">
        <v>46273</v>
      </c>
      <c r="J200" s="1" t="s">
        <v>33</v>
      </c>
      <c r="K200" s="1" t="s">
        <v>33</v>
      </c>
      <c r="L200" s="1" t="s">
        <v>32</v>
      </c>
      <c r="M200" s="1" t="s">
        <v>33</v>
      </c>
      <c r="N200" s="1" t="s">
        <v>32</v>
      </c>
      <c r="O200" s="1" t="s">
        <v>32</v>
      </c>
      <c r="P200" s="57">
        <v>5.1299999999999998E-2</v>
      </c>
      <c r="Q200" s="84">
        <f t="shared" si="21"/>
        <v>2.3399999999999997E-2</v>
      </c>
      <c r="S200" s="4">
        <v>46273</v>
      </c>
      <c r="T200" s="3" t="s">
        <v>33</v>
      </c>
      <c r="U200" s="3" t="s">
        <v>33</v>
      </c>
      <c r="V200" s="3" t="s">
        <v>33</v>
      </c>
      <c r="W200" s="3" t="s">
        <v>33</v>
      </c>
      <c r="X200" s="6">
        <v>0.04</v>
      </c>
      <c r="Y200" s="3" t="s">
        <v>33</v>
      </c>
      <c r="Z200" s="6">
        <v>3.0200000000000001E-2</v>
      </c>
      <c r="AA200" s="2">
        <v>46273</v>
      </c>
      <c r="AB200" s="1" t="s">
        <v>33</v>
      </c>
      <c r="AC200" s="1" t="s">
        <v>33</v>
      </c>
      <c r="AD200" s="1" t="s">
        <v>33</v>
      </c>
      <c r="AE200" s="1" t="s">
        <v>33</v>
      </c>
      <c r="AF200" s="1" t="s">
        <v>33</v>
      </c>
      <c r="AG200" s="1" t="s">
        <v>33</v>
      </c>
      <c r="AH200" s="57">
        <v>3.5000000000000003E-2</v>
      </c>
      <c r="AI200" s="12">
        <f t="shared" si="25"/>
        <v>4.8000000000000022E-3</v>
      </c>
      <c r="AK200" s="4">
        <v>46273</v>
      </c>
      <c r="AL200" s="6">
        <v>0.02</v>
      </c>
      <c r="AM200" s="3"/>
      <c r="AN200" s="3"/>
      <c r="AO200" s="3"/>
      <c r="AP200" s="3" t="s">
        <v>33</v>
      </c>
      <c r="AQ200" s="3" t="s">
        <v>33</v>
      </c>
      <c r="AR200" s="6">
        <v>1.7600000000000001E-2</v>
      </c>
      <c r="AS200" s="2">
        <v>46273</v>
      </c>
      <c r="AT200" s="13">
        <v>4.4999999999999998E-2</v>
      </c>
      <c r="AU200" s="13">
        <v>4.19E-2</v>
      </c>
      <c r="AV200" s="13">
        <v>4.5199999999999997E-2</v>
      </c>
      <c r="AW200" s="13">
        <v>0.05</v>
      </c>
      <c r="AX200" s="13">
        <v>5.0999999999999997E-2</v>
      </c>
      <c r="AY200" s="13">
        <v>6.3E-2</v>
      </c>
      <c r="AZ200" s="13">
        <v>4.82E-2</v>
      </c>
      <c r="BA200" s="12">
        <v>2.5999999999999999E-2</v>
      </c>
      <c r="BC200" s="4">
        <v>46273</v>
      </c>
      <c r="BD200" s="6" t="s">
        <v>33</v>
      </c>
      <c r="BE200" s="6">
        <v>2.8000000000000001E-2</v>
      </c>
      <c r="BF200" s="6">
        <v>3.2000000000000001E-2</v>
      </c>
      <c r="BG200" s="3"/>
      <c r="BH200" s="3"/>
      <c r="BI200" s="3"/>
      <c r="BJ200" s="6">
        <v>2.35E-2</v>
      </c>
      <c r="BK200" s="2">
        <v>46273</v>
      </c>
      <c r="BL200" s="57">
        <v>5.5E-2</v>
      </c>
      <c r="BM200" s="1"/>
      <c r="BN200" s="57">
        <v>6.0499999999999998E-2</v>
      </c>
      <c r="BO200" s="1"/>
      <c r="BP200" s="1"/>
      <c r="BQ200" s="1"/>
      <c r="BR200" s="57">
        <v>0.05</v>
      </c>
      <c r="BS200" s="12">
        <f t="shared" si="24"/>
        <v>2.6500000000000003E-2</v>
      </c>
    </row>
    <row r="201" spans="1:71" x14ac:dyDescent="0.35">
      <c r="A201" s="4">
        <v>46274</v>
      </c>
      <c r="B201" s="3" t="s">
        <v>33</v>
      </c>
      <c r="C201" s="3" t="s">
        <v>33</v>
      </c>
      <c r="D201" s="3" t="s">
        <v>32</v>
      </c>
      <c r="E201" s="3" t="s">
        <v>33</v>
      </c>
      <c r="F201" s="3" t="s">
        <v>32</v>
      </c>
      <c r="G201" s="3" t="s">
        <v>33</v>
      </c>
      <c r="H201" s="9"/>
      <c r="I201" s="2">
        <v>46274</v>
      </c>
      <c r="J201" s="1" t="s">
        <v>33</v>
      </c>
      <c r="K201" s="1" t="s">
        <v>33</v>
      </c>
      <c r="L201" s="1" t="s">
        <v>32</v>
      </c>
      <c r="M201" s="1" t="s">
        <v>33</v>
      </c>
      <c r="N201" s="1" t="s">
        <v>32</v>
      </c>
      <c r="O201" s="1" t="s">
        <v>32</v>
      </c>
      <c r="P201" s="57"/>
      <c r="Q201" s="84"/>
      <c r="S201" s="4">
        <v>46274</v>
      </c>
      <c r="T201" s="3" t="s">
        <v>33</v>
      </c>
      <c r="U201" s="3" t="s">
        <v>33</v>
      </c>
      <c r="V201" s="3" t="s">
        <v>33</v>
      </c>
      <c r="W201" s="3" t="s">
        <v>33</v>
      </c>
      <c r="X201" s="6"/>
      <c r="Y201" s="3" t="s">
        <v>33</v>
      </c>
      <c r="Z201" s="6"/>
      <c r="AA201" s="2">
        <v>46274</v>
      </c>
      <c r="AB201" s="1" t="s">
        <v>33</v>
      </c>
      <c r="AC201" s="1" t="s">
        <v>33</v>
      </c>
      <c r="AD201" s="1" t="s">
        <v>33</v>
      </c>
      <c r="AE201" s="1" t="s">
        <v>33</v>
      </c>
      <c r="AF201" s="1" t="s">
        <v>33</v>
      </c>
      <c r="AG201" s="1" t="s">
        <v>33</v>
      </c>
      <c r="AH201" s="57"/>
      <c r="AI201" s="12"/>
      <c r="AK201" s="4">
        <v>46274</v>
      </c>
      <c r="AL201" s="6"/>
      <c r="AM201" s="3"/>
      <c r="AN201" s="3"/>
      <c r="AO201" s="3"/>
      <c r="AP201" s="3" t="s">
        <v>33</v>
      </c>
      <c r="AQ201" s="3" t="s">
        <v>33</v>
      </c>
      <c r="AR201" s="6"/>
      <c r="AS201" s="2">
        <v>46274</v>
      </c>
      <c r="AT201" s="13"/>
      <c r="AU201" s="13"/>
      <c r="AV201" s="13"/>
      <c r="AW201" s="13"/>
      <c r="AX201" s="13"/>
      <c r="AY201" s="13"/>
      <c r="AZ201" s="13"/>
      <c r="BA201" s="12"/>
      <c r="BC201" s="4">
        <v>46274</v>
      </c>
      <c r="BD201" s="6" t="s">
        <v>33</v>
      </c>
      <c r="BE201" s="6"/>
      <c r="BF201" s="6"/>
      <c r="BG201" s="3"/>
      <c r="BH201" s="3"/>
      <c r="BI201" s="3"/>
      <c r="BJ201" s="6"/>
      <c r="BK201" s="2">
        <v>46274</v>
      </c>
      <c r="BL201" s="57"/>
      <c r="BM201" s="1"/>
      <c r="BN201" s="57"/>
      <c r="BO201" s="1"/>
      <c r="BP201" s="1"/>
      <c r="BQ201" s="1"/>
      <c r="BR201" s="57"/>
      <c r="BS201" s="12"/>
    </row>
    <row r="202" spans="1:71" x14ac:dyDescent="0.35">
      <c r="A202" s="4">
        <v>46275</v>
      </c>
      <c r="B202" s="3" t="s">
        <v>33</v>
      </c>
      <c r="C202" s="3" t="s">
        <v>33</v>
      </c>
      <c r="D202" s="3" t="s">
        <v>32</v>
      </c>
      <c r="E202" s="3" t="s">
        <v>33</v>
      </c>
      <c r="F202" s="3" t="s">
        <v>32</v>
      </c>
      <c r="G202" s="3" t="s">
        <v>33</v>
      </c>
      <c r="H202" s="9"/>
      <c r="I202" s="2">
        <v>46275</v>
      </c>
      <c r="J202" s="1" t="s">
        <v>33</v>
      </c>
      <c r="K202" s="1" t="s">
        <v>33</v>
      </c>
      <c r="L202" s="1" t="s">
        <v>32</v>
      </c>
      <c r="M202" s="1" t="s">
        <v>33</v>
      </c>
      <c r="N202" s="1" t="s">
        <v>32</v>
      </c>
      <c r="O202" s="1" t="s">
        <v>32</v>
      </c>
      <c r="P202" s="57"/>
      <c r="Q202" s="84"/>
      <c r="S202" s="4">
        <v>46275</v>
      </c>
      <c r="T202" s="3" t="s">
        <v>33</v>
      </c>
      <c r="U202" s="3" t="s">
        <v>33</v>
      </c>
      <c r="V202" s="3" t="s">
        <v>33</v>
      </c>
      <c r="W202" s="3" t="s">
        <v>33</v>
      </c>
      <c r="X202" s="6"/>
      <c r="Y202" s="3" t="s">
        <v>33</v>
      </c>
      <c r="Z202" s="6"/>
      <c r="AA202" s="2">
        <v>46275</v>
      </c>
      <c r="AB202" s="1" t="s">
        <v>33</v>
      </c>
      <c r="AC202" s="1" t="s">
        <v>33</v>
      </c>
      <c r="AD202" s="1" t="s">
        <v>33</v>
      </c>
      <c r="AE202" s="1" t="s">
        <v>33</v>
      </c>
      <c r="AF202" s="1" t="s">
        <v>33</v>
      </c>
      <c r="AG202" s="1" t="s">
        <v>33</v>
      </c>
      <c r="AH202" s="57"/>
      <c r="AI202" s="12"/>
      <c r="AK202" s="4">
        <v>46275</v>
      </c>
      <c r="AL202" s="6"/>
      <c r="AM202" s="3"/>
      <c r="AN202" s="3"/>
      <c r="AO202" s="3"/>
      <c r="AP202" s="3" t="s">
        <v>33</v>
      </c>
      <c r="AQ202" s="3" t="s">
        <v>33</v>
      </c>
      <c r="AR202" s="6"/>
      <c r="AS202" s="2">
        <v>46275</v>
      </c>
      <c r="AT202" s="13"/>
      <c r="AU202" s="13"/>
      <c r="AV202" s="13"/>
      <c r="AW202" s="13"/>
      <c r="AX202" s="13"/>
      <c r="AY202" s="13"/>
      <c r="AZ202" s="13"/>
      <c r="BA202" s="12"/>
      <c r="BC202" s="4">
        <v>46275</v>
      </c>
      <c r="BD202" s="6" t="s">
        <v>33</v>
      </c>
      <c r="BE202" s="6"/>
      <c r="BF202" s="6"/>
      <c r="BG202" s="3"/>
      <c r="BH202" s="3"/>
      <c r="BI202" s="3"/>
      <c r="BJ202" s="6"/>
      <c r="BK202" s="2">
        <v>46275</v>
      </c>
      <c r="BL202" s="57"/>
      <c r="BM202" s="1"/>
      <c r="BN202" s="57"/>
      <c r="BO202" s="1"/>
      <c r="BP202" s="1"/>
      <c r="BQ202" s="1"/>
      <c r="BR202" s="57"/>
      <c r="BS202" s="12"/>
    </row>
    <row r="203" spans="1:71" x14ac:dyDescent="0.35">
      <c r="A203" s="4">
        <v>46276</v>
      </c>
      <c r="B203" s="3" t="s">
        <v>33</v>
      </c>
      <c r="C203" s="3" t="s">
        <v>33</v>
      </c>
      <c r="D203" s="3" t="s">
        <v>32</v>
      </c>
      <c r="E203" s="3" t="s">
        <v>33</v>
      </c>
      <c r="F203" s="3" t="s">
        <v>32</v>
      </c>
      <c r="G203" s="3" t="s">
        <v>33</v>
      </c>
      <c r="H203" s="9"/>
      <c r="I203" s="2">
        <v>46276</v>
      </c>
      <c r="J203" s="1" t="s">
        <v>33</v>
      </c>
      <c r="K203" s="1" t="s">
        <v>33</v>
      </c>
      <c r="L203" s="1" t="s">
        <v>32</v>
      </c>
      <c r="M203" s="1" t="s">
        <v>33</v>
      </c>
      <c r="N203" s="1" t="s">
        <v>32</v>
      </c>
      <c r="O203" s="1" t="s">
        <v>32</v>
      </c>
      <c r="P203" s="57"/>
      <c r="Q203" s="84"/>
      <c r="S203" s="4">
        <v>46276</v>
      </c>
      <c r="T203" s="3" t="s">
        <v>33</v>
      </c>
      <c r="U203" s="3" t="s">
        <v>33</v>
      </c>
      <c r="V203" s="3" t="s">
        <v>33</v>
      </c>
      <c r="W203" s="3" t="s">
        <v>33</v>
      </c>
      <c r="X203" s="6"/>
      <c r="Y203" s="3" t="s">
        <v>33</v>
      </c>
      <c r="Z203" s="6"/>
      <c r="AA203" s="2">
        <v>46276</v>
      </c>
      <c r="AB203" s="1" t="s">
        <v>33</v>
      </c>
      <c r="AC203" s="1" t="s">
        <v>33</v>
      </c>
      <c r="AD203" s="1" t="s">
        <v>33</v>
      </c>
      <c r="AE203" s="1" t="s">
        <v>33</v>
      </c>
      <c r="AF203" s="1" t="s">
        <v>33</v>
      </c>
      <c r="AG203" s="1" t="s">
        <v>33</v>
      </c>
      <c r="AH203" s="57"/>
      <c r="AI203" s="12"/>
      <c r="AK203" s="4">
        <v>46276</v>
      </c>
      <c r="AL203" s="6"/>
      <c r="AM203" s="3"/>
      <c r="AN203" s="3"/>
      <c r="AO203" s="3"/>
      <c r="AP203" s="3" t="s">
        <v>33</v>
      </c>
      <c r="AQ203" s="3" t="s">
        <v>33</v>
      </c>
      <c r="AR203" s="6"/>
      <c r="AS203" s="2">
        <v>46276</v>
      </c>
      <c r="AT203" s="13"/>
      <c r="AU203" s="13"/>
      <c r="AV203" s="13"/>
      <c r="AW203" s="13"/>
      <c r="AX203" s="13"/>
      <c r="AY203" s="13"/>
      <c r="AZ203" s="13"/>
      <c r="BA203" s="12"/>
      <c r="BC203" s="4">
        <v>46276</v>
      </c>
      <c r="BD203" s="6" t="s">
        <v>33</v>
      </c>
      <c r="BE203" s="6"/>
      <c r="BF203" s="6"/>
      <c r="BG203" s="3"/>
      <c r="BH203" s="3"/>
      <c r="BI203" s="3"/>
      <c r="BJ203" s="6"/>
      <c r="BK203" s="2">
        <v>46276</v>
      </c>
      <c r="BL203" s="57"/>
      <c r="BM203" s="1"/>
      <c r="BN203" s="57"/>
      <c r="BO203" s="1"/>
      <c r="BP203" s="1"/>
      <c r="BQ203" s="1"/>
      <c r="BR203" s="57"/>
      <c r="BS203" s="12"/>
    </row>
    <row r="204" spans="1:71" x14ac:dyDescent="0.35">
      <c r="A204" s="4">
        <v>46277</v>
      </c>
      <c r="B204" s="3" t="s">
        <v>33</v>
      </c>
      <c r="C204" s="3" t="s">
        <v>33</v>
      </c>
      <c r="D204" s="3" t="s">
        <v>32</v>
      </c>
      <c r="E204" s="3" t="s">
        <v>33</v>
      </c>
      <c r="F204" s="3" t="s">
        <v>32</v>
      </c>
      <c r="G204" s="3" t="s">
        <v>33</v>
      </c>
      <c r="H204" s="9"/>
      <c r="I204" s="2">
        <v>46277</v>
      </c>
      <c r="J204" s="1" t="s">
        <v>33</v>
      </c>
      <c r="K204" s="1" t="s">
        <v>33</v>
      </c>
      <c r="L204" s="1" t="s">
        <v>32</v>
      </c>
      <c r="M204" s="1" t="s">
        <v>33</v>
      </c>
      <c r="N204" s="1" t="s">
        <v>32</v>
      </c>
      <c r="O204" s="1" t="s">
        <v>32</v>
      </c>
      <c r="P204" s="57"/>
      <c r="Q204" s="84"/>
      <c r="S204" s="4">
        <v>46277</v>
      </c>
      <c r="T204" s="3" t="s">
        <v>33</v>
      </c>
      <c r="U204" s="3" t="s">
        <v>33</v>
      </c>
      <c r="V204" s="3" t="s">
        <v>33</v>
      </c>
      <c r="W204" s="3" t="s">
        <v>33</v>
      </c>
      <c r="X204" s="6"/>
      <c r="Y204" s="3" t="s">
        <v>33</v>
      </c>
      <c r="Z204" s="6"/>
      <c r="AA204" s="2">
        <v>46277</v>
      </c>
      <c r="AB204" s="1" t="s">
        <v>33</v>
      </c>
      <c r="AC204" s="1" t="s">
        <v>33</v>
      </c>
      <c r="AD204" s="1" t="s">
        <v>33</v>
      </c>
      <c r="AE204" s="1" t="s">
        <v>33</v>
      </c>
      <c r="AF204" s="1" t="s">
        <v>33</v>
      </c>
      <c r="AG204" s="1" t="s">
        <v>33</v>
      </c>
      <c r="AH204" s="57"/>
      <c r="AI204" s="12"/>
      <c r="AK204" s="4">
        <v>46277</v>
      </c>
      <c r="AL204" s="6"/>
      <c r="AM204" s="3"/>
      <c r="AN204" s="3"/>
      <c r="AO204" s="3"/>
      <c r="AP204" s="3" t="s">
        <v>33</v>
      </c>
      <c r="AQ204" s="3" t="s">
        <v>33</v>
      </c>
      <c r="AR204" s="6"/>
      <c r="AS204" s="2">
        <v>46277</v>
      </c>
      <c r="AT204" s="13"/>
      <c r="AU204" s="13"/>
      <c r="AV204" s="13"/>
      <c r="AW204" s="13"/>
      <c r="AX204" s="13"/>
      <c r="AY204" s="13"/>
      <c r="AZ204" s="13"/>
      <c r="BA204" s="12"/>
      <c r="BC204" s="4">
        <v>46277</v>
      </c>
      <c r="BD204" s="6" t="s">
        <v>33</v>
      </c>
      <c r="BE204" s="6"/>
      <c r="BF204" s="6"/>
      <c r="BG204" s="3"/>
      <c r="BH204" s="3"/>
      <c r="BI204" s="3"/>
      <c r="BJ204" s="6"/>
      <c r="BK204" s="2">
        <v>46277</v>
      </c>
      <c r="BL204" s="57"/>
      <c r="BM204" s="1"/>
      <c r="BN204" s="57"/>
      <c r="BO204" s="1"/>
      <c r="BP204" s="1"/>
      <c r="BQ204" s="1"/>
      <c r="BR204" s="57"/>
      <c r="BS204" s="12"/>
    </row>
    <row r="205" spans="1:71" x14ac:dyDescent="0.35">
      <c r="A205" s="4">
        <v>46278</v>
      </c>
      <c r="B205" s="3" t="s">
        <v>33</v>
      </c>
      <c r="C205" s="3" t="s">
        <v>33</v>
      </c>
      <c r="D205" s="3" t="s">
        <v>32</v>
      </c>
      <c r="E205" s="3" t="s">
        <v>33</v>
      </c>
      <c r="F205" s="3" t="s">
        <v>32</v>
      </c>
      <c r="G205" s="3" t="s">
        <v>33</v>
      </c>
      <c r="H205" s="9"/>
      <c r="I205" s="2">
        <v>46278</v>
      </c>
      <c r="J205" s="1" t="s">
        <v>33</v>
      </c>
      <c r="K205" s="1" t="s">
        <v>33</v>
      </c>
      <c r="L205" s="1" t="s">
        <v>32</v>
      </c>
      <c r="M205" s="1" t="s">
        <v>33</v>
      </c>
      <c r="N205" s="1" t="s">
        <v>32</v>
      </c>
      <c r="O205" s="1" t="s">
        <v>32</v>
      </c>
      <c r="P205" s="57"/>
      <c r="Q205" s="84"/>
      <c r="S205" s="4">
        <v>46278</v>
      </c>
      <c r="T205" s="3" t="s">
        <v>33</v>
      </c>
      <c r="U205" s="3" t="s">
        <v>33</v>
      </c>
      <c r="V205" s="3" t="s">
        <v>33</v>
      </c>
      <c r="W205" s="3" t="s">
        <v>33</v>
      </c>
      <c r="X205" s="6"/>
      <c r="Y205" s="3" t="s">
        <v>33</v>
      </c>
      <c r="Z205" s="6"/>
      <c r="AA205" s="2">
        <v>46278</v>
      </c>
      <c r="AB205" s="1" t="s">
        <v>33</v>
      </c>
      <c r="AC205" s="1" t="s">
        <v>33</v>
      </c>
      <c r="AD205" s="1" t="s">
        <v>33</v>
      </c>
      <c r="AE205" s="1" t="s">
        <v>33</v>
      </c>
      <c r="AF205" s="1" t="s">
        <v>33</v>
      </c>
      <c r="AG205" s="1" t="s">
        <v>33</v>
      </c>
      <c r="AH205" s="57"/>
      <c r="AI205" s="12"/>
      <c r="AK205" s="4">
        <v>46278</v>
      </c>
      <c r="AL205" s="6"/>
      <c r="AM205" s="3"/>
      <c r="AN205" s="3"/>
      <c r="AO205" s="3"/>
      <c r="AP205" s="3" t="s">
        <v>33</v>
      </c>
      <c r="AQ205" s="3" t="s">
        <v>33</v>
      </c>
      <c r="AR205" s="6"/>
      <c r="AS205" s="2">
        <v>46278</v>
      </c>
      <c r="AT205" s="13"/>
      <c r="AU205" s="13"/>
      <c r="AV205" s="13"/>
      <c r="AW205" s="13"/>
      <c r="AX205" s="13"/>
      <c r="AY205" s="13"/>
      <c r="AZ205" s="13"/>
      <c r="BA205" s="12"/>
      <c r="BC205" s="4">
        <v>46278</v>
      </c>
      <c r="BD205" s="6" t="s">
        <v>33</v>
      </c>
      <c r="BE205" s="6"/>
      <c r="BF205" s="6"/>
      <c r="BG205" s="3"/>
      <c r="BH205" s="3"/>
      <c r="BI205" s="3"/>
      <c r="BJ205" s="6"/>
      <c r="BK205" s="2">
        <v>46278</v>
      </c>
      <c r="BL205" s="57"/>
      <c r="BM205" s="1"/>
      <c r="BN205" s="57"/>
      <c r="BO205" s="1"/>
      <c r="BP205" s="1"/>
      <c r="BQ205" s="1"/>
      <c r="BR205" s="57"/>
      <c r="BS205" s="12"/>
    </row>
    <row r="206" spans="1:71" x14ac:dyDescent="0.35">
      <c r="A206" s="4">
        <v>46279</v>
      </c>
      <c r="B206" s="3" t="s">
        <v>33</v>
      </c>
      <c r="C206" s="3" t="s">
        <v>33</v>
      </c>
      <c r="D206" s="3" t="s">
        <v>32</v>
      </c>
      <c r="E206" s="3" t="s">
        <v>33</v>
      </c>
      <c r="F206" s="3" t="s">
        <v>32</v>
      </c>
      <c r="G206" s="3" t="s">
        <v>33</v>
      </c>
      <c r="H206" s="9"/>
      <c r="I206" s="2">
        <v>46279</v>
      </c>
      <c r="J206" s="1" t="s">
        <v>33</v>
      </c>
      <c r="K206" s="1" t="s">
        <v>33</v>
      </c>
      <c r="L206" s="1" t="s">
        <v>32</v>
      </c>
      <c r="M206" s="1" t="s">
        <v>33</v>
      </c>
      <c r="N206" s="1" t="s">
        <v>32</v>
      </c>
      <c r="O206" s="1" t="s">
        <v>32</v>
      </c>
      <c r="P206" s="57"/>
      <c r="Q206" s="84"/>
      <c r="S206" s="4">
        <v>46279</v>
      </c>
      <c r="T206" s="3" t="s">
        <v>33</v>
      </c>
      <c r="U206" s="3" t="s">
        <v>33</v>
      </c>
      <c r="V206" s="3" t="s">
        <v>33</v>
      </c>
      <c r="W206" s="3" t="s">
        <v>33</v>
      </c>
      <c r="X206" s="6"/>
      <c r="Y206" s="3" t="s">
        <v>33</v>
      </c>
      <c r="Z206" s="6"/>
      <c r="AA206" s="2">
        <v>46279</v>
      </c>
      <c r="AB206" s="1" t="s">
        <v>33</v>
      </c>
      <c r="AC206" s="1" t="s">
        <v>33</v>
      </c>
      <c r="AD206" s="1" t="s">
        <v>33</v>
      </c>
      <c r="AE206" s="1" t="s">
        <v>33</v>
      </c>
      <c r="AF206" s="1" t="s">
        <v>33</v>
      </c>
      <c r="AG206" s="1" t="s">
        <v>33</v>
      </c>
      <c r="AH206" s="57"/>
      <c r="AI206" s="12"/>
      <c r="AK206" s="4">
        <v>46279</v>
      </c>
      <c r="AL206" s="6"/>
      <c r="AM206" s="3"/>
      <c r="AN206" s="3"/>
      <c r="AO206" s="3"/>
      <c r="AP206" s="3" t="s">
        <v>33</v>
      </c>
      <c r="AQ206" s="3" t="s">
        <v>33</v>
      </c>
      <c r="AR206" s="6"/>
      <c r="AS206" s="2">
        <v>46279</v>
      </c>
      <c r="AT206" s="13"/>
      <c r="AU206" s="13"/>
      <c r="AV206" s="13"/>
      <c r="AW206" s="13"/>
      <c r="AX206" s="13"/>
      <c r="AY206" s="13"/>
      <c r="AZ206" s="13"/>
      <c r="BA206" s="12"/>
      <c r="BC206" s="4">
        <v>46279</v>
      </c>
      <c r="BD206" s="6" t="s">
        <v>33</v>
      </c>
      <c r="BE206" s="6"/>
      <c r="BF206" s="6"/>
      <c r="BG206" s="3"/>
      <c r="BH206" s="3"/>
      <c r="BI206" s="3"/>
      <c r="BJ206" s="6"/>
      <c r="BK206" s="2">
        <v>46279</v>
      </c>
      <c r="BL206" s="57"/>
      <c r="BM206" s="1"/>
      <c r="BN206" s="57"/>
      <c r="BO206" s="1"/>
      <c r="BP206" s="1"/>
      <c r="BQ206" s="1"/>
      <c r="BR206" s="57"/>
      <c r="BS206" s="12"/>
    </row>
    <row r="207" spans="1:71" x14ac:dyDescent="0.35">
      <c r="A207" s="4">
        <v>46280</v>
      </c>
      <c r="B207" s="3" t="s">
        <v>33</v>
      </c>
      <c r="C207" s="3" t="s">
        <v>33</v>
      </c>
      <c r="D207" s="3" t="s">
        <v>32</v>
      </c>
      <c r="E207" s="3" t="s">
        <v>33</v>
      </c>
      <c r="F207" s="3" t="s">
        <v>32</v>
      </c>
      <c r="G207" s="3" t="s">
        <v>33</v>
      </c>
      <c r="H207" s="9"/>
      <c r="I207" s="2">
        <v>46280</v>
      </c>
      <c r="J207" s="1" t="s">
        <v>33</v>
      </c>
      <c r="K207" s="1" t="s">
        <v>33</v>
      </c>
      <c r="L207" s="1" t="s">
        <v>32</v>
      </c>
      <c r="M207" s="1" t="s">
        <v>33</v>
      </c>
      <c r="N207" s="1" t="s">
        <v>32</v>
      </c>
      <c r="O207" s="1" t="s">
        <v>32</v>
      </c>
      <c r="P207" s="57"/>
      <c r="Q207" s="84"/>
      <c r="S207" s="4">
        <v>46280</v>
      </c>
      <c r="T207" s="3" t="s">
        <v>33</v>
      </c>
      <c r="U207" s="3" t="s">
        <v>33</v>
      </c>
      <c r="V207" s="3" t="s">
        <v>33</v>
      </c>
      <c r="W207" s="3" t="s">
        <v>33</v>
      </c>
      <c r="X207" s="6"/>
      <c r="Y207" s="3" t="s">
        <v>33</v>
      </c>
      <c r="Z207" s="6"/>
      <c r="AA207" s="2">
        <v>46280</v>
      </c>
      <c r="AB207" s="1" t="s">
        <v>33</v>
      </c>
      <c r="AC207" s="1" t="s">
        <v>33</v>
      </c>
      <c r="AD207" s="1" t="s">
        <v>33</v>
      </c>
      <c r="AE207" s="1" t="s">
        <v>33</v>
      </c>
      <c r="AF207" s="1" t="s">
        <v>33</v>
      </c>
      <c r="AG207" s="1" t="s">
        <v>33</v>
      </c>
      <c r="AH207" s="57"/>
      <c r="AI207" s="12"/>
      <c r="AK207" s="4">
        <v>46280</v>
      </c>
      <c r="AL207" s="6"/>
      <c r="AM207" s="3"/>
      <c r="AN207" s="3"/>
      <c r="AO207" s="3"/>
      <c r="AP207" s="3" t="s">
        <v>33</v>
      </c>
      <c r="AQ207" s="3" t="s">
        <v>33</v>
      </c>
      <c r="AR207" s="6"/>
      <c r="AS207" s="2">
        <v>46280</v>
      </c>
      <c r="AT207" s="13"/>
      <c r="AU207" s="13"/>
      <c r="AV207" s="13"/>
      <c r="AW207" s="13"/>
      <c r="AX207" s="13"/>
      <c r="AY207" s="13"/>
      <c r="AZ207" s="13"/>
      <c r="BA207" s="12"/>
      <c r="BC207" s="4">
        <v>46280</v>
      </c>
      <c r="BD207" s="6" t="s">
        <v>33</v>
      </c>
      <c r="BE207" s="6"/>
      <c r="BF207" s="6"/>
      <c r="BG207" s="3"/>
      <c r="BH207" s="3"/>
      <c r="BI207" s="3"/>
      <c r="BJ207" s="6"/>
      <c r="BK207" s="2">
        <v>46280</v>
      </c>
      <c r="BL207" s="57"/>
      <c r="BM207" s="1"/>
      <c r="BN207" s="57"/>
      <c r="BO207" s="1"/>
      <c r="BP207" s="1"/>
      <c r="BQ207" s="1"/>
      <c r="BR207" s="57"/>
      <c r="BS207" s="12"/>
    </row>
    <row r="208" spans="1:71" x14ac:dyDescent="0.35">
      <c r="A208" s="4">
        <v>46281</v>
      </c>
      <c r="B208" s="3" t="s">
        <v>33</v>
      </c>
      <c r="C208" s="3" t="s">
        <v>33</v>
      </c>
      <c r="D208" s="3" t="s">
        <v>32</v>
      </c>
      <c r="E208" s="3" t="s">
        <v>33</v>
      </c>
      <c r="F208" s="3" t="s">
        <v>32</v>
      </c>
      <c r="G208" s="3" t="s">
        <v>33</v>
      </c>
      <c r="H208" s="9"/>
      <c r="I208" s="2">
        <v>46281</v>
      </c>
      <c r="J208" s="1" t="s">
        <v>33</v>
      </c>
      <c r="K208" s="1" t="s">
        <v>33</v>
      </c>
      <c r="L208" s="1" t="s">
        <v>32</v>
      </c>
      <c r="M208" s="1" t="s">
        <v>33</v>
      </c>
      <c r="N208" s="1" t="s">
        <v>32</v>
      </c>
      <c r="O208" s="1" t="s">
        <v>32</v>
      </c>
      <c r="P208" s="57"/>
      <c r="Q208" s="84"/>
      <c r="S208" s="4">
        <v>46281</v>
      </c>
      <c r="T208" s="3" t="s">
        <v>33</v>
      </c>
      <c r="U208" s="3" t="s">
        <v>33</v>
      </c>
      <c r="V208" s="3" t="s">
        <v>33</v>
      </c>
      <c r="W208" s="3" t="s">
        <v>33</v>
      </c>
      <c r="X208" s="6"/>
      <c r="Y208" s="3" t="s">
        <v>33</v>
      </c>
      <c r="Z208" s="6"/>
      <c r="AA208" s="2">
        <v>46281</v>
      </c>
      <c r="AB208" s="1" t="s">
        <v>33</v>
      </c>
      <c r="AC208" s="1" t="s">
        <v>33</v>
      </c>
      <c r="AD208" s="1" t="s">
        <v>33</v>
      </c>
      <c r="AE208" s="1" t="s">
        <v>33</v>
      </c>
      <c r="AF208" s="1" t="s">
        <v>33</v>
      </c>
      <c r="AG208" s="1" t="s">
        <v>33</v>
      </c>
      <c r="AH208" s="57"/>
      <c r="AI208" s="12"/>
      <c r="AK208" s="4">
        <v>46281</v>
      </c>
      <c r="AL208" s="6"/>
      <c r="AM208" s="3"/>
      <c r="AN208" s="3"/>
      <c r="AO208" s="3"/>
      <c r="AP208" s="3" t="s">
        <v>33</v>
      </c>
      <c r="AQ208" s="3" t="s">
        <v>33</v>
      </c>
      <c r="AR208" s="6"/>
      <c r="AS208" s="2">
        <v>46281</v>
      </c>
      <c r="AT208" s="13"/>
      <c r="AU208" s="13"/>
      <c r="AV208" s="13"/>
      <c r="AW208" s="13"/>
      <c r="AX208" s="13"/>
      <c r="AY208" s="13"/>
      <c r="AZ208" s="13"/>
      <c r="BA208" s="12"/>
      <c r="BC208" s="4">
        <v>46281</v>
      </c>
      <c r="BD208" s="6" t="s">
        <v>33</v>
      </c>
      <c r="BE208" s="6"/>
      <c r="BF208" s="6"/>
      <c r="BG208" s="3"/>
      <c r="BH208" s="3"/>
      <c r="BI208" s="3"/>
      <c r="BJ208" s="6"/>
      <c r="BK208" s="2">
        <v>46281</v>
      </c>
      <c r="BL208" s="57"/>
      <c r="BM208" s="1"/>
      <c r="BN208" s="57"/>
      <c r="BO208" s="1"/>
      <c r="BP208" s="1"/>
      <c r="BQ208" s="1"/>
      <c r="BR208" s="57"/>
      <c r="BS208" s="12"/>
    </row>
    <row r="209" spans="1:71" x14ac:dyDescent="0.35">
      <c r="A209" s="4">
        <v>46282</v>
      </c>
      <c r="B209" s="3" t="s">
        <v>33</v>
      </c>
      <c r="C209" s="3" t="s">
        <v>33</v>
      </c>
      <c r="D209" s="3" t="s">
        <v>32</v>
      </c>
      <c r="E209" s="3" t="s">
        <v>33</v>
      </c>
      <c r="F209" s="3" t="s">
        <v>32</v>
      </c>
      <c r="G209" s="3" t="s">
        <v>33</v>
      </c>
      <c r="H209" s="9"/>
      <c r="I209" s="2">
        <v>46282</v>
      </c>
      <c r="J209" s="1" t="s">
        <v>33</v>
      </c>
      <c r="K209" s="1" t="s">
        <v>33</v>
      </c>
      <c r="L209" s="1" t="s">
        <v>32</v>
      </c>
      <c r="M209" s="1" t="s">
        <v>33</v>
      </c>
      <c r="N209" s="1" t="s">
        <v>32</v>
      </c>
      <c r="O209" s="1" t="s">
        <v>32</v>
      </c>
      <c r="P209" s="57"/>
      <c r="Q209" s="84"/>
      <c r="S209" s="4">
        <v>46282</v>
      </c>
      <c r="T209" s="3" t="s">
        <v>33</v>
      </c>
      <c r="U209" s="3" t="s">
        <v>33</v>
      </c>
      <c r="V209" s="3" t="s">
        <v>33</v>
      </c>
      <c r="W209" s="3" t="s">
        <v>33</v>
      </c>
      <c r="X209" s="6"/>
      <c r="Y209" s="3" t="s">
        <v>33</v>
      </c>
      <c r="Z209" s="6"/>
      <c r="AA209" s="2">
        <v>46282</v>
      </c>
      <c r="AB209" s="1" t="s">
        <v>33</v>
      </c>
      <c r="AC209" s="1" t="s">
        <v>33</v>
      </c>
      <c r="AD209" s="1" t="s">
        <v>33</v>
      </c>
      <c r="AE209" s="1" t="s">
        <v>33</v>
      </c>
      <c r="AF209" s="1" t="s">
        <v>33</v>
      </c>
      <c r="AG209" s="1" t="s">
        <v>33</v>
      </c>
      <c r="AH209" s="57"/>
      <c r="AI209" s="12"/>
      <c r="AK209" s="4">
        <v>46282</v>
      </c>
      <c r="AL209" s="6"/>
      <c r="AM209" s="3"/>
      <c r="AN209" s="3"/>
      <c r="AO209" s="3"/>
      <c r="AP209" s="3" t="s">
        <v>33</v>
      </c>
      <c r="AQ209" s="3" t="s">
        <v>33</v>
      </c>
      <c r="AR209" s="6"/>
      <c r="AS209" s="2">
        <v>46282</v>
      </c>
      <c r="AT209" s="13"/>
      <c r="AU209" s="13"/>
      <c r="AV209" s="13"/>
      <c r="AW209" s="13"/>
      <c r="AX209" s="13"/>
      <c r="AY209" s="13"/>
      <c r="AZ209" s="13"/>
      <c r="BA209" s="12"/>
      <c r="BC209" s="4">
        <v>46282</v>
      </c>
      <c r="BD209" s="6" t="s">
        <v>33</v>
      </c>
      <c r="BE209" s="6"/>
      <c r="BF209" s="6"/>
      <c r="BG209" s="3"/>
      <c r="BH209" s="3"/>
      <c r="BI209" s="3"/>
      <c r="BJ209" s="6"/>
      <c r="BK209" s="2">
        <v>46282</v>
      </c>
      <c r="BL209" s="57"/>
      <c r="BM209" s="1"/>
      <c r="BN209" s="57"/>
      <c r="BO209" s="1"/>
      <c r="BP209" s="1"/>
      <c r="BQ209" s="1"/>
      <c r="BR209" s="57"/>
      <c r="BS209" s="12"/>
    </row>
    <row r="210" spans="1:71" x14ac:dyDescent="0.35">
      <c r="A210" s="4">
        <v>46283</v>
      </c>
      <c r="B210" s="3" t="s">
        <v>33</v>
      </c>
      <c r="C210" s="3" t="s">
        <v>33</v>
      </c>
      <c r="D210" s="3" t="s">
        <v>32</v>
      </c>
      <c r="E210" s="3" t="s">
        <v>33</v>
      </c>
      <c r="F210" s="3" t="s">
        <v>32</v>
      </c>
      <c r="G210" s="3" t="s">
        <v>33</v>
      </c>
      <c r="H210" s="9"/>
      <c r="I210" s="2">
        <v>46283</v>
      </c>
      <c r="J210" s="1" t="s">
        <v>33</v>
      </c>
      <c r="K210" s="1" t="s">
        <v>33</v>
      </c>
      <c r="L210" s="1" t="s">
        <v>32</v>
      </c>
      <c r="M210" s="1" t="s">
        <v>33</v>
      </c>
      <c r="N210" s="1" t="s">
        <v>32</v>
      </c>
      <c r="O210" s="1" t="s">
        <v>32</v>
      </c>
      <c r="P210" s="57"/>
      <c r="Q210" s="84"/>
      <c r="S210" s="4">
        <v>46283</v>
      </c>
      <c r="T210" s="3" t="s">
        <v>33</v>
      </c>
      <c r="U210" s="3" t="s">
        <v>33</v>
      </c>
      <c r="V210" s="3" t="s">
        <v>33</v>
      </c>
      <c r="W210" s="3" t="s">
        <v>33</v>
      </c>
      <c r="X210" s="6"/>
      <c r="Y210" s="3" t="s">
        <v>33</v>
      </c>
      <c r="Z210" s="6"/>
      <c r="AA210" s="2">
        <v>46283</v>
      </c>
      <c r="AB210" s="1" t="s">
        <v>33</v>
      </c>
      <c r="AC210" s="1" t="s">
        <v>33</v>
      </c>
      <c r="AD210" s="1" t="s">
        <v>33</v>
      </c>
      <c r="AE210" s="1" t="s">
        <v>33</v>
      </c>
      <c r="AF210" s="1" t="s">
        <v>33</v>
      </c>
      <c r="AG210" s="1" t="s">
        <v>33</v>
      </c>
      <c r="AH210" s="57"/>
      <c r="AI210" s="12"/>
      <c r="AK210" s="4">
        <v>46283</v>
      </c>
      <c r="AL210" s="6"/>
      <c r="AM210" s="3"/>
      <c r="AN210" s="3"/>
      <c r="AO210" s="3"/>
      <c r="AP210" s="3" t="s">
        <v>33</v>
      </c>
      <c r="AQ210" s="3" t="s">
        <v>33</v>
      </c>
      <c r="AR210" s="6"/>
      <c r="AS210" s="2">
        <v>46283</v>
      </c>
      <c r="AT210" s="13"/>
      <c r="AU210" s="13"/>
      <c r="AV210" s="13"/>
      <c r="AW210" s="13"/>
      <c r="AX210" s="13"/>
      <c r="AY210" s="13"/>
      <c r="AZ210" s="13"/>
      <c r="BA210" s="12"/>
      <c r="BC210" s="4">
        <v>46283</v>
      </c>
      <c r="BD210" s="6" t="s">
        <v>33</v>
      </c>
      <c r="BE210" s="6"/>
      <c r="BF210" s="6"/>
      <c r="BG210" s="3"/>
      <c r="BH210" s="3"/>
      <c r="BI210" s="3"/>
      <c r="BJ210" s="6"/>
      <c r="BK210" s="2">
        <v>46283</v>
      </c>
      <c r="BL210" s="57"/>
      <c r="BM210" s="1"/>
      <c r="BN210" s="57"/>
      <c r="BO210" s="1"/>
      <c r="BP210" s="1"/>
      <c r="BQ210" s="1"/>
      <c r="BR210" s="57"/>
      <c r="BS21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3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35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350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34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34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34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34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34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34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34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34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34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34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33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33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33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33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33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33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33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33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33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3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3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3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3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3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3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3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2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2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2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2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2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2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2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2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2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2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2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2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2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2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2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2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2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7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6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6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6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4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4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4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4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4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3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3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3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3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3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3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3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3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3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3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2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2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2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2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2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2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2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9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7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4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203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202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20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99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9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9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9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9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9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9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9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8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8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8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8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8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8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8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7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7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77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6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75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7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73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7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7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9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8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167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6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6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6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5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5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51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5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9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8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47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4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4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4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9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38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3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33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3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2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2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2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2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1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1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1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1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0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0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0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9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9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9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93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9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88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6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85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4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8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1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8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7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6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7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7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7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6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6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3DE2-36D8-41A8-B276-B33B6DD12632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E2C6-B29B-4732-A85A-0A520C8029DB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5.2322487205339767E-2</v>
      </c>
      <c r="C8" s="51">
        <f t="shared" ref="C8:G8" si="5">((1+$I8)^(C2/365)-1)*365/C2</f>
        <v>5.23487385733769E-2</v>
      </c>
      <c r="D8" s="51">
        <f t="shared" si="5"/>
        <v>5.2408807665711175E-2</v>
      </c>
      <c r="E8" s="51">
        <f t="shared" si="5"/>
        <v>5.2521685054242769E-2</v>
      </c>
      <c r="F8" s="51">
        <f t="shared" si="5"/>
        <v>5.2634886594519981E-2</v>
      </c>
      <c r="G8" s="51">
        <f t="shared" si="5"/>
        <v>5.2976446616182254E-2</v>
      </c>
      <c r="H8" s="52">
        <v>5.2299999999999999E-2</v>
      </c>
      <c r="I8" s="73">
        <f t="shared" si="1"/>
        <v>5.3687854872955132E-2</v>
      </c>
      <c r="J8" s="74"/>
      <c r="K8" s="67">
        <f>H8-'Daily Data'!H153</f>
        <v>3.6499999999999998E-2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4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4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8DCE-0E60-4F64-BFB5-586FA9CDE1F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4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4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0C348-C592-4DCF-AF7C-9C771F6C01F8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4.0800000000000003E-2</v>
      </c>
      <c r="D3" s="54">
        <v>4.99E-2</v>
      </c>
      <c r="E3" s="54">
        <v>0.04</v>
      </c>
      <c r="F3" s="54">
        <v>5.5300000000000002E-2</v>
      </c>
      <c r="G3" s="54">
        <v>6.7400000000000002E-2</v>
      </c>
      <c r="H3" s="52">
        <v>4.6600000000000003E-2</v>
      </c>
      <c r="I3" s="73">
        <f>(1+H3/365)^365-1</f>
        <v>4.7699727741152609E-2</v>
      </c>
      <c r="J3" s="74"/>
      <c r="K3" s="67">
        <f>H3-'Daily Data'!AR153</f>
        <v>3.0200000000000001E-2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2.8414367868607897E-2</v>
      </c>
      <c r="D7" s="55">
        <v>3.1199999999999999E-2</v>
      </c>
      <c r="E7" s="55">
        <f t="shared" si="4"/>
        <v>2.8465285896267883E-2</v>
      </c>
      <c r="F7" s="55">
        <f t="shared" si="4"/>
        <v>2.8498558842821323E-2</v>
      </c>
      <c r="G7" s="55">
        <f t="shared" si="4"/>
        <v>2.8598689126452321E-2</v>
      </c>
      <c r="H7" s="56">
        <v>2.8400000000000002E-2</v>
      </c>
      <c r="I7" s="73">
        <f t="shared" si="1"/>
        <v>2.8805988332401222E-2</v>
      </c>
      <c r="J7" s="74"/>
      <c r="K7" s="67">
        <f>H7-1.06%</f>
        <v>1.7800000000000003E-2</v>
      </c>
    </row>
    <row r="8" spans="1:11" ht="23.15" customHeight="1" x14ac:dyDescent="0.4">
      <c r="A8" s="50" t="s">
        <v>57</v>
      </c>
      <c r="B8" s="51">
        <f>((1+$I8)^(B2/365)-1)*365/B2</f>
        <v>5.0821215660524936E-2</v>
      </c>
      <c r="C8" s="51">
        <f t="shared" ref="C8:G8" si="5">((1+$I8)^(C2/365)-1)*365/C2</f>
        <v>5.0845982197134418E-2</v>
      </c>
      <c r="D8" s="51">
        <f t="shared" si="5"/>
        <v>5.090265187169548E-2</v>
      </c>
      <c r="E8" s="51">
        <f t="shared" si="5"/>
        <v>5.100913461008879E-2</v>
      </c>
      <c r="F8" s="51">
        <f t="shared" si="5"/>
        <v>5.111591434868807E-2</v>
      </c>
      <c r="G8" s="51">
        <f t="shared" si="5"/>
        <v>5.1438044900706213E-2</v>
      </c>
      <c r="H8" s="52">
        <v>5.0799999999999998E-2</v>
      </c>
      <c r="I8" s="73">
        <f t="shared" si="1"/>
        <v>5.2108730754010235E-2</v>
      </c>
      <c r="J8" s="74"/>
      <c r="K8" s="67">
        <f>H8-'Daily Data'!H153</f>
        <v>3.4999999999999996E-2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3219-E21E-4747-AAD7-BEF6AE9574E8}">
  <dimension ref="A1:K10"/>
  <sheetViews>
    <sheetView topLeftCell="B1" zoomScale="80" zoomScaleNormal="80" workbookViewId="0">
      <selection activeCell="B1"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4.5199999999999997E-2</v>
      </c>
      <c r="E3" s="54">
        <v>4.4999999999999998E-2</v>
      </c>
      <c r="F3" s="54">
        <v>5.5300000000000002E-2</v>
      </c>
      <c r="G3" s="54">
        <v>3.85E-2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2.8214166185754581E-2</v>
      </c>
      <c r="D7" s="55">
        <v>3.1199999999999999E-2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5.1221551120100059E-2</v>
      </c>
      <c r="C8" s="51">
        <f t="shared" ref="C8:G8" si="5">((1+$I8)^(C2/365)-1)*365/C2</f>
        <v>5.1246709381866609E-2</v>
      </c>
      <c r="D8" s="51">
        <f t="shared" si="5"/>
        <v>5.1304275868163107E-2</v>
      </c>
      <c r="E8" s="51">
        <f t="shared" si="5"/>
        <v>5.1412445541682748E-2</v>
      </c>
      <c r="F8" s="51">
        <f t="shared" si="5"/>
        <v>5.1520919301055054E-2</v>
      </c>
      <c r="G8" s="51">
        <f t="shared" si="5"/>
        <v>5.1848174727502076E-2</v>
      </c>
      <c r="H8" s="52">
        <v>5.1200000000000002E-2</v>
      </c>
      <c r="I8" s="73">
        <f t="shared" si="1"/>
        <v>5.2529599608084121E-2</v>
      </c>
      <c r="J8" s="74"/>
      <c r="K8" s="67">
        <f>H8-'Daily Data'!H153</f>
        <v>3.5400000000000001E-2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FB2B-F6A1-49A4-894D-4FD31179D36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4.3999999999999997E-2</v>
      </c>
      <c r="E3" s="54">
        <v>4.4999999999999998E-2</v>
      </c>
      <c r="F3" s="54">
        <v>5.5399999999999998E-2</v>
      </c>
      <c r="G3" s="54">
        <v>6.6000000000000003E-2</v>
      </c>
      <c r="H3" s="52">
        <v>4.7600000000000003E-2</v>
      </c>
      <c r="I3" s="73">
        <f>(1+H3/365)^365-1</f>
        <v>4.8747816179411707E-2</v>
      </c>
      <c r="J3" s="74"/>
      <c r="K3" s="67">
        <f>H3-'Daily Data'!AR153</f>
        <v>3.1200000000000002E-2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2.8514469244696868E-2</v>
      </c>
      <c r="D7" s="55">
        <v>3.1199999999999999E-2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599FA-5214-4DBC-A91B-263E58EB80E2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4.1799999999999997E-2</v>
      </c>
      <c r="C3" s="54">
        <v>4.2000000000000003E-2</v>
      </c>
      <c r="D3" s="54">
        <v>4.5100000000000001E-2</v>
      </c>
      <c r="E3" s="54">
        <v>4.4999999999999998E-2</v>
      </c>
      <c r="F3" s="54">
        <v>5.5300000000000002E-2</v>
      </c>
      <c r="G3" s="54">
        <v>6.5000000000000002E-2</v>
      </c>
      <c r="H3" s="52">
        <v>5.0200000000000002E-2</v>
      </c>
      <c r="I3" s="73">
        <f>(1+H3/365)^365-1</f>
        <v>5.1477742132218118E-2</v>
      </c>
      <c r="J3" s="74"/>
      <c r="K3" s="67">
        <f>H3-'Daily Data'!AR153</f>
        <v>3.3799999999999997E-2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5.3923884316161734E-2</v>
      </c>
      <c r="C8" s="51">
        <f t="shared" ref="C8:G8" si="5">((1+$I8)^(C2/365)-1)*365/C2</f>
        <v>5.3951767188901635E-2</v>
      </c>
      <c r="D8" s="51">
        <f t="shared" si="5"/>
        <v>5.4015571679666675E-2</v>
      </c>
      <c r="E8" s="51">
        <f t="shared" si="5"/>
        <v>5.4135476418728942E-2</v>
      </c>
      <c r="F8" s="51">
        <f t="shared" si="5"/>
        <v>5.4255736046726039E-2</v>
      </c>
      <c r="G8" s="51">
        <f t="shared" si="5"/>
        <v>5.4618656102147008E-2</v>
      </c>
      <c r="H8" s="52">
        <v>5.3900000000000003E-2</v>
      </c>
      <c r="I8" s="73">
        <f t="shared" si="1"/>
        <v>5.5374859259955445E-2</v>
      </c>
      <c r="J8" s="74"/>
      <c r="K8" s="67">
        <f>H8-'Daily Data'!H153</f>
        <v>3.8100000000000002E-2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F9168-8583-40E6-BFF2-FDCE60BF8683}">
  <dimension ref="A1:K10"/>
  <sheetViews>
    <sheetView topLeftCell="B1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4.9744011871407721E-2</v>
      </c>
      <c r="D5" s="55">
        <v>6.0499999999999998E-2</v>
      </c>
      <c r="E5" s="55">
        <f t="shared" si="2"/>
        <v>4.9900163980003645E-2</v>
      </c>
      <c r="F5" s="55">
        <f t="shared" si="2"/>
        <v>5.0002354361223716E-2</v>
      </c>
      <c r="G5" s="55">
        <f t="shared" si="2"/>
        <v>5.0310602566360212E-2</v>
      </c>
      <c r="H5" s="56">
        <v>4.9700000000000001E-2</v>
      </c>
      <c r="I5" s="73">
        <f t="shared" si="1"/>
        <v>5.095220657517685E-2</v>
      </c>
      <c r="J5" s="74"/>
      <c r="K5" s="67">
        <f>H5-'Daily Data'!BJ153</f>
        <v>3.5000000000000003E-2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5.3523531090315615E-2</v>
      </c>
      <c r="C8" s="51">
        <f t="shared" ref="C8:G8" si="5">((1+$I8)^(C2/365)-1)*365/C2</f>
        <v>5.3551001472040914E-2</v>
      </c>
      <c r="D8" s="51">
        <f t="shared" si="5"/>
        <v>5.3613861529600459E-2</v>
      </c>
      <c r="E8" s="51">
        <f t="shared" si="5"/>
        <v>5.3731989453494652E-2</v>
      </c>
      <c r="F8" s="51">
        <f t="shared" si="5"/>
        <v>5.3850464407207296E-2</v>
      </c>
      <c r="G8" s="51">
        <f t="shared" si="5"/>
        <v>5.4207982936684315E-2</v>
      </c>
      <c r="H8" s="52">
        <v>5.3499999999999999E-2</v>
      </c>
      <c r="I8" s="73">
        <f t="shared" si="1"/>
        <v>5.4952855809036416E-2</v>
      </c>
      <c r="J8" s="74"/>
      <c r="K8" s="67">
        <f>H8-'Daily Data'!H153</f>
        <v>3.7699999999999997E-2</v>
      </c>
    </row>
    <row r="9" spans="1:11" ht="23.15" customHeight="1" x14ac:dyDescent="0.5">
      <c r="A9" s="50" t="s">
        <v>56</v>
      </c>
      <c r="B9" s="55">
        <f>((1+$I9)^(B2/365)-1)*365/B2</f>
        <v>5.5024869258820344E-2</v>
      </c>
      <c r="C9" s="55">
        <f t="shared" ref="C9:G9" si="6">((1+$I9)^(C2/365)-1)*365/C2</f>
        <v>5.505390234602741E-2</v>
      </c>
      <c r="D9" s="55">
        <f t="shared" si="6"/>
        <v>5.5120340412907178E-2</v>
      </c>
      <c r="E9" s="55">
        <f t="shared" si="6"/>
        <v>5.5245200081149561E-2</v>
      </c>
      <c r="F9" s="55">
        <f t="shared" si="6"/>
        <v>5.5370436862128308E-2</v>
      </c>
      <c r="G9" s="55">
        <f t="shared" si="6"/>
        <v>5.5748422718357178E-2</v>
      </c>
      <c r="H9" s="52">
        <v>5.5E-2</v>
      </c>
      <c r="I9" s="73">
        <f t="shared" si="1"/>
        <v>5.6536236993749656E-2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9D9A8-D4C5-4A6C-803D-F5E43E5ED48C}">
  <dimension ref="A1:K10"/>
  <sheetViews>
    <sheetView topLeftCell="B1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68EA8-9206-4B42-8497-2F9C7F49F2B9}">
  <dimension ref="A1:K10"/>
  <sheetViews>
    <sheetView zoomScale="77" zoomScaleNormal="77" zoomScaleSheetLayoutView="9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5.1922144507718135E-2</v>
      </c>
      <c r="C8" s="51">
        <f t="shared" ref="C8:G8" si="5">((1+$I8)^(C2/365)-1)*365/C2</f>
        <v>5.1947995690773206E-2</v>
      </c>
      <c r="D8" s="51">
        <f t="shared" si="5"/>
        <v>5.200714857177343E-2</v>
      </c>
      <c r="E8" s="51">
        <f t="shared" si="5"/>
        <v>5.211830241434353E-2</v>
      </c>
      <c r="F8" s="51">
        <f t="shared" si="5"/>
        <v>5.2229773012772797E-2</v>
      </c>
      <c r="G8" s="51">
        <f t="shared" si="5"/>
        <v>5.256609551552166E-2</v>
      </c>
      <c r="H8" s="52">
        <v>5.1900000000000002E-2</v>
      </c>
      <c r="I8" s="73">
        <f t="shared" si="1"/>
        <v>5.3266524143395388E-2</v>
      </c>
      <c r="J8" s="74"/>
      <c r="K8" s="67">
        <f>H8-'Daily Data'!H153</f>
        <v>3.61E-2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0930A-0DDC-45A9-9DF6-75783638D031}">
  <dimension ref="A1:K10"/>
  <sheetViews>
    <sheetView tabSelected="1" zoomScale="80" zoomScaleNormal="80" workbookViewId="0">
      <selection activeCell="G26" sqref="G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5.1321635396292135E-2</v>
      </c>
      <c r="C8" s="51">
        <f t="shared" ref="C8:G8" si="5">((1+$I8)^(C2/365)-1)*365/C2</f>
        <v>5.1346892070021868E-2</v>
      </c>
      <c r="D8" s="51">
        <f t="shared" si="5"/>
        <v>5.1404683861439961E-2</v>
      </c>
      <c r="E8" s="51">
        <f t="shared" si="5"/>
        <v>5.151327734868321E-2</v>
      </c>
      <c r="F8" s="51">
        <f t="shared" si="5"/>
        <v>5.1622176710658767E-2</v>
      </c>
      <c r="G8" s="51">
        <f t="shared" si="5"/>
        <v>5.195071975387968E-2</v>
      </c>
      <c r="H8" s="52">
        <v>5.1299999999999998E-2</v>
      </c>
      <c r="I8" s="73">
        <f t="shared" si="1"/>
        <v>5.2634843052846048E-2</v>
      </c>
      <c r="J8" s="74"/>
      <c r="K8" s="67">
        <f>H8-'Daily Data'!H153</f>
        <v>3.5499999999999997E-2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174</vt:i4>
      </vt:variant>
    </vt:vector>
  </HeadingPairs>
  <TitlesOfParts>
    <vt:vector size="174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  <vt:lpstr>29.08.2026</vt:lpstr>
      <vt:lpstr>30.08.2026</vt:lpstr>
      <vt:lpstr>31.08.2026</vt:lpstr>
      <vt:lpstr>01.09.2026</vt:lpstr>
      <vt:lpstr>02.09.2026</vt:lpstr>
      <vt:lpstr>03.09.2026</vt:lpstr>
      <vt:lpstr>04.09.2026</vt:lpstr>
      <vt:lpstr>05.09.2026</vt:lpstr>
      <vt:lpstr>06.09.2026</vt:lpstr>
      <vt:lpstr>07.09.2026</vt:lpstr>
      <vt:lpstr>08.09.2026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2026-09-08T07:13:56Z</dcterms:modified>
</cp:coreProperties>
</file>