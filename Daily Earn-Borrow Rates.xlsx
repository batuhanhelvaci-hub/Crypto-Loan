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C3F93D83-490F-40AB-A176-E3283C3E56E9}" xr6:coauthVersionLast="47" xr6:coauthVersionMax="47" xr10:uidLastSave="{00000000-0000-0000-0000-000000000000}"/>
  <bookViews>
    <workbookView xWindow="-28920" yWindow="1725" windowWidth="29040" windowHeight="15720" firstSheet="108" activeTab="117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  <sheet name="10.07.2026" sheetId="137" r:id="rId115"/>
    <sheet name="11.07.2026" sheetId="138" r:id="rId116"/>
    <sheet name="12.07.2026" sheetId="139" r:id="rId117"/>
    <sheet name="13.07.2026" sheetId="140" r:id="rId1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<sst xmlns="http://schemas.openxmlformats.org/spreadsheetml/2006/main" count="5733" uniqueCount="73">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</sst>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2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theme" Target="theme/theme1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46273</xdr:colOff>
      <xdr:row>147</xdr:row>
      <xdr:rowOff>101070</xdr:rowOff>
    </xdr:from>
    <xdr:to>
      <xdr:col>33</xdr:col>
      <xdr:colOff>398021</xdr:colOff>
      <xdr:row>181</xdr:row>
      <xdr:rowOff>120728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76195" y="26354351"/>
          <a:ext cx="6542998" cy="609819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80" zoomScale="115" zoomScaleNormal="115" workbookViewId="0">
      <selection activeCell="E195" sqref="E195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>
        <v>60030</v>
      </c>
    </row>
    <row r="182" spans="1:7" x14ac:dyDescent="0.35">
      <c r="A182" s="82">
        <v>46203</v>
      </c>
      <c r="B182" s="83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90">
        <v>60261</v>
      </c>
    </row>
    <row r="183" spans="1:7" x14ac:dyDescent="0.35">
      <c r="A183" s="82">
        <v>46204</v>
      </c>
      <c r="B183" s="83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90">
        <v>58625</v>
      </c>
    </row>
    <row r="184" spans="1:7" x14ac:dyDescent="0.35">
      <c r="A184" s="82">
        <v>46205</v>
      </c>
      <c r="B184" s="83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90">
        <v>60025</v>
      </c>
    </row>
    <row r="185" spans="1:7" x14ac:dyDescent="0.35">
      <c r="A185" s="82">
        <v>46206</v>
      </c>
      <c r="B185" s="83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90">
        <v>61561</v>
      </c>
    </row>
    <row r="186" spans="1:7" x14ac:dyDescent="0.35">
      <c r="A186" s="82">
        <v>46207</v>
      </c>
      <c r="B186" s="83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90">
        <v>62584</v>
      </c>
    </row>
    <row r="187" spans="1:7" x14ac:dyDescent="0.35">
      <c r="A187" s="82">
        <v>46208</v>
      </c>
      <c r="B187" s="83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90">
        <v>63145</v>
      </c>
    </row>
    <row r="188" spans="1:7" x14ac:dyDescent="0.35">
      <c r="A188" s="82">
        <v>46209</v>
      </c>
      <c r="B188" s="83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90">
        <v>63651</v>
      </c>
    </row>
    <row r="189" spans="1:7" x14ac:dyDescent="0.35">
      <c r="A189" s="82">
        <v>46210</v>
      </c>
      <c r="B189" s="83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90">
        <v>63331</v>
      </c>
    </row>
    <row r="190" spans="1:7" x14ac:dyDescent="0.35">
      <c r="A190" s="82">
        <v>46211</v>
      </c>
      <c r="B190" s="83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90">
        <v>63365</v>
      </c>
    </row>
    <row r="191" spans="1:7" x14ac:dyDescent="0.35">
      <c r="A191" s="82">
        <v>46212</v>
      </c>
      <c r="B191" s="83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90">
        <v>62291</v>
      </c>
    </row>
    <row r="192" spans="1:7" x14ac:dyDescent="0.35">
      <c r="A192" s="82">
        <v>46213</v>
      </c>
      <c r="B192" s="83">
        <v>3.6400000000000002E-2</v>
      </c>
      <c r="C192" s="23">
        <v>2.47E-2</v>
      </c>
      <c r="D192" s="23">
        <v>3.9399999999999998E-2</v>
      </c>
      <c r="E192" s="23">
        <v>3.78E-2</v>
      </c>
      <c r="F192" s="23">
        <v>4.5199999999999997E-2</v>
      </c>
      <c r="G192" s="90">
        <v>64231</v>
      </c>
    </row>
    <row r="193" spans="1:7" x14ac:dyDescent="0.35">
      <c r="A193" s="82">
        <v>46214</v>
      </c>
      <c r="B193" s="83">
        <v>3.6999999999999998E-2</v>
      </c>
      <c r="C193" s="23">
        <v>2.47E-2</v>
      </c>
      <c r="D193" s="23">
        <v>4.07E-2</v>
      </c>
      <c r="E193" s="23">
        <v>3.8899999999999997E-2</v>
      </c>
      <c r="F193" s="23">
        <v>4.3799999999999999E-2</v>
      </c>
      <c r="G193" s="90">
        <v>64161</v>
      </c>
    </row>
    <row r="194" spans="1:7" x14ac:dyDescent="0.35">
      <c r="A194" s="82">
        <v>46215</v>
      </c>
      <c r="B194" s="83">
        <v>3.6799999999999999E-2</v>
      </c>
      <c r="C194" s="23">
        <v>2.47E-2</v>
      </c>
      <c r="D194" s="23">
        <v>0.04</v>
      </c>
      <c r="E194" s="23">
        <v>3.8199999999999998E-2</v>
      </c>
      <c r="F194" s="23">
        <v>4.5900000000000003E-2</v>
      </c>
      <c r="G194" s="90">
        <v>63819</v>
      </c>
    </row>
    <row r="195" spans="1:7" x14ac:dyDescent="0.35">
      <c r="A195" s="82">
        <v>46216</v>
      </c>
      <c r="B195" s="83">
        <v>3.5900000000000001E-2</v>
      </c>
      <c r="C195" s="23">
        <v>2.47E-2</v>
      </c>
      <c r="D195" s="23">
        <v>3.95E-2</v>
      </c>
      <c r="E195" s="23">
        <v>3.78E-2</v>
      </c>
      <c r="F195" s="23">
        <v>4.4600000000000001E-2</v>
      </c>
      <c r="G195" s="90"/>
    </row>
    <row r="196" spans="1:7" x14ac:dyDescent="0.35">
      <c r="A196" s="82">
        <v>46217</v>
      </c>
      <c r="B196" s="83"/>
      <c r="C196" s="23"/>
      <c r="D196" s="23"/>
      <c r="E196" s="23"/>
      <c r="F196" s="23"/>
      <c r="G196" s="90"/>
    </row>
    <row r="197" spans="1:7" x14ac:dyDescent="0.35">
      <c r="A197" s="82">
        <v>46218</v>
      </c>
      <c r="B197" s="83"/>
      <c r="C197" s="23"/>
      <c r="D197" s="23"/>
      <c r="E197" s="23"/>
      <c r="F197" s="23"/>
      <c r="G197" s="90"/>
    </row>
    <row r="198" spans="1:7" x14ac:dyDescent="0.35">
      <c r="A198" s="82">
        <v>46219</v>
      </c>
      <c r="B198" s="83"/>
      <c r="C198" s="23"/>
      <c r="D198" s="23"/>
      <c r="E198" s="23"/>
      <c r="F198" s="23"/>
      <c r="G198" s="90"/>
    </row>
    <row r="199" spans="1:7" x14ac:dyDescent="0.35">
      <c r="A199" s="82">
        <v>46220</v>
      </c>
      <c r="B199" s="83"/>
      <c r="C199" s="23"/>
      <c r="D199" s="23"/>
      <c r="E199" s="23"/>
      <c r="F199" s="23"/>
      <c r="G199" s="90"/>
    </row>
    <row r="200" spans="1:7" x14ac:dyDescent="0.35">
      <c r="A200" s="82">
        <v>46221</v>
      </c>
      <c r="B200" s="83"/>
      <c r="C200" s="23"/>
      <c r="D200" s="23"/>
      <c r="E200" s="23"/>
      <c r="F200" s="23"/>
      <c r="G200" s="90"/>
    </row>
    <row r="201" spans="1:7" x14ac:dyDescent="0.35">
      <c r="A201" s="80"/>
      <c r="B201" s="80"/>
    </row>
    <row r="202" spans="1:7" x14ac:dyDescent="0.35">
      <c r="A202" s="80"/>
      <c r="B202" s="80"/>
    </row>
    <row r="203" spans="1:7" x14ac:dyDescent="0.35">
      <c r="A203" s="80"/>
      <c r="B203" s="80"/>
    </row>
    <row r="204" spans="1:7" x14ac:dyDescent="0.35">
      <c r="A204" s="80"/>
      <c r="B204" s="80"/>
    </row>
    <row r="205" spans="1:7" x14ac:dyDescent="0.35">
      <c r="A205" s="80"/>
      <c r="B205" s="80"/>
    </row>
    <row r="206" spans="1:7" x14ac:dyDescent="0.35">
      <c r="A206" s="80"/>
      <c r="B206" s="80"/>
    </row>
    <row r="207" spans="1:7" x14ac:dyDescent="0.35">
      <c r="A207" s="80"/>
      <c r="B207" s="80"/>
    </row>
    <row r="208" spans="1:7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Q136" zoomScale="96" zoomScaleNormal="96" workbookViewId="0">
      <selection activeCell="AT143" sqref="AT143:AZ143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6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6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6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6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44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6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6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6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6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6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6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8">
        <v>3.6700000000000003E-2</v>
      </c>
      <c r="Q140" s="86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8">
        <v>2.5000000000000001E-2</v>
      </c>
      <c r="AI140" s="13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4">
        <v>3.5000000000000003E-2</v>
      </c>
      <c r="AU140" s="14">
        <v>3.5000000000000003E-2</v>
      </c>
      <c r="AV140" s="14">
        <v>4.0099999999999997E-2</v>
      </c>
      <c r="AW140" s="14">
        <v>4.2900000000000001E-2</v>
      </c>
      <c r="AX140" s="14">
        <v>4.2900000000000001E-2</v>
      </c>
      <c r="AY140" s="14">
        <v>5.4899999999999997E-2</v>
      </c>
      <c r="AZ140" s="14">
        <v>4.0300000000000002E-2</v>
      </c>
      <c r="BA140" s="13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8">
        <v>4.4900000000000002E-2</v>
      </c>
      <c r="BM140" s="1"/>
      <c r="BN140" s="58">
        <v>5.3800000000000001E-2</v>
      </c>
      <c r="BO140" s="1"/>
      <c r="BP140" s="1"/>
      <c r="BQ140" s="1"/>
      <c r="BR140" s="58">
        <v>3.7400000000000003E-2</v>
      </c>
      <c r="BS140" s="13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8">
        <v>3.8800000000000001E-2</v>
      </c>
      <c r="Q141" s="86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8">
        <v>2.5000000000000001E-2</v>
      </c>
      <c r="AI141" s="13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4">
        <v>3.5000000000000003E-2</v>
      </c>
      <c r="AU141" s="14">
        <v>3.5000000000000003E-2</v>
      </c>
      <c r="AV141" s="14">
        <v>3.9899999999999998E-2</v>
      </c>
      <c r="AW141" s="14">
        <v>0.04</v>
      </c>
      <c r="AX141" s="14">
        <v>4.4499999999999998E-2</v>
      </c>
      <c r="AY141" s="14">
        <v>3.9300000000000002E-2</v>
      </c>
      <c r="AZ141" s="14">
        <v>3.9899999999999998E-2</v>
      </c>
      <c r="BA141" s="13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8">
        <v>4.4600000000000001E-2</v>
      </c>
      <c r="BM141" s="1"/>
      <c r="BN141" s="58">
        <v>5.3499999999999999E-2</v>
      </c>
      <c r="BO141" s="1"/>
      <c r="BP141" s="1"/>
      <c r="BQ141" s="1"/>
      <c r="BR141" s="58">
        <v>3.8899999999999997E-2</v>
      </c>
      <c r="BS141" s="13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8">
        <v>3.7699999999999997E-2</v>
      </c>
      <c r="Q142" s="86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8">
        <v>2.5000000000000001E-2</v>
      </c>
      <c r="AI142" s="13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4">
        <v>3.5000000000000003E-2</v>
      </c>
      <c r="AU142" s="14">
        <v>3.5000000000000003E-2</v>
      </c>
      <c r="AV142" s="14">
        <v>3.9899999999999998E-2</v>
      </c>
      <c r="AW142" s="14">
        <v>0.04</v>
      </c>
      <c r="AX142" s="14">
        <v>4.4499999999999998E-2</v>
      </c>
      <c r="AY142" s="14">
        <v>3.9300000000000002E-2</v>
      </c>
      <c r="AZ142" s="14">
        <v>3.9899999999999998E-2</v>
      </c>
      <c r="BA142" s="13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8">
        <v>4.4600000000000001E-2</v>
      </c>
      <c r="BM142" s="1"/>
      <c r="BN142" s="58">
        <v>5.3499999999999999E-2</v>
      </c>
      <c r="BO142" s="1"/>
      <c r="BP142" s="1"/>
      <c r="BQ142" s="1"/>
      <c r="BR142" s="58">
        <v>3.8100000000000002E-2</v>
      </c>
      <c r="BS142" s="13">
        <f t="shared" ref="BS142:BS146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8">
        <v>3.7100000000000001E-2</v>
      </c>
      <c r="Q143" s="86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8">
        <v>2.5000000000000001E-2</v>
      </c>
      <c r="AI143" s="13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4">
        <v>3.5000000000000003E-2</v>
      </c>
      <c r="AU143" s="14">
        <v>3.5000000000000003E-2</v>
      </c>
      <c r="AV143" s="14">
        <v>3.9899999999999998E-2</v>
      </c>
      <c r="AW143" s="14">
        <v>0.04</v>
      </c>
      <c r="AX143" s="14">
        <v>4.4499999999999998E-2</v>
      </c>
      <c r="AY143" s="14">
        <v>3.9300000000000002E-2</v>
      </c>
      <c r="AZ143" s="14">
        <v>3.9899999999999998E-2</v>
      </c>
      <c r="BA143" s="13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8">
        <v>4.4600000000000001E-2</v>
      </c>
      <c r="BM143" s="1"/>
      <c r="BN143" s="58">
        <v>5.3499999999999999E-2</v>
      </c>
      <c r="BO143" s="1"/>
      <c r="BP143" s="1"/>
      <c r="BQ143" s="1"/>
      <c r="BR143" s="58">
        <v>3.7199999999999997E-2</v>
      </c>
      <c r="BS143" s="13">
        <f t="shared" si="18"/>
        <v>2.1799999999999996E-2</v>
      </c>
    </row>
    <row r="144" spans="1:71" x14ac:dyDescent="0.35">
      <c r="A144" s="4">
        <v>46217</v>
      </c>
      <c r="B144" s="3"/>
      <c r="C144" s="3"/>
      <c r="D144" s="3"/>
      <c r="E144" s="3"/>
      <c r="F144" s="3"/>
      <c r="G144" s="3"/>
      <c r="H144" s="9"/>
      <c r="I144" s="2">
        <v>46217</v>
      </c>
      <c r="J144" s="1"/>
      <c r="K144" s="1"/>
      <c r="L144" s="1"/>
      <c r="M144" s="1"/>
      <c r="N144" s="1"/>
      <c r="O144" s="1"/>
      <c r="P144" s="58"/>
      <c r="Q144" s="86">
        <f t="shared" si="16"/>
        <v>0</v>
      </c>
      <c r="S144" s="4">
        <v>46217</v>
      </c>
      <c r="T144" s="3"/>
      <c r="U144" s="3"/>
      <c r="V144" s="3"/>
      <c r="W144" s="3"/>
      <c r="X144" s="6"/>
      <c r="Y144" s="3"/>
      <c r="Z144" s="6"/>
      <c r="AA144" s="2">
        <v>46217</v>
      </c>
      <c r="AB144" s="1"/>
      <c r="AC144" s="1"/>
      <c r="AD144" s="1"/>
      <c r="AE144" s="1"/>
      <c r="AF144" s="1"/>
      <c r="AG144" s="1"/>
      <c r="AH144" s="58"/>
      <c r="AI144" s="13">
        <f t="shared" si="13"/>
        <v>0</v>
      </c>
      <c r="AK144" s="4">
        <v>46217</v>
      </c>
      <c r="AL144" s="6"/>
      <c r="AM144" s="3"/>
      <c r="AN144" s="3"/>
      <c r="AO144" s="3"/>
      <c r="AP144" s="3"/>
      <c r="AQ144" s="3"/>
      <c r="AR144" s="6"/>
      <c r="AS144" s="2">
        <v>46217</v>
      </c>
      <c r="AT144" s="14"/>
      <c r="AU144" s="14"/>
      <c r="AV144" s="14"/>
      <c r="AW144" s="14"/>
      <c r="AX144" s="14"/>
      <c r="AY144" s="14"/>
      <c r="AZ144" s="14"/>
      <c r="BA144" s="13">
        <f t="shared" si="17"/>
        <v>0</v>
      </c>
      <c r="BC144" s="4">
        <v>46217</v>
      </c>
      <c r="BD144" s="6"/>
      <c r="BE144" s="6"/>
      <c r="BF144" s="6"/>
      <c r="BG144" s="3"/>
      <c r="BH144" s="3"/>
      <c r="BI144" s="3"/>
      <c r="BJ144" s="6"/>
      <c r="BK144" s="2">
        <v>46217</v>
      </c>
      <c r="BL144" s="58"/>
      <c r="BM144" s="1"/>
      <c r="BN144" s="58"/>
      <c r="BO144" s="1"/>
      <c r="BP144" s="1"/>
      <c r="BQ144" s="1"/>
      <c r="BR144" s="58"/>
      <c r="BS144" s="13">
        <f t="shared" si="18"/>
        <v>0</v>
      </c>
    </row>
    <row r="145" spans="1:71" x14ac:dyDescent="0.35">
      <c r="A145" s="4">
        <v>46218</v>
      </c>
      <c r="B145" s="3"/>
      <c r="C145" s="3"/>
      <c r="D145" s="3"/>
      <c r="E145" s="3"/>
      <c r="F145" s="3"/>
      <c r="G145" s="3"/>
      <c r="H145" s="9"/>
      <c r="I145" s="2">
        <v>46218</v>
      </c>
      <c r="J145" s="1"/>
      <c r="K145" s="1"/>
      <c r="L145" s="1"/>
      <c r="M145" s="1"/>
      <c r="N145" s="1"/>
      <c r="O145" s="1"/>
      <c r="P145" s="58"/>
      <c r="Q145" s="86">
        <f t="shared" si="16"/>
        <v>0</v>
      </c>
      <c r="S145" s="4">
        <v>46218</v>
      </c>
      <c r="T145" s="3"/>
      <c r="U145" s="3"/>
      <c r="V145" s="3"/>
      <c r="W145" s="3"/>
      <c r="X145" s="6"/>
      <c r="Y145" s="3"/>
      <c r="Z145" s="6"/>
      <c r="AA145" s="2">
        <v>46218</v>
      </c>
      <c r="AB145" s="1"/>
      <c r="AC145" s="1"/>
      <c r="AD145" s="1"/>
      <c r="AE145" s="1"/>
      <c r="AF145" s="1"/>
      <c r="AG145" s="1"/>
      <c r="AH145" s="58"/>
      <c r="AK145" s="4">
        <v>46218</v>
      </c>
      <c r="AL145" s="6"/>
      <c r="AM145" s="3"/>
      <c r="AN145" s="3"/>
      <c r="AO145" s="3"/>
      <c r="AP145" s="3"/>
      <c r="AQ145" s="3"/>
      <c r="AR145" s="6"/>
      <c r="AS145" s="2">
        <v>46218</v>
      </c>
      <c r="AT145" s="14"/>
      <c r="AU145" s="14"/>
      <c r="AV145" s="14"/>
      <c r="AW145" s="14"/>
      <c r="AX145" s="14"/>
      <c r="AY145" s="14"/>
      <c r="AZ145" s="14"/>
      <c r="BA145" s="13">
        <f t="shared" si="17"/>
        <v>0</v>
      </c>
      <c r="BC145" s="4">
        <v>46218</v>
      </c>
      <c r="BD145" s="6"/>
      <c r="BE145" s="6"/>
      <c r="BF145" s="6"/>
      <c r="BG145" s="3"/>
      <c r="BH145" s="3"/>
      <c r="BI145" s="3"/>
      <c r="BJ145" s="6"/>
      <c r="BK145" s="2">
        <v>46218</v>
      </c>
      <c r="BL145" s="58"/>
      <c r="BM145" s="1"/>
      <c r="BN145" s="58"/>
      <c r="BO145" s="1"/>
      <c r="BP145" s="1"/>
      <c r="BQ145" s="1"/>
      <c r="BR145" s="58"/>
      <c r="BS145" s="13">
        <f t="shared" si="18"/>
        <v>0</v>
      </c>
    </row>
    <row r="146" spans="1:71" x14ac:dyDescent="0.35">
      <c r="A146" s="4">
        <v>46219</v>
      </c>
      <c r="B146" s="3"/>
      <c r="C146" s="3"/>
      <c r="D146" s="3"/>
      <c r="E146" s="3"/>
      <c r="F146" s="3"/>
      <c r="G146" s="3"/>
      <c r="H146" s="9"/>
      <c r="I146" s="2">
        <v>46219</v>
      </c>
      <c r="J146" s="1"/>
      <c r="K146" s="1"/>
      <c r="L146" s="1"/>
      <c r="M146" s="1"/>
      <c r="N146" s="1"/>
      <c r="O146" s="1"/>
      <c r="P146" s="58"/>
      <c r="Q146" s="86">
        <f t="shared" si="16"/>
        <v>0</v>
      </c>
      <c r="S146" s="4">
        <v>46219</v>
      </c>
      <c r="T146" s="3"/>
      <c r="U146" s="3"/>
      <c r="V146" s="3"/>
      <c r="W146" s="3"/>
      <c r="X146" s="6"/>
      <c r="Y146" s="3"/>
      <c r="Z146" s="6"/>
      <c r="AA146" s="2">
        <v>46219</v>
      </c>
      <c r="AB146" s="1"/>
      <c r="AC146" s="1"/>
      <c r="AD146" s="1"/>
      <c r="AE146" s="1"/>
      <c r="AF146" s="1"/>
      <c r="AG146" s="1"/>
      <c r="AH146" s="58"/>
      <c r="AK146" s="4">
        <v>46219</v>
      </c>
      <c r="AL146" s="6"/>
      <c r="AM146" s="3"/>
      <c r="AN146" s="3"/>
      <c r="AO146" s="3"/>
      <c r="AP146" s="3"/>
      <c r="AQ146" s="3"/>
      <c r="AR146" s="6"/>
      <c r="AS146" s="2">
        <v>46219</v>
      </c>
      <c r="AT146" s="14"/>
      <c r="AU146" s="14"/>
      <c r="AV146" s="14"/>
      <c r="AW146" s="14"/>
      <c r="AX146" s="14"/>
      <c r="AY146" s="14"/>
      <c r="AZ146" s="14"/>
      <c r="BA146" s="13">
        <f t="shared" si="17"/>
        <v>0</v>
      </c>
      <c r="BC146" s="4">
        <v>46219</v>
      </c>
      <c r="BD146" s="6"/>
      <c r="BE146" s="6"/>
      <c r="BF146" s="6"/>
      <c r="BG146" s="3"/>
      <c r="BH146" s="3"/>
      <c r="BI146" s="3"/>
      <c r="BJ146" s="6"/>
      <c r="BK146" s="2">
        <v>46219</v>
      </c>
      <c r="BL146" s="58"/>
      <c r="BM146" s="1"/>
      <c r="BN146" s="58"/>
      <c r="BO146" s="1"/>
      <c r="BP146" s="1"/>
      <c r="BQ146" s="1"/>
      <c r="BR146" s="58"/>
      <c r="BS146" s="13">
        <f t="shared" si="18"/>
        <v>0</v>
      </c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25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24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23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22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21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20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19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18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17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16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15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14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13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12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11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10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09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08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07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06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05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44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4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42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4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H7-1.06%</f>
        <v>2.7300000000000005E-2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4.0099999999999997E-2</v>
      </c>
      <c r="E3" s="55">
        <v>4.2900000000000001E-2</v>
      </c>
      <c r="F3" s="55">
        <v>4.2900000000000001E-2</v>
      </c>
      <c r="G3" s="55">
        <v>5.4899999999999997E-2</v>
      </c>
      <c r="H3" s="53">
        <v>4.0300000000000002E-2</v>
      </c>
      <c r="I3" s="74">
        <f>(1+H3/365)^365-1</f>
        <v>4.1120748168237853E-2</v>
      </c>
      <c r="J3" s="75"/>
      <c r="K3" s="68">
        <f>H3-'Daily Data'!AR140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4.4900000000000002E-2</v>
      </c>
      <c r="C5" s="56">
        <f t="shared" ref="C5:G5" si="2">((1+$I5)^(C2/365)-1)*365/C2</f>
        <v>3.7424919637020534E-2</v>
      </c>
      <c r="D5" s="56">
        <v>5.3800000000000001E-2</v>
      </c>
      <c r="E5" s="56">
        <f t="shared" si="2"/>
        <v>3.7513274746653447E-2</v>
      </c>
      <c r="F5" s="56">
        <f t="shared" si="2"/>
        <v>3.7571047464634799E-2</v>
      </c>
      <c r="G5" s="56">
        <f t="shared" si="2"/>
        <v>3.7745078320365125E-2</v>
      </c>
      <c r="H5" s="57">
        <v>3.7400000000000003E-2</v>
      </c>
      <c r="I5" s="74">
        <f t="shared" si="1"/>
        <v>3.8106192081770685E-2</v>
      </c>
      <c r="J5" s="75"/>
      <c r="K5" s="68">
        <f>H5-'Daily Data'!BJ140</f>
        <v>2.2700000000000005E-2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4.1300000000000003E-2</v>
      </c>
      <c r="C7" s="56">
        <f t="shared" ref="C7:G7" si="4">((1+$I7)^(C2/365)-1)*365/C2</f>
        <v>3.9427656707190346E-2</v>
      </c>
      <c r="D7" s="56">
        <v>4.3299999999999998E-2</v>
      </c>
      <c r="E7" s="56">
        <f t="shared" si="4"/>
        <v>3.9525726953030728E-2</v>
      </c>
      <c r="F7" s="56">
        <f t="shared" si="4"/>
        <v>3.9589861010926784E-2</v>
      </c>
      <c r="G7" s="56">
        <f t="shared" si="4"/>
        <v>3.9783096817143065E-2</v>
      </c>
      <c r="H7" s="53">
        <v>3.9399999999999998E-2</v>
      </c>
      <c r="I7" s="74">
        <f t="shared" si="1"/>
        <v>4.0184263220001792E-2</v>
      </c>
      <c r="J7" s="75"/>
      <c r="K7" s="68">
        <f>H7-1.06%</f>
        <v>2.8799999999999999E-2</v>
      </c>
    </row>
    <row r="8" spans="1:11" ht="23.15" customHeight="1" x14ac:dyDescent="0.4">
      <c r="A8" s="51" t="s">
        <v>62</v>
      </c>
      <c r="B8" s="52">
        <f>((1+$I8)^(B2/365)-1)*365/B2</f>
        <v>3.6711072184115415E-2</v>
      </c>
      <c r="C8" s="52">
        <f t="shared" ref="C8:G8" si="5">((1+$I8)^(C2/365)-1)*365/C2</f>
        <v>3.6723995361844466E-2</v>
      </c>
      <c r="D8" s="52">
        <f t="shared" si="5"/>
        <v>3.6753556836253844E-2</v>
      </c>
      <c r="E8" s="52">
        <f t="shared" si="5"/>
        <v>3.6809070148862498E-2</v>
      </c>
      <c r="F8" s="52">
        <f t="shared" si="5"/>
        <v>3.6864695259371E-2</v>
      </c>
      <c r="G8" s="52">
        <f t="shared" si="5"/>
        <v>3.7032243914290011E-2</v>
      </c>
      <c r="H8" s="53">
        <v>3.6700000000000003E-2</v>
      </c>
      <c r="I8" s="74">
        <f t="shared" si="1"/>
        <v>3.7379845727282035E-2</v>
      </c>
      <c r="J8" s="75"/>
      <c r="K8" s="68">
        <f>H8-'Daily Data'!H140</f>
        <v>2.2300000000000004E-2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3.61E-2</v>
      </c>
      <c r="C5" s="56">
        <f t="shared" ref="C5:G5" si="2">((1+$I5)^(C2/365)-1)*365/C2</f>
        <v>3.8926959066522389E-2</v>
      </c>
      <c r="D5" s="56">
        <v>3.78E-2</v>
      </c>
      <c r="E5" s="56">
        <f t="shared" si="2"/>
        <v>3.9022552912378425E-2</v>
      </c>
      <c r="F5" s="56">
        <f t="shared" si="2"/>
        <v>3.9085065331842528E-2</v>
      </c>
      <c r="G5" s="56">
        <f t="shared" si="2"/>
        <v>3.9273404797430481E-2</v>
      </c>
      <c r="H5" s="57">
        <v>3.8899999999999997E-2</v>
      </c>
      <c r="I5" s="74">
        <f t="shared" si="1"/>
        <v>3.9664356841096371E-2</v>
      </c>
      <c r="J5" s="75"/>
      <c r="K5" s="68">
        <f>H5-'Daily Data'!BJ140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3.8812375671868189E-2</v>
      </c>
      <c r="C8" s="52">
        <f t="shared" ref="C8:G8" si="5">((1+$I8)^(C2/365)-1)*365/C2</f>
        <v>3.8826820608222859E-2</v>
      </c>
      <c r="D8" s="52">
        <f t="shared" si="5"/>
        <v>3.8859864528720513E-2</v>
      </c>
      <c r="E8" s="52">
        <f t="shared" si="5"/>
        <v>3.8921922983701972E-2</v>
      </c>
      <c r="F8" s="52">
        <f t="shared" si="5"/>
        <v>3.8984113580225445E-2</v>
      </c>
      <c r="G8" s="52">
        <f t="shared" si="5"/>
        <v>3.9171481388509101E-2</v>
      </c>
      <c r="H8" s="53">
        <v>3.8800000000000001E-2</v>
      </c>
      <c r="I8" s="74">
        <f t="shared" si="1"/>
        <v>3.9560406667257908E-2</v>
      </c>
      <c r="J8" s="75"/>
      <c r="K8" s="68">
        <f>H8-'Daily Data'!H140</f>
        <v>2.4400000000000002E-2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10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9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4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Data'!H140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3.8211995845654566E-2</v>
      </c>
      <c r="C9" s="56">
        <f t="shared" ref="C9:G9" si="6">((1+$I9)^(C2/365)-1)*365/C2</f>
        <v>3.8225997347559368E-2</v>
      </c>
      <c r="D9" s="56">
        <f t="shared" si="6"/>
        <v>3.8258026473317185E-2</v>
      </c>
      <c r="E9" s="56">
        <f t="shared" si="6"/>
        <v>3.8318177566042645E-2</v>
      </c>
      <c r="F9" s="56">
        <f t="shared" si="6"/>
        <v>3.837845475532109E-2</v>
      </c>
      <c r="G9" s="56">
        <f t="shared" si="6"/>
        <v>3.8560045880042144E-2</v>
      </c>
      <c r="H9" s="53">
        <v>3.8199999999999998E-2</v>
      </c>
      <c r="I9" s="74">
        <f t="shared" si="1"/>
        <v>3.8936923251637001E-2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8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7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3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tabSelected="1"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Data'!H140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2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1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118</vt:i4>
      </vt:variant>
    </vt:vector>
  </HeadingPairs>
  <TitlesOfParts>
    <vt:vector size="118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2026-07-13T10:25:18Z</dcterms:modified>
</cp:coreProperties>
</file>