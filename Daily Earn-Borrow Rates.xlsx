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99A9773D-8808-4243-ABC2-B5C9F8C93377}" xr6:coauthVersionLast="47" xr6:coauthVersionMax="47" xr10:uidLastSave="{00000000-0000-0000-0000-000000000000}"/>
  <bookViews>
    <workbookView xWindow="-28920" yWindow="855" windowWidth="29040" windowHeight="17520" firstSheet="98" activeTab="107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  <sheet name="01.07.2026" sheetId="128" r:id="rId106"/>
    <sheet name="02.07.2026" sheetId="129" r:id="rId107"/>
    <sheet name="03.07.2026" sheetId="130" r:id="rId10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<sst xmlns="http://schemas.openxmlformats.org/spreadsheetml/2006/main" count="5362" uniqueCount="72">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</sst>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0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theme" Target="theme/theme1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46273</xdr:colOff>
      <xdr:row>147</xdr:row>
      <xdr:rowOff>101070</xdr:rowOff>
    </xdr:from>
    <xdr:to>
      <xdr:col>33</xdr:col>
      <xdr:colOff>398021</xdr:colOff>
      <xdr:row>181</xdr:row>
      <xdr:rowOff>120728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76195" y="26354351"/>
          <a:ext cx="6542998" cy="609819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53" zoomScale="115" zoomScaleNormal="115" workbookViewId="0">
      <selection activeCell="G185" sqref="G185"/>
    </sheetView>
  </sheetViews>
  <sheetFormatPr defaultRowHeight="14.5" x14ac:dyDescent="0.35"/>
  <cols>
    <col min="1" max="2" width="15.54296875" style="81" customWidth="1"/>
    <col min="3" max="6" width="15.5429687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3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>
        <v>64510</v>
      </c>
    </row>
    <row r="171" spans="1:7" x14ac:dyDescent="0.35">
      <c r="A171" s="82">
        <v>46192</v>
      </c>
      <c r="B171" s="83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90">
        <v>62960</v>
      </c>
    </row>
    <row r="172" spans="1:7" x14ac:dyDescent="0.35">
      <c r="A172" s="82">
        <v>46193</v>
      </c>
      <c r="B172" s="83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90">
        <v>63544</v>
      </c>
    </row>
    <row r="173" spans="1:7" x14ac:dyDescent="0.35">
      <c r="A173" s="82">
        <v>46194</v>
      </c>
      <c r="B173" s="83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90">
        <v>64298</v>
      </c>
    </row>
    <row r="174" spans="1:7" x14ac:dyDescent="0.35">
      <c r="A174" s="82">
        <v>46195</v>
      </c>
      <c r="B174" s="83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90">
        <v>63313</v>
      </c>
    </row>
    <row r="175" spans="1:7" x14ac:dyDescent="0.35">
      <c r="A175" s="82">
        <v>46196</v>
      </c>
      <c r="B175" s="83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90">
        <v>64021</v>
      </c>
    </row>
    <row r="176" spans="1:7" x14ac:dyDescent="0.35">
      <c r="A176" s="82">
        <v>46197</v>
      </c>
      <c r="B176" s="83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90">
        <v>62735</v>
      </c>
    </row>
    <row r="177" spans="1:7" x14ac:dyDescent="0.35">
      <c r="A177" s="82">
        <v>46198</v>
      </c>
      <c r="B177" s="83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90">
        <v>61079</v>
      </c>
    </row>
    <row r="178" spans="1:7" x14ac:dyDescent="0.35">
      <c r="A178" s="82">
        <v>46199</v>
      </c>
      <c r="B178" s="83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90">
        <v>59795</v>
      </c>
    </row>
    <row r="179" spans="1:7" x14ac:dyDescent="0.35">
      <c r="A179" s="82">
        <v>46200</v>
      </c>
      <c r="B179" s="83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90">
        <v>60098</v>
      </c>
    </row>
    <row r="180" spans="1:7" x14ac:dyDescent="0.35">
      <c r="A180" s="82">
        <v>46201</v>
      </c>
      <c r="B180" s="83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90">
        <v>59578</v>
      </c>
    </row>
    <row r="181" spans="1:7" x14ac:dyDescent="0.35">
      <c r="A181" s="82">
        <v>46202</v>
      </c>
      <c r="B181" s="83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90">
        <v>60030</v>
      </c>
    </row>
    <row r="182" spans="1:7" x14ac:dyDescent="0.35">
      <c r="A182" s="82">
        <v>46203</v>
      </c>
      <c r="B182" s="83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90">
        <v>60261</v>
      </c>
    </row>
    <row r="183" spans="1:7" x14ac:dyDescent="0.35">
      <c r="A183" s="82">
        <v>46204</v>
      </c>
      <c r="B183" s="83">
        <v>3.5700000000000003E-2</v>
      </c>
      <c r="C183" s="23">
        <v>2.47E-2</v>
      </c>
      <c r="D183" s="23">
        <v>3.8800000000000001E-2</v>
      </c>
      <c r="E183" s="23">
        <v>3.7100000000000001E-2</v>
      </c>
      <c r="F183" s="23">
        <v>5.57E-2</v>
      </c>
      <c r="G183" s="90">
        <v>58625</v>
      </c>
    </row>
    <row r="184" spans="1:7" x14ac:dyDescent="0.35">
      <c r="A184" s="82">
        <v>46205</v>
      </c>
      <c r="B184" s="83">
        <v>3.6700000000000003E-2</v>
      </c>
      <c r="C184" s="23">
        <v>2.47E-2</v>
      </c>
      <c r="D184" s="23">
        <v>3.95E-2</v>
      </c>
      <c r="E184" s="23">
        <v>3.78E-2</v>
      </c>
      <c r="F184" s="23">
        <v>4.1700000000000001E-2</v>
      </c>
      <c r="G184" s="90">
        <v>60025</v>
      </c>
    </row>
    <row r="185" spans="1:7" x14ac:dyDescent="0.35">
      <c r="A185" s="82">
        <v>46206</v>
      </c>
      <c r="B185" s="83">
        <v>3.6999999999999998E-2</v>
      </c>
      <c r="C185" s="23">
        <v>2.47E-2</v>
      </c>
      <c r="D185" s="23">
        <v>4.07E-2</v>
      </c>
      <c r="E185" s="23">
        <v>3.8899999999999997E-2</v>
      </c>
      <c r="F185" s="23">
        <v>4.3200000000000002E-2</v>
      </c>
      <c r="G185" s="90"/>
    </row>
    <row r="186" spans="1:7" x14ac:dyDescent="0.35">
      <c r="A186" s="82">
        <v>46207</v>
      </c>
      <c r="B186" s="83"/>
      <c r="C186" s="23"/>
      <c r="D186" s="23"/>
      <c r="E186" s="23"/>
      <c r="F186" s="23"/>
      <c r="G186" s="90"/>
    </row>
    <row r="187" spans="1:7" x14ac:dyDescent="0.35">
      <c r="A187" s="82">
        <v>46208</v>
      </c>
      <c r="B187" s="83"/>
      <c r="C187" s="23"/>
      <c r="D187" s="23"/>
      <c r="E187" s="23"/>
      <c r="F187" s="23"/>
      <c r="G187" s="90"/>
    </row>
    <row r="188" spans="1:7" x14ac:dyDescent="0.35">
      <c r="A188" s="80"/>
      <c r="B188" s="80"/>
    </row>
    <row r="189" spans="1:7" x14ac:dyDescent="0.35">
      <c r="A189" s="80"/>
      <c r="B189" s="80"/>
    </row>
    <row r="190" spans="1:7" x14ac:dyDescent="0.35">
      <c r="A190" s="80"/>
      <c r="B190" s="80"/>
    </row>
    <row r="191" spans="1:7" x14ac:dyDescent="0.35">
      <c r="A191" s="80"/>
      <c r="B191" s="80"/>
    </row>
    <row r="192" spans="1:7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18" zoomScale="96" zoomScaleNormal="96" workbookViewId="0">
      <selection activeCell="AT133" sqref="AT133:AZ133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179687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1796875" bestFit="1" customWidth="1"/>
    <col min="37" max="37" width="10.54296875" bestFit="1" customWidth="1"/>
    <col min="38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6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6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6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6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6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6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6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6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6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6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6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6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8">
        <v>5.1900000000000002E-2</v>
      </c>
      <c r="BM130" s="1"/>
      <c r="BN130" s="58">
        <v>6.2199999999999998E-2</v>
      </c>
      <c r="BO130" s="1"/>
      <c r="BP130" s="1"/>
      <c r="BQ130" s="1"/>
      <c r="BR130" s="58">
        <v>4.3200000000000002E-2</v>
      </c>
      <c r="BS130" s="13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>
        <v>3.5499999999999997E-2</v>
      </c>
      <c r="Q131" s="86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>
        <v>2.5000000000000001E-2</v>
      </c>
      <c r="AI131" s="13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4">
        <v>3.2000000000000001E-2</v>
      </c>
      <c r="AU131" s="14">
        <v>4.2999999999999997E-2</v>
      </c>
      <c r="AV131" s="14">
        <v>4.1000000000000002E-2</v>
      </c>
      <c r="AW131" s="14">
        <v>5.8000000000000003E-2</v>
      </c>
      <c r="AX131" s="14">
        <v>4.9500000000000002E-2</v>
      </c>
      <c r="AY131" s="14">
        <v>5.5E-2</v>
      </c>
      <c r="AZ131" s="14">
        <v>3.9600000000000003E-2</v>
      </c>
      <c r="BA131" s="13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8">
        <v>4.87E-2</v>
      </c>
      <c r="BM131" s="1"/>
      <c r="BN131" s="58">
        <v>5.16E-2</v>
      </c>
      <c r="BO131" s="1"/>
      <c r="BP131" s="1"/>
      <c r="BQ131" s="1"/>
      <c r="BR131" s="58">
        <v>3.5900000000000001E-2</v>
      </c>
      <c r="BS131" s="13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>
        <v>3.6299999999999999E-2</v>
      </c>
      <c r="Q132" s="86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>
        <v>2.5000000000000001E-2</v>
      </c>
      <c r="AI132" s="13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4">
        <v>3.5000000000000003E-2</v>
      </c>
      <c r="AU132" s="14">
        <v>4.2999999999999997E-2</v>
      </c>
      <c r="AV132" s="14">
        <v>4.1000000000000002E-2</v>
      </c>
      <c r="AW132" s="14">
        <v>5.21E-2</v>
      </c>
      <c r="AX132" s="14">
        <v>4.8800000000000003E-2</v>
      </c>
      <c r="AY132" s="14">
        <v>5.9700000000000003E-2</v>
      </c>
      <c r="AZ132" s="14">
        <v>4.0300000000000002E-2</v>
      </c>
      <c r="BA132" s="13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8">
        <v>4.7E-2</v>
      </c>
      <c r="BM132" s="1"/>
      <c r="BN132" s="58">
        <v>5.4199999999999998E-2</v>
      </c>
      <c r="BO132" s="1"/>
      <c r="BP132" s="1"/>
      <c r="BQ132" s="1"/>
      <c r="BR132" s="58">
        <v>3.7600000000000001E-2</v>
      </c>
      <c r="BS132" s="13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8">
        <v>3.73E-2</v>
      </c>
      <c r="Q133" s="86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8">
        <v>2.5000000000000001E-2</v>
      </c>
      <c r="AI133" s="13">
        <f t="shared" ref="AI133:AI141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4">
        <v>3.49E-2</v>
      </c>
      <c r="AU133" s="14">
        <v>3.7999999999999999E-2</v>
      </c>
      <c r="AV133" s="14">
        <v>3.9899999999999998E-2</v>
      </c>
      <c r="AW133" s="14">
        <v>5.7599999999999998E-2</v>
      </c>
      <c r="AX133" s="14">
        <v>3.9100000000000003E-2</v>
      </c>
      <c r="AY133" s="14">
        <v>5.1999999999999998E-2</v>
      </c>
      <c r="AZ133" s="14">
        <v>4.1500000000000002E-2</v>
      </c>
      <c r="BA133" s="13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8">
        <v>4.6600000000000003E-2</v>
      </c>
      <c r="BM133" s="1"/>
      <c r="BN133" s="58">
        <v>5.3499999999999999E-2</v>
      </c>
      <c r="BO133" s="1"/>
      <c r="BP133" s="1"/>
      <c r="BQ133" s="1"/>
      <c r="BR133" s="58">
        <v>3.7100000000000001E-2</v>
      </c>
      <c r="BS133" s="13">
        <f t="shared" ref="BS133:BS141" si="15">BR133-BJ133</f>
        <v>2.2100000000000002E-2</v>
      </c>
    </row>
    <row r="134" spans="1:71" x14ac:dyDescent="0.35">
      <c r="A134" s="4">
        <v>46207</v>
      </c>
      <c r="B134" s="3"/>
      <c r="C134" s="3"/>
      <c r="D134" s="3"/>
      <c r="E134" s="3"/>
      <c r="F134" s="3"/>
      <c r="G134" s="3"/>
      <c r="H134" s="9"/>
      <c r="I134" s="2">
        <v>46207</v>
      </c>
      <c r="J134" s="1"/>
      <c r="K134" s="1"/>
      <c r="L134" s="1"/>
      <c r="M134" s="1"/>
      <c r="N134" s="1"/>
      <c r="O134" s="1"/>
      <c r="P134" s="58"/>
      <c r="Q134" s="86">
        <f t="shared" si="12"/>
        <v>0</v>
      </c>
      <c r="S134" s="4">
        <v>46207</v>
      </c>
      <c r="T134" s="3"/>
      <c r="U134" s="3"/>
      <c r="V134" s="3"/>
      <c r="W134" s="3"/>
      <c r="X134" s="6"/>
      <c r="Y134" s="3"/>
      <c r="Z134" s="6"/>
      <c r="AA134" s="2">
        <v>46207</v>
      </c>
      <c r="AB134" s="1"/>
      <c r="AC134" s="1"/>
      <c r="AD134" s="1"/>
      <c r="AE134" s="1"/>
      <c r="AF134" s="1"/>
      <c r="AG134" s="1"/>
      <c r="AH134" s="58"/>
      <c r="AI134" s="13">
        <f t="shared" si="13"/>
        <v>0</v>
      </c>
      <c r="AK134" s="4">
        <v>46207</v>
      </c>
      <c r="AL134" s="6"/>
      <c r="AM134" s="3"/>
      <c r="AN134" s="3"/>
      <c r="AO134" s="3"/>
      <c r="AP134" s="3"/>
      <c r="AQ134" s="3"/>
      <c r="AR134" s="6"/>
      <c r="AS134" s="2">
        <v>46207</v>
      </c>
      <c r="AT134" s="14"/>
      <c r="AU134" s="14"/>
      <c r="AV134" s="14"/>
      <c r="AW134" s="14"/>
      <c r="AX134" s="14"/>
      <c r="AY134" s="14"/>
      <c r="AZ134" s="14"/>
      <c r="BA134" s="13">
        <f t="shared" si="14"/>
        <v>0</v>
      </c>
      <c r="BC134" s="4">
        <v>46207</v>
      </c>
      <c r="BD134" s="6"/>
      <c r="BE134" s="6"/>
      <c r="BF134" s="6"/>
      <c r="BG134" s="3"/>
      <c r="BH134" s="3"/>
      <c r="BI134" s="3"/>
      <c r="BJ134" s="6"/>
      <c r="BK134" s="2">
        <v>46207</v>
      </c>
      <c r="BL134" s="58"/>
      <c r="BM134" s="1"/>
      <c r="BN134" s="58"/>
      <c r="BO134" s="1"/>
      <c r="BP134" s="1"/>
      <c r="BQ134" s="1"/>
      <c r="BR134" s="58"/>
      <c r="BS134" s="13">
        <f t="shared" si="15"/>
        <v>0</v>
      </c>
    </row>
    <row r="135" spans="1:71" x14ac:dyDescent="0.35">
      <c r="A135" s="4">
        <v>46208</v>
      </c>
      <c r="B135" s="3"/>
      <c r="C135" s="3"/>
      <c r="D135" s="3"/>
      <c r="E135" s="3"/>
      <c r="F135" s="3"/>
      <c r="G135" s="3"/>
      <c r="H135" s="9"/>
      <c r="I135" s="2">
        <v>46208</v>
      </c>
      <c r="J135" s="1"/>
      <c r="K135" s="1"/>
      <c r="L135" s="1"/>
      <c r="M135" s="1"/>
      <c r="N135" s="1"/>
      <c r="O135" s="1"/>
      <c r="P135" s="58"/>
      <c r="Q135" s="86">
        <f t="shared" si="12"/>
        <v>0</v>
      </c>
      <c r="S135" s="4">
        <v>46208</v>
      </c>
      <c r="T135" s="3"/>
      <c r="U135" s="3"/>
      <c r="V135" s="3"/>
      <c r="W135" s="3"/>
      <c r="X135" s="6"/>
      <c r="Y135" s="3"/>
      <c r="Z135" s="6"/>
      <c r="AA135" s="2">
        <v>46208</v>
      </c>
      <c r="AB135" s="1"/>
      <c r="AC135" s="1"/>
      <c r="AD135" s="1"/>
      <c r="AE135" s="1"/>
      <c r="AF135" s="1"/>
      <c r="AG135" s="1"/>
      <c r="AH135" s="58"/>
      <c r="AI135" s="13">
        <f t="shared" si="13"/>
        <v>0</v>
      </c>
      <c r="AK135" s="4">
        <v>46208</v>
      </c>
      <c r="AL135" s="6"/>
      <c r="AM135" s="3"/>
      <c r="AN135" s="3"/>
      <c r="AO135" s="3"/>
      <c r="AP135" s="3"/>
      <c r="AQ135" s="3"/>
      <c r="AR135" s="6"/>
      <c r="AS135" s="2">
        <v>46208</v>
      </c>
      <c r="AT135" s="14"/>
      <c r="AU135" s="14"/>
      <c r="AV135" s="14"/>
      <c r="AW135" s="14"/>
      <c r="AX135" s="14"/>
      <c r="AY135" s="14"/>
      <c r="AZ135" s="14"/>
      <c r="BA135" s="13">
        <f t="shared" si="14"/>
        <v>0</v>
      </c>
      <c r="BC135" s="4">
        <v>46208</v>
      </c>
      <c r="BD135" s="6"/>
      <c r="BE135" s="6"/>
      <c r="BF135" s="6"/>
      <c r="BG135" s="3"/>
      <c r="BH135" s="3"/>
      <c r="BI135" s="3"/>
      <c r="BJ135" s="6"/>
      <c r="BK135" s="2">
        <v>46208</v>
      </c>
      <c r="BL135" s="58"/>
      <c r="BM135" s="1"/>
      <c r="BN135" s="58"/>
      <c r="BO135" s="1"/>
      <c r="BP135" s="1"/>
      <c r="BQ135" s="1"/>
      <c r="BR135" s="58"/>
      <c r="BS135" s="13">
        <f t="shared" si="15"/>
        <v>0</v>
      </c>
    </row>
    <row r="136" spans="1:71" x14ac:dyDescent="0.35">
      <c r="A136" s="4">
        <v>46209</v>
      </c>
      <c r="B136" s="3"/>
      <c r="C136" s="3"/>
      <c r="D136" s="3"/>
      <c r="E136" s="3"/>
      <c r="F136" s="3"/>
      <c r="G136" s="3"/>
      <c r="H136" s="9"/>
      <c r="I136" s="2">
        <v>46209</v>
      </c>
      <c r="J136" s="1"/>
      <c r="K136" s="1"/>
      <c r="L136" s="1"/>
      <c r="M136" s="1"/>
      <c r="N136" s="1"/>
      <c r="O136" s="1"/>
      <c r="P136" s="58"/>
      <c r="Q136" s="86">
        <f t="shared" si="12"/>
        <v>0</v>
      </c>
      <c r="S136" s="4">
        <v>46209</v>
      </c>
      <c r="T136" s="3"/>
      <c r="U136" s="3"/>
      <c r="V136" s="3"/>
      <c r="W136" s="3"/>
      <c r="X136" s="6"/>
      <c r="Y136" s="3"/>
      <c r="Z136" s="6"/>
      <c r="AA136" s="2">
        <v>46209</v>
      </c>
      <c r="AB136" s="1"/>
      <c r="AC136" s="1"/>
      <c r="AD136" s="1"/>
      <c r="AE136" s="1"/>
      <c r="AF136" s="1"/>
      <c r="AG136" s="1"/>
      <c r="AH136" s="58"/>
      <c r="AI136" s="13">
        <f t="shared" si="13"/>
        <v>0</v>
      </c>
      <c r="AK136" s="4">
        <v>46209</v>
      </c>
      <c r="AL136" s="6"/>
      <c r="AM136" s="3"/>
      <c r="AN136" s="3"/>
      <c r="AO136" s="3"/>
      <c r="AP136" s="3"/>
      <c r="AQ136" s="3"/>
      <c r="AR136" s="6"/>
      <c r="AS136" s="2">
        <v>46209</v>
      </c>
      <c r="AT136" s="14"/>
      <c r="AU136" s="14"/>
      <c r="AV136" s="14"/>
      <c r="AW136" s="14"/>
      <c r="AX136" s="14"/>
      <c r="AY136" s="14"/>
      <c r="AZ136" s="14"/>
      <c r="BA136" s="13">
        <f t="shared" si="14"/>
        <v>0</v>
      </c>
      <c r="BC136" s="4">
        <v>46209</v>
      </c>
      <c r="BD136" s="6"/>
      <c r="BE136" s="6"/>
      <c r="BF136" s="6"/>
      <c r="BG136" s="3"/>
      <c r="BH136" s="3"/>
      <c r="BI136" s="3"/>
      <c r="BJ136" s="6"/>
      <c r="BK136" s="2">
        <v>46209</v>
      </c>
      <c r="BL136" s="58"/>
      <c r="BM136" s="1"/>
      <c r="BN136" s="58"/>
      <c r="BO136" s="1"/>
      <c r="BP136" s="1"/>
      <c r="BQ136" s="1"/>
      <c r="BR136" s="58"/>
      <c r="BS136" s="13">
        <f t="shared" si="15"/>
        <v>0</v>
      </c>
    </row>
    <row r="137" spans="1:71" x14ac:dyDescent="0.35">
      <c r="A137" s="4">
        <v>46210</v>
      </c>
      <c r="B137" s="3"/>
      <c r="C137" s="3"/>
      <c r="D137" s="3"/>
      <c r="E137" s="3"/>
      <c r="F137" s="3"/>
      <c r="G137" s="3"/>
      <c r="H137" s="9"/>
      <c r="I137" s="2">
        <v>46210</v>
      </c>
      <c r="J137" s="1"/>
      <c r="K137" s="1"/>
      <c r="L137" s="1"/>
      <c r="M137" s="1"/>
      <c r="N137" s="1"/>
      <c r="O137" s="1"/>
      <c r="P137" s="58"/>
      <c r="Q137" s="86">
        <f t="shared" si="12"/>
        <v>0</v>
      </c>
      <c r="S137" s="4">
        <v>46210</v>
      </c>
      <c r="T137" s="3"/>
      <c r="U137" s="3"/>
      <c r="V137" s="3"/>
      <c r="W137" s="3"/>
      <c r="X137" s="6"/>
      <c r="Y137" s="3"/>
      <c r="Z137" s="6"/>
      <c r="AA137" s="2">
        <v>46210</v>
      </c>
      <c r="AB137" s="1"/>
      <c r="AC137" s="1"/>
      <c r="AD137" s="1"/>
      <c r="AE137" s="1"/>
      <c r="AF137" s="1"/>
      <c r="AG137" s="1"/>
      <c r="AH137" s="58"/>
      <c r="AI137" s="13">
        <f t="shared" si="13"/>
        <v>0</v>
      </c>
      <c r="AK137" s="4">
        <v>46210</v>
      </c>
      <c r="AL137" s="6"/>
      <c r="AM137" s="3"/>
      <c r="AN137" s="3"/>
      <c r="AO137" s="3"/>
      <c r="AP137" s="3"/>
      <c r="AQ137" s="3"/>
      <c r="AR137" s="6"/>
      <c r="AS137" s="2">
        <v>46210</v>
      </c>
      <c r="AT137" s="14"/>
      <c r="AU137" s="14"/>
      <c r="AV137" s="14"/>
      <c r="AW137" s="14"/>
      <c r="AX137" s="14"/>
      <c r="AY137" s="14"/>
      <c r="AZ137" s="14"/>
      <c r="BA137" s="13">
        <f t="shared" si="14"/>
        <v>0</v>
      </c>
      <c r="BC137" s="4">
        <v>46210</v>
      </c>
      <c r="BD137" s="6"/>
      <c r="BE137" s="6"/>
      <c r="BF137" s="6"/>
      <c r="BG137" s="3"/>
      <c r="BH137" s="3"/>
      <c r="BI137" s="3"/>
      <c r="BJ137" s="6"/>
      <c r="BK137" s="2">
        <v>46210</v>
      </c>
      <c r="BL137" s="58"/>
      <c r="BM137" s="1"/>
      <c r="BN137" s="58"/>
      <c r="BO137" s="1"/>
      <c r="BP137" s="1"/>
      <c r="BQ137" s="1"/>
      <c r="BR137" s="58"/>
      <c r="BS137" s="13">
        <f t="shared" si="15"/>
        <v>0</v>
      </c>
    </row>
    <row r="138" spans="1:71" x14ac:dyDescent="0.35">
      <c r="A138" s="4">
        <v>46211</v>
      </c>
      <c r="B138" s="3"/>
      <c r="C138" s="3"/>
      <c r="D138" s="3"/>
      <c r="E138" s="3"/>
      <c r="F138" s="3"/>
      <c r="G138" s="3"/>
      <c r="H138" s="9"/>
      <c r="I138" s="2">
        <v>46211</v>
      </c>
      <c r="J138" s="1"/>
      <c r="K138" s="1"/>
      <c r="L138" s="1"/>
      <c r="M138" s="1"/>
      <c r="N138" s="1"/>
      <c r="O138" s="1"/>
      <c r="P138" s="58"/>
      <c r="Q138" s="86">
        <f t="shared" si="12"/>
        <v>0</v>
      </c>
      <c r="S138" s="4">
        <v>46211</v>
      </c>
      <c r="T138" s="3"/>
      <c r="U138" s="3"/>
      <c r="V138" s="3"/>
      <c r="W138" s="3"/>
      <c r="X138" s="6"/>
      <c r="Y138" s="3"/>
      <c r="Z138" s="6"/>
      <c r="AA138" s="2">
        <v>46211</v>
      </c>
      <c r="AB138" s="1"/>
      <c r="AC138" s="1"/>
      <c r="AD138" s="1"/>
      <c r="AE138" s="1"/>
      <c r="AF138" s="1"/>
      <c r="AG138" s="1"/>
      <c r="AH138" s="58"/>
      <c r="AI138" s="13">
        <f t="shared" si="13"/>
        <v>0</v>
      </c>
      <c r="AK138" s="4">
        <v>46211</v>
      </c>
      <c r="AL138" s="6"/>
      <c r="AM138" s="3"/>
      <c r="AN138" s="3"/>
      <c r="AO138" s="3"/>
      <c r="AP138" s="3"/>
      <c r="AQ138" s="3"/>
      <c r="AR138" s="6"/>
      <c r="AS138" s="2">
        <v>46211</v>
      </c>
      <c r="AT138" s="14"/>
      <c r="AU138" s="14"/>
      <c r="AV138" s="14"/>
      <c r="AW138" s="14"/>
      <c r="AX138" s="14"/>
      <c r="AY138" s="14"/>
      <c r="AZ138" s="14"/>
      <c r="BA138" s="13">
        <f t="shared" si="14"/>
        <v>0</v>
      </c>
      <c r="BC138" s="4">
        <v>46211</v>
      </c>
      <c r="BD138" s="6"/>
      <c r="BE138" s="6"/>
      <c r="BF138" s="6"/>
      <c r="BG138" s="3"/>
      <c r="BH138" s="3"/>
      <c r="BI138" s="3"/>
      <c r="BJ138" s="6"/>
      <c r="BK138" s="2">
        <v>46211</v>
      </c>
      <c r="BL138" s="58"/>
      <c r="BM138" s="1"/>
      <c r="BN138" s="58"/>
      <c r="BO138" s="1"/>
      <c r="BP138" s="1"/>
      <c r="BQ138" s="1"/>
      <c r="BR138" s="58"/>
      <c r="BS138" s="13">
        <f t="shared" si="15"/>
        <v>0</v>
      </c>
    </row>
    <row r="139" spans="1:71" x14ac:dyDescent="0.35">
      <c r="A139" s="4">
        <v>46212</v>
      </c>
      <c r="B139" s="3"/>
      <c r="C139" s="3"/>
      <c r="D139" s="3"/>
      <c r="E139" s="3"/>
      <c r="F139" s="3"/>
      <c r="G139" s="3"/>
      <c r="H139" s="9"/>
      <c r="I139" s="2">
        <v>46212</v>
      </c>
      <c r="J139" s="1"/>
      <c r="K139" s="1"/>
      <c r="L139" s="1"/>
      <c r="M139" s="1"/>
      <c r="N139" s="1"/>
      <c r="O139" s="1"/>
      <c r="P139" s="58"/>
      <c r="Q139" s="86">
        <f t="shared" si="12"/>
        <v>0</v>
      </c>
      <c r="S139" s="4">
        <v>46212</v>
      </c>
      <c r="T139" s="3"/>
      <c r="U139" s="3"/>
      <c r="V139" s="3"/>
      <c r="W139" s="3"/>
      <c r="X139" s="6"/>
      <c r="Y139" s="3"/>
      <c r="Z139" s="6"/>
      <c r="AA139" s="2">
        <v>46212</v>
      </c>
      <c r="AB139" s="1"/>
      <c r="AC139" s="1"/>
      <c r="AD139" s="1"/>
      <c r="AE139" s="1"/>
      <c r="AF139" s="1"/>
      <c r="AG139" s="1"/>
      <c r="AH139" s="58"/>
      <c r="AI139" s="13">
        <f t="shared" si="13"/>
        <v>0</v>
      </c>
      <c r="AK139" s="4">
        <v>46212</v>
      </c>
      <c r="AL139" s="6"/>
      <c r="AM139" s="3"/>
      <c r="AN139" s="3"/>
      <c r="AO139" s="3"/>
      <c r="AP139" s="3"/>
      <c r="AQ139" s="3"/>
      <c r="AR139" s="6"/>
      <c r="AS139" s="2">
        <v>46212</v>
      </c>
      <c r="AT139" s="14"/>
      <c r="AU139" s="14"/>
      <c r="AV139" s="14"/>
      <c r="AW139" s="14"/>
      <c r="AX139" s="14"/>
      <c r="AY139" s="14"/>
      <c r="AZ139" s="14"/>
      <c r="BA139" s="13">
        <f t="shared" si="14"/>
        <v>0</v>
      </c>
      <c r="BC139" s="4">
        <v>46212</v>
      </c>
      <c r="BD139" s="6"/>
      <c r="BE139" s="6"/>
      <c r="BF139" s="6"/>
      <c r="BG139" s="3"/>
      <c r="BH139" s="3"/>
      <c r="BI139" s="3"/>
      <c r="BJ139" s="6"/>
      <c r="BK139" s="2">
        <v>46212</v>
      </c>
      <c r="BL139" s="58"/>
      <c r="BM139" s="1"/>
      <c r="BN139" s="58"/>
      <c r="BO139" s="1"/>
      <c r="BP139" s="1"/>
      <c r="BQ139" s="1"/>
      <c r="BR139" s="58"/>
      <c r="BS139" s="13">
        <f t="shared" si="15"/>
        <v>0</v>
      </c>
    </row>
    <row r="140" spans="1:71" x14ac:dyDescent="0.35">
      <c r="A140" s="4">
        <v>46213</v>
      </c>
      <c r="B140" s="3"/>
      <c r="C140" s="3"/>
      <c r="D140" s="3"/>
      <c r="E140" s="3"/>
      <c r="F140" s="3"/>
      <c r="G140" s="3"/>
      <c r="H140" s="9"/>
      <c r="I140" s="2">
        <v>46213</v>
      </c>
      <c r="J140" s="1"/>
      <c r="K140" s="1"/>
      <c r="L140" s="1"/>
      <c r="M140" s="1"/>
      <c r="N140" s="1"/>
      <c r="O140" s="1"/>
      <c r="P140" s="58"/>
      <c r="Q140" s="86">
        <f t="shared" si="12"/>
        <v>0</v>
      </c>
      <c r="S140" s="4">
        <v>46213</v>
      </c>
      <c r="T140" s="3"/>
      <c r="U140" s="3"/>
      <c r="V140" s="3"/>
      <c r="W140" s="3"/>
      <c r="X140" s="6"/>
      <c r="Y140" s="3"/>
      <c r="Z140" s="6"/>
      <c r="AA140" s="2">
        <v>46213</v>
      </c>
      <c r="AB140" s="1"/>
      <c r="AC140" s="1"/>
      <c r="AD140" s="1"/>
      <c r="AE140" s="1"/>
      <c r="AF140" s="1"/>
      <c r="AG140" s="1"/>
      <c r="AH140" s="58"/>
      <c r="AI140" s="13">
        <f t="shared" si="13"/>
        <v>0</v>
      </c>
      <c r="AK140" s="4">
        <v>46213</v>
      </c>
      <c r="AL140" s="6"/>
      <c r="AM140" s="3"/>
      <c r="AN140" s="3"/>
      <c r="AO140" s="3"/>
      <c r="AP140" s="3"/>
      <c r="AQ140" s="3"/>
      <c r="AR140" s="6"/>
      <c r="AS140" s="2">
        <v>46213</v>
      </c>
      <c r="AT140" s="14"/>
      <c r="AU140" s="14"/>
      <c r="AV140" s="14"/>
      <c r="AW140" s="14"/>
      <c r="AX140" s="14"/>
      <c r="AY140" s="14"/>
      <c r="AZ140" s="14"/>
      <c r="BA140" s="13">
        <f t="shared" si="14"/>
        <v>0</v>
      </c>
      <c r="BC140" s="4">
        <v>46213</v>
      </c>
      <c r="BD140" s="6"/>
      <c r="BE140" s="6"/>
      <c r="BF140" s="6"/>
      <c r="BG140" s="3"/>
      <c r="BH140" s="3"/>
      <c r="BI140" s="3"/>
      <c r="BJ140" s="6"/>
      <c r="BK140" s="2">
        <v>46213</v>
      </c>
      <c r="BL140" s="58"/>
      <c r="BM140" s="1"/>
      <c r="BN140" s="58"/>
      <c r="BO140" s="1"/>
      <c r="BP140" s="1"/>
      <c r="BQ140" s="1"/>
      <c r="BR140" s="58"/>
      <c r="BS140" s="13">
        <f t="shared" si="15"/>
        <v>0</v>
      </c>
    </row>
    <row r="141" spans="1:71" x14ac:dyDescent="0.35">
      <c r="A141" s="4">
        <v>46214</v>
      </c>
      <c r="B141" s="3"/>
      <c r="C141" s="3"/>
      <c r="D141" s="3"/>
      <c r="E141" s="3"/>
      <c r="F141" s="3"/>
      <c r="G141" s="3"/>
      <c r="H141" s="9"/>
      <c r="I141" s="2">
        <v>46214</v>
      </c>
      <c r="J141" s="1"/>
      <c r="K141" s="1"/>
      <c r="L141" s="1"/>
      <c r="M141" s="1"/>
      <c r="N141" s="1"/>
      <c r="O141" s="1"/>
      <c r="P141" s="58"/>
      <c r="Q141" s="86">
        <f t="shared" si="12"/>
        <v>0</v>
      </c>
      <c r="S141" s="4">
        <v>46214</v>
      </c>
      <c r="T141" s="3"/>
      <c r="U141" s="3"/>
      <c r="V141" s="3"/>
      <c r="W141" s="3"/>
      <c r="X141" s="6"/>
      <c r="Y141" s="3"/>
      <c r="Z141" s="6"/>
      <c r="AA141" s="2">
        <v>46214</v>
      </c>
      <c r="AB141" s="1"/>
      <c r="AC141" s="1"/>
      <c r="AD141" s="1"/>
      <c r="AE141" s="1"/>
      <c r="AF141" s="1"/>
      <c r="AG141" s="1"/>
      <c r="AH141" s="58"/>
      <c r="AI141" s="13">
        <f t="shared" si="13"/>
        <v>0</v>
      </c>
      <c r="AK141" s="4">
        <v>46214</v>
      </c>
      <c r="AL141" s="6"/>
      <c r="AM141" s="3"/>
      <c r="AN141" s="3"/>
      <c r="AO141" s="3"/>
      <c r="AP141" s="3"/>
      <c r="AQ141" s="3"/>
      <c r="AR141" s="6"/>
      <c r="AS141" s="2">
        <v>46214</v>
      </c>
      <c r="AT141" s="14"/>
      <c r="AU141" s="14"/>
      <c r="AV141" s="14"/>
      <c r="AW141" s="14"/>
      <c r="AX141" s="14"/>
      <c r="AY141" s="14"/>
      <c r="AZ141" s="14"/>
      <c r="BA141" s="13">
        <f t="shared" si="14"/>
        <v>0</v>
      </c>
      <c r="BC141" s="4">
        <v>46214</v>
      </c>
      <c r="BD141" s="6"/>
      <c r="BE141" s="6"/>
      <c r="BF141" s="6"/>
      <c r="BG141" s="3"/>
      <c r="BH141" s="3"/>
      <c r="BI141" s="3"/>
      <c r="BJ141" s="6"/>
      <c r="BK141" s="2">
        <v>46214</v>
      </c>
      <c r="BL141" s="58"/>
      <c r="BM141" s="1"/>
      <c r="BN141" s="58"/>
      <c r="BO141" s="1"/>
      <c r="BP141" s="1"/>
      <c r="BQ141" s="1"/>
      <c r="BR141" s="58"/>
      <c r="BS141" s="13">
        <f t="shared" si="15"/>
        <v>0</v>
      </c>
    </row>
    <row r="1048576" spans="34:42" x14ac:dyDescent="0.35">
      <c r="AH1048576" s="60"/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03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102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101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100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99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98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97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96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95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94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93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92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91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90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89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88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87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86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85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84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83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22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2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4.2999999999999997E-2</v>
      </c>
      <c r="D3" s="55">
        <v>4.1000000000000002E-2</v>
      </c>
      <c r="E3" s="55">
        <v>5.8000000000000003E-2</v>
      </c>
      <c r="F3" s="55">
        <v>4.9500000000000002E-2</v>
      </c>
      <c r="G3" s="55">
        <v>5.5E-2</v>
      </c>
      <c r="H3" s="53">
        <v>3.9600000000000003E-2</v>
      </c>
      <c r="I3" s="74">
        <f>(1+H3/365)^365-1</f>
        <v>4.0392298362033729E-2</v>
      </c>
      <c r="J3" s="75"/>
      <c r="K3" s="68">
        <f>H3-'Daily Data'!AR131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Data'!Z131</f>
        <v>8.5000000000000006E-3</v>
      </c>
    </row>
    <row r="5" spans="1:11" ht="23.15" customHeight="1" x14ac:dyDescent="0.5">
      <c r="A5" s="51" t="s">
        <v>17</v>
      </c>
      <c r="B5" s="56">
        <v>4.87E-2</v>
      </c>
      <c r="C5" s="56">
        <f t="shared" ref="C5:G5" si="2">((1+$I5)^(C2/365)-1)*365/C2</f>
        <v>3.5922960443012478E-2</v>
      </c>
      <c r="D5" s="56">
        <v>5.16E-2</v>
      </c>
      <c r="E5" s="56">
        <f t="shared" si="2"/>
        <v>3.6004362447270476E-2</v>
      </c>
      <c r="F5" s="56">
        <f t="shared" si="2"/>
        <v>3.6057583196594925E-2</v>
      </c>
      <c r="G5" s="56">
        <f t="shared" si="2"/>
        <v>3.6217875576784582E-2</v>
      </c>
      <c r="H5" s="57">
        <v>3.5900000000000001E-2</v>
      </c>
      <c r="I5" s="74">
        <f t="shared" si="1"/>
        <v>3.6550356185158339E-2</v>
      </c>
      <c r="J5" s="75"/>
      <c r="K5" s="68">
        <f>H5-'Daily Data'!BJ131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3.6999999999999998E-2</v>
      </c>
      <c r="C7" s="52">
        <f t="shared" ref="C7:G7" si="4">((1+$I7)^(C2/365)-1)*365/C2</f>
        <v>3.5222073609817203E-2</v>
      </c>
      <c r="D7" s="52">
        <v>3.8699999999999998E-2</v>
      </c>
      <c r="E7" s="52">
        <f t="shared" si="4"/>
        <v>3.5300328557368831E-2</v>
      </c>
      <c r="F7" s="52">
        <f t="shared" si="4"/>
        <v>3.5351489269211729E-2</v>
      </c>
      <c r="G7" s="52">
        <f t="shared" si="4"/>
        <v>3.5505565298553574E-2</v>
      </c>
      <c r="H7" s="53">
        <v>3.5200000000000002E-2</v>
      </c>
      <c r="I7" s="74">
        <f t="shared" si="1"/>
        <v>3.582509544513357E-2</v>
      </c>
      <c r="J7" s="75"/>
      <c r="K7" s="68">
        <f>H7-1.06%</f>
        <v>2.4600000000000004E-2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Data'!H131</f>
        <v>2.1999999999999999E-2</v>
      </c>
    </row>
    <row r="9" spans="1:11" ht="23.15" customHeight="1" x14ac:dyDescent="0.5">
      <c r="A9" s="51" t="s">
        <v>61</v>
      </c>
      <c r="B9" s="56">
        <f>((1+$I9)^(B2/365)-1)*365/B2</f>
        <v>3.7111314875581947E-2</v>
      </c>
      <c r="C9" s="56">
        <f t="shared" ref="C9:G9" si="6">((1+$I9)^(C2/365)-1)*365/C2</f>
        <v>3.7124521379478526E-2</v>
      </c>
      <c r="D9" s="56">
        <f t="shared" si="6"/>
        <v>3.7154731209908344E-2</v>
      </c>
      <c r="E9" s="56">
        <f t="shared" si="6"/>
        <v>3.7211463020234627E-2</v>
      </c>
      <c r="F9" s="56">
        <f t="shared" si="6"/>
        <v>3.7268310329474294E-2</v>
      </c>
      <c r="G9" s="56">
        <f t="shared" si="6"/>
        <v>3.7439547899246244E-2</v>
      </c>
      <c r="H9" s="53">
        <v>3.7100000000000001E-2</v>
      </c>
      <c r="I9" s="74">
        <f t="shared" si="1"/>
        <v>3.7794838704558797E-2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4.1000000000000002E-2</v>
      </c>
      <c r="E3" s="55">
        <v>5.21E-2</v>
      </c>
      <c r="F3" s="55">
        <v>4.8800000000000003E-2</v>
      </c>
      <c r="G3" s="55">
        <v>5.9700000000000003E-2</v>
      </c>
      <c r="H3" s="53">
        <v>4.0300000000000002E-2</v>
      </c>
      <c r="I3" s="74">
        <f>(1+H3/365)^365-1</f>
        <v>4.1120748168237853E-2</v>
      </c>
      <c r="J3" s="75"/>
      <c r="K3" s="68">
        <f>H3-'Daily Data'!AR132</f>
        <v>2.4800000000000003E-2</v>
      </c>
    </row>
    <row r="4" spans="1:11" ht="23.15" customHeight="1" x14ac:dyDescent="0.5">
      <c r="A4" s="51" t="s">
        <v>15</v>
      </c>
      <c r="B4" s="56">
        <f>((1+$I4)^(B2/365)-1)*365/B2</f>
        <v>2.5035149911084891E-2</v>
      </c>
      <c r="C4" s="56">
        <f t="shared" ref="C4:G4" si="0">((1+$I4)^(C2/365)-1)*365/C2</f>
        <v>2.5041159926311014E-2</v>
      </c>
      <c r="D4" s="56">
        <f t="shared" si="0"/>
        <v>2.5054904328822736E-2</v>
      </c>
      <c r="E4" s="56">
        <f t="shared" si="0"/>
        <v>2.5080702201325855E-2</v>
      </c>
      <c r="F4" s="56">
        <f t="shared" si="0"/>
        <v>2.5106535490993349E-2</v>
      </c>
      <c r="G4" s="56">
        <f t="shared" si="0"/>
        <v>2.5184248410435296E-2</v>
      </c>
      <c r="H4" s="57">
        <v>2.503E-2</v>
      </c>
      <c r="I4" s="74">
        <f t="shared" ref="I4:I9" si="1">(1+H4/365)^365-1</f>
        <v>2.5345000507333015E-2</v>
      </c>
      <c r="J4" s="75"/>
      <c r="K4" s="68">
        <f>H4-'Daily Data'!Z132</f>
        <v>7.4299999999999991E-3</v>
      </c>
    </row>
    <row r="5" spans="1:11" ht="23.15" customHeight="1" x14ac:dyDescent="0.5">
      <c r="A5" s="51" t="s">
        <v>17</v>
      </c>
      <c r="B5" s="56">
        <v>3.6600000000000001E-2</v>
      </c>
      <c r="C5" s="56">
        <f t="shared" ref="C5:G5" si="2">((1+$I5)^(C2/365)-1)*365/C2</f>
        <v>3.762518692503198E-2</v>
      </c>
      <c r="D5" s="56">
        <v>3.8399999999999997E-2</v>
      </c>
      <c r="E5" s="56">
        <f t="shared" si="2"/>
        <v>3.7714490694561884E-2</v>
      </c>
      <c r="F5" s="56">
        <f t="shared" si="2"/>
        <v>3.7772884523489474E-2</v>
      </c>
      <c r="G5" s="56">
        <f t="shared" si="2"/>
        <v>3.7948790239201682E-2</v>
      </c>
      <c r="H5" s="57">
        <v>3.7600000000000001E-2</v>
      </c>
      <c r="I5" s="74">
        <f t="shared" si="1"/>
        <v>3.8313812750667031E-2</v>
      </c>
      <c r="J5" s="75"/>
      <c r="K5" s="68">
        <f>H5-'Daily Data'!Z132</f>
        <v>0.02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3.6600000000000001E-2</v>
      </c>
      <c r="C7" s="52">
        <f t="shared" ref="C7:G7" si="4">((1+$I7)^(C2/365)-1)*365/C2</f>
        <v>3.4921698887096272E-2</v>
      </c>
      <c r="D7" s="52">
        <v>3.8399999999999997E-2</v>
      </c>
      <c r="E7" s="52">
        <f t="shared" si="4"/>
        <v>3.4998624130466095E-2</v>
      </c>
      <c r="F7" s="52">
        <f t="shared" si="4"/>
        <v>3.5048914474249737E-2</v>
      </c>
      <c r="G7" s="52">
        <f t="shared" si="4"/>
        <v>3.52003643051041E-2</v>
      </c>
      <c r="H7" s="53">
        <v>3.49E-2</v>
      </c>
      <c r="I7" s="74">
        <f t="shared" si="1"/>
        <v>3.5514424352408591E-2</v>
      </c>
      <c r="J7" s="75"/>
      <c r="K7" s="68">
        <f>H7-1.06%</f>
        <v>2.4300000000000002E-2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Data'!H132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tabSelected="1"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3.7999999999999999E-2</v>
      </c>
      <c r="D3" s="55">
        <v>3.9899999999999998E-2</v>
      </c>
      <c r="E3" s="55">
        <v>5.7599999999999998E-2</v>
      </c>
      <c r="F3" s="55">
        <v>3.9100000000000003E-2</v>
      </c>
      <c r="G3" s="55">
        <v>5.1999999999999998E-2</v>
      </c>
      <c r="H3" s="53">
        <v>4.1500000000000002E-2</v>
      </c>
      <c r="I3" s="74">
        <f>(1+H3/365)^365-1</f>
        <v>4.237070282542077E-2</v>
      </c>
      <c r="J3" s="75"/>
      <c r="K3" s="68">
        <f>H3-'Daily Data'!AR133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Data'!Z133</f>
        <v>7.6000000000000026E-3</v>
      </c>
    </row>
    <row r="5" spans="1:11" ht="23.15" customHeight="1" x14ac:dyDescent="0.5">
      <c r="A5" s="51" t="s">
        <v>17</v>
      </c>
      <c r="B5" s="56">
        <v>4.6600000000000003E-2</v>
      </c>
      <c r="C5" s="56">
        <f t="shared" ref="C5:G5" si="2">((1+$I5)^(C2/365)-1)*365/C2</f>
        <v>3.7124521379478526E-2</v>
      </c>
      <c r="D5" s="56">
        <v>5.3499999999999999E-2</v>
      </c>
      <c r="E5" s="56">
        <f t="shared" si="2"/>
        <v>3.7211463020234627E-2</v>
      </c>
      <c r="F5" s="56">
        <f t="shared" si="2"/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Data'!BJ133</f>
        <v>2.2100000000000002E-2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3.8100000000000002E-2</v>
      </c>
      <c r="C7" s="52">
        <f t="shared" ref="C7:G7" si="4">((1+$I7)^(C2/365)-1)*365/C2</f>
        <v>3.6323475049729645E-2</v>
      </c>
      <c r="D7" s="56">
        <v>3.9899999999999998E-2</v>
      </c>
      <c r="E7" s="52">
        <f t="shared" si="4"/>
        <v>3.6406703291771501E-2</v>
      </c>
      <c r="F7" s="52">
        <f t="shared" si="4"/>
        <v>3.6461119549689336E-2</v>
      </c>
      <c r="G7" s="52">
        <f t="shared" si="4"/>
        <v>3.6625019812009267E-2</v>
      </c>
      <c r="H7" s="53">
        <v>3.6299999999999999E-2</v>
      </c>
      <c r="I7" s="74">
        <f t="shared" si="1"/>
        <v>3.6965018242766767E-2</v>
      </c>
      <c r="J7" s="75"/>
      <c r="K7" s="68">
        <f>H7-1.06%</f>
        <v>2.5700000000000001E-2</v>
      </c>
    </row>
    <row r="8" spans="1:11" ht="23.15" customHeight="1" x14ac:dyDescent="0.4">
      <c r="A8" s="51" t="s">
        <v>62</v>
      </c>
      <c r="B8" s="52">
        <f>((1+$I8)^(B2/365)-1)*365/B2</f>
        <v>3.7311437208140515E-2</v>
      </c>
      <c r="C8" s="52">
        <f t="shared" ref="C8:G8" si="5">((1+$I8)^(C2/365)-1)*365/C2</f>
        <v>3.7324786527908681E-2</v>
      </c>
      <c r="D8" s="52">
        <f t="shared" si="5"/>
        <v>3.735532317743958E-2</v>
      </c>
      <c r="E8" s="52">
        <f t="shared" si="5"/>
        <v>3.7412669211809337E-2</v>
      </c>
      <c r="F8" s="52">
        <f t="shared" si="5"/>
        <v>3.74701326258867E-2</v>
      </c>
      <c r="G8" s="52">
        <f t="shared" si="5"/>
        <v>3.7643229852613126E-2</v>
      </c>
      <c r="H8" s="53">
        <v>3.73E-2</v>
      </c>
      <c r="I8" s="74">
        <f t="shared" si="1"/>
        <v>3.8002397273573685E-2</v>
      </c>
      <c r="J8" s="75"/>
      <c r="K8" s="68">
        <f>H8-'Daily Data'!H133</f>
        <v>2.24E-2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0:F10 I4:I10 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108</vt:i4>
      </vt:variant>
    </vt:vector>
  </HeadingPairs>
  <TitlesOfParts>
    <vt:vector size="108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2026-07-03T08:38:57Z</dcterms:modified>
</cp:coreProperties>
</file>