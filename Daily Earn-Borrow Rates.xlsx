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omments172.xml" ContentType="application/vnd.openxmlformats-officedocument.spreadsheetml.comments+xml"/>
  <Override PartName="/xl/comments173.xml" ContentType="application/vnd.openxmlformats-officedocument.spreadsheetml.comments+xml"/>
  <Override PartName="/xl/comments174.xml" ContentType="application/vnd.openxmlformats-officedocument.spreadsheetml.comments+xml"/>
  <Override PartName="/xl/comments175.xml" ContentType="application/vnd.openxmlformats-officedocument.spreadsheetml.comments+xml"/>
  <Override PartName="/xl/comments176.xml" ContentType="application/vnd.openxmlformats-officedocument.spreadsheetml.comments+xml"/>
  <Override PartName="/xl/comments177.xml" ContentType="application/vnd.openxmlformats-officedocument.spreadsheetml.comments+xml"/>
  <Override PartName="/xl/comments178.xml" ContentType="application/vnd.openxmlformats-officedocument.spreadsheetml.comments+xml"/>
  <Override PartName="/xl/comments179.xml" ContentType="application/vnd.openxmlformats-officedocument.spreadsheetml.comments+xml"/>
  <Override PartName="/xl/comments18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4CE8AC96-A8C4-486F-A1E9-FE08A80E3D49}" xr6:coauthVersionLast="47" xr6:coauthVersionMax="47" xr10:uidLastSave="{00000000-0000-0000-0000-000000000000}"/>
  <bookViews>
    <workbookView xWindow="-28920" yWindow="855" windowWidth="29040" windowHeight="17520" firstSheet="173" activeTab="182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  <sheet name="04.09.2026" sheetId="193" r:id="rId170"/>
    <sheet name="05.09.2026" sheetId="194" r:id="rId171"/>
    <sheet name="06.09.2026" sheetId="195" r:id="rId172"/>
    <sheet name="07.09.2026" sheetId="196" r:id="rId173"/>
    <sheet name="08.09.2026" sheetId="197" r:id="rId174"/>
    <sheet name="09.09.2026" sheetId="198" r:id="rId175"/>
    <sheet name="10.09.2026" sheetId="199" r:id="rId176"/>
    <sheet name="11.09.2026" sheetId="201" r:id="rId177"/>
    <sheet name="12.09.2026" sheetId="202" r:id="rId178"/>
    <sheet name="13.09.2026" sheetId="200" r:id="rId179"/>
    <sheet name="14.09.2026" sheetId="203" r:id="rId180"/>
    <sheet name="15.09.2026" sheetId="204" r:id="rId181"/>
    <sheet name="16.09.2026" sheetId="205" r:id="rId182"/>
    <sheet name="17.09.2026" sheetId="206" r:id="rId18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06" l="1"/>
  <c r="F9" i="206"/>
  <c r="E9" i="206"/>
  <c r="D9" i="206"/>
  <c r="C9" i="206"/>
  <c r="B9" i="206"/>
  <c r="G8" i="206"/>
  <c r="F8" i="206"/>
  <c r="E8" i="206"/>
  <c r="D8" i="206"/>
  <c r="C8" i="206"/>
  <c r="B8" i="206"/>
  <c r="G7" i="206"/>
  <c r="F7" i="206"/>
  <c r="E7" i="206"/>
  <c r="C7" i="206"/>
  <c r="G6" i="206"/>
  <c r="F6" i="206"/>
  <c r="E6" i="206"/>
  <c r="C6" i="206"/>
  <c r="G5" i="206"/>
  <c r="F5" i="206"/>
  <c r="E5" i="206"/>
  <c r="C5" i="206"/>
  <c r="G4" i="206"/>
  <c r="F4" i="206"/>
  <c r="E4" i="206"/>
  <c r="D4" i="206"/>
  <c r="C4" i="206"/>
  <c r="B4" i="206"/>
  <c r="I9" i="206"/>
  <c r="K8" i="206"/>
  <c r="I8" i="206"/>
  <c r="K7" i="206"/>
  <c r="I7" i="206"/>
  <c r="K6" i="206"/>
  <c r="I6" i="206"/>
  <c r="K5" i="206"/>
  <c r="I5" i="206"/>
  <c r="K4" i="206"/>
  <c r="I4" i="206"/>
  <c r="K3" i="206"/>
  <c r="I3" i="206"/>
  <c r="I9" i="205"/>
  <c r="G9" i="205" s="1"/>
  <c r="E9" i="205"/>
  <c r="D9" i="205"/>
  <c r="C9" i="205"/>
  <c r="B9" i="205"/>
  <c r="K8" i="205"/>
  <c r="I8" i="205"/>
  <c r="G8" i="205"/>
  <c r="F8" i="205"/>
  <c r="E8" i="205"/>
  <c r="D8" i="205"/>
  <c r="C8" i="205"/>
  <c r="B8" i="205"/>
  <c r="K7" i="205"/>
  <c r="I7" i="205"/>
  <c r="G7" i="205"/>
  <c r="F7" i="205"/>
  <c r="E7" i="205"/>
  <c r="C7" i="205"/>
  <c r="K6" i="205"/>
  <c r="I6" i="205"/>
  <c r="G6" i="205" s="1"/>
  <c r="E6" i="205"/>
  <c r="C6" i="205"/>
  <c r="K5" i="205"/>
  <c r="I5" i="205"/>
  <c r="G5" i="205"/>
  <c r="F5" i="205"/>
  <c r="E5" i="205"/>
  <c r="C5" i="205"/>
  <c r="K4" i="205"/>
  <c r="I4" i="205"/>
  <c r="G4" i="205"/>
  <c r="F4" i="205"/>
  <c r="E4" i="205"/>
  <c r="D4" i="205"/>
  <c r="C4" i="205"/>
  <c r="B4" i="205"/>
  <c r="K3" i="205"/>
  <c r="I3" i="205"/>
  <c r="I9" i="204"/>
  <c r="G9" i="204" s="1"/>
  <c r="E9" i="204"/>
  <c r="K8" i="204"/>
  <c r="I8" i="204"/>
  <c r="G8" i="204"/>
  <c r="F8" i="204"/>
  <c r="E8" i="204"/>
  <c r="D8" i="204"/>
  <c r="C8" i="204"/>
  <c r="B8" i="204"/>
  <c r="K7" i="204"/>
  <c r="I7" i="204"/>
  <c r="G7" i="204"/>
  <c r="F7" i="204"/>
  <c r="E7" i="204"/>
  <c r="C7" i="204"/>
  <c r="K6" i="204"/>
  <c r="I6" i="204"/>
  <c r="G6" i="204" s="1"/>
  <c r="E6" i="204"/>
  <c r="C6" i="204"/>
  <c r="K5" i="204"/>
  <c r="I5" i="204"/>
  <c r="G5" i="204" s="1"/>
  <c r="F5" i="204"/>
  <c r="E5" i="204"/>
  <c r="C5" i="204"/>
  <c r="K4" i="204"/>
  <c r="I4" i="204"/>
  <c r="G4" i="204"/>
  <c r="F4" i="204"/>
  <c r="E4" i="204"/>
  <c r="D4" i="204"/>
  <c r="C4" i="204"/>
  <c r="B4" i="204"/>
  <c r="K3" i="204"/>
  <c r="I3" i="204"/>
  <c r="I9" i="203"/>
  <c r="F9" i="203" s="1"/>
  <c r="K8" i="203"/>
  <c r="I8" i="203"/>
  <c r="G8" i="203"/>
  <c r="F8" i="203"/>
  <c r="E8" i="203"/>
  <c r="D8" i="203"/>
  <c r="C8" i="203"/>
  <c r="B8" i="203"/>
  <c r="K7" i="203"/>
  <c r="I7" i="203"/>
  <c r="G7" i="203"/>
  <c r="F7" i="203"/>
  <c r="E7" i="203"/>
  <c r="C7" i="203"/>
  <c r="K6" i="203"/>
  <c r="I6" i="203"/>
  <c r="F6" i="203" s="1"/>
  <c r="G6" i="203"/>
  <c r="E6" i="203"/>
  <c r="C6" i="203"/>
  <c r="K5" i="203"/>
  <c r="I5" i="203"/>
  <c r="G5" i="203"/>
  <c r="F5" i="203"/>
  <c r="E5" i="203"/>
  <c r="C5" i="203"/>
  <c r="K4" i="203"/>
  <c r="I4" i="203"/>
  <c r="G4" i="203"/>
  <c r="F4" i="203"/>
  <c r="E4" i="203"/>
  <c r="D4" i="203"/>
  <c r="C4" i="203"/>
  <c r="B4" i="203"/>
  <c r="K3" i="203"/>
  <c r="I3" i="203"/>
  <c r="I9" i="200"/>
  <c r="G9" i="200" s="1"/>
  <c r="K8" i="200"/>
  <c r="I8" i="200"/>
  <c r="G8" i="200"/>
  <c r="F8" i="200"/>
  <c r="E8" i="200"/>
  <c r="D8" i="200"/>
  <c r="C8" i="200"/>
  <c r="B8" i="200"/>
  <c r="K7" i="200"/>
  <c r="I7" i="200"/>
  <c r="G7" i="200"/>
  <c r="F7" i="200"/>
  <c r="E7" i="200"/>
  <c r="C7" i="200"/>
  <c r="K6" i="200"/>
  <c r="I6" i="200"/>
  <c r="G6" i="200" s="1"/>
  <c r="K5" i="200"/>
  <c r="I5" i="200"/>
  <c r="G5" i="200" s="1"/>
  <c r="K4" i="200"/>
  <c r="I4" i="200"/>
  <c r="G4" i="200"/>
  <c r="F4" i="200"/>
  <c r="E4" i="200"/>
  <c r="D4" i="200"/>
  <c r="C4" i="200"/>
  <c r="B4" i="200"/>
  <c r="K3" i="200"/>
  <c r="I3" i="200"/>
  <c r="I9" i="202"/>
  <c r="G9" i="202" s="1"/>
  <c r="K8" i="202"/>
  <c r="I8" i="202"/>
  <c r="G8" i="202" s="1"/>
  <c r="F8" i="202"/>
  <c r="E8" i="202"/>
  <c r="D8" i="202"/>
  <c r="C8" i="202"/>
  <c r="B8" i="202"/>
  <c r="K7" i="202"/>
  <c r="I7" i="202"/>
  <c r="G7" i="202"/>
  <c r="F7" i="202"/>
  <c r="E7" i="202"/>
  <c r="C7" i="202"/>
  <c r="K6" i="202"/>
  <c r="I6" i="202"/>
  <c r="G6" i="202"/>
  <c r="F6" i="202"/>
  <c r="E6" i="202"/>
  <c r="C6" i="202"/>
  <c r="K5" i="202"/>
  <c r="I5" i="202"/>
  <c r="G5" i="202" s="1"/>
  <c r="C5" i="202"/>
  <c r="K4" i="202"/>
  <c r="I4" i="202"/>
  <c r="G4" i="202"/>
  <c r="F4" i="202"/>
  <c r="E4" i="202"/>
  <c r="D4" i="202"/>
  <c r="C4" i="202"/>
  <c r="B4" i="202"/>
  <c r="K3" i="202"/>
  <c r="I3" i="202"/>
  <c r="I9" i="201"/>
  <c r="G9" i="201" s="1"/>
  <c r="F9" i="201"/>
  <c r="E9" i="201"/>
  <c r="C9" i="201"/>
  <c r="B9" i="201"/>
  <c r="K8" i="201"/>
  <c r="I8" i="201"/>
  <c r="G8" i="201"/>
  <c r="F8" i="201"/>
  <c r="E8" i="201"/>
  <c r="D8" i="201"/>
  <c r="C8" i="201"/>
  <c r="B8" i="201"/>
  <c r="K7" i="201"/>
  <c r="I7" i="201"/>
  <c r="G7" i="201"/>
  <c r="F7" i="201"/>
  <c r="E7" i="201"/>
  <c r="C7" i="201"/>
  <c r="K6" i="201"/>
  <c r="I6" i="201"/>
  <c r="G6" i="201"/>
  <c r="F6" i="201"/>
  <c r="E6" i="201"/>
  <c r="C6" i="201"/>
  <c r="K5" i="201"/>
  <c r="I5" i="201"/>
  <c r="F5" i="201" s="1"/>
  <c r="G5" i="201"/>
  <c r="E5" i="201"/>
  <c r="C5" i="201"/>
  <c r="K4" i="201"/>
  <c r="I4" i="201"/>
  <c r="G4" i="201"/>
  <c r="F4" i="201"/>
  <c r="E4" i="201"/>
  <c r="D4" i="201"/>
  <c r="C4" i="201"/>
  <c r="B4" i="201"/>
  <c r="K3" i="201"/>
  <c r="I3" i="201"/>
  <c r="I9" i="199"/>
  <c r="F9" i="199" s="1"/>
  <c r="K8" i="199"/>
  <c r="I8" i="199"/>
  <c r="G8" i="199" s="1"/>
  <c r="F8" i="199"/>
  <c r="E8" i="199"/>
  <c r="D8" i="199"/>
  <c r="C8" i="199"/>
  <c r="B8" i="199"/>
  <c r="K7" i="199"/>
  <c r="I7" i="199"/>
  <c r="G7" i="199"/>
  <c r="F7" i="199"/>
  <c r="E7" i="199"/>
  <c r="C7" i="199"/>
  <c r="K6" i="199"/>
  <c r="I6" i="199"/>
  <c r="G6" i="199"/>
  <c r="F6" i="199"/>
  <c r="E6" i="199"/>
  <c r="C6" i="199"/>
  <c r="K5" i="199"/>
  <c r="I5" i="199"/>
  <c r="G5" i="199"/>
  <c r="F5" i="199"/>
  <c r="E5" i="199"/>
  <c r="C5" i="199"/>
  <c r="K4" i="199"/>
  <c r="I4" i="199"/>
  <c r="G4" i="199"/>
  <c r="F4" i="199"/>
  <c r="E4" i="199"/>
  <c r="D4" i="199"/>
  <c r="C4" i="199"/>
  <c r="B4" i="199"/>
  <c r="K3" i="199"/>
  <c r="I3" i="199"/>
  <c r="I9" i="198"/>
  <c r="G9" i="198" s="1"/>
  <c r="F9" i="198"/>
  <c r="E9" i="198"/>
  <c r="D9" i="198"/>
  <c r="C9" i="198"/>
  <c r="B9" i="198"/>
  <c r="K8" i="198"/>
  <c r="I8" i="198"/>
  <c r="G8" i="198"/>
  <c r="F8" i="198"/>
  <c r="E8" i="198"/>
  <c r="D8" i="198"/>
  <c r="C8" i="198"/>
  <c r="B8" i="198"/>
  <c r="K7" i="198"/>
  <c r="I7" i="198"/>
  <c r="G7" i="198"/>
  <c r="F7" i="198"/>
  <c r="E7" i="198"/>
  <c r="C7" i="198"/>
  <c r="K6" i="198"/>
  <c r="I6" i="198"/>
  <c r="G6" i="198" s="1"/>
  <c r="E6" i="198"/>
  <c r="C6" i="198"/>
  <c r="K5" i="198"/>
  <c r="I5" i="198"/>
  <c r="G5" i="198" s="1"/>
  <c r="F5" i="198"/>
  <c r="E5" i="198"/>
  <c r="C5" i="198"/>
  <c r="K4" i="198"/>
  <c r="I4" i="198"/>
  <c r="G4" i="198"/>
  <c r="F4" i="198"/>
  <c r="E4" i="198"/>
  <c r="D4" i="198"/>
  <c r="C4" i="198"/>
  <c r="B4" i="198"/>
  <c r="K3" i="198"/>
  <c r="I3" i="198"/>
  <c r="I9" i="197"/>
  <c r="F9" i="197" s="1"/>
  <c r="K8" i="197"/>
  <c r="I8" i="197"/>
  <c r="F8" i="197" s="1"/>
  <c r="G8" i="197"/>
  <c r="E8" i="197"/>
  <c r="D8" i="197"/>
  <c r="C8" i="197"/>
  <c r="B8" i="197"/>
  <c r="K7" i="197"/>
  <c r="I7" i="197"/>
  <c r="G7" i="197" s="1"/>
  <c r="K6" i="197"/>
  <c r="I6" i="197"/>
  <c r="F6" i="197" s="1"/>
  <c r="G6" i="197"/>
  <c r="K5" i="197"/>
  <c r="I5" i="197"/>
  <c r="G5" i="197"/>
  <c r="F5" i="197"/>
  <c r="E5" i="197"/>
  <c r="C5" i="197"/>
  <c r="K4" i="197"/>
  <c r="I4" i="197"/>
  <c r="G4" i="197"/>
  <c r="F4" i="197"/>
  <c r="E4" i="197"/>
  <c r="D4" i="197"/>
  <c r="C4" i="197"/>
  <c r="B4" i="197"/>
  <c r="K3" i="197"/>
  <c r="I3" i="197"/>
  <c r="BS200" i="10"/>
  <c r="BS199" i="10"/>
  <c r="AI200" i="10"/>
  <c r="Q200" i="10"/>
  <c r="I9" i="195"/>
  <c r="G9" i="195"/>
  <c r="F9" i="195"/>
  <c r="E9" i="195"/>
  <c r="D9" i="195"/>
  <c r="C9" i="195"/>
  <c r="B9" i="195"/>
  <c r="I8" i="195"/>
  <c r="F8" i="195" s="1"/>
  <c r="G8" i="195"/>
  <c r="I7" i="195"/>
  <c r="G7" i="195"/>
  <c r="F7" i="195"/>
  <c r="E7" i="195"/>
  <c r="C7" i="195"/>
  <c r="I6" i="195"/>
  <c r="E6" i="195" s="1"/>
  <c r="G6" i="195"/>
  <c r="F6" i="195"/>
  <c r="I5" i="195"/>
  <c r="G5" i="195"/>
  <c r="F5" i="195"/>
  <c r="E5" i="195"/>
  <c r="C5" i="195"/>
  <c r="I4" i="195"/>
  <c r="G4" i="195"/>
  <c r="F4" i="195"/>
  <c r="E4" i="195"/>
  <c r="D4" i="195"/>
  <c r="C4" i="195"/>
  <c r="B4" i="195"/>
  <c r="I3" i="195"/>
  <c r="BS198" i="10"/>
  <c r="BS197" i="10"/>
  <c r="AI197" i="10"/>
  <c r="AI198" i="10"/>
  <c r="AI199" i="10"/>
  <c r="Q199" i="10"/>
  <c r="Q198" i="10"/>
  <c r="Q197" i="10"/>
  <c r="I9" i="196"/>
  <c r="B9" i="196" s="1"/>
  <c r="G9" i="196"/>
  <c r="F9" i="196"/>
  <c r="E9" i="196"/>
  <c r="D9" i="196"/>
  <c r="C9" i="196"/>
  <c r="K8" i="196"/>
  <c r="I8" i="196"/>
  <c r="G8" i="196"/>
  <c r="F8" i="196"/>
  <c r="E8" i="196"/>
  <c r="D8" i="196"/>
  <c r="C8" i="196"/>
  <c r="B8" i="196"/>
  <c r="K7" i="196"/>
  <c r="I7" i="196"/>
  <c r="G7" i="196"/>
  <c r="F7" i="196"/>
  <c r="E7" i="196"/>
  <c r="C7" i="196"/>
  <c r="K6" i="196"/>
  <c r="I6" i="196"/>
  <c r="G6" i="196"/>
  <c r="F6" i="196"/>
  <c r="E6" i="196"/>
  <c r="C6" i="196"/>
  <c r="K5" i="196"/>
  <c r="I5" i="196"/>
  <c r="G5" i="196"/>
  <c r="F5" i="196"/>
  <c r="E5" i="196"/>
  <c r="C5" i="196"/>
  <c r="K4" i="196"/>
  <c r="I4" i="196"/>
  <c r="G4" i="196"/>
  <c r="F4" i="196"/>
  <c r="E4" i="196"/>
  <c r="D4" i="196"/>
  <c r="C4" i="196"/>
  <c r="B4" i="196"/>
  <c r="K3" i="196"/>
  <c r="I3" i="196"/>
  <c r="K8" i="195"/>
  <c r="K7" i="195"/>
  <c r="K6" i="195"/>
  <c r="K5" i="195"/>
  <c r="K4" i="195"/>
  <c r="K3" i="195"/>
  <c r="I9" i="194"/>
  <c r="G9" i="194" s="1"/>
  <c r="K8" i="194"/>
  <c r="I8" i="194"/>
  <c r="F8" i="194" s="1"/>
  <c r="G8" i="194"/>
  <c r="D8" i="194"/>
  <c r="C8" i="194"/>
  <c r="B8" i="194"/>
  <c r="K7" i="194"/>
  <c r="I7" i="194"/>
  <c r="G7" i="194" s="1"/>
  <c r="C7" i="194"/>
  <c r="K6" i="194"/>
  <c r="I6" i="194"/>
  <c r="G6" i="194" s="1"/>
  <c r="K5" i="194"/>
  <c r="I5" i="194"/>
  <c r="G5" i="194"/>
  <c r="F5" i="194"/>
  <c r="E5" i="194"/>
  <c r="C5" i="194"/>
  <c r="K4" i="194"/>
  <c r="I4" i="194"/>
  <c r="G4" i="194" s="1"/>
  <c r="F4" i="194"/>
  <c r="E4" i="194"/>
  <c r="D4" i="194"/>
  <c r="C4" i="194"/>
  <c r="B4" i="194"/>
  <c r="K3" i="194"/>
  <c r="I3" i="194"/>
  <c r="I9" i="193"/>
  <c r="F9" i="193" s="1"/>
  <c r="K8" i="193"/>
  <c r="I8" i="193"/>
  <c r="G8" i="193"/>
  <c r="F8" i="193"/>
  <c r="E8" i="193"/>
  <c r="D8" i="193"/>
  <c r="C8" i="193"/>
  <c r="B8" i="193"/>
  <c r="K7" i="193"/>
  <c r="I7" i="193"/>
  <c r="G7" i="193"/>
  <c r="F7" i="193"/>
  <c r="E7" i="193"/>
  <c r="C7" i="193"/>
  <c r="K6" i="193"/>
  <c r="I6" i="193"/>
  <c r="F6" i="193" s="1"/>
  <c r="G6" i="193"/>
  <c r="K5" i="193"/>
  <c r="I5" i="193"/>
  <c r="G5" i="193"/>
  <c r="F5" i="193"/>
  <c r="E5" i="193"/>
  <c r="C5" i="193"/>
  <c r="K4" i="193"/>
  <c r="I4" i="193"/>
  <c r="G4" i="193"/>
  <c r="F4" i="193"/>
  <c r="E4" i="193"/>
  <c r="D4" i="193"/>
  <c r="C4" i="193"/>
  <c r="B4" i="193"/>
  <c r="K3" i="193"/>
  <c r="I3" i="193"/>
  <c r="BS196" i="10"/>
  <c r="AI196" i="10"/>
  <c r="Q196" i="10"/>
  <c r="BS195" i="10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F6" i="205" l="1"/>
  <c r="F9" i="205"/>
  <c r="E5" i="202"/>
  <c r="F5" i="202"/>
  <c r="B9" i="204"/>
  <c r="C9" i="204"/>
  <c r="D9" i="204"/>
  <c r="F6" i="204"/>
  <c r="F9" i="204"/>
  <c r="B9" i="203"/>
  <c r="E9" i="203"/>
  <c r="C9" i="203"/>
  <c r="D9" i="203"/>
  <c r="G9" i="203"/>
  <c r="B9" i="200"/>
  <c r="E5" i="200"/>
  <c r="C6" i="200"/>
  <c r="E6" i="200"/>
  <c r="F6" i="200"/>
  <c r="F9" i="200"/>
  <c r="C5" i="200"/>
  <c r="F5" i="200"/>
  <c r="C9" i="200"/>
  <c r="D9" i="200"/>
  <c r="E9" i="200"/>
  <c r="F9" i="202"/>
  <c r="B9" i="202"/>
  <c r="C9" i="202"/>
  <c r="D9" i="202"/>
  <c r="E9" i="202"/>
  <c r="D9" i="201"/>
  <c r="G9" i="199"/>
  <c r="B9" i="199"/>
  <c r="C9" i="199"/>
  <c r="D9" i="199"/>
  <c r="E9" i="199"/>
  <c r="F6" i="198"/>
  <c r="G9" i="197"/>
  <c r="E7" i="197"/>
  <c r="F7" i="197"/>
  <c r="C7" i="197"/>
  <c r="D9" i="197"/>
  <c r="E6" i="197"/>
  <c r="E9" i="197"/>
  <c r="B9" i="197"/>
  <c r="C9" i="197"/>
  <c r="C6" i="197"/>
  <c r="B8" i="195"/>
  <c r="C8" i="195"/>
  <c r="D8" i="195"/>
  <c r="E8" i="195"/>
  <c r="C6" i="195"/>
  <c r="F7" i="194"/>
  <c r="B9" i="194"/>
  <c r="E7" i="194"/>
  <c r="C9" i="194"/>
  <c r="D9" i="194"/>
  <c r="E8" i="194"/>
  <c r="C6" i="194"/>
  <c r="E6" i="194"/>
  <c r="E9" i="194"/>
  <c r="F6" i="194"/>
  <c r="F9" i="194"/>
  <c r="G9" i="193"/>
  <c r="B9" i="193"/>
  <c r="C9" i="193"/>
  <c r="C6" i="193"/>
  <c r="D9" i="193"/>
  <c r="E6" i="193"/>
  <c r="E9" i="193"/>
  <c r="B8" i="192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14F2BE3-F6A7-472E-9141-2E2DB9ACC1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DEABC9-2048-499D-B666-8187086F39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8EE7E2-BF2F-4183-A060-E64173007E3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B1FAFA4-38F5-4B0B-B571-FC24003473A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F7FD0-31D0-45AD-8301-B75D7271453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2245AE-5341-4158-8B33-435668D5A4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B3263C-8057-4920-8E5F-59D31CF0C6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81DCB8F-D419-4C8A-8F90-6AAE7EBF15B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D73E398-5AF4-4D18-87DD-1C90EBB82BD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3322D8-1162-453C-AED0-D26629DE7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0122B6A-8B14-4388-B720-CCAF9605E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44E2BA6-AB5B-4CAE-BAF8-3F42C69A23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A188E3-8759-47EB-A8D4-85F4443221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DD888A0-1EC6-4D33-9E80-E0E2A40729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<sst xmlns="http://schemas.openxmlformats.org/spreadsheetml/2006/main" count="8233" uniqueCount="68">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</sst>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9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calcChain" Target="calcChain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28653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7.xml"/><Relationship Id="rId1" Type="http://schemas.openxmlformats.org/officeDocument/2006/relationships/vmlDrawing" Target="../drawings/vmlDrawing167.v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8.xml"/><Relationship Id="rId1" Type="http://schemas.openxmlformats.org/officeDocument/2006/relationships/vmlDrawing" Target="../drawings/vmlDrawing168.v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9.xml"/><Relationship Id="rId1" Type="http://schemas.openxmlformats.org/officeDocument/2006/relationships/vmlDrawing" Target="../drawings/vmlDrawing169.vml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2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1.xml"/><Relationship Id="rId1" Type="http://schemas.openxmlformats.org/officeDocument/2006/relationships/vmlDrawing" Target="../drawings/vmlDrawing171.vml"/></Relationships>
</file>

<file path=xl/worksheets/_rels/sheet1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2.xml"/><Relationship Id="rId1" Type="http://schemas.openxmlformats.org/officeDocument/2006/relationships/vmlDrawing" Target="../drawings/vmlDrawing172.vml"/></Relationships>
</file>

<file path=xl/worksheets/_rels/sheet1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3.xml"/><Relationship Id="rId1" Type="http://schemas.openxmlformats.org/officeDocument/2006/relationships/vmlDrawing" Target="../drawings/vmlDrawing173.vml"/></Relationships>
</file>

<file path=xl/worksheets/_rels/sheet1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4.xml"/><Relationship Id="rId1" Type="http://schemas.openxmlformats.org/officeDocument/2006/relationships/vmlDrawing" Target="../drawings/vmlDrawing174.vml"/></Relationships>
</file>

<file path=xl/worksheets/_rels/sheet1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5.xml"/><Relationship Id="rId1" Type="http://schemas.openxmlformats.org/officeDocument/2006/relationships/vmlDrawing" Target="../drawings/vmlDrawing175.vml"/></Relationships>
</file>

<file path=xl/worksheets/_rels/sheet1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6.xml"/><Relationship Id="rId1" Type="http://schemas.openxmlformats.org/officeDocument/2006/relationships/vmlDrawing" Target="../drawings/vmlDrawing176.vml"/></Relationships>
</file>

<file path=xl/worksheets/_rels/sheet1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7.xml"/><Relationship Id="rId1" Type="http://schemas.openxmlformats.org/officeDocument/2006/relationships/vmlDrawing" Target="../drawings/vmlDrawing177.vml"/></Relationships>
</file>

<file path=xl/worksheets/_rels/sheet1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8.xml"/><Relationship Id="rId1" Type="http://schemas.openxmlformats.org/officeDocument/2006/relationships/vmlDrawing" Target="../drawings/vmlDrawing178.vml"/></Relationships>
</file>

<file path=xl/worksheets/_rels/sheet1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9.xml"/><Relationship Id="rId1" Type="http://schemas.openxmlformats.org/officeDocument/2006/relationships/vmlDrawing" Target="../drawings/vmlDrawing179.vml"/></Relationships>
</file>

<file path=xl/worksheets/_rels/sheet1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0.xml"/><Relationship Id="rId1" Type="http://schemas.openxmlformats.org/officeDocument/2006/relationships/vmlDrawing" Target="../drawings/vmlDrawing18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47" zoomScale="115" zoomScaleNormal="115" workbookViewId="0">
      <selection activeCell="G252" sqref="G25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>
        <v>77341</v>
      </c>
    </row>
    <row r="248" spans="1:7" x14ac:dyDescent="0.35">
      <c r="A248" s="80">
        <v>46269</v>
      </c>
      <c r="B248" s="81">
        <v>5.2600000000000001E-2</v>
      </c>
      <c r="C248" s="22">
        <v>3.4599999999999999E-2</v>
      </c>
      <c r="D248" s="22">
        <v>4.9200000000000001E-2</v>
      </c>
      <c r="E248" s="22">
        <v>5.3499999999999999E-2</v>
      </c>
      <c r="F248" s="22">
        <v>5.8099999999999999E-2</v>
      </c>
      <c r="G248" s="88">
        <v>81270</v>
      </c>
    </row>
    <row r="249" spans="1:7" x14ac:dyDescent="0.35">
      <c r="A249" s="80">
        <v>46270</v>
      </c>
      <c r="B249" s="81">
        <v>5.1700000000000003E-2</v>
      </c>
      <c r="C249" s="22">
        <v>3.4599999999999999E-2</v>
      </c>
      <c r="D249" s="22">
        <v>4.8399999999999999E-2</v>
      </c>
      <c r="E249" s="81">
        <v>5.5E-2</v>
      </c>
      <c r="F249" s="22">
        <v>5.8099999999999999E-2</v>
      </c>
      <c r="G249" s="88">
        <v>79660</v>
      </c>
    </row>
    <row r="250" spans="1:7" x14ac:dyDescent="0.35">
      <c r="A250" s="80">
        <v>46271</v>
      </c>
      <c r="B250" s="81">
        <v>5.0900000000000001E-2</v>
      </c>
      <c r="C250" s="22">
        <v>3.4599999999999999E-2</v>
      </c>
      <c r="D250" s="22">
        <v>4.7600000000000003E-2</v>
      </c>
      <c r="E250" s="81">
        <v>5.3499999999999999E-2</v>
      </c>
      <c r="F250" s="22">
        <v>5.79E-2</v>
      </c>
      <c r="G250" s="88">
        <v>79831</v>
      </c>
    </row>
    <row r="251" spans="1:7" x14ac:dyDescent="0.35">
      <c r="A251" s="80">
        <v>46272</v>
      </c>
      <c r="B251" s="81">
        <v>5.1299999999999998E-2</v>
      </c>
      <c r="C251" s="22">
        <v>3.4599999999999999E-2</v>
      </c>
      <c r="D251" s="22">
        <v>4.8000000000000001E-2</v>
      </c>
      <c r="E251" s="81">
        <v>5.33E-2</v>
      </c>
      <c r="F251" s="22">
        <v>5.8099999999999999E-2</v>
      </c>
      <c r="G251" s="88">
        <v>80342</v>
      </c>
    </row>
    <row r="252" spans="1:7" x14ac:dyDescent="0.35">
      <c r="A252" s="80">
        <v>46273</v>
      </c>
      <c r="B252" s="81">
        <v>5.0900000000000001E-2</v>
      </c>
      <c r="C252" s="22">
        <v>3.4599999999999999E-2</v>
      </c>
      <c r="D252" s="22">
        <v>4.7600000000000003E-2</v>
      </c>
      <c r="E252" s="22">
        <v>5.3499999999999999E-2</v>
      </c>
      <c r="F252" s="22">
        <v>5.8099999999999999E-2</v>
      </c>
      <c r="G252" s="88"/>
    </row>
    <row r="253" spans="1:7" x14ac:dyDescent="0.35">
      <c r="A253" s="80">
        <v>46274</v>
      </c>
      <c r="B253" s="81"/>
      <c r="C253" s="22"/>
      <c r="D253" s="22"/>
      <c r="E253" s="22"/>
      <c r="F253" s="22"/>
      <c r="G253" s="88"/>
    </row>
    <row r="254" spans="1:7" x14ac:dyDescent="0.35">
      <c r="A254" s="80">
        <v>46275</v>
      </c>
      <c r="B254" s="81"/>
      <c r="C254" s="22"/>
      <c r="D254" s="22"/>
      <c r="E254" s="22"/>
      <c r="F254" s="22"/>
      <c r="G254" s="88"/>
    </row>
    <row r="255" spans="1:7" x14ac:dyDescent="0.35">
      <c r="A255" s="80">
        <v>46276</v>
      </c>
      <c r="B255" s="81"/>
      <c r="C255" s="22"/>
      <c r="D255" s="22"/>
      <c r="E255" s="22"/>
      <c r="F255" s="22"/>
      <c r="G255" s="88"/>
    </row>
    <row r="256" spans="1:7" x14ac:dyDescent="0.35">
      <c r="A256" s="80">
        <v>46277</v>
      </c>
      <c r="B256" s="81"/>
      <c r="C256" s="22"/>
      <c r="D256" s="22"/>
      <c r="E256" s="22"/>
      <c r="F256" s="22"/>
      <c r="G256" s="88"/>
    </row>
    <row r="257" spans="1:7" x14ac:dyDescent="0.35">
      <c r="A257" s="80">
        <v>46278</v>
      </c>
      <c r="B257" s="81"/>
      <c r="C257" s="22"/>
      <c r="D257" s="22"/>
      <c r="E257" s="22"/>
      <c r="F257" s="22"/>
      <c r="G257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Z189" zoomScaleNormal="100" workbookViewId="0">
      <selection activeCell="AT200" sqref="AT200:AZ20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20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200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>
        <v>3.0599999999999999E-2</v>
      </c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>
        <v>5.3900000000000003E-2</v>
      </c>
      <c r="Q196" s="84">
        <f t="shared" si="21"/>
        <v>2.3300000000000005E-2</v>
      </c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>
        <v>0.04</v>
      </c>
      <c r="Y196" s="3" t="s">
        <v>33</v>
      </c>
      <c r="Z196" s="6">
        <v>3.15E-2</v>
      </c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>
        <v>3.5000000000000003E-2</v>
      </c>
      <c r="AI196" s="12">
        <f t="shared" si="13"/>
        <v>3.5000000000000031E-3</v>
      </c>
      <c r="AK196" s="4">
        <v>46269</v>
      </c>
      <c r="AL196" s="6">
        <v>0.02</v>
      </c>
      <c r="AM196" s="3"/>
      <c r="AN196" s="3"/>
      <c r="AO196" s="3"/>
      <c r="AP196" s="3" t="s">
        <v>33</v>
      </c>
      <c r="AQ196" s="3" t="s">
        <v>33</v>
      </c>
      <c r="AR196" s="6">
        <v>1.9800000000000002E-2</v>
      </c>
      <c r="AS196" s="2">
        <v>46269</v>
      </c>
      <c r="AT196" s="13">
        <v>4.1799999999999997E-2</v>
      </c>
      <c r="AU196" s="13">
        <v>4.2000000000000003E-2</v>
      </c>
      <c r="AV196" s="13">
        <v>4.5100000000000001E-2</v>
      </c>
      <c r="AW196" s="13">
        <v>4.4999999999999998E-2</v>
      </c>
      <c r="AX196" s="13">
        <v>5.5300000000000002E-2</v>
      </c>
      <c r="AY196" s="13">
        <v>6.5000000000000002E-2</v>
      </c>
      <c r="AZ196" s="13">
        <v>5.0200000000000002E-2</v>
      </c>
      <c r="BA196" s="12">
        <v>2.5999999999999999E-2</v>
      </c>
      <c r="BC196" s="4">
        <v>46269</v>
      </c>
      <c r="BD196" s="6" t="s">
        <v>33</v>
      </c>
      <c r="BE196" s="6">
        <v>2.8000000000000001E-2</v>
      </c>
      <c r="BF196" s="6">
        <v>3.2000000000000001E-2</v>
      </c>
      <c r="BG196" s="3"/>
      <c r="BH196" s="3"/>
      <c r="BI196" s="3"/>
      <c r="BJ196" s="6">
        <v>2.5000000000000001E-2</v>
      </c>
      <c r="BK196" s="2">
        <v>46269</v>
      </c>
      <c r="BL196" s="57">
        <v>5.5E-2</v>
      </c>
      <c r="BM196" s="1"/>
      <c r="BN196" s="57">
        <v>6.0499999999999998E-2</v>
      </c>
      <c r="BO196" s="1"/>
      <c r="BP196" s="1"/>
      <c r="BQ196" s="1"/>
      <c r="BR196" s="57">
        <v>0.05</v>
      </c>
      <c r="BS196" s="12">
        <f t="shared" si="24"/>
        <v>2.5000000000000001E-2</v>
      </c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>
        <v>2.81E-2</v>
      </c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>
        <v>5.3499999999999999E-2</v>
      </c>
      <c r="Q197" s="84">
        <f t="shared" si="21"/>
        <v>2.5399999999999999E-2</v>
      </c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>
        <v>0.04</v>
      </c>
      <c r="Y197" s="3" t="s">
        <v>33</v>
      </c>
      <c r="Z197" s="6">
        <v>3.0200000000000001E-2</v>
      </c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>
        <v>3.5000000000000003E-2</v>
      </c>
      <c r="AI197" s="12">
        <f t="shared" si="13"/>
        <v>4.8000000000000022E-3</v>
      </c>
      <c r="AK197" s="4">
        <v>46270</v>
      </c>
      <c r="AL197" s="6">
        <v>0.02</v>
      </c>
      <c r="AM197" s="3"/>
      <c r="AN197" s="3"/>
      <c r="AO197" s="3"/>
      <c r="AP197" s="3" t="s">
        <v>33</v>
      </c>
      <c r="AQ197" s="3" t="s">
        <v>33</v>
      </c>
      <c r="AR197" s="6">
        <v>1.8200000000000001E-2</v>
      </c>
      <c r="AS197" s="2">
        <v>46270</v>
      </c>
      <c r="AT197" s="13">
        <v>4.19E-2</v>
      </c>
      <c r="AU197" s="13">
        <v>4.19E-2</v>
      </c>
      <c r="AV197" s="13">
        <v>4.5199999999999997E-2</v>
      </c>
      <c r="AW197" s="13">
        <v>4.9799999999999997E-2</v>
      </c>
      <c r="AX197" s="13">
        <v>5.0999999999999997E-2</v>
      </c>
      <c r="AY197" s="13">
        <v>6.3700000000000007E-2</v>
      </c>
      <c r="AZ197" s="13">
        <v>4.8800000000000003E-2</v>
      </c>
      <c r="BA197" s="12">
        <v>2.5999999999999999E-2</v>
      </c>
      <c r="BC197" s="4">
        <v>46270</v>
      </c>
      <c r="BD197" s="6" t="s">
        <v>33</v>
      </c>
      <c r="BE197" s="6">
        <v>2.8000000000000001E-2</v>
      </c>
      <c r="BF197" s="6">
        <v>3.2000000000000001E-2</v>
      </c>
      <c r="BG197" s="3"/>
      <c r="BH197" s="3"/>
      <c r="BI197" s="3"/>
      <c r="BJ197" s="6">
        <v>2.23E-2</v>
      </c>
      <c r="BK197" s="2">
        <v>46270</v>
      </c>
      <c r="BL197" s="57">
        <v>5.5E-2</v>
      </c>
      <c r="BM197" s="1"/>
      <c r="BN197" s="57">
        <v>6.0499999999999998E-2</v>
      </c>
      <c r="BO197" s="1"/>
      <c r="BP197" s="1"/>
      <c r="BQ197" s="1"/>
      <c r="BR197" s="57">
        <v>4.9700000000000001E-2</v>
      </c>
      <c r="BS197" s="12">
        <f t="shared" si="24"/>
        <v>2.7400000000000001E-2</v>
      </c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>
        <v>2.8299999999999999E-2</v>
      </c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>
        <v>5.2600000000000001E-2</v>
      </c>
      <c r="Q198" s="84">
        <f t="shared" si="21"/>
        <v>2.4300000000000002E-2</v>
      </c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>
        <v>0.04</v>
      </c>
      <c r="Y198" s="3" t="s">
        <v>33</v>
      </c>
      <c r="Z198" s="6">
        <v>3.0200000000000001E-2</v>
      </c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>
        <v>3.5000000000000003E-2</v>
      </c>
      <c r="AI198" s="12">
        <f t="shared" ref="AI198:AI200" si="25">AH198-Z198</f>
        <v>4.8000000000000022E-3</v>
      </c>
      <c r="AK198" s="4">
        <v>46271</v>
      </c>
      <c r="AL198" s="6">
        <v>0.02</v>
      </c>
      <c r="AM198" s="3"/>
      <c r="AN198" s="3"/>
      <c r="AO198" s="3"/>
      <c r="AP198" s="3" t="s">
        <v>33</v>
      </c>
      <c r="AQ198" s="3" t="s">
        <v>33</v>
      </c>
      <c r="AR198" s="6">
        <v>1.8200000000000001E-2</v>
      </c>
      <c r="AS198" s="2">
        <v>46271</v>
      </c>
      <c r="AT198" s="13">
        <v>4.19E-2</v>
      </c>
      <c r="AU198" s="13">
        <v>4.19E-2</v>
      </c>
      <c r="AV198" s="13">
        <v>4.5199999999999997E-2</v>
      </c>
      <c r="AW198" s="13">
        <v>4.9799999999999997E-2</v>
      </c>
      <c r="AX198" s="13">
        <v>5.0999999999999997E-2</v>
      </c>
      <c r="AY198" s="13">
        <v>6.3700000000000007E-2</v>
      </c>
      <c r="AZ198" s="13">
        <v>4.8800000000000003E-2</v>
      </c>
      <c r="BA198" s="12">
        <v>2.5999999999999999E-2</v>
      </c>
      <c r="BC198" s="4">
        <v>46271</v>
      </c>
      <c r="BD198" s="6" t="s">
        <v>33</v>
      </c>
      <c r="BE198" s="6">
        <v>2.8000000000000001E-2</v>
      </c>
      <c r="BF198" s="6">
        <v>3.2000000000000001E-2</v>
      </c>
      <c r="BG198" s="3"/>
      <c r="BH198" s="3"/>
      <c r="BI198" s="3"/>
      <c r="BJ198" s="6">
        <v>2.2200000000000001E-2</v>
      </c>
      <c r="BK198" s="2">
        <v>46271</v>
      </c>
      <c r="BL198" s="57">
        <v>5.5E-2</v>
      </c>
      <c r="BM198" s="1"/>
      <c r="BN198" s="57">
        <v>6.0499999999999998E-2</v>
      </c>
      <c r="BO198" s="1"/>
      <c r="BP198" s="1"/>
      <c r="BQ198" s="1"/>
      <c r="BR198" s="57">
        <v>0.05</v>
      </c>
      <c r="BS198" s="12">
        <f t="shared" si="24"/>
        <v>2.7800000000000002E-2</v>
      </c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>
        <v>2.8299999999999999E-2</v>
      </c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>
        <v>5.1900000000000002E-2</v>
      </c>
      <c r="Q199" s="84">
        <f t="shared" si="21"/>
        <v>2.3600000000000003E-2</v>
      </c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>
        <v>0.04</v>
      </c>
      <c r="Y199" s="3" t="s">
        <v>33</v>
      </c>
      <c r="Z199" s="6">
        <v>2.76E-2</v>
      </c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>
        <v>3.5000000000000003E-2</v>
      </c>
      <c r="AI199" s="12">
        <f t="shared" si="25"/>
        <v>7.4000000000000038E-3</v>
      </c>
      <c r="AK199" s="4">
        <v>46272</v>
      </c>
      <c r="AL199" s="6">
        <v>0.02</v>
      </c>
      <c r="AM199" s="3"/>
      <c r="AN199" s="3"/>
      <c r="AO199" s="3"/>
      <c r="AP199" s="3" t="s">
        <v>33</v>
      </c>
      <c r="AQ199" s="3" t="s">
        <v>33</v>
      </c>
      <c r="AR199" s="6">
        <v>1.8200000000000001E-2</v>
      </c>
      <c r="AS199" s="2">
        <v>46272</v>
      </c>
      <c r="AT199" s="13">
        <v>4.19E-2</v>
      </c>
      <c r="AU199" s="13">
        <v>4.19E-2</v>
      </c>
      <c r="AV199" s="13">
        <v>4.5199999999999997E-2</v>
      </c>
      <c r="AW199" s="13">
        <v>4.9799999999999997E-2</v>
      </c>
      <c r="AX199" s="13">
        <v>5.0999999999999997E-2</v>
      </c>
      <c r="AY199" s="13">
        <v>6.3700000000000007E-2</v>
      </c>
      <c r="AZ199" s="13">
        <v>4.8800000000000003E-2</v>
      </c>
      <c r="BA199" s="12">
        <v>2.5999999999999999E-2</v>
      </c>
      <c r="BC199" s="4">
        <v>46272</v>
      </c>
      <c r="BD199" s="6" t="s">
        <v>33</v>
      </c>
      <c r="BE199" s="6">
        <v>2.8000000000000001E-2</v>
      </c>
      <c r="BF199" s="6">
        <v>3.2000000000000001E-2</v>
      </c>
      <c r="BG199" s="3"/>
      <c r="BH199" s="3"/>
      <c r="BI199" s="3"/>
      <c r="BJ199" s="6">
        <v>2.3199999999999998E-2</v>
      </c>
      <c r="BK199" s="2">
        <v>46272</v>
      </c>
      <c r="BL199" s="57">
        <v>5.5E-2</v>
      </c>
      <c r="BM199" s="1"/>
      <c r="BN199" s="57">
        <v>6.0499999999999998E-2</v>
      </c>
      <c r="BO199" s="1"/>
      <c r="BP199" s="1"/>
      <c r="BQ199" s="1"/>
      <c r="BR199" s="57">
        <v>0.05</v>
      </c>
      <c r="BS199" s="12">
        <f t="shared" si="24"/>
        <v>2.6800000000000004E-2</v>
      </c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>
        <v>2.7900000000000001E-2</v>
      </c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>
        <v>5.1299999999999998E-2</v>
      </c>
      <c r="Q200" s="84">
        <f t="shared" si="21"/>
        <v>2.3399999999999997E-2</v>
      </c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>
        <v>0.04</v>
      </c>
      <c r="Y200" s="3" t="s">
        <v>33</v>
      </c>
      <c r="Z200" s="6">
        <v>3.0200000000000001E-2</v>
      </c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>
        <v>3.5000000000000003E-2</v>
      </c>
      <c r="AI200" s="12">
        <f t="shared" si="25"/>
        <v>4.8000000000000022E-3</v>
      </c>
      <c r="AK200" s="4">
        <v>46273</v>
      </c>
      <c r="AL200" s="6">
        <v>0.02</v>
      </c>
      <c r="AM200" s="3"/>
      <c r="AN200" s="3"/>
      <c r="AO200" s="3"/>
      <c r="AP200" s="3" t="s">
        <v>33</v>
      </c>
      <c r="AQ200" s="3" t="s">
        <v>33</v>
      </c>
      <c r="AR200" s="6">
        <v>1.7600000000000001E-2</v>
      </c>
      <c r="AS200" s="2">
        <v>46273</v>
      </c>
      <c r="AT200" s="13">
        <v>4.4999999999999998E-2</v>
      </c>
      <c r="AU200" s="13">
        <v>4.19E-2</v>
      </c>
      <c r="AV200" s="13">
        <v>4.5199999999999997E-2</v>
      </c>
      <c r="AW200" s="13">
        <v>0.05</v>
      </c>
      <c r="AX200" s="13">
        <v>5.0999999999999997E-2</v>
      </c>
      <c r="AY200" s="13">
        <v>6.3E-2</v>
      </c>
      <c r="AZ200" s="13">
        <v>4.82E-2</v>
      </c>
      <c r="BA200" s="12">
        <v>2.5999999999999999E-2</v>
      </c>
      <c r="BC200" s="4">
        <v>46273</v>
      </c>
      <c r="BD200" s="6" t="s">
        <v>33</v>
      </c>
      <c r="BE200" s="6">
        <v>2.8000000000000001E-2</v>
      </c>
      <c r="BF200" s="6">
        <v>3.2000000000000001E-2</v>
      </c>
      <c r="BG200" s="3"/>
      <c r="BH200" s="3"/>
      <c r="BI200" s="3"/>
      <c r="BJ200" s="6">
        <v>2.35E-2</v>
      </c>
      <c r="BK200" s="2">
        <v>46273</v>
      </c>
      <c r="BL200" s="57">
        <v>5.5E-2</v>
      </c>
      <c r="BM200" s="1"/>
      <c r="BN200" s="57">
        <v>6.0499999999999998E-2</v>
      </c>
      <c r="BO200" s="1"/>
      <c r="BP200" s="1"/>
      <c r="BQ200" s="1"/>
      <c r="BR200" s="57">
        <v>0.05</v>
      </c>
      <c r="BS200" s="12">
        <f t="shared" si="24"/>
        <v>2.6500000000000003E-2</v>
      </c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9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96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9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9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9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9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9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9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8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8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8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8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8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8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8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8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8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38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37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37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37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3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3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3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3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3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3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3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3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3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3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3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3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3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3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3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3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3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3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3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3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3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3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16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1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1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5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3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0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249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248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47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5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24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4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2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2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6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25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2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3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2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2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8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17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1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4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21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21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1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0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0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0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0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0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0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0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0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8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97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9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9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9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1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8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8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7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8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5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84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8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2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81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0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79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7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7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76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5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74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7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2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71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69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6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7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66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5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64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6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2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6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0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59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5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7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5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5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54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5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2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5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4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5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44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4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2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41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0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39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13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7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36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5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34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13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2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131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0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29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2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7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26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5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24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2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2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21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7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9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9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9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9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9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9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8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7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8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99FA-5214-4DBC-A91B-263E58EB80E2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4.1799999999999997E-2</v>
      </c>
      <c r="C3" s="54">
        <v>4.2000000000000003E-2</v>
      </c>
      <c r="D3" s="54">
        <v>4.5100000000000001E-2</v>
      </c>
      <c r="E3" s="54">
        <v>4.4999999999999998E-2</v>
      </c>
      <c r="F3" s="54">
        <v>5.5300000000000002E-2</v>
      </c>
      <c r="G3" s="54">
        <v>6.5000000000000002E-2</v>
      </c>
      <c r="H3" s="52">
        <v>5.0200000000000002E-2</v>
      </c>
      <c r="I3" s="73">
        <f>(1+H3/365)^365-1</f>
        <v>5.1477742132218118E-2</v>
      </c>
      <c r="J3" s="74"/>
      <c r="K3" s="67">
        <f>H3-'Daily Data'!AR153</f>
        <v>3.3799999999999997E-2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5.3923884316161734E-2</v>
      </c>
      <c r="C8" s="51">
        <f t="shared" ref="C8:G8" si="5">((1+$I8)^(C2/365)-1)*365/C2</f>
        <v>5.3951767188901635E-2</v>
      </c>
      <c r="D8" s="51">
        <f t="shared" si="5"/>
        <v>5.4015571679666675E-2</v>
      </c>
      <c r="E8" s="51">
        <f t="shared" si="5"/>
        <v>5.4135476418728942E-2</v>
      </c>
      <c r="F8" s="51">
        <f t="shared" si="5"/>
        <v>5.4255736046726039E-2</v>
      </c>
      <c r="G8" s="51">
        <f t="shared" si="5"/>
        <v>5.4618656102147008E-2</v>
      </c>
      <c r="H8" s="52">
        <v>5.3900000000000003E-2</v>
      </c>
      <c r="I8" s="73">
        <f t="shared" si="1"/>
        <v>5.5374859259955445E-2</v>
      </c>
      <c r="J8" s="74"/>
      <c r="K8" s="67">
        <f>H8-'Daily Data'!H153</f>
        <v>3.8100000000000002E-2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F9168-8583-40E6-BFF2-FDCE60BF8683}">
  <dimension ref="A1:K10"/>
  <sheetViews>
    <sheetView topLeftCell="B1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4.9744011871407721E-2</v>
      </c>
      <c r="D5" s="55">
        <v>6.0499999999999998E-2</v>
      </c>
      <c r="E5" s="55">
        <f t="shared" si="2"/>
        <v>4.9900163980003645E-2</v>
      </c>
      <c r="F5" s="55">
        <f t="shared" si="2"/>
        <v>5.0002354361223716E-2</v>
      </c>
      <c r="G5" s="55">
        <f t="shared" si="2"/>
        <v>5.0310602566360212E-2</v>
      </c>
      <c r="H5" s="56">
        <v>4.9700000000000001E-2</v>
      </c>
      <c r="I5" s="73">
        <f t="shared" si="1"/>
        <v>5.095220657517685E-2</v>
      </c>
      <c r="J5" s="74"/>
      <c r="K5" s="67">
        <f>H5-'Daily Data'!BJ153</f>
        <v>3.5000000000000003E-2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5.3523531090315615E-2</v>
      </c>
      <c r="C8" s="51">
        <f t="shared" ref="C8:G8" si="5">((1+$I8)^(C2/365)-1)*365/C2</f>
        <v>5.3551001472040914E-2</v>
      </c>
      <c r="D8" s="51">
        <f t="shared" si="5"/>
        <v>5.3613861529600459E-2</v>
      </c>
      <c r="E8" s="51">
        <f t="shared" si="5"/>
        <v>5.3731989453494652E-2</v>
      </c>
      <c r="F8" s="51">
        <f t="shared" si="5"/>
        <v>5.3850464407207296E-2</v>
      </c>
      <c r="G8" s="51">
        <f t="shared" si="5"/>
        <v>5.4207982936684315E-2</v>
      </c>
      <c r="H8" s="52">
        <v>5.3499999999999999E-2</v>
      </c>
      <c r="I8" s="73">
        <f t="shared" si="1"/>
        <v>5.4952855809036416E-2</v>
      </c>
      <c r="J8" s="74"/>
      <c r="K8" s="67">
        <f>H8-'Daily Data'!H153</f>
        <v>3.7699999999999997E-2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D9A8-D4C5-4A6C-803D-F5E43E5ED48C}">
  <dimension ref="A1:K10"/>
  <sheetViews>
    <sheetView topLeftCell="B1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0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59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5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6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68EA8-9206-4B42-8497-2F9C7F49F2B9}">
  <dimension ref="A1:K10"/>
  <sheetViews>
    <sheetView zoomScale="77" zoomScaleNormal="77" zoomScaleSheetLayoutView="9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5.1922144507718135E-2</v>
      </c>
      <c r="C8" s="51">
        <f t="shared" ref="C8:G8" si="5">((1+$I8)^(C2/365)-1)*365/C2</f>
        <v>5.1947995690773206E-2</v>
      </c>
      <c r="D8" s="51">
        <f t="shared" si="5"/>
        <v>5.200714857177343E-2</v>
      </c>
      <c r="E8" s="51">
        <f t="shared" si="5"/>
        <v>5.211830241434353E-2</v>
      </c>
      <c r="F8" s="51">
        <f t="shared" si="5"/>
        <v>5.2229773012772797E-2</v>
      </c>
      <c r="G8" s="51">
        <f t="shared" si="5"/>
        <v>5.256609551552166E-2</v>
      </c>
      <c r="H8" s="52">
        <v>5.1900000000000002E-2</v>
      </c>
      <c r="I8" s="73">
        <f t="shared" si="1"/>
        <v>5.3266524143395388E-2</v>
      </c>
      <c r="J8" s="74"/>
      <c r="K8" s="67">
        <f>H8-'Daily Data'!H153</f>
        <v>3.61E-2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5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5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5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930A-0DDC-45A9-9DF6-75783638D03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5.1321635396292135E-2</v>
      </c>
      <c r="C8" s="51">
        <f t="shared" ref="C8:G8" si="5">((1+$I8)^(C2/365)-1)*365/C2</f>
        <v>5.1346892070021868E-2</v>
      </c>
      <c r="D8" s="51">
        <f t="shared" si="5"/>
        <v>5.1404683861439961E-2</v>
      </c>
      <c r="E8" s="51">
        <f t="shared" si="5"/>
        <v>5.151327734868321E-2</v>
      </c>
      <c r="F8" s="51">
        <f t="shared" si="5"/>
        <v>5.1622176710658767E-2</v>
      </c>
      <c r="G8" s="51">
        <f t="shared" si="5"/>
        <v>5.195071975387968E-2</v>
      </c>
      <c r="H8" s="52">
        <v>5.1299999999999998E-2</v>
      </c>
      <c r="I8" s="73">
        <f t="shared" si="1"/>
        <v>5.2634843052846048E-2</v>
      </c>
      <c r="J8" s="74"/>
      <c r="K8" s="67">
        <f>H8-'Daily Data'!H153</f>
        <v>3.5499999999999997E-2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B016D-596E-4E8D-B8E9-D85957EFB822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50413-5157-40DD-AE4A-71ECF44FCB9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3.1818014660799525E-2</v>
      </c>
      <c r="D7" s="55">
        <v>3.39E-2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5.1922144507718135E-2</v>
      </c>
      <c r="C9" s="55">
        <f t="shared" ref="C9:G9" si="6">((1+$I9)^(C2/365)-1)*365/C2</f>
        <v>5.1947995690773206E-2</v>
      </c>
      <c r="D9" s="55">
        <f t="shared" si="6"/>
        <v>5.200714857177343E-2</v>
      </c>
      <c r="E9" s="55">
        <f t="shared" si="6"/>
        <v>5.211830241434353E-2</v>
      </c>
      <c r="F9" s="55">
        <f t="shared" si="6"/>
        <v>5.2229773012772797E-2</v>
      </c>
      <c r="G9" s="55">
        <f t="shared" si="6"/>
        <v>5.256609551552166E-2</v>
      </c>
      <c r="H9" s="52">
        <v>5.1900000000000002E-2</v>
      </c>
      <c r="I9" s="73">
        <f t="shared" si="1"/>
        <v>5.3266524143395388E-2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473C-6AE6-4C8A-A0F0-1E14E50C10C6}">
  <dimension ref="A1:K10"/>
  <sheetViews>
    <sheetView zoomScale="80" zoomScaleNormal="8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4.8642084712093782E-2</v>
      </c>
      <c r="D5" s="55">
        <v>6.0499999999999998E-2</v>
      </c>
      <c r="E5" s="55">
        <f t="shared" si="2"/>
        <v>4.8791390489693422E-2</v>
      </c>
      <c r="F5" s="55">
        <f t="shared" si="2"/>
        <v>4.8889092971250651E-2</v>
      </c>
      <c r="G5" s="55">
        <f t="shared" si="2"/>
        <v>4.918376818637326E-2</v>
      </c>
      <c r="H5" s="56">
        <v>4.8599999999999997E-2</v>
      </c>
      <c r="I5" s="73">
        <f t="shared" si="1"/>
        <v>4.979695021942665E-2</v>
      </c>
      <c r="J5" s="74"/>
      <c r="K5" s="67">
        <f>H5-'Daily Data'!BJ153</f>
        <v>3.39E-2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4.9219900141506283E-2</v>
      </c>
      <c r="C9" s="55">
        <f t="shared" ref="C9:G9" si="6">((1+$I9)^(C2/365)-1)*365/C2</f>
        <v>4.9243130538759651E-2</v>
      </c>
      <c r="D9" s="55">
        <f t="shared" si="6"/>
        <v>4.9296283501290596E-2</v>
      </c>
      <c r="E9" s="55">
        <f t="shared" si="6"/>
        <v>4.9396151593087793E-2</v>
      </c>
      <c r="F9" s="55">
        <f t="shared" si="6"/>
        <v>4.949628944520007E-2</v>
      </c>
      <c r="G9" s="55">
        <f t="shared" si="6"/>
        <v>4.9798329774235386E-2</v>
      </c>
      <c r="H9" s="52">
        <v>4.9200000000000001E-2</v>
      </c>
      <c r="I9" s="73">
        <f t="shared" si="1"/>
        <v>5.0426932964994675E-2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1F8C6-69B9-4900-B64E-A2738210BE83}">
  <dimension ref="A1:K10"/>
  <sheetViews>
    <sheetView zoomScale="80" zoomScaleNormal="80" workbookViewId="0">
      <selection activeCell="D49" sqref="D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4.6839024285446694E-2</v>
      </c>
      <c r="D5" s="55">
        <v>6.0499999999999998E-2</v>
      </c>
      <c r="E5" s="55">
        <f t="shared" si="2"/>
        <v>4.697745901432996E-2</v>
      </c>
      <c r="F5" s="55">
        <f t="shared" si="2"/>
        <v>4.7068036389975622E-2</v>
      </c>
      <c r="G5" s="55">
        <f t="shared" si="2"/>
        <v>4.7341167902940996E-2</v>
      </c>
      <c r="H5" s="56">
        <v>4.6800000000000001E-2</v>
      </c>
      <c r="I5" s="73">
        <f t="shared" si="1"/>
        <v>4.7909261830630268E-2</v>
      </c>
      <c r="J5" s="74"/>
      <c r="K5" s="67">
        <f>H5-'Daily Data'!BJ153</f>
        <v>3.2100000000000004E-2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4.8619417678629998E-2</v>
      </c>
      <c r="C8" s="51">
        <f t="shared" ref="C8:G8" si="5">((1+$I8)^(C2/365)-1)*365/C2</f>
        <v>4.8642084712093782E-2</v>
      </c>
      <c r="D8" s="51">
        <f t="shared" si="5"/>
        <v>4.8693948000438324E-2</v>
      </c>
      <c r="E8" s="51">
        <f t="shared" si="5"/>
        <v>4.8791390489693422E-2</v>
      </c>
      <c r="F8" s="51">
        <f t="shared" si="5"/>
        <v>4.8889092971250651E-2</v>
      </c>
      <c r="G8" s="51">
        <f t="shared" si="5"/>
        <v>4.918376818637326E-2</v>
      </c>
      <c r="H8" s="52">
        <v>4.8599999999999997E-2</v>
      </c>
      <c r="I8" s="73">
        <f t="shared" si="1"/>
        <v>4.979695021942665E-2</v>
      </c>
      <c r="J8" s="74"/>
      <c r="K8" s="67">
        <f>H8-'Daily Data'!H153</f>
        <v>3.2799999999999996E-2</v>
      </c>
    </row>
    <row r="9" spans="1:11" ht="23.15" customHeight="1" x14ac:dyDescent="0.5">
      <c r="A9" s="50" t="s">
        <v>56</v>
      </c>
      <c r="B9" s="55">
        <f>((1+$I9)^(B2/365)-1)*365/B2</f>
        <v>4.781878360630297E-2</v>
      </c>
      <c r="C9" s="55">
        <f t="shared" ref="C9:G9" si="6">((1+$I9)^(C2/365)-1)*365/C2</f>
        <v>4.784071025350968E-2</v>
      </c>
      <c r="D9" s="55">
        <f t="shared" si="6"/>
        <v>4.7890878658311507E-2</v>
      </c>
      <c r="E9" s="55">
        <f t="shared" si="6"/>
        <v>4.7985133573050565E-2</v>
      </c>
      <c r="F9" s="55">
        <f t="shared" si="6"/>
        <v>4.8079635827554312E-2</v>
      </c>
      <c r="G9" s="55">
        <f t="shared" si="6"/>
        <v>4.8364633943058503E-2</v>
      </c>
      <c r="H9" s="52">
        <v>4.7800000000000002E-2</v>
      </c>
      <c r="I9" s="73">
        <f t="shared" si="1"/>
        <v>4.8957559305959908E-2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92201-2600-4E51-BA87-D1B2FFFDF142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4.7218314960694494E-2</v>
      </c>
      <c r="C9" s="55">
        <f t="shared" ref="C9:G9" si="6">((1+$I9)^(C2/365)-1)*365/C2</f>
        <v>4.7239694392027319E-2</v>
      </c>
      <c r="D9" s="55">
        <f t="shared" si="6"/>
        <v>4.7288610144328315E-2</v>
      </c>
      <c r="E9" s="55">
        <f t="shared" si="6"/>
        <v>4.7380509294304006E-2</v>
      </c>
      <c r="F9" s="55">
        <f t="shared" si="6"/>
        <v>4.7472646569378531E-2</v>
      </c>
      <c r="G9" s="55">
        <f t="shared" si="6"/>
        <v>4.7750494097470252E-2</v>
      </c>
      <c r="H9" s="52">
        <v>4.7199999999999999E-2</v>
      </c>
      <c r="I9" s="73">
        <f t="shared" si="1"/>
        <v>4.8328455390099778E-2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8E08-7F6F-4B42-B942-DA3AD7C9FA85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4.7018160061424688E-2</v>
      </c>
      <c r="C9" s="55">
        <f t="shared" ref="C9:G9" si="6">((1+$I9)^(C2/365)-1)*365/C2</f>
        <v>4.7039358625298178E-2</v>
      </c>
      <c r="D9" s="55">
        <f t="shared" si="6"/>
        <v>4.708786035229743E-2</v>
      </c>
      <c r="E9" s="55">
        <f t="shared" si="6"/>
        <v>4.7178980897196632E-2</v>
      </c>
      <c r="F9" s="55">
        <f t="shared" si="6"/>
        <v>4.7270336547384134E-2</v>
      </c>
      <c r="G9" s="55">
        <f t="shared" si="6"/>
        <v>4.754582096458574E-2</v>
      </c>
      <c r="H9" s="52">
        <v>4.7E-2</v>
      </c>
      <c r="I9" s="73">
        <f t="shared" si="1"/>
        <v>4.8118837710792173E-2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D92DE-6A32-4F7D-B0E5-488097098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4.8141223000003501E-2</v>
      </c>
      <c r="D5" s="55">
        <v>6.0499999999999998E-2</v>
      </c>
      <c r="E5" s="55">
        <f t="shared" si="2"/>
        <v>4.8287467700355462E-2</v>
      </c>
      <c r="F5" s="55">
        <f t="shared" si="2"/>
        <v>4.8383163755165409E-2</v>
      </c>
      <c r="G5" s="55">
        <f t="shared" si="2"/>
        <v>4.8671771629338244E-2</v>
      </c>
      <c r="H5" s="56">
        <v>4.8099999999999997E-2</v>
      </c>
      <c r="I5" s="73">
        <f t="shared" si="1"/>
        <v>4.9272252434162667E-2</v>
      </c>
      <c r="J5" s="74"/>
      <c r="K5" s="67">
        <f>H5-'Daily Data'!BJ153</f>
        <v>3.3399999999999999E-2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4.8219099326477499E-2</v>
      </c>
      <c r="C8" s="51">
        <f t="shared" ref="C8:G8" si="5">((1+$I8)^(C2/365)-1)*365/C2</f>
        <v>4.8241394628907468E-2</v>
      </c>
      <c r="D8" s="51">
        <f t="shared" si="5"/>
        <v>4.8292406949608901E-2</v>
      </c>
      <c r="E8" s="51">
        <f t="shared" si="5"/>
        <v>4.8388249000388961E-2</v>
      </c>
      <c r="F8" s="51">
        <f t="shared" si="5"/>
        <v>4.8484344664501182E-2</v>
      </c>
      <c r="G8" s="51">
        <f t="shared" si="5"/>
        <v>4.8774160898719429E-2</v>
      </c>
      <c r="H8" s="52">
        <v>4.82E-2</v>
      </c>
      <c r="I8" s="73">
        <f t="shared" si="1"/>
        <v>4.9377171064564962E-2</v>
      </c>
      <c r="J8" s="74"/>
      <c r="K8" s="67">
        <f>H8-'Daily Data'!H153</f>
        <v>3.2399999999999998E-2</v>
      </c>
    </row>
    <row r="9" spans="1:11" ht="23.15" customHeight="1" x14ac:dyDescent="0.5">
      <c r="A9" s="50" t="s">
        <v>56</v>
      </c>
      <c r="B9" s="55">
        <f>((1+$I9)^(B2/365)-1)*365/B2</f>
        <v>4.8819577841624176E-2</v>
      </c>
      <c r="C9" s="55">
        <f t="shared" ref="C9:G9" si="6">((1+$I9)^(C2/365)-1)*365/C2</f>
        <v>4.8842431894041062E-2</v>
      </c>
      <c r="D9" s="55">
        <f t="shared" si="6"/>
        <v>4.8894723310711985E-2</v>
      </c>
      <c r="E9" s="55">
        <f t="shared" si="6"/>
        <v>4.8992971008012476E-2</v>
      </c>
      <c r="F9" s="55">
        <f t="shared" si="6"/>
        <v>4.909148192689964E-2</v>
      </c>
      <c r="G9" s="55">
        <f t="shared" si="6"/>
        <v>4.9388601959502426E-2</v>
      </c>
      <c r="H9" s="52">
        <v>4.8800000000000003E-2</v>
      </c>
      <c r="I9" s="73">
        <f t="shared" si="1"/>
        <v>5.0006902591170466E-2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3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1D6B-363E-47DA-B35E-13D4C3DF72DD}">
  <dimension ref="A1:K10"/>
  <sheetViews>
    <sheetView zoomScale="80" zoomScaleNormal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4.19E-2</v>
      </c>
      <c r="E3" s="54">
        <v>4.5400000000000003E-2</v>
      </c>
      <c r="F3" s="54">
        <v>4.7800000000000002E-2</v>
      </c>
      <c r="G3" s="54">
        <v>6.1600000000000002E-2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4.7339862810497069E-2</v>
      </c>
      <c r="D5" s="55">
        <v>6.0499999999999998E-2</v>
      </c>
      <c r="E5" s="55">
        <f t="shared" si="2"/>
        <v>4.7481275935784405E-2</v>
      </c>
      <c r="F5" s="55">
        <f t="shared" si="2"/>
        <v>4.7573805279766984E-2</v>
      </c>
      <c r="G5" s="55">
        <f t="shared" si="2"/>
        <v>4.7852838191262785E-2</v>
      </c>
      <c r="H5" s="56">
        <v>4.7300000000000002E-2</v>
      </c>
      <c r="I5" s="73">
        <f t="shared" si="1"/>
        <v>4.8433279907055482E-2</v>
      </c>
      <c r="J5" s="74"/>
      <c r="K5" s="67">
        <f>H5-'Daily Data'!BJ153</f>
        <v>3.2600000000000004E-2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4.8519337843843581E-2</v>
      </c>
      <c r="C9" s="55">
        <f t="shared" ref="C9:G9" si="6">((1+$I9)^(C2/365)-1)*365/C2</f>
        <v>4.8541911656190581E-2</v>
      </c>
      <c r="D9" s="55">
        <f t="shared" si="6"/>
        <v>4.8593561541501372E-2</v>
      </c>
      <c r="E9" s="55">
        <f t="shared" si="6"/>
        <v>4.8690602673965806E-2</v>
      </c>
      <c r="F9" s="55">
        <f t="shared" si="6"/>
        <v>4.8787902194059214E-2</v>
      </c>
      <c r="G9" s="55">
        <f t="shared" si="6"/>
        <v>4.9081358832476933E-2</v>
      </c>
      <c r="H9" s="52">
        <v>4.8500000000000001E-2</v>
      </c>
      <c r="I9" s="73">
        <f t="shared" si="1"/>
        <v>4.9691989733668729E-2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3644C-8F5D-4418-9670-2621C579483E}">
  <dimension ref="A1:K10"/>
  <sheetViews>
    <sheetView tabSelected="1" zoomScale="80" zoomScaleNormal="80"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4.1500000000000002E-2</v>
      </c>
      <c r="E3" s="54">
        <v>4.4900000000000002E-2</v>
      </c>
      <c r="F3" s="54">
        <v>4.7899999999999998E-2</v>
      </c>
      <c r="G3" s="54">
        <v>0.06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4.7940880812261187E-2</v>
      </c>
      <c r="D5" s="55">
        <v>6.0499999999999998E-2</v>
      </c>
      <c r="E5" s="55">
        <f t="shared" si="2"/>
        <v>4.808590998667276E-2</v>
      </c>
      <c r="F5" s="55">
        <f t="shared" si="2"/>
        <v>4.8180809336710879E-2</v>
      </c>
      <c r="G5" s="55">
        <f t="shared" si="2"/>
        <v>4.8467008151711975E-2</v>
      </c>
      <c r="H5" s="56">
        <v>4.7899999999999998E-2</v>
      </c>
      <c r="I5" s="73">
        <f t="shared" si="1"/>
        <v>4.9062446555858896E-2</v>
      </c>
      <c r="J5" s="74"/>
      <c r="K5" s="67">
        <f>H5-'Daily Data'!BJ153</f>
        <v>3.32E-2</v>
      </c>
    </row>
    <row r="6" spans="1:11" ht="23.15" customHeight="1" x14ac:dyDescent="0.5">
      <c r="A6" s="50" t="s">
        <v>55</v>
      </c>
      <c r="B6" s="51">
        <v>3.1800000000000002E-2</v>
      </c>
      <c r="C6" s="51">
        <f t="shared" ref="C6:G6" si="3">((1+$I6)^(C2/365)-1)*365/C2</f>
        <v>3.3720232087598924E-2</v>
      </c>
      <c r="D6" s="51">
        <v>3.5000000000000003E-2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" priority="9">
      <formula>_xlfn.ISFORMULA(A1)</formula>
    </cfRule>
    <cfRule type="expression" priority="10">
      <formula>_xlfn.ISFORMULA(A1)</formula>
    </cfRule>
  </conditionalFormatting>
  <conditionalFormatting sqref="H3:H9">
    <cfRule type="expression" dxfId="3" priority="3">
      <formula>_xlfn.ISFORMULA(H3)</formula>
    </cfRule>
    <cfRule type="expression" priority="4">
      <formula>_xlfn.ISFORMULA(H3)</formula>
    </cfRule>
  </conditionalFormatting>
  <conditionalFormatting sqref="I3:I10">
    <cfRule type="expression" dxfId="2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" priority="7">
      <formula>_xlfn.ISFORMULA(B3)</formula>
    </cfRule>
    <cfRule type="expression" priority="8">
      <formula>_xlfn.ISFORMULA(B3)</formula>
    </cfRule>
  </conditionalFormatting>
  <conditionalFormatting sqref="B3:G9">
    <cfRule type="expression" dxfId="0" priority="1">
      <formula>_xlfn.ISFORMULA(B3)</formula>
    </cfRule>
    <cfRule type="expression" priority="2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183</vt:i4>
      </vt:variant>
    </vt:vector>
  </HeadingPairs>
  <TitlesOfParts>
    <vt:vector size="183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  <vt:lpstr>04.09.2026</vt:lpstr>
      <vt:lpstr>05.09.2026</vt:lpstr>
      <vt:lpstr>06.09.2026</vt:lpstr>
      <vt:lpstr>07.09.2026</vt:lpstr>
      <vt:lpstr>08.09.2026</vt:lpstr>
      <vt:lpstr>09.09.2026</vt:lpstr>
      <vt:lpstr>10.09.2026</vt:lpstr>
      <vt:lpstr>11.09.2026</vt:lpstr>
      <vt:lpstr>12.09.2026</vt:lpstr>
      <vt:lpstr>13.09.2026</vt:lpstr>
      <vt:lpstr>14.09.2026</vt:lpstr>
      <vt:lpstr>15.09.2026</vt:lpstr>
      <vt:lpstr>16.09.2026</vt:lpstr>
      <vt:lpstr>17.09.2026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2026-09-17T06:57:06Z</dcterms:modified>
</cp:coreProperties>
</file>