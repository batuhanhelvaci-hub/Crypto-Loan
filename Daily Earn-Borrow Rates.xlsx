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omments109.xml" ContentType="application/vnd.openxmlformats-officedocument.spreadsheetml.comments+xml"/>
  <Override PartName="/xl/comments11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8F822B55-D459-43F1-8FDA-EF19AFC013B6}" xr6:coauthVersionLast="47" xr6:coauthVersionMax="47" xr10:uidLastSave="{00000000-0000-0000-0000-000000000000}"/>
  <bookViews>
    <workbookView xWindow="-28920" yWindow="855" windowWidth="29040" windowHeight="17520" firstSheet="104" activeTab="113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.3.2026" sheetId="29" r:id="rId12"/>
    <sheet name="30.3.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  <sheet name="29.04.2026" sheetId="64" r:id="rId43"/>
    <sheet name="30.04.2026" sheetId="65" r:id="rId44"/>
    <sheet name="01.05.2026" sheetId="66" r:id="rId45"/>
    <sheet name="02.05.2026" sheetId="67" r:id="rId46"/>
    <sheet name="03.05.2026" sheetId="68" r:id="rId47"/>
    <sheet name="04.05.2026" sheetId="69" r:id="rId48"/>
    <sheet name="05.05.2026" sheetId="70" r:id="rId49"/>
    <sheet name="06.05.2026" sheetId="71" r:id="rId50"/>
    <sheet name="07.05.2026" sheetId="72" r:id="rId51"/>
    <sheet name="08.05.2026" sheetId="73" r:id="rId52"/>
    <sheet name="09.05.2026" sheetId="74" r:id="rId53"/>
    <sheet name="10.05.2026" sheetId="75" r:id="rId54"/>
    <sheet name="11.05.2026" sheetId="77" r:id="rId55"/>
    <sheet name="12.05.2026" sheetId="78" r:id="rId56"/>
    <sheet name="13.05.2026" sheetId="79" r:id="rId57"/>
    <sheet name="14.05.2026" sheetId="80" r:id="rId58"/>
    <sheet name="15.05.2026" sheetId="81" r:id="rId59"/>
    <sheet name="16.05.2026" sheetId="82" r:id="rId60"/>
    <sheet name="17.05.2026" sheetId="83" r:id="rId61"/>
    <sheet name="18.05.2026" sheetId="84" r:id="rId62"/>
    <sheet name="19.05.2026" sheetId="85" r:id="rId63"/>
    <sheet name="20.05.2026" sheetId="86" r:id="rId64"/>
    <sheet name="21.05.2026" sheetId="87" r:id="rId65"/>
    <sheet name="22.05.2026" sheetId="88" r:id="rId66"/>
    <sheet name="23.05.2026" sheetId="89" r:id="rId67"/>
    <sheet name="24.05.2026" sheetId="90" r:id="rId68"/>
    <sheet name="25.05.2026" sheetId="91" r:id="rId69"/>
    <sheet name="26.05.2026" sheetId="92" r:id="rId70"/>
    <sheet name="27.05.2026" sheetId="93" r:id="rId71"/>
    <sheet name="28.05.2026" sheetId="94" r:id="rId72"/>
    <sheet name="29.05.2026" sheetId="95" r:id="rId73"/>
    <sheet name="30.05.2026" sheetId="96" r:id="rId74"/>
    <sheet name="31.05.2026" sheetId="97" r:id="rId75"/>
    <sheet name="01.06.2026" sheetId="98" r:id="rId76"/>
    <sheet name="02.06.2026" sheetId="99" r:id="rId77"/>
    <sheet name="03.06.2026" sheetId="100" r:id="rId78"/>
    <sheet name="04.06.2026" sheetId="101" r:id="rId79"/>
    <sheet name="05.06.2026" sheetId="102" r:id="rId80"/>
    <sheet name="06.06.2026" sheetId="103" r:id="rId81"/>
    <sheet name="07.06.2026" sheetId="104" r:id="rId82"/>
    <sheet name="08.06.2026" sheetId="105" r:id="rId83"/>
    <sheet name="09.06.2026" sheetId="106" r:id="rId84"/>
    <sheet name="10.06.2026" sheetId="107" r:id="rId85"/>
    <sheet name="11.06.2026" sheetId="108" r:id="rId86"/>
    <sheet name="12.06.2026" sheetId="109" r:id="rId87"/>
    <sheet name="13.06.2026" sheetId="110" r:id="rId88"/>
    <sheet name="14.06.2026" sheetId="111" r:id="rId89"/>
    <sheet name="15.06.2026" sheetId="112" r:id="rId90"/>
    <sheet name="16.06.2026" sheetId="113" r:id="rId91"/>
    <sheet name="17.06.2026" sheetId="114" r:id="rId92"/>
    <sheet name="18.06.2026" sheetId="115" r:id="rId93"/>
    <sheet name="19.06.2026" sheetId="116" r:id="rId94"/>
    <sheet name="20.06.2026" sheetId="117" r:id="rId95"/>
    <sheet name="21.06.2026" sheetId="118" r:id="rId96"/>
    <sheet name="22.06.2026" sheetId="119" r:id="rId97"/>
    <sheet name="23.06.2026" sheetId="120" r:id="rId98"/>
    <sheet name="24.06.2026" sheetId="121" r:id="rId99"/>
    <sheet name="25.06.2026" sheetId="122" r:id="rId100"/>
    <sheet name="26.06.2026" sheetId="123" r:id="rId101"/>
    <sheet name="27.06.2026" sheetId="124" r:id="rId102"/>
    <sheet name="28.06.2026" sheetId="125" r:id="rId103"/>
    <sheet name="29.06.2026" sheetId="126" r:id="rId104"/>
    <sheet name="30.06.2026" sheetId="127" r:id="rId105"/>
    <sheet name="01.07.2026" sheetId="128" r:id="rId106"/>
    <sheet name="02.07.2026" sheetId="129" r:id="rId107"/>
    <sheet name="03.07.2026" sheetId="130" r:id="rId108"/>
    <sheet name="04.07.2026" sheetId="131" r:id="rId109"/>
    <sheet name="05.07.2026" sheetId="132" r:id="rId110"/>
    <sheet name="06.07.2026" sheetId="133" r:id="rId111"/>
    <sheet name="07.07.2026" sheetId="134" r:id="rId112"/>
    <sheet name="08.07.2026" sheetId="135" r:id="rId113"/>
    <sheet name="09.07.2026" sheetId="136" r:id="rId1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36" l="1"/>
  <c r="K7" i="136"/>
  <c r="K6" i="136"/>
  <c r="K5" i="136"/>
  <c r="K4" i="136"/>
  <c r="K3" i="136"/>
  <c r="B8" i="136"/>
  <c r="C9" i="136"/>
  <c r="D9" i="136"/>
  <c r="E9" i="136"/>
  <c r="F9" i="136"/>
  <c r="G9" i="136"/>
  <c r="B9" i="136"/>
  <c r="C8" i="136"/>
  <c r="D8" i="136"/>
  <c r="E8" i="136"/>
  <c r="F8" i="136"/>
  <c r="G8" i="136"/>
  <c r="C7" i="136"/>
  <c r="E7" i="136"/>
  <c r="F7" i="136"/>
  <c r="G7" i="136"/>
  <c r="C6" i="136"/>
  <c r="E6" i="136"/>
  <c r="F6" i="136"/>
  <c r="G6" i="136"/>
  <c r="C5" i="136"/>
  <c r="E5" i="136"/>
  <c r="F5" i="136"/>
  <c r="G5" i="136"/>
  <c r="G4" i="136"/>
  <c r="F4" i="136"/>
  <c r="E4" i="136"/>
  <c r="D4" i="136"/>
  <c r="C4" i="136"/>
  <c r="B4" i="136"/>
  <c r="I9" i="136" l="1"/>
  <c r="I8" i="136"/>
  <c r="I7" i="136"/>
  <c r="I6" i="136"/>
  <c r="I5" i="136"/>
  <c r="I4" i="136"/>
  <c r="I3" i="136"/>
  <c r="K8" i="135"/>
  <c r="K7" i="135"/>
  <c r="K6" i="135"/>
  <c r="K5" i="135"/>
  <c r="K4" i="135"/>
  <c r="K3" i="135"/>
  <c r="C9" i="135"/>
  <c r="D9" i="135"/>
  <c r="E9" i="135"/>
  <c r="F9" i="135"/>
  <c r="G9" i="135"/>
  <c r="B9" i="135"/>
  <c r="C8" i="135"/>
  <c r="D8" i="135"/>
  <c r="E8" i="135"/>
  <c r="F8" i="135"/>
  <c r="G8" i="135"/>
  <c r="B8" i="135"/>
  <c r="C7" i="135"/>
  <c r="E7" i="135"/>
  <c r="F7" i="135"/>
  <c r="G7" i="135"/>
  <c r="C6" i="135"/>
  <c r="E6" i="135"/>
  <c r="F6" i="135"/>
  <c r="G6" i="135"/>
  <c r="C5" i="135"/>
  <c r="E5" i="135"/>
  <c r="F5" i="135"/>
  <c r="G5" i="135"/>
  <c r="G4" i="135"/>
  <c r="F4" i="135"/>
  <c r="E4" i="135"/>
  <c r="D4" i="135"/>
  <c r="C4" i="135"/>
  <c r="B4" i="135"/>
  <c r="I9" i="135"/>
  <c r="I8" i="135"/>
  <c r="I7" i="135"/>
  <c r="I6" i="135"/>
  <c r="I5" i="135"/>
  <c r="I4" i="135"/>
  <c r="I3" i="135"/>
  <c r="K8" i="134"/>
  <c r="K7" i="134"/>
  <c r="K6" i="134"/>
  <c r="K5" i="134"/>
  <c r="K4" i="134"/>
  <c r="K3" i="134"/>
  <c r="C9" i="134"/>
  <c r="D9" i="134"/>
  <c r="E9" i="134"/>
  <c r="F9" i="134"/>
  <c r="G9" i="134"/>
  <c r="B9" i="134"/>
  <c r="C8" i="134"/>
  <c r="D8" i="134"/>
  <c r="E8" i="134"/>
  <c r="F8" i="134"/>
  <c r="G8" i="134"/>
  <c r="B8" i="134"/>
  <c r="C7" i="134"/>
  <c r="E7" i="134"/>
  <c r="F7" i="134"/>
  <c r="G7" i="134"/>
  <c r="C6" i="134"/>
  <c r="E6" i="134"/>
  <c r="F6" i="134"/>
  <c r="G6" i="134"/>
  <c r="C5" i="134"/>
  <c r="E5" i="134"/>
  <c r="F5" i="134"/>
  <c r="G5" i="134"/>
  <c r="G4" i="134"/>
  <c r="F4" i="134"/>
  <c r="E4" i="134"/>
  <c r="D4" i="134"/>
  <c r="C4" i="134"/>
  <c r="B4" i="134"/>
  <c r="I9" i="134"/>
  <c r="I8" i="134"/>
  <c r="I7" i="134"/>
  <c r="I6" i="134"/>
  <c r="I5" i="134"/>
  <c r="I4" i="134"/>
  <c r="I3" i="134"/>
  <c r="C9" i="133"/>
  <c r="D9" i="133"/>
  <c r="E9" i="133"/>
  <c r="F9" i="133"/>
  <c r="G9" i="133"/>
  <c r="B9" i="133"/>
  <c r="C8" i="133"/>
  <c r="D8" i="133"/>
  <c r="E8" i="133"/>
  <c r="F8" i="133"/>
  <c r="G8" i="133"/>
  <c r="B8" i="133"/>
  <c r="C7" i="133"/>
  <c r="E7" i="133"/>
  <c r="F7" i="133"/>
  <c r="G7" i="133"/>
  <c r="C6" i="133"/>
  <c r="E6" i="133"/>
  <c r="F6" i="133"/>
  <c r="G6" i="133"/>
  <c r="G4" i="133"/>
  <c r="C5" i="133"/>
  <c r="E5" i="133"/>
  <c r="F5" i="133"/>
  <c r="G5" i="133"/>
  <c r="C4" i="133"/>
  <c r="D4" i="133"/>
  <c r="E4" i="133"/>
  <c r="F4" i="133"/>
  <c r="B4" i="133"/>
  <c r="I9" i="133"/>
  <c r="K8" i="133"/>
  <c r="I8" i="133"/>
  <c r="K7" i="133"/>
  <c r="I7" i="133"/>
  <c r="K6" i="133"/>
  <c r="I6" i="133"/>
  <c r="K5" i="133"/>
  <c r="I5" i="133"/>
  <c r="K4" i="133"/>
  <c r="I4" i="133"/>
  <c r="K3" i="133"/>
  <c r="I3" i="133"/>
  <c r="C9" i="132"/>
  <c r="D9" i="132"/>
  <c r="E9" i="132"/>
  <c r="F9" i="132"/>
  <c r="G9" i="132"/>
  <c r="B9" i="132"/>
  <c r="C7" i="132"/>
  <c r="E7" i="132"/>
  <c r="F7" i="132"/>
  <c r="G7" i="132"/>
  <c r="G8" i="132"/>
  <c r="C8" i="132"/>
  <c r="D8" i="132"/>
  <c r="E8" i="132"/>
  <c r="F8" i="132"/>
  <c r="B8" i="132"/>
  <c r="G6" i="132"/>
  <c r="C6" i="132"/>
  <c r="E6" i="132"/>
  <c r="F6" i="132"/>
  <c r="C5" i="132"/>
  <c r="E5" i="132"/>
  <c r="F5" i="132"/>
  <c r="G5" i="132"/>
  <c r="C4" i="132"/>
  <c r="D4" i="132"/>
  <c r="E4" i="132"/>
  <c r="F4" i="132"/>
  <c r="G4" i="132"/>
  <c r="B4" i="132"/>
  <c r="I9" i="132"/>
  <c r="K8" i="132"/>
  <c r="I8" i="132"/>
  <c r="K7" i="132"/>
  <c r="I7" i="132"/>
  <c r="K6" i="132"/>
  <c r="I6" i="132"/>
  <c r="K5" i="132"/>
  <c r="I5" i="132"/>
  <c r="K4" i="132"/>
  <c r="I4" i="132"/>
  <c r="K3" i="132"/>
  <c r="I3" i="132"/>
  <c r="K8" i="131"/>
  <c r="K7" i="131"/>
  <c r="K6" i="131"/>
  <c r="K5" i="131"/>
  <c r="K4" i="131"/>
  <c r="K3" i="131"/>
  <c r="C9" i="131"/>
  <c r="D9" i="131"/>
  <c r="E9" i="131"/>
  <c r="F9" i="131"/>
  <c r="G9" i="131"/>
  <c r="B9" i="131"/>
  <c r="C8" i="131"/>
  <c r="D8" i="131"/>
  <c r="E8" i="131"/>
  <c r="F8" i="131"/>
  <c r="G8" i="131"/>
  <c r="B8" i="131"/>
  <c r="C7" i="131"/>
  <c r="E7" i="131"/>
  <c r="F7" i="131"/>
  <c r="G7" i="131"/>
  <c r="C6" i="131"/>
  <c r="E6" i="131"/>
  <c r="F6" i="131"/>
  <c r="G6" i="131"/>
  <c r="C5" i="131"/>
  <c r="E5" i="131"/>
  <c r="F5" i="131"/>
  <c r="G5" i="131"/>
  <c r="C4" i="131"/>
  <c r="D4" i="131"/>
  <c r="E4" i="131"/>
  <c r="F4" i="131"/>
  <c r="G4" i="131"/>
  <c r="B4" i="131"/>
  <c r="I4" i="131"/>
  <c r="I5" i="131"/>
  <c r="I6" i="131"/>
  <c r="I7" i="131"/>
  <c r="I8" i="131"/>
  <c r="I9" i="131"/>
  <c r="I3" i="131"/>
  <c r="K8" i="130" l="1"/>
  <c r="K7" i="130"/>
  <c r="K6" i="130"/>
  <c r="K5" i="130"/>
  <c r="K4" i="130"/>
  <c r="K3" i="130"/>
  <c r="C8" i="130" l="1"/>
  <c r="D8" i="130"/>
  <c r="E8" i="130"/>
  <c r="F8" i="130"/>
  <c r="G8" i="130"/>
  <c r="C9" i="130"/>
  <c r="D9" i="130"/>
  <c r="E9" i="130"/>
  <c r="F9" i="130"/>
  <c r="G9" i="130"/>
  <c r="B9" i="130"/>
  <c r="B8" i="130"/>
  <c r="C7" i="130"/>
  <c r="E7" i="130"/>
  <c r="F7" i="130"/>
  <c r="G7" i="130"/>
  <c r="C6" i="130"/>
  <c r="E6" i="130"/>
  <c r="F6" i="130"/>
  <c r="G6" i="130"/>
  <c r="C5" i="130"/>
  <c r="E5" i="130"/>
  <c r="F5" i="130"/>
  <c r="G5" i="130"/>
  <c r="C4" i="130"/>
  <c r="D4" i="130"/>
  <c r="E4" i="130"/>
  <c r="F4" i="130"/>
  <c r="G4" i="130"/>
  <c r="B4" i="130"/>
  <c r="I4" i="130"/>
  <c r="I5" i="130"/>
  <c r="I6" i="130"/>
  <c r="I7" i="130"/>
  <c r="I8" i="130"/>
  <c r="I9" i="130"/>
  <c r="I3" i="130"/>
  <c r="BS133" i="10"/>
  <c r="BS134" i="10"/>
  <c r="BS135" i="10"/>
  <c r="BS136" i="10"/>
  <c r="BS137" i="10"/>
  <c r="BS138" i="10"/>
  <c r="BS139" i="10"/>
  <c r="BS140" i="10"/>
  <c r="BS141" i="10"/>
  <c r="BA133" i="10"/>
  <c r="BA134" i="10"/>
  <c r="BA135" i="10"/>
  <c r="BA136" i="10"/>
  <c r="BA137" i="10"/>
  <c r="BA138" i="10"/>
  <c r="BA139" i="10"/>
  <c r="BA140" i="10"/>
  <c r="BA141" i="10"/>
  <c r="AI133" i="10"/>
  <c r="AI134" i="10"/>
  <c r="AI135" i="10"/>
  <c r="AI136" i="10"/>
  <c r="AI137" i="10"/>
  <c r="AI138" i="10"/>
  <c r="AI139" i="10"/>
  <c r="AI140" i="10"/>
  <c r="AI141" i="10"/>
  <c r="Q133" i="10"/>
  <c r="Q134" i="10"/>
  <c r="Q135" i="10"/>
  <c r="Q136" i="10"/>
  <c r="Q137" i="10"/>
  <c r="Q138" i="10"/>
  <c r="Q139" i="10"/>
  <c r="Q140" i="10"/>
  <c r="Q141" i="10"/>
  <c r="K8" i="129"/>
  <c r="K7" i="129"/>
  <c r="K6" i="129"/>
  <c r="K5" i="129"/>
  <c r="K4" i="129"/>
  <c r="K3" i="129"/>
  <c r="C9" i="129"/>
  <c r="D9" i="129"/>
  <c r="E9" i="129"/>
  <c r="F9" i="129"/>
  <c r="G9" i="129"/>
  <c r="B9" i="129"/>
  <c r="C8" i="129"/>
  <c r="D8" i="129"/>
  <c r="E8" i="129"/>
  <c r="F8" i="129"/>
  <c r="G8" i="129"/>
  <c r="B8" i="129"/>
  <c r="C7" i="129"/>
  <c r="E7" i="129"/>
  <c r="F7" i="129"/>
  <c r="G7" i="129"/>
  <c r="C6" i="129"/>
  <c r="E6" i="129"/>
  <c r="F6" i="129"/>
  <c r="G6" i="129"/>
  <c r="C5" i="129"/>
  <c r="E5" i="129"/>
  <c r="F5" i="129"/>
  <c r="G5" i="129"/>
  <c r="C4" i="129"/>
  <c r="D4" i="129"/>
  <c r="E4" i="129"/>
  <c r="F4" i="129"/>
  <c r="G4" i="129"/>
  <c r="B4" i="129"/>
  <c r="I4" i="129"/>
  <c r="I5" i="129"/>
  <c r="I6" i="129"/>
  <c r="I7" i="129"/>
  <c r="I8" i="129"/>
  <c r="I9" i="129"/>
  <c r="I3" i="129"/>
  <c r="BS132" i="10"/>
  <c r="BA132" i="10"/>
  <c r="K8" i="128" l="1"/>
  <c r="K7" i="128"/>
  <c r="K6" i="128"/>
  <c r="K5" i="128"/>
  <c r="K4" i="128"/>
  <c r="K3" i="128"/>
  <c r="C9" i="128"/>
  <c r="D9" i="128"/>
  <c r="E9" i="128"/>
  <c r="F9" i="128"/>
  <c r="G9" i="128"/>
  <c r="B9" i="128"/>
  <c r="C8" i="128"/>
  <c r="D8" i="128"/>
  <c r="E8" i="128"/>
  <c r="F8" i="128"/>
  <c r="G8" i="128"/>
  <c r="B8" i="128"/>
  <c r="C7" i="128"/>
  <c r="E7" i="128"/>
  <c r="F7" i="128"/>
  <c r="G7" i="128"/>
  <c r="C6" i="128"/>
  <c r="E6" i="128"/>
  <c r="F6" i="128"/>
  <c r="G6" i="128"/>
  <c r="C5" i="128"/>
  <c r="E5" i="128"/>
  <c r="F5" i="128"/>
  <c r="G5" i="128"/>
  <c r="C4" i="128"/>
  <c r="D4" i="128"/>
  <c r="E4" i="128"/>
  <c r="F4" i="128"/>
  <c r="G4" i="128"/>
  <c r="B4" i="128"/>
  <c r="I4" i="128"/>
  <c r="I5" i="128"/>
  <c r="I6" i="128"/>
  <c r="I7" i="128"/>
  <c r="I8" i="128"/>
  <c r="I9" i="128"/>
  <c r="I3" i="128"/>
  <c r="BA131" i="10"/>
  <c r="BS130" i="10"/>
  <c r="BS131" i="10"/>
  <c r="F5" i="127" l="1"/>
  <c r="G5" i="127"/>
  <c r="G4" i="127"/>
  <c r="K8" i="127"/>
  <c r="K7" i="127"/>
  <c r="K6" i="127"/>
  <c r="K5" i="127"/>
  <c r="K4" i="127"/>
  <c r="K3" i="127"/>
  <c r="C9" i="127"/>
  <c r="D9" i="127"/>
  <c r="E9" i="127"/>
  <c r="F9" i="127"/>
  <c r="G9" i="127"/>
  <c r="B9" i="127"/>
  <c r="C8" i="127"/>
  <c r="D8" i="127"/>
  <c r="E8" i="127"/>
  <c r="F8" i="127"/>
  <c r="G8" i="127"/>
  <c r="B8" i="127"/>
  <c r="C7" i="127"/>
  <c r="E7" i="127"/>
  <c r="F7" i="127"/>
  <c r="G7" i="127"/>
  <c r="C6" i="127"/>
  <c r="E6" i="127"/>
  <c r="F6" i="127"/>
  <c r="G6" i="127"/>
  <c r="C5" i="127"/>
  <c r="E5" i="127"/>
  <c r="C4" i="127"/>
  <c r="D4" i="127"/>
  <c r="E4" i="127"/>
  <c r="F4" i="127"/>
  <c r="B4" i="127"/>
  <c r="I4" i="127"/>
  <c r="I5" i="127"/>
  <c r="I6" i="127"/>
  <c r="I7" i="127"/>
  <c r="I8" i="127"/>
  <c r="I9" i="127"/>
  <c r="I3" i="127"/>
  <c r="BA130" i="10"/>
  <c r="K8" i="126" l="1"/>
  <c r="K7" i="126"/>
  <c r="K5" i="126"/>
  <c r="K6" i="126"/>
  <c r="K4" i="126"/>
  <c r="K3" i="126"/>
  <c r="C9" i="126"/>
  <c r="D9" i="126"/>
  <c r="E9" i="126"/>
  <c r="F9" i="126"/>
  <c r="G9" i="126"/>
  <c r="B9" i="126"/>
  <c r="C8" i="126"/>
  <c r="D8" i="126"/>
  <c r="E8" i="126"/>
  <c r="F8" i="126"/>
  <c r="G8" i="126"/>
  <c r="B8" i="126"/>
  <c r="C7" i="126"/>
  <c r="E7" i="126"/>
  <c r="F7" i="126"/>
  <c r="G7" i="126"/>
  <c r="C6" i="126"/>
  <c r="E6" i="126"/>
  <c r="F6" i="126"/>
  <c r="G6" i="126"/>
  <c r="C5" i="126"/>
  <c r="E5" i="126"/>
  <c r="F5" i="126"/>
  <c r="G5" i="126"/>
  <c r="C4" i="126"/>
  <c r="D4" i="126"/>
  <c r="E4" i="126"/>
  <c r="F4" i="126"/>
  <c r="G4" i="126"/>
  <c r="B4" i="126"/>
  <c r="I4" i="126"/>
  <c r="I5" i="126"/>
  <c r="I6" i="126"/>
  <c r="I7" i="126"/>
  <c r="I8" i="126"/>
  <c r="I9" i="126"/>
  <c r="I3" i="126"/>
  <c r="K8" i="125"/>
  <c r="K7" i="125"/>
  <c r="K6" i="125"/>
  <c r="K5" i="125"/>
  <c r="K4" i="125"/>
  <c r="K3" i="125"/>
  <c r="C9" i="125"/>
  <c r="D9" i="125"/>
  <c r="E9" i="125"/>
  <c r="F9" i="125"/>
  <c r="G9" i="125"/>
  <c r="B9" i="125"/>
  <c r="C8" i="125"/>
  <c r="D8" i="125"/>
  <c r="E8" i="125"/>
  <c r="F8" i="125"/>
  <c r="G8" i="125"/>
  <c r="B8" i="125"/>
  <c r="C7" i="125"/>
  <c r="E7" i="125"/>
  <c r="F7" i="125"/>
  <c r="G7" i="125"/>
  <c r="C6" i="125"/>
  <c r="E6" i="125"/>
  <c r="F6" i="125"/>
  <c r="G6" i="125"/>
  <c r="C5" i="125"/>
  <c r="E5" i="125"/>
  <c r="F5" i="125"/>
  <c r="G5" i="125"/>
  <c r="C4" i="125"/>
  <c r="D4" i="125"/>
  <c r="E4" i="125"/>
  <c r="F4" i="125"/>
  <c r="G4" i="125"/>
  <c r="B4" i="125"/>
  <c r="I4" i="125"/>
  <c r="I5" i="125"/>
  <c r="I6" i="125"/>
  <c r="I7" i="125"/>
  <c r="I8" i="125"/>
  <c r="I9" i="125"/>
  <c r="I3" i="125"/>
  <c r="K8" i="124"/>
  <c r="K7" i="124"/>
  <c r="K6" i="124"/>
  <c r="K5" i="124"/>
  <c r="K4" i="124"/>
  <c r="K3" i="124"/>
  <c r="C9" i="124"/>
  <c r="D9" i="124"/>
  <c r="E9" i="124"/>
  <c r="F9" i="124"/>
  <c r="G9" i="124"/>
  <c r="B9" i="124"/>
  <c r="C8" i="124"/>
  <c r="D8" i="124"/>
  <c r="E8" i="124"/>
  <c r="F8" i="124"/>
  <c r="G8" i="124"/>
  <c r="B8" i="124"/>
  <c r="C7" i="124"/>
  <c r="E7" i="124"/>
  <c r="F7" i="124"/>
  <c r="G7" i="124"/>
  <c r="C6" i="124"/>
  <c r="E6" i="124"/>
  <c r="F6" i="124"/>
  <c r="G6" i="124"/>
  <c r="C5" i="124"/>
  <c r="E5" i="124"/>
  <c r="F5" i="124"/>
  <c r="G5" i="124"/>
  <c r="C4" i="124"/>
  <c r="D4" i="124"/>
  <c r="E4" i="124"/>
  <c r="F4" i="124"/>
  <c r="G4" i="124"/>
  <c r="B4" i="124"/>
  <c r="I4" i="124"/>
  <c r="I5" i="124"/>
  <c r="I6" i="124"/>
  <c r="I7" i="124"/>
  <c r="I8" i="124"/>
  <c r="I9" i="124"/>
  <c r="I3" i="124"/>
  <c r="BS129" i="10"/>
  <c r="BS128" i="10"/>
  <c r="BS127" i="10"/>
  <c r="BA129" i="10"/>
  <c r="BA128" i="10"/>
  <c r="BA127" i="10"/>
  <c r="K8" i="123"/>
  <c r="K7" i="123"/>
  <c r="K6" i="123"/>
  <c r="K5" i="123"/>
  <c r="K4" i="123"/>
  <c r="K3" i="123"/>
  <c r="C9" i="123"/>
  <c r="D9" i="123"/>
  <c r="E9" i="123"/>
  <c r="F9" i="123"/>
  <c r="G9" i="123"/>
  <c r="B9" i="123"/>
  <c r="C8" i="123"/>
  <c r="D8" i="123"/>
  <c r="E8" i="123"/>
  <c r="F8" i="123"/>
  <c r="G8" i="123"/>
  <c r="B8" i="123"/>
  <c r="C7" i="123"/>
  <c r="E7" i="123"/>
  <c r="F7" i="123"/>
  <c r="G7" i="123"/>
  <c r="C6" i="123"/>
  <c r="E6" i="123"/>
  <c r="F6" i="123"/>
  <c r="G6" i="123"/>
  <c r="C5" i="123"/>
  <c r="E5" i="123"/>
  <c r="F5" i="123"/>
  <c r="G5" i="123"/>
  <c r="C4" i="123"/>
  <c r="D4" i="123"/>
  <c r="E4" i="123"/>
  <c r="F4" i="123"/>
  <c r="G4" i="123"/>
  <c r="B4" i="123"/>
  <c r="I4" i="123"/>
  <c r="I5" i="123"/>
  <c r="I6" i="123"/>
  <c r="I7" i="123"/>
  <c r="I8" i="123"/>
  <c r="I9" i="123"/>
  <c r="I3" i="123"/>
  <c r="BS126" i="10"/>
  <c r="BA126" i="10"/>
  <c r="K8" i="122"/>
  <c r="K7" i="122"/>
  <c r="K6" i="122"/>
  <c r="K5" i="122"/>
  <c r="K4" i="122"/>
  <c r="K3" i="122"/>
  <c r="C9" i="122"/>
  <c r="D9" i="122"/>
  <c r="E9" i="122"/>
  <c r="F9" i="122"/>
  <c r="G9" i="122"/>
  <c r="B9" i="122"/>
  <c r="C8" i="122"/>
  <c r="D8" i="122"/>
  <c r="E8" i="122"/>
  <c r="F8" i="122"/>
  <c r="G8" i="122"/>
  <c r="B8" i="122"/>
  <c r="C7" i="122"/>
  <c r="E7" i="122"/>
  <c r="F7" i="122"/>
  <c r="G7" i="122"/>
  <c r="C6" i="122"/>
  <c r="E6" i="122"/>
  <c r="F6" i="122"/>
  <c r="G6" i="122"/>
  <c r="C5" i="122"/>
  <c r="E5" i="122"/>
  <c r="F5" i="122"/>
  <c r="G5" i="122"/>
  <c r="C4" i="122"/>
  <c r="D4" i="122"/>
  <c r="E4" i="122"/>
  <c r="F4" i="122"/>
  <c r="G4" i="122"/>
  <c r="B4" i="122"/>
  <c r="I4" i="122"/>
  <c r="I5" i="122"/>
  <c r="I6" i="122"/>
  <c r="I7" i="122"/>
  <c r="I8" i="122"/>
  <c r="I9" i="122"/>
  <c r="I3" i="122"/>
  <c r="BS125" i="10"/>
  <c r="BA125" i="10"/>
  <c r="K8" i="121" l="1"/>
  <c r="K7" i="121"/>
  <c r="K6" i="121"/>
  <c r="K5" i="121"/>
  <c r="K4" i="121"/>
  <c r="K3" i="121"/>
  <c r="C9" i="121"/>
  <c r="D9" i="121"/>
  <c r="E9" i="121"/>
  <c r="F9" i="121"/>
  <c r="G9" i="121"/>
  <c r="B9" i="121"/>
  <c r="C8" i="121"/>
  <c r="D8" i="121"/>
  <c r="E8" i="121"/>
  <c r="F8" i="121"/>
  <c r="G8" i="121"/>
  <c r="B8" i="121"/>
  <c r="C7" i="121"/>
  <c r="E7" i="121"/>
  <c r="F7" i="121"/>
  <c r="G7" i="121"/>
  <c r="C6" i="121"/>
  <c r="E6" i="121"/>
  <c r="F6" i="121"/>
  <c r="G6" i="121"/>
  <c r="C5" i="121"/>
  <c r="E5" i="121"/>
  <c r="F5" i="121"/>
  <c r="G5" i="121"/>
  <c r="C4" i="121"/>
  <c r="D4" i="121"/>
  <c r="E4" i="121"/>
  <c r="F4" i="121"/>
  <c r="G4" i="121"/>
  <c r="B4" i="121"/>
  <c r="I4" i="121"/>
  <c r="I5" i="121"/>
  <c r="I6" i="121"/>
  <c r="I7" i="121"/>
  <c r="I8" i="121"/>
  <c r="I9" i="121"/>
  <c r="I3" i="121"/>
  <c r="BS124" i="10"/>
  <c r="BA124" i="10"/>
  <c r="K8" i="120"/>
  <c r="K7" i="120"/>
  <c r="K6" i="120"/>
  <c r="K5" i="120"/>
  <c r="K4" i="120"/>
  <c r="K3" i="120"/>
  <c r="C9" i="120"/>
  <c r="D9" i="120"/>
  <c r="E9" i="120"/>
  <c r="F9" i="120"/>
  <c r="G9" i="120"/>
  <c r="B9" i="120"/>
  <c r="C8" i="120"/>
  <c r="D8" i="120"/>
  <c r="E8" i="120"/>
  <c r="F8" i="120"/>
  <c r="G8" i="120"/>
  <c r="B8" i="120"/>
  <c r="C7" i="120"/>
  <c r="E7" i="120"/>
  <c r="F7" i="120"/>
  <c r="G7" i="120"/>
  <c r="C6" i="120"/>
  <c r="E6" i="120"/>
  <c r="F6" i="120"/>
  <c r="G6" i="120"/>
  <c r="C5" i="120"/>
  <c r="E5" i="120"/>
  <c r="F5" i="120"/>
  <c r="G5" i="120"/>
  <c r="C4" i="120"/>
  <c r="D4" i="120"/>
  <c r="E4" i="120"/>
  <c r="F4" i="120"/>
  <c r="G4" i="120"/>
  <c r="B4" i="120"/>
  <c r="I4" i="120"/>
  <c r="I5" i="120"/>
  <c r="I6" i="120"/>
  <c r="I7" i="120"/>
  <c r="I8" i="120"/>
  <c r="I9" i="120"/>
  <c r="I3" i="120"/>
  <c r="BS123" i="10" l="1"/>
  <c r="BA123" i="10"/>
  <c r="AI124" i="10"/>
  <c r="AI125" i="10"/>
  <c r="AI126" i="10"/>
  <c r="AI127" i="10"/>
  <c r="AI128" i="10"/>
  <c r="AI129" i="10"/>
  <c r="AI130" i="10"/>
  <c r="AI131" i="10"/>
  <c r="AI132" i="10"/>
  <c r="AI123" i="10"/>
  <c r="K8" i="119"/>
  <c r="K7" i="119"/>
  <c r="K6" i="119"/>
  <c r="K5" i="119"/>
  <c r="K4" i="119"/>
  <c r="K3" i="119"/>
  <c r="C9" i="119"/>
  <c r="D9" i="119"/>
  <c r="E9" i="119"/>
  <c r="F9" i="119"/>
  <c r="G9" i="119"/>
  <c r="B9" i="119"/>
  <c r="C8" i="119"/>
  <c r="D8" i="119"/>
  <c r="E8" i="119"/>
  <c r="F8" i="119"/>
  <c r="G8" i="119"/>
  <c r="B8" i="119"/>
  <c r="C6" i="119"/>
  <c r="E6" i="119"/>
  <c r="F6" i="119"/>
  <c r="G6" i="119"/>
  <c r="C7" i="119"/>
  <c r="E7" i="119"/>
  <c r="F7" i="119"/>
  <c r="G7" i="119"/>
  <c r="G4" i="119"/>
  <c r="C5" i="119"/>
  <c r="E5" i="119"/>
  <c r="F5" i="119"/>
  <c r="G5" i="119"/>
  <c r="C4" i="119"/>
  <c r="D4" i="119"/>
  <c r="E4" i="119"/>
  <c r="F4" i="119"/>
  <c r="B4" i="119"/>
  <c r="I4" i="119"/>
  <c r="I5" i="119"/>
  <c r="I6" i="119"/>
  <c r="I7" i="119"/>
  <c r="I8" i="119"/>
  <c r="I9" i="119"/>
  <c r="I3" i="119"/>
  <c r="K8" i="118"/>
  <c r="K7" i="118"/>
  <c r="K6" i="118"/>
  <c r="K5" i="118"/>
  <c r="K4" i="118"/>
  <c r="K3" i="118"/>
  <c r="C9" i="118"/>
  <c r="D9" i="118"/>
  <c r="E9" i="118"/>
  <c r="F9" i="118"/>
  <c r="G9" i="118"/>
  <c r="B9" i="118"/>
  <c r="C8" i="118"/>
  <c r="D8" i="118"/>
  <c r="E8" i="118"/>
  <c r="F8" i="118"/>
  <c r="G8" i="118"/>
  <c r="B8" i="118"/>
  <c r="C7" i="118"/>
  <c r="E7" i="118"/>
  <c r="F7" i="118"/>
  <c r="G7" i="118"/>
  <c r="G6" i="118"/>
  <c r="C6" i="118"/>
  <c r="E6" i="118"/>
  <c r="F6" i="118"/>
  <c r="C5" i="118"/>
  <c r="E5" i="118"/>
  <c r="F5" i="118"/>
  <c r="G5" i="118"/>
  <c r="C4" i="118"/>
  <c r="D4" i="118"/>
  <c r="E4" i="118"/>
  <c r="F4" i="118"/>
  <c r="G4" i="118"/>
  <c r="B4" i="118"/>
  <c r="I4" i="118"/>
  <c r="I5" i="118"/>
  <c r="I6" i="118"/>
  <c r="I7" i="118"/>
  <c r="I8" i="118"/>
  <c r="I9" i="118"/>
  <c r="I3" i="118"/>
  <c r="K8" i="117"/>
  <c r="K7" i="117"/>
  <c r="K6" i="117"/>
  <c r="K5" i="117"/>
  <c r="K4" i="117"/>
  <c r="K3" i="117"/>
  <c r="C9" i="117"/>
  <c r="D9" i="117"/>
  <c r="E9" i="117"/>
  <c r="F9" i="117"/>
  <c r="G9" i="117"/>
  <c r="B9" i="117"/>
  <c r="C8" i="117"/>
  <c r="D8" i="117"/>
  <c r="E8" i="117"/>
  <c r="F8" i="117"/>
  <c r="G8" i="117"/>
  <c r="B8" i="117"/>
  <c r="C7" i="117"/>
  <c r="E7" i="117"/>
  <c r="F7" i="117"/>
  <c r="G7" i="117"/>
  <c r="C6" i="117"/>
  <c r="E6" i="117"/>
  <c r="F6" i="117"/>
  <c r="G6" i="117"/>
  <c r="C5" i="117"/>
  <c r="E5" i="117"/>
  <c r="F5" i="117"/>
  <c r="G5" i="117"/>
  <c r="C4" i="117"/>
  <c r="D4" i="117"/>
  <c r="E4" i="117"/>
  <c r="F4" i="117"/>
  <c r="G4" i="117"/>
  <c r="B4" i="117"/>
  <c r="I4" i="117"/>
  <c r="I5" i="117"/>
  <c r="I6" i="117"/>
  <c r="I7" i="117"/>
  <c r="I8" i="117"/>
  <c r="I9" i="117"/>
  <c r="I3" i="117"/>
  <c r="BS122" i="10"/>
  <c r="BS121" i="10"/>
  <c r="BS120" i="10"/>
  <c r="BA120" i="10"/>
  <c r="BA121" i="10"/>
  <c r="BA122" i="10"/>
  <c r="AI120" i="10"/>
  <c r="AI121" i="10"/>
  <c r="AI122" i="10"/>
  <c r="Q122" i="10"/>
  <c r="Q123" i="10"/>
  <c r="Q124" i="10"/>
  <c r="Q125" i="10"/>
  <c r="Q126" i="10"/>
  <c r="Q127" i="10"/>
  <c r="Q128" i="10"/>
  <c r="Q129" i="10"/>
  <c r="Q130" i="10"/>
  <c r="Q131" i="10"/>
  <c r="Q132" i="10"/>
  <c r="K8" i="116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 s="1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BO9" i="18" s="1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A9B1F1-487D-432E-955E-D9E850583A9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8103D1B-2BF2-404D-953D-7FD6976928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F68E984-85B3-461B-93B5-D4AA8DAF3A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9659E6B-CC75-4C57-8B53-BB4DC04517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16BED0-4EE7-4C53-8D05-AF003A9D83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3DF1DA9-7C80-4178-8A49-35AFED46220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8B1EC-D131-42C9-AA54-FF9B96E97CA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FE558A1-5899-4FC8-AA1D-994DAF36890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111FFC-4DDE-4887-A322-A30CF544AC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13E5EEC-1FF3-4646-A781-F65E28F6C33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2FBE297-5864-4491-B6E3-1AE1BC3D3F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4145-176A-4624-B3E0-A24453F2E2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92A950-037C-4D0C-BA32-C47E7A8019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E4E95D2-C81B-45E8-9A37-A22952A6D1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0BB378-0FE9-440A-985C-CBD2463CCEF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19BBF-5E41-486E-9943-E648F1CD57D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3B797D-3CFC-40E3-BE09-BB0D435135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D44CF6-78BA-48C3-9DEC-A68F10A1DD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39F366F-3074-4879-B03E-6383840D63E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182FB3-A668-4443-83CC-8297EE5A93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<sst xmlns="http://schemas.openxmlformats.org/spreadsheetml/2006/main" count="5585" uniqueCount="73">
  <si>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</si>
  <si>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</si>
  <si>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</si>
  <si>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</si>
  <si>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</si>
  <si>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</si>
  <si>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</si>
  <si>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</si>
  <si>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</si>
  <si>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</si>
  <si>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</si>
  <si>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</si>
  <si>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</si>
  <si>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</si>
  <si>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</si>
  <si>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</si>
  <si>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</si>
  <si>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</si>
  <si>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</si>
  <si>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</si>
  <si>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</si>
  <si>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</si>
  <si>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</si>
  <si>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</si>
  <si>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</si>
  <si>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</si>
  <si>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</si>
  <si>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</si>
  <si>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</si>
  <si>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</si>
  <si>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</si>
  <si>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</si>
  <si>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</si>
  <si>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</si>
  <si>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</si>
  <si>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</si>
  <si>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</si>
  <si>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</si>
  <si>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</si>
  <si>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</si>
  <si>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</si>
  <si>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</si>
  <si>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</si>
  <si>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</si>
  <si>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</si>
  <si>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</si>
  <si>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</si>
  <si>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</si>
  <si>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</si>
  <si>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</si>
  <si>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</si>
  <si>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</si>
  <si>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</si>
  <si>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</si>
  <si>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</si>
  <si>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</si>
  <si>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</si>
  <si>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</si>
  <si>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</si>
  <si>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</si>
  <si>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</si>
  <si>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</si>
  <si>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</si>
  <si>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</si>
  <si>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</si>
  <si>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</si>
  <si>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</si>
  <si>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</si>
  <si>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</si>
  <si>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</si>
  <si>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</si>
  <si>
    <t>5i95%</t>
  </si>
  <si>
    <t>3i98%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</si>
</sst>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8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115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calcChain" Target="calcChain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46273</xdr:colOff>
      <xdr:row>147</xdr:row>
      <xdr:rowOff>101070</xdr:rowOff>
    </xdr:from>
    <xdr:to>
      <xdr:col>33</xdr:col>
      <xdr:colOff>398021</xdr:colOff>
      <xdr:row>181</xdr:row>
      <xdr:rowOff>120728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76195" y="26354351"/>
          <a:ext cx="6542998" cy="609819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comments" Target="../comments91.xml"/><Relationship Id="rId1" Type="http://schemas.openxmlformats.org/officeDocument/2006/relationships/vmlDrawing" Target="../drawings/vmlDrawing91.v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2.xml"/><Relationship Id="rId1" Type="http://schemas.openxmlformats.org/officeDocument/2006/relationships/vmlDrawing" Target="../drawings/vmlDrawing92.v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comments" Target="../comments93.xml"/><Relationship Id="rId1" Type="http://schemas.openxmlformats.org/officeDocument/2006/relationships/vmlDrawing" Target="../drawings/vmlDrawing93.v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4.xml"/><Relationship Id="rId1" Type="http://schemas.openxmlformats.org/officeDocument/2006/relationships/vmlDrawing" Target="../drawings/vmlDrawing94.v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5.xml"/><Relationship Id="rId1" Type="http://schemas.openxmlformats.org/officeDocument/2006/relationships/vmlDrawing" Target="../drawings/vmlDrawing95.v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6.xml"/><Relationship Id="rId1" Type="http://schemas.openxmlformats.org/officeDocument/2006/relationships/vmlDrawing" Target="../drawings/vmlDrawing96.vml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comments" Target="../comments97.xml"/><Relationship Id="rId1" Type="http://schemas.openxmlformats.org/officeDocument/2006/relationships/vmlDrawing" Target="../drawings/vmlDrawing97.vml"/></Relationships>
</file>

<file path=xl/worksheets/_rels/sheet10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5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9.xml"/><Relationship Id="rId1" Type="http://schemas.openxmlformats.org/officeDocument/2006/relationships/vmlDrawing" Target="../drawings/vmlDrawing99.vml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0.xml"/><Relationship Id="rId1" Type="http://schemas.openxmlformats.org/officeDocument/2006/relationships/vmlDrawing" Target="../drawings/vmlDrawing100.vml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1.xml"/><Relationship Id="rId1" Type="http://schemas.openxmlformats.org/officeDocument/2006/relationships/vmlDrawing" Target="../drawings/vmlDrawing101.vml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2.xml"/><Relationship Id="rId1" Type="http://schemas.openxmlformats.org/officeDocument/2006/relationships/vmlDrawing" Target="../drawings/vmlDrawing102.vml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3.xml"/><Relationship Id="rId1" Type="http://schemas.openxmlformats.org/officeDocument/2006/relationships/vmlDrawing" Target="../drawings/vmlDrawing103.vml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4.xml"/><Relationship Id="rId1" Type="http://schemas.openxmlformats.org/officeDocument/2006/relationships/vmlDrawing" Target="../drawings/vmlDrawing104.vml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5.xml"/><Relationship Id="rId1" Type="http://schemas.openxmlformats.org/officeDocument/2006/relationships/vmlDrawing" Target="../drawings/vmlDrawing105.vml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6.xml"/><Relationship Id="rId1" Type="http://schemas.openxmlformats.org/officeDocument/2006/relationships/vmlDrawing" Target="../drawings/vmlDrawing106.vml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7.xml"/><Relationship Id="rId1" Type="http://schemas.openxmlformats.org/officeDocument/2006/relationships/vmlDrawing" Target="../drawings/vmlDrawing107.vml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8.xml"/><Relationship Id="rId1" Type="http://schemas.openxmlformats.org/officeDocument/2006/relationships/vmlDrawing" Target="../drawings/vmlDrawing108.vml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9.xml"/><Relationship Id="rId1" Type="http://schemas.openxmlformats.org/officeDocument/2006/relationships/vmlDrawing" Target="../drawings/vmlDrawing109.vml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0.xml"/><Relationship Id="rId1" Type="http://schemas.openxmlformats.org/officeDocument/2006/relationships/vmlDrawing" Target="../drawings/vmlDrawing110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208"/>
  <sheetViews>
    <sheetView topLeftCell="A180" zoomScale="115" zoomScaleNormal="115" workbookViewId="0">
      <selection activeCell="F205" sqref="F205"/>
    </sheetView>
  </sheetViews>
  <sheetFormatPr defaultRowHeight="14.5" x14ac:dyDescent="0.35"/>
  <cols>
    <col min="1" max="2" width="15.54296875" style="81" customWidth="1"/>
    <col min="3" max="6" width="15.54296875" style="24" customWidth="1"/>
    <col min="7" max="7" width="11.81640625" style="93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1" t="s">
        <v>68</v>
      </c>
    </row>
    <row r="2" spans="1:7" x14ac:dyDescent="0.35">
      <c r="A2" s="87">
        <v>46023</v>
      </c>
      <c r="B2" s="88">
        <v>4.36E-2</v>
      </c>
      <c r="C2" s="89">
        <v>3.1600000000000003E-2</v>
      </c>
      <c r="D2" s="89">
        <v>3.85E-2</v>
      </c>
      <c r="E2" s="89">
        <v>4.5400000000000003E-2</v>
      </c>
      <c r="F2" s="89">
        <v>4.4299999999999999E-2</v>
      </c>
      <c r="G2" s="90">
        <v>88728</v>
      </c>
    </row>
    <row r="3" spans="1:7" x14ac:dyDescent="0.35">
      <c r="A3" s="87">
        <v>46024</v>
      </c>
      <c r="B3" s="88">
        <v>4.4600000000000001E-2</v>
      </c>
      <c r="C3" s="89">
        <v>3.1600000000000003E-2</v>
      </c>
      <c r="D3" s="89">
        <v>3.9399999999999998E-2</v>
      </c>
      <c r="E3" s="89">
        <v>4.6199999999999998E-2</v>
      </c>
      <c r="F3" s="89">
        <v>4.36E-2</v>
      </c>
      <c r="G3" s="90">
        <v>89926</v>
      </c>
    </row>
    <row r="4" spans="1:7" x14ac:dyDescent="0.35">
      <c r="A4" s="87">
        <v>46025</v>
      </c>
      <c r="B4" s="88">
        <v>4.5900000000000003E-2</v>
      </c>
      <c r="C4" s="89">
        <v>3.1600000000000003E-2</v>
      </c>
      <c r="D4" s="89">
        <v>3.9699999999999999E-2</v>
      </c>
      <c r="E4" s="89">
        <v>4.7199999999999999E-2</v>
      </c>
      <c r="F4" s="89">
        <v>4.2700000000000002E-2</v>
      </c>
      <c r="G4" s="90">
        <v>90594</v>
      </c>
    </row>
    <row r="5" spans="1:7" x14ac:dyDescent="0.35">
      <c r="A5" s="87">
        <v>46026</v>
      </c>
      <c r="B5" s="88">
        <v>4.5900000000000003E-2</v>
      </c>
      <c r="C5" s="89">
        <v>3.1600000000000003E-2</v>
      </c>
      <c r="D5" s="89">
        <v>3.9600000000000003E-2</v>
      </c>
      <c r="E5" s="89">
        <v>4.7800000000000002E-2</v>
      </c>
      <c r="F5" s="89">
        <v>4.0399999999999998E-2</v>
      </c>
      <c r="G5" s="90">
        <v>91373</v>
      </c>
    </row>
    <row r="6" spans="1:7" x14ac:dyDescent="0.35">
      <c r="A6" s="87">
        <v>46027</v>
      </c>
      <c r="B6" s="88">
        <v>4.6199999999999998E-2</v>
      </c>
      <c r="C6" s="89">
        <v>3.1600000000000003E-2</v>
      </c>
      <c r="D6" s="89">
        <v>3.95E-2</v>
      </c>
      <c r="E6" s="89">
        <v>4.7899999999999998E-2</v>
      </c>
      <c r="F6" s="89">
        <v>4.8899999999999999E-2</v>
      </c>
      <c r="G6" s="90">
        <v>93927</v>
      </c>
    </row>
    <row r="7" spans="1:7" x14ac:dyDescent="0.35">
      <c r="A7" s="87">
        <v>46028</v>
      </c>
      <c r="B7" s="88">
        <v>4.58E-2</v>
      </c>
      <c r="C7" s="89">
        <v>3.1600000000000003E-2</v>
      </c>
      <c r="D7" s="89">
        <v>3.9699999999999999E-2</v>
      </c>
      <c r="E7" s="89">
        <v>4.7E-2</v>
      </c>
      <c r="F7" s="89">
        <v>5.0299999999999997E-2</v>
      </c>
      <c r="G7" s="90">
        <v>93667</v>
      </c>
    </row>
    <row r="8" spans="1:7" x14ac:dyDescent="0.35">
      <c r="A8" s="87">
        <v>46029</v>
      </c>
      <c r="B8" s="88">
        <v>4.5600000000000002E-2</v>
      </c>
      <c r="C8" s="89">
        <v>3.1600000000000003E-2</v>
      </c>
      <c r="D8" s="89">
        <v>3.9800000000000002E-2</v>
      </c>
      <c r="E8" s="89">
        <v>4.7500000000000001E-2</v>
      </c>
      <c r="F8" s="89">
        <v>5.1400000000000001E-2</v>
      </c>
      <c r="G8" s="90">
        <v>91257</v>
      </c>
    </row>
    <row r="9" spans="1:7" x14ac:dyDescent="0.35">
      <c r="A9" s="87">
        <v>46030</v>
      </c>
      <c r="B9" s="88">
        <v>4.6100000000000002E-2</v>
      </c>
      <c r="C9" s="89">
        <v>3.1600000000000003E-2</v>
      </c>
      <c r="D9" s="89">
        <v>3.8399999999999997E-2</v>
      </c>
      <c r="E9" s="89">
        <v>4.8000000000000001E-2</v>
      </c>
      <c r="F9" s="89">
        <v>5.0599999999999999E-2</v>
      </c>
      <c r="G9" s="90">
        <v>90984</v>
      </c>
    </row>
    <row r="10" spans="1:7" x14ac:dyDescent="0.35">
      <c r="A10" s="87">
        <v>46031</v>
      </c>
      <c r="B10" s="88">
        <v>4.6100000000000002E-2</v>
      </c>
      <c r="C10" s="89">
        <v>3.1600000000000003E-2</v>
      </c>
      <c r="D10" s="89">
        <v>3.73E-2</v>
      </c>
      <c r="E10" s="89">
        <v>4.8599999999999997E-2</v>
      </c>
      <c r="F10" s="89">
        <v>5.1700000000000003E-2</v>
      </c>
      <c r="G10" s="90">
        <v>90505</v>
      </c>
    </row>
    <row r="11" spans="1:7" x14ac:dyDescent="0.35">
      <c r="A11" s="87">
        <v>46032</v>
      </c>
      <c r="B11" s="88">
        <v>4.65E-2</v>
      </c>
      <c r="C11" s="89">
        <v>3.1600000000000003E-2</v>
      </c>
      <c r="D11" s="89">
        <v>3.7100000000000001E-2</v>
      </c>
      <c r="E11" s="89">
        <v>4.7500000000000001E-2</v>
      </c>
      <c r="F11" s="89">
        <v>5.1799999999999999E-2</v>
      </c>
      <c r="G11" s="90">
        <v>90442</v>
      </c>
    </row>
    <row r="12" spans="1:7" x14ac:dyDescent="0.35">
      <c r="A12" s="87">
        <v>46033</v>
      </c>
      <c r="B12" s="88">
        <v>4.6600000000000003E-2</v>
      </c>
      <c r="C12" s="89">
        <v>3.1600000000000003E-2</v>
      </c>
      <c r="D12" s="89">
        <v>3.73E-2</v>
      </c>
      <c r="E12" s="89">
        <v>4.8099999999999997E-2</v>
      </c>
      <c r="F12" s="89">
        <v>5.21E-2</v>
      </c>
      <c r="G12" s="90">
        <v>90819</v>
      </c>
    </row>
    <row r="13" spans="1:7" x14ac:dyDescent="0.35">
      <c r="A13" s="87">
        <v>46034</v>
      </c>
      <c r="B13" s="88">
        <v>4.7100000000000003E-2</v>
      </c>
      <c r="C13" s="89">
        <v>3.1600000000000003E-2</v>
      </c>
      <c r="D13" s="89">
        <v>3.8300000000000001E-2</v>
      </c>
      <c r="E13" s="89">
        <v>4.8899999999999999E-2</v>
      </c>
      <c r="F13" s="89">
        <v>5.2200000000000003E-2</v>
      </c>
      <c r="G13" s="90">
        <v>91135</v>
      </c>
    </row>
    <row r="14" spans="1:7" x14ac:dyDescent="0.35">
      <c r="A14" s="87">
        <v>46035</v>
      </c>
      <c r="B14" s="88">
        <v>4.6600000000000003E-2</v>
      </c>
      <c r="C14" s="89">
        <v>3.1600000000000003E-2</v>
      </c>
      <c r="D14" s="89">
        <v>3.8699999999999998E-2</v>
      </c>
      <c r="E14" s="89">
        <v>4.9200000000000001E-2</v>
      </c>
      <c r="F14" s="89">
        <v>5.0799999999999998E-2</v>
      </c>
      <c r="G14" s="90">
        <v>95260</v>
      </c>
    </row>
    <row r="15" spans="1:7" x14ac:dyDescent="0.35">
      <c r="A15" s="87">
        <v>46036</v>
      </c>
      <c r="B15" s="88">
        <v>4.9399999999999999E-2</v>
      </c>
      <c r="C15" s="89">
        <v>3.1600000000000003E-2</v>
      </c>
      <c r="D15" s="89">
        <v>4.2500000000000003E-2</v>
      </c>
      <c r="E15" s="89">
        <v>5.0200000000000002E-2</v>
      </c>
      <c r="F15" s="89">
        <v>4.7399999999999998E-2</v>
      </c>
      <c r="G15" s="90">
        <v>97008</v>
      </c>
    </row>
    <row r="16" spans="1:7" x14ac:dyDescent="0.35">
      <c r="A16" s="87">
        <v>46037</v>
      </c>
      <c r="B16" s="88">
        <v>4.99E-2</v>
      </c>
      <c r="C16" s="89">
        <v>3.1600000000000003E-2</v>
      </c>
      <c r="D16" s="89">
        <v>4.3900000000000002E-2</v>
      </c>
      <c r="E16" s="89">
        <v>5.11E-2</v>
      </c>
      <c r="F16" s="89">
        <v>5.3800000000000001E-2</v>
      </c>
      <c r="G16" s="90">
        <v>95585</v>
      </c>
    </row>
    <row r="17" spans="1:7" x14ac:dyDescent="0.35">
      <c r="A17" s="87">
        <v>46038</v>
      </c>
      <c r="B17" s="88">
        <v>4.9299999999999997E-2</v>
      </c>
      <c r="C17" s="89">
        <v>3.7499999999999999E-2</v>
      </c>
      <c r="D17" s="89">
        <v>5.3699999999999998E-2</v>
      </c>
      <c r="E17" s="89">
        <v>5.0999999999999997E-2</v>
      </c>
      <c r="F17" s="89">
        <v>5.8799999999999998E-2</v>
      </c>
      <c r="G17" s="90">
        <v>95516</v>
      </c>
    </row>
    <row r="18" spans="1:7" x14ac:dyDescent="0.35">
      <c r="A18" s="87">
        <v>46039</v>
      </c>
      <c r="B18" s="88">
        <v>4.7199999999999999E-2</v>
      </c>
      <c r="C18" s="89">
        <v>3.7499999999999999E-2</v>
      </c>
      <c r="D18" s="89">
        <v>5.1999999999999998E-2</v>
      </c>
      <c r="E18" s="89">
        <v>4.8899999999999999E-2</v>
      </c>
      <c r="F18" s="89">
        <v>5.7299999999999997E-2</v>
      </c>
      <c r="G18" s="90">
        <v>95100</v>
      </c>
    </row>
    <row r="19" spans="1:7" x14ac:dyDescent="0.35">
      <c r="A19" s="87">
        <v>46040</v>
      </c>
      <c r="B19" s="88">
        <v>4.5699999999999998E-2</v>
      </c>
      <c r="C19" s="89">
        <v>3.7499999999999999E-2</v>
      </c>
      <c r="D19" s="89">
        <v>5.0799999999999998E-2</v>
      </c>
      <c r="E19" s="89">
        <v>4.8300000000000003E-2</v>
      </c>
      <c r="F19" s="89">
        <v>5.6099999999999997E-2</v>
      </c>
      <c r="G19" s="90">
        <v>93753</v>
      </c>
    </row>
    <row r="20" spans="1:7" x14ac:dyDescent="0.35">
      <c r="A20" s="87">
        <v>46041</v>
      </c>
      <c r="B20" s="88">
        <v>4.53E-2</v>
      </c>
      <c r="C20" s="89">
        <v>3.7499999999999999E-2</v>
      </c>
      <c r="D20" s="89">
        <v>4.9700000000000001E-2</v>
      </c>
      <c r="E20" s="89">
        <v>4.7199999999999999E-2</v>
      </c>
      <c r="F20" s="89">
        <v>5.6000000000000001E-2</v>
      </c>
      <c r="G20" s="90">
        <v>92558</v>
      </c>
    </row>
    <row r="21" spans="1:7" x14ac:dyDescent="0.35">
      <c r="A21" s="87">
        <v>46042</v>
      </c>
      <c r="B21" s="88">
        <v>4.4200000000000003E-2</v>
      </c>
      <c r="C21" s="89">
        <v>3.7499999999999999E-2</v>
      </c>
      <c r="D21" s="89">
        <v>4.8599999999999997E-2</v>
      </c>
      <c r="E21" s="89">
        <v>4.6100000000000002E-2</v>
      </c>
      <c r="F21" s="89">
        <v>5.5899999999999998E-2</v>
      </c>
      <c r="G21" s="90">
        <v>88313</v>
      </c>
    </row>
    <row r="22" spans="1:7" x14ac:dyDescent="0.35">
      <c r="A22" s="87">
        <v>46043</v>
      </c>
      <c r="B22" s="88">
        <v>4.4699999999999997E-2</v>
      </c>
      <c r="C22" s="89">
        <v>3.7499999999999999E-2</v>
      </c>
      <c r="D22" s="89">
        <v>4.9099999999999998E-2</v>
      </c>
      <c r="E22" s="89">
        <v>4.6699999999999998E-2</v>
      </c>
      <c r="F22" s="89">
        <v>5.91E-2</v>
      </c>
      <c r="G22" s="90">
        <v>89354</v>
      </c>
    </row>
    <row r="23" spans="1:7" x14ac:dyDescent="0.35">
      <c r="A23" s="87">
        <v>46044</v>
      </c>
      <c r="B23" s="88">
        <v>4.41E-2</v>
      </c>
      <c r="C23" s="89">
        <v>3.7499999999999999E-2</v>
      </c>
      <c r="D23" s="89">
        <v>4.9000000000000002E-2</v>
      </c>
      <c r="E23" s="89">
        <v>4.6600000000000003E-2</v>
      </c>
      <c r="F23" s="89">
        <v>5.8099999999999999E-2</v>
      </c>
      <c r="G23" s="90">
        <v>89443</v>
      </c>
    </row>
    <row r="24" spans="1:7" x14ac:dyDescent="0.35">
      <c r="A24" s="87">
        <v>46045</v>
      </c>
      <c r="B24" s="88">
        <v>4.4299999999999999E-2</v>
      </c>
      <c r="C24" s="89">
        <v>3.7499999999999999E-2</v>
      </c>
      <c r="D24" s="89">
        <v>4.8399999999999999E-2</v>
      </c>
      <c r="E24" s="89">
        <v>4.6100000000000002E-2</v>
      </c>
      <c r="F24" s="89">
        <v>5.8299999999999998E-2</v>
      </c>
      <c r="G24" s="90">
        <v>89412</v>
      </c>
    </row>
    <row r="25" spans="1:7" x14ac:dyDescent="0.35">
      <c r="A25" s="87">
        <v>46046</v>
      </c>
      <c r="B25" s="88">
        <v>4.5400000000000003E-2</v>
      </c>
      <c r="C25" s="89">
        <v>3.7499999999999999E-2</v>
      </c>
      <c r="D25" s="89">
        <v>4.9000000000000002E-2</v>
      </c>
      <c r="E25" s="89">
        <v>4.7100000000000003E-2</v>
      </c>
      <c r="F25" s="89">
        <v>5.7200000000000001E-2</v>
      </c>
      <c r="G25" s="90">
        <v>89171</v>
      </c>
    </row>
    <row r="26" spans="1:7" x14ac:dyDescent="0.35">
      <c r="A26" s="87">
        <v>46047</v>
      </c>
      <c r="B26" s="88">
        <v>4.5999999999999999E-2</v>
      </c>
      <c r="C26" s="89">
        <v>3.7499999999999999E-2</v>
      </c>
      <c r="D26" s="89">
        <v>5.0500000000000003E-2</v>
      </c>
      <c r="E26" s="89">
        <v>4.8000000000000001E-2</v>
      </c>
      <c r="F26" s="89">
        <v>5.6800000000000003E-2</v>
      </c>
      <c r="G26" s="90">
        <v>86548</v>
      </c>
    </row>
    <row r="27" spans="1:7" x14ac:dyDescent="0.35">
      <c r="A27" s="87">
        <v>46048</v>
      </c>
      <c r="B27" s="88">
        <v>4.58E-2</v>
      </c>
      <c r="C27" s="89">
        <v>3.7499999999999999E-2</v>
      </c>
      <c r="D27" s="89">
        <v>5.0299999999999997E-2</v>
      </c>
      <c r="E27" s="89">
        <v>4.7699999999999999E-2</v>
      </c>
      <c r="F27" s="89">
        <v>5.7700000000000001E-2</v>
      </c>
      <c r="G27" s="90">
        <v>88308</v>
      </c>
    </row>
    <row r="28" spans="1:7" x14ac:dyDescent="0.35">
      <c r="A28" s="87">
        <v>46049</v>
      </c>
      <c r="B28" s="88">
        <v>4.65E-2</v>
      </c>
      <c r="C28" s="89">
        <v>3.7499999999999999E-2</v>
      </c>
      <c r="D28" s="89">
        <v>5.0900000000000001E-2</v>
      </c>
      <c r="E28" s="89">
        <v>4.8399999999999999E-2</v>
      </c>
      <c r="F28" s="89">
        <v>5.0500000000000003E-2</v>
      </c>
      <c r="G28" s="90">
        <v>89204</v>
      </c>
    </row>
    <row r="29" spans="1:7" x14ac:dyDescent="0.35">
      <c r="A29" s="87">
        <v>46050</v>
      </c>
      <c r="B29" s="88">
        <v>4.7E-2</v>
      </c>
      <c r="C29" s="89">
        <v>3.7499999999999999E-2</v>
      </c>
      <c r="D29" s="89">
        <v>5.0900000000000001E-2</v>
      </c>
      <c r="E29" s="89">
        <v>4.8399999999999999E-2</v>
      </c>
      <c r="F29" s="89">
        <v>5.5399999999999998E-2</v>
      </c>
      <c r="G29" s="90">
        <v>89162</v>
      </c>
    </row>
    <row r="30" spans="1:7" x14ac:dyDescent="0.35">
      <c r="A30" s="87">
        <v>46051</v>
      </c>
      <c r="B30" s="88">
        <v>4.8099999999999997E-2</v>
      </c>
      <c r="C30" s="89">
        <v>3.7499999999999999E-2</v>
      </c>
      <c r="D30" s="89">
        <v>5.21E-2</v>
      </c>
      <c r="E30" s="89">
        <v>4.99E-2</v>
      </c>
      <c r="F30" s="89">
        <v>5.5399999999999998E-2</v>
      </c>
      <c r="G30" s="90">
        <v>84570</v>
      </c>
    </row>
    <row r="31" spans="1:7" x14ac:dyDescent="0.35">
      <c r="A31" s="87">
        <v>46052</v>
      </c>
      <c r="B31" s="88">
        <v>4.6699999999999998E-2</v>
      </c>
      <c r="C31" s="89">
        <v>3.7499999999999999E-2</v>
      </c>
      <c r="D31" s="89">
        <v>5.1999999999999998E-2</v>
      </c>
      <c r="E31" s="89">
        <v>4.8800000000000003E-2</v>
      </c>
      <c r="F31" s="89">
        <v>5.3999999999999999E-2</v>
      </c>
      <c r="G31" s="90">
        <v>84142</v>
      </c>
    </row>
    <row r="32" spans="1:7" x14ac:dyDescent="0.35">
      <c r="A32" s="87">
        <v>46053</v>
      </c>
      <c r="B32" s="88">
        <v>4.4699999999999997E-2</v>
      </c>
      <c r="C32" s="89">
        <v>3.7499999999999999E-2</v>
      </c>
      <c r="D32" s="89">
        <v>4.8899999999999999E-2</v>
      </c>
      <c r="E32" s="89">
        <v>4.65E-2</v>
      </c>
      <c r="F32" s="89">
        <v>5.3499999999999999E-2</v>
      </c>
      <c r="G32" s="90">
        <v>78726</v>
      </c>
    </row>
    <row r="33" spans="1:7" x14ac:dyDescent="0.35">
      <c r="A33" s="82">
        <v>46054.125</v>
      </c>
      <c r="B33" s="88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90">
        <v>76937</v>
      </c>
    </row>
    <row r="34" spans="1:7" x14ac:dyDescent="0.35">
      <c r="A34" s="82">
        <v>46055.125</v>
      </c>
      <c r="B34" s="83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90">
        <v>78768</v>
      </c>
    </row>
    <row r="35" spans="1:7" x14ac:dyDescent="0.35">
      <c r="A35" s="82">
        <v>46056.125</v>
      </c>
      <c r="B35" s="83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90">
        <v>75639</v>
      </c>
    </row>
    <row r="36" spans="1:7" x14ac:dyDescent="0.35">
      <c r="A36" s="82">
        <v>46057.125</v>
      </c>
      <c r="B36" s="83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90">
        <v>73172</v>
      </c>
    </row>
    <row r="37" spans="1:7" x14ac:dyDescent="0.35">
      <c r="A37" s="82">
        <v>46058.125</v>
      </c>
      <c r="B37" s="83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90">
        <v>62854</v>
      </c>
    </row>
    <row r="38" spans="1:7" x14ac:dyDescent="0.35">
      <c r="A38" s="82">
        <v>46059.125</v>
      </c>
      <c r="B38" s="83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90">
        <v>70524</v>
      </c>
    </row>
    <row r="39" spans="1:7" x14ac:dyDescent="0.35">
      <c r="A39" s="82">
        <v>46060.125</v>
      </c>
      <c r="B39" s="83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90">
        <v>69297</v>
      </c>
    </row>
    <row r="40" spans="1:7" x14ac:dyDescent="0.35">
      <c r="A40" s="82">
        <v>46061.125</v>
      </c>
      <c r="B40" s="83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90">
        <v>70542</v>
      </c>
    </row>
    <row r="41" spans="1:7" x14ac:dyDescent="0.35">
      <c r="A41" s="82">
        <v>46062.125</v>
      </c>
      <c r="B41" s="83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90">
        <v>70096</v>
      </c>
    </row>
    <row r="42" spans="1:7" x14ac:dyDescent="0.35">
      <c r="A42" s="82">
        <v>46063.125</v>
      </c>
      <c r="B42" s="83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90">
        <v>68780</v>
      </c>
    </row>
    <row r="43" spans="1:7" x14ac:dyDescent="0.35">
      <c r="A43" s="82">
        <v>46064.125</v>
      </c>
      <c r="B43" s="83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90">
        <v>66938</v>
      </c>
    </row>
    <row r="44" spans="1:7" x14ac:dyDescent="0.35">
      <c r="A44" s="82">
        <v>46065.125</v>
      </c>
      <c r="B44" s="83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90">
        <v>66185</v>
      </c>
    </row>
    <row r="45" spans="1:7" x14ac:dyDescent="0.35">
      <c r="A45" s="82">
        <v>46066.125</v>
      </c>
      <c r="B45" s="83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90">
        <v>68839</v>
      </c>
    </row>
    <row r="46" spans="1:7" x14ac:dyDescent="0.35">
      <c r="A46" s="82">
        <v>46067.125</v>
      </c>
      <c r="B46" s="83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90">
        <v>69766</v>
      </c>
    </row>
    <row r="47" spans="1:7" x14ac:dyDescent="0.35">
      <c r="A47" s="82">
        <v>46068.125</v>
      </c>
      <c r="B47" s="83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90">
        <v>68717</v>
      </c>
    </row>
    <row r="48" spans="1:7" x14ac:dyDescent="0.35">
      <c r="A48" s="82">
        <v>46069.125</v>
      </c>
      <c r="B48" s="83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90">
        <v>68908</v>
      </c>
    </row>
    <row r="49" spans="1:8" x14ac:dyDescent="0.35">
      <c r="A49" s="82">
        <v>46070.125</v>
      </c>
      <c r="B49" s="83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90">
        <v>67489</v>
      </c>
    </row>
    <row r="50" spans="1:8" x14ac:dyDescent="0.35">
      <c r="A50" s="82">
        <v>46071.125</v>
      </c>
      <c r="B50" s="83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90">
        <v>66456</v>
      </c>
    </row>
    <row r="51" spans="1:8" x14ac:dyDescent="0.35">
      <c r="A51" s="82">
        <v>46072.125</v>
      </c>
      <c r="B51" s="83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90">
        <v>66919</v>
      </c>
    </row>
    <row r="52" spans="1:8" x14ac:dyDescent="0.35">
      <c r="A52" s="82">
        <v>46073.125</v>
      </c>
      <c r="B52" s="83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90">
        <v>67970</v>
      </c>
    </row>
    <row r="53" spans="1:8" x14ac:dyDescent="0.35">
      <c r="A53" s="82">
        <v>46074.125</v>
      </c>
      <c r="B53" s="83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90">
        <v>67978</v>
      </c>
    </row>
    <row r="54" spans="1:8" x14ac:dyDescent="0.35">
      <c r="A54" s="82">
        <v>46075.125</v>
      </c>
      <c r="B54" s="83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90">
        <v>67585</v>
      </c>
    </row>
    <row r="55" spans="1:8" x14ac:dyDescent="0.35">
      <c r="A55" s="82">
        <v>46076.125</v>
      </c>
      <c r="B55" s="83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90">
        <v>64578</v>
      </c>
    </row>
    <row r="56" spans="1:8" x14ac:dyDescent="0.35">
      <c r="A56" s="82">
        <v>46077.125</v>
      </c>
      <c r="B56" s="83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90">
        <v>64074</v>
      </c>
    </row>
    <row r="57" spans="1:8" x14ac:dyDescent="0.35">
      <c r="A57" s="82">
        <v>46078.125</v>
      </c>
      <c r="B57" s="83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90">
        <v>67947</v>
      </c>
    </row>
    <row r="58" spans="1:8" x14ac:dyDescent="0.35">
      <c r="A58" s="82">
        <v>46079.125</v>
      </c>
      <c r="B58" s="83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90">
        <v>67469</v>
      </c>
    </row>
    <row r="59" spans="1:8" x14ac:dyDescent="0.35">
      <c r="A59" s="82">
        <v>46080.125</v>
      </c>
      <c r="B59" s="83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90">
        <v>65884</v>
      </c>
    </row>
    <row r="60" spans="1:8" x14ac:dyDescent="0.35">
      <c r="A60" s="82">
        <v>46081.125</v>
      </c>
      <c r="B60" s="83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90">
        <v>67008</v>
      </c>
    </row>
    <row r="61" spans="1:8" x14ac:dyDescent="0.35">
      <c r="A61" s="82">
        <v>46082.125</v>
      </c>
      <c r="B61" s="83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90">
        <v>65713</v>
      </c>
    </row>
    <row r="62" spans="1:8" x14ac:dyDescent="0.35">
      <c r="A62" s="82">
        <v>46083.125</v>
      </c>
      <c r="B62" s="83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90">
        <v>68864</v>
      </c>
    </row>
    <row r="63" spans="1:8" x14ac:dyDescent="0.35">
      <c r="A63" s="82">
        <v>46084.125</v>
      </c>
      <c r="B63" s="83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90">
        <v>68322</v>
      </c>
      <c r="H63" s="47"/>
    </row>
    <row r="64" spans="1:8" x14ac:dyDescent="0.35">
      <c r="A64" s="82">
        <v>46085.125</v>
      </c>
      <c r="B64" s="83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90">
        <v>72670</v>
      </c>
    </row>
    <row r="65" spans="1:7" x14ac:dyDescent="0.35">
      <c r="A65" s="82">
        <v>46086.125</v>
      </c>
      <c r="B65" s="83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90">
        <v>70875</v>
      </c>
    </row>
    <row r="66" spans="1:7" x14ac:dyDescent="0.35">
      <c r="A66" s="82">
        <v>46087.125</v>
      </c>
      <c r="B66" s="83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90">
        <v>68148</v>
      </c>
    </row>
    <row r="67" spans="1:7" x14ac:dyDescent="0.35">
      <c r="A67" s="82">
        <v>46088.125</v>
      </c>
      <c r="B67" s="83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90">
        <v>67271</v>
      </c>
    </row>
    <row r="68" spans="1:7" x14ac:dyDescent="0.35">
      <c r="A68" s="82">
        <v>46089.125</v>
      </c>
      <c r="B68" s="83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90">
        <v>66036</v>
      </c>
    </row>
    <row r="69" spans="1:7" x14ac:dyDescent="0.35">
      <c r="A69" s="82">
        <v>46090.125</v>
      </c>
      <c r="B69" s="83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90">
        <v>68459</v>
      </c>
    </row>
    <row r="70" spans="1:7" x14ac:dyDescent="0.35">
      <c r="A70" s="82">
        <v>46091.125</v>
      </c>
      <c r="B70" s="83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90">
        <v>69883</v>
      </c>
    </row>
    <row r="71" spans="1:7" x14ac:dyDescent="0.35">
      <c r="A71" s="82">
        <v>46092.125</v>
      </c>
      <c r="B71" s="83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90">
        <v>70227</v>
      </c>
    </row>
    <row r="72" spans="1:7" x14ac:dyDescent="0.35">
      <c r="A72" s="82">
        <v>46093.125</v>
      </c>
      <c r="B72" s="83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90">
        <v>70544</v>
      </c>
    </row>
    <row r="73" spans="1:7" x14ac:dyDescent="0.35">
      <c r="A73" s="82">
        <v>46094.125</v>
      </c>
      <c r="B73" s="83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90">
        <v>70965</v>
      </c>
    </row>
    <row r="74" spans="1:7" x14ac:dyDescent="0.35">
      <c r="A74" s="82">
        <v>46095.125</v>
      </c>
      <c r="B74" s="83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90">
        <v>71217</v>
      </c>
    </row>
    <row r="75" spans="1:7" x14ac:dyDescent="0.35">
      <c r="A75" s="82">
        <v>46096.125</v>
      </c>
      <c r="B75" s="83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90">
        <v>72682</v>
      </c>
    </row>
    <row r="76" spans="1:7" x14ac:dyDescent="0.35">
      <c r="A76" s="82">
        <v>46097.125</v>
      </c>
      <c r="B76" s="83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90">
        <v>74858</v>
      </c>
    </row>
    <row r="77" spans="1:7" x14ac:dyDescent="0.35">
      <c r="A77" s="82">
        <v>46098.125</v>
      </c>
      <c r="B77" s="83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90">
        <v>73926</v>
      </c>
    </row>
    <row r="78" spans="1:7" x14ac:dyDescent="0.35">
      <c r="A78" s="82">
        <v>46099.125</v>
      </c>
      <c r="B78" s="83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90">
        <v>71256</v>
      </c>
    </row>
    <row r="79" spans="1:7" x14ac:dyDescent="0.35">
      <c r="A79" s="82">
        <v>46100.125</v>
      </c>
      <c r="B79" s="83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90">
        <v>69871</v>
      </c>
    </row>
    <row r="80" spans="1:7" x14ac:dyDescent="0.35">
      <c r="A80" s="82">
        <v>46101.125</v>
      </c>
      <c r="B80" s="83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90">
        <v>70553</v>
      </c>
    </row>
    <row r="81" spans="1:7" x14ac:dyDescent="0.35">
      <c r="A81" s="82">
        <v>46102.125</v>
      </c>
      <c r="B81" s="83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90">
        <v>68734</v>
      </c>
    </row>
    <row r="82" spans="1:7" x14ac:dyDescent="0.35">
      <c r="A82" s="82">
        <v>46103.125</v>
      </c>
      <c r="B82" s="83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90">
        <v>67849</v>
      </c>
    </row>
    <row r="83" spans="1:7" x14ac:dyDescent="0.35">
      <c r="A83" s="82">
        <v>46104.125</v>
      </c>
      <c r="B83" s="83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90">
        <v>70893</v>
      </c>
    </row>
    <row r="84" spans="1:7" x14ac:dyDescent="0.35">
      <c r="A84" s="82">
        <v>46105.125</v>
      </c>
      <c r="B84" s="83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90">
        <v>70525</v>
      </c>
    </row>
    <row r="85" spans="1:7" x14ac:dyDescent="0.35">
      <c r="A85" s="82">
        <v>46106.125</v>
      </c>
      <c r="B85" s="83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90">
        <v>71309</v>
      </c>
    </row>
    <row r="86" spans="1:7" x14ac:dyDescent="0.35">
      <c r="A86" s="82">
        <v>46107.125</v>
      </c>
      <c r="B86" s="83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90">
        <v>68791</v>
      </c>
    </row>
    <row r="87" spans="1:7" x14ac:dyDescent="0.35">
      <c r="A87" s="82">
        <v>46108.125</v>
      </c>
      <c r="B87" s="83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90">
        <v>66321</v>
      </c>
    </row>
    <row r="88" spans="1:7" x14ac:dyDescent="0.35">
      <c r="A88" s="82">
        <v>46109.125</v>
      </c>
      <c r="B88" s="83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90">
        <v>66321</v>
      </c>
    </row>
    <row r="89" spans="1:7" x14ac:dyDescent="0.35">
      <c r="A89" s="82">
        <v>46110.125</v>
      </c>
      <c r="B89" s="83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90">
        <v>65970</v>
      </c>
    </row>
    <row r="90" spans="1:7" x14ac:dyDescent="0.35">
      <c r="A90" s="82">
        <v>46111.125</v>
      </c>
      <c r="B90" s="83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90">
        <v>66699</v>
      </c>
    </row>
    <row r="91" spans="1:7" x14ac:dyDescent="0.35">
      <c r="A91" s="82">
        <v>46112.125</v>
      </c>
      <c r="B91" s="83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90">
        <v>68232</v>
      </c>
    </row>
    <row r="92" spans="1:7" x14ac:dyDescent="0.35">
      <c r="A92" s="82">
        <v>46113.125</v>
      </c>
      <c r="B92" s="83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90">
        <v>68089</v>
      </c>
    </row>
    <row r="93" spans="1:7" x14ac:dyDescent="0.35">
      <c r="A93" s="82">
        <v>46114.125</v>
      </c>
      <c r="B93" s="83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90">
        <v>66892</v>
      </c>
    </row>
    <row r="94" spans="1:7" x14ac:dyDescent="0.35">
      <c r="A94" s="82">
        <v>46115.125</v>
      </c>
      <c r="B94" s="83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90">
        <v>66940</v>
      </c>
    </row>
    <row r="95" spans="1:7" x14ac:dyDescent="0.35">
      <c r="A95" s="82">
        <v>46116.125</v>
      </c>
      <c r="B95" s="83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90">
        <v>67304</v>
      </c>
    </row>
    <row r="96" spans="1:7" x14ac:dyDescent="0.35">
      <c r="A96" s="82">
        <v>46117.125</v>
      </c>
      <c r="B96" s="83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90">
        <v>68986</v>
      </c>
    </row>
    <row r="97" spans="1:7" x14ac:dyDescent="0.35">
      <c r="A97" s="82">
        <v>46118.125</v>
      </c>
      <c r="B97" s="83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90">
        <v>68864</v>
      </c>
    </row>
    <row r="98" spans="1:7" x14ac:dyDescent="0.35">
      <c r="A98" s="82">
        <v>46119.125</v>
      </c>
      <c r="B98" s="83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90">
        <v>71976</v>
      </c>
    </row>
    <row r="99" spans="1:7" x14ac:dyDescent="0.35">
      <c r="A99" s="82">
        <v>46120.125</v>
      </c>
      <c r="B99" s="83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90">
        <v>71117</v>
      </c>
    </row>
    <row r="100" spans="1:7" x14ac:dyDescent="0.35">
      <c r="A100" s="82">
        <v>46121.125</v>
      </c>
      <c r="B100" s="83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90">
        <v>71771</v>
      </c>
    </row>
    <row r="101" spans="1:7" x14ac:dyDescent="0.35">
      <c r="A101" s="82">
        <v>46122.125</v>
      </c>
      <c r="B101" s="83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90">
        <v>72973</v>
      </c>
    </row>
    <row r="102" spans="1:7" x14ac:dyDescent="0.35">
      <c r="A102" s="82">
        <v>46123.125</v>
      </c>
      <c r="B102" s="83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90">
        <v>73054</v>
      </c>
    </row>
    <row r="103" spans="1:7" x14ac:dyDescent="0.35">
      <c r="A103" s="82">
        <v>46124.125</v>
      </c>
      <c r="B103" s="83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90">
        <v>70757</v>
      </c>
    </row>
    <row r="104" spans="1:7" x14ac:dyDescent="0.35">
      <c r="A104" s="82">
        <v>46125.125</v>
      </c>
      <c r="B104" s="83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90">
        <v>74515</v>
      </c>
    </row>
    <row r="105" spans="1:7" x14ac:dyDescent="0.35">
      <c r="A105" s="82">
        <v>46126.125</v>
      </c>
      <c r="B105" s="83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90">
        <v>74181</v>
      </c>
    </row>
    <row r="106" spans="1:7" x14ac:dyDescent="0.35">
      <c r="A106" s="82">
        <v>46127.125</v>
      </c>
      <c r="B106" s="83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90">
        <v>74834</v>
      </c>
    </row>
    <row r="107" spans="1:7" x14ac:dyDescent="0.35">
      <c r="A107" s="82">
        <v>46128.125</v>
      </c>
      <c r="B107" s="83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90">
        <v>74810</v>
      </c>
    </row>
    <row r="108" spans="1:7" x14ac:dyDescent="0.35">
      <c r="A108" s="82">
        <v>46129.125</v>
      </c>
      <c r="B108" s="83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2">
        <v>77154</v>
      </c>
    </row>
    <row r="109" spans="1:7" x14ac:dyDescent="0.35">
      <c r="A109" s="82">
        <v>46130.125</v>
      </c>
      <c r="B109" s="83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2">
        <v>77072</v>
      </c>
    </row>
    <row r="110" spans="1:7" x14ac:dyDescent="0.35">
      <c r="A110" s="82">
        <v>46131.125</v>
      </c>
      <c r="B110" s="83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2">
        <v>75691</v>
      </c>
    </row>
    <row r="111" spans="1:7" x14ac:dyDescent="0.35">
      <c r="A111" s="82">
        <v>46132.125</v>
      </c>
      <c r="B111" s="83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90">
        <v>75965.25</v>
      </c>
    </row>
    <row r="112" spans="1:7" x14ac:dyDescent="0.35">
      <c r="A112" s="82">
        <v>46133.125</v>
      </c>
      <c r="B112" s="83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90">
        <v>75841</v>
      </c>
    </row>
    <row r="113" spans="1:7" x14ac:dyDescent="0.35">
      <c r="A113" s="82">
        <v>46134.125</v>
      </c>
      <c r="B113" s="83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2">
        <v>76336</v>
      </c>
    </row>
    <row r="114" spans="1:7" x14ac:dyDescent="0.35">
      <c r="A114" s="82">
        <v>46135.125</v>
      </c>
      <c r="B114" s="83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90">
        <v>78179</v>
      </c>
    </row>
    <row r="115" spans="1:7" x14ac:dyDescent="0.35">
      <c r="A115" s="82">
        <v>46136.125</v>
      </c>
      <c r="B115" s="83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90">
        <v>78257</v>
      </c>
    </row>
    <row r="116" spans="1:7" x14ac:dyDescent="0.35">
      <c r="A116" s="82">
        <v>46137.125</v>
      </c>
      <c r="B116" s="83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90">
        <v>77437</v>
      </c>
    </row>
    <row r="117" spans="1:7" x14ac:dyDescent="0.35">
      <c r="A117" s="82">
        <v>46138.125</v>
      </c>
      <c r="B117" s="83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90">
        <v>77625</v>
      </c>
    </row>
    <row r="118" spans="1:7" x14ac:dyDescent="0.35">
      <c r="A118" s="82">
        <v>46139.125</v>
      </c>
      <c r="B118" s="83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90">
        <v>78657</v>
      </c>
    </row>
    <row r="119" spans="1:7" x14ac:dyDescent="0.35">
      <c r="A119" s="82">
        <v>46140.125</v>
      </c>
      <c r="B119" s="83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90">
        <v>77372</v>
      </c>
    </row>
    <row r="120" spans="1:7" x14ac:dyDescent="0.35">
      <c r="A120" s="82">
        <v>46141.125</v>
      </c>
      <c r="B120" s="83">
        <v>2.9499999999999998E-2</v>
      </c>
      <c r="C120" s="23">
        <v>2.47E-2</v>
      </c>
      <c r="D120" s="23">
        <v>3.2500000000000001E-2</v>
      </c>
      <c r="E120" s="23">
        <v>3.1099999999999999E-2</v>
      </c>
      <c r="F120" s="23">
        <v>3.3300000000000003E-2</v>
      </c>
      <c r="G120" s="90">
        <v>76342</v>
      </c>
    </row>
    <row r="121" spans="1:7" x14ac:dyDescent="0.35">
      <c r="A121" s="82">
        <v>46142.125</v>
      </c>
      <c r="B121" s="83">
        <v>2.9499999999999998E-2</v>
      </c>
      <c r="C121" s="23">
        <v>2.47E-2</v>
      </c>
      <c r="D121" s="23">
        <v>3.2500000000000001E-2</v>
      </c>
      <c r="E121" s="23">
        <v>3.1099999999999999E-2</v>
      </c>
      <c r="F121" s="23">
        <v>3.5200000000000002E-2</v>
      </c>
      <c r="G121" s="90">
        <v>75780</v>
      </c>
    </row>
    <row r="122" spans="1:7" x14ac:dyDescent="0.35">
      <c r="A122" s="82">
        <v>46143</v>
      </c>
      <c r="B122" s="83">
        <v>2.9499999999999998E-2</v>
      </c>
      <c r="C122" s="23">
        <v>2.47E-2</v>
      </c>
      <c r="D122" s="23">
        <v>3.2500000000000001E-2</v>
      </c>
      <c r="E122" s="23">
        <v>3.1099999999999999E-2</v>
      </c>
      <c r="F122" s="23">
        <v>3.4099999999999998E-2</v>
      </c>
      <c r="G122" s="90">
        <v>76347</v>
      </c>
    </row>
    <row r="123" spans="1:7" x14ac:dyDescent="0.35">
      <c r="A123" s="82">
        <v>46144</v>
      </c>
      <c r="B123" s="83">
        <v>2.9499999999999998E-2</v>
      </c>
      <c r="C123" s="23">
        <v>2.47E-2</v>
      </c>
      <c r="D123" s="23">
        <v>3.2500000000000001E-2</v>
      </c>
      <c r="E123" s="23">
        <v>3.1099999999999999E-2</v>
      </c>
      <c r="F123" s="23">
        <v>3.4299999999999997E-2</v>
      </c>
      <c r="G123" s="90">
        <v>78232</v>
      </c>
    </row>
    <row r="124" spans="1:7" x14ac:dyDescent="0.35">
      <c r="A124" s="82">
        <v>46145</v>
      </c>
      <c r="B124" s="83">
        <v>2.9499999999999998E-2</v>
      </c>
      <c r="C124" s="23">
        <v>2.47E-2</v>
      </c>
      <c r="D124" s="23">
        <v>3.2500000000000001E-2</v>
      </c>
      <c r="E124" s="23">
        <v>3.1099999999999999E-2</v>
      </c>
      <c r="F124" s="23">
        <v>0.03</v>
      </c>
      <c r="G124" s="90">
        <v>78687</v>
      </c>
    </row>
    <row r="125" spans="1:7" x14ac:dyDescent="0.35">
      <c r="A125" s="82">
        <v>46146</v>
      </c>
      <c r="B125" s="83">
        <v>2.9499999999999998E-2</v>
      </c>
      <c r="C125" s="23">
        <v>2.47E-2</v>
      </c>
      <c r="D125" s="23">
        <v>3.2500000000000001E-2</v>
      </c>
      <c r="E125" s="23">
        <v>3.1099999999999999E-2</v>
      </c>
      <c r="F125" s="23">
        <v>3.2199999999999999E-2</v>
      </c>
      <c r="G125" s="90">
        <v>78569</v>
      </c>
    </row>
    <row r="126" spans="1:7" x14ac:dyDescent="0.35">
      <c r="A126" s="82">
        <v>46147</v>
      </c>
      <c r="B126" s="83">
        <v>2.9499999999999998E-2</v>
      </c>
      <c r="C126" s="23">
        <v>2.47E-2</v>
      </c>
      <c r="D126" s="23">
        <v>3.2500000000000001E-2</v>
      </c>
      <c r="E126" s="23">
        <v>3.1099999999999999E-2</v>
      </c>
      <c r="F126" s="23">
        <v>3.27E-2</v>
      </c>
      <c r="G126" s="90">
        <v>80905</v>
      </c>
    </row>
    <row r="127" spans="1:7" x14ac:dyDescent="0.35">
      <c r="A127" s="82">
        <v>46148</v>
      </c>
      <c r="B127" s="83">
        <v>2.9499999999999998E-2</v>
      </c>
      <c r="C127" s="23">
        <v>2.47E-2</v>
      </c>
      <c r="D127" s="23">
        <v>3.2500000000000001E-2</v>
      </c>
      <c r="E127" s="23">
        <v>3.1099999999999999E-2</v>
      </c>
      <c r="F127" s="23">
        <v>3.3500000000000002E-2</v>
      </c>
      <c r="G127" s="90">
        <v>81200</v>
      </c>
    </row>
    <row r="128" spans="1:7" x14ac:dyDescent="0.35">
      <c r="A128" s="82">
        <v>46149</v>
      </c>
      <c r="B128" s="83">
        <v>2.9499999999999998E-2</v>
      </c>
      <c r="C128" s="23">
        <v>2.47E-2</v>
      </c>
      <c r="D128" s="23">
        <v>3.2500000000000001E-2</v>
      </c>
      <c r="E128" s="23">
        <v>3.1099999999999999E-2</v>
      </c>
      <c r="F128" s="23">
        <v>3.3599999999999998E-2</v>
      </c>
      <c r="G128" s="90">
        <v>81448</v>
      </c>
    </row>
    <row r="129" spans="1:7" x14ac:dyDescent="0.35">
      <c r="A129" s="82">
        <v>46150</v>
      </c>
      <c r="B129" s="83">
        <v>2.9499999999999998E-2</v>
      </c>
      <c r="C129" s="23">
        <v>2.47E-2</v>
      </c>
      <c r="D129" s="23">
        <v>3.2500000000000001E-2</v>
      </c>
      <c r="E129" s="23">
        <v>3.1099999999999999E-2</v>
      </c>
      <c r="F129" s="23">
        <v>3.5000000000000003E-2</v>
      </c>
      <c r="G129" s="90">
        <v>80007</v>
      </c>
    </row>
    <row r="130" spans="1:7" x14ac:dyDescent="0.35">
      <c r="A130" s="82">
        <v>46151</v>
      </c>
      <c r="B130" s="83">
        <v>3.04E-2</v>
      </c>
      <c r="C130" s="23">
        <v>2.47E-2</v>
      </c>
      <c r="D130" s="23">
        <v>3.3399999999999999E-2</v>
      </c>
      <c r="E130" s="23">
        <v>3.1099999999999999E-2</v>
      </c>
      <c r="F130" s="23">
        <v>3.5099999999999999E-2</v>
      </c>
      <c r="G130" s="90">
        <v>82215</v>
      </c>
    </row>
    <row r="131" spans="1:7" x14ac:dyDescent="0.35">
      <c r="A131" s="82">
        <v>46152</v>
      </c>
      <c r="B131" s="83">
        <v>3.1399999999999997E-2</v>
      </c>
      <c r="C131" s="23">
        <v>2.47E-2</v>
      </c>
      <c r="D131" s="23">
        <v>3.39E-2</v>
      </c>
      <c r="E131" s="23">
        <v>3.1099999999999999E-2</v>
      </c>
      <c r="F131" s="23">
        <v>3.61E-2</v>
      </c>
      <c r="G131" s="90">
        <v>80678</v>
      </c>
    </row>
    <row r="132" spans="1:7" x14ac:dyDescent="0.35">
      <c r="A132" s="82">
        <v>46153</v>
      </c>
      <c r="B132" s="83">
        <v>3.3500000000000002E-2</v>
      </c>
      <c r="C132" s="23">
        <v>2.47E-2</v>
      </c>
      <c r="D132" s="23">
        <v>3.6200000000000003E-2</v>
      </c>
      <c r="E132" s="23">
        <v>3.1099999999999999E-2</v>
      </c>
      <c r="F132" s="23">
        <v>3.6499999999999998E-2</v>
      </c>
      <c r="G132" s="90">
        <v>82210</v>
      </c>
    </row>
    <row r="133" spans="1:7" x14ac:dyDescent="0.35">
      <c r="A133" s="82">
        <v>46154</v>
      </c>
      <c r="B133" s="83">
        <v>3.27E-2</v>
      </c>
      <c r="C133" s="23">
        <v>2.47E-2</v>
      </c>
      <c r="D133" s="23">
        <v>3.5999999999999997E-2</v>
      </c>
      <c r="E133" s="23">
        <v>4.19E-2</v>
      </c>
      <c r="F133" s="23">
        <v>3.9899999999999998E-2</v>
      </c>
      <c r="G133" s="90">
        <v>81745</v>
      </c>
    </row>
    <row r="134" spans="1:7" x14ac:dyDescent="0.35">
      <c r="A134" s="82">
        <v>46155</v>
      </c>
      <c r="B134" s="83">
        <v>3.3500000000000002E-2</v>
      </c>
      <c r="C134" s="23">
        <v>2.47E-2</v>
      </c>
      <c r="D134" s="23">
        <v>3.6799999999999999E-2</v>
      </c>
      <c r="E134" s="23">
        <v>4.3499999999999997E-2</v>
      </c>
      <c r="F134" s="23">
        <v>3.8600000000000002E-2</v>
      </c>
      <c r="G134" s="90">
        <v>80505</v>
      </c>
    </row>
    <row r="135" spans="1:7" x14ac:dyDescent="0.35">
      <c r="A135" s="82">
        <v>46156</v>
      </c>
      <c r="B135" s="83">
        <v>3.3500000000000002E-2</v>
      </c>
      <c r="C135" s="23">
        <v>2.47E-2</v>
      </c>
      <c r="D135" s="23">
        <v>3.6900000000000002E-2</v>
      </c>
      <c r="E135" s="23">
        <v>3.7199999999999997E-2</v>
      </c>
      <c r="F135" s="23">
        <v>4.0300000000000002E-2</v>
      </c>
      <c r="G135" s="90">
        <v>79315</v>
      </c>
    </row>
    <row r="136" spans="1:7" x14ac:dyDescent="0.35">
      <c r="A136" s="82">
        <v>46157</v>
      </c>
      <c r="B136" s="83">
        <v>3.2199999999999999E-2</v>
      </c>
      <c r="C136" s="23">
        <v>2.47E-2</v>
      </c>
      <c r="D136" s="23">
        <v>3.5499999999999997E-2</v>
      </c>
      <c r="E136" s="23">
        <v>3.4500000000000003E-2</v>
      </c>
      <c r="F136" s="23">
        <v>3.9899999999999998E-2</v>
      </c>
      <c r="G136" s="90">
        <v>81090</v>
      </c>
    </row>
    <row r="137" spans="1:7" x14ac:dyDescent="0.35">
      <c r="A137" s="82">
        <v>46158</v>
      </c>
      <c r="B137" s="83">
        <v>3.1600000000000003E-2</v>
      </c>
      <c r="C137" s="23">
        <v>2.47E-2</v>
      </c>
      <c r="D137" s="23">
        <v>3.4799999999999998E-2</v>
      </c>
      <c r="E137" s="23">
        <v>3.3300000000000003E-2</v>
      </c>
      <c r="F137" s="23">
        <v>4.0899999999999999E-2</v>
      </c>
      <c r="G137" s="90">
        <v>79114</v>
      </c>
    </row>
    <row r="138" spans="1:7" x14ac:dyDescent="0.35">
      <c r="A138" s="82">
        <v>46159</v>
      </c>
      <c r="B138" s="83">
        <v>3.0700000000000002E-2</v>
      </c>
      <c r="C138" s="23">
        <v>2.47E-2</v>
      </c>
      <c r="D138" s="23">
        <v>3.3799999999999997E-2</v>
      </c>
      <c r="E138" s="23">
        <v>3.3500000000000002E-2</v>
      </c>
      <c r="F138" s="23">
        <v>3.7600000000000001E-2</v>
      </c>
      <c r="G138" s="90">
        <v>78149</v>
      </c>
    </row>
    <row r="139" spans="1:7" x14ac:dyDescent="0.35">
      <c r="A139" s="82">
        <v>46160</v>
      </c>
      <c r="B139" s="83">
        <v>2.9899999999999999E-2</v>
      </c>
      <c r="C139" s="23">
        <v>2.47E-2</v>
      </c>
      <c r="D139" s="23">
        <v>3.2899999999999999E-2</v>
      </c>
      <c r="E139" s="23">
        <v>3.5200000000000002E-2</v>
      </c>
      <c r="F139" s="23">
        <v>3.6900000000000002E-2</v>
      </c>
      <c r="G139" s="90">
        <v>76751</v>
      </c>
    </row>
    <row r="140" spans="1:7" x14ac:dyDescent="0.35">
      <c r="A140" s="82">
        <v>46161</v>
      </c>
      <c r="B140" s="83">
        <v>3.2000000000000001E-2</v>
      </c>
      <c r="C140" s="23">
        <v>2.47E-2</v>
      </c>
      <c r="D140" s="23">
        <v>3.4700000000000002E-2</v>
      </c>
      <c r="E140" s="23">
        <v>3.4500000000000003E-2</v>
      </c>
      <c r="F140" s="23">
        <v>3.5400000000000001E-2</v>
      </c>
      <c r="G140" s="90">
        <v>77002</v>
      </c>
    </row>
    <row r="141" spans="1:7" x14ac:dyDescent="0.35">
      <c r="A141" s="82">
        <v>46162</v>
      </c>
      <c r="B141" s="83">
        <v>3.2000000000000001E-2</v>
      </c>
      <c r="C141" s="23">
        <v>2.47E-2</v>
      </c>
      <c r="D141" s="23">
        <v>3.5200000000000002E-2</v>
      </c>
      <c r="E141" s="23">
        <v>3.3700000000000001E-2</v>
      </c>
      <c r="F141" s="23">
        <v>3.85E-2</v>
      </c>
      <c r="G141" s="90">
        <v>76835</v>
      </c>
    </row>
    <row r="142" spans="1:7" x14ac:dyDescent="0.35">
      <c r="A142" s="82">
        <v>46163</v>
      </c>
      <c r="B142" s="83">
        <v>3.3700000000000001E-2</v>
      </c>
      <c r="C142" s="23">
        <v>2.47E-2</v>
      </c>
      <c r="D142" s="23">
        <v>3.7100000000000001E-2</v>
      </c>
      <c r="E142" s="23">
        <v>3.5400000000000001E-2</v>
      </c>
      <c r="F142" s="23">
        <v>3.8199999999999998E-2</v>
      </c>
      <c r="G142" s="90">
        <v>77553</v>
      </c>
    </row>
    <row r="143" spans="1:7" x14ac:dyDescent="0.35">
      <c r="A143" s="82">
        <v>46164</v>
      </c>
      <c r="B143" s="83">
        <v>3.3300000000000003E-2</v>
      </c>
      <c r="C143" s="23">
        <v>2.47E-2</v>
      </c>
      <c r="D143" s="23">
        <v>3.6700000000000003E-2</v>
      </c>
      <c r="E143" s="23">
        <v>3.5099999999999999E-2</v>
      </c>
      <c r="F143" s="23">
        <v>4.0399999999999998E-2</v>
      </c>
      <c r="G143" s="90">
        <v>77616</v>
      </c>
    </row>
    <row r="144" spans="1:7" x14ac:dyDescent="0.35">
      <c r="A144" s="82">
        <v>46165</v>
      </c>
      <c r="B144" s="83">
        <v>3.2800000000000003E-2</v>
      </c>
      <c r="C144" s="23">
        <v>2.47E-2</v>
      </c>
      <c r="D144" s="23">
        <v>3.61E-2</v>
      </c>
      <c r="E144" s="23">
        <v>3.5700000000000003E-2</v>
      </c>
      <c r="F144" s="23">
        <v>4.0599999999999997E-2</v>
      </c>
      <c r="G144" s="90">
        <v>75540</v>
      </c>
    </row>
    <row r="145" spans="1:7" x14ac:dyDescent="0.35">
      <c r="A145" s="82">
        <v>46166</v>
      </c>
      <c r="B145" s="83">
        <v>3.32E-2</v>
      </c>
      <c r="C145" s="23">
        <v>2.47E-2</v>
      </c>
      <c r="D145" s="23">
        <v>3.5900000000000001E-2</v>
      </c>
      <c r="E145" s="23">
        <v>3.5099999999999999E-2</v>
      </c>
      <c r="F145" s="23">
        <v>3.9600000000000003E-2</v>
      </c>
      <c r="G145" s="90">
        <v>76752</v>
      </c>
    </row>
    <row r="146" spans="1:7" x14ac:dyDescent="0.35">
      <c r="A146" s="82">
        <v>46167</v>
      </c>
      <c r="B146" s="83">
        <v>3.32E-2</v>
      </c>
      <c r="C146" s="23">
        <v>2.47E-2</v>
      </c>
      <c r="D146" s="23">
        <v>3.6600000000000001E-2</v>
      </c>
      <c r="E146" s="23">
        <v>3.5000000000000003E-2</v>
      </c>
      <c r="F146" s="23">
        <v>3.9600000000000003E-2</v>
      </c>
      <c r="G146" s="90">
        <v>77065</v>
      </c>
    </row>
    <row r="147" spans="1:7" x14ac:dyDescent="0.35">
      <c r="A147" s="82">
        <v>46168</v>
      </c>
      <c r="B147" s="83">
        <v>3.4599999999999999E-2</v>
      </c>
      <c r="C147" s="23">
        <v>2.47E-2</v>
      </c>
      <c r="D147" s="23">
        <v>3.7600000000000001E-2</v>
      </c>
      <c r="E147" s="23">
        <v>3.5900000000000001E-2</v>
      </c>
      <c r="F147" s="23">
        <v>4.0300000000000002E-2</v>
      </c>
      <c r="G147" s="90">
        <v>77323</v>
      </c>
    </row>
    <row r="148" spans="1:7" x14ac:dyDescent="0.35">
      <c r="A148" s="82">
        <v>46169</v>
      </c>
      <c r="B148" s="83">
        <v>3.5999999999999997E-2</v>
      </c>
      <c r="C148" s="23">
        <v>2.47E-2</v>
      </c>
      <c r="D148" s="23">
        <v>3.9E-2</v>
      </c>
      <c r="E148" s="23">
        <v>3.7199999999999997E-2</v>
      </c>
      <c r="F148" s="23">
        <v>4.2799999999999998E-2</v>
      </c>
      <c r="G148" s="90">
        <v>75931</v>
      </c>
    </row>
    <row r="149" spans="1:7" x14ac:dyDescent="0.35">
      <c r="A149" s="82">
        <v>46170</v>
      </c>
      <c r="B149" s="83">
        <v>3.6600000000000001E-2</v>
      </c>
      <c r="C149" s="23">
        <v>2.47E-2</v>
      </c>
      <c r="D149" s="23">
        <v>4.02E-2</v>
      </c>
      <c r="E149" s="23">
        <v>3.8399999999999997E-2</v>
      </c>
      <c r="F149" s="23">
        <v>4.4200000000000003E-2</v>
      </c>
      <c r="G149" s="90">
        <v>74450</v>
      </c>
    </row>
    <row r="150" spans="1:7" x14ac:dyDescent="0.35">
      <c r="A150" s="82">
        <v>46171</v>
      </c>
      <c r="B150" s="83">
        <v>3.7400000000000003E-2</v>
      </c>
      <c r="C150" s="23">
        <v>2.47E-2</v>
      </c>
      <c r="D150" s="23">
        <v>4.1099999999999998E-2</v>
      </c>
      <c r="E150" s="23">
        <v>3.9199999999999999E-2</v>
      </c>
      <c r="F150" s="23">
        <v>4.5400000000000003E-2</v>
      </c>
      <c r="G150" s="90">
        <v>73618</v>
      </c>
    </row>
    <row r="151" spans="1:7" x14ac:dyDescent="0.35">
      <c r="A151" s="82">
        <v>46172</v>
      </c>
      <c r="B151" s="83">
        <v>3.73E-2</v>
      </c>
      <c r="C151" s="23">
        <v>2.47E-2</v>
      </c>
      <c r="D151" s="23">
        <v>4.0599999999999997E-2</v>
      </c>
      <c r="E151" s="23">
        <v>3.8800000000000001E-2</v>
      </c>
      <c r="F151" s="23">
        <v>4.5499999999999999E-2</v>
      </c>
      <c r="G151" s="90">
        <v>73461</v>
      </c>
    </row>
    <row r="152" spans="1:7" x14ac:dyDescent="0.35">
      <c r="A152" s="82">
        <v>46173</v>
      </c>
      <c r="B152" s="83">
        <v>3.73E-2</v>
      </c>
      <c r="C152" s="23">
        <v>2.47E-2</v>
      </c>
      <c r="D152" s="23">
        <v>4.1099999999999998E-2</v>
      </c>
      <c r="E152" s="23">
        <v>3.9199999999999999E-2</v>
      </c>
      <c r="F152" s="23">
        <v>0.04</v>
      </c>
      <c r="G152" s="90">
        <v>73885</v>
      </c>
    </row>
    <row r="153" spans="1:7" x14ac:dyDescent="0.35">
      <c r="A153" s="82">
        <v>46174</v>
      </c>
      <c r="B153" s="83">
        <v>3.73E-2</v>
      </c>
      <c r="C153" s="23">
        <v>2.47E-2</v>
      </c>
      <c r="D153" s="23">
        <v>4.1099999999999998E-2</v>
      </c>
      <c r="E153" s="23">
        <v>3.9199999999999999E-2</v>
      </c>
      <c r="F153" s="23">
        <v>4.4999999999999998E-2</v>
      </c>
      <c r="G153" s="90">
        <v>73675</v>
      </c>
    </row>
    <row r="154" spans="1:7" x14ac:dyDescent="0.35">
      <c r="A154" s="82">
        <v>46175</v>
      </c>
      <c r="B154" s="83">
        <v>4.1799999999999997E-2</v>
      </c>
      <c r="C154" s="23">
        <v>2.47E-2</v>
      </c>
      <c r="D154" s="23">
        <v>4.5400000000000003E-2</v>
      </c>
      <c r="E154" s="23">
        <v>4.2900000000000001E-2</v>
      </c>
      <c r="F154" s="23">
        <v>4.6600000000000003E-2</v>
      </c>
      <c r="G154" s="90">
        <v>71408</v>
      </c>
    </row>
    <row r="155" spans="1:7" x14ac:dyDescent="0.35">
      <c r="A155" s="82">
        <v>46176</v>
      </c>
      <c r="B155" s="83">
        <v>4.2799999999999998E-2</v>
      </c>
      <c r="C155" s="23">
        <v>2.47E-2</v>
      </c>
      <c r="D155" s="23">
        <v>4.7E-2</v>
      </c>
      <c r="E155" s="23">
        <v>4.4900000000000002E-2</v>
      </c>
      <c r="F155" s="23">
        <v>5.2600000000000001E-2</v>
      </c>
      <c r="G155" s="90">
        <v>66761</v>
      </c>
    </row>
    <row r="156" spans="1:7" x14ac:dyDescent="0.35">
      <c r="A156" s="82">
        <v>46177</v>
      </c>
      <c r="B156" s="83">
        <v>4.0500000000000001E-2</v>
      </c>
      <c r="C156" s="23">
        <v>2.47E-2</v>
      </c>
      <c r="D156" s="23">
        <v>5.0200000000000002E-2</v>
      </c>
      <c r="E156" s="23">
        <v>4.8000000000000001E-2</v>
      </c>
      <c r="F156" s="23">
        <v>5.28E-2</v>
      </c>
      <c r="G156" s="90">
        <v>64143</v>
      </c>
    </row>
    <row r="157" spans="1:7" x14ac:dyDescent="0.35">
      <c r="A157" s="82">
        <v>46178</v>
      </c>
      <c r="B157" s="83">
        <v>4.0500000000000001E-2</v>
      </c>
      <c r="C157" s="23">
        <v>2.47E-2</v>
      </c>
      <c r="D157" s="23">
        <v>4.4600000000000001E-2</v>
      </c>
      <c r="E157" s="23">
        <v>4.2599999999999999E-2</v>
      </c>
      <c r="F157" s="23">
        <v>5.4800000000000001E-2</v>
      </c>
      <c r="G157" s="90">
        <v>63885</v>
      </c>
    </row>
    <row r="158" spans="1:7" x14ac:dyDescent="0.35">
      <c r="A158" s="82">
        <v>46179</v>
      </c>
      <c r="B158" s="83">
        <v>3.7900000000000003E-2</v>
      </c>
      <c r="C158" s="23">
        <v>2.47E-2</v>
      </c>
      <c r="D158" s="23">
        <v>4.24E-2</v>
      </c>
      <c r="E158" s="23">
        <v>4.0500000000000001E-2</v>
      </c>
      <c r="F158" s="23">
        <v>4.7E-2</v>
      </c>
      <c r="G158" s="90">
        <v>61057</v>
      </c>
    </row>
    <row r="159" spans="1:7" x14ac:dyDescent="0.35">
      <c r="A159" s="82">
        <v>46180</v>
      </c>
      <c r="B159" s="83">
        <v>3.6799999999999999E-2</v>
      </c>
      <c r="C159" s="23">
        <v>2.47E-2</v>
      </c>
      <c r="D159" s="23">
        <v>4.0500000000000001E-2</v>
      </c>
      <c r="E159" s="23">
        <v>3.8699999999999998E-2</v>
      </c>
      <c r="F159" s="23">
        <v>4.4999999999999998E-2</v>
      </c>
      <c r="G159" s="90">
        <v>60885</v>
      </c>
    </row>
    <row r="160" spans="1:7" x14ac:dyDescent="0.35">
      <c r="A160" s="82">
        <v>46181</v>
      </c>
      <c r="B160" s="83">
        <v>3.6299999999999999E-2</v>
      </c>
      <c r="C160" s="23">
        <v>2.47E-2</v>
      </c>
      <c r="D160" s="23">
        <v>3.9899999999999998E-2</v>
      </c>
      <c r="E160" s="23">
        <v>3.8100000000000002E-2</v>
      </c>
      <c r="F160" s="23">
        <v>4.3700000000000003E-2</v>
      </c>
      <c r="G160" s="90">
        <v>63332</v>
      </c>
    </row>
    <row r="161" spans="1:7" x14ac:dyDescent="0.35">
      <c r="A161" s="82">
        <v>46182</v>
      </c>
      <c r="B161" s="83">
        <v>3.6299999999999999E-2</v>
      </c>
      <c r="C161" s="23">
        <v>2.47E-2</v>
      </c>
      <c r="D161" s="23">
        <v>3.9899999999999998E-2</v>
      </c>
      <c r="E161" s="23">
        <v>3.8100000000000002E-2</v>
      </c>
      <c r="F161" s="23">
        <v>4.2700000000000002E-2</v>
      </c>
      <c r="G161" s="90">
        <v>61685</v>
      </c>
    </row>
    <row r="162" spans="1:7" x14ac:dyDescent="0.35">
      <c r="A162" s="82">
        <v>46183</v>
      </c>
      <c r="B162" s="83">
        <v>3.6700000000000003E-2</v>
      </c>
      <c r="C162" s="23">
        <v>2.47E-2</v>
      </c>
      <c r="D162" s="23">
        <v>4.0399999999999998E-2</v>
      </c>
      <c r="E162" s="23">
        <v>3.8600000000000002E-2</v>
      </c>
      <c r="F162" s="23">
        <v>4.3499999999999997E-2</v>
      </c>
      <c r="G162" s="90">
        <v>61509</v>
      </c>
    </row>
    <row r="163" spans="1:7" x14ac:dyDescent="0.35">
      <c r="A163" s="82">
        <v>46184</v>
      </c>
      <c r="B163" s="83">
        <v>3.6600000000000001E-2</v>
      </c>
      <c r="C163" s="23">
        <v>2.47E-2</v>
      </c>
      <c r="D163" s="23">
        <v>4.02E-2</v>
      </c>
      <c r="E163" s="23">
        <v>3.8399999999999997E-2</v>
      </c>
      <c r="F163" s="23">
        <v>4.4699999999999997E-2</v>
      </c>
      <c r="G163" s="90">
        <v>63612</v>
      </c>
    </row>
    <row r="164" spans="1:7" x14ac:dyDescent="0.35">
      <c r="A164" s="82">
        <v>46185</v>
      </c>
      <c r="B164" s="83">
        <v>3.5900000000000001E-2</v>
      </c>
      <c r="C164" s="23">
        <v>2.47E-2</v>
      </c>
      <c r="D164" s="23">
        <v>3.95E-2</v>
      </c>
      <c r="E164" s="23">
        <v>3.78E-2</v>
      </c>
      <c r="F164" s="23">
        <v>4.3700000000000003E-2</v>
      </c>
      <c r="G164" s="90">
        <v>63626</v>
      </c>
    </row>
    <row r="165" spans="1:7" x14ac:dyDescent="0.35">
      <c r="A165" s="82">
        <v>46186</v>
      </c>
      <c r="B165" s="83">
        <v>3.5400000000000001E-2</v>
      </c>
      <c r="C165" s="23">
        <v>2.47E-2</v>
      </c>
      <c r="D165" s="23">
        <v>3.9E-2</v>
      </c>
      <c r="E165" s="23">
        <v>3.7199999999999997E-2</v>
      </c>
      <c r="F165" s="23">
        <v>4.0500000000000001E-2</v>
      </c>
      <c r="G165" s="90">
        <v>63580</v>
      </c>
    </row>
    <row r="166" spans="1:7" x14ac:dyDescent="0.35">
      <c r="A166" s="82">
        <v>46187</v>
      </c>
      <c r="B166" s="83">
        <v>3.3799999999999997E-2</v>
      </c>
      <c r="C166" s="23">
        <v>2.47E-2</v>
      </c>
      <c r="D166" s="23">
        <v>3.7199999999999997E-2</v>
      </c>
      <c r="E166" s="23">
        <v>3.56E-2</v>
      </c>
      <c r="F166" s="23">
        <v>4.1399999999999999E-2</v>
      </c>
      <c r="G166" s="90">
        <v>64459</v>
      </c>
    </row>
    <row r="167" spans="1:7" x14ac:dyDescent="0.35">
      <c r="A167" s="82">
        <v>46188</v>
      </c>
      <c r="B167" s="83">
        <v>3.4299999999999997E-2</v>
      </c>
      <c r="C167" s="23">
        <v>2.47E-2</v>
      </c>
      <c r="D167" s="23">
        <v>3.73E-2</v>
      </c>
      <c r="E167" s="23">
        <v>3.5700000000000003E-2</v>
      </c>
      <c r="F167" s="23">
        <v>4.1000000000000002E-2</v>
      </c>
      <c r="G167" s="90">
        <v>66515</v>
      </c>
    </row>
    <row r="168" spans="1:7" x14ac:dyDescent="0.35">
      <c r="A168" s="82">
        <v>46189</v>
      </c>
      <c r="B168" s="83">
        <v>3.4299999999999997E-2</v>
      </c>
      <c r="C168" s="23">
        <v>2.47E-2</v>
      </c>
      <c r="D168" s="23">
        <v>3.6600000000000001E-2</v>
      </c>
      <c r="E168" s="23">
        <v>3.5000000000000003E-2</v>
      </c>
      <c r="F168" s="23">
        <v>4.2299999999999997E-2</v>
      </c>
      <c r="G168" s="90">
        <v>66328</v>
      </c>
    </row>
    <row r="169" spans="1:7" x14ac:dyDescent="0.35">
      <c r="A169" s="82">
        <v>46190</v>
      </c>
      <c r="B169" s="83">
        <v>3.3399999999999999E-2</v>
      </c>
      <c r="C169" s="23">
        <v>2.47E-2</v>
      </c>
      <c r="D169" s="23">
        <v>3.6700000000000003E-2</v>
      </c>
      <c r="E169" s="23">
        <v>3.5099999999999999E-2</v>
      </c>
      <c r="F169" s="23">
        <v>4.41E-2</v>
      </c>
      <c r="G169" s="90">
        <v>65676</v>
      </c>
    </row>
    <row r="170" spans="1:7" x14ac:dyDescent="0.35">
      <c r="A170" s="82">
        <v>46191</v>
      </c>
      <c r="B170" s="83">
        <v>3.2899999999999999E-2</v>
      </c>
      <c r="C170" s="23">
        <v>2.47E-2</v>
      </c>
      <c r="D170" s="23">
        <v>3.6200000000000003E-2</v>
      </c>
      <c r="E170" s="23">
        <v>3.4599999999999999E-2</v>
      </c>
      <c r="F170" s="23">
        <v>4.2599999999999999E-2</v>
      </c>
      <c r="G170" s="90">
        <v>64510</v>
      </c>
    </row>
    <row r="171" spans="1:7" x14ac:dyDescent="0.35">
      <c r="A171" s="82">
        <v>46192</v>
      </c>
      <c r="B171" s="83">
        <v>3.1800000000000002E-2</v>
      </c>
      <c r="C171" s="23">
        <v>2.47E-2</v>
      </c>
      <c r="D171" s="23">
        <v>3.5000000000000003E-2</v>
      </c>
      <c r="E171" s="23">
        <v>3.3500000000000002E-2</v>
      </c>
      <c r="F171" s="23">
        <v>4.5400000000000003E-2</v>
      </c>
      <c r="G171" s="90">
        <v>62960</v>
      </c>
    </row>
    <row r="172" spans="1:7" x14ac:dyDescent="0.35">
      <c r="A172" s="82">
        <v>46193</v>
      </c>
      <c r="B172" s="83">
        <v>3.0800000000000001E-2</v>
      </c>
      <c r="C172" s="23">
        <v>2.47E-2</v>
      </c>
      <c r="D172" s="23">
        <v>3.39E-2</v>
      </c>
      <c r="E172" s="23">
        <v>3.2399999999999998E-2</v>
      </c>
      <c r="F172" s="23">
        <v>3.9300000000000002E-2</v>
      </c>
      <c r="G172" s="90">
        <v>63544</v>
      </c>
    </row>
    <row r="173" spans="1:7" x14ac:dyDescent="0.35">
      <c r="A173" s="82">
        <v>46194</v>
      </c>
      <c r="B173" s="83">
        <v>3.1300000000000001E-2</v>
      </c>
      <c r="C173" s="23">
        <v>2.47E-2</v>
      </c>
      <c r="D173" s="23">
        <v>3.44E-2</v>
      </c>
      <c r="E173" s="23">
        <v>3.2800000000000003E-2</v>
      </c>
      <c r="F173" s="23">
        <v>3.6499999999999998E-2</v>
      </c>
      <c r="G173" s="90">
        <v>64298</v>
      </c>
    </row>
    <row r="174" spans="1:7" x14ac:dyDescent="0.35">
      <c r="A174" s="82">
        <v>46195</v>
      </c>
      <c r="B174" s="83">
        <v>3.1300000000000001E-2</v>
      </c>
      <c r="C174" s="23">
        <v>2.47E-2</v>
      </c>
      <c r="D174" s="23">
        <v>3.4000000000000002E-2</v>
      </c>
      <c r="E174" s="23">
        <v>3.2500000000000001E-2</v>
      </c>
      <c r="F174" s="23">
        <v>6.13E-2</v>
      </c>
      <c r="G174" s="90">
        <v>63313</v>
      </c>
    </row>
    <row r="175" spans="1:7" x14ac:dyDescent="0.35">
      <c r="A175" s="82">
        <v>46196</v>
      </c>
      <c r="B175" s="83">
        <v>3.27E-2</v>
      </c>
      <c r="C175" s="23">
        <v>2.47E-2</v>
      </c>
      <c r="D175" s="23">
        <v>3.5999999999999997E-2</v>
      </c>
      <c r="E175" s="23">
        <v>3.4500000000000003E-2</v>
      </c>
      <c r="F175" s="23">
        <v>5.7099999999999998E-2</v>
      </c>
      <c r="G175" s="90">
        <v>64021</v>
      </c>
    </row>
    <row r="176" spans="1:7" x14ac:dyDescent="0.35">
      <c r="A176" s="82">
        <v>46197</v>
      </c>
      <c r="B176" s="83">
        <v>3.2800000000000003E-2</v>
      </c>
      <c r="C176" s="23">
        <v>2.47E-2</v>
      </c>
      <c r="D176" s="23">
        <v>3.61E-2</v>
      </c>
      <c r="E176" s="23">
        <v>3.4500000000000003E-2</v>
      </c>
      <c r="F176" s="23">
        <v>6.1899999999999997E-2</v>
      </c>
      <c r="G176" s="90">
        <v>62735</v>
      </c>
    </row>
    <row r="177" spans="1:7" x14ac:dyDescent="0.35">
      <c r="A177" s="82">
        <v>46198</v>
      </c>
      <c r="B177" s="83">
        <v>3.2800000000000003E-2</v>
      </c>
      <c r="C177" s="23">
        <v>2.47E-2</v>
      </c>
      <c r="D177" s="23">
        <v>3.6200000000000003E-2</v>
      </c>
      <c r="E177" s="23">
        <v>3.4599999999999999E-2</v>
      </c>
      <c r="F177" s="23">
        <v>6.0499999999999998E-2</v>
      </c>
      <c r="G177" s="90">
        <v>61079</v>
      </c>
    </row>
    <row r="178" spans="1:7" x14ac:dyDescent="0.35">
      <c r="A178" s="82">
        <v>46199</v>
      </c>
      <c r="B178" s="83">
        <v>3.3099999999999997E-2</v>
      </c>
      <c r="C178" s="23">
        <v>2.47E-2</v>
      </c>
      <c r="D178" s="23">
        <v>3.6400000000000002E-2</v>
      </c>
      <c r="E178" s="23">
        <v>3.4700000000000002E-2</v>
      </c>
      <c r="F178" s="23">
        <v>6.1899999999999997E-2</v>
      </c>
      <c r="G178" s="90">
        <v>59795</v>
      </c>
    </row>
    <row r="179" spans="1:7" x14ac:dyDescent="0.35">
      <c r="A179" s="82">
        <v>46200</v>
      </c>
      <c r="B179" s="83">
        <v>3.3300000000000003E-2</v>
      </c>
      <c r="C179" s="23">
        <v>2.47E-2</v>
      </c>
      <c r="D179" s="23">
        <v>3.6600000000000001E-2</v>
      </c>
      <c r="E179" s="23">
        <v>3.5000000000000003E-2</v>
      </c>
      <c r="F179" s="23">
        <v>6.2199999999999998E-2</v>
      </c>
      <c r="G179" s="90">
        <v>60098</v>
      </c>
    </row>
    <row r="180" spans="1:7" x14ac:dyDescent="0.35">
      <c r="A180" s="82">
        <v>46201</v>
      </c>
      <c r="B180" s="83">
        <v>3.2599999999999997E-2</v>
      </c>
      <c r="C180" s="23">
        <v>2.47E-2</v>
      </c>
      <c r="D180" s="23">
        <v>3.5799999999999998E-2</v>
      </c>
      <c r="E180" s="23">
        <v>3.4299999999999997E-2</v>
      </c>
      <c r="F180" s="23">
        <v>6.2100000000000002E-2</v>
      </c>
      <c r="G180" s="90">
        <v>59578</v>
      </c>
    </row>
    <row r="181" spans="1:7" x14ac:dyDescent="0.35">
      <c r="A181" s="82">
        <v>46202</v>
      </c>
      <c r="B181" s="83">
        <v>3.2599999999999997E-2</v>
      </c>
      <c r="C181" s="23">
        <v>2.47E-2</v>
      </c>
      <c r="D181" s="23">
        <v>3.5700000000000003E-2</v>
      </c>
      <c r="E181" s="23">
        <v>3.4200000000000001E-2</v>
      </c>
      <c r="F181" s="23">
        <v>6.1600000000000002E-2</v>
      </c>
      <c r="G181" s="90">
        <v>60030</v>
      </c>
    </row>
    <row r="182" spans="1:7" x14ac:dyDescent="0.35">
      <c r="A182" s="82">
        <v>46203</v>
      </c>
      <c r="B182" s="83">
        <v>3.5400000000000001E-2</v>
      </c>
      <c r="C182" s="23">
        <v>2.47E-2</v>
      </c>
      <c r="D182" s="23">
        <v>3.8600000000000002E-2</v>
      </c>
      <c r="E182" s="23">
        <v>3.6799999999999999E-2</v>
      </c>
      <c r="F182" s="23">
        <v>5.0599999999999999E-2</v>
      </c>
      <c r="G182" s="90">
        <v>60261</v>
      </c>
    </row>
    <row r="183" spans="1:7" x14ac:dyDescent="0.35">
      <c r="A183" s="82">
        <v>46204</v>
      </c>
      <c r="B183" s="83">
        <v>3.5700000000000003E-2</v>
      </c>
      <c r="C183" s="23">
        <v>2.47E-2</v>
      </c>
      <c r="D183" s="23">
        <v>3.8800000000000001E-2</v>
      </c>
      <c r="E183" s="23">
        <v>3.7100000000000001E-2</v>
      </c>
      <c r="F183" s="23">
        <v>5.57E-2</v>
      </c>
      <c r="G183" s="90">
        <v>58625</v>
      </c>
    </row>
    <row r="184" spans="1:7" x14ac:dyDescent="0.35">
      <c r="A184" s="82">
        <v>46205</v>
      </c>
      <c r="B184" s="83">
        <v>3.6700000000000003E-2</v>
      </c>
      <c r="C184" s="23">
        <v>2.47E-2</v>
      </c>
      <c r="D184" s="23">
        <v>3.95E-2</v>
      </c>
      <c r="E184" s="23">
        <v>3.78E-2</v>
      </c>
      <c r="F184" s="23">
        <v>4.1700000000000001E-2</v>
      </c>
      <c r="G184" s="90">
        <v>60025</v>
      </c>
    </row>
    <row r="185" spans="1:7" x14ac:dyDescent="0.35">
      <c r="A185" s="82">
        <v>46206</v>
      </c>
      <c r="B185" s="83">
        <v>3.6999999999999998E-2</v>
      </c>
      <c r="C185" s="23">
        <v>2.47E-2</v>
      </c>
      <c r="D185" s="23">
        <v>4.07E-2</v>
      </c>
      <c r="E185" s="23">
        <v>3.8899999999999997E-2</v>
      </c>
      <c r="F185" s="23">
        <v>4.3200000000000002E-2</v>
      </c>
      <c r="G185" s="90">
        <v>61561</v>
      </c>
    </row>
    <row r="186" spans="1:7" x14ac:dyDescent="0.35">
      <c r="A186" s="82">
        <v>46207</v>
      </c>
      <c r="B186" s="83">
        <v>3.6200000000000003E-2</v>
      </c>
      <c r="C186" s="23">
        <v>2.47E-2</v>
      </c>
      <c r="D186" s="23">
        <v>3.9899999999999998E-2</v>
      </c>
      <c r="E186" s="23">
        <v>3.8100000000000002E-2</v>
      </c>
      <c r="F186" s="23">
        <v>4.24E-2</v>
      </c>
      <c r="G186" s="90">
        <v>62584</v>
      </c>
    </row>
    <row r="187" spans="1:7" x14ac:dyDescent="0.35">
      <c r="A187" s="82">
        <v>46208</v>
      </c>
      <c r="B187" s="83">
        <v>3.6900000000000002E-2</v>
      </c>
      <c r="C187" s="23">
        <v>2.47E-2</v>
      </c>
      <c r="D187" s="23">
        <v>4.0099999999999997E-2</v>
      </c>
      <c r="E187" s="23">
        <v>3.8399999999999997E-2</v>
      </c>
      <c r="F187" s="23">
        <v>4.3499999999999997E-2</v>
      </c>
      <c r="G187" s="90">
        <v>63145</v>
      </c>
    </row>
    <row r="188" spans="1:7" x14ac:dyDescent="0.35">
      <c r="A188" s="82">
        <v>46209</v>
      </c>
      <c r="B188" s="83">
        <v>3.6299999999999999E-2</v>
      </c>
      <c r="C188" s="23">
        <v>2.47E-2</v>
      </c>
      <c r="D188" s="23">
        <v>3.9899999999999998E-2</v>
      </c>
      <c r="E188" s="23">
        <v>3.8100000000000002E-2</v>
      </c>
      <c r="F188" s="23">
        <v>4.3700000000000003E-2</v>
      </c>
      <c r="G188" s="90">
        <v>63651</v>
      </c>
    </row>
    <row r="189" spans="1:7" x14ac:dyDescent="0.35">
      <c r="A189" s="82">
        <v>46210</v>
      </c>
      <c r="B189" s="83">
        <v>3.7499999999999999E-2</v>
      </c>
      <c r="C189" s="23">
        <v>2.47E-2</v>
      </c>
      <c r="D189" s="23">
        <v>4.1300000000000003E-2</v>
      </c>
      <c r="E189" s="23">
        <v>3.95E-2</v>
      </c>
      <c r="F189" s="23">
        <v>4.4999999999999998E-2</v>
      </c>
      <c r="G189" s="90">
        <v>63331</v>
      </c>
    </row>
    <row r="190" spans="1:7" x14ac:dyDescent="0.35">
      <c r="A190" s="82">
        <v>46211</v>
      </c>
      <c r="B190" s="83">
        <v>3.8100000000000002E-2</v>
      </c>
      <c r="C190" s="23">
        <v>2.47E-2</v>
      </c>
      <c r="D190" s="23">
        <v>4.19E-2</v>
      </c>
      <c r="E190" s="23">
        <v>4.0099999999999997E-2</v>
      </c>
      <c r="F190" s="23">
        <v>4.5499999999999999E-2</v>
      </c>
      <c r="G190" s="90">
        <v>63365</v>
      </c>
    </row>
    <row r="191" spans="1:7" x14ac:dyDescent="0.35">
      <c r="A191" s="82">
        <v>46212</v>
      </c>
      <c r="B191" s="83">
        <v>3.7100000000000001E-2</v>
      </c>
      <c r="C191" s="23">
        <v>2.47E-2</v>
      </c>
      <c r="D191" s="23">
        <v>4.0800000000000003E-2</v>
      </c>
      <c r="E191" s="23">
        <v>3.8899999999999997E-2</v>
      </c>
      <c r="F191" s="23">
        <v>4.5499999999999999E-2</v>
      </c>
      <c r="G191" s="90"/>
    </row>
    <row r="192" spans="1:7" x14ac:dyDescent="0.35">
      <c r="A192" s="82">
        <v>46213</v>
      </c>
      <c r="B192" s="83"/>
      <c r="C192" s="23"/>
      <c r="D192" s="23"/>
      <c r="E192" s="23"/>
      <c r="F192" s="23"/>
      <c r="G192" s="90"/>
    </row>
    <row r="193" spans="1:7" x14ac:dyDescent="0.35">
      <c r="A193" s="82">
        <v>46214</v>
      </c>
      <c r="B193" s="83"/>
      <c r="C193" s="23"/>
      <c r="D193" s="23"/>
      <c r="E193" s="23"/>
      <c r="F193" s="23"/>
      <c r="G193" s="90"/>
    </row>
    <row r="194" spans="1:7" x14ac:dyDescent="0.35">
      <c r="A194" s="80"/>
      <c r="B194" s="80"/>
    </row>
    <row r="195" spans="1:7" x14ac:dyDescent="0.35">
      <c r="A195" s="80"/>
      <c r="B195" s="80"/>
    </row>
    <row r="196" spans="1:7" x14ac:dyDescent="0.35">
      <c r="A196" s="80"/>
      <c r="B196" s="80"/>
    </row>
    <row r="197" spans="1:7" x14ac:dyDescent="0.35">
      <c r="A197" s="80"/>
      <c r="B197" s="80"/>
    </row>
    <row r="198" spans="1:7" x14ac:dyDescent="0.35">
      <c r="A198" s="80"/>
      <c r="B198" s="80"/>
    </row>
    <row r="199" spans="1:7" x14ac:dyDescent="0.35">
      <c r="A199" s="80"/>
      <c r="B199" s="80"/>
    </row>
    <row r="200" spans="1:7" x14ac:dyDescent="0.35">
      <c r="A200" s="80"/>
      <c r="B200" s="80"/>
    </row>
    <row r="201" spans="1:7" x14ac:dyDescent="0.35">
      <c r="A201" s="80"/>
      <c r="B201" s="80"/>
    </row>
    <row r="202" spans="1:7" x14ac:dyDescent="0.35">
      <c r="A202" s="80"/>
      <c r="B202" s="80"/>
    </row>
    <row r="203" spans="1:7" x14ac:dyDescent="0.35">
      <c r="A203" s="80"/>
      <c r="B203" s="80"/>
    </row>
    <row r="204" spans="1:7" x14ac:dyDescent="0.35">
      <c r="A204" s="80"/>
      <c r="B204" s="80"/>
    </row>
    <row r="205" spans="1:7" x14ac:dyDescent="0.35">
      <c r="A205" s="80"/>
      <c r="B205" s="80"/>
    </row>
    <row r="206" spans="1:7" x14ac:dyDescent="0.35">
      <c r="A206" s="80"/>
      <c r="B206" s="80"/>
    </row>
    <row r="207" spans="1:7" x14ac:dyDescent="0.35">
      <c r="A207" s="80"/>
      <c r="B207" s="80"/>
    </row>
    <row r="208" spans="1:7" x14ac:dyDescent="0.35">
      <c r="A208" s="80"/>
      <c r="B208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118" zoomScale="96" zoomScaleNormal="96" workbookViewId="0">
      <selection activeCell="AT139" sqref="AT139:AZ139"/>
    </sheetView>
  </sheetViews>
  <sheetFormatPr defaultColWidth="8.54296875" defaultRowHeight="14.5" x14ac:dyDescent="0.35"/>
  <cols>
    <col min="1" max="1" width="10.54296875" bestFit="1" customWidth="1"/>
    <col min="2" max="6" width="4.453125" bestFit="1" customWidth="1"/>
    <col min="7" max="7" width="5.453125" bestFit="1" customWidth="1"/>
    <col min="8" max="8" width="7.1796875" bestFit="1" customWidth="1"/>
    <col min="9" max="9" width="10.54296875" bestFit="1" customWidth="1"/>
    <col min="10" max="10" width="4.1796875" bestFit="1" customWidth="1"/>
    <col min="11" max="14" width="4.453125" bestFit="1" customWidth="1"/>
    <col min="15" max="15" width="5.453125" bestFit="1" customWidth="1"/>
    <col min="16" max="16" width="7.90625" bestFit="1" customWidth="1"/>
    <col min="19" max="19" width="10.54296875" bestFit="1" customWidth="1"/>
    <col min="20" max="20" width="4.1796875" bestFit="1" customWidth="1"/>
    <col min="21" max="23" width="4.453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453125" bestFit="1" customWidth="1"/>
    <col min="33" max="33" width="5.453125" bestFit="1" customWidth="1"/>
    <col min="34" max="34" width="7.1796875" bestFit="1" customWidth="1"/>
    <col min="37" max="37" width="10.54296875" bestFit="1" customWidth="1"/>
    <col min="38" max="40" width="6.1796875" bestFit="1" customWidth="1"/>
    <col min="41" max="41" width="5.81640625" bestFit="1" customWidth="1"/>
    <col min="42" max="43" width="6.1796875" bestFit="1" customWidth="1"/>
    <col min="44" max="44" width="7.17968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1" width="6.179687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90625" bestFit="1" customWidth="1"/>
    <col min="58" max="58" width="6.1796875" bestFit="1" customWidth="1"/>
    <col min="59" max="60" width="4.453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453125" bestFit="1" customWidth="1"/>
    <col min="66" max="66" width="7.81640625" bestFit="1" customWidth="1"/>
    <col min="67" max="68" width="4.453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4" t="s">
        <v>12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S1" s="94" t="s">
        <v>15</v>
      </c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6"/>
      <c r="AK1" s="94" t="s">
        <v>16</v>
      </c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6"/>
      <c r="BC1" s="94" t="s">
        <v>17</v>
      </c>
      <c r="BD1" s="95"/>
      <c r="BE1" s="95"/>
      <c r="BF1" s="95"/>
      <c r="BG1" s="95"/>
      <c r="BH1" s="95"/>
      <c r="BI1" s="95"/>
      <c r="BJ1" s="95"/>
      <c r="BK1" s="95"/>
      <c r="BL1" s="95"/>
      <c r="BM1" s="95"/>
      <c r="BN1" s="95"/>
      <c r="BO1" s="95"/>
      <c r="BP1" s="95"/>
      <c r="BQ1" s="95"/>
      <c r="BR1" s="96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130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6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6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6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6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6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6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6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6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6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6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6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6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6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6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6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>
        <v>2.9899999999999999E-2</v>
      </c>
      <c r="Q68" s="86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>
        <v>2.5000000000000001E-2</v>
      </c>
      <c r="AI68" s="13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4">
        <v>2.7E-2</v>
      </c>
      <c r="AU68" s="14">
        <v>2.7400000000000001E-2</v>
      </c>
      <c r="AV68" s="14">
        <v>3.0499999999999999E-2</v>
      </c>
      <c r="AW68" s="14">
        <v>4.4400000000000002E-2</v>
      </c>
      <c r="AX68" s="14">
        <v>5.7799999999999997E-2</v>
      </c>
      <c r="AY68" s="14">
        <v>5.5E-2</v>
      </c>
      <c r="AZ68" s="14">
        <v>3.2899999999999999E-2</v>
      </c>
      <c r="BA68" s="13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8">
        <v>3.61E-2</v>
      </c>
      <c r="BM68" s="1"/>
      <c r="BN68" s="58">
        <v>5.5100000000000003E-2</v>
      </c>
      <c r="BO68" s="1"/>
      <c r="BP68" s="1"/>
      <c r="BQ68" s="1"/>
      <c r="BR68" s="58">
        <v>3.0200000000000001E-2</v>
      </c>
      <c r="BS68" s="13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>
        <v>2.92E-2</v>
      </c>
      <c r="Q69" s="86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>
        <v>2.5000000000000001E-2</v>
      </c>
      <c r="AI69" s="13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4">
        <v>2.6499999999999999E-2</v>
      </c>
      <c r="AU69" s="14">
        <v>2.7E-2</v>
      </c>
      <c r="AV69" s="14">
        <v>2.9499999999999998E-2</v>
      </c>
      <c r="AW69" s="14">
        <v>4.3999999999999997E-2</v>
      </c>
      <c r="AX69" s="14">
        <v>5.7599999999999998E-2</v>
      </c>
      <c r="AY69" s="14">
        <v>3.2000000000000001E-2</v>
      </c>
      <c r="AZ69" s="14">
        <v>3.2899999999999999E-2</v>
      </c>
      <c r="BA69" s="13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8">
        <v>3.5400000000000001E-2</v>
      </c>
      <c r="BM69" s="1"/>
      <c r="BN69" s="58">
        <v>5.5100000000000003E-2</v>
      </c>
      <c r="BO69" s="1"/>
      <c r="BP69" s="1"/>
      <c r="BQ69" s="1"/>
      <c r="BR69" s="58">
        <v>2.9499999999999998E-2</v>
      </c>
      <c r="BS69" s="13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>
        <v>2.9700000000000001E-2</v>
      </c>
      <c r="Q70" s="86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>
        <v>2.5000000000000001E-2</v>
      </c>
      <c r="AI70" s="13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4">
        <v>2.6800000000000001E-2</v>
      </c>
      <c r="AU70" s="14">
        <v>2.7400000000000001E-2</v>
      </c>
      <c r="AV70" s="14">
        <v>2.8000000000000001E-2</v>
      </c>
      <c r="AW70" s="14">
        <v>4.3900000000000002E-2</v>
      </c>
      <c r="AX70" s="14">
        <v>5.3900000000000003E-2</v>
      </c>
      <c r="AY70" s="14">
        <v>0.05</v>
      </c>
      <c r="AZ70" s="14">
        <v>3.2899999999999999E-2</v>
      </c>
      <c r="BA70" s="13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8">
        <v>3.49E-2</v>
      </c>
      <c r="BM70" s="1"/>
      <c r="BN70" s="58">
        <v>5.5100000000000003E-2</v>
      </c>
      <c r="BO70" s="1"/>
      <c r="BP70" s="1"/>
      <c r="BQ70" s="1"/>
      <c r="BR70" s="58">
        <v>2.98E-2</v>
      </c>
      <c r="BS70" s="13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>
        <v>2.8299999999999999E-2</v>
      </c>
      <c r="Q71" s="86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>
        <v>2.5000000000000001E-2</v>
      </c>
      <c r="AI71" s="13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4">
        <v>2.6800000000000001E-2</v>
      </c>
      <c r="AU71" s="14">
        <v>2.75E-2</v>
      </c>
      <c r="AV71" s="14">
        <v>2.8000000000000001E-2</v>
      </c>
      <c r="AW71" s="14">
        <v>4.3900000000000002E-2</v>
      </c>
      <c r="AX71" s="14">
        <v>5.3900000000000003E-2</v>
      </c>
      <c r="AY71" s="14">
        <v>0.05</v>
      </c>
      <c r="AZ71" s="14">
        <v>3.2899999999999999E-2</v>
      </c>
      <c r="BA71" s="13">
        <f t="shared" ref="BA71:BA132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8">
        <v>3.49E-2</v>
      </c>
      <c r="BM71" s="1"/>
      <c r="BN71" s="58">
        <v>5.5100000000000003E-2</v>
      </c>
      <c r="BO71" s="1"/>
      <c r="BP71" s="1"/>
      <c r="BQ71" s="1"/>
      <c r="BR71" s="58">
        <v>2.8299999999999999E-2</v>
      </c>
      <c r="BS71" s="13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>
        <v>2.81E-2</v>
      </c>
      <c r="Q72" s="86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>
        <v>2.5000000000000001E-2</v>
      </c>
      <c r="AI72" s="13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4">
        <v>2.6499999999999999E-2</v>
      </c>
      <c r="AU72" s="14">
        <v>2.75E-2</v>
      </c>
      <c r="AV72" s="14">
        <v>2.8000000000000001E-2</v>
      </c>
      <c r="AW72" s="14">
        <v>4.3900000000000002E-2</v>
      </c>
      <c r="AX72" s="14">
        <v>5.3900000000000003E-2</v>
      </c>
      <c r="AY72" s="14">
        <v>0.05</v>
      </c>
      <c r="AZ72" s="14">
        <v>3.2899999999999999E-2</v>
      </c>
      <c r="BA72" s="13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8">
        <v>3.49E-2</v>
      </c>
      <c r="BM72" s="1"/>
      <c r="BN72" s="58">
        <v>5.5100000000000003E-2</v>
      </c>
      <c r="BO72" s="1"/>
      <c r="BP72" s="1"/>
      <c r="BQ72" s="1"/>
      <c r="BR72" s="58">
        <v>2.7300000000000001E-2</v>
      </c>
      <c r="BS72" s="13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>
        <v>2.86E-2</v>
      </c>
      <c r="Q73" s="86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>
        <v>2.5000000000000001E-2</v>
      </c>
      <c r="AI73" s="13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4">
        <v>2.6800000000000001E-2</v>
      </c>
      <c r="AU73" s="14">
        <v>2.75E-2</v>
      </c>
      <c r="AV73" s="14">
        <v>2.8000000000000001E-2</v>
      </c>
      <c r="AW73" s="14">
        <v>4.3900000000000002E-2</v>
      </c>
      <c r="AX73" s="14">
        <v>5.3900000000000003E-2</v>
      </c>
      <c r="AY73" s="14">
        <v>0.05</v>
      </c>
      <c r="AZ73" s="14">
        <v>3.2899999999999999E-2</v>
      </c>
      <c r="BA73" s="13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8">
        <v>3.49E-2</v>
      </c>
      <c r="BM73" s="1"/>
      <c r="BN73" s="58">
        <v>5.5100000000000003E-2</v>
      </c>
      <c r="BO73" s="1"/>
      <c r="BP73" s="1"/>
      <c r="BQ73" s="1"/>
      <c r="BR73" s="58">
        <v>2.81E-2</v>
      </c>
      <c r="BS73" s="13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>
        <v>2.81E-2</v>
      </c>
      <c r="Q74" s="86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>
        <v>2.5000000000000001E-2</v>
      </c>
      <c r="AI74" s="13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4">
        <v>2.5000000000000001E-2</v>
      </c>
      <c r="AU74" s="14">
        <v>2.6499999999999999E-2</v>
      </c>
      <c r="AV74" s="14">
        <v>2.75E-2</v>
      </c>
      <c r="AW74" s="14">
        <v>4.3900000000000002E-2</v>
      </c>
      <c r="AX74" s="14">
        <v>5.3699999999999998E-2</v>
      </c>
      <c r="AY74" s="14">
        <v>0.05</v>
      </c>
      <c r="AZ74" s="14">
        <v>3.2899999999999999E-2</v>
      </c>
      <c r="BA74" s="13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8">
        <v>3.49E-2</v>
      </c>
      <c r="BM74" s="1"/>
      <c r="BN74" s="58">
        <v>5.5100000000000003E-2</v>
      </c>
      <c r="BO74" s="1"/>
      <c r="BP74" s="1"/>
      <c r="BQ74" s="1"/>
      <c r="BR74" s="58">
        <v>2.8799999999999999E-2</v>
      </c>
      <c r="BS74" s="13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>
        <v>2.86E-2</v>
      </c>
      <c r="Q75" s="86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>
        <v>2.5000000000000001E-2</v>
      </c>
      <c r="AI75" s="13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4">
        <v>2.7E-2</v>
      </c>
      <c r="AU75" s="14">
        <v>2.75E-2</v>
      </c>
      <c r="AV75" s="14">
        <v>2.75E-2</v>
      </c>
      <c r="AW75" s="14">
        <v>4.3900000000000002E-2</v>
      </c>
      <c r="AX75" s="14">
        <v>5.1900000000000002E-2</v>
      </c>
      <c r="AY75" s="14">
        <v>0.05</v>
      </c>
      <c r="AZ75" s="14">
        <v>3.2899999999999999E-2</v>
      </c>
      <c r="BA75" s="13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8">
        <v>3.49E-2</v>
      </c>
      <c r="BM75" s="1"/>
      <c r="BN75" s="58">
        <v>5.5100000000000003E-2</v>
      </c>
      <c r="BO75" s="1"/>
      <c r="BP75" s="1"/>
      <c r="BQ75" s="1"/>
      <c r="BR75" s="58">
        <v>2.8899999999999999E-2</v>
      </c>
      <c r="BS75" s="13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>
        <v>2.93E-2</v>
      </c>
      <c r="Q76" s="86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>
        <v>2.5000000000000001E-2</v>
      </c>
      <c r="AI76" s="13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4">
        <v>2.5000000000000001E-2</v>
      </c>
      <c r="AU76" s="14">
        <v>2.6700000000000002E-2</v>
      </c>
      <c r="AV76" s="14">
        <v>2.75E-2</v>
      </c>
      <c r="AW76" s="14">
        <v>4.3900000000000002E-2</v>
      </c>
      <c r="AX76" s="14">
        <v>5.1700000000000003E-2</v>
      </c>
      <c r="AY76" s="14">
        <v>0.05</v>
      </c>
      <c r="AZ76" s="14">
        <v>3.2899999999999999E-2</v>
      </c>
      <c r="BA76" s="13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8">
        <v>3.56E-2</v>
      </c>
      <c r="BM76" s="1"/>
      <c r="BN76" s="58">
        <v>5.5100000000000003E-2</v>
      </c>
      <c r="BO76" s="1"/>
      <c r="BP76" s="1"/>
      <c r="BQ76" s="1"/>
      <c r="BR76" s="58">
        <v>2.9700000000000001E-2</v>
      </c>
      <c r="BS76" s="13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>
        <v>3.1E-2</v>
      </c>
      <c r="Q77" s="86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>
        <v>2.5000000000000001E-2</v>
      </c>
      <c r="AI77" s="13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4">
        <v>2.8899999999999999E-2</v>
      </c>
      <c r="AU77" s="14">
        <v>2.76E-2</v>
      </c>
      <c r="AV77" s="14">
        <v>0.03</v>
      </c>
      <c r="AW77" s="14">
        <v>0.04</v>
      </c>
      <c r="AX77" s="14">
        <v>4.7800000000000002E-2</v>
      </c>
      <c r="AY77" s="14">
        <v>4.2599999999999999E-2</v>
      </c>
      <c r="AZ77" s="14">
        <v>3.3500000000000002E-2</v>
      </c>
      <c r="BA77" s="13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8">
        <v>4.07E-2</v>
      </c>
      <c r="BM77" s="1"/>
      <c r="BN77" s="58">
        <v>5.5100000000000003E-2</v>
      </c>
      <c r="BO77" s="1"/>
      <c r="BP77" s="1"/>
      <c r="BQ77" s="1"/>
      <c r="BR77" s="58">
        <v>2.98E-2</v>
      </c>
      <c r="BS77" s="13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>
        <v>3.32E-2</v>
      </c>
      <c r="Q78" s="86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>
        <v>2.5000000000000001E-2</v>
      </c>
      <c r="AI78" s="13">
        <f t="shared" ref="AI78:AI13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4">
        <v>2.8899999999999999E-2</v>
      </c>
      <c r="AU78" s="14">
        <v>2.76E-2</v>
      </c>
      <c r="AV78" s="14">
        <v>0.03</v>
      </c>
      <c r="AW78" s="14">
        <v>0.04</v>
      </c>
      <c r="AX78" s="14">
        <v>4.7800000000000002E-2</v>
      </c>
      <c r="AY78" s="14">
        <v>4.2599999999999999E-2</v>
      </c>
      <c r="AZ78" s="14">
        <v>3.4000000000000002E-2</v>
      </c>
      <c r="BA78" s="13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8">
        <v>4.07E-2</v>
      </c>
      <c r="BM78" s="1"/>
      <c r="BN78" s="58">
        <v>5.5100000000000003E-2</v>
      </c>
      <c r="BO78" s="1"/>
      <c r="BP78" s="1"/>
      <c r="BQ78" s="1"/>
      <c r="BR78" s="58">
        <v>3.0800000000000001E-2</v>
      </c>
      <c r="BS78" s="13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>
        <v>3.3500000000000002E-2</v>
      </c>
      <c r="Q79" s="86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>
        <v>2.5000000000000001E-2</v>
      </c>
      <c r="AI79" s="13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4">
        <v>2.8899999999999999E-2</v>
      </c>
      <c r="AU79" s="14">
        <v>2.76E-2</v>
      </c>
      <c r="AV79" s="14">
        <v>0.03</v>
      </c>
      <c r="AW79" s="14">
        <v>0.04</v>
      </c>
      <c r="AX79" s="14">
        <v>4.7800000000000002E-2</v>
      </c>
      <c r="AY79" s="14">
        <v>4.2599999999999999E-2</v>
      </c>
      <c r="AZ79" s="14">
        <v>3.4500000000000003E-2</v>
      </c>
      <c r="BA79" s="13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8">
        <v>4.07E-2</v>
      </c>
      <c r="BM79" s="1"/>
      <c r="BN79" s="58">
        <v>5.5100000000000003E-2</v>
      </c>
      <c r="BO79" s="1"/>
      <c r="BP79" s="1"/>
      <c r="BQ79" s="1"/>
      <c r="BR79" s="58">
        <v>3.1099999999999999E-2</v>
      </c>
      <c r="BS79" s="13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>
        <v>3.3500000000000002E-2</v>
      </c>
      <c r="Q80" s="86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>
        <v>2.5000000000000001E-2</v>
      </c>
      <c r="AI80" s="13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4">
        <v>2.8899999999999999E-2</v>
      </c>
      <c r="AU80" s="14">
        <v>2.76E-2</v>
      </c>
      <c r="AV80" s="14">
        <v>0.03</v>
      </c>
      <c r="AW80" s="14">
        <v>0.04</v>
      </c>
      <c r="AX80" s="14">
        <v>4.7800000000000002E-2</v>
      </c>
      <c r="AY80" s="14">
        <v>4.2599999999999999E-2</v>
      </c>
      <c r="AZ80" s="14">
        <v>3.6900000000000002E-2</v>
      </c>
      <c r="BA80" s="13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8">
        <v>4.07E-2</v>
      </c>
      <c r="BM80" s="1"/>
      <c r="BN80" s="58">
        <v>5.5100000000000003E-2</v>
      </c>
      <c r="BO80" s="1"/>
      <c r="BP80" s="1"/>
      <c r="BQ80" s="1"/>
      <c r="BR80" s="58">
        <v>3.39E-2</v>
      </c>
      <c r="BS80" s="13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>
        <v>3.32E-2</v>
      </c>
      <c r="Q81" s="86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>
        <v>2.5000000000000001E-2</v>
      </c>
      <c r="AI81" s="13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4">
        <v>2.5999999999999999E-2</v>
      </c>
      <c r="AU81" s="14">
        <v>3.1E-2</v>
      </c>
      <c r="AV81" s="14">
        <v>0.04</v>
      </c>
      <c r="AW81" s="14">
        <v>4.1500000000000002E-2</v>
      </c>
      <c r="AX81" s="14">
        <v>4.1000000000000002E-2</v>
      </c>
      <c r="AY81" s="14">
        <v>4.2599999999999999E-2</v>
      </c>
      <c r="AZ81" s="14">
        <v>3.61E-2</v>
      </c>
      <c r="BA81" s="13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8">
        <v>4.0399999999999998E-2</v>
      </c>
      <c r="BM81" s="1"/>
      <c r="BN81" s="58">
        <v>5.5100000000000003E-2</v>
      </c>
      <c r="BO81" s="1"/>
      <c r="BP81" s="1"/>
      <c r="BQ81" s="1"/>
      <c r="BR81" s="58">
        <v>3.32E-2</v>
      </c>
      <c r="BS81" s="13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>
        <v>3.4200000000000001E-2</v>
      </c>
      <c r="Q82" s="86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>
        <v>2.5000000000000001E-2</v>
      </c>
      <c r="AI82" s="13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4">
        <v>2.5499999999999998E-2</v>
      </c>
      <c r="AU82" s="14">
        <v>2.75E-2</v>
      </c>
      <c r="AV82" s="14">
        <v>2.9000000000000001E-2</v>
      </c>
      <c r="AW82" s="14">
        <v>3.95E-2</v>
      </c>
      <c r="AX82" s="14">
        <v>4.1000000000000002E-2</v>
      </c>
      <c r="AY82" s="14">
        <v>4.2599999999999999E-2</v>
      </c>
      <c r="AZ82" s="14">
        <v>3.73E-2</v>
      </c>
      <c r="BA82" s="13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8">
        <v>4.1399999999999999E-2</v>
      </c>
      <c r="BM82" s="1"/>
      <c r="BN82" s="58">
        <v>4.9599999999999998E-2</v>
      </c>
      <c r="BO82" s="1"/>
      <c r="BP82" s="1"/>
      <c r="BQ82" s="1"/>
      <c r="BR82" s="58">
        <v>3.44E-2</v>
      </c>
      <c r="BS82" s="13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>
        <v>3.3599999999999998E-2</v>
      </c>
      <c r="Q83" s="86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>
        <v>2.5000000000000001E-2</v>
      </c>
      <c r="AI83" s="13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4">
        <v>2.5000000000000001E-2</v>
      </c>
      <c r="AU83" s="14">
        <v>2.75E-2</v>
      </c>
      <c r="AV83" s="14">
        <v>2.8500000000000001E-2</v>
      </c>
      <c r="AW83" s="14">
        <v>4.1500000000000002E-2</v>
      </c>
      <c r="AX83" s="14">
        <v>4.7500000000000001E-2</v>
      </c>
      <c r="AY83" s="14">
        <v>4.2599999999999999E-2</v>
      </c>
      <c r="AZ83" s="14">
        <v>3.6999999999999998E-2</v>
      </c>
      <c r="BA83" s="13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8">
        <v>4.1000000000000002E-2</v>
      </c>
      <c r="BM83" s="1"/>
      <c r="BN83" s="58">
        <v>4.9099999999999998E-2</v>
      </c>
      <c r="BO83" s="1"/>
      <c r="BP83" s="1"/>
      <c r="BQ83" s="1"/>
      <c r="BR83" s="58">
        <v>3.4099999999999998E-2</v>
      </c>
      <c r="BS83" s="13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>
        <v>3.2300000000000002E-2</v>
      </c>
      <c r="Q84" s="86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>
        <v>2.5000000000000001E-2</v>
      </c>
      <c r="AI84" s="13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4">
        <v>2.5000000000000001E-2</v>
      </c>
      <c r="AU84" s="14">
        <v>2.6800000000000001E-2</v>
      </c>
      <c r="AV84" s="14">
        <v>0.03</v>
      </c>
      <c r="AW84" s="14">
        <v>4.1500000000000002E-2</v>
      </c>
      <c r="AX84" s="14">
        <v>0.05</v>
      </c>
      <c r="AY84" s="14">
        <v>4.7500000000000001E-2</v>
      </c>
      <c r="AZ84" s="14">
        <v>3.5799999999999998E-2</v>
      </c>
      <c r="BA84" s="13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8">
        <v>4.1599999999999998E-2</v>
      </c>
      <c r="BM84" s="1"/>
      <c r="BN84" s="58">
        <v>4.99E-2</v>
      </c>
      <c r="BO84" s="1"/>
      <c r="BP84" s="1"/>
      <c r="BQ84" s="1"/>
      <c r="BR84" s="58">
        <v>3.4700000000000002E-2</v>
      </c>
      <c r="BS84" s="13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>
        <v>3.2300000000000002E-2</v>
      </c>
      <c r="Q85" s="86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>
        <v>2.5000000000000001E-2</v>
      </c>
      <c r="AI85" s="13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4">
        <v>2.5000000000000001E-2</v>
      </c>
      <c r="AU85" s="14">
        <v>2.8199999999999999E-2</v>
      </c>
      <c r="AV85" s="14">
        <v>3.0200000000000001E-2</v>
      </c>
      <c r="AW85" s="14">
        <v>4.1500000000000002E-2</v>
      </c>
      <c r="AX85" s="14">
        <v>0.05</v>
      </c>
      <c r="AY85" s="14">
        <v>4.7500000000000001E-2</v>
      </c>
      <c r="AZ85" s="14">
        <v>3.5999999999999997E-2</v>
      </c>
      <c r="BA85" s="13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8">
        <v>4.1599999999999998E-2</v>
      </c>
      <c r="BM85" s="1"/>
      <c r="BN85" s="58">
        <v>4.99E-2</v>
      </c>
      <c r="BO85" s="1"/>
      <c r="BP85" s="1"/>
      <c r="BQ85" s="1"/>
      <c r="BR85" s="58">
        <v>3.2599999999999997E-2</v>
      </c>
      <c r="BS85" s="13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>
        <v>3.2300000000000002E-2</v>
      </c>
      <c r="Q86" s="86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>
        <v>2.5000000000000001E-2</v>
      </c>
      <c r="AI86" s="13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4">
        <v>0.04</v>
      </c>
      <c r="AU86" s="14">
        <v>3.15E-2</v>
      </c>
      <c r="AV86" s="14">
        <v>3.2500000000000001E-2</v>
      </c>
      <c r="AW86" s="14">
        <v>4.1500000000000002E-2</v>
      </c>
      <c r="AX86" s="14">
        <v>0.05</v>
      </c>
      <c r="AY86" s="14">
        <v>4.7500000000000001E-2</v>
      </c>
      <c r="AZ86" s="14">
        <v>3.6499999999999998E-2</v>
      </c>
      <c r="BA86" s="13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8">
        <v>4.1000000000000002E-2</v>
      </c>
      <c r="BM86" s="1"/>
      <c r="BN86" s="58">
        <v>4.9099999999999998E-2</v>
      </c>
      <c r="BO86" s="1"/>
      <c r="BP86" s="1"/>
      <c r="BQ86" s="1"/>
      <c r="BR86" s="58">
        <v>3.1600000000000003E-2</v>
      </c>
      <c r="BS86" s="13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8">
        <v>3.2300000000000002E-2</v>
      </c>
      <c r="Q87" s="86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8">
        <v>2.5000000000000001E-2</v>
      </c>
      <c r="AI87" s="13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4">
        <v>0.04</v>
      </c>
      <c r="AU87" s="14">
        <v>3.2500000000000001E-2</v>
      </c>
      <c r="AV87" s="14">
        <v>3.5000000000000003E-2</v>
      </c>
      <c r="AW87" s="14">
        <v>4.1500000000000002E-2</v>
      </c>
      <c r="AX87" s="14">
        <v>0.05</v>
      </c>
      <c r="AY87" s="14">
        <v>4.7500000000000001E-2</v>
      </c>
      <c r="AZ87" s="14">
        <v>3.4200000000000001E-2</v>
      </c>
      <c r="BA87" s="13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8">
        <v>4.1000000000000002E-2</v>
      </c>
      <c r="BM87" s="1"/>
      <c r="BN87" s="58">
        <v>4.9099999999999998E-2</v>
      </c>
      <c r="BO87" s="1"/>
      <c r="BP87" s="1"/>
      <c r="BQ87" s="1"/>
      <c r="BR87" s="58">
        <v>3.04E-2</v>
      </c>
      <c r="BS87" s="13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8">
        <v>3.3000000000000002E-2</v>
      </c>
      <c r="Q88" s="86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8">
        <v>2.5000000000000001E-2</v>
      </c>
      <c r="AI88" s="13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4">
        <v>0.04</v>
      </c>
      <c r="AU88" s="14">
        <v>0.04</v>
      </c>
      <c r="AV88" s="14">
        <v>3.5000000000000003E-2</v>
      </c>
      <c r="AW88" s="14">
        <v>0.04</v>
      </c>
      <c r="AX88" s="14">
        <v>0.05</v>
      </c>
      <c r="AY88" s="14">
        <v>0.05</v>
      </c>
      <c r="AZ88" s="14">
        <v>3.5499999999999997E-2</v>
      </c>
      <c r="BA88" s="13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8">
        <v>3.2899999999999999E-2</v>
      </c>
      <c r="BM88" s="1"/>
      <c r="BN88" s="58">
        <v>4.7399999999999998E-2</v>
      </c>
      <c r="BO88" s="1"/>
      <c r="BP88" s="1"/>
      <c r="BQ88" s="1"/>
      <c r="BR88" s="58">
        <v>3.2599999999999997E-2</v>
      </c>
      <c r="BS88" s="13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8">
        <v>3.32E-2</v>
      </c>
      <c r="Q89" s="86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8">
        <v>2.5000000000000001E-2</v>
      </c>
      <c r="AI89" s="13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4">
        <v>4.2099999999999999E-2</v>
      </c>
      <c r="AU89" s="14">
        <v>3.4200000000000001E-2</v>
      </c>
      <c r="AV89" s="14">
        <v>3.5000000000000003E-2</v>
      </c>
      <c r="AW89" s="14">
        <v>0.04</v>
      </c>
      <c r="AX89" s="14">
        <v>4.9500000000000002E-2</v>
      </c>
      <c r="AY89" s="14">
        <v>0.05</v>
      </c>
      <c r="AZ89" s="14">
        <v>3.6600000000000001E-2</v>
      </c>
      <c r="BA89" s="13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8">
        <v>3.2899999999999999E-2</v>
      </c>
      <c r="BM89" s="1"/>
      <c r="BN89" s="58">
        <v>4.7399999999999998E-2</v>
      </c>
      <c r="BO89" s="1"/>
      <c r="BP89" s="1"/>
      <c r="BQ89" s="1"/>
      <c r="BR89" s="58">
        <v>3.2899999999999999E-2</v>
      </c>
      <c r="BS89" s="13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8">
        <v>3.3399999999999999E-2</v>
      </c>
      <c r="Q90" s="86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8">
        <v>2.5000000000000001E-2</v>
      </c>
      <c r="AI90" s="13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4">
        <v>4.2099999999999999E-2</v>
      </c>
      <c r="AU90" s="14">
        <v>3.4500000000000003E-2</v>
      </c>
      <c r="AV90" s="14">
        <v>3.5000000000000003E-2</v>
      </c>
      <c r="AW90" s="14">
        <v>0.04</v>
      </c>
      <c r="AX90" s="14">
        <v>4.9500000000000002E-2</v>
      </c>
      <c r="AY90" s="14">
        <v>4.7399999999999998E-2</v>
      </c>
      <c r="AZ90" s="14">
        <v>3.7100000000000001E-2</v>
      </c>
      <c r="BA90" s="13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8">
        <v>4.1099999999999998E-2</v>
      </c>
      <c r="BM90" s="1"/>
      <c r="BN90" s="58">
        <v>4.9399999999999999E-2</v>
      </c>
      <c r="BO90" s="1"/>
      <c r="BP90" s="1"/>
      <c r="BQ90" s="1"/>
      <c r="BR90" s="58">
        <v>3.4299999999999997E-2</v>
      </c>
      <c r="BS90" s="13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8">
        <v>3.32E-2</v>
      </c>
      <c r="Q91" s="86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8">
        <v>2.5000000000000001E-2</v>
      </c>
      <c r="AI91" s="13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4">
        <v>0.04</v>
      </c>
      <c r="AU91" s="14">
        <v>3.49E-2</v>
      </c>
      <c r="AV91" s="14">
        <v>3.5000000000000003E-2</v>
      </c>
      <c r="AW91" s="14">
        <v>4.99E-2</v>
      </c>
      <c r="AX91" s="14">
        <v>4.9000000000000002E-2</v>
      </c>
      <c r="AY91" s="14">
        <v>4.7699999999999999E-2</v>
      </c>
      <c r="AZ91" s="14">
        <v>3.6999999999999998E-2</v>
      </c>
      <c r="BA91" s="13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8">
        <v>4.1000000000000002E-2</v>
      </c>
      <c r="BM91" s="1"/>
      <c r="BN91" s="58">
        <v>4.9299999999999997E-2</v>
      </c>
      <c r="BO91" s="1"/>
      <c r="BP91" s="1"/>
      <c r="BQ91" s="1"/>
      <c r="BR91" s="58">
        <v>3.4299999999999997E-2</v>
      </c>
      <c r="BS91" s="13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8">
        <v>3.3799999999999997E-2</v>
      </c>
      <c r="Q92" s="86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8">
        <v>2.5000000000000001E-2</v>
      </c>
      <c r="AI92" s="13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4">
        <v>0.04</v>
      </c>
      <c r="AU92" s="14">
        <v>3.49E-2</v>
      </c>
      <c r="AV92" s="14">
        <v>3.5000000000000003E-2</v>
      </c>
      <c r="AW92" s="14">
        <v>4.99E-2</v>
      </c>
      <c r="AX92" s="14">
        <v>4.9000000000000002E-2</v>
      </c>
      <c r="AY92" s="14">
        <v>4.7699999999999999E-2</v>
      </c>
      <c r="AZ92" s="14">
        <v>3.6999999999999998E-2</v>
      </c>
      <c r="BA92" s="13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8">
        <v>4.1000000000000002E-2</v>
      </c>
      <c r="BM92" s="1"/>
      <c r="BN92" s="58">
        <v>4.9299999999999997E-2</v>
      </c>
      <c r="BO92" s="1"/>
      <c r="BP92" s="1"/>
      <c r="BQ92" s="1"/>
      <c r="BR92" s="58">
        <v>3.39E-2</v>
      </c>
      <c r="BS92" s="13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8">
        <v>3.4200000000000001E-2</v>
      </c>
      <c r="Q93" s="86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8">
        <v>2.5000000000000001E-2</v>
      </c>
      <c r="AI93" s="13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4">
        <v>0.04</v>
      </c>
      <c r="AU93" s="14">
        <v>3.49E-2</v>
      </c>
      <c r="AV93" s="14">
        <v>3.5000000000000003E-2</v>
      </c>
      <c r="AW93" s="14">
        <v>4.99E-2</v>
      </c>
      <c r="AX93" s="14">
        <v>4.9000000000000002E-2</v>
      </c>
      <c r="AY93" s="14">
        <v>4.7699999999999999E-2</v>
      </c>
      <c r="AZ93" s="14">
        <v>3.6999999999999998E-2</v>
      </c>
      <c r="BA93" s="13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8">
        <v>4.1000000000000002E-2</v>
      </c>
      <c r="BM93" s="1"/>
      <c r="BN93" s="58">
        <v>4.9299999999999997E-2</v>
      </c>
      <c r="BO93" s="1"/>
      <c r="BP93" s="1"/>
      <c r="BQ93" s="1"/>
      <c r="BR93" s="58">
        <v>3.3799999999999997E-2</v>
      </c>
      <c r="BS93" s="13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8">
        <v>3.44E-2</v>
      </c>
      <c r="Q94" s="86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8">
        <v>2.5000000000000001E-2</v>
      </c>
      <c r="AI94" s="13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4">
        <v>0.04</v>
      </c>
      <c r="AU94" s="14">
        <v>3.49E-2</v>
      </c>
      <c r="AV94" s="14">
        <v>3.5000000000000003E-2</v>
      </c>
      <c r="AW94" s="14">
        <v>4.99E-2</v>
      </c>
      <c r="AX94" s="14">
        <v>4.9000000000000002E-2</v>
      </c>
      <c r="AY94" s="14">
        <v>4.7699999999999999E-2</v>
      </c>
      <c r="AZ94" s="14">
        <v>3.6999999999999998E-2</v>
      </c>
      <c r="BA94" s="13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8">
        <v>4.1599999999999998E-2</v>
      </c>
      <c r="BM94" s="1"/>
      <c r="BN94" s="58">
        <v>4.99E-2</v>
      </c>
      <c r="BO94" s="1"/>
      <c r="BP94" s="1"/>
      <c r="BQ94" s="1"/>
      <c r="BR94" s="58">
        <v>3.4099999999999998E-2</v>
      </c>
      <c r="BS94" s="13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8">
        <v>3.5499999999999997E-2</v>
      </c>
      <c r="Q95" s="86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8">
        <v>2.5000000000000001E-2</v>
      </c>
      <c r="AI95" s="13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4">
        <v>0.04</v>
      </c>
      <c r="AU95" s="14">
        <v>3.49E-2</v>
      </c>
      <c r="AV95" s="14">
        <v>3.5000000000000003E-2</v>
      </c>
      <c r="AW95" s="14">
        <v>4.99E-2</v>
      </c>
      <c r="AX95" s="14">
        <v>4.9000000000000002E-2</v>
      </c>
      <c r="AY95" s="14">
        <v>4.7699999999999999E-2</v>
      </c>
      <c r="AZ95" s="14">
        <v>3.6999999999999998E-2</v>
      </c>
      <c r="BA95" s="13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8">
        <v>4.2000000000000003E-2</v>
      </c>
      <c r="BM95" s="1"/>
      <c r="BN95" s="58">
        <v>5.2499999999999998E-2</v>
      </c>
      <c r="BO95" s="1"/>
      <c r="BP95" s="1"/>
      <c r="BQ95" s="1"/>
      <c r="BR95" s="58">
        <v>3.5900000000000001E-2</v>
      </c>
      <c r="BS95" s="13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8">
        <v>3.6799999999999999E-2</v>
      </c>
      <c r="Q96" s="86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8">
        <v>2.5000000000000001E-2</v>
      </c>
      <c r="AI96" s="13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4">
        <v>0.04</v>
      </c>
      <c r="AU96" s="14">
        <v>3.49E-2</v>
      </c>
      <c r="AV96" s="14">
        <v>3.5000000000000003E-2</v>
      </c>
      <c r="AW96" s="14">
        <v>4.99E-2</v>
      </c>
      <c r="AX96" s="14">
        <v>4.9000000000000002E-2</v>
      </c>
      <c r="AY96" s="14">
        <v>4.7699999999999999E-2</v>
      </c>
      <c r="AZ96" s="14">
        <v>3.6999999999999998E-2</v>
      </c>
      <c r="BA96" s="13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8">
        <v>4.2000000000000003E-2</v>
      </c>
      <c r="BM96" s="1"/>
      <c r="BN96" s="58">
        <v>5.2499999999999998E-2</v>
      </c>
      <c r="BO96" s="1"/>
      <c r="BP96" s="1"/>
      <c r="BQ96" s="1"/>
      <c r="BR96" s="58">
        <v>3.6999999999999998E-2</v>
      </c>
      <c r="BS96" s="13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8">
        <v>3.7499999999999999E-2</v>
      </c>
      <c r="Q97" s="86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8">
        <v>2.5000000000000001E-2</v>
      </c>
      <c r="AI97" s="13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4">
        <v>0.04</v>
      </c>
      <c r="AU97" s="14">
        <v>3.49E-2</v>
      </c>
      <c r="AV97" s="14">
        <v>3.5000000000000003E-2</v>
      </c>
      <c r="AW97" s="14">
        <v>4.99E-2</v>
      </c>
      <c r="AX97" s="14">
        <v>4.9000000000000002E-2</v>
      </c>
      <c r="AY97" s="14">
        <v>4.7699999999999999E-2</v>
      </c>
      <c r="AZ97" s="14">
        <v>3.6999999999999998E-2</v>
      </c>
      <c r="BA97" s="13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8">
        <v>4.3499999999999997E-2</v>
      </c>
      <c r="BM97" s="1"/>
      <c r="BN97" s="58">
        <v>5.5E-2</v>
      </c>
      <c r="BO97" s="1"/>
      <c r="BP97" s="1"/>
      <c r="BQ97" s="1"/>
      <c r="BR97" s="58">
        <v>3.7999999999999999E-2</v>
      </c>
      <c r="BS97" s="13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8">
        <v>3.85E-2</v>
      </c>
      <c r="Q98" s="86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8">
        <v>2.5000000000000001E-2</v>
      </c>
      <c r="AI98" s="13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4">
        <v>0.04</v>
      </c>
      <c r="AU98" s="14">
        <v>3.49E-2</v>
      </c>
      <c r="AV98" s="14">
        <v>3.5000000000000003E-2</v>
      </c>
      <c r="AW98" s="14">
        <v>4.99E-2</v>
      </c>
      <c r="AX98" s="14">
        <v>4.9000000000000002E-2</v>
      </c>
      <c r="AY98" s="14">
        <v>4.7699999999999999E-2</v>
      </c>
      <c r="AZ98" s="14">
        <v>3.6999999999999998E-2</v>
      </c>
      <c r="BA98" s="13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8">
        <v>4.3499999999999997E-2</v>
      </c>
      <c r="BM98" s="1"/>
      <c r="BN98" s="58">
        <v>5.5E-2</v>
      </c>
      <c r="BO98" s="1"/>
      <c r="BP98" s="1"/>
      <c r="BQ98" s="1"/>
      <c r="BR98" s="58">
        <v>3.8600000000000002E-2</v>
      </c>
      <c r="BS98" s="13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8">
        <v>3.8300000000000001E-2</v>
      </c>
      <c r="Q99" s="86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8">
        <v>2.5000000000000001E-2</v>
      </c>
      <c r="AI99" s="13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4">
        <v>0.04</v>
      </c>
      <c r="AU99" s="14">
        <v>3.49E-2</v>
      </c>
      <c r="AV99" s="14">
        <v>3.5000000000000003E-2</v>
      </c>
      <c r="AW99" s="14">
        <v>4.99E-2</v>
      </c>
      <c r="AX99" s="14">
        <v>4.9000000000000002E-2</v>
      </c>
      <c r="AY99" s="14">
        <v>4.7699999999999999E-2</v>
      </c>
      <c r="AZ99" s="14">
        <v>3.6999999999999998E-2</v>
      </c>
      <c r="BA99" s="13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8">
        <v>4.3499999999999997E-2</v>
      </c>
      <c r="BM99" s="1"/>
      <c r="BN99" s="58">
        <v>5.5E-2</v>
      </c>
      <c r="BO99" s="1"/>
      <c r="BP99" s="1"/>
      <c r="BQ99" s="1"/>
      <c r="BR99" s="58">
        <v>3.8199999999999998E-2</v>
      </c>
      <c r="BS99" s="13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8">
        <v>3.85E-2</v>
      </c>
      <c r="Q100" s="86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8">
        <v>2.5000000000000001E-2</v>
      </c>
      <c r="AI100" s="13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4">
        <v>0.04</v>
      </c>
      <c r="AU100" s="14">
        <v>3.49E-2</v>
      </c>
      <c r="AV100" s="14">
        <v>3.5000000000000003E-2</v>
      </c>
      <c r="AW100" s="14">
        <v>4.99E-2</v>
      </c>
      <c r="AX100" s="14">
        <v>4.9000000000000002E-2</v>
      </c>
      <c r="AY100" s="14">
        <v>4.7699999999999999E-2</v>
      </c>
      <c r="AZ100" s="14">
        <v>3.6999999999999998E-2</v>
      </c>
      <c r="BA100" s="13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8">
        <v>4.7300000000000002E-2</v>
      </c>
      <c r="BM100" s="1"/>
      <c r="BN100" s="58">
        <v>5.67E-2</v>
      </c>
      <c r="BO100" s="1"/>
      <c r="BP100" s="1"/>
      <c r="BQ100" s="1"/>
      <c r="BR100" s="58">
        <v>3.8300000000000001E-2</v>
      </c>
      <c r="BS100" s="13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8">
        <v>3.8600000000000002E-2</v>
      </c>
      <c r="Q101" s="86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8">
        <v>2.5000000000000001E-2</v>
      </c>
      <c r="AI101" s="13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4">
        <v>3.4599999999999999E-2</v>
      </c>
      <c r="AU101" s="14">
        <v>3.49E-2</v>
      </c>
      <c r="AV101" s="14">
        <v>4.99E-2</v>
      </c>
      <c r="AW101" s="14">
        <v>4.8899999999999999E-2</v>
      </c>
      <c r="AX101" s="14">
        <v>4.8899999999999999E-2</v>
      </c>
      <c r="AY101" s="14">
        <v>5.4399999999999997E-2</v>
      </c>
      <c r="AZ101" s="14">
        <v>4.2099999999999999E-2</v>
      </c>
      <c r="BA101" s="13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8">
        <v>4.7300000000000002E-2</v>
      </c>
      <c r="BM101" s="1"/>
      <c r="BN101" s="58">
        <v>5.67E-2</v>
      </c>
      <c r="BO101" s="1"/>
      <c r="BP101" s="1"/>
      <c r="BQ101" s="1"/>
      <c r="BR101" s="58">
        <v>3.95E-2</v>
      </c>
      <c r="BS101" s="13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8">
        <v>4.2500000000000003E-2</v>
      </c>
      <c r="Q102" s="86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8">
        <v>2.5000000000000001E-2</v>
      </c>
      <c r="AI102" s="13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4">
        <v>3.4500000000000003E-2</v>
      </c>
      <c r="AU102" s="14">
        <v>3.4799999999999998E-2</v>
      </c>
      <c r="AV102" s="14">
        <v>4.8899999999999999E-2</v>
      </c>
      <c r="AW102" s="14">
        <v>0.04</v>
      </c>
      <c r="AX102" s="14">
        <v>4.8800000000000003E-2</v>
      </c>
      <c r="AY102" s="14">
        <v>5.5E-2</v>
      </c>
      <c r="AZ102" s="14">
        <v>4.65E-2</v>
      </c>
      <c r="BA102" s="13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8">
        <v>5.1200000000000002E-2</v>
      </c>
      <c r="BM102" s="1"/>
      <c r="BN102" s="58">
        <v>6.1499999999999999E-2</v>
      </c>
      <c r="BO102" s="1"/>
      <c r="BP102" s="1"/>
      <c r="BQ102" s="1"/>
      <c r="BR102" s="58">
        <v>4.2700000000000002E-2</v>
      </c>
      <c r="BS102" s="13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8">
        <v>4.2999999999999997E-2</v>
      </c>
      <c r="Q103" s="86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8">
        <v>2.5000000000000001E-2</v>
      </c>
      <c r="AI103" s="13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4">
        <v>3.5000000000000003E-2</v>
      </c>
      <c r="AU103" s="14">
        <v>3.49E-2</v>
      </c>
      <c r="AV103" s="14">
        <v>4.8800000000000003E-2</v>
      </c>
      <c r="AW103" s="14">
        <v>0.04</v>
      </c>
      <c r="AX103" s="14">
        <v>4.8000000000000001E-2</v>
      </c>
      <c r="AY103" s="14">
        <v>5.8999999999999997E-2</v>
      </c>
      <c r="AZ103" s="14">
        <v>4.6899999999999997E-2</v>
      </c>
      <c r="BA103" s="13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8">
        <v>5.28E-2</v>
      </c>
      <c r="BM103" s="1"/>
      <c r="BN103" s="58">
        <v>6.3299999999999995E-2</v>
      </c>
      <c r="BO103" s="1"/>
      <c r="BP103" s="1"/>
      <c r="BQ103" s="1"/>
      <c r="BR103" s="58">
        <v>4.41E-2</v>
      </c>
      <c r="BS103" s="13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8">
        <v>4.36E-2</v>
      </c>
      <c r="Q104" s="86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8">
        <v>2.5000000000000001E-2</v>
      </c>
      <c r="AI104" s="13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4">
        <v>3.95E-2</v>
      </c>
      <c r="AU104" s="14">
        <v>3.49E-2</v>
      </c>
      <c r="AV104" s="14">
        <v>4.87E-2</v>
      </c>
      <c r="AW104" s="14">
        <v>0.04</v>
      </c>
      <c r="AX104" s="14">
        <v>4.7E-2</v>
      </c>
      <c r="AY104" s="14">
        <v>5.9200000000000003E-2</v>
      </c>
      <c r="AZ104" s="14">
        <v>4.9099999999999998E-2</v>
      </c>
      <c r="BA104" s="13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8">
        <v>5.5800000000000002E-2</v>
      </c>
      <c r="BM104" s="1"/>
      <c r="BN104" s="58">
        <v>6.6900000000000001E-2</v>
      </c>
      <c r="BO104" s="1"/>
      <c r="BP104" s="1"/>
      <c r="BQ104" s="1"/>
      <c r="BR104" s="58">
        <v>4.65E-2</v>
      </c>
      <c r="BS104" s="13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8">
        <v>3.8699999999999998E-2</v>
      </c>
      <c r="Q105" s="86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8">
        <v>2.5000000000000001E-2</v>
      </c>
      <c r="AI105" s="13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4">
        <v>3.7499999999999999E-2</v>
      </c>
      <c r="AU105" s="14">
        <v>3.7999999999999999E-2</v>
      </c>
      <c r="AV105" s="14">
        <v>4.4999999999999998E-2</v>
      </c>
      <c r="AW105" s="14">
        <v>0.04</v>
      </c>
      <c r="AX105" s="14">
        <v>4.7E-2</v>
      </c>
      <c r="AY105" s="14">
        <v>5.9900000000000002E-2</v>
      </c>
      <c r="AZ105" s="14">
        <v>4.41E-2</v>
      </c>
      <c r="BA105" s="13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8">
        <v>4.8599999999999997E-2</v>
      </c>
      <c r="BM105" s="1"/>
      <c r="BN105" s="58">
        <v>5.8299999999999998E-2</v>
      </c>
      <c r="BO105" s="1"/>
      <c r="BP105" s="1"/>
      <c r="BQ105" s="1"/>
      <c r="BR105" s="58">
        <v>4.0500000000000001E-2</v>
      </c>
      <c r="BS105" s="13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8">
        <v>3.6400000000000002E-2</v>
      </c>
      <c r="Q106" s="86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8">
        <v>2.5000000000000001E-2</v>
      </c>
      <c r="AI106" s="13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4">
        <v>0.04</v>
      </c>
      <c r="AU106" s="14">
        <v>3.9E-2</v>
      </c>
      <c r="AV106" s="14">
        <v>4.2999999999999997E-2</v>
      </c>
      <c r="AW106" s="14">
        <v>0.04</v>
      </c>
      <c r="AX106" s="14">
        <v>4.4900000000000002E-2</v>
      </c>
      <c r="AY106" s="14">
        <v>4.4999999999999998E-2</v>
      </c>
      <c r="AZ106" s="14">
        <v>4.0399999999999998E-2</v>
      </c>
      <c r="BA106" s="13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8">
        <v>4.4200000000000003E-2</v>
      </c>
      <c r="BM106" s="1"/>
      <c r="BN106" s="58">
        <v>5.2999999999999999E-2</v>
      </c>
      <c r="BO106" s="1"/>
      <c r="BP106" s="1"/>
      <c r="BQ106" s="1"/>
      <c r="BR106" s="58">
        <v>3.8199999999999998E-2</v>
      </c>
      <c r="BS106" s="13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8">
        <v>3.6299999999999999E-2</v>
      </c>
      <c r="Q107" s="86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8">
        <v>2.5000000000000001E-2</v>
      </c>
      <c r="AI107" s="13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4">
        <v>0.04</v>
      </c>
      <c r="AU107" s="14">
        <v>3.9E-2</v>
      </c>
      <c r="AV107" s="14">
        <v>4.2999999999999997E-2</v>
      </c>
      <c r="AW107" s="14">
        <v>0.04</v>
      </c>
      <c r="AX107" s="14">
        <v>4.4900000000000002E-2</v>
      </c>
      <c r="AY107" s="14">
        <v>4.4999999999999998E-2</v>
      </c>
      <c r="AZ107" s="14">
        <v>4.0399999999999998E-2</v>
      </c>
      <c r="BA107" s="13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8">
        <v>4.4200000000000003E-2</v>
      </c>
      <c r="BM107" s="1"/>
      <c r="BN107" s="58">
        <v>5.2999999999999999E-2</v>
      </c>
      <c r="BO107" s="1"/>
      <c r="BP107" s="1"/>
      <c r="BQ107" s="1"/>
      <c r="BR107" s="58">
        <v>3.7199999999999997E-2</v>
      </c>
      <c r="BS107" s="13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8">
        <v>3.6400000000000002E-2</v>
      </c>
      <c r="Q108" s="86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8">
        <v>2.5000000000000001E-2</v>
      </c>
      <c r="AI108" s="13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4">
        <v>0.04</v>
      </c>
      <c r="AU108" s="14">
        <v>3.9E-2</v>
      </c>
      <c r="AV108" s="14">
        <v>4.2999999999999997E-2</v>
      </c>
      <c r="AW108" s="14">
        <v>0.04</v>
      </c>
      <c r="AX108" s="14">
        <v>4.4900000000000002E-2</v>
      </c>
      <c r="AY108" s="14">
        <v>4.4999999999999998E-2</v>
      </c>
      <c r="AZ108" s="14">
        <v>4.0399999999999998E-2</v>
      </c>
      <c r="BA108" s="13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8">
        <v>4.4200000000000003E-2</v>
      </c>
      <c r="BM108" s="1"/>
      <c r="BN108" s="58">
        <v>5.2999999999999999E-2</v>
      </c>
      <c r="BO108" s="1"/>
      <c r="BP108" s="1"/>
      <c r="BQ108" s="1"/>
      <c r="BR108" s="58">
        <v>3.6799999999999999E-2</v>
      </c>
      <c r="BS108" s="13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8">
        <v>3.5799999999999998E-2</v>
      </c>
      <c r="Q109" s="86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8">
        <v>2.5000000000000001E-2</v>
      </c>
      <c r="AI109" s="13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4">
        <v>4.4499999999999998E-2</v>
      </c>
      <c r="AU109" s="14">
        <v>3.9E-2</v>
      </c>
      <c r="AV109" s="14">
        <v>4.2999999999999997E-2</v>
      </c>
      <c r="AW109" s="14">
        <v>0.04</v>
      </c>
      <c r="AX109" s="14">
        <v>4.4900000000000002E-2</v>
      </c>
      <c r="AY109" s="14">
        <v>4.4999999999999998E-2</v>
      </c>
      <c r="AZ109" s="14">
        <v>4.0399999999999998E-2</v>
      </c>
      <c r="BA109" s="13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8">
        <v>4.3799999999999999E-2</v>
      </c>
      <c r="BM109" s="1"/>
      <c r="BN109" s="58">
        <v>5.2600000000000001E-2</v>
      </c>
      <c r="BO109" s="1"/>
      <c r="BP109" s="1"/>
      <c r="BQ109" s="1"/>
      <c r="BR109" s="58">
        <v>3.6600000000000001E-2</v>
      </c>
      <c r="BS109" s="13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8">
        <v>3.5799999999999998E-2</v>
      </c>
      <c r="Q110" s="86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8">
        <v>2.5000000000000001E-2</v>
      </c>
      <c r="AI110" s="13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4">
        <v>3.7999999999999999E-2</v>
      </c>
      <c r="AU110" s="14">
        <v>3.9E-2</v>
      </c>
      <c r="AV110" s="14">
        <v>3.7999999999999999E-2</v>
      </c>
      <c r="AW110" s="14">
        <v>3.9E-2</v>
      </c>
      <c r="AX110" s="14">
        <v>4.5400000000000003E-2</v>
      </c>
      <c r="AY110" s="14">
        <v>5.3999999999999999E-2</v>
      </c>
      <c r="AZ110" s="14">
        <v>4.0300000000000002E-2</v>
      </c>
      <c r="BA110" s="13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8">
        <v>4.4400000000000002E-2</v>
      </c>
      <c r="BM110" s="1"/>
      <c r="BN110" s="58">
        <v>5.3199999999999997E-2</v>
      </c>
      <c r="BO110" s="1"/>
      <c r="BP110" s="1"/>
      <c r="BQ110" s="1"/>
      <c r="BR110" s="58">
        <v>3.7100000000000001E-2</v>
      </c>
      <c r="BS110" s="13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8">
        <v>3.61E-2</v>
      </c>
      <c r="Q111" s="86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8">
        <v>2.5000000000000001E-2</v>
      </c>
      <c r="AI111" s="13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4">
        <v>3.5000000000000003E-2</v>
      </c>
      <c r="AU111" s="14">
        <v>3.6900000000000002E-2</v>
      </c>
      <c r="AV111" s="14">
        <v>3.7999999999999999E-2</v>
      </c>
      <c r="AW111" s="14">
        <v>3.9E-2</v>
      </c>
      <c r="AX111" s="14">
        <v>4.5400000000000003E-2</v>
      </c>
      <c r="AY111" s="14">
        <v>5.45E-2</v>
      </c>
      <c r="AZ111" s="14">
        <v>4.0399999999999998E-2</v>
      </c>
      <c r="BA111" s="13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8">
        <v>4.4200000000000003E-2</v>
      </c>
      <c r="BM111" s="1"/>
      <c r="BN111" s="58">
        <v>5.2999999999999999E-2</v>
      </c>
      <c r="BO111" s="1"/>
      <c r="BP111" s="1"/>
      <c r="BQ111" s="1"/>
      <c r="BR111" s="58">
        <v>3.6799999999999999E-2</v>
      </c>
      <c r="BS111" s="13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8">
        <v>3.4200000000000001E-2</v>
      </c>
      <c r="Q112" s="86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8">
        <v>2.5000000000000001E-2</v>
      </c>
      <c r="AI112" s="13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4">
        <v>3.4500000000000003E-2</v>
      </c>
      <c r="AU112" s="14">
        <v>3.6799999999999999E-2</v>
      </c>
      <c r="AV112" s="14">
        <v>3.9899999999999998E-2</v>
      </c>
      <c r="AW112" s="14" t="s">
        <v>69</v>
      </c>
      <c r="AX112" s="14">
        <v>4.4999999999999998E-2</v>
      </c>
      <c r="AY112" s="14">
        <v>5.5E-2</v>
      </c>
      <c r="AZ112" s="14">
        <v>3.9899999999999998E-2</v>
      </c>
      <c r="BA112" s="13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8">
        <v>4.36E-2</v>
      </c>
      <c r="BM112" s="1"/>
      <c r="BN112" s="58">
        <v>5.2299999999999999E-2</v>
      </c>
      <c r="BO112" s="1"/>
      <c r="BP112" s="1"/>
      <c r="BQ112" s="1"/>
      <c r="BR112" s="58">
        <v>3.6499999999999998E-2</v>
      </c>
      <c r="BS112" s="13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8">
        <v>3.3000000000000002E-2</v>
      </c>
      <c r="Q113" s="86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8">
        <v>2.5000000000000001E-2</v>
      </c>
      <c r="AI113" s="13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4">
        <v>3.2000000000000001E-2</v>
      </c>
      <c r="AU113" s="14">
        <v>3.2000000000000001E-2</v>
      </c>
      <c r="AV113" s="14">
        <v>4.2999999999999997E-2</v>
      </c>
      <c r="AW113" s="14">
        <v>0.04</v>
      </c>
      <c r="AX113" s="14">
        <v>4.8000000000000001E-2</v>
      </c>
      <c r="AY113" s="14">
        <v>5.2999999999999999E-2</v>
      </c>
      <c r="AZ113" s="14">
        <v>3.6600000000000001E-2</v>
      </c>
      <c r="BA113" s="13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8">
        <v>4.19E-2</v>
      </c>
      <c r="BM113" s="1"/>
      <c r="BN113" s="58">
        <v>5.0299999999999997E-2</v>
      </c>
      <c r="BO113" s="1"/>
      <c r="BP113" s="1"/>
      <c r="BQ113" s="1"/>
      <c r="BR113" s="58">
        <v>3.5400000000000001E-2</v>
      </c>
      <c r="BS113" s="13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8">
        <v>3.2500000000000001E-2</v>
      </c>
      <c r="Q114" s="86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8">
        <v>2.5000000000000001E-2</v>
      </c>
      <c r="AI114" s="13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4">
        <v>3.2000000000000001E-2</v>
      </c>
      <c r="AU114" s="14">
        <v>3.2000000000000001E-2</v>
      </c>
      <c r="AV114" s="14">
        <v>4.2999999999999997E-2</v>
      </c>
      <c r="AW114" s="14">
        <v>0.04</v>
      </c>
      <c r="AX114" s="14">
        <v>4.8000000000000001E-2</v>
      </c>
      <c r="AY114" s="14">
        <v>5.2999999999999999E-2</v>
      </c>
      <c r="AZ114" s="14">
        <v>3.5999999999999997E-2</v>
      </c>
      <c r="BA114" s="13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8">
        <v>4.19E-2</v>
      </c>
      <c r="BM114" s="1"/>
      <c r="BN114" s="58">
        <v>5.0299999999999997E-2</v>
      </c>
      <c r="BO114" s="1"/>
      <c r="BP114" s="1"/>
      <c r="BQ114" s="1"/>
      <c r="BR114" s="58">
        <v>3.5400000000000001E-2</v>
      </c>
      <c r="BS114" s="13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8">
        <v>3.2500000000000001E-2</v>
      </c>
      <c r="Q115" s="86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8">
        <v>2.5000000000000001E-2</v>
      </c>
      <c r="AI115" s="13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4">
        <v>3.2000000000000001E-2</v>
      </c>
      <c r="AU115" s="14">
        <v>3.2000000000000001E-2</v>
      </c>
      <c r="AV115" s="14">
        <v>4.2999999999999997E-2</v>
      </c>
      <c r="AW115" s="14">
        <v>0.04</v>
      </c>
      <c r="AX115" s="14">
        <v>4.8000000000000001E-2</v>
      </c>
      <c r="AY115" s="14">
        <v>5.2999999999999999E-2</v>
      </c>
      <c r="AZ115" s="14">
        <v>3.5099999999999999E-2</v>
      </c>
      <c r="BA115" s="13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8">
        <v>4.19E-2</v>
      </c>
      <c r="BM115" s="1"/>
      <c r="BN115" s="58">
        <v>5.0299999999999997E-2</v>
      </c>
      <c r="BO115" s="1"/>
      <c r="BP115" s="1"/>
      <c r="BQ115" s="1"/>
      <c r="BR115" s="58">
        <v>3.4700000000000002E-2</v>
      </c>
      <c r="BS115" s="13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8">
        <v>3.32E-2</v>
      </c>
      <c r="Q116" s="86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8">
        <v>2.5000000000000001E-2</v>
      </c>
      <c r="AI116" s="13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4">
        <v>0.03</v>
      </c>
      <c r="AU116" s="14">
        <v>3.5000000000000003E-2</v>
      </c>
      <c r="AV116" s="14">
        <v>3.9E-2</v>
      </c>
      <c r="AW116" s="14">
        <v>0.04</v>
      </c>
      <c r="AX116" s="14">
        <v>4.7300000000000002E-2</v>
      </c>
      <c r="AY116" s="14">
        <v>5.2999999999999999E-2</v>
      </c>
      <c r="AZ116" s="14">
        <v>3.7199999999999997E-2</v>
      </c>
      <c r="BA116" s="13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8">
        <v>4.1200000000000001E-2</v>
      </c>
      <c r="BM116" s="1"/>
      <c r="BN116" s="58">
        <v>4.9000000000000002E-2</v>
      </c>
      <c r="BO116" s="1"/>
      <c r="BP116" s="1"/>
      <c r="BQ116" s="1"/>
      <c r="BR116" s="58">
        <v>3.4099999999999998E-2</v>
      </c>
      <c r="BS116" s="13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8">
        <v>3.3300000000000003E-2</v>
      </c>
      <c r="Q117" s="86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8">
        <v>2.5000000000000001E-2</v>
      </c>
      <c r="AI117" s="13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4">
        <v>2.8500000000000001E-2</v>
      </c>
      <c r="AU117" s="14">
        <v>3.5000000000000003E-2</v>
      </c>
      <c r="AV117" s="14">
        <v>3.7999999999999999E-2</v>
      </c>
      <c r="AW117" s="14">
        <v>5.7200000000000001E-2</v>
      </c>
      <c r="AX117" s="14">
        <v>4.8000000000000001E-2</v>
      </c>
      <c r="AY117" s="14">
        <v>5.2999999999999999E-2</v>
      </c>
      <c r="AZ117" s="14">
        <v>3.7199999999999997E-2</v>
      </c>
      <c r="BA117" s="13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8">
        <v>4.1200000000000001E-2</v>
      </c>
      <c r="BM117" s="1"/>
      <c r="BN117" s="58">
        <v>4.9399999999999999E-2</v>
      </c>
      <c r="BO117" s="1"/>
      <c r="BP117" s="1"/>
      <c r="BQ117" s="1"/>
      <c r="BR117" s="58">
        <v>3.4299999999999997E-2</v>
      </c>
      <c r="BS117" s="13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8">
        <v>3.2500000000000001E-2</v>
      </c>
      <c r="Q118" s="86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8">
        <v>2.5000000000000001E-2</v>
      </c>
      <c r="AI118" s="13">
        <f t="shared" si="6"/>
        <v>9.700000000000002E-3</v>
      </c>
      <c r="AK118" s="4">
        <v>46191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4">
        <v>3.1E-2</v>
      </c>
      <c r="AU118" s="14">
        <v>0.04</v>
      </c>
      <c r="AV118" s="14">
        <v>3.6999999999999998E-2</v>
      </c>
      <c r="AW118" s="14">
        <v>5.7000000000000002E-2</v>
      </c>
      <c r="AX118" s="14">
        <v>4.8000000000000001E-2</v>
      </c>
      <c r="AY118" s="14">
        <v>5.79E-2</v>
      </c>
      <c r="AZ118" s="14">
        <v>3.6400000000000002E-2</v>
      </c>
      <c r="BA118" s="13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8">
        <v>4.1000000000000002E-2</v>
      </c>
      <c r="BM118" s="1"/>
      <c r="BN118" s="58">
        <v>4.82E-2</v>
      </c>
      <c r="BO118" s="1"/>
      <c r="BP118" s="1"/>
      <c r="BQ118" s="1"/>
      <c r="BR118" s="58">
        <v>3.4000000000000002E-2</v>
      </c>
      <c r="BS118" s="13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8">
        <v>3.1699999999999999E-2</v>
      </c>
      <c r="Q119" s="86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8">
        <v>2.5000000000000001E-2</v>
      </c>
      <c r="AI119" s="13">
        <f t="shared" si="6"/>
        <v>9.5000000000000015E-3</v>
      </c>
      <c r="AK119" s="4">
        <v>46192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4">
        <v>3.2000000000000001E-2</v>
      </c>
      <c r="AU119" s="14">
        <v>4.4499999999999998E-2</v>
      </c>
      <c r="AV119" s="14">
        <v>0.04</v>
      </c>
      <c r="AW119" s="14">
        <v>6.3E-2</v>
      </c>
      <c r="AX119" s="14">
        <v>4.8000000000000001E-2</v>
      </c>
      <c r="AY119" s="14">
        <v>5.8999999999999997E-2</v>
      </c>
      <c r="AZ119" s="14">
        <v>3.5099999999999999E-2</v>
      </c>
      <c r="BA119" s="13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8">
        <v>4.1000000000000002E-2</v>
      </c>
      <c r="BM119" s="1"/>
      <c r="BN119" s="58">
        <v>4.7399999999999998E-2</v>
      </c>
      <c r="BO119" s="1"/>
      <c r="BP119" s="1"/>
      <c r="BQ119" s="1"/>
      <c r="BR119" s="58">
        <v>3.3000000000000002E-2</v>
      </c>
      <c r="BS119" s="13">
        <f t="shared" si="3"/>
        <v>1.7800000000000003E-2</v>
      </c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>
        <v>1.0200000000000001E-2</v>
      </c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8">
        <v>3.15E-2</v>
      </c>
      <c r="Q120" s="86">
        <f t="shared" si="9"/>
        <v>2.1299999999999999E-2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>
        <v>3.5000000000000003E-2</v>
      </c>
      <c r="Y120" s="3" t="s">
        <v>33</v>
      </c>
      <c r="Z120" s="6">
        <v>1.52E-2</v>
      </c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8">
        <v>2.5000000000000001E-2</v>
      </c>
      <c r="AI120" s="13">
        <f t="shared" si="6"/>
        <v>9.8000000000000014E-3</v>
      </c>
      <c r="AK120" s="4">
        <v>46193</v>
      </c>
      <c r="AL120" s="6">
        <v>0.02</v>
      </c>
      <c r="AM120" s="3"/>
      <c r="AN120" s="3"/>
      <c r="AO120" s="3"/>
      <c r="AP120" s="3" t="s">
        <v>33</v>
      </c>
      <c r="AQ120" s="3" t="s">
        <v>33</v>
      </c>
      <c r="AR120" s="6">
        <v>1.18E-2</v>
      </c>
      <c r="AS120" s="2">
        <v>46193</v>
      </c>
      <c r="AT120" s="14">
        <v>3.2000000000000001E-2</v>
      </c>
      <c r="AU120" s="14">
        <v>3.2500000000000001E-2</v>
      </c>
      <c r="AV120" s="14">
        <v>3.6600000000000001E-2</v>
      </c>
      <c r="AW120" s="14">
        <v>3.8899999999999997E-2</v>
      </c>
      <c r="AX120" s="14">
        <v>4.65E-2</v>
      </c>
      <c r="AY120" s="14">
        <v>5.7799999999999997E-2</v>
      </c>
      <c r="AZ120" s="14">
        <v>3.5299999999999998E-2</v>
      </c>
      <c r="BA120" s="13">
        <f t="shared" si="5"/>
        <v>2.35E-2</v>
      </c>
      <c r="BC120" s="4">
        <v>46193</v>
      </c>
      <c r="BD120" s="6">
        <v>1.0999999999999999E-2</v>
      </c>
      <c r="BE120" s="6">
        <v>1.12E-2</v>
      </c>
      <c r="BF120" s="6">
        <v>1.14E-2</v>
      </c>
      <c r="BG120" s="3"/>
      <c r="BH120" s="3"/>
      <c r="BI120" s="3"/>
      <c r="BJ120" s="6">
        <v>1.4500000000000001E-2</v>
      </c>
      <c r="BK120" s="2">
        <v>46193</v>
      </c>
      <c r="BL120" s="58">
        <v>4.1000000000000002E-2</v>
      </c>
      <c r="BM120" s="1"/>
      <c r="BN120" s="58">
        <v>4.7399999999999998E-2</v>
      </c>
      <c r="BO120" s="1"/>
      <c r="BP120" s="1"/>
      <c r="BQ120" s="1"/>
      <c r="BR120" s="58">
        <v>3.1300000000000001E-2</v>
      </c>
      <c r="BS120" s="13">
        <f t="shared" si="3"/>
        <v>1.6800000000000002E-2</v>
      </c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>
        <v>1.0200000000000001E-2</v>
      </c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8">
        <v>3.1800000000000002E-2</v>
      </c>
      <c r="Q121" s="86">
        <f t="shared" si="9"/>
        <v>2.1600000000000001E-2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>
        <v>3.5000000000000003E-2</v>
      </c>
      <c r="Y121" s="3" t="s">
        <v>33</v>
      </c>
      <c r="Z121" s="6">
        <v>1.52E-2</v>
      </c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8">
        <v>2.5000000000000001E-2</v>
      </c>
      <c r="AI121" s="13">
        <f t="shared" si="6"/>
        <v>9.8000000000000014E-3</v>
      </c>
      <c r="AK121" s="4">
        <v>46194</v>
      </c>
      <c r="AL121" s="6">
        <v>0.02</v>
      </c>
      <c r="AM121" s="3"/>
      <c r="AN121" s="3"/>
      <c r="AO121" s="3"/>
      <c r="AP121" s="3" t="s">
        <v>33</v>
      </c>
      <c r="AQ121" s="3" t="s">
        <v>33</v>
      </c>
      <c r="AR121" s="6">
        <v>1.1299999999999999E-2</v>
      </c>
      <c r="AS121" s="2">
        <v>46194</v>
      </c>
      <c r="AT121" s="14">
        <v>3.2000000000000001E-2</v>
      </c>
      <c r="AU121" s="14">
        <v>3.2500000000000001E-2</v>
      </c>
      <c r="AV121" s="14">
        <v>3.6600000000000001E-2</v>
      </c>
      <c r="AW121" s="14">
        <v>3.8899999999999997E-2</v>
      </c>
      <c r="AX121" s="14">
        <v>4.65E-2</v>
      </c>
      <c r="AY121" s="14">
        <v>5.7799999999999997E-2</v>
      </c>
      <c r="AZ121" s="14">
        <v>3.5299999999999998E-2</v>
      </c>
      <c r="BA121" s="13">
        <f t="shared" si="5"/>
        <v>2.4E-2</v>
      </c>
      <c r="BC121" s="4">
        <v>46194</v>
      </c>
      <c r="BD121" s="6">
        <v>1.0999999999999999E-2</v>
      </c>
      <c r="BE121" s="6">
        <v>1.12E-2</v>
      </c>
      <c r="BF121" s="6">
        <v>1.14E-2</v>
      </c>
      <c r="BG121" s="3"/>
      <c r="BH121" s="3"/>
      <c r="BI121" s="3"/>
      <c r="BJ121" s="6">
        <v>2.01E-2</v>
      </c>
      <c r="BK121" s="2">
        <v>46194</v>
      </c>
      <c r="BL121" s="58">
        <v>5.9299999999999999E-2</v>
      </c>
      <c r="BM121" s="1"/>
      <c r="BN121" s="58">
        <v>7.1099999999999997E-2</v>
      </c>
      <c r="BO121" s="1"/>
      <c r="BP121" s="1"/>
      <c r="BQ121" s="1"/>
      <c r="BR121" s="58">
        <v>4.1700000000000001E-2</v>
      </c>
      <c r="BS121" s="13">
        <f t="shared" si="3"/>
        <v>2.1600000000000001E-2</v>
      </c>
    </row>
    <row r="122" spans="1:71" x14ac:dyDescent="0.35">
      <c r="A122" s="4">
        <v>46195</v>
      </c>
      <c r="B122" s="3" t="s">
        <v>33</v>
      </c>
      <c r="C122" s="3" t="s">
        <v>33</v>
      </c>
      <c r="D122" s="3" t="s">
        <v>32</v>
      </c>
      <c r="E122" s="3" t="s">
        <v>33</v>
      </c>
      <c r="F122" s="3" t="s">
        <v>32</v>
      </c>
      <c r="G122" s="3" t="s">
        <v>33</v>
      </c>
      <c r="H122" s="9">
        <v>1.0800000000000001E-2</v>
      </c>
      <c r="I122" s="2">
        <v>46195</v>
      </c>
      <c r="J122" s="1" t="s">
        <v>33</v>
      </c>
      <c r="K122" s="1" t="s">
        <v>33</v>
      </c>
      <c r="L122" s="1" t="s">
        <v>32</v>
      </c>
      <c r="M122" s="1" t="s">
        <v>33</v>
      </c>
      <c r="N122" s="1" t="s">
        <v>32</v>
      </c>
      <c r="O122" s="1" t="s">
        <v>32</v>
      </c>
      <c r="P122" s="58">
        <v>3.1800000000000002E-2</v>
      </c>
      <c r="Q122" s="86">
        <f t="shared" ref="Q122:Q132" si="10">P122-H122</f>
        <v>2.1000000000000001E-2</v>
      </c>
      <c r="S122" s="4">
        <v>46195</v>
      </c>
      <c r="T122" s="3" t="s">
        <v>33</v>
      </c>
      <c r="U122" s="3" t="s">
        <v>33</v>
      </c>
      <c r="V122" s="3" t="s">
        <v>33</v>
      </c>
      <c r="W122" s="3" t="s">
        <v>33</v>
      </c>
      <c r="X122" s="6">
        <v>3.5000000000000003E-2</v>
      </c>
      <c r="Y122" s="3" t="s">
        <v>33</v>
      </c>
      <c r="Z122" s="6">
        <v>1.46E-2</v>
      </c>
      <c r="AA122" s="2">
        <v>46195</v>
      </c>
      <c r="AB122" s="1" t="s">
        <v>33</v>
      </c>
      <c r="AC122" s="1" t="s">
        <v>33</v>
      </c>
      <c r="AD122" s="1" t="s">
        <v>33</v>
      </c>
      <c r="AE122" s="1" t="s">
        <v>33</v>
      </c>
      <c r="AF122" s="1" t="s">
        <v>33</v>
      </c>
      <c r="AG122" s="1" t="s">
        <v>33</v>
      </c>
      <c r="AH122" s="58">
        <v>2.5000000000000001E-2</v>
      </c>
      <c r="AI122" s="13">
        <f t="shared" si="6"/>
        <v>1.0400000000000001E-2</v>
      </c>
      <c r="AK122" s="4">
        <v>46195</v>
      </c>
      <c r="AL122" s="6">
        <v>0.02</v>
      </c>
      <c r="AM122" s="3"/>
      <c r="AN122" s="3"/>
      <c r="AO122" s="3"/>
      <c r="AP122" s="3" t="s">
        <v>33</v>
      </c>
      <c r="AQ122" s="3" t="s">
        <v>33</v>
      </c>
      <c r="AR122" s="6">
        <v>1.1299999999999999E-2</v>
      </c>
      <c r="AS122" s="2">
        <v>46195</v>
      </c>
      <c r="AT122" s="14">
        <v>3.2000000000000001E-2</v>
      </c>
      <c r="AU122" s="14">
        <v>3.2500000000000001E-2</v>
      </c>
      <c r="AV122" s="14">
        <v>3.6600000000000001E-2</v>
      </c>
      <c r="AW122" s="14">
        <v>3.8899999999999997E-2</v>
      </c>
      <c r="AX122" s="14">
        <v>4.65E-2</v>
      </c>
      <c r="AY122" s="14">
        <v>5.7799999999999997E-2</v>
      </c>
      <c r="AZ122" s="14">
        <v>3.5299999999999998E-2</v>
      </c>
      <c r="BA122" s="13">
        <f t="shared" si="5"/>
        <v>2.4E-2</v>
      </c>
      <c r="BC122" s="4">
        <v>46195</v>
      </c>
      <c r="BD122" s="6">
        <v>2.58E-2</v>
      </c>
      <c r="BE122" s="6">
        <v>2.6100000000000002E-2</v>
      </c>
      <c r="BF122" s="6">
        <v>2.63E-2</v>
      </c>
      <c r="BG122" s="3"/>
      <c r="BH122" s="3"/>
      <c r="BI122" s="3"/>
      <c r="BJ122" s="6">
        <v>2.1499999999999998E-2</v>
      </c>
      <c r="BK122" s="2">
        <v>46195</v>
      </c>
      <c r="BL122" s="58">
        <v>5.9299999999999999E-2</v>
      </c>
      <c r="BM122" s="1"/>
      <c r="BN122" s="58">
        <v>7.1099999999999997E-2</v>
      </c>
      <c r="BO122" s="1"/>
      <c r="BP122" s="1"/>
      <c r="BQ122" s="1"/>
      <c r="BR122" s="58">
        <v>4.9500000000000002E-2</v>
      </c>
      <c r="BS122" s="13">
        <f t="shared" si="3"/>
        <v>2.8000000000000004E-2</v>
      </c>
    </row>
    <row r="123" spans="1:71" x14ac:dyDescent="0.35">
      <c r="A123" s="4">
        <v>46196</v>
      </c>
      <c r="B123" s="3" t="s">
        <v>33</v>
      </c>
      <c r="C123" s="3" t="s">
        <v>33</v>
      </c>
      <c r="D123" s="3" t="s">
        <v>32</v>
      </c>
      <c r="E123" s="3" t="s">
        <v>33</v>
      </c>
      <c r="F123" s="3" t="s">
        <v>32</v>
      </c>
      <c r="G123" s="3" t="s">
        <v>33</v>
      </c>
      <c r="H123" s="9">
        <v>1.2E-2</v>
      </c>
      <c r="I123" s="2">
        <v>46196</v>
      </c>
      <c r="J123" s="1" t="s">
        <v>33</v>
      </c>
      <c r="K123" s="1" t="s">
        <v>33</v>
      </c>
      <c r="L123" s="1" t="s">
        <v>32</v>
      </c>
      <c r="M123" s="1" t="s">
        <v>33</v>
      </c>
      <c r="N123" s="1" t="s">
        <v>32</v>
      </c>
      <c r="O123" s="1" t="s">
        <v>32</v>
      </c>
      <c r="P123" s="58">
        <v>3.3500000000000002E-2</v>
      </c>
      <c r="Q123" s="86">
        <f t="shared" si="10"/>
        <v>2.1500000000000002E-2</v>
      </c>
      <c r="S123" s="4">
        <v>46196</v>
      </c>
      <c r="T123" s="3" t="s">
        <v>33</v>
      </c>
      <c r="U123" s="3" t="s">
        <v>33</v>
      </c>
      <c r="V123" s="3" t="s">
        <v>33</v>
      </c>
      <c r="W123" s="3" t="s">
        <v>33</v>
      </c>
      <c r="X123" s="6">
        <v>3.5000000000000003E-2</v>
      </c>
      <c r="Y123" s="3" t="s">
        <v>33</v>
      </c>
      <c r="Z123" s="6">
        <v>1.54E-2</v>
      </c>
      <c r="AA123" s="2">
        <v>46196</v>
      </c>
      <c r="AB123" s="1" t="s">
        <v>33</v>
      </c>
      <c r="AC123" s="1" t="s">
        <v>33</v>
      </c>
      <c r="AD123" s="1" t="s">
        <v>33</v>
      </c>
      <c r="AE123" s="1" t="s">
        <v>33</v>
      </c>
      <c r="AF123" s="1" t="s">
        <v>33</v>
      </c>
      <c r="AG123" s="1" t="s">
        <v>33</v>
      </c>
      <c r="AH123" s="58">
        <v>2.5000000000000001E-2</v>
      </c>
      <c r="AI123" s="13">
        <f t="shared" si="6"/>
        <v>9.6000000000000009E-3</v>
      </c>
      <c r="AK123" s="4">
        <v>46196</v>
      </c>
      <c r="AL123" s="6">
        <v>0.02</v>
      </c>
      <c r="AM123" s="3"/>
      <c r="AN123" s="3"/>
      <c r="AO123" s="3"/>
      <c r="AP123" s="3" t="s">
        <v>33</v>
      </c>
      <c r="AQ123" s="3" t="s">
        <v>33</v>
      </c>
      <c r="AR123" s="6">
        <v>1.2500000000000001E-2</v>
      </c>
      <c r="AS123" s="2">
        <v>46196</v>
      </c>
      <c r="AT123" s="14">
        <v>3.2000000000000001E-2</v>
      </c>
      <c r="AU123" s="14">
        <v>3.9899999999999998E-2</v>
      </c>
      <c r="AV123" s="14">
        <v>3.1E-2</v>
      </c>
      <c r="AW123" s="14">
        <v>6.0999999999999999E-2</v>
      </c>
      <c r="AX123" s="14">
        <v>4.9000000000000002E-2</v>
      </c>
      <c r="AY123" s="14">
        <v>5.9900000000000002E-2</v>
      </c>
      <c r="AZ123" s="14">
        <v>3.6299999999999999E-2</v>
      </c>
      <c r="BA123" s="13">
        <f t="shared" si="5"/>
        <v>2.3799999999999998E-2</v>
      </c>
      <c r="BC123" s="4">
        <v>46196</v>
      </c>
      <c r="BD123" s="6">
        <v>2.58E-2</v>
      </c>
      <c r="BE123" s="6">
        <v>2.6100000000000002E-2</v>
      </c>
      <c r="BF123" s="6">
        <v>2.63E-2</v>
      </c>
      <c r="BG123" s="3"/>
      <c r="BH123" s="3"/>
      <c r="BI123" s="3"/>
      <c r="BJ123" s="6">
        <v>2.1899999999999999E-2</v>
      </c>
      <c r="BK123" s="2">
        <v>46196</v>
      </c>
      <c r="BL123" s="58">
        <v>6.3299999999999995E-2</v>
      </c>
      <c r="BM123" s="1"/>
      <c r="BN123" s="58">
        <v>7.5899999999999995E-2</v>
      </c>
      <c r="BO123" s="1"/>
      <c r="BP123" s="1"/>
      <c r="BQ123" s="1"/>
      <c r="BR123" s="58">
        <v>5.28E-2</v>
      </c>
      <c r="BS123" s="13">
        <f t="shared" si="3"/>
        <v>3.09E-2</v>
      </c>
    </row>
    <row r="124" spans="1:71" x14ac:dyDescent="0.35">
      <c r="A124" s="4">
        <v>46197</v>
      </c>
      <c r="B124" s="3" t="s">
        <v>33</v>
      </c>
      <c r="C124" s="3" t="s">
        <v>33</v>
      </c>
      <c r="D124" s="3" t="s">
        <v>32</v>
      </c>
      <c r="E124" s="3" t="s">
        <v>33</v>
      </c>
      <c r="F124" s="3" t="s">
        <v>32</v>
      </c>
      <c r="G124" s="3" t="s">
        <v>33</v>
      </c>
      <c r="H124" s="9">
        <v>1.14E-2</v>
      </c>
      <c r="I124" s="2">
        <v>46197</v>
      </c>
      <c r="J124" s="1" t="s">
        <v>33</v>
      </c>
      <c r="K124" s="1" t="s">
        <v>33</v>
      </c>
      <c r="L124" s="1" t="s">
        <v>32</v>
      </c>
      <c r="M124" s="1" t="s">
        <v>33</v>
      </c>
      <c r="N124" s="1" t="s">
        <v>32</v>
      </c>
      <c r="O124" s="1" t="s">
        <v>32</v>
      </c>
      <c r="P124" s="58">
        <v>3.27E-2</v>
      </c>
      <c r="Q124" s="86">
        <f t="shared" si="10"/>
        <v>2.1299999999999999E-2</v>
      </c>
      <c r="S124" s="4">
        <v>46197</v>
      </c>
      <c r="T124" s="3" t="s">
        <v>33</v>
      </c>
      <c r="U124" s="3" t="s">
        <v>33</v>
      </c>
      <c r="V124" s="3" t="s">
        <v>33</v>
      </c>
      <c r="W124" s="3" t="s">
        <v>33</v>
      </c>
      <c r="X124" s="6">
        <v>3.5000000000000003E-2</v>
      </c>
      <c r="Y124" s="3" t="s">
        <v>33</v>
      </c>
      <c r="Z124" s="6">
        <v>1.55E-2</v>
      </c>
      <c r="AA124" s="2">
        <v>46197</v>
      </c>
      <c r="AB124" s="1" t="s">
        <v>33</v>
      </c>
      <c r="AC124" s="1" t="s">
        <v>33</v>
      </c>
      <c r="AD124" s="1" t="s">
        <v>33</v>
      </c>
      <c r="AE124" s="1" t="s">
        <v>33</v>
      </c>
      <c r="AF124" s="1" t="s">
        <v>33</v>
      </c>
      <c r="AG124" s="1" t="s">
        <v>33</v>
      </c>
      <c r="AH124" s="58">
        <v>2.5000000000000001E-2</v>
      </c>
      <c r="AI124" s="13">
        <f t="shared" si="6"/>
        <v>9.5000000000000015E-3</v>
      </c>
      <c r="AK124" s="4">
        <v>46197</v>
      </c>
      <c r="AL124" s="6">
        <v>0.02</v>
      </c>
      <c r="AM124" s="3"/>
      <c r="AN124" s="3"/>
      <c r="AO124" s="3"/>
      <c r="AP124" s="3" t="s">
        <v>33</v>
      </c>
      <c r="AQ124" s="3" t="s">
        <v>33</v>
      </c>
      <c r="AR124" s="6">
        <v>1.24E-2</v>
      </c>
      <c r="AS124" s="2">
        <v>46197</v>
      </c>
      <c r="AT124" s="14">
        <v>3.2000000000000001E-2</v>
      </c>
      <c r="AU124" s="14">
        <v>3.2000000000000001E-2</v>
      </c>
      <c r="AV124" s="14">
        <v>3.7999999999999999E-2</v>
      </c>
      <c r="AW124" s="14">
        <v>5.9700000000000003E-2</v>
      </c>
      <c r="AX124" s="14">
        <v>4.9000000000000002E-2</v>
      </c>
      <c r="AY124" s="14">
        <v>5.6899999999999999E-2</v>
      </c>
      <c r="AZ124" s="14">
        <v>3.6799999999999999E-2</v>
      </c>
      <c r="BA124" s="13">
        <f t="shared" si="5"/>
        <v>2.4399999999999998E-2</v>
      </c>
      <c r="BC124" s="4">
        <v>46197</v>
      </c>
      <c r="BD124" s="6">
        <v>2.58E-2</v>
      </c>
      <c r="BE124" s="6">
        <v>2.6100000000000002E-2</v>
      </c>
      <c r="BF124" s="6">
        <v>2.63E-2</v>
      </c>
      <c r="BG124" s="3"/>
      <c r="BH124" s="3"/>
      <c r="BI124" s="3"/>
      <c r="BJ124" s="6">
        <v>2.1999999999999999E-2</v>
      </c>
      <c r="BK124" s="2">
        <v>46197</v>
      </c>
      <c r="BL124" s="58">
        <v>6.3799999999999996E-2</v>
      </c>
      <c r="BM124" s="1"/>
      <c r="BN124" s="58">
        <v>7.6600000000000001E-2</v>
      </c>
      <c r="BO124" s="1"/>
      <c r="BP124" s="1"/>
      <c r="BQ124" s="1"/>
      <c r="BR124" s="58">
        <v>5.3199999999999997E-2</v>
      </c>
      <c r="BS124" s="13">
        <f t="shared" si="3"/>
        <v>3.1199999999999999E-2</v>
      </c>
    </row>
    <row r="125" spans="1:71" x14ac:dyDescent="0.35">
      <c r="A125" s="4">
        <v>46198</v>
      </c>
      <c r="B125" s="3" t="s">
        <v>33</v>
      </c>
      <c r="C125" s="3" t="s">
        <v>33</v>
      </c>
      <c r="D125" s="3" t="s">
        <v>32</v>
      </c>
      <c r="E125" s="3" t="s">
        <v>33</v>
      </c>
      <c r="F125" s="3" t="s">
        <v>32</v>
      </c>
      <c r="G125" s="3" t="s">
        <v>33</v>
      </c>
      <c r="H125" s="9">
        <v>1.12E-2</v>
      </c>
      <c r="I125" s="2">
        <v>46198</v>
      </c>
      <c r="J125" s="1" t="s">
        <v>33</v>
      </c>
      <c r="K125" s="1" t="s">
        <v>33</v>
      </c>
      <c r="L125" s="1" t="s">
        <v>32</v>
      </c>
      <c r="M125" s="1" t="s">
        <v>33</v>
      </c>
      <c r="N125" s="1" t="s">
        <v>32</v>
      </c>
      <c r="O125" s="1" t="s">
        <v>32</v>
      </c>
      <c r="P125" s="58">
        <v>3.2399999999999998E-2</v>
      </c>
      <c r="Q125" s="86">
        <f t="shared" si="10"/>
        <v>2.1199999999999997E-2</v>
      </c>
      <c r="S125" s="4">
        <v>46198</v>
      </c>
      <c r="T125" s="3" t="s">
        <v>33</v>
      </c>
      <c r="U125" s="3" t="s">
        <v>33</v>
      </c>
      <c r="V125" s="3" t="s">
        <v>33</v>
      </c>
      <c r="W125" s="3" t="s">
        <v>33</v>
      </c>
      <c r="X125" s="6">
        <v>3.5000000000000003E-2</v>
      </c>
      <c r="Y125" s="3" t="s">
        <v>33</v>
      </c>
      <c r="Z125" s="6">
        <v>1.5699999999999999E-2</v>
      </c>
      <c r="AA125" s="2">
        <v>46198</v>
      </c>
      <c r="AB125" s="1" t="s">
        <v>33</v>
      </c>
      <c r="AC125" s="1" t="s">
        <v>33</v>
      </c>
      <c r="AD125" s="1" t="s">
        <v>33</v>
      </c>
      <c r="AE125" s="1" t="s">
        <v>33</v>
      </c>
      <c r="AF125" s="1" t="s">
        <v>33</v>
      </c>
      <c r="AG125" s="1" t="s">
        <v>33</v>
      </c>
      <c r="AH125" s="58">
        <v>2.5000000000000001E-2</v>
      </c>
      <c r="AI125" s="13">
        <f t="shared" si="6"/>
        <v>9.3000000000000027E-3</v>
      </c>
      <c r="AK125" s="4">
        <v>46198</v>
      </c>
      <c r="AL125" s="6">
        <v>0.02</v>
      </c>
      <c r="AM125" s="3"/>
      <c r="AN125" s="3"/>
      <c r="AO125" s="3"/>
      <c r="AP125" s="3" t="s">
        <v>33</v>
      </c>
      <c r="AQ125" s="3" t="s">
        <v>33</v>
      </c>
      <c r="AR125" s="6">
        <v>1.1900000000000001E-2</v>
      </c>
      <c r="AS125" s="2">
        <v>46198</v>
      </c>
      <c r="AT125" s="14">
        <v>3.2000000000000001E-2</v>
      </c>
      <c r="AU125" s="14">
        <v>0.04</v>
      </c>
      <c r="AV125" s="14">
        <v>4.5999999999999999E-2</v>
      </c>
      <c r="AW125" s="14">
        <v>5.96E-2</v>
      </c>
      <c r="AX125" s="14">
        <v>4.9000000000000002E-2</v>
      </c>
      <c r="AY125" s="14">
        <v>5.96E-2</v>
      </c>
      <c r="AZ125" s="14">
        <v>3.61E-2</v>
      </c>
      <c r="BA125" s="13">
        <f t="shared" si="5"/>
        <v>2.4199999999999999E-2</v>
      </c>
      <c r="BC125" s="4">
        <v>46198</v>
      </c>
      <c r="BD125" s="6">
        <v>2.58E-2</v>
      </c>
      <c r="BE125" s="6">
        <v>2.6100000000000002E-2</v>
      </c>
      <c r="BF125" s="6">
        <v>2.63E-2</v>
      </c>
      <c r="BG125" s="3"/>
      <c r="BH125" s="3"/>
      <c r="BI125" s="3"/>
      <c r="BJ125" s="6">
        <v>1.9900000000000001E-2</v>
      </c>
      <c r="BK125" s="2">
        <v>46198</v>
      </c>
      <c r="BL125" s="58">
        <v>6.3200000000000006E-2</v>
      </c>
      <c r="BM125" s="1"/>
      <c r="BN125" s="58">
        <v>7.5800000000000006E-2</v>
      </c>
      <c r="BO125" s="1"/>
      <c r="BP125" s="1"/>
      <c r="BQ125" s="1"/>
      <c r="BR125" s="58">
        <v>5.2699999999999997E-2</v>
      </c>
      <c r="BS125" s="13">
        <f t="shared" si="3"/>
        <v>3.2799999999999996E-2</v>
      </c>
    </row>
    <row r="126" spans="1:71" x14ac:dyDescent="0.35">
      <c r="A126" s="4">
        <v>46199</v>
      </c>
      <c r="B126" s="3" t="s">
        <v>33</v>
      </c>
      <c r="C126" s="3" t="s">
        <v>33</v>
      </c>
      <c r="D126" s="3" t="s">
        <v>32</v>
      </c>
      <c r="E126" s="3" t="s">
        <v>33</v>
      </c>
      <c r="F126" s="3" t="s">
        <v>32</v>
      </c>
      <c r="G126" s="3" t="s">
        <v>33</v>
      </c>
      <c r="H126" s="9">
        <v>1.17E-2</v>
      </c>
      <c r="I126" s="2">
        <v>46199</v>
      </c>
      <c r="J126" s="1" t="s">
        <v>33</v>
      </c>
      <c r="K126" s="1" t="s">
        <v>33</v>
      </c>
      <c r="L126" s="1" t="s">
        <v>32</v>
      </c>
      <c r="M126" s="1" t="s">
        <v>33</v>
      </c>
      <c r="N126" s="1" t="s">
        <v>32</v>
      </c>
      <c r="O126" s="1" t="s">
        <v>32</v>
      </c>
      <c r="P126" s="58">
        <v>3.32E-2</v>
      </c>
      <c r="Q126" s="86">
        <f t="shared" si="10"/>
        <v>2.1499999999999998E-2</v>
      </c>
      <c r="S126" s="4">
        <v>46199</v>
      </c>
      <c r="T126" s="3" t="s">
        <v>33</v>
      </c>
      <c r="U126" s="3" t="s">
        <v>33</v>
      </c>
      <c r="V126" s="3" t="s">
        <v>33</v>
      </c>
      <c r="W126" s="3" t="s">
        <v>33</v>
      </c>
      <c r="X126" s="6">
        <v>3.5000000000000003E-2</v>
      </c>
      <c r="Y126" s="3" t="s">
        <v>33</v>
      </c>
      <c r="Z126" s="6">
        <v>1.5800000000000002E-2</v>
      </c>
      <c r="AA126" s="2">
        <v>46199</v>
      </c>
      <c r="AB126" s="1" t="s">
        <v>33</v>
      </c>
      <c r="AC126" s="1" t="s">
        <v>33</v>
      </c>
      <c r="AD126" s="1" t="s">
        <v>33</v>
      </c>
      <c r="AE126" s="1" t="s">
        <v>33</v>
      </c>
      <c r="AF126" s="1" t="s">
        <v>33</v>
      </c>
      <c r="AG126" s="1" t="s">
        <v>33</v>
      </c>
      <c r="AH126" s="58">
        <v>2.5000000000000001E-2</v>
      </c>
      <c r="AI126" s="13">
        <f t="shared" si="6"/>
        <v>9.1999999999999998E-3</v>
      </c>
      <c r="AK126" s="4">
        <v>46199</v>
      </c>
      <c r="AL126" s="6">
        <v>0.02</v>
      </c>
      <c r="AM126" s="3"/>
      <c r="AN126" s="3"/>
      <c r="AO126" s="3"/>
      <c r="AP126" s="3" t="s">
        <v>33</v>
      </c>
      <c r="AQ126" s="3" t="s">
        <v>33</v>
      </c>
      <c r="AR126" s="6">
        <v>1.23E-2</v>
      </c>
      <c r="AS126" s="2">
        <v>46199</v>
      </c>
      <c r="AT126" s="14">
        <v>3.2000000000000001E-2</v>
      </c>
      <c r="AU126" s="14">
        <v>3.9899999999999998E-2</v>
      </c>
      <c r="AV126" s="14">
        <v>4.1000000000000002E-2</v>
      </c>
      <c r="AW126" s="14">
        <v>5.9299999999999999E-2</v>
      </c>
      <c r="AX126" s="14">
        <v>4.0899999999999999E-2</v>
      </c>
      <c r="AY126" s="14" t="s">
        <v>71</v>
      </c>
      <c r="AZ126" s="14">
        <v>3.6999999999999998E-2</v>
      </c>
      <c r="BA126" s="13">
        <f t="shared" si="5"/>
        <v>2.47E-2</v>
      </c>
      <c r="BC126" s="4">
        <v>46199</v>
      </c>
      <c r="BD126" s="6">
        <v>2.1000000000000001E-2</v>
      </c>
      <c r="BE126" s="6">
        <v>2.1499999999999998E-2</v>
      </c>
      <c r="BF126" s="6">
        <v>2.1899999999999999E-2</v>
      </c>
      <c r="BG126" s="3"/>
      <c r="BH126" s="3"/>
      <c r="BI126" s="3"/>
      <c r="BJ126" s="6">
        <v>2.07E-2</v>
      </c>
      <c r="BK126" s="2">
        <v>46199</v>
      </c>
      <c r="BL126" s="58">
        <v>6.4699999999999994E-2</v>
      </c>
      <c r="BM126" s="1"/>
      <c r="BN126" s="58">
        <v>7.7700000000000005E-2</v>
      </c>
      <c r="BO126" s="1"/>
      <c r="BP126" s="1"/>
      <c r="BQ126" s="1"/>
      <c r="BR126" s="58">
        <v>5.3999999999999999E-2</v>
      </c>
      <c r="BS126" s="13">
        <f t="shared" si="3"/>
        <v>3.3299999999999996E-2</v>
      </c>
    </row>
    <row r="127" spans="1:71" x14ac:dyDescent="0.35">
      <c r="A127" s="4">
        <v>46200</v>
      </c>
      <c r="B127" s="3" t="s">
        <v>33</v>
      </c>
      <c r="C127" s="3" t="s">
        <v>33</v>
      </c>
      <c r="D127" s="3" t="s">
        <v>32</v>
      </c>
      <c r="E127" s="3" t="s">
        <v>33</v>
      </c>
      <c r="F127" s="3" t="s">
        <v>32</v>
      </c>
      <c r="G127" s="3" t="s">
        <v>33</v>
      </c>
      <c r="H127" s="9">
        <v>1.1299999999999999E-2</v>
      </c>
      <c r="I127" s="2">
        <v>46200</v>
      </c>
      <c r="J127" s="1" t="s">
        <v>33</v>
      </c>
      <c r="K127" s="1" t="s">
        <v>33</v>
      </c>
      <c r="L127" s="1" t="s">
        <v>32</v>
      </c>
      <c r="M127" s="1" t="s">
        <v>33</v>
      </c>
      <c r="N127" s="1" t="s">
        <v>32</v>
      </c>
      <c r="O127" s="1" t="s">
        <v>32</v>
      </c>
      <c r="P127" s="58">
        <v>3.39E-2</v>
      </c>
      <c r="Q127" s="86">
        <f t="shared" si="10"/>
        <v>2.2600000000000002E-2</v>
      </c>
      <c r="S127" s="4">
        <v>46200</v>
      </c>
      <c r="T127" s="3" t="s">
        <v>33</v>
      </c>
      <c r="U127" s="3" t="s">
        <v>33</v>
      </c>
      <c r="V127" s="3" t="s">
        <v>33</v>
      </c>
      <c r="W127" s="3" t="s">
        <v>33</v>
      </c>
      <c r="X127" s="6">
        <v>3.5000000000000003E-2</v>
      </c>
      <c r="Y127" s="3" t="s">
        <v>33</v>
      </c>
      <c r="Z127" s="6">
        <v>1.6299999999999999E-2</v>
      </c>
      <c r="AA127" s="2">
        <v>46200</v>
      </c>
      <c r="AB127" s="1" t="s">
        <v>33</v>
      </c>
      <c r="AC127" s="1" t="s">
        <v>33</v>
      </c>
      <c r="AD127" s="1" t="s">
        <v>33</v>
      </c>
      <c r="AE127" s="1" t="s">
        <v>33</v>
      </c>
      <c r="AF127" s="1" t="s">
        <v>33</v>
      </c>
      <c r="AG127" s="1" t="s">
        <v>33</v>
      </c>
      <c r="AH127" s="58">
        <v>2.5000000000000001E-2</v>
      </c>
      <c r="AI127" s="13">
        <f t="shared" si="6"/>
        <v>8.7000000000000029E-3</v>
      </c>
      <c r="AK127" s="4">
        <v>46200</v>
      </c>
      <c r="AL127" s="6">
        <v>0.02</v>
      </c>
      <c r="AM127" s="3"/>
      <c r="AN127" s="3"/>
      <c r="AO127" s="3"/>
      <c r="AP127" s="3" t="s">
        <v>33</v>
      </c>
      <c r="AQ127" s="3" t="s">
        <v>33</v>
      </c>
      <c r="AR127" s="6">
        <v>1.23E-2</v>
      </c>
      <c r="AS127" s="2">
        <v>46200</v>
      </c>
      <c r="AT127" s="14">
        <v>3.2000000000000001E-2</v>
      </c>
      <c r="AU127" s="14">
        <v>3.78E-2</v>
      </c>
      <c r="AV127" s="14">
        <v>4.0800000000000003E-2</v>
      </c>
      <c r="AW127" s="14">
        <v>5.8400000000000001E-2</v>
      </c>
      <c r="AX127" s="14">
        <v>0.04</v>
      </c>
      <c r="AY127" s="14">
        <v>4.3999999999999997E-2</v>
      </c>
      <c r="AZ127" s="14">
        <v>3.6600000000000001E-2</v>
      </c>
      <c r="BA127" s="13">
        <f t="shared" si="5"/>
        <v>2.4300000000000002E-2</v>
      </c>
      <c r="BC127" s="4">
        <v>46200</v>
      </c>
      <c r="BD127" s="6">
        <v>1.52E-2</v>
      </c>
      <c r="BE127" s="6">
        <v>1.55E-2</v>
      </c>
      <c r="BF127" s="6">
        <v>1.5800000000000002E-2</v>
      </c>
      <c r="BG127" s="3"/>
      <c r="BH127" s="3"/>
      <c r="BI127" s="3"/>
      <c r="BJ127" s="6">
        <v>2.0299999999999999E-2</v>
      </c>
      <c r="BK127" s="2">
        <v>46200</v>
      </c>
      <c r="BL127" s="58">
        <v>5.1900000000000002E-2</v>
      </c>
      <c r="BM127" s="1"/>
      <c r="BN127" s="58">
        <v>6.2199999999999998E-2</v>
      </c>
      <c r="BO127" s="1"/>
      <c r="BP127" s="1"/>
      <c r="BQ127" s="1"/>
      <c r="BR127" s="58">
        <v>5.3600000000000002E-2</v>
      </c>
      <c r="BS127" s="13">
        <f t="shared" si="3"/>
        <v>3.3300000000000003E-2</v>
      </c>
    </row>
    <row r="128" spans="1:71" x14ac:dyDescent="0.35">
      <c r="A128" s="4">
        <v>46201</v>
      </c>
      <c r="B128" s="3" t="s">
        <v>33</v>
      </c>
      <c r="C128" s="3" t="s">
        <v>33</v>
      </c>
      <c r="D128" s="3" t="s">
        <v>32</v>
      </c>
      <c r="E128" s="3" t="s">
        <v>33</v>
      </c>
      <c r="F128" s="3" t="s">
        <v>32</v>
      </c>
      <c r="G128" s="3" t="s">
        <v>33</v>
      </c>
      <c r="H128" s="9">
        <v>1.12E-2</v>
      </c>
      <c r="I128" s="2">
        <v>46201</v>
      </c>
      <c r="J128" s="1" t="s">
        <v>33</v>
      </c>
      <c r="K128" s="1" t="s">
        <v>33</v>
      </c>
      <c r="L128" s="1" t="s">
        <v>32</v>
      </c>
      <c r="M128" s="1" t="s">
        <v>33</v>
      </c>
      <c r="N128" s="1" t="s">
        <v>32</v>
      </c>
      <c r="O128" s="1" t="s">
        <v>32</v>
      </c>
      <c r="P128" s="58">
        <v>3.4200000000000001E-2</v>
      </c>
      <c r="Q128" s="86">
        <f t="shared" si="10"/>
        <v>2.3E-2</v>
      </c>
      <c r="S128" s="4">
        <v>46201</v>
      </c>
      <c r="T128" s="3" t="s">
        <v>33</v>
      </c>
      <c r="U128" s="3" t="s">
        <v>33</v>
      </c>
      <c r="V128" s="3" t="s">
        <v>33</v>
      </c>
      <c r="W128" s="3" t="s">
        <v>33</v>
      </c>
      <c r="X128" s="6">
        <v>3.5000000000000003E-2</v>
      </c>
      <c r="Y128" s="3" t="s">
        <v>33</v>
      </c>
      <c r="Z128" s="6">
        <v>1.5800000000000002E-2</v>
      </c>
      <c r="AA128" s="2">
        <v>46201</v>
      </c>
      <c r="AB128" s="1" t="s">
        <v>33</v>
      </c>
      <c r="AC128" s="1" t="s">
        <v>33</v>
      </c>
      <c r="AD128" s="1" t="s">
        <v>33</v>
      </c>
      <c r="AE128" s="1" t="s">
        <v>33</v>
      </c>
      <c r="AF128" s="1" t="s">
        <v>33</v>
      </c>
      <c r="AG128" s="1" t="s">
        <v>33</v>
      </c>
      <c r="AH128" s="58">
        <v>2.5000000000000001E-2</v>
      </c>
      <c r="AI128" s="13">
        <f t="shared" si="6"/>
        <v>9.1999999999999998E-3</v>
      </c>
      <c r="AK128" s="4">
        <v>46201</v>
      </c>
      <c r="AL128" s="6">
        <v>0.02</v>
      </c>
      <c r="AM128" s="3"/>
      <c r="AN128" s="3"/>
      <c r="AO128" s="3"/>
      <c r="AP128" s="3" t="s">
        <v>33</v>
      </c>
      <c r="AQ128" s="3" t="s">
        <v>33</v>
      </c>
      <c r="AR128" s="6">
        <v>1.23E-2</v>
      </c>
      <c r="AS128" s="2">
        <v>46201</v>
      </c>
      <c r="AT128" s="14">
        <v>3.2000000000000001E-2</v>
      </c>
      <c r="AU128" s="14">
        <v>3.78E-2</v>
      </c>
      <c r="AV128" s="14">
        <v>4.0800000000000003E-2</v>
      </c>
      <c r="AW128" s="14">
        <v>5.8400000000000001E-2</v>
      </c>
      <c r="AX128" s="14">
        <v>0.04</v>
      </c>
      <c r="AY128" s="14">
        <v>4.3999999999999997E-2</v>
      </c>
      <c r="AZ128" s="14">
        <v>3.6600000000000001E-2</v>
      </c>
      <c r="BA128" s="13">
        <f t="shared" si="5"/>
        <v>2.4300000000000002E-2</v>
      </c>
      <c r="BC128" s="4">
        <v>46201</v>
      </c>
      <c r="BD128" s="6">
        <v>1.52E-2</v>
      </c>
      <c r="BE128" s="6">
        <v>1.55E-2</v>
      </c>
      <c r="BF128" s="6">
        <v>1.5800000000000002E-2</v>
      </c>
      <c r="BG128" s="3"/>
      <c r="BH128" s="3"/>
      <c r="BI128" s="3"/>
      <c r="BJ128" s="6">
        <v>1.9300000000000001E-2</v>
      </c>
      <c r="BK128" s="2">
        <v>46201</v>
      </c>
      <c r="BL128" s="58">
        <v>5.1900000000000002E-2</v>
      </c>
      <c r="BM128" s="1"/>
      <c r="BN128" s="58">
        <v>6.2199999999999998E-2</v>
      </c>
      <c r="BO128" s="1"/>
      <c r="BP128" s="1"/>
      <c r="BQ128" s="1"/>
      <c r="BR128" s="58">
        <v>5.3600000000000002E-2</v>
      </c>
      <c r="BS128" s="13">
        <f t="shared" si="3"/>
        <v>3.4299999999999997E-2</v>
      </c>
    </row>
    <row r="129" spans="1:71" x14ac:dyDescent="0.35">
      <c r="A129" s="4">
        <v>46202</v>
      </c>
      <c r="B129" s="3" t="s">
        <v>33</v>
      </c>
      <c r="C129" s="3" t="s">
        <v>33</v>
      </c>
      <c r="D129" s="3" t="s">
        <v>32</v>
      </c>
      <c r="E129" s="3" t="s">
        <v>33</v>
      </c>
      <c r="F129" s="3" t="s">
        <v>32</v>
      </c>
      <c r="G129" s="3" t="s">
        <v>33</v>
      </c>
      <c r="H129" s="9">
        <v>1.1599999999999999E-2</v>
      </c>
      <c r="I129" s="2">
        <v>46202</v>
      </c>
      <c r="J129" s="1" t="s">
        <v>33</v>
      </c>
      <c r="K129" s="1" t="s">
        <v>33</v>
      </c>
      <c r="L129" s="1" t="s">
        <v>32</v>
      </c>
      <c r="M129" s="1" t="s">
        <v>33</v>
      </c>
      <c r="N129" s="1" t="s">
        <v>32</v>
      </c>
      <c r="O129" s="1" t="s">
        <v>32</v>
      </c>
      <c r="P129" s="58">
        <v>3.2899999999999999E-2</v>
      </c>
      <c r="Q129" s="86">
        <f t="shared" si="10"/>
        <v>2.1299999999999999E-2</v>
      </c>
      <c r="S129" s="4">
        <v>46202</v>
      </c>
      <c r="T129" s="3" t="s">
        <v>33</v>
      </c>
      <c r="U129" s="3" t="s">
        <v>33</v>
      </c>
      <c r="V129" s="3" t="s">
        <v>33</v>
      </c>
      <c r="W129" s="3" t="s">
        <v>33</v>
      </c>
      <c r="X129" s="6">
        <v>3.5000000000000003E-2</v>
      </c>
      <c r="Y129" s="3" t="s">
        <v>33</v>
      </c>
      <c r="Z129" s="6">
        <v>1.5100000000000001E-2</v>
      </c>
      <c r="AA129" s="2">
        <v>46202</v>
      </c>
      <c r="AB129" s="1" t="s">
        <v>33</v>
      </c>
      <c r="AC129" s="1" t="s">
        <v>33</v>
      </c>
      <c r="AD129" s="1" t="s">
        <v>33</v>
      </c>
      <c r="AE129" s="1" t="s">
        <v>33</v>
      </c>
      <c r="AF129" s="1" t="s">
        <v>33</v>
      </c>
      <c r="AG129" s="1" t="s">
        <v>33</v>
      </c>
      <c r="AH129" s="58">
        <v>2.5000000000000001E-2</v>
      </c>
      <c r="AI129" s="13">
        <f t="shared" si="6"/>
        <v>9.9000000000000008E-3</v>
      </c>
      <c r="AK129" s="4">
        <v>46202</v>
      </c>
      <c r="AL129" s="6">
        <v>0.02</v>
      </c>
      <c r="AM129" s="3"/>
      <c r="AN129" s="3"/>
      <c r="AO129" s="3"/>
      <c r="AP129" s="3" t="s">
        <v>33</v>
      </c>
      <c r="AQ129" s="3" t="s">
        <v>33</v>
      </c>
      <c r="AR129" s="6">
        <v>1.23E-2</v>
      </c>
      <c r="AS129" s="2">
        <v>46202</v>
      </c>
      <c r="AT129" s="14">
        <v>3.2000000000000001E-2</v>
      </c>
      <c r="AU129" s="14">
        <v>3.78E-2</v>
      </c>
      <c r="AV129" s="14">
        <v>4.0800000000000003E-2</v>
      </c>
      <c r="AW129" s="14">
        <v>5.8400000000000001E-2</v>
      </c>
      <c r="AX129" s="14">
        <v>0.04</v>
      </c>
      <c r="AY129" s="14">
        <v>4.3999999999999997E-2</v>
      </c>
      <c r="AZ129" s="14">
        <v>3.6600000000000001E-2</v>
      </c>
      <c r="BA129" s="13">
        <f t="shared" si="5"/>
        <v>2.4300000000000002E-2</v>
      </c>
      <c r="BC129" s="4">
        <v>46202</v>
      </c>
      <c r="BD129" s="6">
        <v>1.52E-2</v>
      </c>
      <c r="BE129" s="6">
        <v>1.55E-2</v>
      </c>
      <c r="BF129" s="6">
        <v>1.5800000000000002E-2</v>
      </c>
      <c r="BG129" s="3"/>
      <c r="BH129" s="3"/>
      <c r="BI129" s="3"/>
      <c r="BJ129" s="6">
        <v>1.84E-2</v>
      </c>
      <c r="BK129" s="2">
        <v>46202</v>
      </c>
      <c r="BL129" s="58">
        <v>5.1900000000000002E-2</v>
      </c>
      <c r="BM129" s="1"/>
      <c r="BN129" s="58">
        <v>6.2199999999999998E-2</v>
      </c>
      <c r="BO129" s="1"/>
      <c r="BP129" s="1"/>
      <c r="BQ129" s="1"/>
      <c r="BR129" s="58">
        <v>4.3200000000000002E-2</v>
      </c>
      <c r="BS129" s="13">
        <f t="shared" si="3"/>
        <v>2.4800000000000003E-2</v>
      </c>
    </row>
    <row r="130" spans="1:71" x14ac:dyDescent="0.35">
      <c r="A130" s="4">
        <v>46203</v>
      </c>
      <c r="B130" s="3" t="s">
        <v>33</v>
      </c>
      <c r="C130" s="3" t="s">
        <v>33</v>
      </c>
      <c r="D130" s="3" t="s">
        <v>32</v>
      </c>
      <c r="E130" s="3" t="s">
        <v>33</v>
      </c>
      <c r="F130" s="3" t="s">
        <v>32</v>
      </c>
      <c r="G130" s="3" t="s">
        <v>33</v>
      </c>
      <c r="H130" s="9">
        <v>1.3599999999999999E-2</v>
      </c>
      <c r="I130" s="2">
        <v>46203</v>
      </c>
      <c r="J130" s="1" t="s">
        <v>33</v>
      </c>
      <c r="K130" s="1" t="s">
        <v>33</v>
      </c>
      <c r="L130" s="1" t="s">
        <v>32</v>
      </c>
      <c r="M130" s="1" t="s">
        <v>33</v>
      </c>
      <c r="N130" s="1" t="s">
        <v>32</v>
      </c>
      <c r="O130" s="1" t="s">
        <v>32</v>
      </c>
      <c r="P130" s="58">
        <v>3.5900000000000001E-2</v>
      </c>
      <c r="Q130" s="86">
        <f t="shared" si="10"/>
        <v>2.23E-2</v>
      </c>
      <c r="S130" s="4">
        <v>46203</v>
      </c>
      <c r="T130" s="3" t="s">
        <v>33</v>
      </c>
      <c r="U130" s="3" t="s">
        <v>33</v>
      </c>
      <c r="V130" s="3" t="s">
        <v>33</v>
      </c>
      <c r="W130" s="3" t="s">
        <v>33</v>
      </c>
      <c r="X130" s="6">
        <v>3.5000000000000003E-2</v>
      </c>
      <c r="Y130" s="3" t="s">
        <v>33</v>
      </c>
      <c r="Z130" s="6">
        <v>1.6199999999999999E-2</v>
      </c>
      <c r="AA130" s="2">
        <v>46203</v>
      </c>
      <c r="AB130" s="1" t="s">
        <v>33</v>
      </c>
      <c r="AC130" s="1" t="s">
        <v>33</v>
      </c>
      <c r="AD130" s="1" t="s">
        <v>33</v>
      </c>
      <c r="AE130" s="1" t="s">
        <v>33</v>
      </c>
      <c r="AF130" s="1" t="s">
        <v>33</v>
      </c>
      <c r="AG130" s="1" t="s">
        <v>33</v>
      </c>
      <c r="AH130" s="58">
        <v>2.5000000000000001E-2</v>
      </c>
      <c r="AI130" s="13">
        <f t="shared" si="6"/>
        <v>8.8000000000000023E-3</v>
      </c>
      <c r="AK130" s="4">
        <v>46203</v>
      </c>
      <c r="AL130" s="6">
        <v>0.02</v>
      </c>
      <c r="AM130" s="3"/>
      <c r="AN130" s="3"/>
      <c r="AO130" s="3"/>
      <c r="AP130" s="3" t="s">
        <v>33</v>
      </c>
      <c r="AQ130" s="3" t="s">
        <v>33</v>
      </c>
      <c r="AR130" s="6">
        <v>1.38E-2</v>
      </c>
      <c r="AS130" s="2">
        <v>46203</v>
      </c>
      <c r="AT130" s="14">
        <v>0.03</v>
      </c>
      <c r="AU130" s="14">
        <v>3.1899999999999998E-2</v>
      </c>
      <c r="AV130" s="14">
        <v>3.9E-2</v>
      </c>
      <c r="AW130" s="14">
        <v>5.7799999999999997E-2</v>
      </c>
      <c r="AX130" s="14">
        <v>4.4999999999999998E-2</v>
      </c>
      <c r="AY130" s="14">
        <v>4.1000000000000002E-2</v>
      </c>
      <c r="AZ130" s="14">
        <v>3.9800000000000002E-2</v>
      </c>
      <c r="BA130" s="13">
        <f t="shared" si="5"/>
        <v>2.6000000000000002E-2</v>
      </c>
      <c r="BC130" s="4">
        <v>46203</v>
      </c>
      <c r="BD130" s="6">
        <v>1.52E-2</v>
      </c>
      <c r="BE130" s="6">
        <v>1.55E-2</v>
      </c>
      <c r="BF130" s="6">
        <v>1.5800000000000002E-2</v>
      </c>
      <c r="BG130" s="3"/>
      <c r="BH130" s="3"/>
      <c r="BI130" s="3"/>
      <c r="BJ130" s="6">
        <v>1.84E-2</v>
      </c>
      <c r="BK130" s="2">
        <v>46203</v>
      </c>
      <c r="BL130" s="58">
        <v>5.1900000000000002E-2</v>
      </c>
      <c r="BM130" s="1"/>
      <c r="BN130" s="58">
        <v>6.2199999999999998E-2</v>
      </c>
      <c r="BO130" s="1"/>
      <c r="BP130" s="1"/>
      <c r="BQ130" s="1"/>
      <c r="BR130" s="58">
        <v>4.3200000000000002E-2</v>
      </c>
      <c r="BS130" s="13">
        <f t="shared" si="3"/>
        <v>2.4800000000000003E-2</v>
      </c>
    </row>
    <row r="131" spans="1:71" x14ac:dyDescent="0.35">
      <c r="A131" s="4">
        <v>46204</v>
      </c>
      <c r="B131" s="3" t="s">
        <v>33</v>
      </c>
      <c r="C131" s="3" t="s">
        <v>33</v>
      </c>
      <c r="D131" s="3" t="s">
        <v>32</v>
      </c>
      <c r="E131" s="3" t="s">
        <v>33</v>
      </c>
      <c r="F131" s="3" t="s">
        <v>32</v>
      </c>
      <c r="G131" s="3" t="s">
        <v>33</v>
      </c>
      <c r="H131" s="9">
        <v>1.35E-2</v>
      </c>
      <c r="I131" s="2">
        <v>46204</v>
      </c>
      <c r="J131" s="1" t="s">
        <v>33</v>
      </c>
      <c r="K131" s="1" t="s">
        <v>33</v>
      </c>
      <c r="L131" s="1" t="s">
        <v>32</v>
      </c>
      <c r="M131" s="1" t="s">
        <v>33</v>
      </c>
      <c r="N131" s="1" t="s">
        <v>32</v>
      </c>
      <c r="O131" s="1" t="s">
        <v>32</v>
      </c>
      <c r="P131" s="58">
        <v>3.5499999999999997E-2</v>
      </c>
      <c r="Q131" s="86">
        <f t="shared" si="10"/>
        <v>2.1999999999999999E-2</v>
      </c>
      <c r="S131" s="4">
        <v>46204</v>
      </c>
      <c r="T131" s="3" t="s">
        <v>33</v>
      </c>
      <c r="U131" s="3" t="s">
        <v>33</v>
      </c>
      <c r="V131" s="3" t="s">
        <v>33</v>
      </c>
      <c r="W131" s="3" t="s">
        <v>33</v>
      </c>
      <c r="X131" s="6">
        <v>3.5000000000000003E-2</v>
      </c>
      <c r="Y131" s="3" t="s">
        <v>33</v>
      </c>
      <c r="Z131" s="6">
        <v>1.6500000000000001E-2</v>
      </c>
      <c r="AA131" s="2">
        <v>46204</v>
      </c>
      <c r="AB131" s="1" t="s">
        <v>33</v>
      </c>
      <c r="AC131" s="1" t="s">
        <v>33</v>
      </c>
      <c r="AD131" s="1" t="s">
        <v>33</v>
      </c>
      <c r="AE131" s="1" t="s">
        <v>33</v>
      </c>
      <c r="AF131" s="1" t="s">
        <v>33</v>
      </c>
      <c r="AG131" s="1" t="s">
        <v>33</v>
      </c>
      <c r="AH131" s="58">
        <v>2.5000000000000001E-2</v>
      </c>
      <c r="AI131" s="13">
        <f t="shared" si="6"/>
        <v>8.5000000000000006E-3</v>
      </c>
      <c r="AK131" s="4">
        <v>46204</v>
      </c>
      <c r="AL131" s="6">
        <v>0.02</v>
      </c>
      <c r="AM131" s="3"/>
      <c r="AN131" s="3"/>
      <c r="AO131" s="3"/>
      <c r="AP131" s="3" t="s">
        <v>33</v>
      </c>
      <c r="AQ131" s="3" t="s">
        <v>33</v>
      </c>
      <c r="AR131" s="6">
        <v>1.46E-2</v>
      </c>
      <c r="AS131" s="2">
        <v>46204</v>
      </c>
      <c r="AT131" s="14">
        <v>3.2000000000000001E-2</v>
      </c>
      <c r="AU131" s="14">
        <v>4.2999999999999997E-2</v>
      </c>
      <c r="AV131" s="14">
        <v>4.1000000000000002E-2</v>
      </c>
      <c r="AW131" s="14">
        <v>5.8000000000000003E-2</v>
      </c>
      <c r="AX131" s="14">
        <v>4.9500000000000002E-2</v>
      </c>
      <c r="AY131" s="14">
        <v>5.5E-2</v>
      </c>
      <c r="AZ131" s="14">
        <v>3.9600000000000003E-2</v>
      </c>
      <c r="BA131" s="13">
        <f t="shared" si="5"/>
        <v>2.5000000000000001E-2</v>
      </c>
      <c r="BC131" s="4">
        <v>46204</v>
      </c>
      <c r="BD131" s="6">
        <v>1.3599999999999999E-2</v>
      </c>
      <c r="BE131" s="6">
        <v>1.38E-2</v>
      </c>
      <c r="BF131" s="6">
        <v>1.41E-2</v>
      </c>
      <c r="BG131" s="3"/>
      <c r="BH131" s="3"/>
      <c r="BI131" s="3"/>
      <c r="BJ131" s="6">
        <v>1.34E-2</v>
      </c>
      <c r="BK131" s="2">
        <v>46204</v>
      </c>
      <c r="BL131" s="58">
        <v>4.87E-2</v>
      </c>
      <c r="BM131" s="1"/>
      <c r="BN131" s="58">
        <v>5.16E-2</v>
      </c>
      <c r="BO131" s="1"/>
      <c r="BP131" s="1"/>
      <c r="BQ131" s="1"/>
      <c r="BR131" s="58">
        <v>3.5900000000000001E-2</v>
      </c>
      <c r="BS131" s="13">
        <f t="shared" ref="BS131:BS132" si="11">BR131-BJ131</f>
        <v>2.2499999999999999E-2</v>
      </c>
    </row>
    <row r="132" spans="1:71" x14ac:dyDescent="0.35">
      <c r="A132" s="4">
        <v>46205</v>
      </c>
      <c r="B132" s="3" t="s">
        <v>33</v>
      </c>
      <c r="C132" s="3" t="s">
        <v>33</v>
      </c>
      <c r="D132" s="3" t="s">
        <v>32</v>
      </c>
      <c r="E132" s="3" t="s">
        <v>33</v>
      </c>
      <c r="F132" s="3" t="s">
        <v>32</v>
      </c>
      <c r="G132" s="3" t="s">
        <v>33</v>
      </c>
      <c r="H132" s="9">
        <v>1.4E-2</v>
      </c>
      <c r="I132" s="2">
        <v>46205</v>
      </c>
      <c r="J132" s="1" t="s">
        <v>33</v>
      </c>
      <c r="K132" s="1" t="s">
        <v>33</v>
      </c>
      <c r="L132" s="1" t="s">
        <v>32</v>
      </c>
      <c r="M132" s="1" t="s">
        <v>33</v>
      </c>
      <c r="N132" s="1" t="s">
        <v>32</v>
      </c>
      <c r="O132" s="1" t="s">
        <v>32</v>
      </c>
      <c r="P132" s="58">
        <v>3.6299999999999999E-2</v>
      </c>
      <c r="Q132" s="86">
        <f t="shared" si="10"/>
        <v>2.23E-2</v>
      </c>
      <c r="S132" s="4">
        <v>46205</v>
      </c>
      <c r="T132" s="3" t="s">
        <v>33</v>
      </c>
      <c r="U132" s="3" t="s">
        <v>33</v>
      </c>
      <c r="V132" s="3" t="s">
        <v>33</v>
      </c>
      <c r="W132" s="3" t="s">
        <v>33</v>
      </c>
      <c r="X132" s="6">
        <v>3.5000000000000003E-2</v>
      </c>
      <c r="Y132" s="3" t="s">
        <v>33</v>
      </c>
      <c r="Z132" s="6">
        <v>1.7600000000000001E-2</v>
      </c>
      <c r="AA132" s="2">
        <v>46205</v>
      </c>
      <c r="AB132" s="1" t="s">
        <v>33</v>
      </c>
      <c r="AC132" s="1" t="s">
        <v>33</v>
      </c>
      <c r="AD132" s="1" t="s">
        <v>33</v>
      </c>
      <c r="AE132" s="1" t="s">
        <v>33</v>
      </c>
      <c r="AF132" s="1" t="s">
        <v>33</v>
      </c>
      <c r="AG132" s="1" t="s">
        <v>33</v>
      </c>
      <c r="AH132" s="58">
        <v>2.5000000000000001E-2</v>
      </c>
      <c r="AI132" s="13">
        <f t="shared" si="6"/>
        <v>7.4000000000000003E-3</v>
      </c>
      <c r="AK132" s="4">
        <v>46205</v>
      </c>
      <c r="AL132" s="6">
        <v>0.02</v>
      </c>
      <c r="AM132" s="3"/>
      <c r="AN132" s="3"/>
      <c r="AO132" s="3"/>
      <c r="AP132" s="3" t="s">
        <v>33</v>
      </c>
      <c r="AQ132" s="3" t="s">
        <v>33</v>
      </c>
      <c r="AR132" s="6">
        <v>1.55E-2</v>
      </c>
      <c r="AS132" s="2">
        <v>46205</v>
      </c>
      <c r="AT132" s="14">
        <v>3.5000000000000003E-2</v>
      </c>
      <c r="AU132" s="14">
        <v>4.2999999999999997E-2</v>
      </c>
      <c r="AV132" s="14">
        <v>4.1000000000000002E-2</v>
      </c>
      <c r="AW132" s="14">
        <v>5.21E-2</v>
      </c>
      <c r="AX132" s="14">
        <v>4.8800000000000003E-2</v>
      </c>
      <c r="AY132" s="14">
        <v>5.9700000000000003E-2</v>
      </c>
      <c r="AZ132" s="14">
        <v>4.0300000000000002E-2</v>
      </c>
      <c r="BA132" s="13">
        <f t="shared" si="5"/>
        <v>2.4800000000000003E-2</v>
      </c>
      <c r="BC132" s="4">
        <v>46205</v>
      </c>
      <c r="BD132" s="6">
        <v>1.52E-2</v>
      </c>
      <c r="BE132" s="6">
        <v>1.54E-2</v>
      </c>
      <c r="BF132" s="6">
        <v>1.5599999999999999E-2</v>
      </c>
      <c r="BG132" s="3"/>
      <c r="BH132" s="3"/>
      <c r="BI132" s="3"/>
      <c r="BJ132" s="6">
        <v>1.49E-2</v>
      </c>
      <c r="BK132" s="2">
        <v>46205</v>
      </c>
      <c r="BL132" s="58">
        <v>4.7E-2</v>
      </c>
      <c r="BM132" s="1"/>
      <c r="BN132" s="58">
        <v>5.4199999999999998E-2</v>
      </c>
      <c r="BO132" s="1"/>
      <c r="BP132" s="1"/>
      <c r="BQ132" s="1"/>
      <c r="BR132" s="58">
        <v>3.7600000000000001E-2</v>
      </c>
      <c r="BS132" s="13">
        <f t="shared" si="11"/>
        <v>2.2700000000000001E-2</v>
      </c>
    </row>
    <row r="133" spans="1:71" x14ac:dyDescent="0.35">
      <c r="A133" s="4">
        <v>46206</v>
      </c>
      <c r="B133" s="3" t="s">
        <v>33</v>
      </c>
      <c r="C133" s="3" t="s">
        <v>33</v>
      </c>
      <c r="D133" s="3" t="s">
        <v>32</v>
      </c>
      <c r="E133" s="3" t="s">
        <v>33</v>
      </c>
      <c r="F133" s="3" t="s">
        <v>32</v>
      </c>
      <c r="G133" s="3" t="s">
        <v>33</v>
      </c>
      <c r="H133" s="9">
        <v>1.49E-2</v>
      </c>
      <c r="I133" s="2">
        <v>46206</v>
      </c>
      <c r="J133" s="1" t="s">
        <v>33</v>
      </c>
      <c r="K133" s="1" t="s">
        <v>33</v>
      </c>
      <c r="L133" s="1" t="s">
        <v>32</v>
      </c>
      <c r="M133" s="1" t="s">
        <v>33</v>
      </c>
      <c r="N133" s="1" t="s">
        <v>32</v>
      </c>
      <c r="O133" s="1" t="s">
        <v>32</v>
      </c>
      <c r="P133" s="58">
        <v>3.73E-2</v>
      </c>
      <c r="Q133" s="86">
        <f t="shared" ref="Q133:Q141" si="12">P133-H133</f>
        <v>2.24E-2</v>
      </c>
      <c r="S133" s="4">
        <v>46206</v>
      </c>
      <c r="T133" s="3" t="s">
        <v>33</v>
      </c>
      <c r="U133" s="3" t="s">
        <v>33</v>
      </c>
      <c r="V133" s="3" t="s">
        <v>33</v>
      </c>
      <c r="W133" s="3" t="s">
        <v>33</v>
      </c>
      <c r="X133" s="6">
        <v>3.5000000000000003E-2</v>
      </c>
      <c r="Y133" s="3" t="s">
        <v>33</v>
      </c>
      <c r="Z133" s="6">
        <v>1.7399999999999999E-2</v>
      </c>
      <c r="AA133" s="2">
        <v>46206</v>
      </c>
      <c r="AB133" s="1" t="s">
        <v>33</v>
      </c>
      <c r="AC133" s="1" t="s">
        <v>33</v>
      </c>
      <c r="AD133" s="1" t="s">
        <v>33</v>
      </c>
      <c r="AE133" s="1" t="s">
        <v>33</v>
      </c>
      <c r="AF133" s="1" t="s">
        <v>33</v>
      </c>
      <c r="AG133" s="1" t="s">
        <v>33</v>
      </c>
      <c r="AH133" s="58">
        <v>2.5000000000000001E-2</v>
      </c>
      <c r="AI133" s="13">
        <f t="shared" ref="AI133:AI141" si="13">AH133-Z133</f>
        <v>7.6000000000000026E-3</v>
      </c>
      <c r="AK133" s="4">
        <v>46206</v>
      </c>
      <c r="AL133" s="6">
        <v>0.02</v>
      </c>
      <c r="AM133" s="3"/>
      <c r="AN133" s="3"/>
      <c r="AO133" s="3"/>
      <c r="AP133" s="3" t="s">
        <v>33</v>
      </c>
      <c r="AQ133" s="3" t="s">
        <v>33</v>
      </c>
      <c r="AR133" s="6">
        <v>1.6400000000000001E-2</v>
      </c>
      <c r="AS133" s="2">
        <v>46206</v>
      </c>
      <c r="AT133" s="14">
        <v>3.49E-2</v>
      </c>
      <c r="AU133" s="14">
        <v>3.7999999999999999E-2</v>
      </c>
      <c r="AV133" s="14">
        <v>3.9899999999999998E-2</v>
      </c>
      <c r="AW133" s="14">
        <v>5.7599999999999998E-2</v>
      </c>
      <c r="AX133" s="14">
        <v>3.9100000000000003E-2</v>
      </c>
      <c r="AY133" s="14">
        <v>5.1999999999999998E-2</v>
      </c>
      <c r="AZ133" s="14">
        <v>4.1500000000000002E-2</v>
      </c>
      <c r="BA133" s="13">
        <f t="shared" ref="BA133:BA141" si="14">AZ133-AR133</f>
        <v>2.5100000000000001E-2</v>
      </c>
      <c r="BC133" s="4">
        <v>46206</v>
      </c>
      <c r="BD133" s="6">
        <v>1.52E-2</v>
      </c>
      <c r="BE133" s="6">
        <v>1.54E-2</v>
      </c>
      <c r="BF133" s="6">
        <v>1.5599999999999999E-2</v>
      </c>
      <c r="BG133" s="3"/>
      <c r="BH133" s="3"/>
      <c r="BI133" s="3"/>
      <c r="BJ133" s="6">
        <v>1.4999999999999999E-2</v>
      </c>
      <c r="BK133" s="2">
        <v>46206</v>
      </c>
      <c r="BL133" s="58">
        <v>4.6600000000000003E-2</v>
      </c>
      <c r="BM133" s="1"/>
      <c r="BN133" s="58">
        <v>5.3499999999999999E-2</v>
      </c>
      <c r="BO133" s="1"/>
      <c r="BP133" s="1"/>
      <c r="BQ133" s="1"/>
      <c r="BR133" s="58">
        <v>3.7100000000000001E-2</v>
      </c>
      <c r="BS133" s="13">
        <f t="shared" ref="BS133:BS141" si="15">BR133-BJ133</f>
        <v>2.2100000000000002E-2</v>
      </c>
    </row>
    <row r="134" spans="1:71" x14ac:dyDescent="0.35">
      <c r="A134" s="4">
        <v>46207</v>
      </c>
      <c r="B134" s="3" t="s">
        <v>33</v>
      </c>
      <c r="C134" s="3" t="s">
        <v>33</v>
      </c>
      <c r="D134" s="3" t="s">
        <v>32</v>
      </c>
      <c r="E134" s="3" t="s">
        <v>33</v>
      </c>
      <c r="F134" s="3" t="s">
        <v>32</v>
      </c>
      <c r="G134" s="3" t="s">
        <v>33</v>
      </c>
      <c r="H134" s="9">
        <v>1.4500000000000001E-2</v>
      </c>
      <c r="I134" s="2">
        <v>46207</v>
      </c>
      <c r="J134" s="1" t="s">
        <v>33</v>
      </c>
      <c r="K134" s="1" t="s">
        <v>33</v>
      </c>
      <c r="L134" s="1" t="s">
        <v>32</v>
      </c>
      <c r="M134" s="1" t="s">
        <v>33</v>
      </c>
      <c r="N134" s="1" t="s">
        <v>32</v>
      </c>
      <c r="O134" s="1" t="s">
        <v>32</v>
      </c>
      <c r="P134" s="58">
        <v>3.6900000000000002E-2</v>
      </c>
      <c r="Q134" s="86">
        <f t="shared" si="12"/>
        <v>2.2400000000000003E-2</v>
      </c>
      <c r="S134" s="4">
        <v>46207</v>
      </c>
      <c r="T134" s="3" t="s">
        <v>33</v>
      </c>
      <c r="U134" s="3" t="s">
        <v>33</v>
      </c>
      <c r="V134" s="3" t="s">
        <v>33</v>
      </c>
      <c r="W134" s="3" t="s">
        <v>33</v>
      </c>
      <c r="X134" s="6">
        <v>3.5000000000000003E-2</v>
      </c>
      <c r="Y134" s="3" t="s">
        <v>33</v>
      </c>
      <c r="Z134" s="6">
        <v>1.7299999999999999E-2</v>
      </c>
      <c r="AA134" s="2">
        <v>46207</v>
      </c>
      <c r="AB134" s="1" t="s">
        <v>33</v>
      </c>
      <c r="AC134" s="1" t="s">
        <v>33</v>
      </c>
      <c r="AD134" s="1" t="s">
        <v>33</v>
      </c>
      <c r="AE134" s="1" t="s">
        <v>33</v>
      </c>
      <c r="AF134" s="1" t="s">
        <v>33</v>
      </c>
      <c r="AG134" s="1" t="s">
        <v>33</v>
      </c>
      <c r="AH134" s="58">
        <v>2.5000000000000001E-2</v>
      </c>
      <c r="AI134" s="13">
        <f t="shared" si="13"/>
        <v>7.700000000000002E-3</v>
      </c>
      <c r="AK134" s="4">
        <v>46207</v>
      </c>
      <c r="AL134" s="6">
        <v>0.02</v>
      </c>
      <c r="AM134" s="3"/>
      <c r="AN134" s="3"/>
      <c r="AO134" s="3"/>
      <c r="AP134" s="3" t="s">
        <v>33</v>
      </c>
      <c r="AQ134" s="3" t="s">
        <v>33</v>
      </c>
      <c r="AR134" s="6">
        <v>1.6E-2</v>
      </c>
      <c r="AS134" s="2">
        <v>46207</v>
      </c>
      <c r="AT134" s="14">
        <v>5.0999999999999997E-2</v>
      </c>
      <c r="AU134" s="14">
        <v>4.2799999999999998E-2</v>
      </c>
      <c r="AV134" s="14">
        <v>0.04</v>
      </c>
      <c r="AW134" s="14">
        <v>5.5899999999999998E-2</v>
      </c>
      <c r="AX134" s="14">
        <v>3.9100000000000003E-2</v>
      </c>
      <c r="AY134" s="14">
        <v>4.0099999999999997E-2</v>
      </c>
      <c r="AZ134" s="14">
        <v>4.1000000000000002E-2</v>
      </c>
      <c r="BA134" s="13">
        <f t="shared" si="14"/>
        <v>2.5000000000000001E-2</v>
      </c>
      <c r="BC134" s="4">
        <v>46207</v>
      </c>
      <c r="BD134" s="6">
        <v>1.52E-2</v>
      </c>
      <c r="BE134" s="6">
        <v>1.54E-2</v>
      </c>
      <c r="BF134" s="6">
        <v>1.5599999999999999E-2</v>
      </c>
      <c r="BG134" s="3"/>
      <c r="BH134" s="3"/>
      <c r="BI134" s="3"/>
      <c r="BJ134" s="6">
        <v>1.3899999999999999E-2</v>
      </c>
      <c r="BK134" s="2">
        <v>46207</v>
      </c>
      <c r="BL134" s="58">
        <v>4.5999999999999999E-2</v>
      </c>
      <c r="BM134" s="1"/>
      <c r="BN134" s="58">
        <v>5.4899999999999997E-2</v>
      </c>
      <c r="BO134" s="1"/>
      <c r="BP134" s="1"/>
      <c r="BQ134" s="1"/>
      <c r="BR134" s="58">
        <v>3.73E-2</v>
      </c>
      <c r="BS134" s="13">
        <f t="shared" si="15"/>
        <v>2.3400000000000001E-2</v>
      </c>
    </row>
    <row r="135" spans="1:71" x14ac:dyDescent="0.35">
      <c r="A135" s="4">
        <v>46208</v>
      </c>
      <c r="B135" s="3" t="s">
        <v>33</v>
      </c>
      <c r="C135" s="3" t="s">
        <v>33</v>
      </c>
      <c r="D135" s="3" t="s">
        <v>32</v>
      </c>
      <c r="E135" s="3" t="s">
        <v>33</v>
      </c>
      <c r="F135" s="3" t="s">
        <v>32</v>
      </c>
      <c r="G135" s="3" t="s">
        <v>33</v>
      </c>
      <c r="H135" s="9">
        <v>1.4500000000000001E-2</v>
      </c>
      <c r="I135" s="2">
        <v>46208</v>
      </c>
      <c r="J135" s="1" t="s">
        <v>33</v>
      </c>
      <c r="K135" s="1" t="s">
        <v>33</v>
      </c>
      <c r="L135" s="1" t="s">
        <v>32</v>
      </c>
      <c r="M135" s="1" t="s">
        <v>33</v>
      </c>
      <c r="N135" s="1" t="s">
        <v>32</v>
      </c>
      <c r="O135" s="1" t="s">
        <v>32</v>
      </c>
      <c r="P135" s="58">
        <v>3.7999999999999999E-2</v>
      </c>
      <c r="Q135" s="86">
        <f t="shared" si="12"/>
        <v>2.35E-2</v>
      </c>
      <c r="S135" s="4">
        <v>46208</v>
      </c>
      <c r="T135" s="3" t="s">
        <v>33</v>
      </c>
      <c r="U135" s="3" t="s">
        <v>33</v>
      </c>
      <c r="V135" s="3" t="s">
        <v>33</v>
      </c>
      <c r="W135" s="3" t="s">
        <v>33</v>
      </c>
      <c r="X135" s="6">
        <v>3.5000000000000003E-2</v>
      </c>
      <c r="Y135" s="3" t="s">
        <v>33</v>
      </c>
      <c r="Z135" s="6">
        <v>1.7000000000000001E-2</v>
      </c>
      <c r="AA135" s="2">
        <v>46208</v>
      </c>
      <c r="AB135" s="1" t="s">
        <v>33</v>
      </c>
      <c r="AC135" s="1" t="s">
        <v>33</v>
      </c>
      <c r="AD135" s="1" t="s">
        <v>33</v>
      </c>
      <c r="AE135" s="1" t="s">
        <v>33</v>
      </c>
      <c r="AF135" s="1" t="s">
        <v>33</v>
      </c>
      <c r="AG135" s="1" t="s">
        <v>33</v>
      </c>
      <c r="AH135" s="58">
        <v>2.5000000000000001E-2</v>
      </c>
      <c r="AI135" s="13">
        <f t="shared" si="13"/>
        <v>8.0000000000000002E-3</v>
      </c>
      <c r="AK135" s="4">
        <v>46208</v>
      </c>
      <c r="AL135" s="6">
        <v>0.02</v>
      </c>
      <c r="AM135" s="3"/>
      <c r="AN135" s="3"/>
      <c r="AO135" s="3"/>
      <c r="AP135" s="3" t="s">
        <v>33</v>
      </c>
      <c r="AQ135" s="3" t="s">
        <v>33</v>
      </c>
      <c r="AR135" s="6">
        <v>1.6E-2</v>
      </c>
      <c r="AS135" s="2">
        <v>46208</v>
      </c>
      <c r="AT135" s="14">
        <v>5.0999999999999997E-2</v>
      </c>
      <c r="AU135" s="14">
        <v>4.2799999999999998E-2</v>
      </c>
      <c r="AV135" s="14">
        <v>0.04</v>
      </c>
      <c r="AW135" s="14">
        <v>5.5899999999999998E-2</v>
      </c>
      <c r="AX135" s="14">
        <v>3.9100000000000003E-2</v>
      </c>
      <c r="AY135" s="14">
        <v>4.0099999999999997E-2</v>
      </c>
      <c r="AZ135" s="14">
        <v>4.1000000000000002E-2</v>
      </c>
      <c r="BA135" s="13">
        <f t="shared" si="14"/>
        <v>2.5000000000000001E-2</v>
      </c>
      <c r="BC135" s="4">
        <v>46208</v>
      </c>
      <c r="BD135" s="6">
        <v>1.52E-2</v>
      </c>
      <c r="BE135" s="6">
        <v>1.54E-2</v>
      </c>
      <c r="BF135" s="6">
        <v>1.5599999999999999E-2</v>
      </c>
      <c r="BG135" s="3"/>
      <c r="BH135" s="3"/>
      <c r="BI135" s="3"/>
      <c r="BJ135" s="6">
        <v>1.3599999999999999E-2</v>
      </c>
      <c r="BK135" s="2">
        <v>46208</v>
      </c>
      <c r="BL135" s="58">
        <v>4.5999999999999999E-2</v>
      </c>
      <c r="BM135" s="1"/>
      <c r="BN135" s="58">
        <v>5.4899999999999997E-2</v>
      </c>
      <c r="BO135" s="1"/>
      <c r="BP135" s="1"/>
      <c r="BQ135" s="1"/>
      <c r="BR135" s="58">
        <v>3.7499999999999999E-2</v>
      </c>
      <c r="BS135" s="13">
        <f t="shared" si="15"/>
        <v>2.3899999999999998E-2</v>
      </c>
    </row>
    <row r="136" spans="1:71" x14ac:dyDescent="0.35">
      <c r="A136" s="4">
        <v>46209</v>
      </c>
      <c r="B136" s="3" t="s">
        <v>33</v>
      </c>
      <c r="C136" s="3" t="s">
        <v>33</v>
      </c>
      <c r="D136" s="3" t="s">
        <v>32</v>
      </c>
      <c r="E136" s="3" t="s">
        <v>33</v>
      </c>
      <c r="F136" s="3" t="s">
        <v>32</v>
      </c>
      <c r="G136" s="3" t="s">
        <v>33</v>
      </c>
      <c r="H136" s="9">
        <v>1.46E-2</v>
      </c>
      <c r="I136" s="2">
        <v>46209</v>
      </c>
      <c r="J136" s="1" t="s">
        <v>33</v>
      </c>
      <c r="K136" s="1" t="s">
        <v>33</v>
      </c>
      <c r="L136" s="1" t="s">
        <v>32</v>
      </c>
      <c r="M136" s="1" t="s">
        <v>33</v>
      </c>
      <c r="N136" s="1" t="s">
        <v>32</v>
      </c>
      <c r="O136" s="1" t="s">
        <v>32</v>
      </c>
      <c r="P136" s="58">
        <v>3.8199999999999998E-2</v>
      </c>
      <c r="Q136" s="86">
        <f t="shared" si="12"/>
        <v>2.3599999999999996E-2</v>
      </c>
      <c r="S136" s="4">
        <v>46209</v>
      </c>
      <c r="T136" s="3" t="s">
        <v>33</v>
      </c>
      <c r="U136" s="3" t="s">
        <v>33</v>
      </c>
      <c r="V136" s="3" t="s">
        <v>33</v>
      </c>
      <c r="W136" s="3" t="s">
        <v>33</v>
      </c>
      <c r="X136" s="6">
        <v>3.5000000000000003E-2</v>
      </c>
      <c r="Y136" s="3" t="s">
        <v>33</v>
      </c>
      <c r="Z136" s="6">
        <v>1.55E-2</v>
      </c>
      <c r="AA136" s="2">
        <v>46209</v>
      </c>
      <c r="AB136" s="1" t="s">
        <v>33</v>
      </c>
      <c r="AC136" s="1" t="s">
        <v>33</v>
      </c>
      <c r="AD136" s="1" t="s">
        <v>33</v>
      </c>
      <c r="AE136" s="1" t="s">
        <v>33</v>
      </c>
      <c r="AF136" s="1" t="s">
        <v>33</v>
      </c>
      <c r="AG136" s="1" t="s">
        <v>33</v>
      </c>
      <c r="AH136" s="58">
        <v>2.5000000000000001E-2</v>
      </c>
      <c r="AI136" s="13">
        <f t="shared" si="13"/>
        <v>9.5000000000000015E-3</v>
      </c>
      <c r="AK136" s="4">
        <v>46209</v>
      </c>
      <c r="AL136" s="6">
        <v>0.02</v>
      </c>
      <c r="AM136" s="3"/>
      <c r="AN136" s="3"/>
      <c r="AO136" s="3"/>
      <c r="AP136" s="3" t="s">
        <v>33</v>
      </c>
      <c r="AQ136" s="3" t="s">
        <v>33</v>
      </c>
      <c r="AR136" s="6">
        <v>1.6E-2</v>
      </c>
      <c r="AS136" s="2">
        <v>46209</v>
      </c>
      <c r="AT136" s="14">
        <v>5.0999999999999997E-2</v>
      </c>
      <c r="AU136" s="14">
        <v>4.2799999999999998E-2</v>
      </c>
      <c r="AV136" s="14">
        <v>0.04</v>
      </c>
      <c r="AW136" s="14">
        <v>5.5899999999999998E-2</v>
      </c>
      <c r="AX136" s="14">
        <v>3.9100000000000003E-2</v>
      </c>
      <c r="AY136" s="14">
        <v>4.0099999999999997E-2</v>
      </c>
      <c r="AZ136" s="14">
        <v>4.1000000000000002E-2</v>
      </c>
      <c r="BA136" s="13">
        <f t="shared" si="14"/>
        <v>2.5000000000000001E-2</v>
      </c>
      <c r="BC136" s="4">
        <v>46209</v>
      </c>
      <c r="BD136" s="6">
        <v>1.52E-2</v>
      </c>
      <c r="BE136" s="6">
        <v>1.54E-2</v>
      </c>
      <c r="BF136" s="6">
        <v>1.5599999999999999E-2</v>
      </c>
      <c r="BG136" s="3"/>
      <c r="BH136" s="3"/>
      <c r="BI136" s="3"/>
      <c r="BJ136" s="6">
        <v>1.43E-2</v>
      </c>
      <c r="BK136" s="2">
        <v>46209</v>
      </c>
      <c r="BL136" s="58">
        <v>4.5999999999999999E-2</v>
      </c>
      <c r="BM136" s="1"/>
      <c r="BN136" s="58">
        <v>5.4899999999999997E-2</v>
      </c>
      <c r="BO136" s="1"/>
      <c r="BP136" s="1"/>
      <c r="BQ136" s="1"/>
      <c r="BR136" s="58">
        <v>3.8199999999999998E-2</v>
      </c>
      <c r="BS136" s="13">
        <f t="shared" si="15"/>
        <v>2.3899999999999998E-2</v>
      </c>
    </row>
    <row r="137" spans="1:71" x14ac:dyDescent="0.35">
      <c r="A137" s="4">
        <v>46210</v>
      </c>
      <c r="B137" s="3" t="s">
        <v>33</v>
      </c>
      <c r="C137" s="3" t="s">
        <v>33</v>
      </c>
      <c r="D137" s="3" t="s">
        <v>32</v>
      </c>
      <c r="E137" s="3" t="s">
        <v>33</v>
      </c>
      <c r="F137" s="3" t="s">
        <v>32</v>
      </c>
      <c r="G137" s="3" t="s">
        <v>33</v>
      </c>
      <c r="H137" s="9">
        <v>1.5100000000000001E-2</v>
      </c>
      <c r="I137" s="2">
        <v>46210</v>
      </c>
      <c r="J137" s="1" t="s">
        <v>33</v>
      </c>
      <c r="K137" s="1" t="s">
        <v>33</v>
      </c>
      <c r="L137" s="1" t="s">
        <v>32</v>
      </c>
      <c r="M137" s="1" t="s">
        <v>33</v>
      </c>
      <c r="N137" s="1" t="s">
        <v>32</v>
      </c>
      <c r="O137" s="1" t="s">
        <v>32</v>
      </c>
      <c r="P137" s="58">
        <v>3.7600000000000001E-2</v>
      </c>
      <c r="Q137" s="86">
        <f t="shared" si="12"/>
        <v>2.2499999999999999E-2</v>
      </c>
      <c r="S137" s="4">
        <v>46210</v>
      </c>
      <c r="T137" s="3" t="s">
        <v>33</v>
      </c>
      <c r="U137" s="3" t="s">
        <v>33</v>
      </c>
      <c r="V137" s="3" t="s">
        <v>33</v>
      </c>
      <c r="W137" s="3" t="s">
        <v>33</v>
      </c>
      <c r="X137" s="6">
        <v>3.5000000000000003E-2</v>
      </c>
      <c r="Y137" s="3" t="s">
        <v>33</v>
      </c>
      <c r="Z137" s="6">
        <v>1.83E-2</v>
      </c>
      <c r="AA137" s="2">
        <v>46210</v>
      </c>
      <c r="AB137" s="1" t="s">
        <v>33</v>
      </c>
      <c r="AC137" s="1" t="s">
        <v>33</v>
      </c>
      <c r="AD137" s="1" t="s">
        <v>33</v>
      </c>
      <c r="AE137" s="1" t="s">
        <v>33</v>
      </c>
      <c r="AF137" s="1" t="s">
        <v>33</v>
      </c>
      <c r="AG137" s="1" t="s">
        <v>33</v>
      </c>
      <c r="AH137" s="58">
        <v>2.5000000000000001E-2</v>
      </c>
      <c r="AI137" s="13">
        <f t="shared" si="13"/>
        <v>6.7000000000000011E-3</v>
      </c>
      <c r="AK137" s="4">
        <v>46210</v>
      </c>
      <c r="AL137" s="6">
        <v>0.02</v>
      </c>
      <c r="AM137" s="3"/>
      <c r="AN137" s="3"/>
      <c r="AO137" s="3"/>
      <c r="AP137" s="3" t="s">
        <v>33</v>
      </c>
      <c r="AQ137" s="3" t="s">
        <v>33</v>
      </c>
      <c r="AR137" s="6">
        <v>1.7000000000000001E-2</v>
      </c>
      <c r="AS137" s="2">
        <v>46210</v>
      </c>
      <c r="AT137" s="14">
        <v>3.5000000000000003E-2</v>
      </c>
      <c r="AU137" s="14">
        <v>0.04</v>
      </c>
      <c r="AV137" s="14">
        <v>4.4999999999999998E-2</v>
      </c>
      <c r="AW137" s="14">
        <v>5.5E-2</v>
      </c>
      <c r="AX137" s="14">
        <v>4.4900000000000002E-2</v>
      </c>
      <c r="AY137" s="14">
        <v>4.0099999999999997E-2</v>
      </c>
      <c r="AZ137" s="14">
        <v>4.2000000000000003E-2</v>
      </c>
      <c r="BA137" s="13">
        <f t="shared" si="14"/>
        <v>2.5000000000000001E-2</v>
      </c>
      <c r="BC137" s="4">
        <v>46210</v>
      </c>
      <c r="BD137" s="6">
        <v>1.52E-2</v>
      </c>
      <c r="BE137" s="6">
        <v>1.54E-2</v>
      </c>
      <c r="BF137" s="6">
        <v>1.5599999999999999E-2</v>
      </c>
      <c r="BG137" s="3"/>
      <c r="BH137" s="3"/>
      <c r="BI137" s="3"/>
      <c r="BJ137" s="6">
        <v>1.4500000000000001E-2</v>
      </c>
      <c r="BK137" s="2">
        <v>46210</v>
      </c>
      <c r="BL137" s="58">
        <v>4.6300000000000001E-2</v>
      </c>
      <c r="BM137" s="1"/>
      <c r="BN137" s="58">
        <v>5.5599999999999997E-2</v>
      </c>
      <c r="BO137" s="1"/>
      <c r="BP137" s="1"/>
      <c r="BQ137" s="1"/>
      <c r="BR137" s="58">
        <v>3.8600000000000002E-2</v>
      </c>
      <c r="BS137" s="13">
        <f t="shared" si="15"/>
        <v>2.4100000000000003E-2</v>
      </c>
    </row>
    <row r="138" spans="1:71" x14ac:dyDescent="0.35">
      <c r="A138" s="4">
        <v>46211</v>
      </c>
      <c r="B138" s="3" t="s">
        <v>33</v>
      </c>
      <c r="C138" s="3" t="s">
        <v>33</v>
      </c>
      <c r="D138" s="3" t="s">
        <v>32</v>
      </c>
      <c r="E138" s="3" t="s">
        <v>33</v>
      </c>
      <c r="F138" s="3" t="s">
        <v>32</v>
      </c>
      <c r="G138" s="3" t="s">
        <v>33</v>
      </c>
      <c r="H138" s="9">
        <v>1.5100000000000001E-2</v>
      </c>
      <c r="I138" s="2">
        <v>46211</v>
      </c>
      <c r="J138" s="1" t="s">
        <v>33</v>
      </c>
      <c r="K138" s="1" t="s">
        <v>33</v>
      </c>
      <c r="L138" s="1" t="s">
        <v>32</v>
      </c>
      <c r="M138" s="1" t="s">
        <v>33</v>
      </c>
      <c r="N138" s="1" t="s">
        <v>32</v>
      </c>
      <c r="O138" s="1" t="s">
        <v>32</v>
      </c>
      <c r="P138" s="58">
        <v>3.7600000000000001E-2</v>
      </c>
      <c r="Q138" s="86">
        <f t="shared" si="12"/>
        <v>2.2499999999999999E-2</v>
      </c>
      <c r="S138" s="4">
        <v>46211</v>
      </c>
      <c r="T138" s="3" t="s">
        <v>33</v>
      </c>
      <c r="U138" s="3" t="s">
        <v>33</v>
      </c>
      <c r="V138" s="3" t="s">
        <v>33</v>
      </c>
      <c r="W138" s="3" t="s">
        <v>33</v>
      </c>
      <c r="X138" s="6">
        <v>3.5000000000000003E-2</v>
      </c>
      <c r="Y138" s="3" t="s">
        <v>33</v>
      </c>
      <c r="Z138" s="6">
        <v>1.83E-2</v>
      </c>
      <c r="AA138" s="2">
        <v>46211</v>
      </c>
      <c r="AB138" s="1" t="s">
        <v>33</v>
      </c>
      <c r="AC138" s="1" t="s">
        <v>33</v>
      </c>
      <c r="AD138" s="1" t="s">
        <v>33</v>
      </c>
      <c r="AE138" s="1" t="s">
        <v>33</v>
      </c>
      <c r="AF138" s="1" t="s">
        <v>33</v>
      </c>
      <c r="AG138" s="1" t="s">
        <v>33</v>
      </c>
      <c r="AH138" s="58">
        <v>2.5000000000000001E-2</v>
      </c>
      <c r="AI138" s="13">
        <f t="shared" si="13"/>
        <v>6.7000000000000011E-3</v>
      </c>
      <c r="AK138" s="4">
        <v>46211</v>
      </c>
      <c r="AL138" s="6">
        <v>0.02</v>
      </c>
      <c r="AM138" s="3"/>
      <c r="AN138" s="3"/>
      <c r="AO138" s="3"/>
      <c r="AP138" s="3" t="s">
        <v>33</v>
      </c>
      <c r="AQ138" s="3" t="s">
        <v>33</v>
      </c>
      <c r="AR138" s="6">
        <v>1.6199999999999999E-2</v>
      </c>
      <c r="AS138" s="2">
        <v>46211</v>
      </c>
      <c r="AT138" s="14">
        <v>3.49E-2</v>
      </c>
      <c r="AU138" s="14">
        <v>0.04</v>
      </c>
      <c r="AV138" s="14">
        <v>4.1000000000000002E-2</v>
      </c>
      <c r="AW138" s="14">
        <v>4.2900000000000001E-2</v>
      </c>
      <c r="AX138" s="14">
        <v>4.2900000000000001E-2</v>
      </c>
      <c r="AY138" s="14">
        <v>4.0099999999999997E-2</v>
      </c>
      <c r="AZ138" s="14">
        <v>4.19E-2</v>
      </c>
      <c r="BA138" s="13">
        <f t="shared" si="14"/>
        <v>2.5700000000000001E-2</v>
      </c>
      <c r="BC138" s="4">
        <v>46211</v>
      </c>
      <c r="BD138" s="6">
        <v>1.52E-2</v>
      </c>
      <c r="BE138" s="6">
        <v>1.54E-2</v>
      </c>
      <c r="BF138" s="6">
        <v>1.5599999999999999E-2</v>
      </c>
      <c r="BG138" s="3"/>
      <c r="BH138" s="3"/>
      <c r="BI138" s="3"/>
      <c r="BJ138" s="6">
        <v>1.4999999999999999E-2</v>
      </c>
      <c r="BK138" s="2">
        <v>46211</v>
      </c>
      <c r="BL138" s="58">
        <v>4.7399999999999998E-2</v>
      </c>
      <c r="BM138" s="1"/>
      <c r="BN138" s="58">
        <v>5.6899999999999999E-2</v>
      </c>
      <c r="BO138" s="1"/>
      <c r="BP138" s="1"/>
      <c r="BQ138" s="1"/>
      <c r="BR138" s="58">
        <v>3.9399999999999998E-2</v>
      </c>
      <c r="BS138" s="13">
        <f t="shared" si="15"/>
        <v>2.4399999999999998E-2</v>
      </c>
    </row>
    <row r="139" spans="1:71" x14ac:dyDescent="0.35">
      <c r="A139" s="4">
        <v>46212</v>
      </c>
      <c r="B139" s="3" t="s">
        <v>33</v>
      </c>
      <c r="C139" s="3" t="s">
        <v>33</v>
      </c>
      <c r="D139" s="3" t="s">
        <v>32</v>
      </c>
      <c r="E139" s="3" t="s">
        <v>33</v>
      </c>
      <c r="F139" s="3" t="s">
        <v>32</v>
      </c>
      <c r="G139" s="3" t="s">
        <v>33</v>
      </c>
      <c r="H139" s="9">
        <v>1.47E-2</v>
      </c>
      <c r="I139" s="2">
        <v>46212</v>
      </c>
      <c r="J139" s="1" t="s">
        <v>33</v>
      </c>
      <c r="K139" s="1" t="s">
        <v>33</v>
      </c>
      <c r="L139" s="1" t="s">
        <v>32</v>
      </c>
      <c r="M139" s="1" t="s">
        <v>33</v>
      </c>
      <c r="N139" s="1" t="s">
        <v>32</v>
      </c>
      <c r="O139" s="1" t="s">
        <v>32</v>
      </c>
      <c r="P139" s="58">
        <v>3.7100000000000001E-2</v>
      </c>
      <c r="Q139" s="86">
        <f t="shared" si="12"/>
        <v>2.2400000000000003E-2</v>
      </c>
      <c r="S139" s="4">
        <v>46212</v>
      </c>
      <c r="T139" s="3" t="s">
        <v>33</v>
      </c>
      <c r="U139" s="3" t="s">
        <v>33</v>
      </c>
      <c r="V139" s="3" t="s">
        <v>33</v>
      </c>
      <c r="W139" s="3" t="s">
        <v>33</v>
      </c>
      <c r="X139" s="6">
        <v>3.5000000000000003E-2</v>
      </c>
      <c r="Y139" s="3" t="s">
        <v>33</v>
      </c>
      <c r="Z139" s="6">
        <v>1.8499999999999999E-2</v>
      </c>
      <c r="AA139" s="2">
        <v>46212</v>
      </c>
      <c r="AB139" s="1" t="s">
        <v>33</v>
      </c>
      <c r="AC139" s="1" t="s">
        <v>33</v>
      </c>
      <c r="AD139" s="1" t="s">
        <v>33</v>
      </c>
      <c r="AE139" s="1" t="s">
        <v>33</v>
      </c>
      <c r="AF139" s="1" t="s">
        <v>33</v>
      </c>
      <c r="AG139" s="1" t="s">
        <v>33</v>
      </c>
      <c r="AH139" s="58">
        <v>2.5000000000000001E-2</v>
      </c>
      <c r="AI139" s="13">
        <f t="shared" si="13"/>
        <v>6.5000000000000023E-3</v>
      </c>
      <c r="AK139" s="4">
        <v>46212</v>
      </c>
      <c r="AL139" s="6">
        <v>0.02</v>
      </c>
      <c r="AM139" s="3"/>
      <c r="AN139" s="3"/>
      <c r="AO139" s="3"/>
      <c r="AP139" s="3" t="s">
        <v>33</v>
      </c>
      <c r="AQ139" s="3" t="s">
        <v>33</v>
      </c>
      <c r="AR139" s="6">
        <v>1.61E-2</v>
      </c>
      <c r="AS139" s="2">
        <v>46212</v>
      </c>
      <c r="AT139" s="14">
        <v>3.2000000000000001E-2</v>
      </c>
      <c r="AU139" s="14">
        <v>0.04</v>
      </c>
      <c r="AV139" s="14">
        <v>4.02E-2</v>
      </c>
      <c r="AW139" s="14">
        <v>4.2900000000000001E-2</v>
      </c>
      <c r="AX139" s="14">
        <v>4.2900000000000001E-2</v>
      </c>
      <c r="AY139" s="14">
        <v>4.0099999999999997E-2</v>
      </c>
      <c r="AZ139" s="14">
        <v>4.1099999999999998E-2</v>
      </c>
      <c r="BA139" s="13">
        <f t="shared" si="14"/>
        <v>2.4999999999999998E-2</v>
      </c>
      <c r="BC139" s="4">
        <v>46212</v>
      </c>
      <c r="BD139" s="6">
        <v>1.52E-2</v>
      </c>
      <c r="BE139" s="6">
        <v>1.54E-2</v>
      </c>
      <c r="BF139" s="6">
        <v>1.5599999999999999E-2</v>
      </c>
      <c r="BG139" s="3"/>
      <c r="BH139" s="3"/>
      <c r="BI139" s="3"/>
      <c r="BJ139" s="6">
        <v>1.4999999999999999E-2</v>
      </c>
      <c r="BK139" s="2">
        <v>46212</v>
      </c>
      <c r="BL139" s="58">
        <v>4.6300000000000001E-2</v>
      </c>
      <c r="BM139" s="1"/>
      <c r="BN139" s="58">
        <v>5.5599999999999997E-2</v>
      </c>
      <c r="BO139" s="1"/>
      <c r="BP139" s="1"/>
      <c r="BQ139" s="1"/>
      <c r="BR139" s="58">
        <v>3.8600000000000002E-2</v>
      </c>
      <c r="BS139" s="13">
        <f t="shared" si="15"/>
        <v>2.3600000000000003E-2</v>
      </c>
    </row>
    <row r="140" spans="1:71" x14ac:dyDescent="0.35">
      <c r="A140" s="4">
        <v>46213</v>
      </c>
      <c r="B140" s="3"/>
      <c r="C140" s="3"/>
      <c r="D140" s="3"/>
      <c r="E140" s="3"/>
      <c r="F140" s="3"/>
      <c r="G140" s="3"/>
      <c r="H140" s="9"/>
      <c r="I140" s="2">
        <v>46213</v>
      </c>
      <c r="J140" s="1"/>
      <c r="K140" s="1"/>
      <c r="L140" s="1"/>
      <c r="M140" s="1"/>
      <c r="N140" s="1"/>
      <c r="O140" s="1"/>
      <c r="P140" s="58"/>
      <c r="Q140" s="86">
        <f t="shared" si="12"/>
        <v>0</v>
      </c>
      <c r="S140" s="4">
        <v>46213</v>
      </c>
      <c r="T140" s="3"/>
      <c r="U140" s="3"/>
      <c r="V140" s="3"/>
      <c r="W140" s="3"/>
      <c r="X140" s="6"/>
      <c r="Y140" s="3"/>
      <c r="Z140" s="6"/>
      <c r="AA140" s="2">
        <v>46213</v>
      </c>
      <c r="AB140" s="1"/>
      <c r="AC140" s="1"/>
      <c r="AD140" s="1"/>
      <c r="AE140" s="1"/>
      <c r="AF140" s="1"/>
      <c r="AG140" s="1"/>
      <c r="AH140" s="58"/>
      <c r="AI140" s="13">
        <f t="shared" si="13"/>
        <v>0</v>
      </c>
      <c r="AK140" s="4">
        <v>46213</v>
      </c>
      <c r="AL140" s="6"/>
      <c r="AM140" s="3"/>
      <c r="AN140" s="3"/>
      <c r="AO140" s="3"/>
      <c r="AP140" s="3"/>
      <c r="AQ140" s="3"/>
      <c r="AR140" s="6"/>
      <c r="AS140" s="2">
        <v>46213</v>
      </c>
      <c r="AT140" s="14"/>
      <c r="AU140" s="14"/>
      <c r="AV140" s="14"/>
      <c r="AW140" s="14"/>
      <c r="AX140" s="14"/>
      <c r="AY140" s="14"/>
      <c r="AZ140" s="14"/>
      <c r="BA140" s="13">
        <f t="shared" si="14"/>
        <v>0</v>
      </c>
      <c r="BC140" s="4">
        <v>46213</v>
      </c>
      <c r="BD140" s="6"/>
      <c r="BE140" s="6"/>
      <c r="BF140" s="6"/>
      <c r="BG140" s="3"/>
      <c r="BH140" s="3"/>
      <c r="BI140" s="3"/>
      <c r="BJ140" s="6"/>
      <c r="BK140" s="2">
        <v>46213</v>
      </c>
      <c r="BL140" s="58"/>
      <c r="BM140" s="1"/>
      <c r="BN140" s="58"/>
      <c r="BO140" s="1"/>
      <c r="BP140" s="1"/>
      <c r="BQ140" s="1"/>
      <c r="BR140" s="58"/>
      <c r="BS140" s="13">
        <f t="shared" si="15"/>
        <v>0</v>
      </c>
    </row>
    <row r="141" spans="1:71" x14ac:dyDescent="0.35">
      <c r="A141" s="4">
        <v>46214</v>
      </c>
      <c r="B141" s="3"/>
      <c r="C141" s="3"/>
      <c r="D141" s="3"/>
      <c r="E141" s="3"/>
      <c r="F141" s="3"/>
      <c r="G141" s="3"/>
      <c r="H141" s="9"/>
      <c r="I141" s="2">
        <v>46214</v>
      </c>
      <c r="J141" s="1"/>
      <c r="K141" s="1"/>
      <c r="L141" s="1"/>
      <c r="M141" s="1"/>
      <c r="N141" s="1"/>
      <c r="O141" s="1"/>
      <c r="P141" s="58"/>
      <c r="Q141" s="86">
        <f t="shared" si="12"/>
        <v>0</v>
      </c>
      <c r="S141" s="4">
        <v>46214</v>
      </c>
      <c r="T141" s="3"/>
      <c r="U141" s="3"/>
      <c r="V141" s="3"/>
      <c r="W141" s="3"/>
      <c r="X141" s="6"/>
      <c r="Y141" s="3"/>
      <c r="Z141" s="6"/>
      <c r="AA141" s="2">
        <v>46214</v>
      </c>
      <c r="AB141" s="1"/>
      <c r="AC141" s="1"/>
      <c r="AD141" s="1"/>
      <c r="AE141" s="1"/>
      <c r="AF141" s="1"/>
      <c r="AG141" s="1"/>
      <c r="AH141" s="58"/>
      <c r="AI141" s="13">
        <f t="shared" si="13"/>
        <v>0</v>
      </c>
      <c r="AK141" s="4">
        <v>46214</v>
      </c>
      <c r="AL141" s="6"/>
      <c r="AM141" s="3"/>
      <c r="AN141" s="3"/>
      <c r="AO141" s="3"/>
      <c r="AP141" s="3"/>
      <c r="AQ141" s="3"/>
      <c r="AR141" s="6"/>
      <c r="AS141" s="2">
        <v>46214</v>
      </c>
      <c r="AT141" s="14"/>
      <c r="AU141" s="14"/>
      <c r="AV141" s="14"/>
      <c r="AW141" s="14"/>
      <c r="AX141" s="14"/>
      <c r="AY141" s="14"/>
      <c r="AZ141" s="14"/>
      <c r="BA141" s="13">
        <f t="shared" si="14"/>
        <v>0</v>
      </c>
      <c r="BC141" s="4">
        <v>46214</v>
      </c>
      <c r="BD141" s="6"/>
      <c r="BE141" s="6"/>
      <c r="BF141" s="6"/>
      <c r="BG141" s="3"/>
      <c r="BH141" s="3"/>
      <c r="BI141" s="3"/>
      <c r="BJ141" s="6"/>
      <c r="BK141" s="2">
        <v>46214</v>
      </c>
      <c r="BL141" s="58"/>
      <c r="BM141" s="1"/>
      <c r="BN141" s="58"/>
      <c r="BO141" s="1"/>
      <c r="BP141" s="1"/>
      <c r="BQ141" s="1"/>
      <c r="BR141" s="58"/>
      <c r="BS141" s="13">
        <f t="shared" si="15"/>
        <v>0</v>
      </c>
    </row>
    <row r="1048576" spans="34:42" x14ac:dyDescent="0.35">
      <c r="AH1048576" s="60"/>
      <c r="AP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7" t="s">
        <v>44</v>
      </c>
      <c r="C1" s="97"/>
      <c r="D1" s="97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5429687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8164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54296875" style="24" customWidth="1"/>
    <col min="33" max="34" width="8.7265625" style="24"/>
    <col min="35" max="35" width="10.17968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5429687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81640625" bestFit="1" customWidth="1"/>
    <col min="82" max="82" width="8.81640625" bestFit="1" customWidth="1"/>
    <col min="89" max="89" width="9.26953125" bestFit="1" customWidth="1"/>
    <col min="91" max="91" width="8.81640625" bestFit="1" customWidth="1"/>
    <col min="100" max="100" width="9.81640625" bestFit="1" customWidth="1"/>
    <col min="109" max="109" width="9.8164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5429687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1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5429687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113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54296875" customWidth="1"/>
    <col min="10" max="10" width="23.54296875" hidden="1" customWidth="1"/>
    <col min="11" max="11" width="23.5429687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112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5429687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111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.15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.15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110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.15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.15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.15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.15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109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.15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.15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108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.15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107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4296875" defaultRowHeight="23.15" customHeight="1" x14ac:dyDescent="0.35"/>
  <cols>
    <col min="10" max="10" width="0" hidden="1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.15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.15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106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.15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.15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105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.15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.15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104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.15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.15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.15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103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102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101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100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.15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.15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99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.15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.15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.15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98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.15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.15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.15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97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.15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.15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96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.15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95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.15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94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.15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93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.15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9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.15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.15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.15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9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.15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9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.15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.15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.15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.15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.15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.15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.15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.15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.15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.15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.15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.15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.15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8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.15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8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.15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.15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.15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Data'!Z67</f>
        <v>1.2800000000000001E-2</v>
      </c>
    </row>
    <row r="5" spans="1:11" ht="23.15" customHeight="1" x14ac:dyDescent="0.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.15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.15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I10" s="74"/>
    </row>
  </sheetData>
  <conditionalFormatting sqref="A1:J3 A4:H9 J4:J9 I4:I10">
    <cfRule type="expression" dxfId="7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2.7E-2</v>
      </c>
      <c r="C3" s="55">
        <v>2.7400000000000001E-2</v>
      </c>
      <c r="D3" s="55">
        <v>3.0499999999999999E-2</v>
      </c>
      <c r="E3" s="55">
        <v>4.4400000000000002E-2</v>
      </c>
      <c r="F3" s="55">
        <v>5.7799999999999997E-2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Data'!AR68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Data'!Z68</f>
        <v>1.2600000000000002E-2</v>
      </c>
    </row>
    <row r="5" spans="1:11" ht="23.15" customHeight="1" x14ac:dyDescent="0.5">
      <c r="A5" s="51" t="s">
        <v>17</v>
      </c>
      <c r="B5" s="56"/>
      <c r="C5" s="56">
        <f t="shared" ref="C5:G5" si="2">((1+$I5)^(C2/365)-1)*365/C2</f>
        <v>3.0216247184851448E-2</v>
      </c>
      <c r="D5" s="56"/>
      <c r="E5" s="56">
        <f t="shared" si="2"/>
        <v>3.0273830874697632E-2</v>
      </c>
      <c r="F5" s="56">
        <f t="shared" si="2"/>
        <v>3.0311464275388368E-2</v>
      </c>
      <c r="G5" s="56">
        <f t="shared" si="2"/>
        <v>3.0424739121945526E-2</v>
      </c>
      <c r="H5" s="53">
        <v>3.0200000000000001E-2</v>
      </c>
      <c r="I5" s="74">
        <f t="shared" si="1"/>
        <v>3.0659357866290149E-2</v>
      </c>
      <c r="J5" s="75"/>
      <c r="K5" s="68">
        <f>H5-'Daily Data'!BJ68</f>
        <v>2.1600000000000001E-2</v>
      </c>
    </row>
    <row r="6" spans="1:11" ht="23.15" customHeight="1" x14ac:dyDescent="0.4">
      <c r="A6" s="51" t="s">
        <v>60</v>
      </c>
      <c r="B6" s="52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.15" customHeight="1" x14ac:dyDescent="0.4">
      <c r="A7" s="51" t="s">
        <v>52</v>
      </c>
      <c r="B7" s="52"/>
      <c r="C7" s="52">
        <f t="shared" ref="C7:G7" si="4">((1+$I7)^(C2/365)-1)*365/C2</f>
        <v>2.4010260232618413E-2</v>
      </c>
      <c r="D7" s="52"/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H7-1.05%</f>
        <v>1.35E-2</v>
      </c>
    </row>
    <row r="8" spans="1:11" ht="23.15" customHeight="1" x14ac:dyDescent="0.4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4">
        <f t="shared" si="1"/>
        <v>3.0350231880070799E-2</v>
      </c>
      <c r="J8" s="75"/>
      <c r="K8" s="68">
        <f>H8-'Daily Data'!H68</f>
        <v>2.0299999999999999E-2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2.6499999999999999E-2</v>
      </c>
      <c r="C3" s="55">
        <v>2.7E-2</v>
      </c>
      <c r="D3" s="55">
        <v>2.9499999999999998E-2</v>
      </c>
      <c r="E3" s="55">
        <v>4.3999999999999997E-2</v>
      </c>
      <c r="F3" s="55">
        <v>5.7599999999999998E-2</v>
      </c>
      <c r="G3" s="55">
        <v>3.2000000000000001E-2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Data'!AR69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Data'!Z69</f>
        <v>1.2600000000000002E-2</v>
      </c>
    </row>
    <row r="5" spans="1:11" ht="23.15" customHeight="1" x14ac:dyDescent="0.5">
      <c r="A5" s="51" t="s">
        <v>17</v>
      </c>
      <c r="B5" s="56">
        <v>3.5400000000000001E-2</v>
      </c>
      <c r="C5" s="56">
        <f t="shared" ref="C5:G5" si="2">((1+$I5)^(C2/365)-1)*365/C2</f>
        <v>2.9515502614004818E-2</v>
      </c>
      <c r="D5" s="56">
        <v>5.5100000000000003E-2</v>
      </c>
      <c r="E5" s="56">
        <f t="shared" si="2"/>
        <v>2.957044530350909E-2</v>
      </c>
      <c r="F5" s="56">
        <f t="shared" si="2"/>
        <v>2.9606350952279013E-2</v>
      </c>
      <c r="G5" s="56">
        <f t="shared" si="2"/>
        <v>2.9714417036530872E-2</v>
      </c>
      <c r="H5" s="53">
        <v>2.9499999999999998E-2</v>
      </c>
      <c r="I5" s="74">
        <f t="shared" si="1"/>
        <v>2.9938207723953836E-2</v>
      </c>
      <c r="J5" s="75"/>
      <c r="K5" s="68">
        <f>H5-'Daily Data'!BJ69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2.4299999999999999E-2</v>
      </c>
      <c r="C7" s="52">
        <f t="shared" ref="C7:G7" si="4">((1+$I7)^(C2/365)-1)*365/C2</f>
        <v>2.3209587533257667E-2</v>
      </c>
      <c r="D7" s="52">
        <v>2.5499999999999998E-2</v>
      </c>
      <c r="E7" s="52">
        <f t="shared" si="4"/>
        <v>2.3243555094752066E-2</v>
      </c>
      <c r="F7" s="52">
        <f t="shared" si="4"/>
        <v>2.3265743559169324E-2</v>
      </c>
      <c r="G7" s="52">
        <f t="shared" si="4"/>
        <v>2.3332478537392582E-2</v>
      </c>
      <c r="H7" s="53">
        <v>2.3199999999999998E-2</v>
      </c>
      <c r="I7" s="74">
        <f t="shared" si="1"/>
        <v>2.3470458733289679E-2</v>
      </c>
      <c r="J7" s="75"/>
      <c r="K7" s="68">
        <f>H7-1.01%</f>
        <v>1.3099999999999999E-2</v>
      </c>
    </row>
    <row r="8" spans="1:11" ht="23.15" customHeight="1" x14ac:dyDescent="0.4">
      <c r="A8" s="51" t="s">
        <v>62</v>
      </c>
      <c r="B8" s="52">
        <f>((1+$I8)^(B2/365)-1)*365/B2</f>
        <v>2.9207008934516918E-2</v>
      </c>
      <c r="C8" s="52">
        <f t="shared" ref="C8:G8" si="5">((1+$I8)^(C2/365)-1)*365/C2</f>
        <v>2.9215188859992698E-2</v>
      </c>
      <c r="D8" s="52">
        <f t="shared" si="5"/>
        <v>2.9233897304799861E-2</v>
      </c>
      <c r="E8" s="52">
        <f t="shared" si="5"/>
        <v>2.9269018705551892E-2</v>
      </c>
      <c r="F8" s="52">
        <f t="shared" si="5"/>
        <v>2.9304196365779224E-2</v>
      </c>
      <c r="G8" s="52">
        <f t="shared" si="5"/>
        <v>2.9410067918132683E-2</v>
      </c>
      <c r="H8" s="53">
        <v>2.92E-2</v>
      </c>
      <c r="I8" s="74">
        <f t="shared" si="1"/>
        <v>2.9629297440349367E-2</v>
      </c>
      <c r="J8" s="75"/>
      <c r="K8" s="68">
        <f>H8-'Daily Data'!H69</f>
        <v>2.01E-2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2.7400000000000001E-2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Data'!AR70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Data'!Z70</f>
        <v>1.2600000000000002E-2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2.9815819576702873E-2</v>
      </c>
      <c r="D5" s="57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Data'!BJ70</f>
        <v>2.1299999999999999E-2</v>
      </c>
    </row>
    <row r="6" spans="1:11" ht="23.15" customHeight="1" x14ac:dyDescent="0.5">
      <c r="A6" s="51" t="s">
        <v>60</v>
      </c>
      <c r="B6" s="57">
        <v>3.7499999999999999E-2</v>
      </c>
      <c r="C6" s="56">
        <f t="shared" ref="C6:G6" si="3">((1+$I6)^(C2/365)-1)*365/C2</f>
        <v>3.3720232087598924E-2</v>
      </c>
      <c r="D6" s="57">
        <v>0.06</v>
      </c>
      <c r="E6" s="56">
        <f t="shared" si="3"/>
        <v>3.3791952704462558E-2</v>
      </c>
      <c r="F6" s="56">
        <f t="shared" si="3"/>
        <v>3.3838836584806672E-2</v>
      </c>
      <c r="G6" s="56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7">
        <v>2.63E-2</v>
      </c>
      <c r="C7" s="56">
        <f t="shared" ref="C7:G7" si="4">((1+$I7)^(C2/365)-1)*365/C2</f>
        <v>2.4510692254110272E-2</v>
      </c>
      <c r="D7" s="57">
        <v>2.75E-2</v>
      </c>
      <c r="E7" s="56">
        <f t="shared" si="4"/>
        <v>2.4548576373024433E-2</v>
      </c>
      <c r="F7" s="56">
        <f t="shared" si="4"/>
        <v>2.457332546501876E-2</v>
      </c>
      <c r="G7" s="56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H7-0.94%</f>
        <v>1.5100000000000002E-2</v>
      </c>
    </row>
    <row r="8" spans="1:11" ht="23.15" customHeight="1" x14ac:dyDescent="0.5">
      <c r="A8" s="51" t="s">
        <v>62</v>
      </c>
      <c r="B8" s="56">
        <f>((1+$I8)^(B2/365)-1)*365/B2</f>
        <v>2.9707251038128626E-2</v>
      </c>
      <c r="C8" s="56">
        <f t="shared" ref="C8:G8" si="5">((1+$I8)^(C2/365)-1)*365/C2</f>
        <v>2.97157135659997E-2</v>
      </c>
      <c r="D8" s="56">
        <f t="shared" si="5"/>
        <v>2.9735068558820243E-2</v>
      </c>
      <c r="E8" s="56">
        <f t="shared" si="5"/>
        <v>2.9771404489047876E-2</v>
      </c>
      <c r="F8" s="56">
        <f t="shared" si="5"/>
        <v>2.9807799622090583E-2</v>
      </c>
      <c r="G8" s="56">
        <f t="shared" si="5"/>
        <v>2.991734132434765E-2</v>
      </c>
      <c r="H8" s="53">
        <v>2.9700000000000001E-2</v>
      </c>
      <c r="I8" s="74">
        <f t="shared" si="1"/>
        <v>3.0144199258958837E-2</v>
      </c>
      <c r="J8" s="75"/>
      <c r="K8" s="68">
        <f>H8-'Daily Data'!H70</f>
        <v>2.1000000000000001E-2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Data'!AR71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Data'!Z71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2.8314266848908365E-2</v>
      </c>
      <c r="D5" s="57">
        <v>5.5100000000000003E-2</v>
      </c>
      <c r="E5" s="56">
        <f t="shared" si="2"/>
        <v>2.8364826602223003E-2</v>
      </c>
      <c r="F5" s="56">
        <f t="shared" si="2"/>
        <v>2.8397865201035391E-2</v>
      </c>
      <c r="G5" s="56">
        <f t="shared" si="2"/>
        <v>2.8497289156265086E-2</v>
      </c>
      <c r="H5" s="53">
        <v>2.8299999999999999E-2</v>
      </c>
      <c r="I5" s="74">
        <f t="shared" si="1"/>
        <v>2.8703120866840903E-2</v>
      </c>
      <c r="J5" s="75"/>
      <c r="K5" s="68">
        <f>H5-'Daily Data'!BJ71</f>
        <v>2.0399999999999998E-2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H7-0.94%</f>
        <v>1.6200000000000003E-2</v>
      </c>
    </row>
    <row r="8" spans="1:11" ht="23.15" customHeight="1" x14ac:dyDescent="0.4">
      <c r="A8" s="51" t="s">
        <v>62</v>
      </c>
      <c r="B8" s="52">
        <f>((1+$I8)^(B2/365)-1)*365/B2</f>
        <v>2.8306583508236022E-2</v>
      </c>
      <c r="C8" s="52">
        <f t="shared" ref="C8:G8" si="5">((1+$I8)^(C2/365)-1)*365/C2</f>
        <v>2.8314266848908365E-2</v>
      </c>
      <c r="D8" s="52">
        <f t="shared" si="5"/>
        <v>2.8331839214008798E-2</v>
      </c>
      <c r="E8" s="52">
        <f t="shared" si="5"/>
        <v>2.8364826602223003E-2</v>
      </c>
      <c r="F8" s="52">
        <f t="shared" si="5"/>
        <v>2.8397865201035391E-2</v>
      </c>
      <c r="G8" s="52">
        <f t="shared" si="5"/>
        <v>2.8497289156265086E-2</v>
      </c>
      <c r="H8" s="53">
        <v>2.8299999999999999E-2</v>
      </c>
      <c r="I8" s="74">
        <f t="shared" si="1"/>
        <v>2.8703120866840903E-2</v>
      </c>
      <c r="J8" s="75"/>
      <c r="K8" s="68">
        <f>H8-'Daily Data'!H71</f>
        <v>2.0199999999999999E-2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2.6499999999999999E-2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Data'!AR72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Data'!Z72</f>
        <v>1.2600000000000002E-2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2.7313276259254522E-2</v>
      </c>
      <c r="D5" s="57">
        <v>5.5100000000000003E-2</v>
      </c>
      <c r="E5" s="56">
        <f t="shared" si="2"/>
        <v>2.7360322962594403E-2</v>
      </c>
      <c r="F5" s="56">
        <f t="shared" si="2"/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Data'!BJ72</f>
        <v>1.9500000000000003E-2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H7-0.98%</f>
        <v>1.5800000000000002E-2</v>
      </c>
    </row>
    <row r="8" spans="1:11" ht="23.15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Data'!H72</f>
        <v>2.01E-2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Data'!AR73</f>
        <v>2.5599999999999998E-2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Data'!Z73</f>
        <v>1.2300000000000002E-2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Data'!BJ73</f>
        <v>2.01E-2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2.5011133186924366E-2</v>
      </c>
      <c r="D7" s="55">
        <v>2.75E-2</v>
      </c>
      <c r="E7" s="52">
        <f t="shared" si="4"/>
        <v>2.5050580654265259E-2</v>
      </c>
      <c r="F7" s="52">
        <f t="shared" si="4"/>
        <v>2.5076351951623117E-2</v>
      </c>
      <c r="G7" s="52">
        <f t="shared" si="4"/>
        <v>2.5153878127579712E-2</v>
      </c>
      <c r="H7" s="53">
        <v>2.5000000000000001E-2</v>
      </c>
      <c r="I7" s="74">
        <f t="shared" si="1"/>
        <v>2.5314242726610869E-2</v>
      </c>
      <c r="J7" s="75"/>
      <c r="K7" s="68">
        <f>H7-0.98%</f>
        <v>1.5200000000000002E-2</v>
      </c>
    </row>
    <row r="8" spans="1:11" ht="23.15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Data'!H73</f>
        <v>1.9799999999999998E-2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2.6499999999999999E-2</v>
      </c>
      <c r="D3" s="55">
        <v>2.75E-2</v>
      </c>
      <c r="E3" s="55">
        <v>4.3900000000000002E-2</v>
      </c>
      <c r="F3" s="55">
        <v>5.3699999999999998E-2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Data'!AR74</f>
        <v>2.5999999999999999E-2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Data'!Z74</f>
        <v>1.2700000000000001E-2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2.8814775512232469E-2</v>
      </c>
      <c r="D5" s="56">
        <v>5.5100000000000003E-2</v>
      </c>
      <c r="E5" s="56">
        <f t="shared" si="2"/>
        <v>2.8867139310035983E-2</v>
      </c>
      <c r="F5" s="56">
        <f t="shared" si="2"/>
        <v>2.8901357961484207E-2</v>
      </c>
      <c r="G5" s="56">
        <f t="shared" si="2"/>
        <v>2.9004338734472852E-2</v>
      </c>
      <c r="H5" s="53">
        <v>2.8799999999999999E-2</v>
      </c>
      <c r="I5" s="74">
        <f t="shared" si="1"/>
        <v>2.9217560787452745E-2</v>
      </c>
      <c r="J5" s="75"/>
      <c r="K5" s="68">
        <f>H5-'Daily Data'!BJ74</f>
        <v>2.06E-2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2.58E-2</v>
      </c>
      <c r="C7" s="52">
        <f t="shared" ref="C7:G7" si="4">((1+$I7)^(C2/365)-1)*365/C2</f>
        <v>2.4610779727792322E-2</v>
      </c>
      <c r="D7" s="52">
        <v>2.7099999999999999E-2</v>
      </c>
      <c r="E7" s="52">
        <f t="shared" si="4"/>
        <v>2.4648973983705396E-2</v>
      </c>
      <c r="F7" s="52">
        <f t="shared" si="4"/>
        <v>2.4673925856523601E-2</v>
      </c>
      <c r="G7" s="52">
        <f t="shared" si="4"/>
        <v>2.4748983713435448E-2</v>
      </c>
      <c r="H7" s="53">
        <v>2.46E-2</v>
      </c>
      <c r="I7" s="74">
        <f t="shared" si="1"/>
        <v>2.4904226896770965E-2</v>
      </c>
      <c r="J7" s="75"/>
      <c r="K7" s="68">
        <f>H7-0.95%</f>
        <v>1.5100000000000001E-2</v>
      </c>
    </row>
    <row r="8" spans="1:11" ht="23.15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Data'!H74</f>
        <v>1.9599999999999999E-2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2.7E-2</v>
      </c>
      <c r="C3" s="55">
        <v>2.75E-2</v>
      </c>
      <c r="D3" s="55">
        <v>2.75E-2</v>
      </c>
      <c r="E3" s="55">
        <v>4.3900000000000002E-2</v>
      </c>
      <c r="F3" s="55">
        <v>5.1900000000000002E-2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Data'!AR75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Data'!Z75</f>
        <v>1.2400000000000001E-2</v>
      </c>
    </row>
    <row r="5" spans="1:11" ht="23.15" customHeight="1" x14ac:dyDescent="0.5">
      <c r="A5" s="51" t="s">
        <v>17</v>
      </c>
      <c r="B5" s="56">
        <v>3.49E-2</v>
      </c>
      <c r="C5" s="56">
        <f t="shared" ref="C5:G5" si="2">((1+$I5)^(C2/365)-1)*365/C2</f>
        <v>2.8914878314429165E-2</v>
      </c>
      <c r="D5" s="56">
        <v>5.5100000000000003E-2</v>
      </c>
      <c r="E5" s="56">
        <f t="shared" si="2"/>
        <v>2.8967606723085199E-2</v>
      </c>
      <c r="F5" s="56">
        <f t="shared" si="2"/>
        <v>2.9002063879406133E-2</v>
      </c>
      <c r="G5" s="56">
        <f t="shared" si="2"/>
        <v>2.9105763569589695E-2</v>
      </c>
      <c r="H5" s="53">
        <v>2.8899999999999999E-2</v>
      </c>
      <c r="I5" s="74">
        <f t="shared" si="1"/>
        <v>2.9320479554602263E-2</v>
      </c>
      <c r="J5" s="75"/>
      <c r="K5" s="68">
        <f>H5-'Daily Data'!BJ75</f>
        <v>2.0699999999999996E-2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2.5600000000000001E-2</v>
      </c>
      <c r="C7" s="52">
        <f t="shared" ref="C7:G7" si="4">((1+$I7)^(C2/365)-1)*365/C2</f>
        <v>2.4410605136875558E-2</v>
      </c>
      <c r="D7" s="52">
        <v>2.6800000000000001E-2</v>
      </c>
      <c r="E7" s="52">
        <f t="shared" si="4"/>
        <v>2.4448180385079121E-2</v>
      </c>
      <c r="F7" s="52">
        <f t="shared" si="4"/>
        <v>2.4472727526308455E-2</v>
      </c>
      <c r="G7" s="52">
        <f t="shared" si="4"/>
        <v>2.4546566287036671E-2</v>
      </c>
      <c r="H7" s="53">
        <v>2.4400000000000002E-2</v>
      </c>
      <c r="I7" s="74">
        <f t="shared" si="1"/>
        <v>2.4699280303361215E-2</v>
      </c>
      <c r="J7" s="75"/>
      <c r="K7" s="68">
        <f>H7-0.98%</f>
        <v>1.4600000000000002E-2</v>
      </c>
    </row>
    <row r="8" spans="1:11" ht="23.15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Data'!H75</f>
        <v>1.9799999999999998E-2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2.6700000000000002E-2</v>
      </c>
      <c r="D3" s="55">
        <v>2.75E-2</v>
      </c>
      <c r="E3" s="55">
        <v>4.3900000000000002E-2</v>
      </c>
      <c r="F3" s="55">
        <v>5.1700000000000003E-2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Data'!AR76</f>
        <v>2.3899999999999998E-2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Data'!Z76</f>
        <v>1.2000000000000002E-2</v>
      </c>
    </row>
    <row r="5" spans="1:11" ht="23.15" customHeight="1" x14ac:dyDescent="0.5">
      <c r="A5" s="51" t="s">
        <v>17</v>
      </c>
      <c r="B5" s="56">
        <v>3.56E-2</v>
      </c>
      <c r="C5" s="56">
        <f t="shared" ref="C5:G5" si="2">((1+$I5)^(C2/365)-1)*365/C2</f>
        <v>2.97157135659997E-2</v>
      </c>
      <c r="D5" s="56">
        <v>5.5100000000000003E-2</v>
      </c>
      <c r="E5" s="56">
        <f t="shared" si="2"/>
        <v>2.9771404489047876E-2</v>
      </c>
      <c r="F5" s="56">
        <f t="shared" si="2"/>
        <v>2.9807799622090583E-2</v>
      </c>
      <c r="G5" s="56">
        <f t="shared" si="2"/>
        <v>2.991734132434765E-2</v>
      </c>
      <c r="H5" s="53">
        <v>2.9700000000000001E-2</v>
      </c>
      <c r="I5" s="74">
        <f t="shared" si="1"/>
        <v>3.0144199258958837E-2</v>
      </c>
      <c r="J5" s="75"/>
      <c r="K5" s="68">
        <f>H5-'Daily Data'!BJ76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2.7799999999999998E-2</v>
      </c>
      <c r="C7" s="52">
        <f t="shared" ref="C7:G7" si="4">((1+$I7)^(C2/365)-1)*365/C2</f>
        <v>2.6512509454446293E-2</v>
      </c>
      <c r="D7" s="52">
        <v>2.92E-2</v>
      </c>
      <c r="E7" s="52">
        <f t="shared" si="4"/>
        <v>2.6556836941645196E-2</v>
      </c>
      <c r="F7" s="52">
        <f t="shared" si="4"/>
        <v>2.6585799405461893E-2</v>
      </c>
      <c r="G7" s="52">
        <f t="shared" si="4"/>
        <v>2.6672939714643285E-2</v>
      </c>
      <c r="H7" s="53">
        <v>2.6499999999999999E-2</v>
      </c>
      <c r="I7" s="74">
        <f t="shared" si="1"/>
        <v>2.6853259490220882E-2</v>
      </c>
      <c r="J7" s="75"/>
      <c r="K7" s="68">
        <f>H7-1.01%</f>
        <v>1.6399999999999998E-2</v>
      </c>
    </row>
    <row r="8" spans="1:11" ht="23.15" customHeight="1" x14ac:dyDescent="0.4">
      <c r="A8" s="51" t="s">
        <v>62</v>
      </c>
      <c r="B8" s="52">
        <f>((1+$I8)^(B2/365)-1)*365/B2</f>
        <v>2.9307057026300192E-2</v>
      </c>
      <c r="C8" s="52">
        <f t="shared" ref="C8:G8" si="5">((1+$I8)^(C2/365)-1)*365/C2</f>
        <v>2.9315293088140817E-2</v>
      </c>
      <c r="D8" s="52">
        <f t="shared" si="5"/>
        <v>2.9334129962939159E-2</v>
      </c>
      <c r="E8" s="52">
        <f t="shared" si="5"/>
        <v>2.9369492614198467E-2</v>
      </c>
      <c r="F8" s="52">
        <f t="shared" si="5"/>
        <v>2.940491210560266E-2</v>
      </c>
      <c r="G8" s="52">
        <f t="shared" si="5"/>
        <v>2.9511512649485608E-2</v>
      </c>
      <c r="H8" s="53">
        <v>2.93E-2</v>
      </c>
      <c r="I8" s="74">
        <f t="shared" si="1"/>
        <v>2.9732257267065743E-2</v>
      </c>
      <c r="J8" s="75"/>
      <c r="K8" s="68">
        <f>H8-'Daily Data'!H76</f>
        <v>0.02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3.3500000000000002E-2</v>
      </c>
      <c r="I3" s="74">
        <f>(1+H3/365)^365-1</f>
        <v>3.4065854123153105E-2</v>
      </c>
      <c r="J3" s="75"/>
      <c r="K3" s="68">
        <f>H3-'Daily Data'!AR77</f>
        <v>2.4900000000000002E-2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Data'!Z77</f>
        <v>1.1600000000000001E-2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2.9815819576702873E-2</v>
      </c>
      <c r="D5" s="56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Data'!BJ77</f>
        <v>2.07E-2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4">
        <f t="shared" si="1"/>
        <v>3.1484146077251696E-2</v>
      </c>
      <c r="J8" s="75"/>
      <c r="K8" s="68">
        <f>H8-'Daily Data'!H77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3.4000000000000002E-2</v>
      </c>
      <c r="I3" s="74">
        <f>(1+H3/365)^365-1</f>
        <v>3.4582968502674616E-2</v>
      </c>
      <c r="J3" s="75"/>
      <c r="K3" s="68">
        <f>H3-'Daily Data'!AR78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Data'!Z78</f>
        <v>1.1500000000000002E-2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3.0816899292500168E-2</v>
      </c>
      <c r="D5" s="56">
        <v>5.5100000000000003E-2</v>
      </c>
      <c r="E5" s="56">
        <f t="shared" si="2"/>
        <v>3.087679613673544E-2</v>
      </c>
      <c r="F5" s="56">
        <f t="shared" si="2"/>
        <v>3.0915942913661267E-2</v>
      </c>
      <c r="G5" s="56">
        <f t="shared" si="2"/>
        <v>3.1033780718266069E-2</v>
      </c>
      <c r="H5" s="53">
        <v>3.0800000000000001E-2</v>
      </c>
      <c r="I5" s="74">
        <f t="shared" si="1"/>
        <v>3.127788733589032E-2</v>
      </c>
      <c r="J5" s="75"/>
      <c r="K5" s="68">
        <f>H5-'Daily Data'!BJ78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Data'!H78</f>
        <v>2.3199999999999998E-2</v>
      </c>
    </row>
    <row r="9" spans="1:11" ht="23.15" customHeight="1" x14ac:dyDescent="0.5">
      <c r="A9" s="51" t="s">
        <v>61</v>
      </c>
      <c r="B9" s="56">
        <f>((1+$H9)^(B2/365)-1)*365/B2</f>
        <v>3.0635189475697006E-2</v>
      </c>
      <c r="C9" s="56">
        <f t="shared" ref="C9:G9" si="6">((1+$H9)^(C2/365)-1)*365/C2</f>
        <v>3.0644188933007483E-2</v>
      </c>
      <c r="D9" s="56">
        <f t="shared" si="6"/>
        <v>3.06647723601375E-2</v>
      </c>
      <c r="E9" s="56">
        <f t="shared" si="6"/>
        <v>3.0703415987420896E-2</v>
      </c>
      <c r="F9" s="56">
        <f t="shared" si="6"/>
        <v>3.0742124546103724E-2</v>
      </c>
      <c r="G9" s="56">
        <f t="shared" si="6"/>
        <v>3.0858641039178882E-2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3.4500000000000003E-2</v>
      </c>
      <c r="I3" s="74">
        <f>(1+H3/365)^365-1</f>
        <v>3.5100340771234473E-2</v>
      </c>
      <c r="J3" s="75"/>
      <c r="K3" s="68">
        <f>H3-'Daily Data'!AR79</f>
        <v>2.5300000000000003E-2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Data'!Z79</f>
        <v>1.0900000000000002E-2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3.1117230159457634E-2</v>
      </c>
      <c r="D5" s="56">
        <v>5.5100000000000003E-2</v>
      </c>
      <c r="E5" s="56">
        <f t="shared" si="2"/>
        <v>3.1178300696434385E-2</v>
      </c>
      <c r="F5" s="56">
        <f t="shared" si="2"/>
        <v>3.1218215395197819E-2</v>
      </c>
      <c r="G5" s="56">
        <f t="shared" si="2"/>
        <v>3.1338368720569248E-2</v>
      </c>
      <c r="H5" s="53">
        <v>3.1099999999999999E-2</v>
      </c>
      <c r="I5" s="74">
        <f t="shared" si="1"/>
        <v>3.1587290874597329E-2</v>
      </c>
      <c r="J5" s="75"/>
      <c r="K5" s="68">
        <f>H5-'Daily Data'!BJ79</f>
        <v>2.0899999999999998E-2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3.7725321103891055E-2</v>
      </c>
      <c r="D6" s="52">
        <v>0.06</v>
      </c>
      <c r="E6" s="52">
        <f t="shared" si="3"/>
        <v>3.7815101107635661E-2</v>
      </c>
      <c r="F6" s="52">
        <f t="shared" si="3"/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Data'!H79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3.6900000000000002E-2</v>
      </c>
      <c r="I3" s="74">
        <f>(1+H3/365)^365-1</f>
        <v>3.7587321525166306E-2</v>
      </c>
      <c r="J3" s="75"/>
      <c r="K3" s="68">
        <f>H3-'Daily Data'!AR80</f>
        <v>2.5800000000000003E-2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'11.05.2026'!H4-'Daily Data'!Z80</f>
        <v>1.0900000000000002E-2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3.3920472988498589E-2</v>
      </c>
      <c r="D5" s="56">
        <v>5.5100000000000003E-2</v>
      </c>
      <c r="E5" s="56">
        <f t="shared" si="2"/>
        <v>3.3993048356382727E-2</v>
      </c>
      <c r="F5" s="56">
        <f t="shared" si="2"/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Data'!BJ80</f>
        <v>2.2800000000000001E-2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Data'!H80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2.5999999999999999E-2</v>
      </c>
      <c r="C3" s="55">
        <v>3.1E-2</v>
      </c>
      <c r="D3" s="55">
        <v>0.04</v>
      </c>
      <c r="E3" s="55">
        <v>4.1500000000000002E-2</v>
      </c>
      <c r="F3" s="55">
        <v>4.1000000000000002E-2</v>
      </c>
      <c r="G3" s="55">
        <v>4.2599999999999999E-2</v>
      </c>
      <c r="H3" s="53">
        <v>3.61E-2</v>
      </c>
      <c r="I3" s="74">
        <f>(1+H3/365)^365-1</f>
        <v>3.6757666539783518E-2</v>
      </c>
      <c r="J3" s="75"/>
      <c r="K3" s="68">
        <f>H3-'Daily Data'!AR81</f>
        <v>2.58E-2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Data'!Z81</f>
        <v>1.0900000000000002E-2</v>
      </c>
    </row>
    <row r="5" spans="1:11" ht="23.15" customHeight="1" x14ac:dyDescent="0.5">
      <c r="A5" s="51" t="s">
        <v>17</v>
      </c>
      <c r="B5" s="56">
        <v>4.0399999999999998E-2</v>
      </c>
      <c r="C5" s="56">
        <f t="shared" ref="C5:G5" si="2">((1+$I5)^(C2/365)-1)*365/C2</f>
        <v>3.3219636075024761E-2</v>
      </c>
      <c r="D5" s="56">
        <v>5.5100000000000003E-2</v>
      </c>
      <c r="E5" s="56">
        <f t="shared" si="2"/>
        <v>3.3289242013672393E-2</v>
      </c>
      <c r="F5" s="56">
        <f t="shared" si="2"/>
        <v>3.3334741945595443E-2</v>
      </c>
      <c r="G5" s="56">
        <f t="shared" si="2"/>
        <v>3.3471739824844977E-2</v>
      </c>
      <c r="H5" s="53">
        <v>3.32E-2</v>
      </c>
      <c r="I5" s="74">
        <f t="shared" si="1"/>
        <v>3.3755709228882935E-2</v>
      </c>
      <c r="J5" s="75"/>
      <c r="K5" s="68">
        <f>H5-'Daily Data'!BJ81</f>
        <v>2.1999999999999999E-2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'12.05.2026'!H6-2.3%</f>
        <v>1.0700000000000001E-2</v>
      </c>
    </row>
    <row r="7" spans="1:11" ht="23.15" customHeight="1" x14ac:dyDescent="0.4">
      <c r="A7" s="51" t="s">
        <v>52</v>
      </c>
      <c r="B7" s="52">
        <v>3.2199999999999999E-2</v>
      </c>
      <c r="C7" s="52">
        <f t="shared" ref="C7:G7" si="4">((1+$I7)^(C2/365)-1)*365/C2</f>
        <v>3.0616680497176203E-2</v>
      </c>
      <c r="D7" s="52">
        <v>3.3700000000000001E-2</v>
      </c>
      <c r="E7" s="52">
        <f t="shared" si="4"/>
        <v>3.0675801218832937E-2</v>
      </c>
      <c r="F7" s="52">
        <f t="shared" si="4"/>
        <v>3.071444020872649E-2</v>
      </c>
      <c r="G7" s="52">
        <f t="shared" si="4"/>
        <v>3.0830746942096931E-2</v>
      </c>
      <c r="H7" s="53">
        <v>3.0599999999999999E-2</v>
      </c>
      <c r="I7" s="74">
        <f t="shared" si="1"/>
        <v>3.1071669725747597E-2</v>
      </c>
      <c r="J7" s="75"/>
      <c r="K7" s="68">
        <f>H7-1.06%</f>
        <v>1.9999999999999997E-2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Data'!H81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4.1914432432310952E-2</v>
      </c>
      <c r="C9" s="56">
        <f t="shared" ref="C9:G9" si="6">((1+$I9)^(C2/365)-1)*365/C2</f>
        <v>4.1931278648089418E-2</v>
      </c>
      <c r="D9" s="56">
        <f t="shared" si="6"/>
        <v>4.1969818193079732E-2</v>
      </c>
      <c r="E9" s="56">
        <f t="shared" si="6"/>
        <v>4.2042207191949066E-2</v>
      </c>
      <c r="F9" s="56">
        <f t="shared" si="6"/>
        <v>4.2114762664961662E-2</v>
      </c>
      <c r="G9" s="56">
        <f t="shared" si="6"/>
        <v>4.2333432241796282E-2</v>
      </c>
      <c r="H9" s="53">
        <v>4.19E-2</v>
      </c>
      <c r="I9" s="74">
        <f t="shared" si="1"/>
        <v>4.2787686858843488E-2</v>
      </c>
      <c r="J9" s="75"/>
      <c r="K9" s="69"/>
    </row>
  </sheetData>
  <conditionalFormatting sqref="A1:J9">
    <cfRule type="expression" dxfId="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2.5499999999999998E-2</v>
      </c>
      <c r="C3" s="55">
        <v>2.75E-2</v>
      </c>
      <c r="D3" s="55">
        <v>2.9000000000000001E-2</v>
      </c>
      <c r="E3" s="55">
        <v>3.95E-2</v>
      </c>
      <c r="F3" s="55">
        <v>4.1000000000000002E-2</v>
      </c>
      <c r="G3" s="55">
        <v>4.2599999999999999E-2</v>
      </c>
      <c r="H3" s="53">
        <v>3.73E-2</v>
      </c>
      <c r="I3" s="74">
        <f>(1+H3/365)^365-1</f>
        <v>3.8002397273573685E-2</v>
      </c>
      <c r="J3" s="75"/>
      <c r="K3" s="68">
        <f>H3-'Daily Data'!AR82</f>
        <v>2.7200000000000002E-2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Data'!Z82</f>
        <v>1.0800000000000001E-2</v>
      </c>
    </row>
    <row r="5" spans="1:11" ht="23.15" customHeight="1" x14ac:dyDescent="0.5">
      <c r="A5" s="51" t="s">
        <v>17</v>
      </c>
      <c r="B5" s="56">
        <v>4.1399999999999999E-2</v>
      </c>
      <c r="C5" s="56">
        <f t="shared" ref="C5:G5" si="2">((1+$I5)^(C2/365)-1)*365/C2</f>
        <v>3.442108148072958E-2</v>
      </c>
      <c r="D5" s="56">
        <v>4.9599999999999998E-2</v>
      </c>
      <c r="E5" s="56">
        <f t="shared" si="2"/>
        <v>3.449581592722497E-2</v>
      </c>
      <c r="F5" s="56">
        <f t="shared" si="2"/>
        <v>3.4544672327758312E-2</v>
      </c>
      <c r="G5" s="56">
        <f t="shared" si="2"/>
        <v>3.4691795745238868E-2</v>
      </c>
      <c r="H5" s="53">
        <v>3.44E-2</v>
      </c>
      <c r="I5" s="74">
        <f t="shared" si="1"/>
        <v>3.4996845680234534E-2</v>
      </c>
      <c r="J5" s="75"/>
      <c r="K5" s="68">
        <f>H5-'Daily Data'!BJ82</f>
        <v>2.2699999999999998E-2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Data'!H82</f>
        <v>2.1700000000000001E-2</v>
      </c>
    </row>
    <row r="9" spans="1:11" ht="23.15" customHeight="1" x14ac:dyDescent="0.5">
      <c r="A9" s="51" t="s">
        <v>61</v>
      </c>
      <c r="B9" s="56">
        <f>((1+$I9)^(B2/365)-1)*365/B2</f>
        <v>4.2815059161980883E-2</v>
      </c>
      <c r="C9" s="56">
        <f t="shared" ref="C9:G9" si="6">((1+$I9)^(C2/365)-1)*365/C2</f>
        <v>4.2832637114085803E-2</v>
      </c>
      <c r="D9" s="56">
        <f t="shared" si="6"/>
        <v>4.287285143257006E-2</v>
      </c>
      <c r="E9" s="56">
        <f t="shared" si="6"/>
        <v>4.2948389023937085E-2</v>
      </c>
      <c r="F9" s="56">
        <f t="shared" si="6"/>
        <v>4.3024104068013491E-2</v>
      </c>
      <c r="G9" s="56">
        <f t="shared" si="6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2.75E-2</v>
      </c>
      <c r="D3" s="55">
        <v>2.8500000000000001E-2</v>
      </c>
      <c r="E3" s="55">
        <v>4.1500000000000002E-2</v>
      </c>
      <c r="F3" s="55">
        <v>4.7500000000000001E-2</v>
      </c>
      <c r="G3" s="55">
        <v>4.2599999999999999E-2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Data'!AR83</f>
        <v>2.7400000000000001E-2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Data'!Z83</f>
        <v>1.0800000000000001E-2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3.4120715315691226E-2</v>
      </c>
      <c r="D5" s="56">
        <v>4.9099999999999998E-2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3">
        <v>3.4099999999999998E-2</v>
      </c>
      <c r="I5" s="74">
        <f t="shared" si="1"/>
        <v>3.4686422321102972E-2</v>
      </c>
      <c r="J5" s="75"/>
      <c r="K5" s="68">
        <f>H5-'Daily Data'!BJ83</f>
        <v>2.2499999999999999E-2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.15" customHeight="1" x14ac:dyDescent="0.4">
      <c r="A7" s="51" t="s">
        <v>52</v>
      </c>
      <c r="B7" s="52">
        <v>3.49E-2</v>
      </c>
      <c r="C7" s="52">
        <f t="shared" ref="C7:G7" si="4">((1+$I7)^(C2/365)-1)*365/C2</f>
        <v>3.3219636075024761E-2</v>
      </c>
      <c r="D7" s="52">
        <v>3.6600000000000001E-2</v>
      </c>
      <c r="E7" s="52">
        <f t="shared" si="4"/>
        <v>3.3289242013672393E-2</v>
      </c>
      <c r="F7" s="52">
        <f t="shared" si="4"/>
        <v>3.3334741945595443E-2</v>
      </c>
      <c r="G7" s="52">
        <f t="shared" si="4"/>
        <v>3.3471739824844977E-2</v>
      </c>
      <c r="H7" s="53">
        <v>3.32E-2</v>
      </c>
      <c r="I7" s="74">
        <f t="shared" si="1"/>
        <v>3.3755709228882935E-2</v>
      </c>
      <c r="J7" s="75"/>
      <c r="K7" s="68">
        <f>H7-1.06%</f>
        <v>2.2600000000000002E-2</v>
      </c>
    </row>
    <row r="8" spans="1:11" ht="23.15" customHeight="1" x14ac:dyDescent="0.4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4">
        <f t="shared" si="1"/>
        <v>3.4169256374043444E-2</v>
      </c>
      <c r="J8" s="75"/>
      <c r="K8" s="68">
        <f>H8-'Daily Data'!H83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</sheetData>
  <conditionalFormatting sqref="A1:J9">
    <cfRule type="expression" dxfId="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2.6800000000000001E-2</v>
      </c>
      <c r="D3" s="55">
        <v>0.03</v>
      </c>
      <c r="E3" s="55">
        <v>4.1500000000000002E-2</v>
      </c>
      <c r="F3" s="55">
        <v>0.05</v>
      </c>
      <c r="G3" s="55">
        <v>4.7500000000000001E-2</v>
      </c>
      <c r="H3" s="53">
        <v>3.5799999999999998E-2</v>
      </c>
      <c r="I3" s="74">
        <f>(1+H3/365)^365-1</f>
        <v>3.6446716511065569E-2</v>
      </c>
      <c r="J3" s="75"/>
      <c r="K3" s="68">
        <f>H3-'Daily Data'!AR84</f>
        <v>2.4899999999999999E-2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Data'!Z84</f>
        <v>1.0400000000000001E-2</v>
      </c>
    </row>
    <row r="5" spans="1:11" ht="23.15" customHeight="1" x14ac:dyDescent="0.5">
      <c r="A5" s="51" t="s">
        <v>17</v>
      </c>
      <c r="B5" s="56">
        <v>4.1599999999999998E-2</v>
      </c>
      <c r="C5" s="56">
        <f t="shared" ref="C5:G5" si="2">((1+$I5)^(C2/365)-1)*365/C2</f>
        <v>3.4721450854841733E-2</v>
      </c>
      <c r="D5" s="56">
        <v>4.99E-2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3">
        <v>3.4700000000000002E-2</v>
      </c>
      <c r="I5" s="74">
        <f t="shared" si="1"/>
        <v>3.5307361916328883E-2</v>
      </c>
      <c r="J5" s="75"/>
      <c r="K5" s="68">
        <f>H5-'Daily Data'!BJ84</f>
        <v>2.2700000000000001E-2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H8-1.06%</f>
        <v>2.1700000000000004E-2</v>
      </c>
    </row>
    <row r="9" spans="1:11" ht="23.15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2.8199999999999999E-2</v>
      </c>
      <c r="D3" s="55">
        <v>3.0200000000000001E-2</v>
      </c>
      <c r="E3" s="55">
        <v>4.1500000000000002E-2</v>
      </c>
      <c r="F3" s="55">
        <v>0.05</v>
      </c>
      <c r="G3" s="55">
        <v>4.7500000000000001E-2</v>
      </c>
      <c r="H3" s="53">
        <v>3.5999999999999997E-2</v>
      </c>
      <c r="I3" s="74">
        <f>(1+H3/365)^365-1</f>
        <v>3.6654006194406952E-2</v>
      </c>
      <c r="J3" s="75"/>
      <c r="K3" s="68">
        <f>H3-'Daily Data'!AR85</f>
        <v>2.7199999999999995E-2</v>
      </c>
    </row>
    <row r="4" spans="1:11" ht="23.15" customHeight="1" x14ac:dyDescent="0.5">
      <c r="A4" s="51" t="s">
        <v>15</v>
      </c>
      <c r="B4" s="56">
        <f>((1+ $I4)^(B2/365)-1)*365/B2</f>
        <v>2.5005137572765568E-2</v>
      </c>
      <c r="C4" s="56">
        <f t="shared" ref="C4:G4" si="0">((1+ 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.15" customHeight="1" x14ac:dyDescent="0.5">
      <c r="A5" s="51" t="s">
        <v>17</v>
      </c>
      <c r="B5" s="56">
        <v>4.1599999999999998E-2</v>
      </c>
      <c r="C5" s="56">
        <f>((1+I5)^(C2/365)-1)*365/C2</f>
        <v>3.2618932626085458E-2</v>
      </c>
      <c r="D5" s="56">
        <v>4.99E-2</v>
      </c>
      <c r="E5" s="56">
        <f>((1+I5)^(E2/365)-1)*365/E2</f>
        <v>3.2686042808954284E-2</v>
      </c>
      <c r="F5" s="56">
        <f t="shared" ref="F5:G5" si="2">((1+J5)^(F2/365)-1)*365/F2</f>
        <v>0</v>
      </c>
      <c r="G5" s="56">
        <f t="shared" si="2"/>
        <v>2.1087297787769743E-2</v>
      </c>
      <c r="H5" s="53">
        <v>3.2599999999999997E-2</v>
      </c>
      <c r="I5" s="74">
        <f t="shared" si="1"/>
        <v>3.3135697711292433E-2</v>
      </c>
      <c r="J5" s="75"/>
      <c r="K5" s="68">
        <f>H5-'Daily Data'!BJ85</f>
        <v>2.1199999999999997E-2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((1+I6)^(E2/365)-1)*365/E2</f>
        <v>3.3791952704462558E-2</v>
      </c>
      <c r="F6" s="52">
        <f t="shared" ref="F6:G6" si="3">((1+J6)^(F2/365)-1)*365/F2</f>
        <v>0</v>
      </c>
      <c r="G6" s="52">
        <f t="shared" si="3"/>
        <v>1.0671140309914364E-2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>((1+I7)^(C2/365)-1)*365/C2</f>
        <v>3.2018242012937716E-2</v>
      </c>
      <c r="D7" s="52">
        <v>3.5200000000000002E-2</v>
      </c>
      <c r="E7" s="52">
        <f>((1+$I7)^(E2/365)-1)*365/E2</f>
        <v>3.2082902098360046E-2</v>
      </c>
      <c r="F7" s="52">
        <f t="shared" ref="F7:G7" si="4">((1+$I7)^(F2/365)-1)*365/F2</f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H7-1.3%</f>
        <v>1.9E-2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Data'!H85</f>
        <v>2.23E-2</v>
      </c>
    </row>
    <row r="9" spans="1:11" ht="23.15" customHeight="1" x14ac:dyDescent="0.5">
      <c r="A9" s="51" t="s">
        <v>61</v>
      </c>
      <c r="B9" s="56">
        <f>((1+$I9)^(B2/365)-1)*365/B2</f>
        <v>4.0913751691330012E-2</v>
      </c>
      <c r="C9" s="56">
        <f t="shared" ref="C9:G9" si="6">((1+$I9)^(C2/365)-1)*365/C2</f>
        <v>4.0929803123583457E-2</v>
      </c>
      <c r="D9" s="56">
        <f t="shared" si="6"/>
        <v>4.0966523649155873E-2</v>
      </c>
      <c r="E9" s="56">
        <f t="shared" si="6"/>
        <v>4.1035493076274597E-2</v>
      </c>
      <c r="F9" s="56">
        <f t="shared" si="6"/>
        <v>4.1104617321895423E-2</v>
      </c>
      <c r="G9" s="56">
        <f t="shared" si="6"/>
        <v>4.1312922884725982E-2</v>
      </c>
      <c r="H9" s="53">
        <v>4.0899999999999999E-2</v>
      </c>
      <c r="I9" s="74">
        <f t="shared" si="1"/>
        <v>4.1745538538283444E-2</v>
      </c>
      <c r="J9" s="75"/>
      <c r="K9" s="69"/>
    </row>
  </sheetData>
  <conditionalFormatting sqref="A1:J9">
    <cfRule type="expression" dxfId="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3.15E-2</v>
      </c>
      <c r="D3" s="55">
        <v>3.2500000000000001E-2</v>
      </c>
      <c r="E3" s="55">
        <v>4.1500000000000002E-2</v>
      </c>
      <c r="F3" s="55">
        <v>0.05</v>
      </c>
      <c r="G3" s="55">
        <v>4.7500000000000001E-2</v>
      </c>
      <c r="H3" s="53">
        <v>3.6499999999999998E-2</v>
      </c>
      <c r="I3" s="74">
        <f>(1+H3/365)^365-1</f>
        <v>3.7172411302539565E-2</v>
      </c>
      <c r="J3" s="75"/>
      <c r="K3" s="68">
        <f>H3-'Daily Data'!AR86</f>
        <v>2.7899999999999998E-2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Data'!Z86</f>
        <v>1.1100000000000002E-2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3.1617788734936939E-2</v>
      </c>
      <c r="D5" s="56">
        <v>4.9099999999999998E-2</v>
      </c>
      <c r="E5" s="56">
        <f t="shared" si="2"/>
        <v>3.1680840785172228E-2</v>
      </c>
      <c r="F5" s="56">
        <f t="shared" si="2"/>
        <v>3.172205199932869E-2</v>
      </c>
      <c r="G5" s="56">
        <f t="shared" si="2"/>
        <v>3.1846114975320451E-2</v>
      </c>
      <c r="H5" s="53">
        <v>3.1600000000000003E-2</v>
      </c>
      <c r="I5" s="74">
        <f t="shared" si="1"/>
        <v>3.2103169169868329E-2</v>
      </c>
      <c r="J5" s="75"/>
      <c r="K5" s="68">
        <f>H5-'Daily Data'!BJ86</f>
        <v>2.0500000000000004E-2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Data'!H86</f>
        <v>2.2600000000000002E-2</v>
      </c>
    </row>
    <row r="9" spans="1:11" ht="23.15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9"/>
    </row>
  </sheetData>
  <conditionalFormatting sqref="A1:J9">
    <cfRule type="expression" dxfId="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3.2500000000000001E-2</v>
      </c>
      <c r="D3" s="55">
        <v>3.5000000000000003E-2</v>
      </c>
      <c r="E3" s="55">
        <v>4.1500000000000002E-2</v>
      </c>
      <c r="F3" s="55">
        <v>0.05</v>
      </c>
      <c r="G3" s="55">
        <v>4.7500000000000001E-2</v>
      </c>
      <c r="H3" s="53">
        <v>3.4200000000000001E-2</v>
      </c>
      <c r="I3" s="74">
        <f>(1+H3/365)^365-1</f>
        <v>3.4789886456186414E-2</v>
      </c>
      <c r="J3" s="75"/>
      <c r="K3" s="68">
        <f>'18.05.2026'!H3-'Daily Data'!AR87</f>
        <v>2.5300000000000003E-2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Data'!Z87</f>
        <v>1.1000000000000001E-2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3.0416463127971544E-2</v>
      </c>
      <c r="D5" s="56">
        <v>4.9099999999999998E-2</v>
      </c>
      <c r="E5" s="56">
        <f t="shared" si="2"/>
        <v>3.0474812798236512E-2</v>
      </c>
      <c r="F5" s="56">
        <f t="shared" si="2"/>
        <v>3.0512947329474491E-2</v>
      </c>
      <c r="G5" s="56">
        <f t="shared" si="2"/>
        <v>3.0627733077317729E-2</v>
      </c>
      <c r="H5" s="53">
        <v>3.04E-2</v>
      </c>
      <c r="I5" s="74">
        <f t="shared" si="1"/>
        <v>3.0865493238620978E-2</v>
      </c>
      <c r="J5" s="75"/>
      <c r="K5" s="68">
        <f>H5-'Daily Data'!BJ87</f>
        <v>2.0799999999999999E-2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Data'!H87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3.5210185527416567E-2</v>
      </c>
      <c r="C9" s="56">
        <f t="shared" ref="C9:G9" si="6">((1+$I9)^(C2/365)-1)*365/C2</f>
        <v>3.5222073609817203E-2</v>
      </c>
      <c r="D9" s="56">
        <f t="shared" si="6"/>
        <v>3.5249266470243436E-2</v>
      </c>
      <c r="E9" s="56">
        <f t="shared" si="6"/>
        <v>3.5300328557368831E-2</v>
      </c>
      <c r="F9" s="56">
        <f t="shared" si="6"/>
        <v>3.5351489269211729E-2</v>
      </c>
      <c r="G9" s="56">
        <f t="shared" si="6"/>
        <v>3.5505565298553574E-2</v>
      </c>
      <c r="H9" s="53">
        <v>3.5200000000000002E-2</v>
      </c>
      <c r="I9" s="74">
        <f t="shared" si="1"/>
        <v>3.582509544513357E-2</v>
      </c>
      <c r="J9" s="75"/>
      <c r="K9" s="69"/>
    </row>
  </sheetData>
  <conditionalFormatting sqref="A1:J9">
    <cfRule type="expression" dxfId="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0.04</v>
      </c>
      <c r="D3" s="55">
        <v>3.5000000000000003E-2</v>
      </c>
      <c r="E3" s="55">
        <v>0.04</v>
      </c>
      <c r="F3" s="55">
        <v>0.05</v>
      </c>
      <c r="G3" s="55">
        <v>0.05</v>
      </c>
      <c r="H3" s="53">
        <v>3.5499999999999997E-2</v>
      </c>
      <c r="I3" s="74">
        <f>(1+H3/365)^365-1</f>
        <v>3.6135859488784616E-2</v>
      </c>
      <c r="J3" s="75"/>
      <c r="K3" s="68">
        <f>H3-'Daily Data'!AR88</f>
        <v>2.5499999999999995E-2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Data'!Z88</f>
        <v>1.1000000000000001E-2</v>
      </c>
    </row>
    <row r="5" spans="1:11" ht="23.15" customHeight="1" x14ac:dyDescent="0.5">
      <c r="A5" s="51" t="s">
        <v>17</v>
      </c>
      <c r="B5" s="56">
        <v>3.2899999999999999E-2</v>
      </c>
      <c r="C5" s="56">
        <f>((1+I5)^(C2/365)-1)*365/C2</f>
        <v>3.2618932626085458E-2</v>
      </c>
      <c r="D5" s="56">
        <v>4.7399999999999998E-2</v>
      </c>
      <c r="E5" s="56">
        <f>((1+$I5)^(E2/365)-1)*365/E2</f>
        <v>3.2686042808954284E-2</v>
      </c>
      <c r="F5" s="56">
        <f t="shared" ref="F5:G5" si="2">((1+$I5)^(F2/365)-1)*365/F2</f>
        <v>3.2729909490182445E-2</v>
      </c>
      <c r="G5" s="56">
        <f t="shared" si="2"/>
        <v>3.286198103507449E-2</v>
      </c>
      <c r="H5" s="53">
        <v>3.2599999999999997E-2</v>
      </c>
      <c r="I5" s="74">
        <f t="shared" si="1"/>
        <v>3.3135697711292433E-2</v>
      </c>
      <c r="J5" s="75"/>
      <c r="K5" s="68">
        <f>H5-'Daily Data'!BJ88</f>
        <v>2.1799999999999996E-2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Data'!H88</f>
        <v>2.2000000000000002E-2</v>
      </c>
    </row>
    <row r="9" spans="1:11" ht="23.15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4.2099999999999999E-2</v>
      </c>
      <c r="C3" s="55">
        <v>3.4200000000000001E-2</v>
      </c>
      <c r="D3" s="55">
        <v>3.5000000000000003E-2</v>
      </c>
      <c r="E3" s="55">
        <v>0.04</v>
      </c>
      <c r="F3" s="55">
        <v>4.9500000000000002E-2</v>
      </c>
      <c r="G3" s="55">
        <v>0.05</v>
      </c>
      <c r="H3" s="53">
        <v>3.6600000000000001E-2</v>
      </c>
      <c r="I3" s="74">
        <f>(1+H3/365)^365-1</f>
        <v>3.727612334382413E-2</v>
      </c>
      <c r="J3" s="75"/>
      <c r="K3" s="68">
        <f>H3-'Daily Data'!AR89</f>
        <v>2.5100000000000001E-2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.15" customHeight="1" x14ac:dyDescent="0.5">
      <c r="A5" s="51" t="s">
        <v>17</v>
      </c>
      <c r="B5" s="56">
        <v>3.2899999999999999E-2</v>
      </c>
      <c r="C5" s="56">
        <f t="shared" ref="C5:G5" si="2">((1+$I5)^(C2/365)-1)*365/C2</f>
        <v>3.2919282746055836E-2</v>
      </c>
      <c r="D5" s="56">
        <v>4.7399999999999998E-2</v>
      </c>
      <c r="E5" s="56">
        <f t="shared" si="2"/>
        <v>3.2987635099189561E-2</v>
      </c>
      <c r="F5" s="56">
        <f t="shared" si="2"/>
        <v>3.3032314657883019E-2</v>
      </c>
      <c r="G5" s="56">
        <f t="shared" si="2"/>
        <v>3.3166838004525655E-2</v>
      </c>
      <c r="H5" s="53">
        <v>3.2899999999999999E-2</v>
      </c>
      <c r="I5" s="74">
        <f t="shared" si="1"/>
        <v>3.3445657100777071E-2</v>
      </c>
      <c r="J5" s="75"/>
      <c r="K5" s="68">
        <f>H5-'Daily Data'!BJ89</f>
        <v>2.18E-2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Data'!H89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3.3709335874898071E-2</v>
      </c>
      <c r="C9" s="56">
        <f t="shared" ref="C9:G9" si="6">((1+$I9)^(C2/365)-1)*365/C2</f>
        <v>3.3720232087598924E-2</v>
      </c>
      <c r="D9" s="56">
        <f t="shared" si="6"/>
        <v>3.3745155354740729E-2</v>
      </c>
      <c r="E9" s="56">
        <f t="shared" si="6"/>
        <v>3.3791952704462558E-2</v>
      </c>
      <c r="F9" s="56">
        <f t="shared" si="6"/>
        <v>3.3838836584806672E-2</v>
      </c>
      <c r="G9" s="56">
        <f t="shared" si="6"/>
        <v>3.3980009211555737E-2</v>
      </c>
      <c r="H9" s="53">
        <v>3.3700000000000001E-2</v>
      </c>
      <c r="I9" s="74">
        <f t="shared" si="1"/>
        <v>3.4272668936467188E-2</v>
      </c>
      <c r="J9" s="75"/>
      <c r="K9" s="69"/>
    </row>
  </sheetData>
  <conditionalFormatting sqref="A1:J9">
    <cfRule type="expression" dxfId="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4.2099999999999999E-2</v>
      </c>
      <c r="C3" s="55">
        <v>3.4500000000000003E-2</v>
      </c>
      <c r="D3" s="55">
        <v>3.5000000000000003E-2</v>
      </c>
      <c r="E3" s="55">
        <v>0.04</v>
      </c>
      <c r="F3" s="55">
        <v>4.9500000000000002E-2</v>
      </c>
      <c r="G3" s="55">
        <v>4.7399999999999998E-2</v>
      </c>
      <c r="H3" s="53">
        <v>3.7100000000000001E-2</v>
      </c>
      <c r="I3" s="74">
        <f>(1+H3/365)^365-1</f>
        <v>3.7794838704558797E-2</v>
      </c>
      <c r="J3" s="75"/>
      <c r="K3" s="68">
        <f>H3-'Daily Data'!AR90</f>
        <v>2.4899999999999999E-2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Data'!Z90</f>
        <v>1.1100000000000002E-2</v>
      </c>
    </row>
    <row r="5" spans="1:11" ht="23.15" customHeight="1" x14ac:dyDescent="0.5">
      <c r="A5" s="51" t="s">
        <v>17</v>
      </c>
      <c r="B5" s="56">
        <v>4.1099999999999998E-2</v>
      </c>
      <c r="C5" s="56">
        <f>((1+I5)^(C2/365)-1)*365/C2</f>
        <v>3.4320959069194204E-2</v>
      </c>
      <c r="D5" s="56">
        <v>4.9399999999999999E-2</v>
      </c>
      <c r="E5" s="56">
        <f>((1+$I5)^(E2/365)-1)*365/E2</f>
        <v>3.4395259162604379E-2</v>
      </c>
      <c r="F5" s="56">
        <f t="shared" ref="F5:G5" si="2">((1+$I5)^(F2/365)-1)*365/F2</f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Data'!BJ90</f>
        <v>2.2899999999999997E-2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>((1+$I6)^(C2/365)-1)*365/C2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3.7999999999999999E-2</v>
      </c>
      <c r="C7" s="52">
        <f>((1+I7)^(C2/365)-1)*365/C2</f>
        <v>3.6223345863170948E-2</v>
      </c>
      <c r="D7" s="52">
        <v>3.9800000000000002E-2</v>
      </c>
      <c r="E7" s="52">
        <f>((1+$I7)^(E2/365)-1)*365/E2</f>
        <v>3.6306115642032878E-2</v>
      </c>
      <c r="F7" s="52">
        <f t="shared" ref="F7:G7" si="4">((1+$I7)^(F2/365)-1)*365/F2</f>
        <v>3.6360231771886457E-2</v>
      </c>
      <c r="G7" s="52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3.340917038478116E-2</v>
      </c>
      <c r="C8" s="52">
        <f t="shared" ref="C8:G8" si="5">((1+$I8)^(C2/365)-1)*365/C2</f>
        <v>3.3419873410345406E-2</v>
      </c>
      <c r="D8" s="52">
        <f t="shared" si="5"/>
        <v>3.3444354639846442E-2</v>
      </c>
      <c r="E8" s="52">
        <f t="shared" si="5"/>
        <v>3.3490321414801537E-2</v>
      </c>
      <c r="F8" s="52">
        <f t="shared" si="5"/>
        <v>3.3536372426970877E-2</v>
      </c>
      <c r="G8" s="52">
        <f t="shared" si="5"/>
        <v>3.3675032625327374E-2</v>
      </c>
      <c r="H8" s="53">
        <v>3.3399999999999999E-2</v>
      </c>
      <c r="I8" s="74">
        <f t="shared" si="1"/>
        <v>3.3962462182619113E-2</v>
      </c>
      <c r="J8" s="75"/>
      <c r="K8" s="68">
        <f>H8-'Daily Data'!H90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3.5410301610253284E-2</v>
      </c>
      <c r="C9" s="56">
        <f t="shared" ref="C9:G9" si="6">((1+$I9)^(C2/365)-1)*365/C2</f>
        <v>3.5422325207818642E-2</v>
      </c>
      <c r="D9" s="56">
        <f t="shared" si="6"/>
        <v>3.5449828161880172E-2</v>
      </c>
      <c r="E9" s="56">
        <f t="shared" si="6"/>
        <v>3.5501472969416858E-2</v>
      </c>
      <c r="F9" s="56">
        <f t="shared" si="6"/>
        <v>3.5553218094735967E-2</v>
      </c>
      <c r="G9" s="56">
        <f t="shared" si="6"/>
        <v>3.5709057572161224E-2</v>
      </c>
      <c r="H9" s="53">
        <v>3.5400000000000001E-2</v>
      </c>
      <c r="I9" s="74">
        <f t="shared" si="1"/>
        <v>3.6032261144603783E-2</v>
      </c>
      <c r="J9" s="75"/>
      <c r="K9" s="69"/>
    </row>
  </sheetData>
  <conditionalFormatting sqref="A1:J9">
    <cfRule type="expression" dxfId="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Data'!AR91</f>
        <v>2.4099999999999996E-2</v>
      </c>
    </row>
    <row r="4" spans="1:11" ht="23.15" customHeight="1" x14ac:dyDescent="0.5">
      <c r="A4" s="51" t="s">
        <v>15</v>
      </c>
      <c r="B4" s="56">
        <f>((1+$I5)^(B2/365)-1)*365/B2</f>
        <v>3.430967129548395E-2</v>
      </c>
      <c r="C4" s="56">
        <f t="shared" ref="C4:G4" si="0">((1+$I5)^(C2/365)-1)*365/C2</f>
        <v>3.4320959069194204E-2</v>
      </c>
      <c r="D4" s="56">
        <f t="shared" si="0"/>
        <v>3.4346778292231983E-2</v>
      </c>
      <c r="E4" s="56">
        <f t="shared" si="0"/>
        <v>3.4395259162604379E-2</v>
      </c>
      <c r="F4" s="56">
        <f t="shared" si="0"/>
        <v>3.4443831274714017E-2</v>
      </c>
      <c r="G4" s="56">
        <f t="shared" si="0"/>
        <v>3.459009699547997E-2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Data'!Z91</f>
        <v>1.1100000000000002E-2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3.4320959069194204E-2</v>
      </c>
      <c r="D5" s="56">
        <v>4.9299999999999997E-2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Data'!BJ91</f>
        <v>2.2699999999999998E-2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3.7900000000000003E-2</v>
      </c>
      <c r="C7" s="52">
        <f t="shared" ref="C7:G7" si="4">((1+$I7)^(C2/365)-1)*365/C2</f>
        <v>3.6123217033267992E-2</v>
      </c>
      <c r="D7" s="52">
        <v>3.9699999999999999E-2</v>
      </c>
      <c r="E7" s="52">
        <f t="shared" si="4"/>
        <v>3.6205529618120479E-2</v>
      </c>
      <c r="F7" s="52">
        <f t="shared" si="4"/>
        <v>3.6259346453876025E-2</v>
      </c>
      <c r="G7" s="52">
        <f t="shared" si="4"/>
        <v>3.6421437712058899E-2</v>
      </c>
      <c r="H7" s="53">
        <v>3.61E-2</v>
      </c>
      <c r="I7" s="74">
        <f t="shared" si="1"/>
        <v>3.6757666539783518E-2</v>
      </c>
      <c r="J7" s="75"/>
      <c r="K7" s="68">
        <f>H7-1.06%</f>
        <v>2.5500000000000002E-2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Data'!H91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(H3-'Daily Data'!AR92)</f>
        <v>2.5499999999999998E-2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Data'!Z92</f>
        <v>1.1500000000000002E-2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>((1+I5)^(C2/365)-1)*365/C2</f>
        <v>3.3920472988498589E-2</v>
      </c>
      <c r="D5" s="56">
        <v>4.9299999999999997E-2</v>
      </c>
      <c r="E5" s="56">
        <f>((1+$I5)^(E2/365)-1)*365/E2</f>
        <v>3.3993048356382727E-2</v>
      </c>
      <c r="F5" s="56">
        <f t="shared" ref="F5:G5" si="2">((1+$I5)^(F2/365)-1)*365/F2</f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Data'!AR92</f>
        <v>2.24E-2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3.1699999999999999E-2</v>
      </c>
      <c r="C7" s="52">
        <f>((1+I7)^(C2/365)-1)*365/C2</f>
        <v>3.0216247184851448E-2</v>
      </c>
      <c r="D7" s="52">
        <v>3.32E-2</v>
      </c>
      <c r="E7" s="52">
        <f>((1+$I7)^(E2/365)-1)*365/E2</f>
        <v>3.0273830874697632E-2</v>
      </c>
      <c r="F7" s="52">
        <f t="shared" ref="F7:G7" si="4">((1+$I7)^(F2/365)-1)*365/F2</f>
        <v>3.0311464275388368E-2</v>
      </c>
      <c r="G7" s="52">
        <f t="shared" si="4"/>
        <v>3.0424739121945526E-2</v>
      </c>
      <c r="H7" s="53">
        <v>3.0200000000000001E-2</v>
      </c>
      <c r="I7" s="74">
        <f t="shared" si="1"/>
        <v>3.0659357866290149E-2</v>
      </c>
      <c r="J7" s="75"/>
      <c r="K7" s="68">
        <f>H7-1.06%</f>
        <v>1.9599999999999999E-2</v>
      </c>
    </row>
    <row r="8" spans="1:11" ht="23.15" customHeight="1" x14ac:dyDescent="0.4">
      <c r="A8" s="51" t="s">
        <v>62</v>
      </c>
      <c r="B8" s="52">
        <f>((1+$I8)^(B2/365)-1)*365/B2</f>
        <v>3.3809391367190918E-2</v>
      </c>
      <c r="C8" s="52">
        <f t="shared" ref="C8:G8" si="5">((1+$I8)^(C2/365)-1)*365/C2</f>
        <v>3.382035235981351E-2</v>
      </c>
      <c r="D8" s="52">
        <f t="shared" si="5"/>
        <v>3.3845423852858346E-2</v>
      </c>
      <c r="E8" s="52">
        <f t="shared" si="5"/>
        <v>3.3892499717891801E-2</v>
      </c>
      <c r="F8" s="52">
        <f t="shared" si="5"/>
        <v>3.3939662887175724E-2</v>
      </c>
      <c r="G8" s="52">
        <f t="shared" si="5"/>
        <v>3.4081678044053536E-2</v>
      </c>
      <c r="H8" s="53">
        <v>3.3799999999999997E-2</v>
      </c>
      <c r="I8" s="74">
        <f t="shared" si="1"/>
        <v>3.4376091811363807E-2</v>
      </c>
      <c r="J8" s="75"/>
      <c r="K8" s="68">
        <f>H8-'Daily Data'!H92</f>
        <v>2.2599999999999995E-2</v>
      </c>
    </row>
    <row r="9" spans="1:11" ht="23.15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</sheetData>
  <conditionalFormatting sqref="A1:J9">
    <cfRule type="expression" dxfId="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Data'!AR63</f>
        <v>0.03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3.382035235981351E-2</v>
      </c>
      <c r="D5" s="56">
        <v>4.9299999999999997E-2</v>
      </c>
      <c r="E5" s="56">
        <f t="shared" si="2"/>
        <v>3.3892499717891801E-2</v>
      </c>
      <c r="F5" s="56">
        <f t="shared" si="2"/>
        <v>3.3939662887175724E-2</v>
      </c>
      <c r="G5" s="56">
        <f t="shared" si="2"/>
        <v>3.4081678044053536E-2</v>
      </c>
      <c r="H5" s="53">
        <v>3.3799999999999997E-2</v>
      </c>
      <c r="I5" s="74">
        <f t="shared" si="1"/>
        <v>3.4376091811363807E-2</v>
      </c>
      <c r="J5" s="75"/>
      <c r="K5" s="68">
        <f>H5-'Daily Data'!BJ63</f>
        <v>2.6199999999999998E-2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H7-1.36%</f>
        <v>1.7599999999999998E-2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Data'!H63</f>
        <v>2.6200000000000001E-2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/>
      <c r="J3" s="75"/>
      <c r="K3" s="68"/>
    </row>
    <row r="4" spans="1:11" ht="23.15" customHeight="1" x14ac:dyDescent="0.5">
      <c r="A4" s="51" t="s">
        <v>15</v>
      </c>
      <c r="B4" s="56"/>
      <c r="C4" s="56"/>
      <c r="D4" s="56"/>
      <c r="E4" s="56"/>
      <c r="F4" s="56"/>
      <c r="G4" s="56"/>
      <c r="H4" s="53">
        <v>2.5000000000000001E-2</v>
      </c>
      <c r="I4" s="74"/>
      <c r="J4" s="75"/>
      <c r="K4" s="68"/>
    </row>
    <row r="5" spans="1:11" ht="23.15" customHeight="1" x14ac:dyDescent="0.5">
      <c r="A5" s="51" t="s">
        <v>17</v>
      </c>
      <c r="B5" s="56"/>
      <c r="C5" s="56"/>
      <c r="D5" s="56"/>
      <c r="E5" s="56"/>
      <c r="F5" s="56"/>
      <c r="G5" s="56"/>
      <c r="H5" s="53"/>
      <c r="I5" s="74"/>
      <c r="J5" s="75"/>
      <c r="K5" s="68"/>
    </row>
    <row r="6" spans="1:11" ht="23.15" customHeight="1" x14ac:dyDescent="0.4">
      <c r="A6" s="51" t="s">
        <v>60</v>
      </c>
      <c r="B6" s="52"/>
      <c r="C6" s="52"/>
      <c r="D6" s="52"/>
      <c r="E6" s="52"/>
      <c r="F6" s="52"/>
      <c r="G6" s="52"/>
      <c r="H6" s="53"/>
      <c r="I6" s="74"/>
      <c r="J6" s="75"/>
      <c r="K6" s="68"/>
    </row>
    <row r="7" spans="1:11" ht="23.15" customHeight="1" x14ac:dyDescent="0.4">
      <c r="A7" s="51" t="s">
        <v>52</v>
      </c>
      <c r="B7" s="52"/>
      <c r="C7" s="52"/>
      <c r="D7" s="52"/>
      <c r="E7" s="52"/>
      <c r="F7" s="52"/>
      <c r="G7" s="52"/>
      <c r="H7" s="53"/>
      <c r="I7" s="74"/>
      <c r="J7" s="75"/>
      <c r="K7" s="68"/>
    </row>
    <row r="8" spans="1:11" ht="23.15" customHeight="1" x14ac:dyDescent="0.4">
      <c r="A8" s="51" t="s">
        <v>62</v>
      </c>
      <c r="B8" s="52"/>
      <c r="C8" s="52"/>
      <c r="D8" s="52"/>
      <c r="E8" s="52"/>
      <c r="F8" s="52"/>
      <c r="G8" s="52"/>
      <c r="H8" s="53"/>
      <c r="I8" s="74"/>
      <c r="J8" s="75"/>
      <c r="K8" s="68"/>
    </row>
    <row r="9" spans="1:11" ht="23.15" customHeight="1" x14ac:dyDescent="0.5">
      <c r="A9" s="51" t="s">
        <v>61</v>
      </c>
      <c r="B9" s="56"/>
      <c r="C9" s="56"/>
      <c r="D9" s="56"/>
      <c r="E9" s="56"/>
      <c r="F9" s="56"/>
      <c r="G9" s="56"/>
      <c r="H9" s="53"/>
      <c r="I9" s="74"/>
      <c r="J9" s="75"/>
      <c r="K9" s="69"/>
    </row>
  </sheetData>
  <conditionalFormatting sqref="A1:J9">
    <cfRule type="expression" dxfId="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Data'!AR95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Data'!Z95</f>
        <v>1.1300000000000001E-2</v>
      </c>
    </row>
    <row r="5" spans="1:11" ht="23.15" customHeight="1" x14ac:dyDescent="0.5">
      <c r="A5" s="51" t="s">
        <v>17</v>
      </c>
      <c r="B5" s="56">
        <v>4.2000000000000003E-2</v>
      </c>
      <c r="C5" s="56">
        <f>((1+$I5)^(C2/365)-1)*365/C2</f>
        <v>3.5922960443012478E-2</v>
      </c>
      <c r="D5" s="56">
        <v>5.2499999999999998E-2</v>
      </c>
      <c r="E5" s="56">
        <f>((1+$I5)^(E2/365)-1)*365/E2</f>
        <v>3.6004362447270476E-2</v>
      </c>
      <c r="F5" s="56">
        <f t="shared" ref="F5:G5" si="2">((1+$I5)^(F2/365)-1)*365/F2</f>
        <v>3.6057583196594925E-2</v>
      </c>
      <c r="G5" s="56">
        <f t="shared" si="2"/>
        <v>3.6217875576784582E-2</v>
      </c>
      <c r="H5" s="53">
        <v>3.5900000000000001E-2</v>
      </c>
      <c r="I5" s="74">
        <f t="shared" si="1"/>
        <v>3.6550356185158339E-2</v>
      </c>
      <c r="J5" s="75"/>
      <c r="K5" s="68">
        <f>H5-'Daily Data'!BJ95</f>
        <v>2.3800000000000002E-2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>((1+I7)^(C2/365)-1)*365/C2</f>
        <v>3.121734116151758E-2</v>
      </c>
      <c r="D7" s="52">
        <v>3.4299999999999997E-2</v>
      </c>
      <c r="E7" s="52">
        <f>((1+$I7)^(E2/365)-1)*365/E2</f>
        <v>3.1278805465217829E-2</v>
      </c>
      <c r="F7" s="52">
        <f t="shared" ref="F7:G7" si="4">((1+$I7)^(F2/365)-1)*365/F2</f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.15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Data'!H95</f>
        <v>2.2399999999999996E-2</v>
      </c>
    </row>
    <row r="9" spans="1:11" ht="23.15" customHeight="1" x14ac:dyDescent="0.5">
      <c r="A9" s="51" t="s">
        <v>61</v>
      </c>
      <c r="B9" s="56">
        <f>((1+$I9)^(B2/365)-1)*365/B2</f>
        <v>3.5910594695506913E-2</v>
      </c>
      <c r="C9" s="56">
        <f t="shared" ref="C9:G9" si="6">((1+$I9)^(C2/365)-1)*365/C2</f>
        <v>3.5922960443012478E-2</v>
      </c>
      <c r="D9" s="56">
        <f t="shared" si="6"/>
        <v>3.5951246333042218E-2</v>
      </c>
      <c r="E9" s="56">
        <f t="shared" si="6"/>
        <v>3.6004362447270476E-2</v>
      </c>
      <c r="F9" s="56">
        <f t="shared" si="6"/>
        <v>3.6057583196594925E-2</v>
      </c>
      <c r="G9" s="56">
        <f t="shared" si="6"/>
        <v>3.6217875576784582E-2</v>
      </c>
      <c r="H9" s="53">
        <v>3.5900000000000001E-2</v>
      </c>
      <c r="I9" s="74">
        <f t="shared" si="1"/>
        <v>3.6550356185158339E-2</v>
      </c>
      <c r="J9" s="75"/>
      <c r="K9" s="69"/>
    </row>
  </sheetData>
  <conditionalFormatting sqref="A1:J9">
    <cfRule type="expression" dxfId="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Data'!AR96</f>
        <v>2.3599999999999996E-2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Data'!Z96</f>
        <v>1.1100000000000002E-2</v>
      </c>
    </row>
    <row r="5" spans="1:11" ht="23.15" customHeight="1" x14ac:dyDescent="0.5">
      <c r="A5" s="51" t="s">
        <v>17</v>
      </c>
      <c r="B5" s="56">
        <v>4.2000000000000003E-2</v>
      </c>
      <c r="C5" s="56">
        <f>((1+I5)^(C2/365)-1)*365/C2</f>
        <v>3.7024389340166004E-2</v>
      </c>
      <c r="D5" s="56">
        <v>5.2499999999999998E-2</v>
      </c>
      <c r="E5" s="56">
        <f>((1+$I5)^(E2/365)-1)*365/E2</f>
        <v>3.7110862363455399E-2</v>
      </c>
      <c r="F5" s="56">
        <f>((1+$I5)^(F2/365)-1)*365/F2</f>
        <v>3.7167402871694732E-2</v>
      </c>
      <c r="G5" s="56">
        <f>((1+$I5)^(G2/365)-1)*365/G2</f>
        <v>3.7337714413147337E-2</v>
      </c>
      <c r="H5" s="53">
        <v>3.6999999999999998E-2</v>
      </c>
      <c r="I5" s="74">
        <f t="shared" si="1"/>
        <v>3.7691074941686109E-2</v>
      </c>
      <c r="J5" s="75"/>
      <c r="K5" s="68">
        <f>H5-'Daily Data'!BJ96</f>
        <v>2.4299999999999999E-2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3.5900000000000001E-2</v>
      </c>
      <c r="C7" s="52">
        <f t="shared" ref="C7:G7" si="3">((1+$I7)^(C2/365)-1)*365/C2</f>
        <v>3.4220837014135107E-2</v>
      </c>
      <c r="D7" s="52">
        <v>3.7600000000000001E-2</v>
      </c>
      <c r="E7" s="52">
        <f t="shared" si="3"/>
        <v>3.4294704023164348E-2</v>
      </c>
      <c r="F7" s="52">
        <f t="shared" si="3"/>
        <v>3.4342992680180727E-2</v>
      </c>
      <c r="G7" s="52">
        <f t="shared" si="3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H7-2%</f>
        <v>1.4200000000000001E-2</v>
      </c>
    </row>
    <row r="8" spans="1:11" ht="23.15" customHeight="1" x14ac:dyDescent="0.4">
      <c r="A8" s="51" t="s">
        <v>62</v>
      </c>
      <c r="B8" s="52">
        <f>((1+$I8)^(B2/365)-1)*365/B2</f>
        <v>3.6811132610262698E-2</v>
      </c>
      <c r="C8" s="52">
        <f t="shared" ref="C8:G8" si="4">((1+$I8)^(C2/365)-1)*365/C2</f>
        <v>3.6824126331346081E-2</v>
      </c>
      <c r="D8" s="52">
        <f t="shared" si="4"/>
        <v>3.6853849234498227E-2</v>
      </c>
      <c r="E8" s="52">
        <f t="shared" si="4"/>
        <v>3.6909665927788916E-2</v>
      </c>
      <c r="F8" s="52">
        <f t="shared" si="4"/>
        <v>3.6965595336695314E-2</v>
      </c>
      <c r="G8" s="52">
        <f t="shared" si="4"/>
        <v>3.7134062420906062E-2</v>
      </c>
      <c r="H8" s="53">
        <v>3.6799999999999999E-2</v>
      </c>
      <c r="I8" s="74">
        <f t="shared" si="1"/>
        <v>3.7483578454069244E-2</v>
      </c>
      <c r="J8" s="75"/>
      <c r="K8" s="68">
        <f>H8-'Daily Data'!H96</f>
        <v>2.2699999999999998E-2</v>
      </c>
    </row>
    <row r="9" spans="1:11" ht="23.15" customHeight="1" x14ac:dyDescent="0.5">
      <c r="A9" s="51" t="s">
        <v>61</v>
      </c>
      <c r="B9" s="56">
        <f>((1+$I9)^(B2/365)-1)*365/B2</f>
        <v>4.2815059161980883E-2</v>
      </c>
      <c r="C9" s="56">
        <f t="shared" ref="C9:G9" si="5">((1+$I9)^(C2/365)-1)*365/C2</f>
        <v>4.2832637114085803E-2</v>
      </c>
      <c r="D9" s="56">
        <f t="shared" si="5"/>
        <v>4.287285143257006E-2</v>
      </c>
      <c r="E9" s="56">
        <f t="shared" si="5"/>
        <v>4.2948389023937085E-2</v>
      </c>
      <c r="F9" s="56">
        <f t="shared" si="5"/>
        <v>4.3024104068013491E-2</v>
      </c>
      <c r="G9" s="56">
        <f t="shared" si="5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Data'!AR97</f>
        <v>2.3E-2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Data'!Z97</f>
        <v>1.0800000000000001E-2</v>
      </c>
    </row>
    <row r="5" spans="1:11" ht="23.15" customHeight="1" x14ac:dyDescent="0.5">
      <c r="A5" s="51" t="s">
        <v>17</v>
      </c>
      <c r="B5" s="56">
        <v>4.3499999999999997E-2</v>
      </c>
      <c r="C5" s="56">
        <f>((1+I5)^(C2/365)-1)*365/C2</f>
        <v>3.8025725780286922E-2</v>
      </c>
      <c r="D5" s="56">
        <v>5.5E-2</v>
      </c>
      <c r="E5" s="56">
        <f>((1+$I5)^(E2/365)-1)*365/E2</f>
        <v>3.8116942104048458E-2</v>
      </c>
      <c r="F5" s="56">
        <f t="shared" ref="F5:G5" si="2">((1+$I5)^(F2/365)-1)*365/F2</f>
        <v>3.8176588168356236E-2</v>
      </c>
      <c r="G5" s="56">
        <f t="shared" si="2"/>
        <v>3.8356274017090804E-2</v>
      </c>
      <c r="H5" s="53">
        <v>3.7999999999999999E-2</v>
      </c>
      <c r="I5" s="74">
        <f t="shared" si="1"/>
        <v>3.8729178327362002E-2</v>
      </c>
      <c r="J5" s="75"/>
      <c r="K5" s="68">
        <f>H5-'Daily Data'!BJ97</f>
        <v>2.4500000000000001E-2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3.5900000000000001E-2</v>
      </c>
      <c r="C7" s="52">
        <f>((1+$I7)^(C2/365)-1)*365/C2</f>
        <v>3.4220837014135107E-2</v>
      </c>
      <c r="D7" s="52">
        <v>3.7600000000000001E-2</v>
      </c>
      <c r="E7" s="52">
        <f>((1+$I7)^(E2/365)-1)*365/E2</f>
        <v>3.4294704023164348E-2</v>
      </c>
      <c r="F7" s="52">
        <f t="shared" ref="F7:G7" si="4">((1+$I7)^(F2/365)-1)*365/F2</f>
        <v>3.4342992680180727E-2</v>
      </c>
      <c r="G7" s="52">
        <f t="shared" si="4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H7-1.06%</f>
        <v>2.3600000000000003E-2</v>
      </c>
    </row>
    <row r="8" spans="1:11" ht="23.15" customHeight="1" x14ac:dyDescent="0.4">
      <c r="A8" s="51" t="s">
        <v>62</v>
      </c>
      <c r="B8" s="52">
        <f>((1+$I8)^(B2/365)-1)*365/B2</f>
        <v>3.751156019854017E-2</v>
      </c>
      <c r="C8" s="52">
        <f t="shared" ref="C8:G8" si="5">((1+$I8)^(C2/365)-1)*365/C2</f>
        <v>3.7525053102707075E-2</v>
      </c>
      <c r="D8" s="52">
        <f t="shared" si="5"/>
        <v>3.7555918332129311E-2</v>
      </c>
      <c r="E8" s="52">
        <f t="shared" si="5"/>
        <v>3.7613881907545298E-2</v>
      </c>
      <c r="F8" s="52">
        <f t="shared" si="5"/>
        <v>3.7671964763798499E-2</v>
      </c>
      <c r="G8" s="52">
        <f t="shared" si="5"/>
        <v>3.7846931782462699E-2</v>
      </c>
      <c r="H8" s="53">
        <v>3.7499999999999999E-2</v>
      </c>
      <c r="I8" s="74">
        <f t="shared" si="1"/>
        <v>3.8209997240440829E-2</v>
      </c>
      <c r="J8" s="75"/>
      <c r="K8" s="68">
        <f>H8-'Daily Data'!H98</f>
        <v>2.2399999999999996E-2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((1+H3/365)^365-1)</f>
        <v>3.7691074941686109E-2</v>
      </c>
      <c r="J3" s="75"/>
      <c r="K3" s="68">
        <f>H3-'Daily Data'!AR98</f>
        <v>2.1599999999999998E-2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Data'!Z98</f>
        <v>1.0600000000000002E-2</v>
      </c>
    </row>
    <row r="5" spans="1:11" ht="23.15" customHeight="1" x14ac:dyDescent="0.5">
      <c r="A5" s="51" t="s">
        <v>17</v>
      </c>
      <c r="B5" s="56">
        <v>4.3499999999999997E-2</v>
      </c>
      <c r="C5" s="56">
        <f>((1+I5)^(C2/365)-1)*365/C2</f>
        <v>3.8626544761562069E-2</v>
      </c>
      <c r="D5" s="56">
        <v>5.5E-2</v>
      </c>
      <c r="E5" s="56">
        <f>((1+$I5)^(E2/365)-1)*365/E2</f>
        <v>3.8720668005707982E-2</v>
      </c>
      <c r="F5" s="56">
        <f t="shared" ref="F5:G5" si="2">((1+$I5)^(F2/365)-1)*365/F2</f>
        <v>3.8782217460826149E-2</v>
      </c>
      <c r="G5" s="56">
        <f t="shared" si="2"/>
        <v>3.8967649563848281E-2</v>
      </c>
      <c r="H5" s="53">
        <v>3.8600000000000002E-2</v>
      </c>
      <c r="I5" s="74">
        <f t="shared" si="1"/>
        <v>3.9352537413389843E-2</v>
      </c>
      <c r="J5" s="75"/>
      <c r="K5" s="68">
        <f>H5-'Daily Data'!BJ98</f>
        <v>2.4600000000000004E-2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Data'!H98</f>
        <v>2.3399999999999997E-2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Data'!AR99</f>
        <v>2.1399999999999999E-2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Data'!Z99</f>
        <v>1.0700000000000001E-2</v>
      </c>
    </row>
    <row r="5" spans="1:11" ht="23.15" customHeight="1" x14ac:dyDescent="0.5">
      <c r="A5" s="51" t="s">
        <v>17</v>
      </c>
      <c r="B5" s="56">
        <v>4.3499999999999997E-2</v>
      </c>
      <c r="C5" s="56">
        <f t="shared" ref="C5:G5" si="2">((1+$I5)^(C2/365)-1)*365/C2</f>
        <v>3.8225997347559368E-2</v>
      </c>
      <c r="D5" s="56">
        <v>5.5E-2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3">
        <v>3.8199999999999998E-2</v>
      </c>
      <c r="I5" s="74">
        <f t="shared" si="1"/>
        <v>3.8936923251637001E-2</v>
      </c>
      <c r="J5" s="75"/>
      <c r="K5" s="68">
        <f>H5-'Daily Data'!BJ99</f>
        <v>2.4399999999999998E-2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3.8312058738885373E-2</v>
      </c>
      <c r="C8" s="52">
        <f t="shared" ref="C8:G8" si="5">((1+$I8)^(C2/365)-1)*365/C2</f>
        <v>3.8326133666167612E-2</v>
      </c>
      <c r="D8" s="52">
        <f t="shared" si="5"/>
        <v>3.8358330823753763E-2</v>
      </c>
      <c r="E8" s="52">
        <f t="shared" si="5"/>
        <v>3.8418797736503744E-2</v>
      </c>
      <c r="F8" s="52">
        <f t="shared" si="5"/>
        <v>3.8479391740204962E-2</v>
      </c>
      <c r="G8" s="52">
        <f t="shared" si="5"/>
        <v>3.8661939305934263E-2</v>
      </c>
      <c r="H8" s="53">
        <v>3.8300000000000001E-2</v>
      </c>
      <c r="I8" s="74">
        <f t="shared" si="1"/>
        <v>3.9040811251424667E-2</v>
      </c>
      <c r="J8" s="75"/>
      <c r="K8" s="68">
        <f>H8-'Daily Data'!H99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3.8812375671868189E-2</v>
      </c>
      <c r="C9" s="56">
        <f t="shared" ref="C9:G9" si="6">((1+$I9)^(C2/365)-1)*365/C2</f>
        <v>3.8826820608222859E-2</v>
      </c>
      <c r="D9" s="56">
        <f t="shared" si="6"/>
        <v>3.8859864528720513E-2</v>
      </c>
      <c r="E9" s="56">
        <f t="shared" si="6"/>
        <v>3.8921922983701972E-2</v>
      </c>
      <c r="F9" s="56">
        <f t="shared" si="6"/>
        <v>3.8984113580225445E-2</v>
      </c>
      <c r="G9" s="56">
        <f t="shared" si="6"/>
        <v>3.9171481388509101E-2</v>
      </c>
      <c r="H9" s="53">
        <v>3.8800000000000001E-2</v>
      </c>
      <c r="I9" s="74">
        <f t="shared" si="1"/>
        <v>3.9560406667257908E-2</v>
      </c>
      <c r="J9" s="75"/>
      <c r="K9" s="69"/>
    </row>
  </sheetData>
  <conditionalFormatting sqref="A1:J9">
    <cfRule type="expression" dxfId="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Data'!AR100</f>
        <v>2.1099999999999997E-2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Data'!Z100</f>
        <v>1.1500000000000002E-2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3.8326133666167612E-2</v>
      </c>
      <c r="D5" s="56">
        <v>5.67E-2</v>
      </c>
      <c r="E5" s="56">
        <f t="shared" si="2"/>
        <v>3.8418797736503744E-2</v>
      </c>
      <c r="F5" s="56">
        <f t="shared" si="2"/>
        <v>3.8479391740204962E-2</v>
      </c>
      <c r="G5" s="56">
        <f t="shared" si="2"/>
        <v>3.8661939305934263E-2</v>
      </c>
      <c r="H5" s="53">
        <v>3.8300000000000001E-2</v>
      </c>
      <c r="I5" s="74">
        <f t="shared" si="1"/>
        <v>3.9040811251424667E-2</v>
      </c>
      <c r="J5" s="75"/>
      <c r="K5" s="68">
        <f>H5-'Daily Data'!BJ100</f>
        <v>2.4500000000000001E-2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Data'!H100</f>
        <v>2.35E-2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3.4599999999999999E-2</v>
      </c>
      <c r="C3" s="55">
        <v>3.49E-2</v>
      </c>
      <c r="D3" s="55">
        <v>4.99E-2</v>
      </c>
      <c r="E3" s="55">
        <v>4.8899999999999999E-2</v>
      </c>
      <c r="F3" s="55">
        <v>4.8899999999999999E-2</v>
      </c>
      <c r="G3" s="55">
        <v>5.4399999999999997E-2</v>
      </c>
      <c r="H3" s="53">
        <v>4.2099999999999999E-2</v>
      </c>
      <c r="I3" s="74">
        <f>(1+H3/365)^365-1</f>
        <v>4.2996241252897249E-2</v>
      </c>
      <c r="J3" s="75"/>
      <c r="K3" s="68">
        <f>H3-'Daily Data'!AR101</f>
        <v>2.4599999999999997E-2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Data'!Z101</f>
        <v>1.1500000000000002E-2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3.9527797305134844E-2</v>
      </c>
      <c r="D5" s="56">
        <v>5.67E-2</v>
      </c>
      <c r="E5" s="56">
        <f t="shared" si="2"/>
        <v>3.9626366640761357E-2</v>
      </c>
      <c r="F5" s="56">
        <f t="shared" si="2"/>
        <v>3.969082753132306E-2</v>
      </c>
      <c r="G5" s="56">
        <f t="shared" si="2"/>
        <v>3.9885050217776455E-2</v>
      </c>
      <c r="H5" s="53">
        <v>3.95E-2</v>
      </c>
      <c r="I5" s="74">
        <f t="shared" si="1"/>
        <v>4.0288275604905666E-2</v>
      </c>
      <c r="J5" s="75"/>
      <c r="K5" s="68">
        <f>H5-'Daily Data'!BJ101</f>
        <v>2.5700000000000001E-2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3.8612248405269937E-2</v>
      </c>
      <c r="C8" s="52">
        <f t="shared" ref="C8:G8" si="5">((1+$I8)^(C2/365)-1)*365/C2</f>
        <v>3.8626544761562069E-2</v>
      </c>
      <c r="D8" s="52">
        <f t="shared" si="5"/>
        <v>3.8659248656118694E-2</v>
      </c>
      <c r="E8" s="52">
        <f t="shared" si="5"/>
        <v>3.8720668005707982E-2</v>
      </c>
      <c r="F8" s="52">
        <f t="shared" si="5"/>
        <v>3.8782217460826149E-2</v>
      </c>
      <c r="G8" s="52">
        <f t="shared" si="5"/>
        <v>3.8967649563848281E-2</v>
      </c>
      <c r="H8" s="53">
        <v>3.8600000000000002E-2</v>
      </c>
      <c r="I8" s="74">
        <f t="shared" si="1"/>
        <v>3.9352537413389843E-2</v>
      </c>
      <c r="J8" s="75"/>
      <c r="K8" s="68">
        <f>H8-'Daily Data'!H101</f>
        <v>2.2800000000000001E-2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  <row r="16" spans="1:11" x14ac:dyDescent="0.35">
      <c r="G16" s="19"/>
    </row>
    <row r="17" spans="7:7" x14ac:dyDescent="0.35">
      <c r="G17" s="19"/>
    </row>
    <row r="18" spans="7:7" x14ac:dyDescent="0.35">
      <c r="G18" s="60"/>
    </row>
    <row r="19" spans="7:7" x14ac:dyDescent="0.35">
      <c r="G19" s="60"/>
    </row>
    <row r="20" spans="7:7" x14ac:dyDescent="0.35">
      <c r="G20" s="19"/>
    </row>
  </sheetData>
  <conditionalFormatting sqref="A1:J9">
    <cfRule type="expression" dxfId="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3.4500000000000003E-2</v>
      </c>
      <c r="C3" s="55">
        <v>3.4799999999999998E-2</v>
      </c>
      <c r="D3" s="55">
        <v>4.8899999999999999E-2</v>
      </c>
      <c r="E3" s="55">
        <v>0.04</v>
      </c>
      <c r="F3" s="55">
        <v>4.8800000000000003E-2</v>
      </c>
      <c r="G3" s="55">
        <v>5.5E-2</v>
      </c>
      <c r="H3" s="53">
        <v>4.65E-2</v>
      </c>
      <c r="I3" s="74">
        <f>(1+H3/365)^365-1</f>
        <v>4.7594976365493258E-2</v>
      </c>
      <c r="J3" s="75"/>
      <c r="K3" s="68">
        <f>H3-'Daily Data'!AR102</f>
        <v>2.58E-2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Data'!H102</f>
        <v>5.8000000000000031E-3</v>
      </c>
    </row>
    <row r="5" spans="1:11" ht="23.15" customHeight="1" x14ac:dyDescent="0.5">
      <c r="A5" s="51" t="s">
        <v>17</v>
      </c>
      <c r="B5" s="56">
        <v>5.1200000000000002E-2</v>
      </c>
      <c r="C5" s="56">
        <f t="shared" ref="C5:G5" si="2">((1+$I5)^(C2/365)-1)*365/C2</f>
        <v>4.2732484746831965E-2</v>
      </c>
      <c r="D5" s="56">
        <v>6.1499999999999999E-2</v>
      </c>
      <c r="E5" s="56">
        <f t="shared" si="2"/>
        <v>4.2847695644248965E-2</v>
      </c>
      <c r="F5" s="56">
        <f t="shared" si="2"/>
        <v>4.2923056280611376E-2</v>
      </c>
      <c r="G5" s="56">
        <f t="shared" si="2"/>
        <v>4.315020010039558E-2</v>
      </c>
      <c r="H5" s="53">
        <v>4.2700000000000002E-2</v>
      </c>
      <c r="I5" s="74">
        <f t="shared" si="1"/>
        <v>4.3622154043978734E-2</v>
      </c>
      <c r="J5" s="75"/>
      <c r="K5" s="68">
        <f>H5-'Daily Data'!BJ102</f>
        <v>2.6600000000000002E-2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4.2514848771842341E-2</v>
      </c>
      <c r="C8" s="52">
        <f t="shared" ref="C8:G8" si="5">((1+$I8)^(C2/365)-1)*365/C2</f>
        <v>4.2532181082204676E-2</v>
      </c>
      <c r="D8" s="52">
        <f t="shared" si="5"/>
        <v>4.2571833178827546E-2</v>
      </c>
      <c r="E8" s="52">
        <f t="shared" si="5"/>
        <v>4.2646313767056111E-2</v>
      </c>
      <c r="F8" s="52">
        <f t="shared" si="5"/>
        <v>4.2720968096388673E-2</v>
      </c>
      <c r="G8" s="52">
        <f t="shared" si="5"/>
        <v>4.2945978096879549E-2</v>
      </c>
      <c r="H8" s="53">
        <v>4.2500000000000003E-2</v>
      </c>
      <c r="I8" s="74">
        <f t="shared" si="1"/>
        <v>4.3413474837240562E-2</v>
      </c>
      <c r="J8" s="75"/>
      <c r="K8" s="68">
        <f>H8-1.92%</f>
        <v>2.3300000000000005E-2</v>
      </c>
    </row>
    <row r="9" spans="1:11" ht="23.15" customHeight="1" x14ac:dyDescent="0.5">
      <c r="A9" s="51" t="s">
        <v>61</v>
      </c>
      <c r="B9" s="56">
        <f>((1+$I9)^(B2/365)-1)*365/B2</f>
        <v>4.2915129621032513E-2</v>
      </c>
      <c r="C9" s="56">
        <f t="shared" ref="C9:G9" si="6">((1+$I9)^(C2/365)-1)*365/C2</f>
        <v>4.2932789838088001E-2</v>
      </c>
      <c r="D9" s="56">
        <f t="shared" si="6"/>
        <v>4.2973192444788845E-2</v>
      </c>
      <c r="E9" s="56">
        <f t="shared" si="6"/>
        <v>4.3049084031183106E-2</v>
      </c>
      <c r="F9" s="56">
        <f t="shared" si="6"/>
        <v>4.3125154319151399E-2</v>
      </c>
      <c r="G9" s="56">
        <f t="shared" si="6"/>
        <v>4.3354442133061333E-2</v>
      </c>
      <c r="H9" s="53">
        <v>4.2900000000000001E-2</v>
      </c>
      <c r="I9" s="74">
        <f t="shared" si="1"/>
        <v>4.3830874871463754E-2</v>
      </c>
      <c r="J9" s="75"/>
      <c r="K9" s="69"/>
    </row>
  </sheetData>
  <conditionalFormatting sqref="A1:J9">
    <cfRule type="expression" dxfId="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3.49E-2</v>
      </c>
      <c r="D3" s="55">
        <v>4.8800000000000003E-2</v>
      </c>
      <c r="E3" s="55">
        <v>0.04</v>
      </c>
      <c r="F3" s="55">
        <v>4.8000000000000001E-2</v>
      </c>
      <c r="G3" s="55">
        <v>5.8999999999999997E-2</v>
      </c>
      <c r="H3" s="53">
        <v>4.6899999999999997E-2</v>
      </c>
      <c r="I3" s="74">
        <f>(1+H3/365)^365-1</f>
        <v>4.8014044546304424E-2</v>
      </c>
      <c r="J3" s="75"/>
      <c r="K3" s="68">
        <f>H3-'Daily Data'!AR103</f>
        <v>2.6699999999999998E-2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.15" customHeight="1" x14ac:dyDescent="0.5">
      <c r="A5" s="51" t="s">
        <v>17</v>
      </c>
      <c r="B5" s="56">
        <v>5.28E-2</v>
      </c>
      <c r="C5" s="56">
        <f>((1+I5)^(C2/365)-1)*365/C2</f>
        <v>4.4134650346251733E-2</v>
      </c>
      <c r="D5" s="56">
        <v>6.3799999999999996E-2</v>
      </c>
      <c r="E5" s="56">
        <f>((1+$I5)^(E2/365)-1)*365/E2</f>
        <v>4.4257551069836011E-2</v>
      </c>
      <c r="F5" s="56">
        <f t="shared" ref="F5:G5" si="2">((1+$I5)^(F2/365)-1)*365/F2</f>
        <v>4.4337949518542676E-2</v>
      </c>
      <c r="G5" s="56">
        <f t="shared" si="2"/>
        <v>4.4580315051523496E-2</v>
      </c>
      <c r="H5" s="53">
        <v>4.41E-2</v>
      </c>
      <c r="I5" s="74">
        <f t="shared" si="1"/>
        <v>4.5084074336688928E-2</v>
      </c>
      <c r="J5" s="75"/>
      <c r="K5" s="68">
        <f>H5-'Daily Data'!BJ103</f>
        <v>2.63E-2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3.4099999999999998E-2</v>
      </c>
      <c r="C7" s="52">
        <f>((1+I7)^(C2/365)-1)*365/C2</f>
        <v>3.2518816632587697E-2</v>
      </c>
      <c r="D7" s="52">
        <v>3.5799999999999998E-2</v>
      </c>
      <c r="E7" s="52">
        <f>((1+$I7)^(E2/365)-1)*365/E2</f>
        <v>3.2585515295304769E-2</v>
      </c>
      <c r="F7" s="52">
        <f t="shared" ref="F7:G7" si="4">((1+$I7)^(F2/365)-1)*365/F2</f>
        <v>3.2629112682946743E-2</v>
      </c>
      <c r="G7" s="52">
        <f t="shared" si="4"/>
        <v>3.2760372011032608E-2</v>
      </c>
      <c r="H7" s="53">
        <v>3.2500000000000001E-2</v>
      </c>
      <c r="I7" s="74">
        <f t="shared" si="1"/>
        <v>3.303239851864892E-2</v>
      </c>
      <c r="J7" s="75"/>
      <c r="K7" s="68">
        <f>H7-1.06%</f>
        <v>2.1900000000000003E-2</v>
      </c>
    </row>
    <row r="8" spans="1:11" ht="23.15" customHeight="1" x14ac:dyDescent="0.4">
      <c r="A8" s="51" t="s">
        <v>62</v>
      </c>
      <c r="B8" s="52">
        <f>((1+$I8)^(B2/365)-1)*365/B2</f>
        <v>4.3015200244608094E-2</v>
      </c>
      <c r="C8" s="52">
        <f t="shared" ref="C8:G8" si="5">((1+$I8)^(C2/365)-1)*365/C2</f>
        <v>4.3032942918809609E-2</v>
      </c>
      <c r="D8" s="52">
        <f t="shared" si="5"/>
        <v>4.3073534254197764E-2</v>
      </c>
      <c r="E8" s="52">
        <f t="shared" si="5"/>
        <v>4.3149780665970826E-2</v>
      </c>
      <c r="F8" s="52">
        <f t="shared" si="5"/>
        <v>4.3226207034042216E-2</v>
      </c>
      <c r="G8" s="52">
        <f t="shared" si="5"/>
        <v>4.3456570661041326E-2</v>
      </c>
      <c r="H8" s="53">
        <v>4.2999999999999997E-2</v>
      </c>
      <c r="I8" s="74">
        <f t="shared" si="1"/>
        <v>4.3935250895680733E-2</v>
      </c>
      <c r="J8" s="75"/>
      <c r="K8" s="68">
        <f>H8-'Daily Data'!H103</f>
        <v>2.3299999999999998E-2</v>
      </c>
    </row>
    <row r="9" spans="1:11" ht="23.15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3.95E-2</v>
      </c>
      <c r="C3" s="55">
        <v>3.49E-2</v>
      </c>
      <c r="D3" s="55">
        <v>4.87E-2</v>
      </c>
      <c r="E3" s="55">
        <v>0.04</v>
      </c>
      <c r="F3" s="55">
        <v>4.7E-2</v>
      </c>
      <c r="G3" s="55">
        <v>5.9200000000000003E-2</v>
      </c>
      <c r="H3" s="53">
        <v>4.9099999999999998E-2</v>
      </c>
      <c r="I3" s="74">
        <f>(1+H3/365)^365-1</f>
        <v>5.0321909665185904E-2</v>
      </c>
      <c r="J3" s="75"/>
      <c r="K3" s="68">
        <f>H3-'Daily Data'!AR104</f>
        <v>2.8299999999999999E-2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.15" customHeight="1" x14ac:dyDescent="0.5">
      <c r="A5" s="51" t="s">
        <v>17</v>
      </c>
      <c r="B5" s="56">
        <v>5.5800000000000002E-2</v>
      </c>
      <c r="C5" s="56">
        <f t="shared" ref="C5:G5" si="2">((1+$I5)^(C2/365)-1)*365/C2</f>
        <v>4.6538525450946423E-2</v>
      </c>
      <c r="D5" s="56">
        <v>6.6900000000000001E-2</v>
      </c>
      <c r="E5" s="56">
        <f t="shared" si="2"/>
        <v>4.6675188403669354E-2</v>
      </c>
      <c r="F5" s="56">
        <f t="shared" si="2"/>
        <v>4.6764604648815496E-2</v>
      </c>
      <c r="G5" s="56">
        <f t="shared" si="2"/>
        <v>4.7034225939659821E-2</v>
      </c>
      <c r="H5" s="53">
        <v>4.65E-2</v>
      </c>
      <c r="I5" s="74">
        <f t="shared" si="1"/>
        <v>4.7594976365493258E-2</v>
      </c>
      <c r="J5" s="75"/>
      <c r="K5" s="68">
        <f>H5-'Daily Data'!BJ104</f>
        <v>2.75E-2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2.9000000000000001E-2</v>
      </c>
      <c r="C7" s="52">
        <f t="shared" ref="C7:G7" si="4">((1+$I7)^(C2/365)-1)*365/C2</f>
        <v>2.7613569693030509E-2</v>
      </c>
      <c r="D7" s="52">
        <v>3.0300000000000001E-2</v>
      </c>
      <c r="E7" s="52">
        <f t="shared" si="4"/>
        <v>2.7661657006941637E-2</v>
      </c>
      <c r="F7" s="52">
        <f t="shared" si="4"/>
        <v>2.7693078446810349E-2</v>
      </c>
      <c r="G7" s="52">
        <f t="shared" si="4"/>
        <v>2.7787628574820866E-2</v>
      </c>
      <c r="H7" s="53">
        <v>2.76E-2</v>
      </c>
      <c r="I7" s="74">
        <f t="shared" si="1"/>
        <v>2.7983335754216743E-2</v>
      </c>
      <c r="J7" s="75"/>
      <c r="K7" s="68">
        <f>H7-1.06%</f>
        <v>1.7000000000000001E-2</v>
      </c>
    </row>
    <row r="8" spans="1:11" ht="23.15" customHeight="1" x14ac:dyDescent="0.4">
      <c r="A8" s="51" t="s">
        <v>62</v>
      </c>
      <c r="B8" s="52">
        <f>((1+$I8)^(B2/365)-1)*365/B2</f>
        <v>4.3615627439733053E-2</v>
      </c>
      <c r="C8" s="52">
        <f t="shared" ref="C8:G8" si="5">((1+$I8)^(C2/365)-1)*365/C2</f>
        <v>4.363386889274766E-2</v>
      </c>
      <c r="D8" s="52">
        <f t="shared" si="5"/>
        <v>4.3675601850457969E-2</v>
      </c>
      <c r="E8" s="52">
        <f t="shared" si="5"/>
        <v>4.3753994653074044E-2</v>
      </c>
      <c r="F8" s="52">
        <f t="shared" si="5"/>
        <v>4.3832575064065793E-2</v>
      </c>
      <c r="G8" s="52">
        <f t="shared" si="5"/>
        <v>4.4069447005582213E-2</v>
      </c>
      <c r="H8" s="53">
        <v>4.36E-2</v>
      </c>
      <c r="I8" s="74">
        <f t="shared" si="1"/>
        <v>4.4561725651013573E-2</v>
      </c>
      <c r="J8" s="75"/>
      <c r="K8" s="68">
        <f>H8-'Daily Data'!H104</f>
        <v>2.3400000000000001E-2</v>
      </c>
    </row>
    <row r="9" spans="1:11" ht="23.15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3.7499999999999999E-2</v>
      </c>
      <c r="C3" s="55">
        <v>3.7999999999999999E-2</v>
      </c>
      <c r="D3" s="55">
        <v>4.4999999999999998E-2</v>
      </c>
      <c r="E3" s="55">
        <v>0.04</v>
      </c>
      <c r="F3" s="55">
        <v>4.7E-2</v>
      </c>
      <c r="G3" s="55">
        <v>5.9900000000000002E-2</v>
      </c>
      <c r="H3" s="53">
        <v>4.41E-2</v>
      </c>
      <c r="I3" s="74">
        <f>(1+H3/365)^365-1</f>
        <v>4.5084074336688928E-2</v>
      </c>
      <c r="J3" s="75"/>
      <c r="K3" s="68">
        <f>H3-'Daily Data'!AR105</f>
        <v>2.75E-2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Data'!Z105</f>
        <v>9.700000000000002E-3</v>
      </c>
    </row>
    <row r="5" spans="1:11" ht="23.15" customHeight="1" x14ac:dyDescent="0.5">
      <c r="A5" s="51" t="s">
        <v>17</v>
      </c>
      <c r="B5" s="56">
        <v>4.8599999999999997E-2</v>
      </c>
      <c r="C5" s="56">
        <f t="shared" ref="C5:G5" si="2">((1+$I5)^(C2/365)-1)*365/C2</f>
        <v>4.052922289982909E-2</v>
      </c>
      <c r="D5" s="56">
        <v>5.8299999999999998E-2</v>
      </c>
      <c r="E5" s="56">
        <f t="shared" si="2"/>
        <v>4.0632852986788683E-2</v>
      </c>
      <c r="F5" s="56">
        <f t="shared" si="2"/>
        <v>4.0700628138462452E-2</v>
      </c>
      <c r="G5" s="56">
        <f t="shared" si="2"/>
        <v>4.0904859236788139E-2</v>
      </c>
      <c r="H5" s="57">
        <v>4.0500000000000001E-2</v>
      </c>
      <c r="I5" s="74">
        <f t="shared" si="1"/>
        <v>4.1328970092306072E-2</v>
      </c>
      <c r="J5" s="75"/>
      <c r="K5" s="68">
        <f>H5-'Daily Data'!BJ105</f>
        <v>2.5300000000000003E-2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2.69E-2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3.8712311956318669E-2</v>
      </c>
      <c r="C8" s="52">
        <f t="shared" ref="C8:G8" si="5">((1+$I8)^(C2/365)-1)*365/C2</f>
        <v>3.8726682506561701E-2</v>
      </c>
      <c r="D8" s="52">
        <f t="shared" si="5"/>
        <v>3.8759556193956914E-2</v>
      </c>
      <c r="E8" s="52">
        <f t="shared" si="5"/>
        <v>3.8821294681477138E-2</v>
      </c>
      <c r="F8" s="52">
        <f t="shared" si="5"/>
        <v>3.8883164289896549E-2</v>
      </c>
      <c r="G8" s="52">
        <f t="shared" si="5"/>
        <v>3.9069562977386327E-2</v>
      </c>
      <c r="H8" s="53">
        <v>3.8699999999999998E-2</v>
      </c>
      <c r="I8" s="74">
        <f t="shared" si="1"/>
        <v>3.9456466858355688E-2</v>
      </c>
      <c r="J8" s="75"/>
      <c r="K8" s="68">
        <f>H8-'Daily Data'!H105</f>
        <v>2.24E-2</v>
      </c>
    </row>
    <row r="9" spans="1:11" ht="23.15" customHeight="1" x14ac:dyDescent="0.5">
      <c r="A9" s="51" t="s">
        <v>61</v>
      </c>
      <c r="B9" s="56">
        <f>((1+$I9)^(B2/365)-1)*365/B2</f>
        <v>4.2614918737380006E-2</v>
      </c>
      <c r="C9" s="56">
        <f t="shared" ref="C9:G9" si="6">((1+$I9)^(C2/365)-1)*365/C2</f>
        <v>4.263233273613546E-2</v>
      </c>
      <c r="D9" s="56">
        <f t="shared" si="6"/>
        <v>4.2672171799586711E-2</v>
      </c>
      <c r="E9" s="56">
        <f t="shared" si="6"/>
        <v>4.2747003891891823E-2</v>
      </c>
      <c r="F9" s="56">
        <f t="shared" si="6"/>
        <v>4.2822010956684808E-2</v>
      </c>
      <c r="G9" s="56">
        <f t="shared" si="6"/>
        <v>4.3048086595060091E-2</v>
      </c>
      <c r="H9" s="53">
        <v>4.2599999999999999E-2</v>
      </c>
      <c r="I9" s="74">
        <f t="shared" si="1"/>
        <v>4.3517809238476701E-2</v>
      </c>
      <c r="J9" s="75"/>
      <c r="K9" s="69"/>
    </row>
  </sheetData>
  <conditionalFormatting sqref="A1:J9">
    <cfRule type="expression" dxfId="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Data'!AR106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Data'!Z106</f>
        <v>1.0100000000000001E-2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3.8225997347559368E-2</v>
      </c>
      <c r="D5" s="56">
        <v>5.2999999999999999E-2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Data'!BJ106</f>
        <v>2.4299999999999999E-2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Data'!H106</f>
        <v>2.1900000000000003E-2</v>
      </c>
    </row>
    <row r="9" spans="1:11" ht="23.15" customHeight="1" x14ac:dyDescent="0.5">
      <c r="A9" s="51" t="s">
        <v>61</v>
      </c>
      <c r="B9" s="56">
        <f>((1+$I9)^(B2/365)-1)*365/B2</f>
        <v>4.0513484000246666E-2</v>
      </c>
      <c r="C9" s="56">
        <f t="shared" ref="C9:G9" si="6">((1+$I9)^(C2/365)-1)*365/C2</f>
        <v>4.052922289982909E-2</v>
      </c>
      <c r="D9" s="56">
        <f t="shared" si="6"/>
        <v>4.0565228148374044E-2</v>
      </c>
      <c r="E9" s="56">
        <f t="shared" si="6"/>
        <v>4.0632852986788683E-2</v>
      </c>
      <c r="F9" s="56">
        <f t="shared" si="6"/>
        <v>4.0700628138462452E-2</v>
      </c>
      <c r="G9" s="56">
        <f t="shared" si="6"/>
        <v>4.0904859236788139E-2</v>
      </c>
      <c r="H9" s="53">
        <v>4.0500000000000001E-2</v>
      </c>
      <c r="I9" s="74">
        <f t="shared" si="1"/>
        <v>4.1328970092306072E-2</v>
      </c>
      <c r="J9" s="75"/>
      <c r="K9" s="69"/>
    </row>
  </sheetData>
  <conditionalFormatting sqref="A1:J9">
    <cfRule type="expression" dxfId="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Data'!AR107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Data'!Z107</f>
        <v>1.0000000000000002E-2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3.7224653775365733E-2</v>
      </c>
      <c r="D5" s="56">
        <v>5.2999999999999999E-2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Data'!BJ107</f>
        <v>2.1599999999999998E-2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3.6310832124105845E-2</v>
      </c>
      <c r="C8" s="52">
        <f t="shared" ref="C8:G8" si="5">((1+$I8)^(C2/365)-1)*365/C2</f>
        <v>3.6323475049729645E-2</v>
      </c>
      <c r="D8" s="52">
        <f t="shared" si="5"/>
        <v>3.6352395210776788E-2</v>
      </c>
      <c r="E8" s="52">
        <f t="shared" si="5"/>
        <v>3.6406703291771501E-2</v>
      </c>
      <c r="F8" s="52">
        <f t="shared" si="5"/>
        <v>3.6461119549689336E-2</v>
      </c>
      <c r="G8" s="52">
        <f t="shared" si="5"/>
        <v>3.6625019812009267E-2</v>
      </c>
      <c r="H8" s="53">
        <v>3.6299999999999999E-2</v>
      </c>
      <c r="I8" s="74">
        <f t="shared" si="1"/>
        <v>3.6965018242766767E-2</v>
      </c>
      <c r="J8" s="75"/>
      <c r="K8" s="68">
        <f>H8-'Daily Data'!H107</f>
        <v>2.23E-2</v>
      </c>
    </row>
    <row r="9" spans="1:11" ht="23.15" customHeight="1" x14ac:dyDescent="0.5">
      <c r="A9" s="51" t="s">
        <v>61</v>
      </c>
      <c r="B9" s="56">
        <f>((1+$I9)^(B2/365)-1)*365/B2</f>
        <v>3.8712311956318669E-2</v>
      </c>
      <c r="C9" s="56">
        <f t="shared" ref="C9:G9" si="6">((1+$I9)^(C2/365)-1)*365/C2</f>
        <v>3.8726682506561701E-2</v>
      </c>
      <c r="D9" s="56">
        <f t="shared" si="6"/>
        <v>3.8759556193956914E-2</v>
      </c>
      <c r="E9" s="56">
        <f t="shared" si="6"/>
        <v>3.8821294681477138E-2</v>
      </c>
      <c r="F9" s="56">
        <f t="shared" si="6"/>
        <v>3.8883164289896549E-2</v>
      </c>
      <c r="G9" s="56">
        <f t="shared" si="6"/>
        <v>3.9069562977386327E-2</v>
      </c>
      <c r="H9" s="53">
        <v>3.8699999999999998E-2</v>
      </c>
      <c r="I9" s="74">
        <f t="shared" si="1"/>
        <v>3.9456466858355688E-2</v>
      </c>
      <c r="J9" s="75"/>
      <c r="K9" s="69"/>
    </row>
  </sheetData>
  <conditionalFormatting sqref="A1:J9">
    <cfRule type="expression" dxfId="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Data'!AR108</f>
        <v>2.64E-2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Data'!Z108</f>
        <v>1.0800000000000001E-2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Data'!BJ108</f>
        <v>2.3699999999999999E-2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Data'!H108</f>
        <v>2.23E-2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4.4499999999999998E-2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Data'!AR109</f>
        <v>2.5599999999999998E-2</v>
      </c>
    </row>
    <row r="4" spans="1:11" ht="23.15" customHeight="1" x14ac:dyDescent="0.5">
      <c r="A4" s="51" t="s">
        <v>15</v>
      </c>
      <c r="B4" s="56">
        <f>((1+$I5)^(B2/365)-1)*365/B2</f>
        <v>3.6611011922457352E-2</v>
      </c>
      <c r="C4" s="56">
        <f t="shared" ref="C4:G4" si="0">((1+$I5)^(C2/365)-1)*365/C2</f>
        <v>3.6623864748969649E-2</v>
      </c>
      <c r="D4" s="56">
        <f t="shared" si="0"/>
        <v>3.6653265234805166E-2</v>
      </c>
      <c r="E4" s="56">
        <f t="shared" si="0"/>
        <v>3.6708475995860898E-2</v>
      </c>
      <c r="F4" s="56">
        <f t="shared" si="0"/>
        <v>3.6763797642103878E-2</v>
      </c>
      <c r="G4" s="56">
        <f t="shared" si="0"/>
        <v>3.6930430400372957E-2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Data'!Z109</f>
        <v>1.0300000000000002E-2</v>
      </c>
    </row>
    <row r="5" spans="1:11" ht="23.15" customHeight="1" x14ac:dyDescent="0.5">
      <c r="A5" s="51" t="s">
        <v>17</v>
      </c>
      <c r="B5" s="56">
        <v>4.3799999999999999E-2</v>
      </c>
      <c r="C5" s="56">
        <f t="shared" ref="C5:F5" si="2">((1+$I5)^(C2/365)-1)*365/C2</f>
        <v>3.6623864748969649E-2</v>
      </c>
      <c r="D5" s="56">
        <v>5.2600000000000001E-2</v>
      </c>
      <c r="E5" s="56">
        <f t="shared" si="2"/>
        <v>3.6708475995860898E-2</v>
      </c>
      <c r="F5" s="56">
        <f t="shared" si="2"/>
        <v>3.6763797642103878E-2</v>
      </c>
      <c r="G5" s="56">
        <f>((1+$I5)^(G2/365)-1)*365/G2</f>
        <v>3.6930430400372957E-2</v>
      </c>
      <c r="H5" s="57">
        <v>3.6600000000000001E-2</v>
      </c>
      <c r="I5" s="74">
        <f t="shared" si="1"/>
        <v>3.727612334382413E-2</v>
      </c>
      <c r="J5" s="75"/>
      <c r="K5" s="68">
        <f>H5-'Daily Data'!BJ109</f>
        <v>2.3900000000000001E-2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2.1999999999999999E-2</v>
      </c>
      <c r="C7" s="52">
        <f t="shared" ref="C7:G7" si="4">((1+$I7)^(C2/365)-1)*365/C2</f>
        <v>2.1007855232316502E-2</v>
      </c>
      <c r="D7" s="52">
        <v>2.3099999999999999E-2</v>
      </c>
      <c r="E7" s="52">
        <f t="shared" si="4"/>
        <v>2.1035682144425177E-2</v>
      </c>
      <c r="F7" s="52">
        <f t="shared" si="4"/>
        <v>2.1053856606007598E-2</v>
      </c>
      <c r="G7" s="52">
        <f t="shared" si="4"/>
        <v>2.1108505700553632E-2</v>
      </c>
      <c r="H7" s="53">
        <v>2.1000000000000001E-2</v>
      </c>
      <c r="I7" s="74">
        <f t="shared" si="1"/>
        <v>2.1221434731349964E-2</v>
      </c>
      <c r="J7" s="75"/>
      <c r="K7" s="68">
        <f>H7-1.06%</f>
        <v>1.0400000000000001E-2</v>
      </c>
    </row>
    <row r="8" spans="1:11" ht="23.15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Data'!H109</f>
        <v>2.2199999999999998E-2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3.7999999999999999E-2</v>
      </c>
      <c r="C3" s="55">
        <v>3.9E-2</v>
      </c>
      <c r="D3" s="55">
        <v>3.7999999999999999E-2</v>
      </c>
      <c r="E3" s="55">
        <v>3.9E-2</v>
      </c>
      <c r="F3" s="55">
        <v>4.5400000000000003E-2</v>
      </c>
      <c r="G3" s="55">
        <v>5.3999999999999999E-2</v>
      </c>
      <c r="H3" s="53">
        <v>4.0300000000000002E-2</v>
      </c>
      <c r="I3" s="74">
        <f>(1+H3/365)^365-1</f>
        <v>4.1120748168237853E-2</v>
      </c>
      <c r="J3" s="75"/>
      <c r="K3" s="68">
        <f>H3-'Daily Data'!AR110</f>
        <v>2.6300000000000004E-2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Data'!Z110</f>
        <v>1.0100000000000001E-2</v>
      </c>
    </row>
    <row r="5" spans="1:11" ht="23.15" customHeight="1" x14ac:dyDescent="0.5">
      <c r="A5" s="51" t="s">
        <v>17</v>
      </c>
      <c r="B5" s="56">
        <v>4.4400000000000002E-2</v>
      </c>
      <c r="C5" s="56">
        <f>((1+I5)^(C2/365)-1)*365/C2</f>
        <v>3.7124521379478526E-2</v>
      </c>
      <c r="D5" s="56">
        <v>5.3199999999999997E-2</v>
      </c>
      <c r="E5" s="56">
        <f>((1+$I5)^(E2/365)-1)*365/E2</f>
        <v>3.7211463020234627E-2</v>
      </c>
      <c r="F5" s="56">
        <f t="shared" ref="F5:G5" si="2">((1+$I5)^(F2/365)-1)*365/F2</f>
        <v>3.7268310329474294E-2</v>
      </c>
      <c r="G5" s="56">
        <f t="shared" si="2"/>
        <v>3.7439547899246244E-2</v>
      </c>
      <c r="H5" s="57">
        <v>3.7100000000000001E-2</v>
      </c>
      <c r="I5" s="74">
        <f t="shared" si="1"/>
        <v>3.7794838704558797E-2</v>
      </c>
      <c r="J5" s="75"/>
      <c r="K5" s="68">
        <f>H5-'Daily Data'!BJ110</f>
        <v>2.29E-2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2.23E-2</v>
      </c>
      <c r="C7" s="52">
        <f t="shared" ref="C7:G7" si="4">((1+$I7)^(C2/365)-1)*365/C2</f>
        <v>2.1208005585827774E-2</v>
      </c>
      <c r="D7" s="52">
        <v>2.3400000000000001E-2</v>
      </c>
      <c r="E7" s="52">
        <f t="shared" si="4"/>
        <v>2.1236365426236359E-2</v>
      </c>
      <c r="F7" s="52">
        <f t="shared" si="4"/>
        <v>2.1254888214009424E-2</v>
      </c>
      <c r="G7" s="52">
        <f t="shared" si="4"/>
        <v>2.1310585918899037E-2</v>
      </c>
      <c r="H7" s="53">
        <v>2.12E-2</v>
      </c>
      <c r="I7" s="74">
        <f t="shared" si="1"/>
        <v>2.1425687635407309E-2</v>
      </c>
      <c r="J7" s="75"/>
      <c r="K7" s="68">
        <f>H7-1.06%</f>
        <v>1.06E-2</v>
      </c>
    </row>
    <row r="8" spans="1:11" ht="23.15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Data'!H110</f>
        <v>2.2099999999999998E-2</v>
      </c>
    </row>
    <row r="9" spans="1:11" ht="23.15" customHeight="1" x14ac:dyDescent="0.5">
      <c r="A9" s="51" t="s">
        <v>61</v>
      </c>
      <c r="B9" s="56">
        <f>((1+$I9)^(B2/365)-1)*365/B2</f>
        <v>3.8612248405269937E-2</v>
      </c>
      <c r="C9" s="56">
        <f t="shared" ref="C9:G9" si="6">((1+$I9)^(C2/365)-1)*365/C2</f>
        <v>3.8626544761562069E-2</v>
      </c>
      <c r="D9" s="56">
        <f t="shared" si="6"/>
        <v>3.8659248656118694E-2</v>
      </c>
      <c r="E9" s="56">
        <f t="shared" si="6"/>
        <v>3.8720668005707982E-2</v>
      </c>
      <c r="F9" s="56">
        <f t="shared" si="6"/>
        <v>3.8782217460826149E-2</v>
      </c>
      <c r="G9" s="56">
        <f t="shared" si="6"/>
        <v>3.8967649563848281E-2</v>
      </c>
      <c r="H9" s="53">
        <v>3.8600000000000002E-2</v>
      </c>
      <c r="I9" s="74">
        <f t="shared" si="1"/>
        <v>3.9352537413389843E-2</v>
      </c>
      <c r="J9" s="75"/>
      <c r="K9" s="69"/>
    </row>
  </sheetData>
  <conditionalFormatting sqref="A1:J9">
    <cfRule type="expression" dxfId="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3.6900000000000002E-2</v>
      </c>
      <c r="D3" s="55">
        <v>3.7999999999999999E-2</v>
      </c>
      <c r="E3" s="55">
        <v>3.9E-2</v>
      </c>
      <c r="F3" s="55">
        <v>4.5400000000000003E-2</v>
      </c>
      <c r="G3" s="55">
        <v>5.45E-2</v>
      </c>
      <c r="H3" s="53">
        <v>4.0399999999999998E-2</v>
      </c>
      <c r="I3" s="74">
        <f>(1+H3/365)^365-1</f>
        <v>4.1224853939605843E-2</v>
      </c>
      <c r="J3" s="75"/>
      <c r="K3" s="68">
        <f>H3-'Daily Data'!AR111</f>
        <v>2.7099999999999999E-2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Data'!BJ111</f>
        <v>2.29E-2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2.2700000000000001E-2</v>
      </c>
      <c r="C7" s="52">
        <f t="shared" ref="C7:G7" si="4">((1+$I7)^(C2/365)-1)*365/C2</f>
        <v>2.1608310569760963E-2</v>
      </c>
      <c r="D7" s="52">
        <v>2.3800000000000002E-2</v>
      </c>
      <c r="E7" s="52">
        <f t="shared" si="4"/>
        <v>2.1637751452725933E-2</v>
      </c>
      <c r="F7" s="52">
        <f t="shared" si="4"/>
        <v>2.1656980840644872E-2</v>
      </c>
      <c r="G7" s="52">
        <f t="shared" si="4"/>
        <v>2.1714805818345999E-2</v>
      </c>
      <c r="H7" s="53">
        <v>2.1600000000000001E-2</v>
      </c>
      <c r="I7" s="74">
        <f t="shared" si="1"/>
        <v>2.1834315672647486E-2</v>
      </c>
      <c r="J7" s="75"/>
      <c r="K7" s="68">
        <f>H7-1.06%</f>
        <v>1.1000000000000001E-2</v>
      </c>
    </row>
    <row r="8" spans="1:11" ht="23.15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.15" customHeight="1" x14ac:dyDescent="0.5">
      <c r="A9" s="51" t="s">
        <v>61</v>
      </c>
      <c r="B9" s="56">
        <f>((1+$I9)^(B2/365)-1)*365/B2</f>
        <v>3.8412121796570657E-2</v>
      </c>
      <c r="C9" s="56">
        <f t="shared" ref="C9:G9" si="6">((1+$I9)^(C2/365)-1)*365/C2</f>
        <v>3.8426270341367919E-2</v>
      </c>
      <c r="D9" s="56">
        <f t="shared" si="6"/>
        <v>3.8458635971029276E-2</v>
      </c>
      <c r="E9" s="56">
        <f t="shared" si="6"/>
        <v>3.8519419533253031E-2</v>
      </c>
      <c r="F9" s="56">
        <f t="shared" si="6"/>
        <v>3.8580331186044731E-2</v>
      </c>
      <c r="G9" s="56">
        <f t="shared" si="6"/>
        <v>3.8763837728371019E-2</v>
      </c>
      <c r="H9" s="53">
        <v>3.8399999999999997E-2</v>
      </c>
      <c r="I9" s="74">
        <f t="shared" si="1"/>
        <v>3.9144709610959838E-2</v>
      </c>
      <c r="J9" s="75"/>
      <c r="K9" s="69"/>
    </row>
  </sheetData>
  <conditionalFormatting sqref="A1:J9">
    <cfRule type="expression" dxfId="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3.4500000000000003E-2</v>
      </c>
      <c r="C3" s="55">
        <v>3.6799999999999999E-2</v>
      </c>
      <c r="D3" s="55">
        <v>3.9899999999999998E-2</v>
      </c>
      <c r="E3" s="55" t="s">
        <v>69</v>
      </c>
      <c r="F3" s="55">
        <v>4.4999999999999998E-2</v>
      </c>
      <c r="G3" s="55">
        <v>5.5E-2</v>
      </c>
      <c r="H3" s="53">
        <v>3.9899999999999998E-2</v>
      </c>
      <c r="I3" s="74">
        <f>(1+H3/365)^365-1</f>
        <v>4.0704428876507048E-2</v>
      </c>
      <c r="J3" s="75"/>
      <c r="K3" s="68">
        <f>H3-'Daily Data'!AR112</f>
        <v>2.6699999999999998E-2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.15" customHeight="1" x14ac:dyDescent="0.5">
      <c r="A5" s="51" t="s">
        <v>17</v>
      </c>
      <c r="B5" s="56">
        <v>4.36E-2</v>
      </c>
      <c r="C5" s="56">
        <f t="shared" ref="C5:G5" si="2">((1+$I5)^(C2/365)-1)*365/C2</f>
        <v>3.6523734492600046E-2</v>
      </c>
      <c r="D5" s="56">
        <v>5.2299999999999999E-2</v>
      </c>
      <c r="E5" s="56">
        <f t="shared" si="2"/>
        <v>3.6607883468631482E-2</v>
      </c>
      <c r="F5" s="56">
        <f t="shared" si="2"/>
        <v>3.666290248471115E-2</v>
      </c>
      <c r="G5" s="56">
        <f t="shared" si="2"/>
        <v>3.6828621878785224E-2</v>
      </c>
      <c r="H5" s="57">
        <v>3.6499999999999998E-2</v>
      </c>
      <c r="I5" s="74">
        <f t="shared" si="1"/>
        <v>3.7172411302539565E-2</v>
      </c>
      <c r="J5" s="75"/>
      <c r="K5" s="68">
        <f>H5-'Daily Data'!BJ112</f>
        <v>2.2599999999999999E-2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2.29E-2</v>
      </c>
      <c r="C7" s="52">
        <f t="shared" ref="C7:G7" si="4">((1+$I7)^(C2/365)-1)*365/C2</f>
        <v>2.1808465200333398E-2</v>
      </c>
      <c r="D7" s="52">
        <v>2.4E-2</v>
      </c>
      <c r="E7" s="52">
        <f t="shared" si="4"/>
        <v>2.1838454197951385E-2</v>
      </c>
      <c r="F7" s="52">
        <f t="shared" si="4"/>
        <v>2.1858041860356409E-2</v>
      </c>
      <c r="G7" s="52">
        <f t="shared" si="4"/>
        <v>2.1916945503448543E-2</v>
      </c>
      <c r="H7" s="53">
        <v>2.18E-2</v>
      </c>
      <c r="I7" s="74">
        <f t="shared" si="1"/>
        <v>2.2038690822175022E-2</v>
      </c>
      <c r="J7" s="75"/>
      <c r="K7" s="68">
        <f>H7-1.01%</f>
        <v>1.17E-2</v>
      </c>
    </row>
    <row r="8" spans="1:11" ht="23.15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9"/>
    </row>
  </sheetData>
  <conditionalFormatting sqref="A1:J9">
    <cfRule type="expression" dxfId="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3.6600000000000001E-2</v>
      </c>
      <c r="I3" s="74">
        <f>(1+H3/365)^365-1</f>
        <v>3.727612334382413E-2</v>
      </c>
      <c r="J3" s="75"/>
      <c r="K3" s="68">
        <f>H3-'Daily Data'!I128</f>
        <v>-46200.963400000001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Data'!Z113</f>
        <v>1.0400000000000001E-2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Data'!BJ113</f>
        <v>2.3199999999999998E-2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2.69E-2</v>
      </c>
      <c r="C7" s="52">
        <f t="shared" ref="C7:G7" si="4">((1+$I7)^(C2/365)-1)*365/C2</f>
        <v>2.5611674069389738E-2</v>
      </c>
      <c r="D7" s="52">
        <v>2.81E-2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H7-1.06%</f>
        <v>1.5000000000000001E-2</v>
      </c>
    </row>
    <row r="8" spans="1:11" ht="23.15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Data'!H113</f>
        <v>2.0700000000000003E-2</v>
      </c>
    </row>
    <row r="9" spans="1:11" ht="23.15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32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31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3.5999999999999997E-2</v>
      </c>
      <c r="I3" s="74">
        <f>(1+H3/365)^365-1</f>
        <v>3.6654006194406952E-2</v>
      </c>
      <c r="J3" s="75"/>
      <c r="K3" s="68">
        <f>H3-'Daily Data'!BJ114</f>
        <v>2.3899999999999998E-2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Data'!Z114</f>
        <v>1.0400000000000001E-2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Data'!BJ114</f>
        <v>2.3300000000000001E-2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Data'!H114</f>
        <v>2.1200000000000004E-2</v>
      </c>
    </row>
    <row r="9" spans="1:11" ht="23.15" customHeight="1" x14ac:dyDescent="0.5">
      <c r="A9" s="51" t="s">
        <v>61</v>
      </c>
      <c r="B9" s="56">
        <f>((1+$I9)^(B2/365)-1)*365/B2</f>
        <v>3.561041835104687E-2</v>
      </c>
      <c r="C9" s="56">
        <f t="shared" ref="C9:G9" si="6">((1+$I9)^(C2/365)-1)*365/C2</f>
        <v>3.5622578232228842E-2</v>
      </c>
      <c r="D9" s="56">
        <f t="shared" si="6"/>
        <v>3.5650393040337715E-2</v>
      </c>
      <c r="E9" s="56">
        <f t="shared" si="6"/>
        <v>3.5702623883787733E-2</v>
      </c>
      <c r="F9" s="56">
        <f t="shared" si="6"/>
        <v>3.5754956757379511E-2</v>
      </c>
      <c r="G9" s="56">
        <f t="shared" si="6"/>
        <v>3.5912569803879281E-2</v>
      </c>
      <c r="H9" s="53">
        <v>3.56E-2</v>
      </c>
      <c r="I9" s="74">
        <f t="shared" si="1"/>
        <v>3.623946816391288E-2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30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29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3.5099999999999999E-2</v>
      </c>
      <c r="I3" s="74">
        <f>(1+H3/365)^365-1</f>
        <v>3.5721528087785392E-2</v>
      </c>
      <c r="J3" s="75"/>
      <c r="K3" s="68">
        <f>H3-'Daily Data'!AR115</f>
        <v>2.3199999999999998E-2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Data'!Z115</f>
        <v>1.0700000000000001E-2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3.4721450854841733E-2</v>
      </c>
      <c r="D5" s="56">
        <v>5.0299999999999997E-2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7">
        <v>3.4700000000000002E-2</v>
      </c>
      <c r="I5" s="74">
        <f t="shared" si="1"/>
        <v>3.5307361916328883E-2</v>
      </c>
      <c r="J5" s="75"/>
      <c r="K5" s="68">
        <f>H5-'Daily Data'!BJ115</f>
        <v>2.2200000000000001E-2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Data'!H115</f>
        <v>2.1200000000000004E-2</v>
      </c>
    </row>
    <row r="9" spans="1:11" ht="23.15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3.5000000000000003E-2</v>
      </c>
      <c r="D3" s="55">
        <v>3.9E-2</v>
      </c>
      <c r="E3" s="55">
        <v>0.04</v>
      </c>
      <c r="F3" s="55">
        <v>4.7300000000000002E-2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Data'!AR116</f>
        <v>2.4499999999999997E-2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Data'!Z116</f>
        <v>1.0000000000000002E-2</v>
      </c>
    </row>
    <row r="5" spans="1:11" ht="23.15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3.4120715315691226E-2</v>
      </c>
      <c r="D5" s="56">
        <v>4.9000000000000002E-2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7">
        <v>3.4099999999999998E-2</v>
      </c>
      <c r="I5" s="74">
        <f t="shared" si="1"/>
        <v>3.4686422321102972E-2</v>
      </c>
      <c r="J5" s="75"/>
      <c r="K5" s="68">
        <f>H5-'Daily Data'!BJ116</f>
        <v>2.2199999999999998E-2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2.4199999999999999E-2</v>
      </c>
      <c r="C7" s="52">
        <f t="shared" ref="C7:G7" si="4">((1+$I7)^(C2/365)-1)*365/C2</f>
        <v>2.3109505049901946E-2</v>
      </c>
      <c r="D7" s="52">
        <v>2.5399999999999999E-2</v>
      </c>
      <c r="E7" s="52">
        <f t="shared" si="4"/>
        <v>2.3143180200244085E-2</v>
      </c>
      <c r="F7" s="52">
        <f t="shared" si="4"/>
        <v>2.3165177501613794E-2</v>
      </c>
      <c r="G7" s="52">
        <f t="shared" si="4"/>
        <v>2.3231336803506069E-2</v>
      </c>
      <c r="H7" s="53">
        <v>2.3099999999999999E-2</v>
      </c>
      <c r="I7" s="74">
        <f t="shared" si="1"/>
        <v>2.3368123294949417E-2</v>
      </c>
      <c r="J7" s="75"/>
      <c r="K7" s="68">
        <f>H7-1.06%</f>
        <v>1.2499999999999999E-2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Data'!H116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3.5010070102444092E-2</v>
      </c>
      <c r="C9" s="56">
        <f t="shared" ref="C9:G9" si="6">((1+$I9)^(C2/365)-1)*365/C2</f>
        <v>3.5021823438143466E-2</v>
      </c>
      <c r="D9" s="56">
        <f t="shared" si="6"/>
        <v>3.5048707965300539E-2</v>
      </c>
      <c r="E9" s="56">
        <f t="shared" si="6"/>
        <v>3.5099190647355928E-2</v>
      </c>
      <c r="F9" s="56">
        <f t="shared" si="6"/>
        <v>3.5149770280249383E-2</v>
      </c>
      <c r="G9" s="56">
        <f t="shared" si="6"/>
        <v>3.5302092981027482E-2</v>
      </c>
      <c r="H9" s="53">
        <v>3.5000000000000003E-2</v>
      </c>
      <c r="I9" s="74">
        <f t="shared" si="1"/>
        <v>3.5617971057199993E-2</v>
      </c>
      <c r="J9" s="75"/>
      <c r="K9" s="68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2.8500000000000001E-2</v>
      </c>
      <c r="C3" s="55">
        <v>3.5000000000000003E-2</v>
      </c>
      <c r="D3" s="55">
        <v>3.7999999999999999E-2</v>
      </c>
      <c r="E3" s="55">
        <v>5.7200000000000001E-2</v>
      </c>
      <c r="F3" s="55">
        <v>4.8000000000000001E-2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Data'!AR117</f>
        <v>2.4999999999999994E-2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Data'!Z117</f>
        <v>9.8000000000000014E-3</v>
      </c>
    </row>
    <row r="5" spans="1:11" ht="23.15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3.4320959069194204E-2</v>
      </c>
      <c r="D5" s="56">
        <v>4.9399999999999999E-2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7">
        <v>3.4299999999999997E-2</v>
      </c>
      <c r="I5" s="74">
        <f t="shared" si="1"/>
        <v>3.4893360908936799E-2</v>
      </c>
      <c r="J5" s="75"/>
      <c r="K5" s="68">
        <f>H5-'Daily Data'!BJ117</f>
        <v>2.1899999999999996E-2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2.52E-2</v>
      </c>
      <c r="C7" s="52">
        <f t="shared" ref="C7:G7" si="4">((1+$I7)^(C2/365)-1)*365/C2</f>
        <v>2.4010260232618413E-2</v>
      </c>
      <c r="D7" s="52">
        <v>2.6200000000000001E-2</v>
      </c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H7-1.06%</f>
        <v>1.34E-2</v>
      </c>
    </row>
    <row r="8" spans="1:11" ht="23.15" customHeight="1" x14ac:dyDescent="0.4">
      <c r="A8" s="51" t="s">
        <v>62</v>
      </c>
      <c r="B8" s="52">
        <f>((1+$I8)^(B2/365)-1)*365/B2</f>
        <v>3.3309115550375711E-2</v>
      </c>
      <c r="C8" s="52">
        <f t="shared" ref="C8:G8" si="5">((1+$I8)^(C2/365)-1)*365/C2</f>
        <v>3.3319754564417998E-2</v>
      </c>
      <c r="D8" s="52">
        <f t="shared" si="5"/>
        <v>3.3344089328047145E-2</v>
      </c>
      <c r="E8" s="52">
        <f t="shared" si="5"/>
        <v>3.3389780901737866E-2</v>
      </c>
      <c r="F8" s="52">
        <f t="shared" si="5"/>
        <v>3.3435555957286103E-2</v>
      </c>
      <c r="G8" s="52">
        <f t="shared" si="5"/>
        <v>3.3573383732896381E-2</v>
      </c>
      <c r="H8" s="53">
        <v>3.3300000000000003E-2</v>
      </c>
      <c r="I8" s="74">
        <f t="shared" si="1"/>
        <v>3.3859080551566834E-2</v>
      </c>
      <c r="J8" s="75"/>
      <c r="K8" s="68">
        <f>H8-'Daily Data'!H117</f>
        <v>2.1500000000000005E-2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3.1E-2</v>
      </c>
      <c r="C3" s="55">
        <v>0.04</v>
      </c>
      <c r="D3" s="55">
        <v>3.6999999999999998E-2</v>
      </c>
      <c r="E3" s="55">
        <v>5.7000000000000002E-2</v>
      </c>
      <c r="F3" s="55">
        <v>4.8000000000000001E-2</v>
      </c>
      <c r="G3" s="55">
        <v>5.79E-2</v>
      </c>
      <c r="H3" s="53">
        <v>3.6400000000000002E-2</v>
      </c>
      <c r="I3" s="74">
        <f>(1+H3/365)^365-1</f>
        <v>3.7068709602530836E-2</v>
      </c>
      <c r="J3" s="75"/>
      <c r="K3" s="68">
        <f>H3-'Daily Data'!AR118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Data'!Z118</f>
        <v>9.700000000000002E-3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3.4020593973874136E-2</v>
      </c>
      <c r="D5" s="56">
        <v>4.82E-2</v>
      </c>
      <c r="E5" s="56">
        <f t="shared" si="2"/>
        <v>3.4093598620163604E-2</v>
      </c>
      <c r="F5" s="56">
        <f t="shared" si="2"/>
        <v>3.4141322866853417E-2</v>
      </c>
      <c r="G5" s="56">
        <f t="shared" si="2"/>
        <v>3.4285030666084418E-2</v>
      </c>
      <c r="H5" s="57">
        <v>3.4000000000000002E-2</v>
      </c>
      <c r="I5" s="74">
        <f t="shared" si="1"/>
        <v>3.4582968502674616E-2</v>
      </c>
      <c r="J5" s="75"/>
      <c r="K5" s="68">
        <f>H5-'Daily Data'!BJ118</f>
        <v>2.1200000000000004E-2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2.6100000000000002E-2</v>
      </c>
      <c r="C7" s="52">
        <f t="shared" ref="C7:G7" si="4">((1+$I7)^(C2/365)-1)*365/C2</f>
        <v>2.4911044287406679E-2</v>
      </c>
      <c r="D7" s="52">
        <v>2.7400000000000001E-2</v>
      </c>
      <c r="E7" s="52">
        <f t="shared" si="4"/>
        <v>2.4950176552328323E-2</v>
      </c>
      <c r="F7" s="52">
        <f t="shared" si="4"/>
        <v>2.4975741748298013E-2</v>
      </c>
      <c r="G7" s="52">
        <f t="shared" si="4"/>
        <v>2.5052647078200485E-2</v>
      </c>
      <c r="H7" s="53">
        <v>2.4899999999999999E-2</v>
      </c>
      <c r="I7" s="74">
        <f t="shared" si="1"/>
        <v>2.5211723436161959E-2</v>
      </c>
      <c r="J7" s="75"/>
      <c r="K7" s="68">
        <f>H7-1.06%</f>
        <v>1.4299999999999998E-2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Data'!H118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3.4609841225906601E-2</v>
      </c>
      <c r="C9" s="56">
        <f t="shared" ref="C9:G9" si="6">((1+$I9)^(C2/365)-1)*365/C2</f>
        <v>3.4621327373535973E-2</v>
      </c>
      <c r="D9" s="56">
        <f t="shared" si="6"/>
        <v>3.464760051509911E-2</v>
      </c>
      <c r="E9" s="56">
        <f t="shared" si="6"/>
        <v>3.4696934332418397E-2</v>
      </c>
      <c r="F9" s="56">
        <f t="shared" si="6"/>
        <v>3.4746361809923854E-2</v>
      </c>
      <c r="G9" s="56">
        <f t="shared" si="6"/>
        <v>3.4895208206242749E-2</v>
      </c>
      <c r="H9" s="53">
        <v>3.4599999999999999E-2</v>
      </c>
      <c r="I9" s="74">
        <f t="shared" si="1"/>
        <v>3.5203846182888965E-2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4.4499999999999998E-2</v>
      </c>
      <c r="D3" s="55">
        <v>0.04</v>
      </c>
      <c r="E3" s="55">
        <v>6.3E-2</v>
      </c>
      <c r="F3" s="55">
        <v>4.8000000000000001E-2</v>
      </c>
      <c r="G3" s="55">
        <v>5.8999999999999997E-2</v>
      </c>
      <c r="H3" s="53">
        <v>3.5099999999999999E-2</v>
      </c>
      <c r="I3" s="74">
        <f>(1+H3/365)^365-1</f>
        <v>3.5721528087785392E-2</v>
      </c>
      <c r="J3" s="75"/>
      <c r="K3" s="68">
        <f>'Daily Data'!AR119</f>
        <v>1.18E-2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Data'!Z119</f>
        <v>9.5000000000000015E-3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3.3019400165881306E-2</v>
      </c>
      <c r="D5" s="56">
        <v>4.7399999999999998E-2</v>
      </c>
      <c r="E5" s="56">
        <f t="shared" si="2"/>
        <v>3.3088169112457676E-2</v>
      </c>
      <c r="F5" s="56">
        <f t="shared" si="2"/>
        <v>3.3133121295987555E-2</v>
      </c>
      <c r="G5" s="56">
        <f t="shared" si="2"/>
        <v>3.3268466960937645E-2</v>
      </c>
      <c r="H5" s="57">
        <v>3.3000000000000002E-2</v>
      </c>
      <c r="I5" s="74">
        <f t="shared" si="1"/>
        <v>3.3548997504548206E-2</v>
      </c>
      <c r="J5" s="75"/>
      <c r="K5" s="68">
        <f>H5-'Daily Data'!AR119</f>
        <v>2.1200000000000004E-2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2.6200000000000001E-2</v>
      </c>
      <c r="C7" s="52">
        <f t="shared" ref="C7:G7" si="4">((1+$I7)^(C2/365)-1)*365/C2</f>
        <v>2.4911044287406679E-2</v>
      </c>
      <c r="D7" s="52">
        <v>2.7400000000000001E-2</v>
      </c>
      <c r="E7" s="52">
        <f t="shared" si="4"/>
        <v>2.4950176552328323E-2</v>
      </c>
      <c r="F7" s="52">
        <f t="shared" si="4"/>
        <v>2.4975741748298013E-2</v>
      </c>
      <c r="G7" s="52">
        <f t="shared" si="4"/>
        <v>2.5052647078200485E-2</v>
      </c>
      <c r="H7" s="53">
        <v>2.4899999999999999E-2</v>
      </c>
      <c r="I7" s="74">
        <f t="shared" si="1"/>
        <v>2.5211723436161959E-2</v>
      </c>
      <c r="J7" s="75"/>
      <c r="K7" s="68">
        <f>H7-1.06%</f>
        <v>1.4299999999999998E-2</v>
      </c>
    </row>
    <row r="8" spans="1:11" ht="23.15" customHeight="1" x14ac:dyDescent="0.4">
      <c r="A8" s="51" t="s">
        <v>62</v>
      </c>
      <c r="B8" s="52">
        <f>((1+$I8)^(B2/365)-1)*365/B2</f>
        <v>3.1708260565512791E-2</v>
      </c>
      <c r="C8" s="52">
        <f t="shared" ref="C8:G8" si="5">((1+$I8)^(C2/365)-1)*365/C2</f>
        <v>3.1717901519644563E-2</v>
      </c>
      <c r="D8" s="52">
        <f t="shared" si="5"/>
        <v>3.1739952665787552E-2</v>
      </c>
      <c r="E8" s="52">
        <f t="shared" si="5"/>
        <v>3.1781353676550363E-2</v>
      </c>
      <c r="F8" s="52">
        <f t="shared" si="5"/>
        <v>3.1822826690937146E-2</v>
      </c>
      <c r="G8" s="52">
        <f t="shared" si="5"/>
        <v>3.1947679166106885E-2</v>
      </c>
      <c r="H8" s="53">
        <v>3.1699999999999999E-2</v>
      </c>
      <c r="I8" s="74">
        <f t="shared" si="1"/>
        <v>3.2206375697757972E-2</v>
      </c>
      <c r="J8" s="75"/>
      <c r="K8" s="68">
        <f>H8-'Daily Data'!H119</f>
        <v>2.0999999999999998E-2</v>
      </c>
    </row>
    <row r="9" spans="1:11" ht="23.15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D95F-B0E2-44B2-9175-C61B43511E2A}">
  <dimension ref="A1:K10"/>
  <sheetViews>
    <sheetView zoomScale="50" zoomScaleNormal="50" workbookViewId="0">
      <selection activeCell="L9" sqref="L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H3-'Daily Data'!AR122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Data'!Z120</f>
        <v>9.8000000000000014E-3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3.131745252004222E-2</v>
      </c>
      <c r="D5" s="56">
        <v>4.7399999999999998E-2</v>
      </c>
      <c r="E5" s="56">
        <f t="shared" si="2"/>
        <v>3.137931185839702E-2</v>
      </c>
      <c r="F5" s="56">
        <f t="shared" si="2"/>
        <v>3.1419742666299495E-2</v>
      </c>
      <c r="G5" s="56">
        <f t="shared" si="2"/>
        <v>3.1541452283600606E-2</v>
      </c>
      <c r="H5" s="57">
        <v>3.1300000000000001E-2</v>
      </c>
      <c r="I5" s="74">
        <f t="shared" si="1"/>
        <v>3.1793611327958216E-2</v>
      </c>
      <c r="J5" s="75"/>
      <c r="K5" s="68">
        <f>H5-'Daily Data'!BJ120</f>
        <v>1.6800000000000002E-2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3.1508156652631909E-2</v>
      </c>
      <c r="C8" s="52">
        <f t="shared" ref="C8:G8" si="5">((1+$I8)^(C2/365)-1)*365/C2</f>
        <v>3.1517676306815581E-2</v>
      </c>
      <c r="D8" s="52">
        <f t="shared" si="5"/>
        <v>3.1539449919734897E-2</v>
      </c>
      <c r="E8" s="52">
        <f t="shared" si="5"/>
        <v>3.1580329518414073E-2</v>
      </c>
      <c r="F8" s="52">
        <f t="shared" si="5"/>
        <v>3.1621279764769708E-2</v>
      </c>
      <c r="G8" s="52">
        <f t="shared" si="5"/>
        <v>3.1744555764847346E-2</v>
      </c>
      <c r="H8" s="53">
        <v>3.15E-2</v>
      </c>
      <c r="I8" s="74">
        <f t="shared" si="1"/>
        <v>3.1999972932999388E-2</v>
      </c>
      <c r="J8" s="75"/>
      <c r="K8" s="68">
        <f>H8-'Daily Data'!H120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3.2408629440969942E-2</v>
      </c>
      <c r="C9" s="56">
        <f t="shared" ref="C9:G9" si="6">((1+$I9)^(C2/365)-1)*365/C2</f>
        <v>3.2418700995537265E-2</v>
      </c>
      <c r="D9" s="56">
        <f t="shared" si="6"/>
        <v>3.2441737365686896E-2</v>
      </c>
      <c r="E9" s="56">
        <f t="shared" si="6"/>
        <v>3.2484989406369791E-2</v>
      </c>
      <c r="F9" s="56">
        <f t="shared" si="6"/>
        <v>3.2528318333154047E-2</v>
      </c>
      <c r="G9" s="56">
        <f t="shared" si="6"/>
        <v>3.2658767969349564E-2</v>
      </c>
      <c r="H9" s="53">
        <v>3.2399999999999998E-2</v>
      </c>
      <c r="I9" s="74">
        <f t="shared" si="1"/>
        <v>3.2929109626098185E-2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C863-3F20-4192-8579-45803A1F0F73}">
  <dimension ref="A1:K10"/>
  <sheetViews>
    <sheetView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B3-'Daily Data'!AR121</f>
        <v>2.0700000000000003E-2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Data'!Z121</f>
        <v>9.8000000000000014E-3</v>
      </c>
    </row>
    <row r="5" spans="1:11" ht="23.15" customHeight="1" x14ac:dyDescent="0.5">
      <c r="A5" s="51" t="s">
        <v>17</v>
      </c>
      <c r="B5" s="56">
        <v>5.9299999999999999E-2</v>
      </c>
      <c r="C5" s="56">
        <f t="shared" ref="C5:G5" si="2">((1+$I5)^(C2/365)-1)*365/C2</f>
        <v>4.1730980689982856E-2</v>
      </c>
      <c r="D5" s="56">
        <v>7.1099999999999997E-2</v>
      </c>
      <c r="E5" s="56">
        <f t="shared" si="2"/>
        <v>4.1840851351749211E-2</v>
      </c>
      <c r="F5" s="56">
        <f t="shared" si="2"/>
        <v>4.1912713893351702E-2</v>
      </c>
      <c r="G5" s="56">
        <f t="shared" si="2"/>
        <v>4.2129290335449224E-2</v>
      </c>
      <c r="H5" s="57">
        <v>4.1700000000000001E-2</v>
      </c>
      <c r="I5" s="74">
        <f t="shared" si="1"/>
        <v>4.2579174052441493E-2</v>
      </c>
      <c r="J5" s="75"/>
      <c r="K5" s="68">
        <f>H5-'Daily Data'!BJ121</f>
        <v>2.1600000000000001E-2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3.1808312768565487E-2</v>
      </c>
      <c r="C8" s="52">
        <f t="shared" ref="C8:G8" si="5">((1+$I8)^(C2/365)-1)*365/C2</f>
        <v>3.1818014660799525E-2</v>
      </c>
      <c r="D8" s="52">
        <f t="shared" si="5"/>
        <v>3.1840205233434705E-2</v>
      </c>
      <c r="E8" s="52">
        <f t="shared" si="5"/>
        <v>3.1881868192445817E-2</v>
      </c>
      <c r="F8" s="52">
        <f t="shared" si="5"/>
        <v>3.1923603839523036E-2</v>
      </c>
      <c r="G8" s="52">
        <f t="shared" si="5"/>
        <v>3.2049248337316039E-2</v>
      </c>
      <c r="H8" s="53">
        <v>3.1800000000000002E-2</v>
      </c>
      <c r="I8" s="74">
        <f t="shared" si="1"/>
        <v>3.230959251755694E-2</v>
      </c>
      <c r="J8" s="75"/>
      <c r="K8" s="68">
        <f>H8-'Daily Data'!H121</f>
        <v>2.1600000000000001E-2</v>
      </c>
    </row>
    <row r="9" spans="1:11" ht="23.15" customHeight="1" x14ac:dyDescent="0.5">
      <c r="A9" s="51" t="s">
        <v>61</v>
      </c>
      <c r="B9" s="56">
        <f>((1+$I9)^(B2/365)-1)*365/B2</f>
        <v>3.280884384506149E-2</v>
      </c>
      <c r="C9" s="56">
        <f t="shared" ref="C9:G9" si="6">((1+$I9)^(C2/365)-1)*365/C2</f>
        <v>3.2819165682932416E-2</v>
      </c>
      <c r="D9" s="56">
        <f t="shared" si="6"/>
        <v>3.2842774717098698E-2</v>
      </c>
      <c r="E9" s="56">
        <f t="shared" si="6"/>
        <v>3.2887102710980422E-2</v>
      </c>
      <c r="F9" s="56">
        <f t="shared" si="6"/>
        <v>3.2931510477701459E-2</v>
      </c>
      <c r="G9" s="56">
        <f t="shared" si="6"/>
        <v>3.306521403168864E-2</v>
      </c>
      <c r="H9" s="53">
        <v>3.2800000000000003E-2</v>
      </c>
      <c r="I9" s="74">
        <f t="shared" si="1"/>
        <v>3.334232700144435E-2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DA39-0718-4225-8C63-2A835A7D0AB1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H3-'Daily Data'!AR122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Data'!Z122</f>
        <v>1.0400000000000001E-2</v>
      </c>
    </row>
    <row r="5" spans="1:11" ht="23.15" customHeight="1" x14ac:dyDescent="0.5">
      <c r="A5" s="51" t="s">
        <v>17</v>
      </c>
      <c r="B5" s="56">
        <v>5.9299999999999999E-2</v>
      </c>
      <c r="C5" s="56">
        <f t="shared" ref="C5:G5" si="2">((1+$I5)^(C2/365)-1)*365/C2</f>
        <v>4.9543658268123091E-2</v>
      </c>
      <c r="D5" s="56">
        <v>7.1099999999999997E-2</v>
      </c>
      <c r="E5" s="56">
        <f t="shared" si="2"/>
        <v>4.9698554137662457E-2</v>
      </c>
      <c r="F5" s="56">
        <f t="shared" si="2"/>
        <v>4.9799920991994019E-2</v>
      </c>
      <c r="G5" s="56">
        <f t="shared" si="2"/>
        <v>5.0105678377983978E-2</v>
      </c>
      <c r="H5" s="57">
        <v>4.9500000000000002E-2</v>
      </c>
      <c r="I5" s="74">
        <f t="shared" si="1"/>
        <v>5.0742065704776351E-2</v>
      </c>
      <c r="J5" s="75"/>
      <c r="K5" s="68">
        <f>H5-'Daily Data'!BJ122</f>
        <v>2.8000000000000004E-2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3.1808312768565487E-2</v>
      </c>
      <c r="C8" s="52">
        <f t="shared" ref="C8:G8" si="5">((1+$I8)^(C2/365)-1)*365/C2</f>
        <v>3.1818014660799525E-2</v>
      </c>
      <c r="D8" s="52">
        <f t="shared" si="5"/>
        <v>3.1840205233434705E-2</v>
      </c>
      <c r="E8" s="52">
        <f t="shared" si="5"/>
        <v>3.1881868192445817E-2</v>
      </c>
      <c r="F8" s="52">
        <f t="shared" si="5"/>
        <v>3.1923603839523036E-2</v>
      </c>
      <c r="G8" s="52">
        <f t="shared" si="5"/>
        <v>3.2049248337316039E-2</v>
      </c>
      <c r="H8" s="53">
        <v>3.1800000000000002E-2</v>
      </c>
      <c r="I8" s="74">
        <f t="shared" si="1"/>
        <v>3.230959251755694E-2</v>
      </c>
      <c r="J8" s="75"/>
      <c r="K8" s="68">
        <f>H8-'Daily Data'!H122</f>
        <v>2.1000000000000001E-2</v>
      </c>
    </row>
    <row r="9" spans="1:11" ht="23.15" customHeight="1" x14ac:dyDescent="0.5">
      <c r="A9" s="51" t="s">
        <v>61</v>
      </c>
      <c r="B9" s="56">
        <f>((1+$I9)^(B2/365)-1)*365/B2</f>
        <v>3.2508682795319786E-2</v>
      </c>
      <c r="C9" s="56">
        <f t="shared" ref="C9:G9" si="6">((1+$I9)^(C2/365)-1)*365/C2</f>
        <v>3.2518816632587697E-2</v>
      </c>
      <c r="D9" s="56">
        <f t="shared" si="6"/>
        <v>3.2541995508796773E-2</v>
      </c>
      <c r="E9" s="56">
        <f t="shared" si="6"/>
        <v>3.2585515295304769E-2</v>
      </c>
      <c r="F9" s="56">
        <f t="shared" si="6"/>
        <v>3.2629112682946743E-2</v>
      </c>
      <c r="G9" s="56">
        <f t="shared" si="6"/>
        <v>3.2760372011032608E-2</v>
      </c>
      <c r="H9" s="53">
        <v>3.2500000000000001E-2</v>
      </c>
      <c r="I9" s="74">
        <f t="shared" si="1"/>
        <v>3.303239851864892E-2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3BF31-FC91-4307-B478-C65C9AA5E15A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3.9899999999999998E-2</v>
      </c>
      <c r="D3" s="55">
        <v>3.1E-2</v>
      </c>
      <c r="E3" s="55">
        <v>6.0999999999999999E-2</v>
      </c>
      <c r="F3" s="55">
        <v>4.9000000000000002E-2</v>
      </c>
      <c r="G3" s="55">
        <v>5.9900000000000002E-2</v>
      </c>
      <c r="H3" s="53">
        <v>3.6299999999999999E-2</v>
      </c>
      <c r="I3" s="74">
        <f>(1+H3/365)^365-1</f>
        <v>3.6965018242766767E-2</v>
      </c>
      <c r="J3" s="75"/>
      <c r="K3" s="68">
        <f>H3-'Daily Data'!AR123</f>
        <v>2.3799999999999998E-2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Data'!Z123</f>
        <v>9.6000000000000009E-3</v>
      </c>
    </row>
    <row r="5" spans="1:11" ht="23.15" customHeight="1" x14ac:dyDescent="0.5">
      <c r="A5" s="51" t="s">
        <v>17</v>
      </c>
      <c r="B5" s="56">
        <v>6.3299999999999995E-2</v>
      </c>
      <c r="C5" s="56">
        <f t="shared" ref="C5:G5" si="2">((1+$I5)^(C2/365)-1)*365/C2</f>
        <v>5.2849675204099188E-2</v>
      </c>
      <c r="D5" s="56">
        <v>7.5899999999999995E-2</v>
      </c>
      <c r="E5" s="56">
        <f t="shared" si="2"/>
        <v>5.3025950027636201E-2</v>
      </c>
      <c r="F5" s="56">
        <f t="shared" si="2"/>
        <v>5.3141334131244666E-2</v>
      </c>
      <c r="G5" s="56">
        <f t="shared" si="2"/>
        <v>5.3489498686576945E-2</v>
      </c>
      <c r="H5" s="57">
        <v>5.28E-2</v>
      </c>
      <c r="I5" s="74">
        <f t="shared" si="1"/>
        <v>5.4214754655201425E-2</v>
      </c>
      <c r="J5" s="75"/>
      <c r="K5" s="68">
        <f>H5-'Daily Data'!BJ123</f>
        <v>3.09E-2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Data'!H123</f>
        <v>2.1500000000000002E-2</v>
      </c>
    </row>
    <row r="9" spans="1:11" ht="23.15" customHeight="1" x14ac:dyDescent="0.5">
      <c r="A9" s="51" t="s">
        <v>61</v>
      </c>
      <c r="B9" s="56">
        <f>((1+I9)^(B2/365)-1)*365/B2</f>
        <v>3.4539801443087867E-2</v>
      </c>
      <c r="C9" s="56">
        <f t="shared" ref="C9:G9" si="6">((1+J9)^(C2/365)-1)*365/C2</f>
        <v>0</v>
      </c>
      <c r="D9" s="56">
        <f t="shared" si="6"/>
        <v>0</v>
      </c>
      <c r="E9" s="56">
        <f t="shared" si="6"/>
        <v>0</v>
      </c>
      <c r="F9" s="56">
        <f t="shared" si="6"/>
        <v>0</v>
      </c>
      <c r="G9" s="56">
        <f t="shared" si="6"/>
        <v>0</v>
      </c>
      <c r="H9" s="53">
        <v>3.4529999999999998E-2</v>
      </c>
      <c r="I9" s="74">
        <f t="shared" si="1"/>
        <v>3.5131391311001847E-2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475D-3D91-4BE4-AFDC-57AB25AA29C4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3.7999999999999999E-2</v>
      </c>
      <c r="E3" s="55">
        <v>5.9700000000000003E-2</v>
      </c>
      <c r="F3" s="55">
        <v>4.9000000000000002E-2</v>
      </c>
      <c r="G3" s="55">
        <v>5.6899999999999999E-2</v>
      </c>
      <c r="H3" s="53">
        <v>3.6799999999999999E-2</v>
      </c>
      <c r="I3" s="74">
        <f>(1+H3/365)^365-1</f>
        <v>3.7483578454069244E-2</v>
      </c>
      <c r="J3" s="75"/>
      <c r="K3" s="68">
        <f>H3-'Daily Data'!AR124</f>
        <v>2.4399999999999998E-2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Data'!Z124</f>
        <v>9.5000000000000015E-3</v>
      </c>
    </row>
    <row r="5" spans="1:11" ht="23.15" customHeight="1" x14ac:dyDescent="0.5">
      <c r="A5" s="51" t="s">
        <v>17</v>
      </c>
      <c r="B5" s="56">
        <v>6.3799999999999996E-2</v>
      </c>
      <c r="C5" s="56">
        <f t="shared" ref="C5:G5" si="2">((1+$I5)^(C2/365)-1)*365/C2</f>
        <v>5.3250430930830629E-2</v>
      </c>
      <c r="D5" s="56">
        <v>7.6600000000000001E-2</v>
      </c>
      <c r="E5" s="56">
        <f t="shared" si="2"/>
        <v>5.3429391347276901E-2</v>
      </c>
      <c r="F5" s="56">
        <f t="shared" si="2"/>
        <v>5.3546536612990449E-2</v>
      </c>
      <c r="G5" s="56">
        <f t="shared" si="2"/>
        <v>5.3900030917774011E-2</v>
      </c>
      <c r="H5" s="57">
        <v>5.3199999999999997E-2</v>
      </c>
      <c r="I5" s="74">
        <f t="shared" si="1"/>
        <v>5.4636463658827239E-2</v>
      </c>
      <c r="J5" s="75"/>
      <c r="K5" s="68">
        <f>H5-'Daily Data'!BJ124</f>
        <v>3.1199999999999999E-2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2.7E-2</v>
      </c>
      <c r="C7" s="52">
        <f t="shared" ref="C7:G7" si="4">((1+$I7)^(C2/365)-1)*365/C2</f>
        <v>2.5811857215221928E-2</v>
      </c>
      <c r="D7" s="52">
        <v>2.8299999999999999E-2</v>
      </c>
      <c r="E7" s="52">
        <f t="shared" si="4"/>
        <v>2.5853871894912912E-2</v>
      </c>
      <c r="F7" s="52">
        <f t="shared" si="4"/>
        <v>2.5881321894265188E-2</v>
      </c>
      <c r="G7" s="52">
        <f t="shared" si="4"/>
        <v>2.5963905256004081E-2</v>
      </c>
      <c r="H7" s="53">
        <v>2.58E-2</v>
      </c>
      <c r="I7" s="74">
        <f t="shared" si="1"/>
        <v>2.6134765186633047E-2</v>
      </c>
      <c r="J7" s="75"/>
      <c r="K7" s="68">
        <f>H7-1.06%</f>
        <v>1.52E-2</v>
      </c>
    </row>
    <row r="8" spans="1:11" ht="23.15" customHeight="1" x14ac:dyDescent="0.4">
      <c r="A8" s="51" t="s">
        <v>62</v>
      </c>
      <c r="B8" s="52">
        <f>((1+$I8)^(B2/365)-1)*365/B2</f>
        <v>3.2708789997348199E-2</v>
      </c>
      <c r="C8" s="52">
        <f t="shared" ref="C8:G8" si="5">((1+$I8)^(C2/365)-1)*365/C2</f>
        <v>3.2719048976256326E-2</v>
      </c>
      <c r="D8" s="52">
        <f t="shared" si="5"/>
        <v>3.2742514184474304E-2</v>
      </c>
      <c r="E8" s="52">
        <f t="shared" si="5"/>
        <v>3.2786571947560107E-2</v>
      </c>
      <c r="F8" s="52">
        <f t="shared" si="5"/>
        <v>3.2830708755136703E-2</v>
      </c>
      <c r="G8" s="52">
        <f t="shared" si="5"/>
        <v>3.2963595041935363E-2</v>
      </c>
      <c r="H8" s="53">
        <v>3.27E-2</v>
      </c>
      <c r="I8" s="74">
        <f t="shared" si="1"/>
        <v>3.3239007205273285E-2</v>
      </c>
      <c r="J8" s="75"/>
      <c r="K8" s="68">
        <f>H8-'Daily Data'!H124</f>
        <v>2.1299999999999999E-2</v>
      </c>
    </row>
    <row r="9" spans="1:11" ht="23.15" customHeight="1" x14ac:dyDescent="0.5">
      <c r="A9" s="51" t="s">
        <v>61</v>
      </c>
      <c r="B9" s="56">
        <f>((1+I9)^(B2/365)-1)*365/B2</f>
        <v>3.4509784417989478E-2</v>
      </c>
      <c r="C9" s="56">
        <f t="shared" ref="C9:G9" si="6">((1+J9)^(C2/365)-1)*365/C2</f>
        <v>0</v>
      </c>
      <c r="D9" s="56">
        <f t="shared" si="6"/>
        <v>0</v>
      </c>
      <c r="E9" s="56">
        <f t="shared" si="6"/>
        <v>0</v>
      </c>
      <c r="F9" s="56">
        <f t="shared" si="6"/>
        <v>0</v>
      </c>
      <c r="G9" s="56">
        <f t="shared" si="6"/>
        <v>0</v>
      </c>
      <c r="H9" s="53">
        <v>3.4500000000000003E-2</v>
      </c>
      <c r="I9" s="74">
        <f t="shared" si="1"/>
        <v>3.5100340771234473E-2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804AF-E771-40A8-8D56-C7EA9D11E4A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0.04</v>
      </c>
      <c r="D3" s="55">
        <v>4.5999999999999999E-2</v>
      </c>
      <c r="E3" s="55">
        <v>5.96E-2</v>
      </c>
      <c r="F3" s="55">
        <v>4.9000000000000002E-2</v>
      </c>
      <c r="G3" s="55">
        <v>5.96E-2</v>
      </c>
      <c r="H3" s="53">
        <v>3.61E-2</v>
      </c>
      <c r="I3" s="74">
        <f>(1+H3/365)^365-1</f>
        <v>3.6757666539783518E-2</v>
      </c>
      <c r="J3" s="75"/>
      <c r="K3" s="68">
        <f>H3-'Daily Data'!AR125</f>
        <v>2.4199999999999999E-2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Data'!Z125</f>
        <v>9.3000000000000027E-3</v>
      </c>
    </row>
    <row r="5" spans="1:11" ht="23.15" customHeight="1" x14ac:dyDescent="0.5">
      <c r="A5" s="51" t="s">
        <v>17</v>
      </c>
      <c r="B5" s="56">
        <v>6.3200000000000006E-2</v>
      </c>
      <c r="C5" s="56">
        <f t="shared" ref="C5:G5" si="2">((1+$I5)^(C2/365)-1)*365/C2</f>
        <v>5.2749487164463801E-2</v>
      </c>
      <c r="D5" s="56">
        <v>7.5800000000000006E-2</v>
      </c>
      <c r="E5" s="56">
        <f t="shared" si="2"/>
        <v>5.2925093773015672E-2</v>
      </c>
      <c r="F5" s="56">
        <f t="shared" si="2"/>
        <v>5.3040039685020607E-2</v>
      </c>
      <c r="G5" s="56">
        <f t="shared" si="2"/>
        <v>5.3386878209514509E-2</v>
      </c>
      <c r="H5" s="57">
        <v>5.2699999999999997E-2</v>
      </c>
      <c r="I5" s="74">
        <f t="shared" si="1"/>
        <v>5.4109353682553651E-2</v>
      </c>
      <c r="J5" s="75"/>
      <c r="K5" s="68">
        <f>H5-'Daily Data'!BJ125</f>
        <v>3.2799999999999996E-2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2.7199999999999998E-2</v>
      </c>
      <c r="C7" s="52">
        <f t="shared" ref="C7:G7" si="4">((1+$I7)^(C2/365)-1)*365/C2</f>
        <v>2.5911949322887175E-2</v>
      </c>
      <c r="D7" s="52">
        <v>2.8500000000000001E-2</v>
      </c>
      <c r="E7" s="52">
        <f t="shared" si="4"/>
        <v>2.5954290603619774E-2</v>
      </c>
      <c r="F7" s="52">
        <f t="shared" si="4"/>
        <v>2.5981954177583283E-2</v>
      </c>
      <c r="G7" s="52">
        <f t="shared" si="4"/>
        <v>2.6065180992459636E-2</v>
      </c>
      <c r="H7" s="53">
        <v>2.5899999999999999E-2</v>
      </c>
      <c r="I7" s="74">
        <f t="shared" si="1"/>
        <v>2.6237376526543565E-2</v>
      </c>
      <c r="J7" s="75"/>
      <c r="K7" s="68">
        <f>H7-1.06%</f>
        <v>1.5299999999999999E-2</v>
      </c>
    </row>
    <row r="8" spans="1:11" ht="23.15" customHeight="1" x14ac:dyDescent="0.4">
      <c r="A8" s="51" t="s">
        <v>62</v>
      </c>
      <c r="B8" s="52">
        <f>((1+$I8)^(B2/365)-1)*365/B2</f>
        <v>3.2408629440969942E-2</v>
      </c>
      <c r="C8" s="52">
        <f t="shared" ref="C8:G8" si="5">((1+$I8)^(C2/365)-1)*365/C2</f>
        <v>3.2418700995537265E-2</v>
      </c>
      <c r="D8" s="52">
        <f t="shared" si="5"/>
        <v>3.2441737365686896E-2</v>
      </c>
      <c r="E8" s="52">
        <f t="shared" si="5"/>
        <v>3.2484989406369791E-2</v>
      </c>
      <c r="F8" s="52">
        <f t="shared" si="5"/>
        <v>3.2528318333154047E-2</v>
      </c>
      <c r="G8" s="52">
        <f t="shared" si="5"/>
        <v>3.2658767969349564E-2</v>
      </c>
      <c r="H8" s="53">
        <v>3.2399999999999998E-2</v>
      </c>
      <c r="I8" s="74">
        <f t="shared" si="1"/>
        <v>3.2929109626098185E-2</v>
      </c>
      <c r="J8" s="75"/>
      <c r="K8" s="68">
        <f>H8-'Daily Data'!H125</f>
        <v>2.1199999999999997E-2</v>
      </c>
    </row>
    <row r="9" spans="1:11" ht="23.15" customHeight="1" x14ac:dyDescent="0.5">
      <c r="A9" s="51" t="s">
        <v>61</v>
      </c>
      <c r="B9" s="56">
        <f>((1+$I9)^(B2/365)-1)*365/B2</f>
        <v>3.4609841225906601E-2</v>
      </c>
      <c r="C9" s="56">
        <f t="shared" ref="C9:G9" si="6">((1+$I9)^(C2/365)-1)*365/C2</f>
        <v>3.4621327373535973E-2</v>
      </c>
      <c r="D9" s="56">
        <f t="shared" si="6"/>
        <v>3.464760051509911E-2</v>
      </c>
      <c r="E9" s="56">
        <f t="shared" si="6"/>
        <v>3.4696934332418397E-2</v>
      </c>
      <c r="F9" s="56">
        <f t="shared" si="6"/>
        <v>3.4746361809923854E-2</v>
      </c>
      <c r="G9" s="56">
        <f t="shared" si="6"/>
        <v>3.4895208206242749E-2</v>
      </c>
      <c r="H9" s="53">
        <v>3.4599999999999999E-2</v>
      </c>
      <c r="I9" s="74">
        <f t="shared" si="1"/>
        <v>3.5203846182888965E-2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1A786-82BA-4459-BBDE-F09C37E15C6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3.9899999999999998E-2</v>
      </c>
      <c r="D3" s="55">
        <v>4.1000000000000002E-2</v>
      </c>
      <c r="E3" s="55">
        <v>5.9299999999999999E-2</v>
      </c>
      <c r="F3" s="55">
        <v>4.0899999999999999E-2</v>
      </c>
      <c r="G3" s="55">
        <v>5.9499999999999997E-2</v>
      </c>
      <c r="H3" s="53">
        <v>3.6999999999999998E-2</v>
      </c>
      <c r="I3" s="74">
        <f>(1+H3/365)^365-1</f>
        <v>3.7691074941686109E-2</v>
      </c>
      <c r="J3" s="75"/>
      <c r="K3" s="68">
        <f>H3-'Daily Data'!AR126</f>
        <v>2.47E-2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Data'!Z126</f>
        <v>9.1999999999999998E-3</v>
      </c>
    </row>
    <row r="5" spans="1:11" ht="23.15" customHeight="1" x14ac:dyDescent="0.5">
      <c r="A5" s="51" t="s">
        <v>17</v>
      </c>
      <c r="B5" s="56">
        <v>6.4699999999999994E-2</v>
      </c>
      <c r="C5" s="56">
        <f t="shared" ref="C5:G5" si="2">((1+$I6)^(C2/365)-1)*365/C2</f>
        <v>3.3720232087598924E-2</v>
      </c>
      <c r="D5" s="56">
        <v>7.7700000000000005E-2</v>
      </c>
      <c r="E5" s="56">
        <f t="shared" si="2"/>
        <v>3.3791952704462558E-2</v>
      </c>
      <c r="F5" s="56">
        <f t="shared" si="2"/>
        <v>3.3838836584806672E-2</v>
      </c>
      <c r="G5" s="56">
        <f t="shared" si="2"/>
        <v>3.3980009211555737E-2</v>
      </c>
      <c r="H5" s="57">
        <v>5.3999999999999999E-2</v>
      </c>
      <c r="I5" s="74">
        <f t="shared" si="1"/>
        <v>5.5480386424407557E-2</v>
      </c>
      <c r="J5" s="75"/>
      <c r="K5" s="68">
        <f>H5-'Daily Data'!BJ126</f>
        <v>3.3299999999999996E-2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2.6800000000000001E-2</v>
      </c>
      <c r="C7" s="52">
        <f t="shared" ref="C7:G7" si="4">((1+$I7)^(C2/365)-1)*365/C2</f>
        <v>2.5511583031124378E-2</v>
      </c>
      <c r="D7" s="52">
        <v>2.8199999999999999E-2</v>
      </c>
      <c r="E7" s="52">
        <f t="shared" si="4"/>
        <v>2.5552625507271554E-2</v>
      </c>
      <c r="F7" s="52">
        <f t="shared" si="4"/>
        <v>2.5579439765606862E-2</v>
      </c>
      <c r="G7" s="52">
        <f t="shared" si="4"/>
        <v>2.5660107842983764E-2</v>
      </c>
      <c r="H7" s="53">
        <v>2.5499999999999998E-2</v>
      </c>
      <c r="I7" s="74">
        <f t="shared" si="1"/>
        <v>2.5826992553672934E-2</v>
      </c>
      <c r="J7" s="75"/>
      <c r="K7" s="68">
        <f>H7-1.06%</f>
        <v>1.4899999999999998E-2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Data'!H126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3.4709898198359249E-2</v>
      </c>
      <c r="C9" s="56">
        <f t="shared" ref="C9:G9" si="6">((1+$I9)^(C2/365)-1)*365/C2</f>
        <v>3.4721450854841733E-2</v>
      </c>
      <c r="D9" s="56">
        <f t="shared" si="6"/>
        <v>3.4747876182692296E-2</v>
      </c>
      <c r="E9" s="56">
        <f t="shared" si="6"/>
        <v>3.4797495973070948E-2</v>
      </c>
      <c r="F9" s="56">
        <f t="shared" si="6"/>
        <v>3.4847210239193682E-2</v>
      </c>
      <c r="G9" s="56">
        <f t="shared" si="6"/>
        <v>3.4996921918003271E-2</v>
      </c>
      <c r="H9" s="53">
        <v>3.4700000000000002E-2</v>
      </c>
      <c r="I9" s="74">
        <f t="shared" si="1"/>
        <v>3.5307361916328883E-2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9514F-1E25-485B-9723-8DC3E9BD2631}">
  <dimension ref="A1:K10"/>
  <sheetViews>
    <sheetView zoomScale="70" zoomScaleNormal="7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Data'!AR127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Data'!Z127</f>
        <v>1.6299999999999999E-2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5.4653120929969511E-2</v>
      </c>
      <c r="D5" s="56">
        <v>6.2199999999999998E-2</v>
      </c>
      <c r="E5" s="56">
        <f t="shared" si="2"/>
        <v>5.4841641376906967E-2</v>
      </c>
      <c r="F5" s="56">
        <f t="shared" si="2"/>
        <v>5.4965056522566016E-2</v>
      </c>
      <c r="G5" s="56">
        <f t="shared" si="2"/>
        <v>5.5337527987590028E-2</v>
      </c>
      <c r="H5" s="57">
        <v>5.4600000000000003E-2</v>
      </c>
      <c r="I5" s="74">
        <f t="shared" si="1"/>
        <v>5.6113770425693321E-2</v>
      </c>
      <c r="J5" s="75"/>
      <c r="K5" s="68">
        <f>H5-'Daily Data'!BJ127</f>
        <v>3.4300000000000004E-2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3.3909447023868777E-2</v>
      </c>
      <c r="C8" s="52">
        <f t="shared" ref="C8:G8" si="5">((1+$I8)^(C2/365)-1)*365/C2</f>
        <v>3.3920472988498589E-2</v>
      </c>
      <c r="D8" s="52">
        <f t="shared" si="5"/>
        <v>3.3945693147479895E-2</v>
      </c>
      <c r="E8" s="52">
        <f t="shared" si="5"/>
        <v>3.3993048356382727E-2</v>
      </c>
      <c r="F8" s="52">
        <f t="shared" si="5"/>
        <v>3.4040491647770316E-2</v>
      </c>
      <c r="G8" s="52">
        <f t="shared" si="5"/>
        <v>3.4183351862080429E-2</v>
      </c>
      <c r="H8" s="53">
        <v>3.39E-2</v>
      </c>
      <c r="I8" s="74">
        <f t="shared" si="1"/>
        <v>3.4479524999688094E-2</v>
      </c>
      <c r="J8" s="75"/>
      <c r="K8" s="68">
        <f>H8-'Daily Data'!H127</f>
        <v>2.2600000000000002E-2</v>
      </c>
    </row>
    <row r="9" spans="1:11" ht="23.15" customHeight="1" x14ac:dyDescent="0.5">
      <c r="A9" s="51" t="s">
        <v>61</v>
      </c>
      <c r="B9" s="56">
        <f>((1+$I9)^(B2/365)-1)*365/B2</f>
        <v>3.5010070102444092E-2</v>
      </c>
      <c r="C9" s="56">
        <f t="shared" ref="C9:G9" si="6">((1+$I9)^(C2/365)-1)*365/C2</f>
        <v>3.5021823438143466E-2</v>
      </c>
      <c r="D9" s="56">
        <f t="shared" si="6"/>
        <v>3.5048707965300539E-2</v>
      </c>
      <c r="E9" s="56">
        <f t="shared" si="6"/>
        <v>3.5099190647355928E-2</v>
      </c>
      <c r="F9" s="56">
        <f t="shared" si="6"/>
        <v>3.5149770280249383E-2</v>
      </c>
      <c r="G9" s="56">
        <f t="shared" si="6"/>
        <v>3.5302092981027482E-2</v>
      </c>
      <c r="H9" s="53">
        <v>3.5000000000000003E-2</v>
      </c>
      <c r="I9" s="74">
        <f t="shared" si="1"/>
        <v>3.5617971057199993E-2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55DB7-AC91-49B2-9D06-E4041CEF45F8}">
  <dimension ref="A1:K10"/>
  <sheetViews>
    <sheetView zoomScale="80" zoomScaleNormal="80" workbookViewId="0">
      <selection activeCell="I10" sqref="I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Data'!AR128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Data'!Z128</f>
        <v>9.1999999999999998E-3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5.3651192366085794E-2</v>
      </c>
      <c r="D5" s="56">
        <v>6.2199999999999998E-2</v>
      </c>
      <c r="E5" s="56">
        <f t="shared" si="2"/>
        <v>5.3832858749404591E-2</v>
      </c>
      <c r="F5" s="56">
        <f t="shared" si="2"/>
        <v>5.3951778611946395E-2</v>
      </c>
      <c r="G5" s="56">
        <f t="shared" si="2"/>
        <v>5.4310643676858256E-2</v>
      </c>
      <c r="H5" s="57">
        <v>5.3600000000000002E-2</v>
      </c>
      <c r="I5" s="74">
        <f t="shared" si="1"/>
        <v>5.5058340892861102E-2</v>
      </c>
      <c r="J5" s="75"/>
      <c r="K5" s="68">
        <f>H5-'Daily Data'!BJ128</f>
        <v>3.4299999999999997E-2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Data'!H128</f>
        <v>2.3E-2</v>
      </c>
    </row>
    <row r="9" spans="1:11" ht="23.15" customHeight="1" x14ac:dyDescent="0.5">
      <c r="A9" s="51" t="s">
        <v>61</v>
      </c>
      <c r="B9" s="56">
        <f>((1+$I9)^(B2/365)-1)*365/B2</f>
        <v>3.430967129548395E-2</v>
      </c>
      <c r="C9" s="56">
        <f t="shared" ref="C9:G9" si="6">((1+$I9)^(C2/365)-1)*365/C2</f>
        <v>3.4320959069194204E-2</v>
      </c>
      <c r="D9" s="56">
        <f t="shared" si="6"/>
        <v>3.4346778292231983E-2</v>
      </c>
      <c r="E9" s="56">
        <f t="shared" si="6"/>
        <v>3.4395259162604379E-2</v>
      </c>
      <c r="F9" s="56">
        <f t="shared" si="6"/>
        <v>3.4443831274714017E-2</v>
      </c>
      <c r="G9" s="56">
        <f t="shared" si="6"/>
        <v>3.459009699547997E-2</v>
      </c>
      <c r="H9" s="53">
        <v>3.4299999999999997E-2</v>
      </c>
      <c r="I9" s="74">
        <f t="shared" si="1"/>
        <v>3.4893360908936799E-2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8CD3-1204-45CA-98E8-A90E9A4429CD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Data'!AR129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Data'!Z129</f>
        <v>9.9000000000000008E-3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4.323325015011005E-2</v>
      </c>
      <c r="D5" s="56">
        <v>6.2199999999999998E-2</v>
      </c>
      <c r="E5" s="56">
        <f t="shared" si="2"/>
        <v>4.3351178817987633E-2</v>
      </c>
      <c r="F5" s="56">
        <f t="shared" si="2"/>
        <v>4.3428319855029436E-2</v>
      </c>
      <c r="G5" s="56">
        <f t="shared" si="2"/>
        <v>4.3660842741178034E-2</v>
      </c>
      <c r="H5" s="57">
        <v>4.3200000000000002E-2</v>
      </c>
      <c r="I5" s="74">
        <f t="shared" si="1"/>
        <v>4.4144034169892876E-2</v>
      </c>
      <c r="J5" s="75"/>
      <c r="K5" s="68">
        <f>H5-'Daily Data'!BJ129</f>
        <v>2.4800000000000003E-2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3.290889785714822E-2</v>
      </c>
      <c r="C8" s="52">
        <f t="shared" ref="C8:G8" si="5">((1+$I8)^(C2/365)-1)*365/C2</f>
        <v>3.2919282746055836E-2</v>
      </c>
      <c r="D8" s="52">
        <f t="shared" si="5"/>
        <v>3.2943036046151376E-2</v>
      </c>
      <c r="E8" s="52">
        <f t="shared" si="5"/>
        <v>3.2987635099189561E-2</v>
      </c>
      <c r="F8" s="52">
        <f t="shared" si="5"/>
        <v>3.3032314657883019E-2</v>
      </c>
      <c r="G8" s="52">
        <f t="shared" si="5"/>
        <v>3.3166838004525655E-2</v>
      </c>
      <c r="H8" s="53">
        <v>3.2899999999999999E-2</v>
      </c>
      <c r="I8" s="74">
        <f t="shared" si="1"/>
        <v>3.3445657100777071E-2</v>
      </c>
      <c r="J8" s="75"/>
      <c r="K8" s="68">
        <f>H8-'Daily Data'!H129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3.4209614980849228E-2</v>
      </c>
      <c r="C9" s="56">
        <f t="shared" ref="C9:G9" si="6">((1+$I9)^(C2/365)-1)*365/C2</f>
        <v>3.4220837014135107E-2</v>
      </c>
      <c r="D9" s="56">
        <f t="shared" si="6"/>
        <v>3.4246505811097595E-2</v>
      </c>
      <c r="E9" s="56">
        <f t="shared" si="6"/>
        <v>3.4294704023164348E-2</v>
      </c>
      <c r="F9" s="56">
        <f t="shared" si="6"/>
        <v>3.4342992680180727E-2</v>
      </c>
      <c r="G9" s="56">
        <f t="shared" si="6"/>
        <v>3.4488403232455951E-2</v>
      </c>
      <c r="H9" s="53">
        <v>3.4200000000000001E-2</v>
      </c>
      <c r="I9" s="74">
        <f t="shared" si="1"/>
        <v>3.4789886456186414E-2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BE957-385A-493C-88B6-892701ED8687}">
  <dimension ref="A1:K10"/>
  <sheetViews>
    <sheetView zoomScale="80" zoomScaleNormal="8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3.1899999999999998E-2</v>
      </c>
      <c r="D3" s="55">
        <v>3.9E-2</v>
      </c>
      <c r="E3" s="55">
        <v>5.7799999999999997E-2</v>
      </c>
      <c r="F3" s="55">
        <v>4.4999999999999998E-2</v>
      </c>
      <c r="G3" s="55">
        <v>4.1000000000000002E-2</v>
      </c>
      <c r="H3" s="53">
        <v>3.9800000000000002E-2</v>
      </c>
      <c r="I3" s="74">
        <f>(1+H3/365)^365-1</f>
        <v>4.0600374996768718E-2</v>
      </c>
      <c r="J3" s="75"/>
      <c r="K3" s="68">
        <f>H3-'Daily Data'!AR130</f>
        <v>2.6000000000000002E-2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Data'!Z130</f>
        <v>8.8000000000000023E-3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4.323325015011005E-2</v>
      </c>
      <c r="D5" s="56">
        <v>6.2199999999999998E-2</v>
      </c>
      <c r="E5" s="56">
        <f t="shared" si="2"/>
        <v>4.3351178817987633E-2</v>
      </c>
      <c r="F5" s="56">
        <f t="shared" si="2"/>
        <v>4.3428319855029436E-2</v>
      </c>
      <c r="G5" s="56">
        <f t="shared" si="2"/>
        <v>4.3660842741178034E-2</v>
      </c>
      <c r="H5" s="57">
        <v>4.3200000000000002E-2</v>
      </c>
      <c r="I5" s="74">
        <f t="shared" si="1"/>
        <v>4.4144034169892876E-2</v>
      </c>
      <c r="J5" s="75"/>
      <c r="K5" s="68">
        <f>H5-'Daily Data'!BJ129</f>
        <v>2.4800000000000003E-2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3.5299999999999998E-2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3.5910594695506913E-2</v>
      </c>
      <c r="C8" s="52">
        <f t="shared" ref="C8:G8" si="5">((1+$I8)^(C2/365)-1)*365/C2</f>
        <v>3.5922960443012478E-2</v>
      </c>
      <c r="D8" s="52">
        <f t="shared" si="5"/>
        <v>3.5951246333042218E-2</v>
      </c>
      <c r="E8" s="52">
        <f t="shared" si="5"/>
        <v>3.6004362447270476E-2</v>
      </c>
      <c r="F8" s="52">
        <f t="shared" si="5"/>
        <v>3.6057583196594925E-2</v>
      </c>
      <c r="G8" s="52">
        <f t="shared" si="5"/>
        <v>3.6217875576784582E-2</v>
      </c>
      <c r="H8" s="53">
        <v>3.5900000000000001E-2</v>
      </c>
      <c r="I8" s="74">
        <f t="shared" si="1"/>
        <v>3.6550356185158339E-2</v>
      </c>
      <c r="J8" s="75"/>
      <c r="K8" s="68">
        <f>H8-'Daily Data'!H130</f>
        <v>2.23E-2</v>
      </c>
    </row>
    <row r="9" spans="1:11" ht="23.15" customHeight="1" x14ac:dyDescent="0.5">
      <c r="A9" s="51" t="s">
        <v>61</v>
      </c>
      <c r="B9" s="56">
        <f>((1+$I9)^(B2/365)-1)*365/B2</f>
        <v>3.6811132610262698E-2</v>
      </c>
      <c r="C9" s="56">
        <f t="shared" ref="C9:G9" si="6">((1+$I9)^(C2/365)-1)*365/C2</f>
        <v>3.6824126331346081E-2</v>
      </c>
      <c r="D9" s="56">
        <f t="shared" si="6"/>
        <v>3.6853849234498227E-2</v>
      </c>
      <c r="E9" s="56">
        <f t="shared" si="6"/>
        <v>3.6909665927788916E-2</v>
      </c>
      <c r="F9" s="56">
        <f t="shared" si="6"/>
        <v>3.6965595336695314E-2</v>
      </c>
      <c r="G9" s="56">
        <f t="shared" si="6"/>
        <v>3.7134062420906062E-2</v>
      </c>
      <c r="H9" s="53">
        <v>3.6799999999999999E-2</v>
      </c>
      <c r="I9" s="74">
        <f t="shared" si="1"/>
        <v>3.7483578454069244E-2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572BA-1347-4FB2-B711-0D3384EECF67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4.2999999999999997E-2</v>
      </c>
      <c r="D3" s="55">
        <v>4.1000000000000002E-2</v>
      </c>
      <c r="E3" s="55">
        <v>5.8000000000000003E-2</v>
      </c>
      <c r="F3" s="55">
        <v>4.9500000000000002E-2</v>
      </c>
      <c r="G3" s="55">
        <v>5.5E-2</v>
      </c>
      <c r="H3" s="53">
        <v>3.9600000000000003E-2</v>
      </c>
      <c r="I3" s="74">
        <f>(1+H3/365)^365-1</f>
        <v>4.0392298362033729E-2</v>
      </c>
      <c r="J3" s="75"/>
      <c r="K3" s="68">
        <f>H3-'Daily Data'!AR131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Data'!Z131</f>
        <v>8.5000000000000006E-3</v>
      </c>
    </row>
    <row r="5" spans="1:11" ht="23.15" customHeight="1" x14ac:dyDescent="0.5">
      <c r="A5" s="51" t="s">
        <v>17</v>
      </c>
      <c r="B5" s="56">
        <v>4.87E-2</v>
      </c>
      <c r="C5" s="56">
        <f t="shared" ref="C5:G5" si="2">((1+$I5)^(C2/365)-1)*365/C2</f>
        <v>3.5922960443012478E-2</v>
      </c>
      <c r="D5" s="56">
        <v>5.16E-2</v>
      </c>
      <c r="E5" s="56">
        <f t="shared" si="2"/>
        <v>3.6004362447270476E-2</v>
      </c>
      <c r="F5" s="56">
        <f t="shared" si="2"/>
        <v>3.6057583196594925E-2</v>
      </c>
      <c r="G5" s="56">
        <f t="shared" si="2"/>
        <v>3.6217875576784582E-2</v>
      </c>
      <c r="H5" s="57">
        <v>3.5900000000000001E-2</v>
      </c>
      <c r="I5" s="74">
        <f t="shared" si="1"/>
        <v>3.6550356185158339E-2</v>
      </c>
      <c r="J5" s="75"/>
      <c r="K5" s="68">
        <f>H5-'Daily Data'!BJ131</f>
        <v>2.2499999999999999E-2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3.6999999999999998E-2</v>
      </c>
      <c r="C7" s="52">
        <f t="shared" ref="C7:G7" si="4">((1+$I7)^(C2/365)-1)*365/C2</f>
        <v>3.5222073609817203E-2</v>
      </c>
      <c r="D7" s="52">
        <v>3.8699999999999998E-2</v>
      </c>
      <c r="E7" s="52">
        <f t="shared" si="4"/>
        <v>3.5300328557368831E-2</v>
      </c>
      <c r="F7" s="52">
        <f t="shared" si="4"/>
        <v>3.5351489269211729E-2</v>
      </c>
      <c r="G7" s="52">
        <f t="shared" si="4"/>
        <v>3.5505565298553574E-2</v>
      </c>
      <c r="H7" s="53">
        <v>3.5200000000000002E-2</v>
      </c>
      <c r="I7" s="74">
        <f t="shared" si="1"/>
        <v>3.582509544513357E-2</v>
      </c>
      <c r="J7" s="75"/>
      <c r="K7" s="68">
        <f>H7-1.06%</f>
        <v>2.4600000000000004E-2</v>
      </c>
    </row>
    <row r="8" spans="1:11" ht="23.15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Data'!H131</f>
        <v>2.1999999999999999E-2</v>
      </c>
    </row>
    <row r="9" spans="1:11" ht="23.15" customHeight="1" x14ac:dyDescent="0.5">
      <c r="A9" s="51" t="s">
        <v>61</v>
      </c>
      <c r="B9" s="56">
        <f>((1+$I9)^(B2/365)-1)*365/B2</f>
        <v>3.7111314875581947E-2</v>
      </c>
      <c r="C9" s="56">
        <f t="shared" ref="C9:G9" si="6">((1+$I9)^(C2/365)-1)*365/C2</f>
        <v>3.7124521379478526E-2</v>
      </c>
      <c r="D9" s="56">
        <f t="shared" si="6"/>
        <v>3.7154731209908344E-2</v>
      </c>
      <c r="E9" s="56">
        <f t="shared" si="6"/>
        <v>3.7211463020234627E-2</v>
      </c>
      <c r="F9" s="56">
        <f t="shared" si="6"/>
        <v>3.7268310329474294E-2</v>
      </c>
      <c r="G9" s="56">
        <f t="shared" si="6"/>
        <v>3.7439547899246244E-2</v>
      </c>
      <c r="H9" s="53">
        <v>3.7100000000000001E-2</v>
      </c>
      <c r="I9" s="74">
        <f t="shared" si="1"/>
        <v>3.7794838704558797E-2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E7969-355B-4B9D-950D-F2317480328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4.2999999999999997E-2</v>
      </c>
      <c r="D3" s="55">
        <v>4.1000000000000002E-2</v>
      </c>
      <c r="E3" s="55">
        <v>5.21E-2</v>
      </c>
      <c r="F3" s="55">
        <v>4.8800000000000003E-2</v>
      </c>
      <c r="G3" s="55">
        <v>5.9700000000000003E-2</v>
      </c>
      <c r="H3" s="53">
        <v>4.0300000000000002E-2</v>
      </c>
      <c r="I3" s="74">
        <f>(1+H3/365)^365-1</f>
        <v>4.1120748168237853E-2</v>
      </c>
      <c r="J3" s="75"/>
      <c r="K3" s="68">
        <f>H3-'Daily Data'!AR132</f>
        <v>2.4800000000000003E-2</v>
      </c>
    </row>
    <row r="4" spans="1:11" ht="23.15" customHeight="1" x14ac:dyDescent="0.5">
      <c r="A4" s="51" t="s">
        <v>15</v>
      </c>
      <c r="B4" s="56">
        <f>((1+$I4)^(B2/365)-1)*365/B2</f>
        <v>2.5035149911084891E-2</v>
      </c>
      <c r="C4" s="56">
        <f t="shared" ref="C4:G4" si="0">((1+$I4)^(C2/365)-1)*365/C2</f>
        <v>2.5041159926311014E-2</v>
      </c>
      <c r="D4" s="56">
        <f t="shared" si="0"/>
        <v>2.5054904328822736E-2</v>
      </c>
      <c r="E4" s="56">
        <f t="shared" si="0"/>
        <v>2.5080702201325855E-2</v>
      </c>
      <c r="F4" s="56">
        <f t="shared" si="0"/>
        <v>2.5106535490993349E-2</v>
      </c>
      <c r="G4" s="56">
        <f t="shared" si="0"/>
        <v>2.5184248410435296E-2</v>
      </c>
      <c r="H4" s="57">
        <v>2.503E-2</v>
      </c>
      <c r="I4" s="74">
        <f t="shared" ref="I4:I9" si="1">(1+H4/365)^365-1</f>
        <v>2.5345000507333015E-2</v>
      </c>
      <c r="J4" s="75"/>
      <c r="K4" s="68">
        <f>H4-'Daily Data'!Z132</f>
        <v>7.4299999999999991E-3</v>
      </c>
    </row>
    <row r="5" spans="1:11" ht="23.15" customHeight="1" x14ac:dyDescent="0.5">
      <c r="A5" s="51" t="s">
        <v>17</v>
      </c>
      <c r="B5" s="56">
        <v>3.6600000000000001E-2</v>
      </c>
      <c r="C5" s="56">
        <f t="shared" ref="C5:G5" si="2">((1+$I5)^(C2/365)-1)*365/C2</f>
        <v>3.762518692503198E-2</v>
      </c>
      <c r="D5" s="56">
        <v>3.8399999999999997E-2</v>
      </c>
      <c r="E5" s="56">
        <f t="shared" si="2"/>
        <v>3.7714490694561884E-2</v>
      </c>
      <c r="F5" s="56">
        <f t="shared" si="2"/>
        <v>3.7772884523489474E-2</v>
      </c>
      <c r="G5" s="56">
        <f t="shared" si="2"/>
        <v>3.7948790239201682E-2</v>
      </c>
      <c r="H5" s="57">
        <v>3.7600000000000001E-2</v>
      </c>
      <c r="I5" s="74">
        <f t="shared" si="1"/>
        <v>3.8313812750667031E-2</v>
      </c>
      <c r="J5" s="75"/>
      <c r="K5" s="68">
        <f>H5-'Daily Data'!Z132</f>
        <v>0.02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3.6600000000000001E-2</v>
      </c>
      <c r="C7" s="52">
        <f t="shared" ref="C7:G7" si="4">((1+$I7)^(C2/365)-1)*365/C2</f>
        <v>3.4921698887096272E-2</v>
      </c>
      <c r="D7" s="52">
        <v>3.8399999999999997E-2</v>
      </c>
      <c r="E7" s="52">
        <f t="shared" si="4"/>
        <v>3.4998624130466095E-2</v>
      </c>
      <c r="F7" s="52">
        <f t="shared" si="4"/>
        <v>3.5048914474249737E-2</v>
      </c>
      <c r="G7" s="52">
        <f t="shared" si="4"/>
        <v>3.52003643051041E-2</v>
      </c>
      <c r="H7" s="53">
        <v>3.49E-2</v>
      </c>
      <c r="I7" s="74">
        <f t="shared" si="1"/>
        <v>3.5514424352408591E-2</v>
      </c>
      <c r="J7" s="75"/>
      <c r="K7" s="68">
        <f>H7-1.06%</f>
        <v>2.4300000000000002E-2</v>
      </c>
    </row>
    <row r="8" spans="1:11" ht="23.15" customHeight="1" x14ac:dyDescent="0.4">
      <c r="A8" s="51" t="s">
        <v>62</v>
      </c>
      <c r="B8" s="52">
        <f>((1+$I8)^(B2/365)-1)*365/B2</f>
        <v>3.6310832124105845E-2</v>
      </c>
      <c r="C8" s="52">
        <f t="shared" ref="C8:G8" si="5">((1+$I8)^(C2/365)-1)*365/C2</f>
        <v>3.6323475049729645E-2</v>
      </c>
      <c r="D8" s="52">
        <f t="shared" si="5"/>
        <v>3.6352395210776788E-2</v>
      </c>
      <c r="E8" s="52">
        <f t="shared" si="5"/>
        <v>3.6406703291771501E-2</v>
      </c>
      <c r="F8" s="52">
        <f t="shared" si="5"/>
        <v>3.6461119549689336E-2</v>
      </c>
      <c r="G8" s="52">
        <f t="shared" si="5"/>
        <v>3.6625019812009267E-2</v>
      </c>
      <c r="H8" s="53">
        <v>3.6299999999999999E-2</v>
      </c>
      <c r="I8" s="74">
        <f t="shared" si="1"/>
        <v>3.6965018242766767E-2</v>
      </c>
      <c r="J8" s="75"/>
      <c r="K8" s="68">
        <f>H8-'Daily Data'!H132</f>
        <v>2.23E-2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A527B-382E-4028-82B8-A3346B08317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3.49E-2</v>
      </c>
      <c r="C3" s="55">
        <v>3.7999999999999999E-2</v>
      </c>
      <c r="D3" s="55">
        <v>3.9899999999999998E-2</v>
      </c>
      <c r="E3" s="55">
        <v>5.7599999999999998E-2</v>
      </c>
      <c r="F3" s="55">
        <v>3.9100000000000003E-2</v>
      </c>
      <c r="G3" s="55">
        <v>5.1999999999999998E-2</v>
      </c>
      <c r="H3" s="53">
        <v>4.1500000000000002E-2</v>
      </c>
      <c r="I3" s="74">
        <f>(1+H3/365)^365-1</f>
        <v>4.237070282542077E-2</v>
      </c>
      <c r="J3" s="75"/>
      <c r="K3" s="68">
        <f>H3-'Daily Data'!AR133</f>
        <v>2.5100000000000001E-2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Data'!Z133</f>
        <v>7.6000000000000026E-3</v>
      </c>
    </row>
    <row r="5" spans="1:11" ht="23.15" customHeight="1" x14ac:dyDescent="0.5">
      <c r="A5" s="51" t="s">
        <v>17</v>
      </c>
      <c r="B5" s="56">
        <v>4.6600000000000003E-2</v>
      </c>
      <c r="C5" s="56">
        <f t="shared" ref="C5:G5" si="2">((1+$I5)^(C2/365)-1)*365/C2</f>
        <v>3.7124521379478526E-2</v>
      </c>
      <c r="D5" s="56">
        <v>5.3499999999999999E-2</v>
      </c>
      <c r="E5" s="56">
        <f t="shared" si="2"/>
        <v>3.7211463020234627E-2</v>
      </c>
      <c r="F5" s="56">
        <f t="shared" si="2"/>
        <v>3.7268310329474294E-2</v>
      </c>
      <c r="G5" s="56">
        <f t="shared" si="2"/>
        <v>3.7439547899246244E-2</v>
      </c>
      <c r="H5" s="57">
        <v>3.7100000000000001E-2</v>
      </c>
      <c r="I5" s="74">
        <f t="shared" si="1"/>
        <v>3.7794838704558797E-2</v>
      </c>
      <c r="J5" s="75"/>
      <c r="K5" s="68">
        <f>H5-'Daily Data'!BJ133</f>
        <v>2.2100000000000002E-2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3.8100000000000002E-2</v>
      </c>
      <c r="C7" s="52">
        <f t="shared" ref="C7:G7" si="4">((1+$I7)^(C2/365)-1)*365/C2</f>
        <v>3.6323475049729645E-2</v>
      </c>
      <c r="D7" s="56">
        <v>3.9899999999999998E-2</v>
      </c>
      <c r="E7" s="52">
        <f t="shared" si="4"/>
        <v>3.6406703291771501E-2</v>
      </c>
      <c r="F7" s="52">
        <f t="shared" si="4"/>
        <v>3.6461119549689336E-2</v>
      </c>
      <c r="G7" s="52">
        <f t="shared" si="4"/>
        <v>3.6625019812009267E-2</v>
      </c>
      <c r="H7" s="53">
        <v>3.6299999999999999E-2</v>
      </c>
      <c r="I7" s="74">
        <f t="shared" si="1"/>
        <v>3.6965018242766767E-2</v>
      </c>
      <c r="J7" s="75"/>
      <c r="K7" s="68">
        <f>H7-1.06%</f>
        <v>2.5700000000000001E-2</v>
      </c>
    </row>
    <row r="8" spans="1:11" ht="23.15" customHeight="1" x14ac:dyDescent="0.4">
      <c r="A8" s="51" t="s">
        <v>62</v>
      </c>
      <c r="B8" s="52">
        <f>((1+$I8)^(B2/365)-1)*365/B2</f>
        <v>3.7311437208140515E-2</v>
      </c>
      <c r="C8" s="52">
        <f t="shared" ref="C8:G8" si="5">((1+$I8)^(C2/365)-1)*365/C2</f>
        <v>3.7324786527908681E-2</v>
      </c>
      <c r="D8" s="52">
        <f t="shared" si="5"/>
        <v>3.735532317743958E-2</v>
      </c>
      <c r="E8" s="52">
        <f t="shared" si="5"/>
        <v>3.7412669211809337E-2</v>
      </c>
      <c r="F8" s="52">
        <f t="shared" si="5"/>
        <v>3.74701326258867E-2</v>
      </c>
      <c r="G8" s="52">
        <f t="shared" si="5"/>
        <v>3.7643229852613126E-2</v>
      </c>
      <c r="H8" s="53">
        <v>3.73E-2</v>
      </c>
      <c r="I8" s="74">
        <f t="shared" si="1"/>
        <v>3.8002397273573685E-2</v>
      </c>
      <c r="J8" s="75"/>
      <c r="K8" s="68">
        <f>H8-'Daily Data'!H133</f>
        <v>2.24E-2</v>
      </c>
    </row>
    <row r="9" spans="1:11" ht="23.15" customHeight="1" x14ac:dyDescent="0.5">
      <c r="A9" s="51" t="s">
        <v>61</v>
      </c>
      <c r="B9" s="56">
        <f>((1+$I9)^(B2/365)-1)*365/B2</f>
        <v>3.8912439551918511E-2</v>
      </c>
      <c r="C9" s="56">
        <f t="shared" ref="C9:G9" si="6">((1+$I9)^(C2/365)-1)*365/C2</f>
        <v>3.8926959066522389E-2</v>
      </c>
      <c r="D9" s="56">
        <f t="shared" si="6"/>
        <v>3.8960173660393282E-2</v>
      </c>
      <c r="E9" s="56">
        <f t="shared" si="6"/>
        <v>3.9022552912378425E-2</v>
      </c>
      <c r="F9" s="56">
        <f t="shared" si="6"/>
        <v>3.9085065331842528E-2</v>
      </c>
      <c r="G9" s="56">
        <f t="shared" si="6"/>
        <v>3.9273404797430481E-2</v>
      </c>
      <c r="H9" s="53">
        <v>3.8899999999999997E-2</v>
      </c>
      <c r="I9" s="74">
        <f t="shared" si="1"/>
        <v>3.9664356841096371E-2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5005-8548-4173-9DD8-16EE698BFA5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5.0999999999999997E-2</v>
      </c>
      <c r="C3" s="55">
        <v>4.2799999999999998E-2</v>
      </c>
      <c r="D3" s="55">
        <v>0.04</v>
      </c>
      <c r="E3" s="55">
        <v>5.5899999999999998E-2</v>
      </c>
      <c r="F3" s="55">
        <v>3.9100000000000003E-2</v>
      </c>
      <c r="G3" s="55">
        <v>4.0099999999999997E-2</v>
      </c>
      <c r="H3" s="53">
        <v>4.1000000000000002E-2</v>
      </c>
      <c r="I3" s="74">
        <f>(1+H3/365)^365-1</f>
        <v>4.1849706613630966E-2</v>
      </c>
      <c r="J3" s="75"/>
      <c r="K3" s="68">
        <f>H3-'Daily Data'!AR134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Data'!Z136</f>
        <v>1.55E-2</v>
      </c>
    </row>
    <row r="5" spans="1:11" ht="23.15" customHeight="1" x14ac:dyDescent="0.5">
      <c r="A5" s="51" t="s">
        <v>17</v>
      </c>
      <c r="B5" s="56">
        <v>4.5999999999999999E-2</v>
      </c>
      <c r="C5" s="56">
        <f t="shared" ref="C5:G5" si="2">((1+$I5)^(C2/365)-1)*365/C2</f>
        <v>3.7324786527908681E-2</v>
      </c>
      <c r="D5" s="56">
        <v>5.4899999999999997E-2</v>
      </c>
      <c r="E5" s="56">
        <f t="shared" si="2"/>
        <v>3.7412669211809337E-2</v>
      </c>
      <c r="F5" s="56">
        <f t="shared" si="2"/>
        <v>3.74701326258867E-2</v>
      </c>
      <c r="G5" s="56">
        <f t="shared" si="2"/>
        <v>3.7643229852613126E-2</v>
      </c>
      <c r="H5" s="57">
        <v>3.73E-2</v>
      </c>
      <c r="I5" s="74">
        <f t="shared" si="1"/>
        <v>3.8002397273573685E-2</v>
      </c>
      <c r="J5" s="75"/>
      <c r="K5" s="68">
        <f>H5-'Daily Data'!BJ134</f>
        <v>2.3400000000000001E-2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3.7999999999999999E-2</v>
      </c>
      <c r="C7" s="56">
        <f t="shared" ref="C7:G7" si="4">((1+$I7)^(C2/365)-1)*365/C2</f>
        <v>3.6223345863170948E-2</v>
      </c>
      <c r="D7" s="56">
        <v>3.9800000000000002E-2</v>
      </c>
      <c r="E7" s="56">
        <f t="shared" si="4"/>
        <v>3.6306115642032878E-2</v>
      </c>
      <c r="F7" s="56">
        <f t="shared" si="4"/>
        <v>3.6360231771886457E-2</v>
      </c>
      <c r="G7" s="56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3.691119320087604E-2</v>
      </c>
      <c r="C8" s="52">
        <f t="shared" ref="C8:G8" si="5">((1+$I8)^(C2/365)-1)*365/C2</f>
        <v>3.6924257657428176E-2</v>
      </c>
      <c r="D8" s="52">
        <f t="shared" si="5"/>
        <v>3.6954142429492388E-2</v>
      </c>
      <c r="E8" s="52">
        <f t="shared" si="5"/>
        <v>3.7010263332617192E-2</v>
      </c>
      <c r="F8" s="52">
        <f t="shared" si="5"/>
        <v>3.706649787408943E-2</v>
      </c>
      <c r="G8" s="52">
        <f t="shared" si="5"/>
        <v>3.7235885920416052E-2</v>
      </c>
      <c r="H8" s="53">
        <v>3.6900000000000002E-2</v>
      </c>
      <c r="I8" s="74">
        <f t="shared" si="1"/>
        <v>3.7587321525166306E-2</v>
      </c>
      <c r="J8" s="75"/>
      <c r="K8" s="68">
        <f>H8-'Daily Data'!H134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ECF62-810D-4A8B-91D7-69193EEA407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5.0999999999999997E-2</v>
      </c>
      <c r="C3" s="55">
        <v>4.2799999999999998E-2</v>
      </c>
      <c r="D3" s="55">
        <v>0.04</v>
      </c>
      <c r="E3" s="55">
        <v>5.5899999999999998E-2</v>
      </c>
      <c r="F3" s="55">
        <v>3.9100000000000003E-2</v>
      </c>
      <c r="G3" s="55">
        <v>4.0099999999999997E-2</v>
      </c>
      <c r="H3" s="53">
        <v>4.1000000000000002E-2</v>
      </c>
      <c r="I3" s="74">
        <f>(1+H3/365)^365-1</f>
        <v>4.1849706613630966E-2</v>
      </c>
      <c r="J3" s="75"/>
      <c r="K3" s="68">
        <f>H3-'Daily Data'!AR134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Data'!Z136</f>
        <v>1.55E-2</v>
      </c>
    </row>
    <row r="5" spans="1:11" ht="23.15" customHeight="1" x14ac:dyDescent="0.5">
      <c r="A5" s="51" t="s">
        <v>17</v>
      </c>
      <c r="B5" s="56">
        <v>4.5999999999999999E-2</v>
      </c>
      <c r="C5" s="56">
        <f t="shared" ref="C5:G5" si="2">((1+$I5)^(C2/365)-1)*365/C2</f>
        <v>3.8225997347559368E-2</v>
      </c>
      <c r="D5" s="56">
        <v>5.4899999999999997E-2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Data'!BJ134</f>
        <v>2.4299999999999999E-2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3.7525053102707075E-2</v>
      </c>
      <c r="D6" s="52">
        <v>0.06</v>
      </c>
      <c r="E6" s="52">
        <f t="shared" si="3"/>
        <v>3.7613881907545298E-2</v>
      </c>
      <c r="F6" s="52">
        <f t="shared" si="3"/>
        <v>3.7671964763798499E-2</v>
      </c>
      <c r="G6" s="52">
        <f t="shared" si="3"/>
        <v>3.7846931782462699E-2</v>
      </c>
      <c r="H6" s="57">
        <v>3.7499999999999999E-2</v>
      </c>
      <c r="I6" s="74">
        <f t="shared" si="1"/>
        <v>3.8209997240440829E-2</v>
      </c>
      <c r="J6" s="75"/>
      <c r="K6" s="68">
        <f>H6-2.3%</f>
        <v>1.4499999999999999E-2</v>
      </c>
    </row>
    <row r="7" spans="1:11" ht="23.15" customHeight="1" x14ac:dyDescent="0.5">
      <c r="A7" s="51" t="s">
        <v>52</v>
      </c>
      <c r="B7" s="56">
        <v>3.7999999999999999E-2</v>
      </c>
      <c r="C7" s="56">
        <f t="shared" ref="C7:G7" si="4">((1+$I7)^(C2/365)-1)*365/C2</f>
        <v>3.6223345863170948E-2</v>
      </c>
      <c r="D7" s="56" t="s">
        <v>72</v>
      </c>
      <c r="E7" s="56">
        <f t="shared" si="4"/>
        <v>3.6306115642032878E-2</v>
      </c>
      <c r="F7" s="56">
        <f t="shared" si="4"/>
        <v>3.6360231771886457E-2</v>
      </c>
      <c r="G7" s="56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3.801187055273008E-2</v>
      </c>
      <c r="C8" s="52">
        <f t="shared" ref="C8:F8" si="5">((1+$I8)^(C2/365)-1)*365/C2</f>
        <v>3.8025725780286922E-2</v>
      </c>
      <c r="D8" s="52">
        <f t="shared" si="5"/>
        <v>3.8057420163112088E-2</v>
      </c>
      <c r="E8" s="52">
        <f t="shared" si="5"/>
        <v>3.8116942104048458E-2</v>
      </c>
      <c r="F8" s="52">
        <f t="shared" si="5"/>
        <v>3.8176588168356236E-2</v>
      </c>
      <c r="G8" s="52">
        <f>((1+$I8)^(G2/365)-1)*365/G2</f>
        <v>3.8356274017090804E-2</v>
      </c>
      <c r="H8" s="53">
        <v>3.7999999999999999E-2</v>
      </c>
      <c r="I8" s="74">
        <f t="shared" si="1"/>
        <v>3.8729178327362002E-2</v>
      </c>
      <c r="J8" s="75"/>
      <c r="K8" s="68">
        <f>H8-'Daily Data'!H134</f>
        <v>2.35E-2</v>
      </c>
    </row>
    <row r="9" spans="1:11" ht="23.15" customHeight="1" x14ac:dyDescent="0.5">
      <c r="A9" s="51" t="s">
        <v>61</v>
      </c>
      <c r="B9" s="56">
        <f>((1+$I9)^(B2/365)-1)*365/B2</f>
        <v>3.8412121796570657E-2</v>
      </c>
      <c r="C9" s="56">
        <f t="shared" ref="C9:G9" si="6">((1+$I9)^(C2/365)-1)*365/C2</f>
        <v>3.8426270341367919E-2</v>
      </c>
      <c r="D9" s="56">
        <f t="shared" si="6"/>
        <v>3.8458635971029276E-2</v>
      </c>
      <c r="E9" s="56">
        <f t="shared" si="6"/>
        <v>3.8519419533253031E-2</v>
      </c>
      <c r="F9" s="56">
        <f t="shared" si="6"/>
        <v>3.8580331186044731E-2</v>
      </c>
      <c r="G9" s="56">
        <f t="shared" si="6"/>
        <v>3.8763837728371019E-2</v>
      </c>
      <c r="H9" s="53">
        <v>3.8399999999999997E-2</v>
      </c>
      <c r="I9" s="74">
        <f t="shared" si="1"/>
        <v>3.9144709610959838E-2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 J1:J9 I1:I10 A10:F10">
    <cfRule type="expression" dxfId="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B0FE6-40EB-4A98-A537-A2536A511A10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5.0999999999999997E-2</v>
      </c>
      <c r="C3" s="55">
        <v>4.2799999999999998E-2</v>
      </c>
      <c r="D3" s="55">
        <v>0.04</v>
      </c>
      <c r="E3" s="55">
        <v>5.5899999999999998E-2</v>
      </c>
      <c r="F3" s="55">
        <v>3.9100000000000003E-2</v>
      </c>
      <c r="G3" s="55">
        <v>4.0099999999999997E-2</v>
      </c>
      <c r="H3" s="53">
        <v>4.1000000000000002E-2</v>
      </c>
      <c r="I3" s="74">
        <f>(1+H3/365)^365-1</f>
        <v>4.1849706613630966E-2</v>
      </c>
      <c r="J3" s="75"/>
      <c r="K3" s="68">
        <f>H3-'Daily Data'!AR134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Data'!Z136</f>
        <v>1.55E-2</v>
      </c>
    </row>
    <row r="5" spans="1:11" ht="23.15" customHeight="1" x14ac:dyDescent="0.5">
      <c r="A5" s="51" t="s">
        <v>17</v>
      </c>
      <c r="B5" s="56">
        <v>4.5999999999999999E-2</v>
      </c>
      <c r="C5" s="56">
        <f t="shared" ref="C5:G5" si="2">((1+$I5)^(C2/365)-1)*365/C2</f>
        <v>3.8225997347559368E-2</v>
      </c>
      <c r="D5" s="56">
        <v>5.4899999999999997E-2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Data'!BJ134</f>
        <v>2.4299999999999999E-2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3.7525053102707075E-2</v>
      </c>
      <c r="D6" s="52">
        <v>0.06</v>
      </c>
      <c r="E6" s="52">
        <f t="shared" si="3"/>
        <v>3.7613881907545298E-2</v>
      </c>
      <c r="F6" s="52">
        <f t="shared" si="3"/>
        <v>3.7671964763798499E-2</v>
      </c>
      <c r="G6" s="52">
        <f t="shared" si="3"/>
        <v>3.7846931782462699E-2</v>
      </c>
      <c r="H6" s="57">
        <v>3.7499999999999999E-2</v>
      </c>
      <c r="I6" s="74">
        <f t="shared" si="1"/>
        <v>3.8209997240440829E-2</v>
      </c>
      <c r="J6" s="75"/>
      <c r="K6" s="68">
        <f>H6-2.3%</f>
        <v>1.4499999999999999E-2</v>
      </c>
    </row>
    <row r="7" spans="1:11" ht="23.15" customHeight="1" x14ac:dyDescent="0.5">
      <c r="A7" s="51" t="s">
        <v>52</v>
      </c>
      <c r="B7" s="56">
        <v>3.7999999999999999E-2</v>
      </c>
      <c r="C7" s="56">
        <f t="shared" ref="C7:G7" si="4">((1+$I7)^(C2/365)-1)*365/C2</f>
        <v>3.6223345863170948E-2</v>
      </c>
      <c r="D7" s="56">
        <v>3.9199999999999999E-2</v>
      </c>
      <c r="E7" s="56">
        <f t="shared" si="4"/>
        <v>3.6306115642032878E-2</v>
      </c>
      <c r="F7" s="56">
        <f t="shared" si="4"/>
        <v>3.6360231771886457E-2</v>
      </c>
      <c r="G7" s="56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3.8211995845654566E-2</v>
      </c>
      <c r="C8" s="52">
        <f t="shared" ref="C8:G8" si="5">((1+$I8)^(C2/365)-1)*365/C2</f>
        <v>3.8225997347559368E-2</v>
      </c>
      <c r="D8" s="52">
        <f t="shared" si="5"/>
        <v>3.8258026473317185E-2</v>
      </c>
      <c r="E8" s="52">
        <f t="shared" si="5"/>
        <v>3.8318177566042645E-2</v>
      </c>
      <c r="F8" s="52">
        <f t="shared" si="5"/>
        <v>3.837845475532109E-2</v>
      </c>
      <c r="G8" s="52">
        <f t="shared" si="5"/>
        <v>3.8560045880042144E-2</v>
      </c>
      <c r="H8" s="53">
        <v>3.8199999999999998E-2</v>
      </c>
      <c r="I8" s="74">
        <f t="shared" si="1"/>
        <v>3.8936923251637001E-2</v>
      </c>
      <c r="J8" s="75"/>
      <c r="K8" s="68">
        <f>H8-'Daily Data'!H134</f>
        <v>2.3699999999999999E-2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 J1:J9 I1:I10 A10:F10">
    <cfRule type="expression" dxfId="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594D0-2E07-4CF9-868C-8AB979FF3587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0.04</v>
      </c>
      <c r="D3" s="55">
        <v>4.4999999999999998E-2</v>
      </c>
      <c r="E3" s="55">
        <v>5.5E-2</v>
      </c>
      <c r="F3" s="55">
        <v>4.4900000000000002E-2</v>
      </c>
      <c r="G3" s="55">
        <v>4.0099999999999997E-2</v>
      </c>
      <c r="H3" s="53">
        <v>4.2000000000000003E-2</v>
      </c>
      <c r="I3" s="74">
        <f>(1+H3/365)^365-1</f>
        <v>4.2891958856924539E-2</v>
      </c>
      <c r="J3" s="75"/>
      <c r="K3" s="68">
        <f>H3-'Daily Data'!AR137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Data'!Z137</f>
        <v>6.7000000000000011E-3</v>
      </c>
    </row>
    <row r="5" spans="1:11" ht="23.15" customHeight="1" x14ac:dyDescent="0.5">
      <c r="A5" s="51" t="s">
        <v>17</v>
      </c>
      <c r="B5" s="56">
        <v>4.6300000000000001E-2</v>
      </c>
      <c r="C5" s="56">
        <f t="shared" ref="C5:G5" si="2">((1+$I5)^(C2/365)-1)*365/C2</f>
        <v>3.8626544761562069E-2</v>
      </c>
      <c r="D5" s="56">
        <v>5.5599999999999997E-2</v>
      </c>
      <c r="E5" s="56">
        <f t="shared" si="2"/>
        <v>3.8720668005707982E-2</v>
      </c>
      <c r="F5" s="56">
        <f t="shared" si="2"/>
        <v>3.8782217460826149E-2</v>
      </c>
      <c r="G5" s="56">
        <f t="shared" si="2"/>
        <v>3.8967649563848281E-2</v>
      </c>
      <c r="H5" s="57">
        <v>3.8600000000000002E-2</v>
      </c>
      <c r="I5" s="74">
        <f t="shared" si="1"/>
        <v>3.9352537413389843E-2</v>
      </c>
      <c r="J5" s="75"/>
      <c r="K5" s="68">
        <f>H5-'Daily Data'!BJ137</f>
        <v>2.4100000000000003E-2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3.78E-2</v>
      </c>
      <c r="C7" s="56">
        <f t="shared" ref="C7:G7" si="4">((1+$I7)^(C2/365)-1)*365/C2</f>
        <v>3.6023088559835527E-2</v>
      </c>
      <c r="D7" s="56">
        <v>3.9600000000000003E-2</v>
      </c>
      <c r="E7" s="56">
        <f t="shared" si="4"/>
        <v>3.6104945219826261E-2</v>
      </c>
      <c r="F7" s="56">
        <f t="shared" si="4"/>
        <v>3.6158463595416697E-2</v>
      </c>
      <c r="G7" s="56">
        <f t="shared" si="4"/>
        <v>3.6319654148926378E-2</v>
      </c>
      <c r="H7" s="53">
        <v>3.5999999999999997E-2</v>
      </c>
      <c r="I7" s="74">
        <f t="shared" si="1"/>
        <v>3.6654006194406952E-2</v>
      </c>
      <c r="J7" s="75"/>
      <c r="K7" s="68">
        <f>H7-1.06%</f>
        <v>2.5399999999999999E-2</v>
      </c>
    </row>
    <row r="8" spans="1:11" ht="23.15" customHeight="1" x14ac:dyDescent="0.4">
      <c r="A8" s="51" t="s">
        <v>62</v>
      </c>
      <c r="B8" s="52">
        <f>((1+$I8)^(B2/365)-1)*365/B2</f>
        <v>3.7611621940462241E-2</v>
      </c>
      <c r="C8" s="52">
        <f t="shared" ref="C8:G8" si="5">((1+$I8)^(C2/365)-1)*365/C2</f>
        <v>3.762518692503198E-2</v>
      </c>
      <c r="D8" s="52">
        <f t="shared" si="5"/>
        <v>3.7656217104698797E-2</v>
      </c>
      <c r="E8" s="52">
        <f t="shared" si="5"/>
        <v>3.7714490694561884E-2</v>
      </c>
      <c r="F8" s="52">
        <f t="shared" si="5"/>
        <v>3.7772884523489474E-2</v>
      </c>
      <c r="G8" s="52">
        <f t="shared" si="5"/>
        <v>3.7948790239201682E-2</v>
      </c>
      <c r="H8" s="53">
        <v>3.7600000000000001E-2</v>
      </c>
      <c r="I8" s="74">
        <f t="shared" si="1"/>
        <v>3.8313812750667031E-2</v>
      </c>
      <c r="J8" s="75"/>
      <c r="K8" s="68">
        <f>H8-'Daily Data'!H137</f>
        <v>2.2499999999999999E-2</v>
      </c>
    </row>
    <row r="9" spans="1:11" ht="23.15" customHeight="1" x14ac:dyDescent="0.5">
      <c r="A9" s="51" t="s">
        <v>61</v>
      </c>
      <c r="B9" s="56">
        <f>((1+$I9)^(B2/365)-1)*365/B2</f>
        <v>3.9512826285834003E-2</v>
      </c>
      <c r="C9" s="56">
        <f t="shared" ref="C9:G9" si="6">((1+$I9)^(C2/365)-1)*365/C2</f>
        <v>3.9527797305134844E-2</v>
      </c>
      <c r="D9" s="56">
        <f t="shared" si="6"/>
        <v>3.9562045185176621E-2</v>
      </c>
      <c r="E9" s="56">
        <f t="shared" si="6"/>
        <v>3.9626366640761357E-2</v>
      </c>
      <c r="F9" s="56">
        <f t="shared" si="6"/>
        <v>3.969082753132306E-2</v>
      </c>
      <c r="G9" s="56">
        <f t="shared" si="6"/>
        <v>3.9885050217776455E-2</v>
      </c>
      <c r="H9" s="53">
        <v>3.95E-2</v>
      </c>
      <c r="I9" s="74">
        <f t="shared" si="1"/>
        <v>4.0288275604905666E-2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5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7EF5-A1AB-4FEA-A9FB-038FE5A1F3F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3.49E-2</v>
      </c>
      <c r="C3" s="55">
        <v>0.04</v>
      </c>
      <c r="D3" s="55">
        <v>4.1000000000000002E-2</v>
      </c>
      <c r="E3" s="55">
        <v>4.2900000000000001E-2</v>
      </c>
      <c r="F3" s="55">
        <v>4.2900000000000001E-2</v>
      </c>
      <c r="G3" s="55">
        <v>4.0099999999999997E-2</v>
      </c>
      <c r="H3" s="53">
        <v>4.19E-2</v>
      </c>
      <c r="I3" s="74">
        <f>(1+H3/365)^365-1</f>
        <v>4.2787686858843488E-2</v>
      </c>
      <c r="J3" s="75"/>
      <c r="K3" s="68">
        <f>H3-'Daily Data'!AR138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Data'!Z138</f>
        <v>6.7000000000000011E-3</v>
      </c>
    </row>
    <row r="5" spans="1:11" ht="23.15" customHeight="1" x14ac:dyDescent="0.5">
      <c r="A5" s="51" t="s">
        <v>17</v>
      </c>
      <c r="B5" s="56">
        <v>4.7399999999999998E-2</v>
      </c>
      <c r="C5" s="56">
        <f t="shared" ref="C5:G5" si="2">((1+$I5)^(C2/365)-1)*365/C2</f>
        <v>3.9427656707190346E-2</v>
      </c>
      <c r="D5" s="56">
        <v>5.6899999999999999E-2</v>
      </c>
      <c r="E5" s="56">
        <f t="shared" si="2"/>
        <v>3.9525726953030728E-2</v>
      </c>
      <c r="F5" s="56">
        <f t="shared" si="2"/>
        <v>3.9589861010926784E-2</v>
      </c>
      <c r="G5" s="56">
        <f t="shared" si="2"/>
        <v>3.9783096817143065E-2</v>
      </c>
      <c r="H5" s="57">
        <v>3.9399999999999998E-2</v>
      </c>
      <c r="I5" s="74">
        <f t="shared" si="1"/>
        <v>4.0184263220001792E-2</v>
      </c>
      <c r="J5" s="75"/>
      <c r="K5" s="68">
        <f>H5-'Daily Data'!BJ138</f>
        <v>2.4399999999999998E-2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3.9699999999999999E-2</v>
      </c>
      <c r="C7" s="56">
        <f t="shared" ref="C7:G7" si="4">((1+$I7)^(C2/365)-1)*365/C2</f>
        <v>3.7825455639434812E-2</v>
      </c>
      <c r="D7" s="56">
        <v>4.1599999999999998E-2</v>
      </c>
      <c r="E7" s="56">
        <f t="shared" si="4"/>
        <v>3.7915713146943579E-2</v>
      </c>
      <c r="F7" s="56">
        <f t="shared" si="4"/>
        <v>3.7974731424557651E-2</v>
      </c>
      <c r="G7" s="56">
        <f t="shared" si="4"/>
        <v>3.8152522137446708E-2</v>
      </c>
      <c r="H7" s="53">
        <v>3.78E-2</v>
      </c>
      <c r="I7" s="74">
        <f t="shared" si="1"/>
        <v>3.8521474829770863E-2</v>
      </c>
      <c r="J7" s="75"/>
      <c r="K7" s="68">
        <f>H7-1.06%</f>
        <v>2.7200000000000002E-2</v>
      </c>
    </row>
    <row r="8" spans="1:11" ht="23.15" customHeight="1" x14ac:dyDescent="0.4">
      <c r="A8" s="51" t="s">
        <v>62</v>
      </c>
      <c r="B8" s="52">
        <f>((1+$I8)^(B2/365)-1)*365/B2</f>
        <v>3.7611621940462241E-2</v>
      </c>
      <c r="C8" s="52">
        <f t="shared" ref="C8:G8" si="5">((1+$I8)^(C2/365)-1)*365/C2</f>
        <v>3.762518692503198E-2</v>
      </c>
      <c r="D8" s="52">
        <f t="shared" si="5"/>
        <v>3.7656217104698797E-2</v>
      </c>
      <c r="E8" s="52">
        <f t="shared" si="5"/>
        <v>3.7714490694561884E-2</v>
      </c>
      <c r="F8" s="52">
        <f t="shared" si="5"/>
        <v>3.7772884523489474E-2</v>
      </c>
      <c r="G8" s="52">
        <f t="shared" si="5"/>
        <v>3.7948790239201682E-2</v>
      </c>
      <c r="H8" s="53">
        <v>3.7600000000000001E-2</v>
      </c>
      <c r="I8" s="74">
        <f t="shared" si="1"/>
        <v>3.8313812750667031E-2</v>
      </c>
      <c r="J8" s="75"/>
      <c r="K8" s="68">
        <f>H8-'Daily Data'!H138</f>
        <v>2.2499999999999999E-2</v>
      </c>
    </row>
    <row r="9" spans="1:11" ht="23.15" customHeight="1" x14ac:dyDescent="0.5">
      <c r="A9" s="51" t="s">
        <v>61</v>
      </c>
      <c r="B9" s="56">
        <f>((1+$I9)^(B2/365)-1)*365/B2</f>
        <v>4.0113218940828678E-2</v>
      </c>
      <c r="C9" s="56">
        <f t="shared" ref="C9:G9" si="6">((1+$I9)^(C2/365)-1)*365/C2</f>
        <v>4.0128648382387055E-2</v>
      </c>
      <c r="D9" s="56">
        <f t="shared" si="6"/>
        <v>4.0163945399559919E-2</v>
      </c>
      <c r="E9" s="56">
        <f t="shared" si="6"/>
        <v>4.0230238927370383E-2</v>
      </c>
      <c r="F9" s="56">
        <f t="shared" si="6"/>
        <v>4.0296678351598655E-2</v>
      </c>
      <c r="G9" s="56">
        <f t="shared" si="6"/>
        <v>4.0496875619757178E-2</v>
      </c>
      <c r="H9" s="53">
        <v>4.0099999999999997E-2</v>
      </c>
      <c r="I9" s="74">
        <f t="shared" si="1"/>
        <v>4.0912567765710728E-2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BA665-358D-4A61-93A1-127C7228725C}">
  <dimension ref="A1:K10"/>
  <sheetViews>
    <sheetView tabSelected="1" zoomScale="70" zoomScaleNormal="7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0.04</v>
      </c>
      <c r="D3" s="55">
        <v>4.02E-2</v>
      </c>
      <c r="E3" s="55">
        <v>4.2900000000000001E-2</v>
      </c>
      <c r="F3" s="55">
        <v>4.2900000000000001E-2</v>
      </c>
      <c r="G3" s="55">
        <v>4.0099999999999997E-2</v>
      </c>
      <c r="H3" s="53">
        <v>4.1099999999999998E-2</v>
      </c>
      <c r="I3" s="74">
        <f>(1+H3/365)^365-1</f>
        <v>4.1953885076647213E-2</v>
      </c>
      <c r="J3" s="75"/>
      <c r="K3" s="68">
        <f>H3-'Daily Data'!AR139</f>
        <v>2.4999999999999998E-2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Data'!Z139</f>
        <v>6.5000000000000023E-3</v>
      </c>
    </row>
    <row r="5" spans="1:11" ht="23.15" customHeight="1" x14ac:dyDescent="0.5">
      <c r="A5" s="51" t="s">
        <v>17</v>
      </c>
      <c r="B5" s="56">
        <v>4.6300000000000001E-2</v>
      </c>
      <c r="C5" s="56">
        <f t="shared" ref="C5:G5" si="2">((1+$I5)^(C2/365)-1)*365/C2</f>
        <v>3.8626544761562069E-2</v>
      </c>
      <c r="D5" s="56">
        <v>5.5599999999999997E-2</v>
      </c>
      <c r="E5" s="56">
        <f t="shared" si="2"/>
        <v>3.8720668005707982E-2</v>
      </c>
      <c r="F5" s="56">
        <f t="shared" si="2"/>
        <v>3.8782217460826149E-2</v>
      </c>
      <c r="G5" s="56">
        <f t="shared" si="2"/>
        <v>3.8967649563848281E-2</v>
      </c>
      <c r="H5" s="57">
        <v>3.8600000000000002E-2</v>
      </c>
      <c r="I5" s="74">
        <f t="shared" si="1"/>
        <v>3.9352537413389843E-2</v>
      </c>
      <c r="J5" s="75"/>
      <c r="K5" s="68">
        <f>H5-'Daily Data'!BJ139</f>
        <v>2.3600000000000003E-2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3.9800000000000002E-2</v>
      </c>
      <c r="C7" s="56">
        <f t="shared" ref="C7:G7" si="4">((1+$I7)^(C2/365)-1)*365/C2</f>
        <v>3.7925590531587998E-2</v>
      </c>
      <c r="D7" s="56">
        <v>4.1700000000000001E-2</v>
      </c>
      <c r="E7" s="56">
        <f t="shared" si="4"/>
        <v>3.801632681242758E-2</v>
      </c>
      <c r="F7" s="56">
        <f t="shared" si="4"/>
        <v>3.8075658566120378E-2</v>
      </c>
      <c r="G7" s="56">
        <f t="shared" si="4"/>
        <v>3.8254395579506578E-2</v>
      </c>
      <c r="H7" s="53">
        <v>3.7900000000000003E-2</v>
      </c>
      <c r="I7" s="74">
        <f t="shared" si="1"/>
        <v>3.8625321400776125E-2</v>
      </c>
      <c r="J7" s="75"/>
      <c r="K7" s="68">
        <f>H7-1.06</f>
        <v>-1.0221</v>
      </c>
    </row>
    <row r="8" spans="1:11" ht="23.15" customHeight="1" x14ac:dyDescent="0.4">
      <c r="A8" s="51" t="s">
        <v>62</v>
      </c>
      <c r="B8" s="52">
        <f>((1+$I8)^(B2/365)-1)*365/B2</f>
        <v>3.7111314875581947E-2</v>
      </c>
      <c r="C8" s="52">
        <f t="shared" ref="C8:G8" si="5">((1+$I8)^(C2/365)-1)*365/C2</f>
        <v>3.7124521379478526E-2</v>
      </c>
      <c r="D8" s="52">
        <f t="shared" si="5"/>
        <v>3.7154731209908344E-2</v>
      </c>
      <c r="E8" s="52">
        <f t="shared" si="5"/>
        <v>3.7211463020234627E-2</v>
      </c>
      <c r="F8" s="52">
        <f t="shared" si="5"/>
        <v>3.7268310329474294E-2</v>
      </c>
      <c r="G8" s="52">
        <f t="shared" si="5"/>
        <v>3.7439547899246244E-2</v>
      </c>
      <c r="H8" s="53">
        <v>3.7100000000000001E-2</v>
      </c>
      <c r="I8" s="74">
        <f t="shared" si="1"/>
        <v>3.7794838704558797E-2</v>
      </c>
      <c r="J8" s="75"/>
      <c r="K8" s="68">
        <f>H8-'Daily Data'!H139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3.8912439551918511E-2</v>
      </c>
      <c r="C9" s="56">
        <f t="shared" ref="C9:G9" si="6">((1+$I9)^(C2/365)-1)*365/C2</f>
        <v>3.8926959066522389E-2</v>
      </c>
      <c r="D9" s="56">
        <f t="shared" si="6"/>
        <v>3.8960173660393282E-2</v>
      </c>
      <c r="E9" s="56">
        <f t="shared" si="6"/>
        <v>3.9022552912378425E-2</v>
      </c>
      <c r="F9" s="56">
        <f t="shared" si="6"/>
        <v>3.9085065331842528E-2</v>
      </c>
      <c r="G9" s="56">
        <f t="shared" si="6"/>
        <v>3.9273404797430481E-2</v>
      </c>
      <c r="H9" s="53">
        <v>3.8899999999999997E-2</v>
      </c>
      <c r="I9" s="74">
        <f t="shared" si="1"/>
        <v>3.9664356841096371E-2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3 A4 H4 A5:H9">
    <cfRule type="expression" dxfId="2" priority="3">
      <formula>_xlfn.ISFORMULA(A1)</formula>
    </cfRule>
    <cfRule type="expression" priority="4">
      <formula>_xlfn.ISFORMULA(A1)</formula>
    </cfRule>
  </conditionalFormatting>
  <conditionalFormatting sqref="J1:J9 I1:I10 A10:F10">
    <cfRule type="expression" dxfId="1" priority="5">
      <formula>_xlfn.ISFORMULA(A1)</formula>
    </cfRule>
    <cfRule type="expression" priority="6">
      <formula>_xlfn.ISFORMULA(A1)</formula>
    </cfRule>
  </conditionalFormatting>
  <conditionalFormatting sqref="B4:G4">
    <cfRule type="expression" dxfId="0" priority="1">
      <formula>_xlfn.ISFORMULA(B4)</formula>
    </cfRule>
    <cfRule type="expression" priority="2">
      <formula>_xlfn.ISFORMULA(B4)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114</vt:i4>
      </vt:variant>
    </vt:vector>
  </HeadingPairs>
  <TitlesOfParts>
    <vt:vector size="114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29.3.2026</vt:lpstr>
      <vt:lpstr>30.3.2026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  <vt:lpstr>20.06.2026</vt:lpstr>
      <vt:lpstr>21.06.2026</vt:lpstr>
      <vt:lpstr>22.06.2026</vt:lpstr>
      <vt:lpstr>23.06.2026</vt:lpstr>
      <vt:lpstr>24.06.2026</vt:lpstr>
      <vt:lpstr>25.06.2026</vt:lpstr>
      <vt:lpstr>26.06.2026</vt:lpstr>
      <vt:lpstr>27.06.2026</vt:lpstr>
      <vt:lpstr>28.06.2026</vt:lpstr>
      <vt:lpstr>29.06.2026</vt:lpstr>
      <vt:lpstr>30.06.2026</vt:lpstr>
      <vt:lpstr>01.07.2026</vt:lpstr>
      <vt:lpstr>02.07.2026</vt:lpstr>
      <vt:lpstr>03.07.2026</vt:lpstr>
      <vt:lpstr>04.07.2026</vt:lpstr>
      <vt:lpstr>05.07.2026</vt:lpstr>
      <vt:lpstr>06.07.2026</vt:lpstr>
      <vt:lpstr>07.07.2026</vt:lpstr>
      <vt:lpstr>08.07.2026</vt:lpstr>
      <vt:lpstr>09.07.2026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2026-07-09T10:33:42Z</dcterms:modified>
</cp:coreProperties>
</file>