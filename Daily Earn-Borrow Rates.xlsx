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7EAFBA68-2B25-447F-B04A-D58B3207C3F6}" xr6:coauthVersionLast="47" xr6:coauthVersionMax="47" xr10:uidLastSave="{00000000-0000-0000-0000-000000000000}"/>
  <bookViews>
    <workbookView xWindow="-28920" yWindow="855" windowWidth="29040" windowHeight="17520" firstSheet="116" activeTab="125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.3.2026" sheetId="29" r:id="rId12"/>
    <sheet name="30.3.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  <sheet name="24.06.2026" sheetId="121" r:id="rId99"/>
    <sheet name="25.06.2026" sheetId="122" r:id="rId100"/>
    <sheet name="26.06.2026" sheetId="123" r:id="rId101"/>
    <sheet name="27.06.2026" sheetId="124" r:id="rId102"/>
    <sheet name="28.06.2026" sheetId="125" r:id="rId103"/>
    <sheet name="29.06.2026" sheetId="126" r:id="rId104"/>
    <sheet name="30.06.2026" sheetId="127" r:id="rId105"/>
    <sheet name="01.07.2026" sheetId="128" r:id="rId106"/>
    <sheet name="02.07.2026" sheetId="129" r:id="rId107"/>
    <sheet name="03.07.2026" sheetId="130" r:id="rId108"/>
    <sheet name="04.07.2026" sheetId="131" r:id="rId109"/>
    <sheet name="05.07.2026" sheetId="132" r:id="rId110"/>
    <sheet name="06.07.2026" sheetId="133" r:id="rId111"/>
    <sheet name="07.07.2026" sheetId="134" r:id="rId112"/>
    <sheet name="08.07.2026" sheetId="135" r:id="rId113"/>
    <sheet name="09.07.2026" sheetId="136" r:id="rId114"/>
    <sheet name="10.07.2026" sheetId="137" r:id="rId115"/>
    <sheet name="11.07.2026" sheetId="138" r:id="rId116"/>
    <sheet name="12.07.2026" sheetId="139" r:id="rId117"/>
    <sheet name="13.07.2026" sheetId="140" r:id="rId118"/>
    <sheet name="14.07.2026" sheetId="141" r:id="rId119"/>
    <sheet name="15.07.2026" sheetId="142" r:id="rId120"/>
    <sheet name="16.07.2026" sheetId="143" r:id="rId121"/>
    <sheet name="17.07.2026" sheetId="144" r:id="rId122"/>
    <sheet name="18.07.2026" sheetId="145" r:id="rId123"/>
    <sheet name="19.07.2026" sheetId="146" r:id="rId124"/>
    <sheet name="20.07.2026" sheetId="147" r:id="rId125"/>
    <sheet name="21.07.2026" sheetId="148" r:id="rId12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48" l="1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<sst xmlns="http://schemas.openxmlformats.org/spreadsheetml/2006/main" count="6052" uniqueCount="73">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</sst>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7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3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sharedStrings" Target="sharedString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calcChain" Target="calcChain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593960</xdr:colOff>
      <xdr:row>164</xdr:row>
      <xdr:rowOff>172508</xdr:rowOff>
    </xdr:from>
    <xdr:to>
      <xdr:col>33</xdr:col>
      <xdr:colOff>350396</xdr:colOff>
      <xdr:row>199</xdr:row>
      <xdr:rowOff>9603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8648" y="30112758"/>
          <a:ext cx="6487436" cy="622678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186" zoomScale="115" zoomScaleNormal="115" workbookViewId="0">
      <selection activeCell="G203" sqref="G203"/>
    </sheetView>
  </sheetViews>
  <sheetFormatPr defaultRowHeight="14.5" x14ac:dyDescent="0.35"/>
  <cols>
    <col min="1" max="2" width="15.54296875" style="80" customWidth="1"/>
    <col min="3" max="6" width="15.54296875" style="24" customWidth="1"/>
    <col min="7" max="7" width="11.81640625" style="92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0" t="s">
        <v>68</v>
      </c>
    </row>
    <row r="2" spans="1:7" x14ac:dyDescent="0.35">
      <c r="A2" s="86">
        <v>46023</v>
      </c>
      <c r="B2" s="87">
        <v>4.36E-2</v>
      </c>
      <c r="C2" s="88">
        <v>3.1600000000000003E-2</v>
      </c>
      <c r="D2" s="88">
        <v>3.85E-2</v>
      </c>
      <c r="E2" s="88">
        <v>4.5400000000000003E-2</v>
      </c>
      <c r="F2" s="88">
        <v>4.4299999999999999E-2</v>
      </c>
      <c r="G2" s="89">
        <v>88728</v>
      </c>
    </row>
    <row r="3" spans="1:7" x14ac:dyDescent="0.35">
      <c r="A3" s="86">
        <v>46024</v>
      </c>
      <c r="B3" s="87">
        <v>4.4600000000000001E-2</v>
      </c>
      <c r="C3" s="88">
        <v>3.1600000000000003E-2</v>
      </c>
      <c r="D3" s="88">
        <v>3.9399999999999998E-2</v>
      </c>
      <c r="E3" s="88">
        <v>4.6199999999999998E-2</v>
      </c>
      <c r="F3" s="88">
        <v>4.36E-2</v>
      </c>
      <c r="G3" s="89">
        <v>89926</v>
      </c>
    </row>
    <row r="4" spans="1:7" x14ac:dyDescent="0.35">
      <c r="A4" s="86">
        <v>46025</v>
      </c>
      <c r="B4" s="87">
        <v>4.5900000000000003E-2</v>
      </c>
      <c r="C4" s="88">
        <v>3.1600000000000003E-2</v>
      </c>
      <c r="D4" s="88">
        <v>3.9699999999999999E-2</v>
      </c>
      <c r="E4" s="88">
        <v>4.7199999999999999E-2</v>
      </c>
      <c r="F4" s="88">
        <v>4.2700000000000002E-2</v>
      </c>
      <c r="G4" s="89">
        <v>90594</v>
      </c>
    </row>
    <row r="5" spans="1:7" x14ac:dyDescent="0.35">
      <c r="A5" s="86">
        <v>46026</v>
      </c>
      <c r="B5" s="87">
        <v>4.5900000000000003E-2</v>
      </c>
      <c r="C5" s="88">
        <v>3.1600000000000003E-2</v>
      </c>
      <c r="D5" s="88">
        <v>3.9600000000000003E-2</v>
      </c>
      <c r="E5" s="88">
        <v>4.7800000000000002E-2</v>
      </c>
      <c r="F5" s="88">
        <v>4.0399999999999998E-2</v>
      </c>
      <c r="G5" s="89">
        <v>91373</v>
      </c>
    </row>
    <row r="6" spans="1:7" x14ac:dyDescent="0.35">
      <c r="A6" s="86">
        <v>46027</v>
      </c>
      <c r="B6" s="87">
        <v>4.6199999999999998E-2</v>
      </c>
      <c r="C6" s="88">
        <v>3.1600000000000003E-2</v>
      </c>
      <c r="D6" s="88">
        <v>3.95E-2</v>
      </c>
      <c r="E6" s="88">
        <v>4.7899999999999998E-2</v>
      </c>
      <c r="F6" s="88">
        <v>4.8899999999999999E-2</v>
      </c>
      <c r="G6" s="89">
        <v>93927</v>
      </c>
    </row>
    <row r="7" spans="1:7" x14ac:dyDescent="0.35">
      <c r="A7" s="86">
        <v>46028</v>
      </c>
      <c r="B7" s="87">
        <v>4.58E-2</v>
      </c>
      <c r="C7" s="88">
        <v>3.1600000000000003E-2</v>
      </c>
      <c r="D7" s="88">
        <v>3.9699999999999999E-2</v>
      </c>
      <c r="E7" s="88">
        <v>4.7E-2</v>
      </c>
      <c r="F7" s="88">
        <v>5.0299999999999997E-2</v>
      </c>
      <c r="G7" s="89">
        <v>93667</v>
      </c>
    </row>
    <row r="8" spans="1:7" x14ac:dyDescent="0.35">
      <c r="A8" s="86">
        <v>46029</v>
      </c>
      <c r="B8" s="87">
        <v>4.5600000000000002E-2</v>
      </c>
      <c r="C8" s="88">
        <v>3.1600000000000003E-2</v>
      </c>
      <c r="D8" s="88">
        <v>3.9800000000000002E-2</v>
      </c>
      <c r="E8" s="88">
        <v>4.7500000000000001E-2</v>
      </c>
      <c r="F8" s="88">
        <v>5.1400000000000001E-2</v>
      </c>
      <c r="G8" s="89">
        <v>91257</v>
      </c>
    </row>
    <row r="9" spans="1:7" x14ac:dyDescent="0.35">
      <c r="A9" s="86">
        <v>46030</v>
      </c>
      <c r="B9" s="87">
        <v>4.6100000000000002E-2</v>
      </c>
      <c r="C9" s="88">
        <v>3.1600000000000003E-2</v>
      </c>
      <c r="D9" s="88">
        <v>3.8399999999999997E-2</v>
      </c>
      <c r="E9" s="88">
        <v>4.8000000000000001E-2</v>
      </c>
      <c r="F9" s="88">
        <v>5.0599999999999999E-2</v>
      </c>
      <c r="G9" s="89">
        <v>90984</v>
      </c>
    </row>
    <row r="10" spans="1:7" x14ac:dyDescent="0.35">
      <c r="A10" s="86">
        <v>46031</v>
      </c>
      <c r="B10" s="87">
        <v>4.6100000000000002E-2</v>
      </c>
      <c r="C10" s="88">
        <v>3.1600000000000003E-2</v>
      </c>
      <c r="D10" s="88">
        <v>3.73E-2</v>
      </c>
      <c r="E10" s="88">
        <v>4.8599999999999997E-2</v>
      </c>
      <c r="F10" s="88">
        <v>5.1700000000000003E-2</v>
      </c>
      <c r="G10" s="89">
        <v>90505</v>
      </c>
    </row>
    <row r="11" spans="1:7" x14ac:dyDescent="0.35">
      <c r="A11" s="86">
        <v>46032</v>
      </c>
      <c r="B11" s="87">
        <v>4.65E-2</v>
      </c>
      <c r="C11" s="88">
        <v>3.1600000000000003E-2</v>
      </c>
      <c r="D11" s="88">
        <v>3.7100000000000001E-2</v>
      </c>
      <c r="E11" s="88">
        <v>4.7500000000000001E-2</v>
      </c>
      <c r="F11" s="88">
        <v>5.1799999999999999E-2</v>
      </c>
      <c r="G11" s="89">
        <v>90442</v>
      </c>
    </row>
    <row r="12" spans="1:7" x14ac:dyDescent="0.35">
      <c r="A12" s="86">
        <v>46033</v>
      </c>
      <c r="B12" s="87">
        <v>4.6600000000000003E-2</v>
      </c>
      <c r="C12" s="88">
        <v>3.1600000000000003E-2</v>
      </c>
      <c r="D12" s="88">
        <v>3.73E-2</v>
      </c>
      <c r="E12" s="88">
        <v>4.8099999999999997E-2</v>
      </c>
      <c r="F12" s="88">
        <v>5.21E-2</v>
      </c>
      <c r="G12" s="89">
        <v>90819</v>
      </c>
    </row>
    <row r="13" spans="1:7" x14ac:dyDescent="0.35">
      <c r="A13" s="86">
        <v>46034</v>
      </c>
      <c r="B13" s="87">
        <v>4.7100000000000003E-2</v>
      </c>
      <c r="C13" s="88">
        <v>3.1600000000000003E-2</v>
      </c>
      <c r="D13" s="88">
        <v>3.8300000000000001E-2</v>
      </c>
      <c r="E13" s="88">
        <v>4.8899999999999999E-2</v>
      </c>
      <c r="F13" s="88">
        <v>5.2200000000000003E-2</v>
      </c>
      <c r="G13" s="89">
        <v>91135</v>
      </c>
    </row>
    <row r="14" spans="1:7" x14ac:dyDescent="0.35">
      <c r="A14" s="86">
        <v>46035</v>
      </c>
      <c r="B14" s="87">
        <v>4.6600000000000003E-2</v>
      </c>
      <c r="C14" s="88">
        <v>3.1600000000000003E-2</v>
      </c>
      <c r="D14" s="88">
        <v>3.8699999999999998E-2</v>
      </c>
      <c r="E14" s="88">
        <v>4.9200000000000001E-2</v>
      </c>
      <c r="F14" s="88">
        <v>5.0799999999999998E-2</v>
      </c>
      <c r="G14" s="89">
        <v>95260</v>
      </c>
    </row>
    <row r="15" spans="1:7" x14ac:dyDescent="0.35">
      <c r="A15" s="86">
        <v>46036</v>
      </c>
      <c r="B15" s="87">
        <v>4.9399999999999999E-2</v>
      </c>
      <c r="C15" s="88">
        <v>3.1600000000000003E-2</v>
      </c>
      <c r="D15" s="88">
        <v>4.2500000000000003E-2</v>
      </c>
      <c r="E15" s="88">
        <v>5.0200000000000002E-2</v>
      </c>
      <c r="F15" s="88">
        <v>4.7399999999999998E-2</v>
      </c>
      <c r="G15" s="89">
        <v>97008</v>
      </c>
    </row>
    <row r="16" spans="1:7" x14ac:dyDescent="0.35">
      <c r="A16" s="86">
        <v>46037</v>
      </c>
      <c r="B16" s="87">
        <v>4.99E-2</v>
      </c>
      <c r="C16" s="88">
        <v>3.1600000000000003E-2</v>
      </c>
      <c r="D16" s="88">
        <v>4.3900000000000002E-2</v>
      </c>
      <c r="E16" s="88">
        <v>5.11E-2</v>
      </c>
      <c r="F16" s="88">
        <v>5.3800000000000001E-2</v>
      </c>
      <c r="G16" s="89">
        <v>95585</v>
      </c>
    </row>
    <row r="17" spans="1:7" x14ac:dyDescent="0.35">
      <c r="A17" s="86">
        <v>46038</v>
      </c>
      <c r="B17" s="87">
        <v>4.9299999999999997E-2</v>
      </c>
      <c r="C17" s="88">
        <v>3.7499999999999999E-2</v>
      </c>
      <c r="D17" s="88">
        <v>5.3699999999999998E-2</v>
      </c>
      <c r="E17" s="88">
        <v>5.0999999999999997E-2</v>
      </c>
      <c r="F17" s="88">
        <v>5.8799999999999998E-2</v>
      </c>
      <c r="G17" s="89">
        <v>95516</v>
      </c>
    </row>
    <row r="18" spans="1:7" x14ac:dyDescent="0.35">
      <c r="A18" s="86">
        <v>46039</v>
      </c>
      <c r="B18" s="87">
        <v>4.7199999999999999E-2</v>
      </c>
      <c r="C18" s="88">
        <v>3.7499999999999999E-2</v>
      </c>
      <c r="D18" s="88">
        <v>5.1999999999999998E-2</v>
      </c>
      <c r="E18" s="88">
        <v>4.8899999999999999E-2</v>
      </c>
      <c r="F18" s="88">
        <v>5.7299999999999997E-2</v>
      </c>
      <c r="G18" s="89">
        <v>95100</v>
      </c>
    </row>
    <row r="19" spans="1:7" x14ac:dyDescent="0.35">
      <c r="A19" s="86">
        <v>46040</v>
      </c>
      <c r="B19" s="87">
        <v>4.5699999999999998E-2</v>
      </c>
      <c r="C19" s="88">
        <v>3.7499999999999999E-2</v>
      </c>
      <c r="D19" s="88">
        <v>5.0799999999999998E-2</v>
      </c>
      <c r="E19" s="88">
        <v>4.8300000000000003E-2</v>
      </c>
      <c r="F19" s="88">
        <v>5.6099999999999997E-2</v>
      </c>
      <c r="G19" s="89">
        <v>93753</v>
      </c>
    </row>
    <row r="20" spans="1:7" x14ac:dyDescent="0.35">
      <c r="A20" s="86">
        <v>46041</v>
      </c>
      <c r="B20" s="87">
        <v>4.53E-2</v>
      </c>
      <c r="C20" s="88">
        <v>3.7499999999999999E-2</v>
      </c>
      <c r="D20" s="88">
        <v>4.9700000000000001E-2</v>
      </c>
      <c r="E20" s="88">
        <v>4.7199999999999999E-2</v>
      </c>
      <c r="F20" s="88">
        <v>5.6000000000000001E-2</v>
      </c>
      <c r="G20" s="89">
        <v>92558</v>
      </c>
    </row>
    <row r="21" spans="1:7" x14ac:dyDescent="0.35">
      <c r="A21" s="86">
        <v>46042</v>
      </c>
      <c r="B21" s="87">
        <v>4.4200000000000003E-2</v>
      </c>
      <c r="C21" s="88">
        <v>3.7499999999999999E-2</v>
      </c>
      <c r="D21" s="88">
        <v>4.8599999999999997E-2</v>
      </c>
      <c r="E21" s="88">
        <v>4.6100000000000002E-2</v>
      </c>
      <c r="F21" s="88">
        <v>5.5899999999999998E-2</v>
      </c>
      <c r="G21" s="89">
        <v>88313</v>
      </c>
    </row>
    <row r="22" spans="1:7" x14ac:dyDescent="0.35">
      <c r="A22" s="86">
        <v>46043</v>
      </c>
      <c r="B22" s="87">
        <v>4.4699999999999997E-2</v>
      </c>
      <c r="C22" s="88">
        <v>3.7499999999999999E-2</v>
      </c>
      <c r="D22" s="88">
        <v>4.9099999999999998E-2</v>
      </c>
      <c r="E22" s="88">
        <v>4.6699999999999998E-2</v>
      </c>
      <c r="F22" s="88">
        <v>5.91E-2</v>
      </c>
      <c r="G22" s="89">
        <v>89354</v>
      </c>
    </row>
    <row r="23" spans="1:7" x14ac:dyDescent="0.35">
      <c r="A23" s="86">
        <v>46044</v>
      </c>
      <c r="B23" s="87">
        <v>4.41E-2</v>
      </c>
      <c r="C23" s="88">
        <v>3.7499999999999999E-2</v>
      </c>
      <c r="D23" s="88">
        <v>4.9000000000000002E-2</v>
      </c>
      <c r="E23" s="88">
        <v>4.6600000000000003E-2</v>
      </c>
      <c r="F23" s="88">
        <v>5.8099999999999999E-2</v>
      </c>
      <c r="G23" s="89">
        <v>89443</v>
      </c>
    </row>
    <row r="24" spans="1:7" x14ac:dyDescent="0.35">
      <c r="A24" s="86">
        <v>46045</v>
      </c>
      <c r="B24" s="87">
        <v>4.4299999999999999E-2</v>
      </c>
      <c r="C24" s="88">
        <v>3.7499999999999999E-2</v>
      </c>
      <c r="D24" s="88">
        <v>4.8399999999999999E-2</v>
      </c>
      <c r="E24" s="88">
        <v>4.6100000000000002E-2</v>
      </c>
      <c r="F24" s="88">
        <v>5.8299999999999998E-2</v>
      </c>
      <c r="G24" s="89">
        <v>89412</v>
      </c>
    </row>
    <row r="25" spans="1:7" x14ac:dyDescent="0.35">
      <c r="A25" s="86">
        <v>46046</v>
      </c>
      <c r="B25" s="87">
        <v>4.5400000000000003E-2</v>
      </c>
      <c r="C25" s="88">
        <v>3.7499999999999999E-2</v>
      </c>
      <c r="D25" s="88">
        <v>4.9000000000000002E-2</v>
      </c>
      <c r="E25" s="88">
        <v>4.7100000000000003E-2</v>
      </c>
      <c r="F25" s="88">
        <v>5.7200000000000001E-2</v>
      </c>
      <c r="G25" s="89">
        <v>89171</v>
      </c>
    </row>
    <row r="26" spans="1:7" x14ac:dyDescent="0.35">
      <c r="A26" s="86">
        <v>46047</v>
      </c>
      <c r="B26" s="87">
        <v>4.5999999999999999E-2</v>
      </c>
      <c r="C26" s="88">
        <v>3.7499999999999999E-2</v>
      </c>
      <c r="D26" s="88">
        <v>5.0500000000000003E-2</v>
      </c>
      <c r="E26" s="88">
        <v>4.8000000000000001E-2</v>
      </c>
      <c r="F26" s="88">
        <v>5.6800000000000003E-2</v>
      </c>
      <c r="G26" s="89">
        <v>86548</v>
      </c>
    </row>
    <row r="27" spans="1:7" x14ac:dyDescent="0.35">
      <c r="A27" s="86">
        <v>46048</v>
      </c>
      <c r="B27" s="87">
        <v>4.58E-2</v>
      </c>
      <c r="C27" s="88">
        <v>3.7499999999999999E-2</v>
      </c>
      <c r="D27" s="88">
        <v>5.0299999999999997E-2</v>
      </c>
      <c r="E27" s="88">
        <v>4.7699999999999999E-2</v>
      </c>
      <c r="F27" s="88">
        <v>5.7700000000000001E-2</v>
      </c>
      <c r="G27" s="89">
        <v>88308</v>
      </c>
    </row>
    <row r="28" spans="1:7" x14ac:dyDescent="0.35">
      <c r="A28" s="86">
        <v>46049</v>
      </c>
      <c r="B28" s="87">
        <v>4.65E-2</v>
      </c>
      <c r="C28" s="88">
        <v>3.7499999999999999E-2</v>
      </c>
      <c r="D28" s="88">
        <v>5.0900000000000001E-2</v>
      </c>
      <c r="E28" s="88">
        <v>4.8399999999999999E-2</v>
      </c>
      <c r="F28" s="88">
        <v>5.0500000000000003E-2</v>
      </c>
      <c r="G28" s="89">
        <v>89204</v>
      </c>
    </row>
    <row r="29" spans="1:7" x14ac:dyDescent="0.35">
      <c r="A29" s="86">
        <v>46050</v>
      </c>
      <c r="B29" s="87">
        <v>4.7E-2</v>
      </c>
      <c r="C29" s="88">
        <v>3.7499999999999999E-2</v>
      </c>
      <c r="D29" s="88">
        <v>5.0900000000000001E-2</v>
      </c>
      <c r="E29" s="88">
        <v>4.8399999999999999E-2</v>
      </c>
      <c r="F29" s="88">
        <v>5.5399999999999998E-2</v>
      </c>
      <c r="G29" s="89">
        <v>89162</v>
      </c>
    </row>
    <row r="30" spans="1:7" x14ac:dyDescent="0.35">
      <c r="A30" s="86">
        <v>46051</v>
      </c>
      <c r="B30" s="87">
        <v>4.8099999999999997E-2</v>
      </c>
      <c r="C30" s="88">
        <v>3.7499999999999999E-2</v>
      </c>
      <c r="D30" s="88">
        <v>5.21E-2</v>
      </c>
      <c r="E30" s="88">
        <v>4.99E-2</v>
      </c>
      <c r="F30" s="88">
        <v>5.5399999999999998E-2</v>
      </c>
      <c r="G30" s="89">
        <v>84570</v>
      </c>
    </row>
    <row r="31" spans="1:7" x14ac:dyDescent="0.35">
      <c r="A31" s="86">
        <v>46052</v>
      </c>
      <c r="B31" s="87">
        <v>4.6699999999999998E-2</v>
      </c>
      <c r="C31" s="88">
        <v>3.7499999999999999E-2</v>
      </c>
      <c r="D31" s="88">
        <v>5.1999999999999998E-2</v>
      </c>
      <c r="E31" s="88">
        <v>4.8800000000000003E-2</v>
      </c>
      <c r="F31" s="88">
        <v>5.3999999999999999E-2</v>
      </c>
      <c r="G31" s="89">
        <v>84142</v>
      </c>
    </row>
    <row r="32" spans="1:7" x14ac:dyDescent="0.35">
      <c r="A32" s="86">
        <v>46053</v>
      </c>
      <c r="B32" s="87">
        <v>4.4699999999999997E-2</v>
      </c>
      <c r="C32" s="88">
        <v>3.7499999999999999E-2</v>
      </c>
      <c r="D32" s="88">
        <v>4.8899999999999999E-2</v>
      </c>
      <c r="E32" s="88">
        <v>4.65E-2</v>
      </c>
      <c r="F32" s="88">
        <v>5.3499999999999999E-2</v>
      </c>
      <c r="G32" s="89">
        <v>78726</v>
      </c>
    </row>
    <row r="33" spans="1:7" x14ac:dyDescent="0.35">
      <c r="A33" s="81">
        <v>46054.125</v>
      </c>
      <c r="B33" s="87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89">
        <v>76937</v>
      </c>
    </row>
    <row r="34" spans="1:7" x14ac:dyDescent="0.35">
      <c r="A34" s="81">
        <v>46055.125</v>
      </c>
      <c r="B34" s="82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89">
        <v>78768</v>
      </c>
    </row>
    <row r="35" spans="1:7" x14ac:dyDescent="0.35">
      <c r="A35" s="81">
        <v>46056.125</v>
      </c>
      <c r="B35" s="82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89">
        <v>75639</v>
      </c>
    </row>
    <row r="36" spans="1:7" x14ac:dyDescent="0.35">
      <c r="A36" s="81">
        <v>46057.125</v>
      </c>
      <c r="B36" s="82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89">
        <v>73172</v>
      </c>
    </row>
    <row r="37" spans="1:7" x14ac:dyDescent="0.35">
      <c r="A37" s="81">
        <v>46058.125</v>
      </c>
      <c r="B37" s="82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89">
        <v>62854</v>
      </c>
    </row>
    <row r="38" spans="1:7" x14ac:dyDescent="0.35">
      <c r="A38" s="81">
        <v>46059.125</v>
      </c>
      <c r="B38" s="82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89">
        <v>70524</v>
      </c>
    </row>
    <row r="39" spans="1:7" x14ac:dyDescent="0.35">
      <c r="A39" s="81">
        <v>46060.125</v>
      </c>
      <c r="B39" s="82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89">
        <v>69297</v>
      </c>
    </row>
    <row r="40" spans="1:7" x14ac:dyDescent="0.35">
      <c r="A40" s="81">
        <v>46061.125</v>
      </c>
      <c r="B40" s="82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89">
        <v>70542</v>
      </c>
    </row>
    <row r="41" spans="1:7" x14ac:dyDescent="0.35">
      <c r="A41" s="81">
        <v>46062.125</v>
      </c>
      <c r="B41" s="82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89">
        <v>70096</v>
      </c>
    </row>
    <row r="42" spans="1:7" x14ac:dyDescent="0.35">
      <c r="A42" s="81">
        <v>46063.125</v>
      </c>
      <c r="B42" s="82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89">
        <v>68780</v>
      </c>
    </row>
    <row r="43" spans="1:7" x14ac:dyDescent="0.35">
      <c r="A43" s="81">
        <v>46064.125</v>
      </c>
      <c r="B43" s="82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89">
        <v>66938</v>
      </c>
    </row>
    <row r="44" spans="1:7" x14ac:dyDescent="0.35">
      <c r="A44" s="81">
        <v>46065.125</v>
      </c>
      <c r="B44" s="82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89">
        <v>66185</v>
      </c>
    </row>
    <row r="45" spans="1:7" x14ac:dyDescent="0.35">
      <c r="A45" s="81">
        <v>46066.125</v>
      </c>
      <c r="B45" s="82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89">
        <v>68839</v>
      </c>
    </row>
    <row r="46" spans="1:7" x14ac:dyDescent="0.35">
      <c r="A46" s="81">
        <v>46067.125</v>
      </c>
      <c r="B46" s="82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89">
        <v>69766</v>
      </c>
    </row>
    <row r="47" spans="1:7" x14ac:dyDescent="0.35">
      <c r="A47" s="81">
        <v>46068.125</v>
      </c>
      <c r="B47" s="82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89">
        <v>68717</v>
      </c>
    </row>
    <row r="48" spans="1:7" x14ac:dyDescent="0.35">
      <c r="A48" s="81">
        <v>46069.125</v>
      </c>
      <c r="B48" s="82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89">
        <v>68908</v>
      </c>
    </row>
    <row r="49" spans="1:8" x14ac:dyDescent="0.35">
      <c r="A49" s="81">
        <v>46070.125</v>
      </c>
      <c r="B49" s="82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89">
        <v>67489</v>
      </c>
    </row>
    <row r="50" spans="1:8" x14ac:dyDescent="0.35">
      <c r="A50" s="81">
        <v>46071.125</v>
      </c>
      <c r="B50" s="82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89">
        <v>66456</v>
      </c>
    </row>
    <row r="51" spans="1:8" x14ac:dyDescent="0.35">
      <c r="A51" s="81">
        <v>46072.125</v>
      </c>
      <c r="B51" s="82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89">
        <v>66919</v>
      </c>
    </row>
    <row r="52" spans="1:8" x14ac:dyDescent="0.35">
      <c r="A52" s="81">
        <v>46073.125</v>
      </c>
      <c r="B52" s="82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89">
        <v>67970</v>
      </c>
    </row>
    <row r="53" spans="1:8" x14ac:dyDescent="0.35">
      <c r="A53" s="81">
        <v>46074.125</v>
      </c>
      <c r="B53" s="82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89">
        <v>67978</v>
      </c>
    </row>
    <row r="54" spans="1:8" x14ac:dyDescent="0.35">
      <c r="A54" s="81">
        <v>46075.125</v>
      </c>
      <c r="B54" s="82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89">
        <v>67585</v>
      </c>
    </row>
    <row r="55" spans="1:8" x14ac:dyDescent="0.35">
      <c r="A55" s="81">
        <v>46076.125</v>
      </c>
      <c r="B55" s="82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89">
        <v>64578</v>
      </c>
    </row>
    <row r="56" spans="1:8" x14ac:dyDescent="0.35">
      <c r="A56" s="81">
        <v>46077.125</v>
      </c>
      <c r="B56" s="82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89">
        <v>64074</v>
      </c>
    </row>
    <row r="57" spans="1:8" x14ac:dyDescent="0.35">
      <c r="A57" s="81">
        <v>46078.125</v>
      </c>
      <c r="B57" s="82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89">
        <v>67947</v>
      </c>
    </row>
    <row r="58" spans="1:8" x14ac:dyDescent="0.35">
      <c r="A58" s="81">
        <v>46079.125</v>
      </c>
      <c r="B58" s="82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89">
        <v>67469</v>
      </c>
    </row>
    <row r="59" spans="1:8" x14ac:dyDescent="0.35">
      <c r="A59" s="81">
        <v>46080.125</v>
      </c>
      <c r="B59" s="82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89">
        <v>65884</v>
      </c>
    </row>
    <row r="60" spans="1:8" x14ac:dyDescent="0.35">
      <c r="A60" s="81">
        <v>46081.125</v>
      </c>
      <c r="B60" s="82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89">
        <v>67008</v>
      </c>
    </row>
    <row r="61" spans="1:8" x14ac:dyDescent="0.35">
      <c r="A61" s="81">
        <v>46082.125</v>
      </c>
      <c r="B61" s="82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89">
        <v>65713</v>
      </c>
    </row>
    <row r="62" spans="1:8" x14ac:dyDescent="0.35">
      <c r="A62" s="81">
        <v>46083.125</v>
      </c>
      <c r="B62" s="82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89">
        <v>68864</v>
      </c>
    </row>
    <row r="63" spans="1:8" x14ac:dyDescent="0.35">
      <c r="A63" s="81">
        <v>46084.125</v>
      </c>
      <c r="B63" s="82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89">
        <v>68322</v>
      </c>
      <c r="H63" s="47"/>
    </row>
    <row r="64" spans="1:8" x14ac:dyDescent="0.35">
      <c r="A64" s="81">
        <v>46085.125</v>
      </c>
      <c r="B64" s="82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89">
        <v>72670</v>
      </c>
    </row>
    <row r="65" spans="1:7" x14ac:dyDescent="0.35">
      <c r="A65" s="81">
        <v>46086.125</v>
      </c>
      <c r="B65" s="82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89">
        <v>70875</v>
      </c>
    </row>
    <row r="66" spans="1:7" x14ac:dyDescent="0.35">
      <c r="A66" s="81">
        <v>46087.125</v>
      </c>
      <c r="B66" s="82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89">
        <v>68148</v>
      </c>
    </row>
    <row r="67" spans="1:7" x14ac:dyDescent="0.35">
      <c r="A67" s="81">
        <v>46088.125</v>
      </c>
      <c r="B67" s="82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89">
        <v>67271</v>
      </c>
    </row>
    <row r="68" spans="1:7" x14ac:dyDescent="0.35">
      <c r="A68" s="81">
        <v>46089.125</v>
      </c>
      <c r="B68" s="82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89">
        <v>66036</v>
      </c>
    </row>
    <row r="69" spans="1:7" x14ac:dyDescent="0.35">
      <c r="A69" s="81">
        <v>46090.125</v>
      </c>
      <c r="B69" s="82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89">
        <v>68459</v>
      </c>
    </row>
    <row r="70" spans="1:7" x14ac:dyDescent="0.35">
      <c r="A70" s="81">
        <v>46091.125</v>
      </c>
      <c r="B70" s="82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89">
        <v>69883</v>
      </c>
    </row>
    <row r="71" spans="1:7" x14ac:dyDescent="0.35">
      <c r="A71" s="81">
        <v>46092.125</v>
      </c>
      <c r="B71" s="82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89">
        <v>70227</v>
      </c>
    </row>
    <row r="72" spans="1:7" x14ac:dyDescent="0.35">
      <c r="A72" s="81">
        <v>46093.125</v>
      </c>
      <c r="B72" s="82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89">
        <v>70544</v>
      </c>
    </row>
    <row r="73" spans="1:7" x14ac:dyDescent="0.35">
      <c r="A73" s="81">
        <v>46094.125</v>
      </c>
      <c r="B73" s="82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89">
        <v>70965</v>
      </c>
    </row>
    <row r="74" spans="1:7" x14ac:dyDescent="0.35">
      <c r="A74" s="81">
        <v>46095.125</v>
      </c>
      <c r="B74" s="82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89">
        <v>71217</v>
      </c>
    </row>
    <row r="75" spans="1:7" x14ac:dyDescent="0.35">
      <c r="A75" s="81">
        <v>46096.125</v>
      </c>
      <c r="B75" s="82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89">
        <v>72682</v>
      </c>
    </row>
    <row r="76" spans="1:7" x14ac:dyDescent="0.35">
      <c r="A76" s="81">
        <v>46097.125</v>
      </c>
      <c r="B76" s="82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89">
        <v>74858</v>
      </c>
    </row>
    <row r="77" spans="1:7" x14ac:dyDescent="0.35">
      <c r="A77" s="81">
        <v>46098.125</v>
      </c>
      <c r="B77" s="82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89">
        <v>73926</v>
      </c>
    </row>
    <row r="78" spans="1:7" x14ac:dyDescent="0.35">
      <c r="A78" s="81">
        <v>46099.125</v>
      </c>
      <c r="B78" s="82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89">
        <v>71256</v>
      </c>
    </row>
    <row r="79" spans="1:7" x14ac:dyDescent="0.35">
      <c r="A79" s="81">
        <v>46100.125</v>
      </c>
      <c r="B79" s="82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89">
        <v>69871</v>
      </c>
    </row>
    <row r="80" spans="1:7" x14ac:dyDescent="0.35">
      <c r="A80" s="81">
        <v>46101.125</v>
      </c>
      <c r="B80" s="82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89">
        <v>70553</v>
      </c>
    </row>
    <row r="81" spans="1:7" x14ac:dyDescent="0.35">
      <c r="A81" s="81">
        <v>46102.125</v>
      </c>
      <c r="B81" s="82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89">
        <v>68734</v>
      </c>
    </row>
    <row r="82" spans="1:7" x14ac:dyDescent="0.35">
      <c r="A82" s="81">
        <v>46103.125</v>
      </c>
      <c r="B82" s="82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89">
        <v>67849</v>
      </c>
    </row>
    <row r="83" spans="1:7" x14ac:dyDescent="0.35">
      <c r="A83" s="81">
        <v>46104.125</v>
      </c>
      <c r="B83" s="82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89">
        <v>70893</v>
      </c>
    </row>
    <row r="84" spans="1:7" x14ac:dyDescent="0.35">
      <c r="A84" s="81">
        <v>46105.125</v>
      </c>
      <c r="B84" s="82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89">
        <v>70525</v>
      </c>
    </row>
    <row r="85" spans="1:7" x14ac:dyDescent="0.35">
      <c r="A85" s="81">
        <v>46106.125</v>
      </c>
      <c r="B85" s="82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89">
        <v>71309</v>
      </c>
    </row>
    <row r="86" spans="1:7" x14ac:dyDescent="0.35">
      <c r="A86" s="81">
        <v>46107.125</v>
      </c>
      <c r="B86" s="82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89">
        <v>68791</v>
      </c>
    </row>
    <row r="87" spans="1:7" x14ac:dyDescent="0.35">
      <c r="A87" s="81">
        <v>46108.125</v>
      </c>
      <c r="B87" s="82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89">
        <v>66321</v>
      </c>
    </row>
    <row r="88" spans="1:7" x14ac:dyDescent="0.35">
      <c r="A88" s="81">
        <v>46109.125</v>
      </c>
      <c r="B88" s="82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89">
        <v>66321</v>
      </c>
    </row>
    <row r="89" spans="1:7" x14ac:dyDescent="0.35">
      <c r="A89" s="81">
        <v>46110.125</v>
      </c>
      <c r="B89" s="82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89">
        <v>65970</v>
      </c>
    </row>
    <row r="90" spans="1:7" x14ac:dyDescent="0.35">
      <c r="A90" s="81">
        <v>46111.125</v>
      </c>
      <c r="B90" s="82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89">
        <v>66699</v>
      </c>
    </row>
    <row r="91" spans="1:7" x14ac:dyDescent="0.35">
      <c r="A91" s="81">
        <v>46112.125</v>
      </c>
      <c r="B91" s="82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89">
        <v>68232</v>
      </c>
    </row>
    <row r="92" spans="1:7" x14ac:dyDescent="0.35">
      <c r="A92" s="81">
        <v>46113.125</v>
      </c>
      <c r="B92" s="82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89">
        <v>68089</v>
      </c>
    </row>
    <row r="93" spans="1:7" x14ac:dyDescent="0.35">
      <c r="A93" s="81">
        <v>46114.125</v>
      </c>
      <c r="B93" s="82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89">
        <v>66892</v>
      </c>
    </row>
    <row r="94" spans="1:7" x14ac:dyDescent="0.35">
      <c r="A94" s="81">
        <v>46115.125</v>
      </c>
      <c r="B94" s="82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89">
        <v>66940</v>
      </c>
    </row>
    <row r="95" spans="1:7" x14ac:dyDescent="0.35">
      <c r="A95" s="81">
        <v>46116.125</v>
      </c>
      <c r="B95" s="82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89">
        <v>67304</v>
      </c>
    </row>
    <row r="96" spans="1:7" x14ac:dyDescent="0.35">
      <c r="A96" s="81">
        <v>46117.125</v>
      </c>
      <c r="B96" s="82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89">
        <v>68986</v>
      </c>
    </row>
    <row r="97" spans="1:7" x14ac:dyDescent="0.35">
      <c r="A97" s="81">
        <v>46118.125</v>
      </c>
      <c r="B97" s="82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89">
        <v>68864</v>
      </c>
    </row>
    <row r="98" spans="1:7" x14ac:dyDescent="0.35">
      <c r="A98" s="81">
        <v>46119.125</v>
      </c>
      <c r="B98" s="82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89">
        <v>71976</v>
      </c>
    </row>
    <row r="99" spans="1:7" x14ac:dyDescent="0.35">
      <c r="A99" s="81">
        <v>46120.125</v>
      </c>
      <c r="B99" s="82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89">
        <v>71117</v>
      </c>
    </row>
    <row r="100" spans="1:7" x14ac:dyDescent="0.35">
      <c r="A100" s="81">
        <v>46121.125</v>
      </c>
      <c r="B100" s="82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89">
        <v>71771</v>
      </c>
    </row>
    <row r="101" spans="1:7" x14ac:dyDescent="0.35">
      <c r="A101" s="81">
        <v>46122.125</v>
      </c>
      <c r="B101" s="82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89">
        <v>72973</v>
      </c>
    </row>
    <row r="102" spans="1:7" x14ac:dyDescent="0.35">
      <c r="A102" s="81">
        <v>46123.125</v>
      </c>
      <c r="B102" s="82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89">
        <v>73054</v>
      </c>
    </row>
    <row r="103" spans="1:7" x14ac:dyDescent="0.35">
      <c r="A103" s="81">
        <v>46124.125</v>
      </c>
      <c r="B103" s="82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89">
        <v>70757</v>
      </c>
    </row>
    <row r="104" spans="1:7" x14ac:dyDescent="0.35">
      <c r="A104" s="81">
        <v>46125.125</v>
      </c>
      <c r="B104" s="82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89">
        <v>74515</v>
      </c>
    </row>
    <row r="105" spans="1:7" x14ac:dyDescent="0.35">
      <c r="A105" s="81">
        <v>46126.125</v>
      </c>
      <c r="B105" s="82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89">
        <v>74181</v>
      </c>
    </row>
    <row r="106" spans="1:7" x14ac:dyDescent="0.35">
      <c r="A106" s="81">
        <v>46127.125</v>
      </c>
      <c r="B106" s="82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89">
        <v>74834</v>
      </c>
    </row>
    <row r="107" spans="1:7" x14ac:dyDescent="0.35">
      <c r="A107" s="81">
        <v>46128.125</v>
      </c>
      <c r="B107" s="82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89">
        <v>74810</v>
      </c>
    </row>
    <row r="108" spans="1:7" x14ac:dyDescent="0.35">
      <c r="A108" s="81">
        <v>46129.125</v>
      </c>
      <c r="B108" s="82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1">
        <v>77154</v>
      </c>
    </row>
    <row r="109" spans="1:7" x14ac:dyDescent="0.35">
      <c r="A109" s="81">
        <v>46130.125</v>
      </c>
      <c r="B109" s="82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1">
        <v>77072</v>
      </c>
    </row>
    <row r="110" spans="1:7" x14ac:dyDescent="0.35">
      <c r="A110" s="81">
        <v>46131.125</v>
      </c>
      <c r="B110" s="82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1">
        <v>75691</v>
      </c>
    </row>
    <row r="111" spans="1:7" x14ac:dyDescent="0.35">
      <c r="A111" s="81">
        <v>46132.125</v>
      </c>
      <c r="B111" s="82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89">
        <v>75965.25</v>
      </c>
    </row>
    <row r="112" spans="1:7" x14ac:dyDescent="0.35">
      <c r="A112" s="81">
        <v>46133.125</v>
      </c>
      <c r="B112" s="82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89">
        <v>75841</v>
      </c>
    </row>
    <row r="113" spans="1:7" x14ac:dyDescent="0.35">
      <c r="A113" s="81">
        <v>46134.125</v>
      </c>
      <c r="B113" s="82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1">
        <v>76336</v>
      </c>
    </row>
    <row r="114" spans="1:7" x14ac:dyDescent="0.35">
      <c r="A114" s="81">
        <v>46135.125</v>
      </c>
      <c r="B114" s="82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89">
        <v>78179</v>
      </c>
    </row>
    <row r="115" spans="1:7" x14ac:dyDescent="0.35">
      <c r="A115" s="81">
        <v>46136.125</v>
      </c>
      <c r="B115" s="82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89">
        <v>78257</v>
      </c>
    </row>
    <row r="116" spans="1:7" x14ac:dyDescent="0.35">
      <c r="A116" s="81">
        <v>46137.125</v>
      </c>
      <c r="B116" s="82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89">
        <v>77437</v>
      </c>
    </row>
    <row r="117" spans="1:7" x14ac:dyDescent="0.35">
      <c r="A117" s="81">
        <v>46138.125</v>
      </c>
      <c r="B117" s="82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89">
        <v>77625</v>
      </c>
    </row>
    <row r="118" spans="1:7" x14ac:dyDescent="0.35">
      <c r="A118" s="81">
        <v>46139.125</v>
      </c>
      <c r="B118" s="82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89">
        <v>78657</v>
      </c>
    </row>
    <row r="119" spans="1:7" x14ac:dyDescent="0.35">
      <c r="A119" s="81">
        <v>46140.125</v>
      </c>
      <c r="B119" s="82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89">
        <v>77372</v>
      </c>
    </row>
    <row r="120" spans="1:7" x14ac:dyDescent="0.35">
      <c r="A120" s="81">
        <v>46141.125</v>
      </c>
      <c r="B120" s="82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89">
        <v>76342</v>
      </c>
    </row>
    <row r="121" spans="1:7" x14ac:dyDescent="0.35">
      <c r="A121" s="81">
        <v>46142.125</v>
      </c>
      <c r="B121" s="82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89">
        <v>75780</v>
      </c>
    </row>
    <row r="122" spans="1:7" x14ac:dyDescent="0.35">
      <c r="A122" s="81">
        <v>46143</v>
      </c>
      <c r="B122" s="82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89">
        <v>76347</v>
      </c>
    </row>
    <row r="123" spans="1:7" x14ac:dyDescent="0.35">
      <c r="A123" s="81">
        <v>46144</v>
      </c>
      <c r="B123" s="82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89">
        <v>78232</v>
      </c>
    </row>
    <row r="124" spans="1:7" x14ac:dyDescent="0.35">
      <c r="A124" s="81">
        <v>46145</v>
      </c>
      <c r="B124" s="82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89">
        <v>78687</v>
      </c>
    </row>
    <row r="125" spans="1:7" x14ac:dyDescent="0.35">
      <c r="A125" s="81">
        <v>46146</v>
      </c>
      <c r="B125" s="82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89">
        <v>78569</v>
      </c>
    </row>
    <row r="126" spans="1:7" x14ac:dyDescent="0.35">
      <c r="A126" s="81">
        <v>46147</v>
      </c>
      <c r="B126" s="82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89">
        <v>80905</v>
      </c>
    </row>
    <row r="127" spans="1:7" x14ac:dyDescent="0.35">
      <c r="A127" s="81">
        <v>46148</v>
      </c>
      <c r="B127" s="82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89">
        <v>81200</v>
      </c>
    </row>
    <row r="128" spans="1:7" x14ac:dyDescent="0.35">
      <c r="A128" s="81">
        <v>46149</v>
      </c>
      <c r="B128" s="82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89">
        <v>81448</v>
      </c>
    </row>
    <row r="129" spans="1:7" x14ac:dyDescent="0.35">
      <c r="A129" s="81">
        <v>46150</v>
      </c>
      <c r="B129" s="82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89">
        <v>80007</v>
      </c>
    </row>
    <row r="130" spans="1:7" x14ac:dyDescent="0.35">
      <c r="A130" s="81">
        <v>46151</v>
      </c>
      <c r="B130" s="82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89">
        <v>82215</v>
      </c>
    </row>
    <row r="131" spans="1:7" x14ac:dyDescent="0.35">
      <c r="A131" s="81">
        <v>46152</v>
      </c>
      <c r="B131" s="82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89">
        <v>80678</v>
      </c>
    </row>
    <row r="132" spans="1:7" x14ac:dyDescent="0.35">
      <c r="A132" s="81">
        <v>46153</v>
      </c>
      <c r="B132" s="82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89">
        <v>82210</v>
      </c>
    </row>
    <row r="133" spans="1:7" x14ac:dyDescent="0.35">
      <c r="A133" s="81">
        <v>46154</v>
      </c>
      <c r="B133" s="82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89">
        <v>81745</v>
      </c>
    </row>
    <row r="134" spans="1:7" x14ac:dyDescent="0.35">
      <c r="A134" s="81">
        <v>46155</v>
      </c>
      <c r="B134" s="82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89">
        <v>80505</v>
      </c>
    </row>
    <row r="135" spans="1:7" x14ac:dyDescent="0.35">
      <c r="A135" s="81">
        <v>46156</v>
      </c>
      <c r="B135" s="82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89">
        <v>79315</v>
      </c>
    </row>
    <row r="136" spans="1:7" x14ac:dyDescent="0.35">
      <c r="A136" s="81">
        <v>46157</v>
      </c>
      <c r="B136" s="82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89">
        <v>81090</v>
      </c>
    </row>
    <row r="137" spans="1:7" x14ac:dyDescent="0.35">
      <c r="A137" s="81">
        <v>46158</v>
      </c>
      <c r="B137" s="82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89">
        <v>79114</v>
      </c>
    </row>
    <row r="138" spans="1:7" x14ac:dyDescent="0.35">
      <c r="A138" s="81">
        <v>46159</v>
      </c>
      <c r="B138" s="82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89">
        <v>78149</v>
      </c>
    </row>
    <row r="139" spans="1:7" x14ac:dyDescent="0.35">
      <c r="A139" s="81">
        <v>46160</v>
      </c>
      <c r="B139" s="82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89">
        <v>76751</v>
      </c>
    </row>
    <row r="140" spans="1:7" x14ac:dyDescent="0.35">
      <c r="A140" s="81">
        <v>46161</v>
      </c>
      <c r="B140" s="82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89">
        <v>77002</v>
      </c>
    </row>
    <row r="141" spans="1:7" x14ac:dyDescent="0.35">
      <c r="A141" s="81">
        <v>46162</v>
      </c>
      <c r="B141" s="82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89">
        <v>76835</v>
      </c>
    </row>
    <row r="142" spans="1:7" x14ac:dyDescent="0.35">
      <c r="A142" s="81">
        <v>46163</v>
      </c>
      <c r="B142" s="82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89">
        <v>77553</v>
      </c>
    </row>
    <row r="143" spans="1:7" x14ac:dyDescent="0.35">
      <c r="A143" s="81">
        <v>46164</v>
      </c>
      <c r="B143" s="82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89">
        <v>77616</v>
      </c>
    </row>
    <row r="144" spans="1:7" x14ac:dyDescent="0.35">
      <c r="A144" s="81">
        <v>46165</v>
      </c>
      <c r="B144" s="82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89">
        <v>75540</v>
      </c>
    </row>
    <row r="145" spans="1:7" x14ac:dyDescent="0.35">
      <c r="A145" s="81">
        <v>46166</v>
      </c>
      <c r="B145" s="82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89">
        <v>76752</v>
      </c>
    </row>
    <row r="146" spans="1:7" x14ac:dyDescent="0.35">
      <c r="A146" s="81">
        <v>46167</v>
      </c>
      <c r="B146" s="82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89">
        <v>77065</v>
      </c>
    </row>
    <row r="147" spans="1:7" x14ac:dyDescent="0.35">
      <c r="A147" s="81">
        <v>46168</v>
      </c>
      <c r="B147" s="82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89">
        <v>77323</v>
      </c>
    </row>
    <row r="148" spans="1:7" x14ac:dyDescent="0.35">
      <c r="A148" s="81">
        <v>46169</v>
      </c>
      <c r="B148" s="82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89">
        <v>75931</v>
      </c>
    </row>
    <row r="149" spans="1:7" x14ac:dyDescent="0.35">
      <c r="A149" s="81">
        <v>46170</v>
      </c>
      <c r="B149" s="82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89">
        <v>74450</v>
      </c>
    </row>
    <row r="150" spans="1:7" x14ac:dyDescent="0.35">
      <c r="A150" s="81">
        <v>46171</v>
      </c>
      <c r="B150" s="82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89">
        <v>73618</v>
      </c>
    </row>
    <row r="151" spans="1:7" x14ac:dyDescent="0.35">
      <c r="A151" s="81">
        <v>46172</v>
      </c>
      <c r="B151" s="82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89">
        <v>73461</v>
      </c>
    </row>
    <row r="152" spans="1:7" x14ac:dyDescent="0.35">
      <c r="A152" s="81">
        <v>46173</v>
      </c>
      <c r="B152" s="82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89">
        <v>73885</v>
      </c>
    </row>
    <row r="153" spans="1:7" x14ac:dyDescent="0.35">
      <c r="A153" s="81">
        <v>46174</v>
      </c>
      <c r="B153" s="82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89">
        <v>73675</v>
      </c>
    </row>
    <row r="154" spans="1:7" x14ac:dyDescent="0.35">
      <c r="A154" s="81">
        <v>46175</v>
      </c>
      <c r="B154" s="82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89">
        <v>71408</v>
      </c>
    </row>
    <row r="155" spans="1:7" x14ac:dyDescent="0.35">
      <c r="A155" s="81">
        <v>46176</v>
      </c>
      <c r="B155" s="82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89">
        <v>66761</v>
      </c>
    </row>
    <row r="156" spans="1:7" x14ac:dyDescent="0.35">
      <c r="A156" s="81">
        <v>46177</v>
      </c>
      <c r="B156" s="82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89">
        <v>64143</v>
      </c>
    </row>
    <row r="157" spans="1:7" x14ac:dyDescent="0.35">
      <c r="A157" s="81">
        <v>46178</v>
      </c>
      <c r="B157" s="82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89">
        <v>63885</v>
      </c>
    </row>
    <row r="158" spans="1:7" x14ac:dyDescent="0.35">
      <c r="A158" s="81">
        <v>46179</v>
      </c>
      <c r="B158" s="82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89">
        <v>61057</v>
      </c>
    </row>
    <row r="159" spans="1:7" x14ac:dyDescent="0.35">
      <c r="A159" s="81">
        <v>46180</v>
      </c>
      <c r="B159" s="82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89">
        <v>60885</v>
      </c>
    </row>
    <row r="160" spans="1:7" x14ac:dyDescent="0.35">
      <c r="A160" s="81">
        <v>46181</v>
      </c>
      <c r="B160" s="82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89">
        <v>63332</v>
      </c>
    </row>
    <row r="161" spans="1:7" x14ac:dyDescent="0.35">
      <c r="A161" s="81">
        <v>46182</v>
      </c>
      <c r="B161" s="82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89">
        <v>61685</v>
      </c>
    </row>
    <row r="162" spans="1:7" x14ac:dyDescent="0.35">
      <c r="A162" s="81">
        <v>46183</v>
      </c>
      <c r="B162" s="82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89">
        <v>61509</v>
      </c>
    </row>
    <row r="163" spans="1:7" x14ac:dyDescent="0.35">
      <c r="A163" s="81">
        <v>46184</v>
      </c>
      <c r="B163" s="82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89">
        <v>63612</v>
      </c>
    </row>
    <row r="164" spans="1:7" x14ac:dyDescent="0.35">
      <c r="A164" s="81">
        <v>46185</v>
      </c>
      <c r="B164" s="82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89">
        <v>63626</v>
      </c>
    </row>
    <row r="165" spans="1:7" x14ac:dyDescent="0.35">
      <c r="A165" s="81">
        <v>46186</v>
      </c>
      <c r="B165" s="82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89">
        <v>63580</v>
      </c>
    </row>
    <row r="166" spans="1:7" x14ac:dyDescent="0.35">
      <c r="A166" s="81">
        <v>46187</v>
      </c>
      <c r="B166" s="82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89">
        <v>64459</v>
      </c>
    </row>
    <row r="167" spans="1:7" x14ac:dyDescent="0.35">
      <c r="A167" s="81">
        <v>46188</v>
      </c>
      <c r="B167" s="82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89">
        <v>66515</v>
      </c>
    </row>
    <row r="168" spans="1:7" x14ac:dyDescent="0.35">
      <c r="A168" s="81">
        <v>46189</v>
      </c>
      <c r="B168" s="82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89">
        <v>66328</v>
      </c>
    </row>
    <row r="169" spans="1:7" x14ac:dyDescent="0.35">
      <c r="A169" s="81">
        <v>46190</v>
      </c>
      <c r="B169" s="82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89">
        <v>65676</v>
      </c>
    </row>
    <row r="170" spans="1:7" x14ac:dyDescent="0.35">
      <c r="A170" s="81">
        <v>46191</v>
      </c>
      <c r="B170" s="82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89">
        <v>64510</v>
      </c>
    </row>
    <row r="171" spans="1:7" x14ac:dyDescent="0.35">
      <c r="A171" s="81">
        <v>46192</v>
      </c>
      <c r="B171" s="82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89">
        <v>62960</v>
      </c>
    </row>
    <row r="172" spans="1:7" x14ac:dyDescent="0.35">
      <c r="A172" s="81">
        <v>46193</v>
      </c>
      <c r="B172" s="82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89">
        <v>63544</v>
      </c>
    </row>
    <row r="173" spans="1:7" x14ac:dyDescent="0.35">
      <c r="A173" s="81">
        <v>46194</v>
      </c>
      <c r="B173" s="82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89">
        <v>64298</v>
      </c>
    </row>
    <row r="174" spans="1:7" x14ac:dyDescent="0.35">
      <c r="A174" s="81">
        <v>46195</v>
      </c>
      <c r="B174" s="82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89">
        <v>63313</v>
      </c>
    </row>
    <row r="175" spans="1:7" x14ac:dyDescent="0.35">
      <c r="A175" s="81">
        <v>46196</v>
      </c>
      <c r="B175" s="82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89">
        <v>64021</v>
      </c>
    </row>
    <row r="176" spans="1:7" x14ac:dyDescent="0.35">
      <c r="A176" s="81">
        <v>46197</v>
      </c>
      <c r="B176" s="82">
        <v>3.2800000000000003E-2</v>
      </c>
      <c r="C176" s="23">
        <v>2.47E-2</v>
      </c>
      <c r="D176" s="23">
        <v>3.61E-2</v>
      </c>
      <c r="E176" s="23">
        <v>3.4500000000000003E-2</v>
      </c>
      <c r="F176" s="23">
        <v>6.1899999999999997E-2</v>
      </c>
      <c r="G176" s="89">
        <v>62735</v>
      </c>
    </row>
    <row r="177" spans="1:7" x14ac:dyDescent="0.35">
      <c r="A177" s="81">
        <v>46198</v>
      </c>
      <c r="B177" s="82">
        <v>3.2800000000000003E-2</v>
      </c>
      <c r="C177" s="23">
        <v>2.47E-2</v>
      </c>
      <c r="D177" s="23">
        <v>3.6200000000000003E-2</v>
      </c>
      <c r="E177" s="23">
        <v>3.4599999999999999E-2</v>
      </c>
      <c r="F177" s="23">
        <v>6.0499999999999998E-2</v>
      </c>
      <c r="G177" s="89">
        <v>61079</v>
      </c>
    </row>
    <row r="178" spans="1:7" x14ac:dyDescent="0.35">
      <c r="A178" s="81">
        <v>46199</v>
      </c>
      <c r="B178" s="82">
        <v>3.3099999999999997E-2</v>
      </c>
      <c r="C178" s="23">
        <v>2.47E-2</v>
      </c>
      <c r="D178" s="23">
        <v>3.6400000000000002E-2</v>
      </c>
      <c r="E178" s="23">
        <v>3.4700000000000002E-2</v>
      </c>
      <c r="F178" s="23">
        <v>6.1899999999999997E-2</v>
      </c>
      <c r="G178" s="89">
        <v>59795</v>
      </c>
    </row>
    <row r="179" spans="1:7" x14ac:dyDescent="0.35">
      <c r="A179" s="81">
        <v>46200</v>
      </c>
      <c r="B179" s="82">
        <v>3.3300000000000003E-2</v>
      </c>
      <c r="C179" s="23">
        <v>2.47E-2</v>
      </c>
      <c r="D179" s="23">
        <v>3.6600000000000001E-2</v>
      </c>
      <c r="E179" s="23">
        <v>3.5000000000000003E-2</v>
      </c>
      <c r="F179" s="23">
        <v>6.2199999999999998E-2</v>
      </c>
      <c r="G179" s="89">
        <v>60098</v>
      </c>
    </row>
    <row r="180" spans="1:7" x14ac:dyDescent="0.35">
      <c r="A180" s="81">
        <v>46201</v>
      </c>
      <c r="B180" s="82">
        <v>3.2599999999999997E-2</v>
      </c>
      <c r="C180" s="23">
        <v>2.47E-2</v>
      </c>
      <c r="D180" s="23">
        <v>3.5799999999999998E-2</v>
      </c>
      <c r="E180" s="23">
        <v>3.4299999999999997E-2</v>
      </c>
      <c r="F180" s="23">
        <v>6.2100000000000002E-2</v>
      </c>
      <c r="G180" s="89">
        <v>59578</v>
      </c>
    </row>
    <row r="181" spans="1:7" x14ac:dyDescent="0.35">
      <c r="A181" s="81">
        <v>46202</v>
      </c>
      <c r="B181" s="82">
        <v>3.2599999999999997E-2</v>
      </c>
      <c r="C181" s="23">
        <v>2.47E-2</v>
      </c>
      <c r="D181" s="23">
        <v>3.5700000000000003E-2</v>
      </c>
      <c r="E181" s="23">
        <v>3.4200000000000001E-2</v>
      </c>
      <c r="F181" s="23">
        <v>6.1600000000000002E-2</v>
      </c>
      <c r="G181" s="89">
        <v>60030</v>
      </c>
    </row>
    <row r="182" spans="1:7" x14ac:dyDescent="0.35">
      <c r="A182" s="81">
        <v>46203</v>
      </c>
      <c r="B182" s="82">
        <v>3.5400000000000001E-2</v>
      </c>
      <c r="C182" s="23">
        <v>2.47E-2</v>
      </c>
      <c r="D182" s="23">
        <v>3.8600000000000002E-2</v>
      </c>
      <c r="E182" s="23">
        <v>3.6799999999999999E-2</v>
      </c>
      <c r="F182" s="23">
        <v>5.0599999999999999E-2</v>
      </c>
      <c r="G182" s="89">
        <v>60261</v>
      </c>
    </row>
    <row r="183" spans="1:7" x14ac:dyDescent="0.35">
      <c r="A183" s="81">
        <v>46204</v>
      </c>
      <c r="B183" s="82">
        <v>3.5700000000000003E-2</v>
      </c>
      <c r="C183" s="23">
        <v>2.47E-2</v>
      </c>
      <c r="D183" s="23">
        <v>3.8800000000000001E-2</v>
      </c>
      <c r="E183" s="23">
        <v>3.7100000000000001E-2</v>
      </c>
      <c r="F183" s="23">
        <v>5.57E-2</v>
      </c>
      <c r="G183" s="89">
        <v>58625</v>
      </c>
    </row>
    <row r="184" spans="1:7" x14ac:dyDescent="0.35">
      <c r="A184" s="81">
        <v>46205</v>
      </c>
      <c r="B184" s="82">
        <v>3.6700000000000003E-2</v>
      </c>
      <c r="C184" s="23">
        <v>2.47E-2</v>
      </c>
      <c r="D184" s="23">
        <v>3.95E-2</v>
      </c>
      <c r="E184" s="23">
        <v>3.78E-2</v>
      </c>
      <c r="F184" s="23">
        <v>4.1700000000000001E-2</v>
      </c>
      <c r="G184" s="89">
        <v>60025</v>
      </c>
    </row>
    <row r="185" spans="1:7" x14ac:dyDescent="0.35">
      <c r="A185" s="81">
        <v>46206</v>
      </c>
      <c r="B185" s="82">
        <v>3.6999999999999998E-2</v>
      </c>
      <c r="C185" s="23">
        <v>2.47E-2</v>
      </c>
      <c r="D185" s="23">
        <v>4.07E-2</v>
      </c>
      <c r="E185" s="23">
        <v>3.8899999999999997E-2</v>
      </c>
      <c r="F185" s="23">
        <v>4.3200000000000002E-2</v>
      </c>
      <c r="G185" s="89">
        <v>61561</v>
      </c>
    </row>
    <row r="186" spans="1:7" x14ac:dyDescent="0.35">
      <c r="A186" s="81">
        <v>46207</v>
      </c>
      <c r="B186" s="82">
        <v>3.6200000000000003E-2</v>
      </c>
      <c r="C186" s="23">
        <v>2.47E-2</v>
      </c>
      <c r="D186" s="23">
        <v>3.9899999999999998E-2</v>
      </c>
      <c r="E186" s="23">
        <v>3.8100000000000002E-2</v>
      </c>
      <c r="F186" s="23">
        <v>4.24E-2</v>
      </c>
      <c r="G186" s="89">
        <v>62584</v>
      </c>
    </row>
    <row r="187" spans="1:7" x14ac:dyDescent="0.35">
      <c r="A187" s="81">
        <v>46208</v>
      </c>
      <c r="B187" s="82">
        <v>3.6900000000000002E-2</v>
      </c>
      <c r="C187" s="23">
        <v>2.47E-2</v>
      </c>
      <c r="D187" s="23">
        <v>4.0099999999999997E-2</v>
      </c>
      <c r="E187" s="23">
        <v>3.8399999999999997E-2</v>
      </c>
      <c r="F187" s="23">
        <v>4.3499999999999997E-2</v>
      </c>
      <c r="G187" s="89">
        <v>63145</v>
      </c>
    </row>
    <row r="188" spans="1:7" x14ac:dyDescent="0.35">
      <c r="A188" s="81">
        <v>46209</v>
      </c>
      <c r="B188" s="82">
        <v>3.6299999999999999E-2</v>
      </c>
      <c r="C188" s="23">
        <v>2.47E-2</v>
      </c>
      <c r="D188" s="23">
        <v>3.9899999999999998E-2</v>
      </c>
      <c r="E188" s="23">
        <v>3.8100000000000002E-2</v>
      </c>
      <c r="F188" s="23">
        <v>4.3700000000000003E-2</v>
      </c>
      <c r="G188" s="89">
        <v>63651</v>
      </c>
    </row>
    <row r="189" spans="1:7" x14ac:dyDescent="0.35">
      <c r="A189" s="81">
        <v>46210</v>
      </c>
      <c r="B189" s="82">
        <v>3.7499999999999999E-2</v>
      </c>
      <c r="C189" s="23">
        <v>2.47E-2</v>
      </c>
      <c r="D189" s="23">
        <v>4.1300000000000003E-2</v>
      </c>
      <c r="E189" s="23">
        <v>3.95E-2</v>
      </c>
      <c r="F189" s="23">
        <v>4.4999999999999998E-2</v>
      </c>
      <c r="G189" s="89">
        <v>63331</v>
      </c>
    </row>
    <row r="190" spans="1:7" x14ac:dyDescent="0.35">
      <c r="A190" s="81">
        <v>46211</v>
      </c>
      <c r="B190" s="82">
        <v>3.8100000000000002E-2</v>
      </c>
      <c r="C190" s="23">
        <v>2.47E-2</v>
      </c>
      <c r="D190" s="23">
        <v>4.19E-2</v>
      </c>
      <c r="E190" s="23">
        <v>4.0099999999999997E-2</v>
      </c>
      <c r="F190" s="23">
        <v>4.5499999999999999E-2</v>
      </c>
      <c r="G190" s="89">
        <v>63365</v>
      </c>
    </row>
    <row r="191" spans="1:7" x14ac:dyDescent="0.35">
      <c r="A191" s="81">
        <v>46212</v>
      </c>
      <c r="B191" s="82">
        <v>3.7100000000000001E-2</v>
      </c>
      <c r="C191" s="23">
        <v>2.47E-2</v>
      </c>
      <c r="D191" s="23">
        <v>4.0800000000000003E-2</v>
      </c>
      <c r="E191" s="23">
        <v>3.8899999999999997E-2</v>
      </c>
      <c r="F191" s="23">
        <v>4.5499999999999999E-2</v>
      </c>
      <c r="G191" s="89">
        <v>62291</v>
      </c>
    </row>
    <row r="192" spans="1:7" x14ac:dyDescent="0.35">
      <c r="A192" s="81">
        <v>46213</v>
      </c>
      <c r="B192" s="82">
        <v>3.6400000000000002E-2</v>
      </c>
      <c r="C192" s="23">
        <v>2.47E-2</v>
      </c>
      <c r="D192" s="23">
        <v>3.9399999999999998E-2</v>
      </c>
      <c r="E192" s="23">
        <v>3.78E-2</v>
      </c>
      <c r="F192" s="23">
        <v>4.5199999999999997E-2</v>
      </c>
      <c r="G192" s="89">
        <v>64231</v>
      </c>
    </row>
    <row r="193" spans="1:7" x14ac:dyDescent="0.35">
      <c r="A193" s="81">
        <v>46214</v>
      </c>
      <c r="B193" s="82">
        <v>3.6999999999999998E-2</v>
      </c>
      <c r="C193" s="23">
        <v>2.47E-2</v>
      </c>
      <c r="D193" s="23">
        <v>4.07E-2</v>
      </c>
      <c r="E193" s="23">
        <v>3.8899999999999997E-2</v>
      </c>
      <c r="F193" s="23">
        <v>4.3799999999999999E-2</v>
      </c>
      <c r="G193" s="89">
        <v>64161</v>
      </c>
    </row>
    <row r="194" spans="1:7" x14ac:dyDescent="0.35">
      <c r="A194" s="81">
        <v>46215</v>
      </c>
      <c r="B194" s="82">
        <v>3.6799999999999999E-2</v>
      </c>
      <c r="C194" s="23">
        <v>2.47E-2</v>
      </c>
      <c r="D194" s="23">
        <v>0.04</v>
      </c>
      <c r="E194" s="23">
        <v>3.8199999999999998E-2</v>
      </c>
      <c r="F194" s="23">
        <v>4.5900000000000003E-2</v>
      </c>
      <c r="G194" s="89">
        <v>63819</v>
      </c>
    </row>
    <row r="195" spans="1:7" x14ac:dyDescent="0.35">
      <c r="A195" s="81">
        <v>46216</v>
      </c>
      <c r="B195" s="82">
        <v>3.5900000000000001E-2</v>
      </c>
      <c r="C195" s="23">
        <v>2.47E-2</v>
      </c>
      <c r="D195" s="23">
        <v>3.95E-2</v>
      </c>
      <c r="E195" s="23">
        <v>3.78E-2</v>
      </c>
      <c r="F195" s="23">
        <v>4.4600000000000001E-2</v>
      </c>
      <c r="G195" s="89">
        <v>63781</v>
      </c>
    </row>
    <row r="196" spans="1:7" x14ac:dyDescent="0.35">
      <c r="A196" s="81">
        <v>46217</v>
      </c>
      <c r="B196" s="82">
        <v>3.73E-2</v>
      </c>
      <c r="C196" s="23">
        <v>2.47E-2</v>
      </c>
      <c r="D196" s="23">
        <v>4.0599999999999997E-2</v>
      </c>
      <c r="E196" s="23">
        <v>3.8800000000000001E-2</v>
      </c>
      <c r="F196" s="23">
        <v>4.3299999999999998E-2</v>
      </c>
      <c r="G196" s="89">
        <v>62335</v>
      </c>
    </row>
    <row r="197" spans="1:7" x14ac:dyDescent="0.35">
      <c r="A197" s="81">
        <v>46218</v>
      </c>
      <c r="B197" s="82">
        <v>3.7400000000000003E-2</v>
      </c>
      <c r="C197" s="23">
        <v>2.47E-2</v>
      </c>
      <c r="D197" s="23">
        <v>4.0300000000000002E-2</v>
      </c>
      <c r="E197" s="23">
        <v>3.85E-2</v>
      </c>
      <c r="F197" s="23">
        <v>4.4299999999999999E-2</v>
      </c>
      <c r="G197" s="89">
        <v>65044</v>
      </c>
    </row>
    <row r="198" spans="1:7" x14ac:dyDescent="0.35">
      <c r="A198" s="81">
        <v>46219</v>
      </c>
      <c r="B198" s="82">
        <v>3.7900000000000003E-2</v>
      </c>
      <c r="C198" s="23">
        <v>2.47E-2</v>
      </c>
      <c r="D198" s="23">
        <v>4.1700000000000001E-2</v>
      </c>
      <c r="E198" s="23">
        <v>3.9899999999999998E-2</v>
      </c>
      <c r="F198" s="23">
        <v>4.65E-2</v>
      </c>
      <c r="G198" s="89">
        <v>63831</v>
      </c>
    </row>
    <row r="199" spans="1:7" x14ac:dyDescent="0.35">
      <c r="A199" s="81">
        <v>46220</v>
      </c>
      <c r="B199" s="82">
        <v>3.7499999999999999E-2</v>
      </c>
      <c r="C199" s="23">
        <v>2.47E-2</v>
      </c>
      <c r="D199" s="23">
        <v>4.1200000000000001E-2</v>
      </c>
      <c r="E199" s="23">
        <v>3.9300000000000002E-2</v>
      </c>
      <c r="F199" s="23">
        <v>4.5900000000000003E-2</v>
      </c>
      <c r="G199" s="89">
        <v>63831</v>
      </c>
    </row>
    <row r="200" spans="1:7" x14ac:dyDescent="0.35">
      <c r="A200" s="81">
        <v>46221</v>
      </c>
      <c r="B200" s="82">
        <v>3.6299999999999999E-2</v>
      </c>
      <c r="C200" s="23">
        <v>2.47E-2</v>
      </c>
      <c r="D200" s="23">
        <v>3.9899999999999998E-2</v>
      </c>
      <c r="E200" s="23">
        <v>3.8100000000000002E-2</v>
      </c>
      <c r="F200" s="23">
        <v>4.3900000000000002E-2</v>
      </c>
      <c r="G200" s="89">
        <v>63932</v>
      </c>
    </row>
    <row r="201" spans="1:7" x14ac:dyDescent="0.35">
      <c r="A201" s="81">
        <v>46222</v>
      </c>
      <c r="B201" s="82">
        <v>3.5900000000000001E-2</v>
      </c>
      <c r="C201" s="23">
        <v>2.47E-2</v>
      </c>
      <c r="D201" s="23">
        <v>3.95E-2</v>
      </c>
      <c r="E201" s="23">
        <v>3.78E-2</v>
      </c>
      <c r="F201" s="23">
        <v>4.3700000000000003E-2</v>
      </c>
      <c r="G201" s="89">
        <v>64835</v>
      </c>
    </row>
    <row r="202" spans="1:7" x14ac:dyDescent="0.35">
      <c r="A202" s="81">
        <v>46223</v>
      </c>
      <c r="B202" s="82">
        <v>3.6600000000000001E-2</v>
      </c>
      <c r="C202" s="23">
        <v>2.47E-2</v>
      </c>
      <c r="D202" s="23">
        <v>3.95E-2</v>
      </c>
      <c r="E202" s="23">
        <v>3.78E-2</v>
      </c>
      <c r="F202" s="23">
        <v>4.3099999999999999E-2</v>
      </c>
      <c r="G202" s="89">
        <v>64723</v>
      </c>
    </row>
    <row r="203" spans="1:7" x14ac:dyDescent="0.35">
      <c r="A203" s="81">
        <v>46224</v>
      </c>
      <c r="B203" s="82">
        <v>3.6799999999999999E-2</v>
      </c>
      <c r="C203" s="23">
        <v>2.47E-2</v>
      </c>
      <c r="D203" s="23">
        <v>4.0500000000000001E-2</v>
      </c>
      <c r="E203" s="23">
        <v>3.78E-2</v>
      </c>
      <c r="F203" s="23">
        <v>4.24E-2</v>
      </c>
      <c r="G203" s="89"/>
    </row>
    <row r="204" spans="1:7" x14ac:dyDescent="0.35">
      <c r="A204" s="81">
        <v>46225</v>
      </c>
      <c r="B204" s="82"/>
      <c r="C204" s="23"/>
      <c r="D204" s="23"/>
      <c r="E204" s="23"/>
      <c r="F204" s="23"/>
      <c r="G204" s="89"/>
    </row>
    <row r="205" spans="1:7" x14ac:dyDescent="0.35">
      <c r="A205" s="81">
        <v>46226</v>
      </c>
      <c r="B205" s="82"/>
      <c r="C205" s="23"/>
      <c r="D205" s="23"/>
      <c r="E205" s="23"/>
      <c r="F205" s="23"/>
      <c r="G205" s="89"/>
    </row>
    <row r="206" spans="1:7" x14ac:dyDescent="0.35">
      <c r="A206" s="81">
        <v>46227</v>
      </c>
      <c r="B206" s="82"/>
      <c r="C206" s="23"/>
      <c r="D206" s="23"/>
      <c r="E206" s="23"/>
      <c r="F206" s="23"/>
      <c r="G206" s="89"/>
    </row>
    <row r="207" spans="1:7" x14ac:dyDescent="0.35">
      <c r="A207" s="81">
        <v>46228</v>
      </c>
      <c r="B207" s="82"/>
      <c r="C207" s="23"/>
      <c r="D207" s="23"/>
      <c r="E207" s="23"/>
      <c r="F207" s="23"/>
      <c r="G207" s="89"/>
    </row>
    <row r="208" spans="1:7" x14ac:dyDescent="0.35">
      <c r="A208" s="81">
        <v>46229</v>
      </c>
      <c r="B208" s="82"/>
      <c r="C208" s="23"/>
      <c r="D208" s="23"/>
      <c r="E208" s="23"/>
      <c r="F208" s="23"/>
      <c r="G208" s="89"/>
    </row>
    <row r="209" spans="1:7" x14ac:dyDescent="0.35">
      <c r="A209" s="81">
        <v>46230</v>
      </c>
      <c r="B209" s="82"/>
      <c r="C209" s="23"/>
      <c r="D209" s="23"/>
      <c r="E209" s="23"/>
      <c r="F209" s="23"/>
      <c r="G209" s="89"/>
    </row>
    <row r="210" spans="1:7" x14ac:dyDescent="0.35">
      <c r="A210" s="81">
        <v>46231</v>
      </c>
      <c r="B210" s="82"/>
      <c r="C210" s="23"/>
      <c r="D210" s="23"/>
      <c r="E210" s="23"/>
      <c r="F210" s="23"/>
      <c r="G210" s="89"/>
    </row>
    <row r="211" spans="1:7" x14ac:dyDescent="0.35">
      <c r="A211" s="81">
        <v>46232</v>
      </c>
      <c r="B211" s="82"/>
      <c r="C211" s="23"/>
      <c r="D211" s="23"/>
      <c r="E211" s="23"/>
      <c r="F211" s="23"/>
      <c r="G211" s="89"/>
    </row>
    <row r="212" spans="1:7" x14ac:dyDescent="0.35">
      <c r="A212" s="81">
        <v>46233</v>
      </c>
      <c r="B212" s="82"/>
      <c r="C212" s="23"/>
      <c r="D212" s="23"/>
      <c r="E212" s="23"/>
      <c r="F212" s="23"/>
      <c r="G212" s="89"/>
    </row>
    <row r="213" spans="1:7" x14ac:dyDescent="0.35">
      <c r="A213" s="81">
        <v>46234</v>
      </c>
      <c r="B213" s="82"/>
      <c r="C213" s="23"/>
      <c r="D213" s="23"/>
      <c r="E213" s="23"/>
      <c r="F213" s="23"/>
      <c r="G213" s="89"/>
    </row>
    <row r="214" spans="1:7" x14ac:dyDescent="0.35">
      <c r="A214" s="81">
        <v>46235</v>
      </c>
      <c r="B214" s="82"/>
      <c r="C214" s="23"/>
      <c r="D214" s="23"/>
      <c r="E214" s="23"/>
      <c r="F214" s="23"/>
      <c r="G214" s="89"/>
    </row>
    <row r="1048576" spans="3:3" x14ac:dyDescent="0.35">
      <c r="C1048576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30" zoomScale="80" zoomScaleNormal="80" workbookViewId="0">
      <selection activeCell="P151" sqref="P151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5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5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5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5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5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5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5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5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5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5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5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5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5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5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5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5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5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5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5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5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5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5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5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5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5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5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5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5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5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5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5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5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5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5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5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5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5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5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5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5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5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5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5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5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5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5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5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5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5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5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5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5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5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5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5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5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5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5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5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5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5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5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5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5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5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5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5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5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5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5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5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>
        <v>3.27E-2</v>
      </c>
      <c r="Q124" s="85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>
        <v>2.5000000000000001E-2</v>
      </c>
      <c r="AI124" s="13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4">
        <v>3.2000000000000001E-2</v>
      </c>
      <c r="AU124" s="14">
        <v>3.2000000000000001E-2</v>
      </c>
      <c r="AV124" s="14">
        <v>3.7999999999999999E-2</v>
      </c>
      <c r="AW124" s="14">
        <v>5.9700000000000003E-2</v>
      </c>
      <c r="AX124" s="14">
        <v>4.9000000000000002E-2</v>
      </c>
      <c r="AY124" s="14">
        <v>5.6899999999999999E-2</v>
      </c>
      <c r="AZ124" s="14">
        <v>3.6799999999999999E-2</v>
      </c>
      <c r="BA124" s="13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8">
        <v>6.3799999999999996E-2</v>
      </c>
      <c r="BM124" s="1"/>
      <c r="BN124" s="58">
        <v>7.6600000000000001E-2</v>
      </c>
      <c r="BO124" s="1"/>
      <c r="BP124" s="1"/>
      <c r="BQ124" s="1"/>
      <c r="BR124" s="58">
        <v>5.3199999999999997E-2</v>
      </c>
      <c r="BS124" s="13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>
        <v>3.2399999999999998E-2</v>
      </c>
      <c r="Q125" s="85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>
        <v>2.5000000000000001E-2</v>
      </c>
      <c r="AI125" s="13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4">
        <v>3.2000000000000001E-2</v>
      </c>
      <c r="AU125" s="14">
        <v>0.04</v>
      </c>
      <c r="AV125" s="14">
        <v>4.5999999999999999E-2</v>
      </c>
      <c r="AW125" s="14">
        <v>5.96E-2</v>
      </c>
      <c r="AX125" s="14">
        <v>4.9000000000000002E-2</v>
      </c>
      <c r="AY125" s="14">
        <v>5.96E-2</v>
      </c>
      <c r="AZ125" s="14">
        <v>3.61E-2</v>
      </c>
      <c r="BA125" s="13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8">
        <v>6.3200000000000006E-2</v>
      </c>
      <c r="BM125" s="1"/>
      <c r="BN125" s="58">
        <v>7.5800000000000006E-2</v>
      </c>
      <c r="BO125" s="1"/>
      <c r="BP125" s="1"/>
      <c r="BQ125" s="1"/>
      <c r="BR125" s="58">
        <v>5.2699999999999997E-2</v>
      </c>
      <c r="BS125" s="13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>
        <v>3.32E-2</v>
      </c>
      <c r="Q126" s="85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>
        <v>2.5000000000000001E-2</v>
      </c>
      <c r="AI126" s="13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4">
        <v>3.2000000000000001E-2</v>
      </c>
      <c r="AU126" s="14">
        <v>3.9899999999999998E-2</v>
      </c>
      <c r="AV126" s="14">
        <v>4.1000000000000002E-2</v>
      </c>
      <c r="AW126" s="14">
        <v>5.9299999999999999E-2</v>
      </c>
      <c r="AX126" s="14">
        <v>4.0899999999999999E-2</v>
      </c>
      <c r="AY126" s="14" t="s">
        <v>71</v>
      </c>
      <c r="AZ126" s="14">
        <v>3.6999999999999998E-2</v>
      </c>
      <c r="BA126" s="13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8">
        <v>6.4699999999999994E-2</v>
      </c>
      <c r="BM126" s="1"/>
      <c r="BN126" s="58">
        <v>7.7700000000000005E-2</v>
      </c>
      <c r="BO126" s="1"/>
      <c r="BP126" s="1"/>
      <c r="BQ126" s="1"/>
      <c r="BR126" s="58">
        <v>5.3999999999999999E-2</v>
      </c>
      <c r="BS126" s="13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>
        <v>3.39E-2</v>
      </c>
      <c r="Q127" s="85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>
        <v>2.5000000000000001E-2</v>
      </c>
      <c r="AI127" s="13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4">
        <v>3.2000000000000001E-2</v>
      </c>
      <c r="AU127" s="14">
        <v>3.78E-2</v>
      </c>
      <c r="AV127" s="14">
        <v>4.0800000000000003E-2</v>
      </c>
      <c r="AW127" s="14">
        <v>5.8400000000000001E-2</v>
      </c>
      <c r="AX127" s="14">
        <v>0.04</v>
      </c>
      <c r="AY127" s="14">
        <v>4.3999999999999997E-2</v>
      </c>
      <c r="AZ127" s="14">
        <v>3.6600000000000001E-2</v>
      </c>
      <c r="BA127" s="13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8">
        <v>5.1900000000000002E-2</v>
      </c>
      <c r="BM127" s="1"/>
      <c r="BN127" s="58">
        <v>6.2199999999999998E-2</v>
      </c>
      <c r="BO127" s="1"/>
      <c r="BP127" s="1"/>
      <c r="BQ127" s="1"/>
      <c r="BR127" s="58">
        <v>5.3600000000000002E-2</v>
      </c>
      <c r="BS127" s="13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>
        <v>3.4200000000000001E-2</v>
      </c>
      <c r="Q128" s="85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>
        <v>2.5000000000000001E-2</v>
      </c>
      <c r="AI128" s="13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4">
        <v>3.2000000000000001E-2</v>
      </c>
      <c r="AU128" s="14">
        <v>3.78E-2</v>
      </c>
      <c r="AV128" s="14">
        <v>4.0800000000000003E-2</v>
      </c>
      <c r="AW128" s="14">
        <v>5.8400000000000001E-2</v>
      </c>
      <c r="AX128" s="14">
        <v>0.04</v>
      </c>
      <c r="AY128" s="14">
        <v>4.3999999999999997E-2</v>
      </c>
      <c r="AZ128" s="14">
        <v>3.6600000000000001E-2</v>
      </c>
      <c r="BA128" s="13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8">
        <v>5.1900000000000002E-2</v>
      </c>
      <c r="BM128" s="1"/>
      <c r="BN128" s="58">
        <v>6.2199999999999998E-2</v>
      </c>
      <c r="BO128" s="1"/>
      <c r="BP128" s="1"/>
      <c r="BQ128" s="1"/>
      <c r="BR128" s="58">
        <v>5.3600000000000002E-2</v>
      </c>
      <c r="BS128" s="13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>
        <v>3.2899999999999999E-2</v>
      </c>
      <c r="Q129" s="85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>
        <v>2.5000000000000001E-2</v>
      </c>
      <c r="AI129" s="13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4">
        <v>3.2000000000000001E-2</v>
      </c>
      <c r="AU129" s="14">
        <v>3.78E-2</v>
      </c>
      <c r="AV129" s="14">
        <v>4.0800000000000003E-2</v>
      </c>
      <c r="AW129" s="14">
        <v>5.8400000000000001E-2</v>
      </c>
      <c r="AX129" s="14">
        <v>0.04</v>
      </c>
      <c r="AY129" s="14">
        <v>4.3999999999999997E-2</v>
      </c>
      <c r="AZ129" s="14">
        <v>3.6600000000000001E-2</v>
      </c>
      <c r="BA129" s="13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8">
        <v>5.1900000000000002E-2</v>
      </c>
      <c r="BM129" s="1"/>
      <c r="BN129" s="58">
        <v>6.2199999999999998E-2</v>
      </c>
      <c r="BO129" s="1"/>
      <c r="BP129" s="1"/>
      <c r="BQ129" s="1"/>
      <c r="BR129" s="58">
        <v>4.3200000000000002E-2</v>
      </c>
      <c r="BS129" s="13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>
        <v>3.5900000000000001E-2</v>
      </c>
      <c r="Q130" s="85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>
        <v>2.5000000000000001E-2</v>
      </c>
      <c r="AI130" s="13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4">
        <v>0.03</v>
      </c>
      <c r="AU130" s="14">
        <v>3.1899999999999998E-2</v>
      </c>
      <c r="AV130" s="14">
        <v>3.9E-2</v>
      </c>
      <c r="AW130" s="14">
        <v>5.7799999999999997E-2</v>
      </c>
      <c r="AX130" s="14">
        <v>4.4999999999999998E-2</v>
      </c>
      <c r="AY130" s="14">
        <v>4.1000000000000002E-2</v>
      </c>
      <c r="AZ130" s="14">
        <v>3.9800000000000002E-2</v>
      </c>
      <c r="BA130" s="13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8">
        <v>5.1900000000000002E-2</v>
      </c>
      <c r="BM130" s="1"/>
      <c r="BN130" s="58">
        <v>6.2199999999999998E-2</v>
      </c>
      <c r="BO130" s="1"/>
      <c r="BP130" s="1"/>
      <c r="BQ130" s="1"/>
      <c r="BR130" s="58">
        <v>4.3200000000000002E-2</v>
      </c>
      <c r="BS130" s="13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>
        <v>3.5499999999999997E-2</v>
      </c>
      <c r="Q131" s="85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>
        <v>2.5000000000000001E-2</v>
      </c>
      <c r="AI131" s="13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4">
        <v>3.2000000000000001E-2</v>
      </c>
      <c r="AU131" s="14">
        <v>4.2999999999999997E-2</v>
      </c>
      <c r="AV131" s="14">
        <v>4.1000000000000002E-2</v>
      </c>
      <c r="AW131" s="14">
        <v>5.8000000000000003E-2</v>
      </c>
      <c r="AX131" s="14">
        <v>4.9500000000000002E-2</v>
      </c>
      <c r="AY131" s="14">
        <v>5.5E-2</v>
      </c>
      <c r="AZ131" s="14">
        <v>3.9600000000000003E-2</v>
      </c>
      <c r="BA131" s="13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8">
        <v>4.87E-2</v>
      </c>
      <c r="BM131" s="1"/>
      <c r="BN131" s="58">
        <v>5.16E-2</v>
      </c>
      <c r="BO131" s="1"/>
      <c r="BP131" s="1"/>
      <c r="BQ131" s="1"/>
      <c r="BR131" s="58">
        <v>3.5900000000000001E-2</v>
      </c>
      <c r="BS131" s="13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>
        <v>3.6299999999999999E-2</v>
      </c>
      <c r="Q132" s="85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>
        <v>2.5000000000000001E-2</v>
      </c>
      <c r="AI132" s="13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4">
        <v>3.5000000000000003E-2</v>
      </c>
      <c r="AU132" s="14">
        <v>4.2999999999999997E-2</v>
      </c>
      <c r="AV132" s="14">
        <v>4.1000000000000002E-2</v>
      </c>
      <c r="AW132" s="14">
        <v>5.21E-2</v>
      </c>
      <c r="AX132" s="14">
        <v>4.8800000000000003E-2</v>
      </c>
      <c r="AY132" s="14">
        <v>5.9700000000000003E-2</v>
      </c>
      <c r="AZ132" s="14">
        <v>4.0300000000000002E-2</v>
      </c>
      <c r="BA132" s="13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8">
        <v>4.7E-2</v>
      </c>
      <c r="BM132" s="1"/>
      <c r="BN132" s="58">
        <v>5.4199999999999998E-2</v>
      </c>
      <c r="BO132" s="1"/>
      <c r="BP132" s="1"/>
      <c r="BQ132" s="1"/>
      <c r="BR132" s="58">
        <v>3.7600000000000001E-2</v>
      </c>
      <c r="BS132" s="13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8">
        <v>3.73E-2</v>
      </c>
      <c r="Q133" s="85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8">
        <v>2.5000000000000001E-2</v>
      </c>
      <c r="AI133" s="13">
        <f t="shared" ref="AI133:AI151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4">
        <v>3.49E-2</v>
      </c>
      <c r="AU133" s="14">
        <v>3.7999999999999999E-2</v>
      </c>
      <c r="AV133" s="14">
        <v>3.9899999999999998E-2</v>
      </c>
      <c r="AW133" s="14">
        <v>5.7599999999999998E-2</v>
      </c>
      <c r="AX133" s="14">
        <v>3.9100000000000003E-2</v>
      </c>
      <c r="AY133" s="14">
        <v>5.1999999999999998E-2</v>
      </c>
      <c r="AZ133" s="14">
        <v>4.1500000000000002E-2</v>
      </c>
      <c r="BA133" s="13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8">
        <v>4.6600000000000003E-2</v>
      </c>
      <c r="BM133" s="1"/>
      <c r="BN133" s="58">
        <v>5.3499999999999999E-2</v>
      </c>
      <c r="BO133" s="1"/>
      <c r="BP133" s="1"/>
      <c r="BQ133" s="1"/>
      <c r="BR133" s="58">
        <v>3.7100000000000001E-2</v>
      </c>
      <c r="BS133" s="13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8">
        <v>3.6900000000000002E-2</v>
      </c>
      <c r="Q134" s="85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8">
        <v>2.5000000000000001E-2</v>
      </c>
      <c r="AI134" s="13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4">
        <v>5.0999999999999997E-2</v>
      </c>
      <c r="AU134" s="14">
        <v>4.2799999999999998E-2</v>
      </c>
      <c r="AV134" s="14">
        <v>0.04</v>
      </c>
      <c r="AW134" s="14">
        <v>5.5899999999999998E-2</v>
      </c>
      <c r="AX134" s="14">
        <v>3.9100000000000003E-2</v>
      </c>
      <c r="AY134" s="14">
        <v>4.0099999999999997E-2</v>
      </c>
      <c r="AZ134" s="14">
        <v>4.1000000000000002E-2</v>
      </c>
      <c r="BA134" s="13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8">
        <v>4.5999999999999999E-2</v>
      </c>
      <c r="BM134" s="1"/>
      <c r="BN134" s="58">
        <v>5.4899999999999997E-2</v>
      </c>
      <c r="BO134" s="1"/>
      <c r="BP134" s="1"/>
      <c r="BQ134" s="1"/>
      <c r="BR134" s="58">
        <v>3.73E-2</v>
      </c>
      <c r="BS134" s="13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8">
        <v>3.7999999999999999E-2</v>
      </c>
      <c r="Q135" s="85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8">
        <v>2.5000000000000001E-2</v>
      </c>
      <c r="AI135" s="13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4">
        <v>5.0999999999999997E-2</v>
      </c>
      <c r="AU135" s="14">
        <v>4.2799999999999998E-2</v>
      </c>
      <c r="AV135" s="14">
        <v>0.04</v>
      </c>
      <c r="AW135" s="14">
        <v>5.5899999999999998E-2</v>
      </c>
      <c r="AX135" s="14">
        <v>3.9100000000000003E-2</v>
      </c>
      <c r="AY135" s="14">
        <v>4.0099999999999997E-2</v>
      </c>
      <c r="AZ135" s="14">
        <v>4.1000000000000002E-2</v>
      </c>
      <c r="BA135" s="13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8">
        <v>4.5999999999999999E-2</v>
      </c>
      <c r="BM135" s="1"/>
      <c r="BN135" s="58">
        <v>5.4899999999999997E-2</v>
      </c>
      <c r="BO135" s="1"/>
      <c r="BP135" s="1"/>
      <c r="BQ135" s="1"/>
      <c r="BR135" s="58">
        <v>3.7499999999999999E-2</v>
      </c>
      <c r="BS135" s="13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8">
        <v>3.8199999999999998E-2</v>
      </c>
      <c r="Q136" s="85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8">
        <v>2.5000000000000001E-2</v>
      </c>
      <c r="AI136" s="13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4">
        <v>5.0999999999999997E-2</v>
      </c>
      <c r="AU136" s="14">
        <v>4.2799999999999998E-2</v>
      </c>
      <c r="AV136" s="14">
        <v>0.04</v>
      </c>
      <c r="AW136" s="14">
        <v>5.5899999999999998E-2</v>
      </c>
      <c r="AX136" s="14">
        <v>3.9100000000000003E-2</v>
      </c>
      <c r="AY136" s="14">
        <v>4.0099999999999997E-2</v>
      </c>
      <c r="AZ136" s="14">
        <v>4.1000000000000002E-2</v>
      </c>
      <c r="BA136" s="13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8">
        <v>4.5999999999999999E-2</v>
      </c>
      <c r="BM136" s="1"/>
      <c r="BN136" s="58">
        <v>5.4899999999999997E-2</v>
      </c>
      <c r="BO136" s="1"/>
      <c r="BP136" s="1"/>
      <c r="BQ136" s="1"/>
      <c r="BR136" s="58">
        <v>3.8199999999999998E-2</v>
      </c>
      <c r="BS136" s="13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8">
        <v>3.7600000000000001E-2</v>
      </c>
      <c r="Q137" s="85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8">
        <v>2.5000000000000001E-2</v>
      </c>
      <c r="AI137" s="13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4">
        <v>3.5000000000000003E-2</v>
      </c>
      <c r="AU137" s="14">
        <v>0.04</v>
      </c>
      <c r="AV137" s="14">
        <v>4.4999999999999998E-2</v>
      </c>
      <c r="AW137" s="14">
        <v>5.5E-2</v>
      </c>
      <c r="AX137" s="14">
        <v>4.4900000000000002E-2</v>
      </c>
      <c r="AY137" s="14">
        <v>4.0099999999999997E-2</v>
      </c>
      <c r="AZ137" s="14">
        <v>4.2000000000000003E-2</v>
      </c>
      <c r="BA137" s="13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8">
        <v>4.6300000000000001E-2</v>
      </c>
      <c r="BM137" s="1"/>
      <c r="BN137" s="58">
        <v>5.5599999999999997E-2</v>
      </c>
      <c r="BO137" s="1"/>
      <c r="BP137" s="1"/>
      <c r="BQ137" s="1"/>
      <c r="BR137" s="58">
        <v>3.8600000000000002E-2</v>
      </c>
      <c r="BS137" s="13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8">
        <v>3.7600000000000001E-2</v>
      </c>
      <c r="Q138" s="85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8">
        <v>2.5000000000000001E-2</v>
      </c>
      <c r="AI138" s="13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4">
        <v>3.49E-2</v>
      </c>
      <c r="AU138" s="14">
        <v>0.04</v>
      </c>
      <c r="AV138" s="14">
        <v>4.1000000000000002E-2</v>
      </c>
      <c r="AW138" s="14">
        <v>4.2900000000000001E-2</v>
      </c>
      <c r="AX138" s="14">
        <v>4.2900000000000001E-2</v>
      </c>
      <c r="AY138" s="14">
        <v>4.0099999999999997E-2</v>
      </c>
      <c r="AZ138" s="14">
        <v>4.19E-2</v>
      </c>
      <c r="BA138" s="13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8">
        <v>4.7399999999999998E-2</v>
      </c>
      <c r="BM138" s="1"/>
      <c r="BN138" s="58">
        <v>5.6899999999999999E-2</v>
      </c>
      <c r="BO138" s="1"/>
      <c r="BP138" s="1"/>
      <c r="BQ138" s="1"/>
      <c r="BR138" s="58">
        <v>3.9399999999999998E-2</v>
      </c>
      <c r="BS138" s="13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8">
        <v>3.7100000000000001E-2</v>
      </c>
      <c r="Q139" s="85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8">
        <v>2.5000000000000001E-2</v>
      </c>
      <c r="AI139" s="13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4">
        <v>3.2000000000000001E-2</v>
      </c>
      <c r="AU139" s="14">
        <v>0.04</v>
      </c>
      <c r="AV139" s="14">
        <v>4.02E-2</v>
      </c>
      <c r="AW139" s="14">
        <v>4.2900000000000001E-2</v>
      </c>
      <c r="AX139" s="14">
        <v>4.2900000000000001E-2</v>
      </c>
      <c r="AY139" s="14">
        <v>4.0099999999999997E-2</v>
      </c>
      <c r="AZ139" s="14">
        <v>4.1099999999999998E-2</v>
      </c>
      <c r="BA139" s="13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8">
        <v>4.6300000000000001E-2</v>
      </c>
      <c r="BM139" s="1"/>
      <c r="BN139" s="58">
        <v>5.5599999999999997E-2</v>
      </c>
      <c r="BO139" s="1"/>
      <c r="BP139" s="1"/>
      <c r="BQ139" s="1"/>
      <c r="BR139" s="58">
        <v>3.8600000000000002E-2</v>
      </c>
      <c r="BS139" s="13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8">
        <v>3.6700000000000003E-2</v>
      </c>
      <c r="Q140" s="85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8">
        <v>2.5000000000000001E-2</v>
      </c>
      <c r="AI140" s="13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4">
        <v>3.5000000000000003E-2</v>
      </c>
      <c r="AU140" s="14">
        <v>3.5000000000000003E-2</v>
      </c>
      <c r="AV140" s="14">
        <v>4.0099999999999997E-2</v>
      </c>
      <c r="AW140" s="14">
        <v>4.2900000000000001E-2</v>
      </c>
      <c r="AX140" s="14">
        <v>4.2900000000000001E-2</v>
      </c>
      <c r="AY140" s="14">
        <v>5.4899999999999997E-2</v>
      </c>
      <c r="AZ140" s="14">
        <v>4.0300000000000002E-2</v>
      </c>
      <c r="BA140" s="13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8">
        <v>4.4900000000000002E-2</v>
      </c>
      <c r="BM140" s="1"/>
      <c r="BN140" s="58">
        <v>5.3800000000000001E-2</v>
      </c>
      <c r="BO140" s="1"/>
      <c r="BP140" s="1"/>
      <c r="BQ140" s="1"/>
      <c r="BR140" s="58">
        <v>3.7400000000000003E-2</v>
      </c>
      <c r="BS140" s="13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8">
        <v>3.8800000000000001E-2</v>
      </c>
      <c r="Q141" s="85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8">
        <v>2.5000000000000001E-2</v>
      </c>
      <c r="AI141" s="13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4">
        <v>3.5000000000000003E-2</v>
      </c>
      <c r="AU141" s="14">
        <v>3.5000000000000003E-2</v>
      </c>
      <c r="AV141" s="14">
        <v>3.9899999999999998E-2</v>
      </c>
      <c r="AW141" s="14">
        <v>0.04</v>
      </c>
      <c r="AX141" s="14">
        <v>4.4499999999999998E-2</v>
      </c>
      <c r="AY141" s="14">
        <v>3.9300000000000002E-2</v>
      </c>
      <c r="AZ141" s="14">
        <v>3.9899999999999998E-2</v>
      </c>
      <c r="BA141" s="13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8">
        <v>4.4600000000000001E-2</v>
      </c>
      <c r="BM141" s="1"/>
      <c r="BN141" s="58">
        <v>5.3499999999999999E-2</v>
      </c>
      <c r="BO141" s="1"/>
      <c r="BP141" s="1"/>
      <c r="BQ141" s="1"/>
      <c r="BR141" s="58">
        <v>3.8899999999999997E-2</v>
      </c>
      <c r="BS141" s="13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8">
        <v>3.7699999999999997E-2</v>
      </c>
      <c r="Q142" s="85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8">
        <v>2.5000000000000001E-2</v>
      </c>
      <c r="AI142" s="13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4">
        <v>3.5000000000000003E-2</v>
      </c>
      <c r="AU142" s="14">
        <v>3.5000000000000003E-2</v>
      </c>
      <c r="AV142" s="14">
        <v>3.9899999999999998E-2</v>
      </c>
      <c r="AW142" s="14">
        <v>0.04</v>
      </c>
      <c r="AX142" s="14">
        <v>4.4499999999999998E-2</v>
      </c>
      <c r="AY142" s="14">
        <v>3.9300000000000002E-2</v>
      </c>
      <c r="AZ142" s="14">
        <v>3.9899999999999998E-2</v>
      </c>
      <c r="BA142" s="13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8">
        <v>4.4600000000000001E-2</v>
      </c>
      <c r="BM142" s="1"/>
      <c r="BN142" s="58">
        <v>5.3499999999999999E-2</v>
      </c>
      <c r="BO142" s="1"/>
      <c r="BP142" s="1"/>
      <c r="BQ142" s="1"/>
      <c r="BR142" s="58">
        <v>3.8100000000000002E-2</v>
      </c>
      <c r="BS142" s="13">
        <f t="shared" ref="BS142:BS151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8">
        <v>3.7100000000000001E-2</v>
      </c>
      <c r="Q143" s="85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8">
        <v>2.5000000000000001E-2</v>
      </c>
      <c r="AI143" s="13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4">
        <v>3.5000000000000003E-2</v>
      </c>
      <c r="AU143" s="14">
        <v>3.5000000000000003E-2</v>
      </c>
      <c r="AV143" s="14">
        <v>3.9899999999999998E-2</v>
      </c>
      <c r="AW143" s="14">
        <v>0.04</v>
      </c>
      <c r="AX143" s="14">
        <v>4.4499999999999998E-2</v>
      </c>
      <c r="AY143" s="14">
        <v>3.9300000000000002E-2</v>
      </c>
      <c r="AZ143" s="14">
        <v>3.9899999999999998E-2</v>
      </c>
      <c r="BA143" s="13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8">
        <v>4.4600000000000001E-2</v>
      </c>
      <c r="BM143" s="1"/>
      <c r="BN143" s="58">
        <v>5.3499999999999999E-2</v>
      </c>
      <c r="BO143" s="1"/>
      <c r="BP143" s="1"/>
      <c r="BQ143" s="1"/>
      <c r="BR143" s="58">
        <v>3.7199999999999997E-2</v>
      </c>
      <c r="BS143" s="13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8">
        <v>3.6900000000000002E-2</v>
      </c>
      <c r="Q144" s="85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8">
        <v>2.5000000000000001E-2</v>
      </c>
      <c r="AI144" s="13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4">
        <v>3.5000000000000003E-2</v>
      </c>
      <c r="AU144" s="14">
        <v>4.2999999999999997E-2</v>
      </c>
      <c r="AV144" s="14">
        <v>0.04</v>
      </c>
      <c r="AW144" s="14">
        <v>0.04</v>
      </c>
      <c r="AX144" s="14">
        <v>4.4499999999999998E-2</v>
      </c>
      <c r="AY144" s="14">
        <v>5.7299999999999997E-2</v>
      </c>
      <c r="AZ144" s="14">
        <v>4.0599999999999997E-2</v>
      </c>
      <c r="BA144" s="13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8">
        <v>4.5600000000000002E-2</v>
      </c>
      <c r="BM144" s="1"/>
      <c r="BN144" s="58">
        <v>5.4699999999999999E-2</v>
      </c>
      <c r="BO144" s="1"/>
      <c r="BP144" s="1"/>
      <c r="BQ144" s="1"/>
      <c r="BR144" s="58">
        <v>3.7999999999999999E-2</v>
      </c>
      <c r="BS144" s="13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8">
        <v>3.8300000000000001E-2</v>
      </c>
      <c r="Q145" s="85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8">
        <v>2.5000000000000001E-2</v>
      </c>
      <c r="AI145" s="13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4">
        <v>3.3000000000000002E-2</v>
      </c>
      <c r="AU145" s="14">
        <v>3.3000000000000002E-2</v>
      </c>
      <c r="AV145" s="14">
        <v>3.7900000000000003E-2</v>
      </c>
      <c r="AW145" s="14">
        <v>0.04</v>
      </c>
      <c r="AX145" s="14">
        <v>4.2900000000000001E-2</v>
      </c>
      <c r="AY145" s="14">
        <v>5.7299999999999997E-2</v>
      </c>
      <c r="AZ145" s="14">
        <v>4.2200000000000001E-2</v>
      </c>
      <c r="BA145" s="13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8">
        <v>4.7199999999999999E-2</v>
      </c>
      <c r="BM145" s="1"/>
      <c r="BN145" s="58">
        <v>5.6599999999999998E-2</v>
      </c>
      <c r="BO145" s="1"/>
      <c r="BP145" s="1"/>
      <c r="BQ145" s="1"/>
      <c r="BR145" s="58">
        <v>3.95E-2</v>
      </c>
      <c r="BS145" s="13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8">
        <v>3.8100000000000002E-2</v>
      </c>
      <c r="Q146" s="85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8">
        <v>2.5000000000000001E-2</v>
      </c>
      <c r="AI146" s="13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4">
        <v>3.3000000000000002E-2</v>
      </c>
      <c r="AU146" s="14">
        <v>3.3000000000000002E-2</v>
      </c>
      <c r="AV146" s="14">
        <v>3.7900000000000003E-2</v>
      </c>
      <c r="AW146" s="14">
        <v>0.04</v>
      </c>
      <c r="AX146" s="14">
        <v>4.2900000000000001E-2</v>
      </c>
      <c r="AY146" s="14">
        <v>5.7299999999999997E-2</v>
      </c>
      <c r="AZ146" s="14">
        <v>4.2200000000000001E-2</v>
      </c>
      <c r="BA146" s="13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8">
        <v>4.7199999999999999E-2</v>
      </c>
      <c r="BM146" s="1"/>
      <c r="BN146" s="58">
        <v>5.6599999999999998E-2</v>
      </c>
      <c r="BO146" s="1"/>
      <c r="BP146" s="1"/>
      <c r="BQ146" s="1"/>
      <c r="BR146" s="58">
        <v>3.9399999999999998E-2</v>
      </c>
      <c r="BS146" s="13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8">
        <v>3.7699999999999997E-2</v>
      </c>
      <c r="Q147" s="85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8">
        <v>2.5000000000000001E-2</v>
      </c>
      <c r="AI147" s="13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4">
        <v>3.5000000000000003E-2</v>
      </c>
      <c r="AU147" s="14">
        <v>3.3000000000000002E-2</v>
      </c>
      <c r="AV147" s="14">
        <v>3.5000000000000003E-2</v>
      </c>
      <c r="AW147" s="14">
        <v>0.04</v>
      </c>
      <c r="AX147" s="14">
        <v>4.2900000000000001E-2</v>
      </c>
      <c r="AY147" s="14">
        <v>5.7000000000000002E-2</v>
      </c>
      <c r="AZ147" s="14">
        <v>4.1700000000000001E-2</v>
      </c>
      <c r="BA147" s="13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8">
        <v>4.6199999999999998E-2</v>
      </c>
      <c r="BM147" s="1"/>
      <c r="BN147" s="58">
        <v>5.5399999999999998E-2</v>
      </c>
      <c r="BO147" s="1"/>
      <c r="BP147" s="1"/>
      <c r="BQ147" s="1"/>
      <c r="BR147" s="58">
        <v>3.8699999999999998E-2</v>
      </c>
      <c r="BS147" s="13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8">
        <v>3.7400000000000003E-2</v>
      </c>
      <c r="Q148" s="85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8">
        <v>2.5000000000000001E-2</v>
      </c>
      <c r="AI148" s="13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4">
        <v>3.3000000000000002E-2</v>
      </c>
      <c r="AU148" s="14">
        <v>3.39E-2</v>
      </c>
      <c r="AV148" s="14">
        <v>3.7699999999999997E-2</v>
      </c>
      <c r="AW148" s="14">
        <v>3.9899999999999998E-2</v>
      </c>
      <c r="AX148" s="14">
        <v>4.2900000000000001E-2</v>
      </c>
      <c r="AY148" s="14">
        <v>4.9799999999999997E-2</v>
      </c>
      <c r="AZ148" s="14">
        <v>4.0599999999999997E-2</v>
      </c>
      <c r="BA148" s="13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8">
        <v>4.5199999999999997E-2</v>
      </c>
      <c r="BM148" s="1"/>
      <c r="BN148" s="58">
        <v>5.4199999999999998E-2</v>
      </c>
      <c r="BO148" s="1"/>
      <c r="BP148" s="1"/>
      <c r="BQ148" s="1"/>
      <c r="BR148" s="58">
        <v>3.7499999999999999E-2</v>
      </c>
      <c r="BS148" s="13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8">
        <v>3.6799999999999999E-2</v>
      </c>
      <c r="Q149" s="85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8">
        <v>2.5000000000000001E-2</v>
      </c>
      <c r="AI149" s="13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4">
        <v>3.3000000000000002E-2</v>
      </c>
      <c r="AU149" s="14">
        <v>3.39E-2</v>
      </c>
      <c r="AV149" s="14">
        <v>3.7699999999999997E-2</v>
      </c>
      <c r="AW149" s="14">
        <v>3.9899999999999998E-2</v>
      </c>
      <c r="AX149" s="14">
        <v>4.2900000000000001E-2</v>
      </c>
      <c r="AY149" s="14">
        <v>4.9799999999999997E-2</v>
      </c>
      <c r="AZ149" s="14">
        <v>4.0599999999999997E-2</v>
      </c>
      <c r="BA149" s="13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8">
        <v>4.5199999999999997E-2</v>
      </c>
      <c r="BM149" s="1"/>
      <c r="BN149" s="58">
        <v>5.4199999999999998E-2</v>
      </c>
      <c r="BO149" s="1"/>
      <c r="BP149" s="1"/>
      <c r="BQ149" s="1"/>
      <c r="BR149" s="58">
        <v>3.6999999999999998E-2</v>
      </c>
      <c r="BS149" s="13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8">
        <v>3.7400000000000003E-2</v>
      </c>
      <c r="Q150" s="85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8">
        <v>2.5000000000000001E-2</v>
      </c>
      <c r="AI150" s="13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4">
        <v>3.3000000000000002E-2</v>
      </c>
      <c r="AU150" s="14">
        <v>3.39E-2</v>
      </c>
      <c r="AV150" s="14">
        <v>3.7699999999999997E-2</v>
      </c>
      <c r="AW150" s="14">
        <v>3.9899999999999998E-2</v>
      </c>
      <c r="AX150" s="14">
        <v>4.2900000000000001E-2</v>
      </c>
      <c r="AY150" s="14">
        <v>4.9799999999999997E-2</v>
      </c>
      <c r="AZ150" s="14">
        <v>4.0599999999999997E-2</v>
      </c>
      <c r="BA150" s="13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8">
        <v>4.5199999999999997E-2</v>
      </c>
      <c r="BM150" s="1"/>
      <c r="BN150" s="58">
        <v>5.4199999999999998E-2</v>
      </c>
      <c r="BO150" s="1"/>
      <c r="BP150" s="1"/>
      <c r="BQ150" s="1"/>
      <c r="BR150" s="58">
        <v>3.78E-2</v>
      </c>
      <c r="BS150" s="13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8">
        <v>3.78E-2</v>
      </c>
      <c r="Q151" s="85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8">
        <v>2.5000000000000001E-2</v>
      </c>
      <c r="AI151" s="13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4">
        <v>3.39E-2</v>
      </c>
      <c r="AU151" s="14">
        <v>3.49E-2</v>
      </c>
      <c r="AV151" s="14">
        <v>3.7499999999999999E-2</v>
      </c>
      <c r="AW151" s="14">
        <v>3.9899999999999998E-2</v>
      </c>
      <c r="AX151" s="14">
        <v>4.1799999999999997E-2</v>
      </c>
      <c r="AY151" s="14">
        <v>4.99E-2</v>
      </c>
      <c r="AZ151" s="14">
        <v>4.1300000000000003E-2</v>
      </c>
      <c r="BA151" s="13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8">
        <v>4.5900000000000003E-2</v>
      </c>
      <c r="BM151" s="1"/>
      <c r="BN151" s="58">
        <v>5.5100000000000003E-2</v>
      </c>
      <c r="BO151" s="1"/>
      <c r="BP151" s="1"/>
      <c r="BQ151" s="1"/>
      <c r="BR151" s="58">
        <v>3.8300000000000001E-2</v>
      </c>
      <c r="BS151" s="13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/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8"/>
      <c r="Q152" s="85">
        <f t="shared" si="19"/>
        <v>0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/>
      <c r="Y152" s="3" t="s">
        <v>33</v>
      </c>
      <c r="Z152" s="6"/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8"/>
      <c r="AI152" s="13"/>
      <c r="AK152" s="4">
        <v>46225</v>
      </c>
      <c r="AL152" s="6"/>
      <c r="AM152" s="3"/>
      <c r="AN152" s="3"/>
      <c r="AO152" s="3"/>
      <c r="AP152" s="3"/>
      <c r="AQ152" s="3"/>
      <c r="AR152" s="6"/>
      <c r="AS152" s="2">
        <v>46225</v>
      </c>
      <c r="AT152" s="14"/>
      <c r="AU152" s="14"/>
      <c r="AV152" s="14"/>
      <c r="AW152" s="14"/>
      <c r="AX152" s="14"/>
      <c r="AY152" s="14"/>
      <c r="AZ152" s="14"/>
      <c r="BA152" s="13">
        <f t="shared" si="20"/>
        <v>0</v>
      </c>
      <c r="BC152" s="4">
        <v>46225</v>
      </c>
      <c r="BD152" s="6"/>
      <c r="BE152" s="6"/>
      <c r="BF152" s="6"/>
      <c r="BG152" s="3"/>
      <c r="BH152" s="3"/>
      <c r="BI152" s="3"/>
      <c r="BJ152" s="6"/>
      <c r="BK152" s="2">
        <v>46225</v>
      </c>
      <c r="BL152" s="58"/>
      <c r="BM152" s="1"/>
      <c r="BN152" s="58"/>
      <c r="BO152" s="1"/>
      <c r="BP152" s="1"/>
      <c r="BQ152" s="1"/>
      <c r="BR152" s="58"/>
      <c r="BS152" s="13"/>
    </row>
    <row r="1048575" spans="34:45" x14ac:dyDescent="0.35">
      <c r="AP1048575" s="19"/>
      <c r="AQ1048575" s="19"/>
      <c r="AR1048575" s="19"/>
      <c r="AS1048575" s="19"/>
    </row>
    <row r="1048576" spans="34:45" x14ac:dyDescent="0.35">
      <c r="AH1048576" s="60"/>
      <c r="AP1048576" s="18"/>
      <c r="AQ1048576" s="19"/>
      <c r="AR1048576" s="60"/>
      <c r="AS1048576" s="19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6" t="s">
        <v>44</v>
      </c>
      <c r="C1" s="96"/>
      <c r="D1" s="96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1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136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135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134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133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132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131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130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129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128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127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126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125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124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123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122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121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120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119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118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117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116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1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4" t="s">
        <v>67</v>
      </c>
      <c r="B10" s="83">
        <f>AVERAGE(B3:B9)</f>
        <v>3.115988142928364E-2</v>
      </c>
      <c r="C10" s="83">
        <f t="shared" ref="C10:I10" si="6">AVERAGE(C3:C9)</f>
        <v>2.4052790043091139E-2</v>
      </c>
      <c r="D10" s="83">
        <f t="shared" si="6"/>
        <v>3.18077508576027E-2</v>
      </c>
      <c r="E10" s="83">
        <f t="shared" si="6"/>
        <v>2.5730851265227984E-2</v>
      </c>
      <c r="F10" s="83">
        <f t="shared" si="6"/>
        <v>2.8768144048917692E-2</v>
      </c>
      <c r="G10" s="83">
        <f t="shared" si="6"/>
        <v>2.8894535758690804E-2</v>
      </c>
      <c r="H10" s="83">
        <f t="shared" si="6"/>
        <v>2.861428571428571E-2</v>
      </c>
      <c r="I10" s="83">
        <f t="shared" si="6"/>
        <v>2.904266688358681E-2</v>
      </c>
    </row>
  </sheetData>
  <conditionalFormatting sqref="A1:J9 A10">
    <cfRule type="expression" dxfId="1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1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55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54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53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52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3.7999999999999999E-2</v>
      </c>
      <c r="E3" s="55">
        <v>5.9700000000000003E-2</v>
      </c>
      <c r="F3" s="55">
        <v>4.9000000000000002E-2</v>
      </c>
      <c r="G3" s="55">
        <v>5.6899999999999999E-2</v>
      </c>
      <c r="H3" s="53">
        <v>3.6799999999999999E-2</v>
      </c>
      <c r="I3" s="74">
        <f>(1+H3/365)^365-1</f>
        <v>3.7483578454069244E-2</v>
      </c>
      <c r="J3" s="75"/>
      <c r="K3" s="68">
        <f>H3-'Daily Data'!AR124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Data'!Z124</f>
        <v>9.5000000000000015E-3</v>
      </c>
    </row>
    <row r="5" spans="1:11" ht="23.15" customHeight="1" x14ac:dyDescent="0.5">
      <c r="A5" s="51" t="s">
        <v>17</v>
      </c>
      <c r="B5" s="56">
        <v>6.3799999999999996E-2</v>
      </c>
      <c r="C5" s="56">
        <f t="shared" ref="C5:G5" si="2">((1+$I5)^(C2/365)-1)*365/C2</f>
        <v>5.3250430930830629E-2</v>
      </c>
      <c r="D5" s="56">
        <v>7.6600000000000001E-2</v>
      </c>
      <c r="E5" s="56">
        <f t="shared" si="2"/>
        <v>5.3429391347276901E-2</v>
      </c>
      <c r="F5" s="56">
        <f t="shared" si="2"/>
        <v>5.3546536612990449E-2</v>
      </c>
      <c r="G5" s="56">
        <f t="shared" si="2"/>
        <v>5.3900030917774011E-2</v>
      </c>
      <c r="H5" s="57">
        <v>5.3199999999999997E-2</v>
      </c>
      <c r="I5" s="74">
        <f t="shared" si="1"/>
        <v>5.4636463658827239E-2</v>
      </c>
      <c r="J5" s="75"/>
      <c r="K5" s="68">
        <f>H5-'Daily Data'!BJ124</f>
        <v>3.1199999999999999E-2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2.7E-2</v>
      </c>
      <c r="C7" s="52">
        <f t="shared" ref="C7:G7" si="4">((1+$I7)^(C2/365)-1)*365/C2</f>
        <v>2.5811857215221928E-2</v>
      </c>
      <c r="D7" s="52">
        <v>2.8299999999999999E-2</v>
      </c>
      <c r="E7" s="52">
        <f t="shared" si="4"/>
        <v>2.5853871894912912E-2</v>
      </c>
      <c r="F7" s="52">
        <f t="shared" si="4"/>
        <v>2.5881321894265188E-2</v>
      </c>
      <c r="G7" s="52">
        <f t="shared" si="4"/>
        <v>2.5963905256004081E-2</v>
      </c>
      <c r="H7" s="53">
        <v>2.58E-2</v>
      </c>
      <c r="I7" s="74">
        <f t="shared" si="1"/>
        <v>2.6134765186633047E-2</v>
      </c>
      <c r="J7" s="75"/>
      <c r="K7" s="68">
        <f>H7-1.06%</f>
        <v>1.52E-2</v>
      </c>
    </row>
    <row r="8" spans="1:11" ht="23.15" customHeight="1" x14ac:dyDescent="0.4">
      <c r="A8" s="51" t="s">
        <v>62</v>
      </c>
      <c r="B8" s="52">
        <f>((1+$I8)^(B2/365)-1)*365/B2</f>
        <v>3.2708789997348199E-2</v>
      </c>
      <c r="C8" s="52">
        <f t="shared" ref="C8:G8" si="5">((1+$I8)^(C2/365)-1)*365/C2</f>
        <v>3.2719048976256326E-2</v>
      </c>
      <c r="D8" s="52">
        <f t="shared" si="5"/>
        <v>3.2742514184474304E-2</v>
      </c>
      <c r="E8" s="52">
        <f t="shared" si="5"/>
        <v>3.2786571947560107E-2</v>
      </c>
      <c r="F8" s="52">
        <f t="shared" si="5"/>
        <v>3.2830708755136703E-2</v>
      </c>
      <c r="G8" s="52">
        <f t="shared" si="5"/>
        <v>3.2963595041935363E-2</v>
      </c>
      <c r="H8" s="53">
        <v>3.27E-2</v>
      </c>
      <c r="I8" s="74">
        <f t="shared" si="1"/>
        <v>3.3239007205273285E-2</v>
      </c>
      <c r="J8" s="75"/>
      <c r="K8" s="68">
        <f>H8-'Daily Data'!H124</f>
        <v>2.1299999999999999E-2</v>
      </c>
    </row>
    <row r="9" spans="1:11" ht="23.15" customHeight="1" x14ac:dyDescent="0.5">
      <c r="A9" s="51" t="s">
        <v>61</v>
      </c>
      <c r="B9" s="56">
        <f>((1+I9)^(B2/365)-1)*365/B2</f>
        <v>3.4509784417989478E-2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3.4500000000000003E-2</v>
      </c>
      <c r="I9" s="74">
        <f t="shared" si="1"/>
        <v>3.5100340771234473E-2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4.5999999999999999E-2</v>
      </c>
      <c r="E3" s="55">
        <v>5.96E-2</v>
      </c>
      <c r="F3" s="55">
        <v>4.9000000000000002E-2</v>
      </c>
      <c r="G3" s="55">
        <v>5.96E-2</v>
      </c>
      <c r="H3" s="53">
        <v>3.61E-2</v>
      </c>
      <c r="I3" s="74">
        <f>(1+H3/365)^365-1</f>
        <v>3.6757666539783518E-2</v>
      </c>
      <c r="J3" s="75"/>
      <c r="K3" s="68">
        <f>H3-'Daily Data'!AR125</f>
        <v>2.4199999999999999E-2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Data'!Z125</f>
        <v>9.3000000000000027E-3</v>
      </c>
    </row>
    <row r="5" spans="1:11" ht="23.15" customHeight="1" x14ac:dyDescent="0.5">
      <c r="A5" s="51" t="s">
        <v>17</v>
      </c>
      <c r="B5" s="56">
        <v>6.3200000000000006E-2</v>
      </c>
      <c r="C5" s="56">
        <f t="shared" ref="C5:G5" si="2">((1+$I5)^(C2/365)-1)*365/C2</f>
        <v>5.2749487164463801E-2</v>
      </c>
      <c r="D5" s="56">
        <v>7.5800000000000006E-2</v>
      </c>
      <c r="E5" s="56">
        <f t="shared" si="2"/>
        <v>5.2925093773015672E-2</v>
      </c>
      <c r="F5" s="56">
        <f t="shared" si="2"/>
        <v>5.3040039685020607E-2</v>
      </c>
      <c r="G5" s="56">
        <f t="shared" si="2"/>
        <v>5.3386878209514509E-2</v>
      </c>
      <c r="H5" s="57">
        <v>5.2699999999999997E-2</v>
      </c>
      <c r="I5" s="74">
        <f t="shared" si="1"/>
        <v>5.4109353682553651E-2</v>
      </c>
      <c r="J5" s="75"/>
      <c r="K5" s="68">
        <f>H5-'Daily Data'!BJ125</f>
        <v>3.2799999999999996E-2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2.7199999999999998E-2</v>
      </c>
      <c r="C7" s="52">
        <f t="shared" ref="C7:G7" si="4">((1+$I7)^(C2/365)-1)*365/C2</f>
        <v>2.5911949322887175E-2</v>
      </c>
      <c r="D7" s="52">
        <v>2.8500000000000001E-2</v>
      </c>
      <c r="E7" s="52">
        <f t="shared" si="4"/>
        <v>2.5954290603619774E-2</v>
      </c>
      <c r="F7" s="52">
        <f t="shared" si="4"/>
        <v>2.5981954177583283E-2</v>
      </c>
      <c r="G7" s="52">
        <f t="shared" si="4"/>
        <v>2.6065180992459636E-2</v>
      </c>
      <c r="H7" s="53">
        <v>2.5899999999999999E-2</v>
      </c>
      <c r="I7" s="74">
        <f t="shared" si="1"/>
        <v>2.6237376526543565E-2</v>
      </c>
      <c r="J7" s="75"/>
      <c r="K7" s="68">
        <f>H7-1.06%</f>
        <v>1.5299999999999999E-2</v>
      </c>
    </row>
    <row r="8" spans="1:11" ht="23.15" customHeight="1" x14ac:dyDescent="0.4">
      <c r="A8" s="51" t="s">
        <v>62</v>
      </c>
      <c r="B8" s="52">
        <f>((1+$I8)^(B2/365)-1)*365/B2</f>
        <v>3.2408629440969942E-2</v>
      </c>
      <c r="C8" s="52">
        <f t="shared" ref="C8:G8" si="5">((1+$I8)^(C2/365)-1)*365/C2</f>
        <v>3.2418700995537265E-2</v>
      </c>
      <c r="D8" s="52">
        <f t="shared" si="5"/>
        <v>3.2441737365686896E-2</v>
      </c>
      <c r="E8" s="52">
        <f t="shared" si="5"/>
        <v>3.2484989406369791E-2</v>
      </c>
      <c r="F8" s="52">
        <f t="shared" si="5"/>
        <v>3.2528318333154047E-2</v>
      </c>
      <c r="G8" s="52">
        <f t="shared" si="5"/>
        <v>3.2658767969349564E-2</v>
      </c>
      <c r="H8" s="53">
        <v>3.2399999999999998E-2</v>
      </c>
      <c r="I8" s="74">
        <f t="shared" si="1"/>
        <v>3.2929109626098185E-2</v>
      </c>
      <c r="J8" s="75"/>
      <c r="K8" s="68">
        <f>H8-'Daily Data'!H125</f>
        <v>2.1199999999999997E-2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4.1000000000000002E-2</v>
      </c>
      <c r="E3" s="55">
        <v>5.9299999999999999E-2</v>
      </c>
      <c r="F3" s="55">
        <v>4.0899999999999999E-2</v>
      </c>
      <c r="G3" s="55">
        <v>5.9499999999999997E-2</v>
      </c>
      <c r="H3" s="53">
        <v>3.6999999999999998E-2</v>
      </c>
      <c r="I3" s="74">
        <f>(1+H3/365)^365-1</f>
        <v>3.7691074941686109E-2</v>
      </c>
      <c r="J3" s="75"/>
      <c r="K3" s="68">
        <f>H3-'Daily Data'!AR126</f>
        <v>2.47E-2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Data'!Z126</f>
        <v>9.1999999999999998E-3</v>
      </c>
    </row>
    <row r="5" spans="1:11" ht="23.15" customHeight="1" x14ac:dyDescent="0.5">
      <c r="A5" s="51" t="s">
        <v>17</v>
      </c>
      <c r="B5" s="56">
        <v>6.4699999999999994E-2</v>
      </c>
      <c r="C5" s="56">
        <f t="shared" ref="C5:G5" si="2">((1+$I6)^(C2/365)-1)*365/C2</f>
        <v>3.3720232087598924E-2</v>
      </c>
      <c r="D5" s="56">
        <v>7.7700000000000005E-2</v>
      </c>
      <c r="E5" s="56">
        <f t="shared" si="2"/>
        <v>3.3791952704462558E-2</v>
      </c>
      <c r="F5" s="56">
        <f t="shared" si="2"/>
        <v>3.3838836584806672E-2</v>
      </c>
      <c r="G5" s="56">
        <f t="shared" si="2"/>
        <v>3.3980009211555737E-2</v>
      </c>
      <c r="H5" s="57">
        <v>5.3999999999999999E-2</v>
      </c>
      <c r="I5" s="74">
        <f t="shared" si="1"/>
        <v>5.5480386424407557E-2</v>
      </c>
      <c r="J5" s="75"/>
      <c r="K5" s="68">
        <f>H5-'Daily Data'!BJ126</f>
        <v>3.3299999999999996E-2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2.6800000000000001E-2</v>
      </c>
      <c r="C7" s="52">
        <f t="shared" ref="C7:G7" si="4">((1+$I7)^(C2/365)-1)*365/C2</f>
        <v>2.5511583031124378E-2</v>
      </c>
      <c r="D7" s="52">
        <v>2.8199999999999999E-2</v>
      </c>
      <c r="E7" s="52">
        <f t="shared" si="4"/>
        <v>2.5552625507271554E-2</v>
      </c>
      <c r="F7" s="52">
        <f t="shared" si="4"/>
        <v>2.5579439765606862E-2</v>
      </c>
      <c r="G7" s="52">
        <f t="shared" si="4"/>
        <v>2.5660107842983764E-2</v>
      </c>
      <c r="H7" s="53">
        <v>2.5499999999999998E-2</v>
      </c>
      <c r="I7" s="74">
        <f t="shared" si="1"/>
        <v>2.5826992553672934E-2</v>
      </c>
      <c r="J7" s="75"/>
      <c r="K7" s="68">
        <f>H7-1.06%</f>
        <v>1.4899999999999998E-2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Data'!H126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3.4709898198359249E-2</v>
      </c>
      <c r="C9" s="56">
        <f t="shared" ref="C9:G9" si="6">((1+$I9)^(C2/365)-1)*365/C2</f>
        <v>3.4721450854841733E-2</v>
      </c>
      <c r="D9" s="56">
        <f t="shared" si="6"/>
        <v>3.4747876182692296E-2</v>
      </c>
      <c r="E9" s="56">
        <f t="shared" si="6"/>
        <v>3.4797495973070948E-2</v>
      </c>
      <c r="F9" s="56">
        <f t="shared" si="6"/>
        <v>3.4847210239193682E-2</v>
      </c>
      <c r="G9" s="56">
        <f t="shared" si="6"/>
        <v>3.4996921918003271E-2</v>
      </c>
      <c r="H9" s="53">
        <v>3.4700000000000002E-2</v>
      </c>
      <c r="I9" s="74">
        <f t="shared" si="1"/>
        <v>3.5307361916328883E-2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Data'!AR127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Data'!Z127</f>
        <v>1.6299999999999999E-2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5.4653120929969511E-2</v>
      </c>
      <c r="D5" s="56">
        <v>6.2199999999999998E-2</v>
      </c>
      <c r="E5" s="56">
        <f t="shared" si="2"/>
        <v>5.4841641376906967E-2</v>
      </c>
      <c r="F5" s="56">
        <f t="shared" si="2"/>
        <v>5.4965056522566016E-2</v>
      </c>
      <c r="G5" s="56">
        <f t="shared" si="2"/>
        <v>5.5337527987590028E-2</v>
      </c>
      <c r="H5" s="57">
        <v>5.4600000000000003E-2</v>
      </c>
      <c r="I5" s="74">
        <f t="shared" si="1"/>
        <v>5.6113770425693321E-2</v>
      </c>
      <c r="J5" s="75"/>
      <c r="K5" s="68">
        <f>H5-'Daily Data'!BJ127</f>
        <v>3.4300000000000004E-2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3.3909447023868777E-2</v>
      </c>
      <c r="C8" s="52">
        <f t="shared" ref="C8:G8" si="5">((1+$I8)^(C2/365)-1)*365/C2</f>
        <v>3.3920472988498589E-2</v>
      </c>
      <c r="D8" s="52">
        <f t="shared" si="5"/>
        <v>3.3945693147479895E-2</v>
      </c>
      <c r="E8" s="52">
        <f t="shared" si="5"/>
        <v>3.3993048356382727E-2</v>
      </c>
      <c r="F8" s="52">
        <f t="shared" si="5"/>
        <v>3.4040491647770316E-2</v>
      </c>
      <c r="G8" s="52">
        <f t="shared" si="5"/>
        <v>3.4183351862080429E-2</v>
      </c>
      <c r="H8" s="53">
        <v>3.39E-2</v>
      </c>
      <c r="I8" s="74">
        <f t="shared" si="1"/>
        <v>3.4479524999688094E-2</v>
      </c>
      <c r="J8" s="75"/>
      <c r="K8" s="68">
        <f>H8-'Daily Data'!H127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Data'!AR128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Data'!Z128</f>
        <v>9.1999999999999998E-3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5.3651192366085794E-2</v>
      </c>
      <c r="D5" s="56">
        <v>6.2199999999999998E-2</v>
      </c>
      <c r="E5" s="56">
        <f t="shared" si="2"/>
        <v>5.3832858749404591E-2</v>
      </c>
      <c r="F5" s="56">
        <f t="shared" si="2"/>
        <v>5.3951778611946395E-2</v>
      </c>
      <c r="G5" s="56">
        <f t="shared" si="2"/>
        <v>5.4310643676858256E-2</v>
      </c>
      <c r="H5" s="57">
        <v>5.3600000000000002E-2</v>
      </c>
      <c r="I5" s="74">
        <f t="shared" si="1"/>
        <v>5.5058340892861102E-2</v>
      </c>
      <c r="J5" s="75"/>
      <c r="K5" s="68">
        <f>H5-'Daily Data'!BJ128</f>
        <v>3.4299999999999997E-2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Data'!H128</f>
        <v>2.3E-2</v>
      </c>
    </row>
    <row r="9" spans="1:11" ht="23.15" customHeight="1" x14ac:dyDescent="0.5">
      <c r="A9" s="51" t="s">
        <v>61</v>
      </c>
      <c r="B9" s="56">
        <f>((1+$I9)^(B2/365)-1)*365/B2</f>
        <v>3.430967129548395E-2</v>
      </c>
      <c r="C9" s="56">
        <f t="shared" ref="C9:G9" si="6">((1+$I9)^(C2/365)-1)*365/C2</f>
        <v>3.4320959069194204E-2</v>
      </c>
      <c r="D9" s="56">
        <f t="shared" si="6"/>
        <v>3.4346778292231983E-2</v>
      </c>
      <c r="E9" s="56">
        <f t="shared" si="6"/>
        <v>3.4395259162604379E-2</v>
      </c>
      <c r="F9" s="56">
        <f t="shared" si="6"/>
        <v>3.4443831274714017E-2</v>
      </c>
      <c r="G9" s="56">
        <f t="shared" si="6"/>
        <v>3.459009699547997E-2</v>
      </c>
      <c r="H9" s="53">
        <v>3.4299999999999997E-2</v>
      </c>
      <c r="I9" s="74">
        <f t="shared" si="1"/>
        <v>3.4893360908936799E-2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Data'!AR129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Data'!Z129</f>
        <v>9.9000000000000008E-3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3.290889785714822E-2</v>
      </c>
      <c r="C8" s="52">
        <f t="shared" ref="C8:G8" si="5">((1+$I8)^(C2/365)-1)*365/C2</f>
        <v>3.2919282746055836E-2</v>
      </c>
      <c r="D8" s="52">
        <f t="shared" si="5"/>
        <v>3.2943036046151376E-2</v>
      </c>
      <c r="E8" s="52">
        <f t="shared" si="5"/>
        <v>3.2987635099189561E-2</v>
      </c>
      <c r="F8" s="52">
        <f t="shared" si="5"/>
        <v>3.3032314657883019E-2</v>
      </c>
      <c r="G8" s="52">
        <f t="shared" si="5"/>
        <v>3.3166838004525655E-2</v>
      </c>
      <c r="H8" s="53">
        <v>3.2899999999999999E-2</v>
      </c>
      <c r="I8" s="74">
        <f t="shared" si="1"/>
        <v>3.3445657100777071E-2</v>
      </c>
      <c r="J8" s="75"/>
      <c r="K8" s="68">
        <f>H8-'Daily Data'!H129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3.4209614980849228E-2</v>
      </c>
      <c r="C9" s="56">
        <f t="shared" ref="C9:G9" si="6">((1+$I9)^(C2/365)-1)*365/C2</f>
        <v>3.4220837014135107E-2</v>
      </c>
      <c r="D9" s="56">
        <f t="shared" si="6"/>
        <v>3.4246505811097595E-2</v>
      </c>
      <c r="E9" s="56">
        <f t="shared" si="6"/>
        <v>3.4294704023164348E-2</v>
      </c>
      <c r="F9" s="56">
        <f t="shared" si="6"/>
        <v>3.4342992680180727E-2</v>
      </c>
      <c r="G9" s="56">
        <f t="shared" si="6"/>
        <v>3.4488403232455951E-2</v>
      </c>
      <c r="H9" s="53">
        <v>3.4200000000000001E-2</v>
      </c>
      <c r="I9" s="74">
        <f t="shared" si="1"/>
        <v>3.4789886456186414E-2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3.1899999999999998E-2</v>
      </c>
      <c r="D3" s="55">
        <v>3.9E-2</v>
      </c>
      <c r="E3" s="55">
        <v>5.7799999999999997E-2</v>
      </c>
      <c r="F3" s="55">
        <v>4.4999999999999998E-2</v>
      </c>
      <c r="G3" s="55">
        <v>4.1000000000000002E-2</v>
      </c>
      <c r="H3" s="53">
        <v>3.9800000000000002E-2</v>
      </c>
      <c r="I3" s="74">
        <f>(1+H3/365)^365-1</f>
        <v>4.0600374996768718E-2</v>
      </c>
      <c r="J3" s="75"/>
      <c r="K3" s="68">
        <f>H3-'Daily Data'!AR130</f>
        <v>2.6000000000000002E-2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Data'!Z130</f>
        <v>8.8000000000000023E-3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3.5299999999999998E-2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3.5910594695506913E-2</v>
      </c>
      <c r="C8" s="52">
        <f t="shared" ref="C8:G8" si="5">((1+$I8)^(C2/365)-1)*365/C2</f>
        <v>3.5922960443012478E-2</v>
      </c>
      <c r="D8" s="52">
        <f t="shared" si="5"/>
        <v>3.5951246333042218E-2</v>
      </c>
      <c r="E8" s="52">
        <f t="shared" si="5"/>
        <v>3.6004362447270476E-2</v>
      </c>
      <c r="F8" s="52">
        <f t="shared" si="5"/>
        <v>3.6057583196594925E-2</v>
      </c>
      <c r="G8" s="52">
        <f t="shared" si="5"/>
        <v>3.6217875576784582E-2</v>
      </c>
      <c r="H8" s="53">
        <v>3.5900000000000001E-2</v>
      </c>
      <c r="I8" s="74">
        <f t="shared" si="1"/>
        <v>3.6550356185158339E-2</v>
      </c>
      <c r="J8" s="75"/>
      <c r="K8" s="68">
        <f>H8-'Daily Data'!H130</f>
        <v>2.23E-2</v>
      </c>
    </row>
    <row r="9" spans="1:11" ht="23.15" customHeight="1" x14ac:dyDescent="0.5">
      <c r="A9" s="51" t="s">
        <v>61</v>
      </c>
      <c r="B9" s="56">
        <f>((1+$I9)^(B2/365)-1)*365/B2</f>
        <v>3.6811132610262698E-2</v>
      </c>
      <c r="C9" s="56">
        <f t="shared" ref="C9:G9" si="6">((1+$I9)^(C2/365)-1)*365/C2</f>
        <v>3.6824126331346081E-2</v>
      </c>
      <c r="D9" s="56">
        <f t="shared" si="6"/>
        <v>3.6853849234498227E-2</v>
      </c>
      <c r="E9" s="56">
        <f t="shared" si="6"/>
        <v>3.6909665927788916E-2</v>
      </c>
      <c r="F9" s="56">
        <f t="shared" si="6"/>
        <v>3.6965595336695314E-2</v>
      </c>
      <c r="G9" s="56">
        <f t="shared" si="6"/>
        <v>3.7134062420906062E-2</v>
      </c>
      <c r="H9" s="53">
        <v>3.6799999999999999E-2</v>
      </c>
      <c r="I9" s="74">
        <f t="shared" si="1"/>
        <v>3.7483578454069244E-2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4.2999999999999997E-2</v>
      </c>
      <c r="D3" s="55">
        <v>4.1000000000000002E-2</v>
      </c>
      <c r="E3" s="55">
        <v>5.8000000000000003E-2</v>
      </c>
      <c r="F3" s="55">
        <v>4.9500000000000002E-2</v>
      </c>
      <c r="G3" s="55">
        <v>5.5E-2</v>
      </c>
      <c r="H3" s="53">
        <v>3.9600000000000003E-2</v>
      </c>
      <c r="I3" s="74">
        <f>(1+H3/365)^365-1</f>
        <v>4.0392298362033729E-2</v>
      </c>
      <c r="J3" s="75"/>
      <c r="K3" s="68">
        <f>H3-'Daily Data'!AR131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Data'!Z131</f>
        <v>8.5000000000000006E-3</v>
      </c>
    </row>
    <row r="5" spans="1:11" ht="23.15" customHeight="1" x14ac:dyDescent="0.5">
      <c r="A5" s="51" t="s">
        <v>17</v>
      </c>
      <c r="B5" s="56">
        <v>4.87E-2</v>
      </c>
      <c r="C5" s="56">
        <f t="shared" ref="C5:G5" si="2">((1+$I5)^(C2/365)-1)*365/C2</f>
        <v>3.5922960443012478E-2</v>
      </c>
      <c r="D5" s="56">
        <v>5.16E-2</v>
      </c>
      <c r="E5" s="56">
        <f t="shared" si="2"/>
        <v>3.6004362447270476E-2</v>
      </c>
      <c r="F5" s="56">
        <f t="shared" si="2"/>
        <v>3.6057583196594925E-2</v>
      </c>
      <c r="G5" s="56">
        <f t="shared" si="2"/>
        <v>3.6217875576784582E-2</v>
      </c>
      <c r="H5" s="57">
        <v>3.5900000000000001E-2</v>
      </c>
      <c r="I5" s="74">
        <f t="shared" si="1"/>
        <v>3.6550356185158339E-2</v>
      </c>
      <c r="J5" s="75"/>
      <c r="K5" s="68">
        <f>H5-'Daily Data'!BJ131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3.6999999999999998E-2</v>
      </c>
      <c r="C7" s="52">
        <f t="shared" ref="C7:G7" si="4">((1+$I7)^(C2/365)-1)*365/C2</f>
        <v>3.5222073609817203E-2</v>
      </c>
      <c r="D7" s="52">
        <v>3.8699999999999998E-2</v>
      </c>
      <c r="E7" s="52">
        <f t="shared" si="4"/>
        <v>3.5300328557368831E-2</v>
      </c>
      <c r="F7" s="52">
        <f t="shared" si="4"/>
        <v>3.5351489269211729E-2</v>
      </c>
      <c r="G7" s="52">
        <f t="shared" si="4"/>
        <v>3.5505565298553574E-2</v>
      </c>
      <c r="H7" s="53">
        <v>3.5200000000000002E-2</v>
      </c>
      <c r="I7" s="74">
        <f t="shared" si="1"/>
        <v>3.582509544513357E-2</v>
      </c>
      <c r="J7" s="75"/>
      <c r="K7" s="68">
        <f>H7-1.06%</f>
        <v>2.4600000000000004E-2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Data'!H131</f>
        <v>2.1999999999999999E-2</v>
      </c>
    </row>
    <row r="9" spans="1:11" ht="23.15" customHeight="1" x14ac:dyDescent="0.5">
      <c r="A9" s="51" t="s">
        <v>61</v>
      </c>
      <c r="B9" s="56">
        <f>((1+$I9)^(B2/365)-1)*365/B2</f>
        <v>3.7111314875581947E-2</v>
      </c>
      <c r="C9" s="56">
        <f t="shared" ref="C9:G9" si="6">((1+$I9)^(C2/365)-1)*365/C2</f>
        <v>3.7124521379478526E-2</v>
      </c>
      <c r="D9" s="56">
        <f t="shared" si="6"/>
        <v>3.7154731209908344E-2</v>
      </c>
      <c r="E9" s="56">
        <f t="shared" si="6"/>
        <v>3.7211463020234627E-2</v>
      </c>
      <c r="F9" s="56">
        <f t="shared" si="6"/>
        <v>3.7268310329474294E-2</v>
      </c>
      <c r="G9" s="56">
        <f t="shared" si="6"/>
        <v>3.7439547899246244E-2</v>
      </c>
      <c r="H9" s="53">
        <v>3.7100000000000001E-2</v>
      </c>
      <c r="I9" s="74">
        <f t="shared" si="1"/>
        <v>3.7794838704558797E-2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4.1000000000000002E-2</v>
      </c>
      <c r="E3" s="55">
        <v>5.21E-2</v>
      </c>
      <c r="F3" s="55">
        <v>4.8800000000000003E-2</v>
      </c>
      <c r="G3" s="55">
        <v>5.9700000000000003E-2</v>
      </c>
      <c r="H3" s="53">
        <v>4.0300000000000002E-2</v>
      </c>
      <c r="I3" s="74">
        <f>(1+H3/365)^365-1</f>
        <v>4.1120748168237853E-2</v>
      </c>
      <c r="J3" s="75"/>
      <c r="K3" s="68">
        <f>H3-'Daily Data'!AR132</f>
        <v>2.4800000000000003E-2</v>
      </c>
    </row>
    <row r="4" spans="1:11" ht="23.15" customHeight="1" x14ac:dyDescent="0.5">
      <c r="A4" s="51" t="s">
        <v>15</v>
      </c>
      <c r="B4" s="56">
        <f>((1+$I4)^(B2/365)-1)*365/B2</f>
        <v>2.5035149911084891E-2</v>
      </c>
      <c r="C4" s="56">
        <f t="shared" ref="C4:G4" si="0">((1+$I4)^(C2/365)-1)*365/C2</f>
        <v>2.5041159926311014E-2</v>
      </c>
      <c r="D4" s="56">
        <f t="shared" si="0"/>
        <v>2.5054904328822736E-2</v>
      </c>
      <c r="E4" s="56">
        <f t="shared" si="0"/>
        <v>2.5080702201325855E-2</v>
      </c>
      <c r="F4" s="56">
        <f t="shared" si="0"/>
        <v>2.5106535490993349E-2</v>
      </c>
      <c r="G4" s="56">
        <f t="shared" si="0"/>
        <v>2.5184248410435296E-2</v>
      </c>
      <c r="H4" s="57">
        <v>2.503E-2</v>
      </c>
      <c r="I4" s="74">
        <f t="shared" ref="I4:I9" si="1">(1+H4/365)^365-1</f>
        <v>2.5345000507333015E-2</v>
      </c>
      <c r="J4" s="75"/>
      <c r="K4" s="68">
        <f>H4-'Daily Data'!Z132</f>
        <v>7.4299999999999991E-3</v>
      </c>
    </row>
    <row r="5" spans="1:11" ht="23.15" customHeight="1" x14ac:dyDescent="0.5">
      <c r="A5" s="51" t="s">
        <v>17</v>
      </c>
      <c r="B5" s="56">
        <v>3.6600000000000001E-2</v>
      </c>
      <c r="C5" s="56">
        <f t="shared" ref="C5:G5" si="2">((1+$I5)^(C2/365)-1)*365/C2</f>
        <v>3.762518692503198E-2</v>
      </c>
      <c r="D5" s="56">
        <v>3.8399999999999997E-2</v>
      </c>
      <c r="E5" s="56">
        <f t="shared" si="2"/>
        <v>3.7714490694561884E-2</v>
      </c>
      <c r="F5" s="56">
        <f t="shared" si="2"/>
        <v>3.7772884523489474E-2</v>
      </c>
      <c r="G5" s="56">
        <f t="shared" si="2"/>
        <v>3.7948790239201682E-2</v>
      </c>
      <c r="H5" s="57">
        <v>3.7600000000000001E-2</v>
      </c>
      <c r="I5" s="74">
        <f t="shared" si="1"/>
        <v>3.8313812750667031E-2</v>
      </c>
      <c r="J5" s="75"/>
      <c r="K5" s="68">
        <f>H5-'Daily Data'!Z132</f>
        <v>0.02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3.6600000000000001E-2</v>
      </c>
      <c r="C7" s="52">
        <f t="shared" ref="C7:G7" si="4">((1+$I7)^(C2/365)-1)*365/C2</f>
        <v>3.4921698887096272E-2</v>
      </c>
      <c r="D7" s="52">
        <v>3.8399999999999997E-2</v>
      </c>
      <c r="E7" s="52">
        <f t="shared" si="4"/>
        <v>3.4998624130466095E-2</v>
      </c>
      <c r="F7" s="52">
        <f t="shared" si="4"/>
        <v>3.5048914474249737E-2</v>
      </c>
      <c r="G7" s="52">
        <f t="shared" si="4"/>
        <v>3.52003643051041E-2</v>
      </c>
      <c r="H7" s="53">
        <v>3.49E-2</v>
      </c>
      <c r="I7" s="74">
        <f t="shared" si="1"/>
        <v>3.5514424352408591E-2</v>
      </c>
      <c r="J7" s="75"/>
      <c r="K7" s="68">
        <f>H7-1.06%</f>
        <v>2.4300000000000002E-2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Data'!H132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3.7999999999999999E-2</v>
      </c>
      <c r="D3" s="55">
        <v>3.9899999999999998E-2</v>
      </c>
      <c r="E3" s="55">
        <v>5.7599999999999998E-2</v>
      </c>
      <c r="F3" s="55">
        <v>3.9100000000000003E-2</v>
      </c>
      <c r="G3" s="55">
        <v>5.1999999999999998E-2</v>
      </c>
      <c r="H3" s="53">
        <v>4.1500000000000002E-2</v>
      </c>
      <c r="I3" s="74">
        <f>(1+H3/365)^365-1</f>
        <v>4.237070282542077E-2</v>
      </c>
      <c r="J3" s="75"/>
      <c r="K3" s="68">
        <f>H3-'Daily Data'!AR133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Data'!Z133</f>
        <v>7.6000000000000026E-3</v>
      </c>
    </row>
    <row r="5" spans="1:11" ht="23.15" customHeight="1" x14ac:dyDescent="0.5">
      <c r="A5" s="51" t="s">
        <v>17</v>
      </c>
      <c r="B5" s="56">
        <v>4.6600000000000003E-2</v>
      </c>
      <c r="C5" s="56">
        <f t="shared" ref="C5:G5" si="2">((1+$I5)^(C2/365)-1)*365/C2</f>
        <v>3.7124521379478526E-2</v>
      </c>
      <c r="D5" s="56">
        <v>5.3499999999999999E-2</v>
      </c>
      <c r="E5" s="56">
        <f t="shared" si="2"/>
        <v>3.7211463020234627E-2</v>
      </c>
      <c r="F5" s="56">
        <f t="shared" si="2"/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Data'!BJ133</f>
        <v>2.2100000000000002E-2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3.8100000000000002E-2</v>
      </c>
      <c r="C7" s="52">
        <f t="shared" ref="C7:G7" si="4">((1+$I7)^(C2/365)-1)*365/C2</f>
        <v>3.6323475049729645E-2</v>
      </c>
      <c r="D7" s="56">
        <v>3.9899999999999998E-2</v>
      </c>
      <c r="E7" s="52">
        <f t="shared" si="4"/>
        <v>3.6406703291771501E-2</v>
      </c>
      <c r="F7" s="52">
        <f t="shared" si="4"/>
        <v>3.6461119549689336E-2</v>
      </c>
      <c r="G7" s="52">
        <f t="shared" si="4"/>
        <v>3.6625019812009267E-2</v>
      </c>
      <c r="H7" s="53">
        <v>3.6299999999999999E-2</v>
      </c>
      <c r="I7" s="74">
        <f t="shared" si="1"/>
        <v>3.6965018242766767E-2</v>
      </c>
      <c r="J7" s="75"/>
      <c r="K7" s="68">
        <f>H7-1.06%</f>
        <v>2.5700000000000001E-2</v>
      </c>
    </row>
    <row r="8" spans="1:11" ht="23.15" customHeight="1" x14ac:dyDescent="0.4">
      <c r="A8" s="51" t="s">
        <v>62</v>
      </c>
      <c r="B8" s="52">
        <f>((1+$I8)^(B2/365)-1)*365/B2</f>
        <v>3.7311437208140515E-2</v>
      </c>
      <c r="C8" s="52">
        <f t="shared" ref="C8:G8" si="5">((1+$I8)^(C2/365)-1)*365/C2</f>
        <v>3.7324786527908681E-2</v>
      </c>
      <c r="D8" s="52">
        <f t="shared" si="5"/>
        <v>3.735532317743958E-2</v>
      </c>
      <c r="E8" s="52">
        <f t="shared" si="5"/>
        <v>3.7412669211809337E-2</v>
      </c>
      <c r="F8" s="52">
        <f t="shared" si="5"/>
        <v>3.74701326258867E-2</v>
      </c>
      <c r="G8" s="52">
        <f t="shared" si="5"/>
        <v>3.7643229852613126E-2</v>
      </c>
      <c r="H8" s="53">
        <v>3.73E-2</v>
      </c>
      <c r="I8" s="74">
        <f t="shared" si="1"/>
        <v>3.8002397273573685E-2</v>
      </c>
      <c r="J8" s="75"/>
      <c r="K8" s="68">
        <f>H8-'Daily Data'!H133</f>
        <v>2.24E-2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3.7324786527908681E-2</v>
      </c>
      <c r="D5" s="56">
        <v>5.4899999999999997E-2</v>
      </c>
      <c r="E5" s="56">
        <f t="shared" si="2"/>
        <v>3.7412669211809337E-2</v>
      </c>
      <c r="F5" s="56">
        <f t="shared" si="2"/>
        <v>3.74701326258867E-2</v>
      </c>
      <c r="G5" s="56">
        <f t="shared" si="2"/>
        <v>3.7643229852613126E-2</v>
      </c>
      <c r="H5" s="57">
        <v>3.73E-2</v>
      </c>
      <c r="I5" s="74">
        <f t="shared" si="1"/>
        <v>3.8002397273573685E-2</v>
      </c>
      <c r="J5" s="75"/>
      <c r="K5" s="68">
        <f>H5-'Daily Data'!BJ134</f>
        <v>2.3400000000000001E-2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3.9800000000000002E-2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Data'!H134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 t="s">
        <v>72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3.801187055273008E-2</v>
      </c>
      <c r="C8" s="52">
        <f t="shared" ref="C8:F8" si="5">((1+$I8)^(C2/365)-1)*365/C2</f>
        <v>3.8025725780286922E-2</v>
      </c>
      <c r="D8" s="52">
        <f t="shared" si="5"/>
        <v>3.8057420163112088E-2</v>
      </c>
      <c r="E8" s="52">
        <f t="shared" si="5"/>
        <v>3.8116942104048458E-2</v>
      </c>
      <c r="F8" s="52">
        <f t="shared" si="5"/>
        <v>3.8176588168356236E-2</v>
      </c>
      <c r="G8" s="52">
        <f>((1+$I8)^(G2/365)-1)*365/G2</f>
        <v>3.8356274017090804E-2</v>
      </c>
      <c r="H8" s="53">
        <v>3.7999999999999999E-2</v>
      </c>
      <c r="I8" s="74">
        <f t="shared" si="1"/>
        <v>3.8729178327362002E-2</v>
      </c>
      <c r="J8" s="75"/>
      <c r="K8" s="68">
        <f>H8-'Daily Data'!H134</f>
        <v>2.35E-2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3.9199999999999999E-2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3.8211995845654566E-2</v>
      </c>
      <c r="C8" s="52">
        <f t="shared" ref="C8:G8" si="5">((1+$I8)^(C2/365)-1)*365/C2</f>
        <v>3.8225997347559368E-2</v>
      </c>
      <c r="D8" s="52">
        <f t="shared" si="5"/>
        <v>3.8258026473317185E-2</v>
      </c>
      <c r="E8" s="52">
        <f t="shared" si="5"/>
        <v>3.8318177566042645E-2</v>
      </c>
      <c r="F8" s="52">
        <f t="shared" si="5"/>
        <v>3.837845475532109E-2</v>
      </c>
      <c r="G8" s="52">
        <f t="shared" si="5"/>
        <v>3.8560045880042144E-2</v>
      </c>
      <c r="H8" s="53">
        <v>3.8199999999999998E-2</v>
      </c>
      <c r="I8" s="74">
        <f t="shared" si="1"/>
        <v>3.8936923251637001E-2</v>
      </c>
      <c r="J8" s="75"/>
      <c r="K8" s="68">
        <f>H8-'Daily Data'!H134</f>
        <v>2.3699999999999999E-2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0.04</v>
      </c>
      <c r="D3" s="55">
        <v>4.4999999999999998E-2</v>
      </c>
      <c r="E3" s="55">
        <v>5.5E-2</v>
      </c>
      <c r="F3" s="55">
        <v>4.4900000000000002E-2</v>
      </c>
      <c r="G3" s="55">
        <v>4.0099999999999997E-2</v>
      </c>
      <c r="H3" s="53">
        <v>4.2000000000000003E-2</v>
      </c>
      <c r="I3" s="74">
        <f>(1+H3/365)^365-1</f>
        <v>4.2891958856924539E-2</v>
      </c>
      <c r="J3" s="75"/>
      <c r="K3" s="68">
        <f>H3-'Daily Data'!AR137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Data'!Z137</f>
        <v>6.7000000000000011E-3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Data'!BJ137</f>
        <v>2.4100000000000003E-2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3.78E-2</v>
      </c>
      <c r="C7" s="56">
        <f t="shared" ref="C7:G7" si="4">((1+$I7)^(C2/365)-1)*365/C2</f>
        <v>3.6023088559835527E-2</v>
      </c>
      <c r="D7" s="56">
        <v>3.9600000000000003E-2</v>
      </c>
      <c r="E7" s="56">
        <f t="shared" si="4"/>
        <v>3.6104945219826261E-2</v>
      </c>
      <c r="F7" s="56">
        <f t="shared" si="4"/>
        <v>3.6158463595416697E-2</v>
      </c>
      <c r="G7" s="56">
        <f t="shared" si="4"/>
        <v>3.6319654148926378E-2</v>
      </c>
      <c r="H7" s="53">
        <v>3.5999999999999997E-2</v>
      </c>
      <c r="I7" s="74">
        <f t="shared" si="1"/>
        <v>3.6654006194406952E-2</v>
      </c>
      <c r="J7" s="75"/>
      <c r="K7" s="68">
        <f>H7-1.06%</f>
        <v>2.5399999999999999E-2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Data'!H137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3.9512826285834003E-2</v>
      </c>
      <c r="C9" s="56">
        <f t="shared" ref="C9:G9" si="6">((1+$I9)^(C2/365)-1)*365/C2</f>
        <v>3.9527797305134844E-2</v>
      </c>
      <c r="D9" s="56">
        <f t="shared" si="6"/>
        <v>3.9562045185176621E-2</v>
      </c>
      <c r="E9" s="56">
        <f t="shared" si="6"/>
        <v>3.9626366640761357E-2</v>
      </c>
      <c r="F9" s="56">
        <f t="shared" si="6"/>
        <v>3.969082753132306E-2</v>
      </c>
      <c r="G9" s="56">
        <f t="shared" si="6"/>
        <v>3.9885050217776455E-2</v>
      </c>
      <c r="H9" s="53">
        <v>3.95E-2</v>
      </c>
      <c r="I9" s="74">
        <f t="shared" si="1"/>
        <v>4.0288275604905666E-2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0.04</v>
      </c>
      <c r="D3" s="55">
        <v>4.1000000000000002E-2</v>
      </c>
      <c r="E3" s="55">
        <v>4.2900000000000001E-2</v>
      </c>
      <c r="F3" s="55">
        <v>4.2900000000000001E-2</v>
      </c>
      <c r="G3" s="55">
        <v>4.0099999999999997E-2</v>
      </c>
      <c r="H3" s="53">
        <v>4.19E-2</v>
      </c>
      <c r="I3" s="74">
        <f>(1+H3/365)^365-1</f>
        <v>4.2787686858843488E-2</v>
      </c>
      <c r="J3" s="75"/>
      <c r="K3" s="68">
        <f>H3-'Daily Data'!AR138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Data'!Z138</f>
        <v>6.7000000000000011E-3</v>
      </c>
    </row>
    <row r="5" spans="1:11" ht="23.15" customHeight="1" x14ac:dyDescent="0.5">
      <c r="A5" s="51" t="s">
        <v>17</v>
      </c>
      <c r="B5" s="56">
        <v>4.7399999999999998E-2</v>
      </c>
      <c r="C5" s="56">
        <f t="shared" ref="C5:G5" si="2">((1+$I5)^(C2/365)-1)*365/C2</f>
        <v>3.9427656707190346E-2</v>
      </c>
      <c r="D5" s="56">
        <v>5.6899999999999999E-2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Data'!BJ138</f>
        <v>2.4399999999999998E-2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3.9699999999999999E-2</v>
      </c>
      <c r="C7" s="56">
        <f t="shared" ref="C7:G7" si="4">((1+$I7)^(C2/365)-1)*365/C2</f>
        <v>3.7825455639434812E-2</v>
      </c>
      <c r="D7" s="56">
        <v>4.1599999999999998E-2</v>
      </c>
      <c r="E7" s="56">
        <f t="shared" si="4"/>
        <v>3.7915713146943579E-2</v>
      </c>
      <c r="F7" s="56">
        <f t="shared" si="4"/>
        <v>3.7974731424557651E-2</v>
      </c>
      <c r="G7" s="56">
        <f t="shared" si="4"/>
        <v>3.8152522137446708E-2</v>
      </c>
      <c r="H7" s="53">
        <v>3.78E-2</v>
      </c>
      <c r="I7" s="74">
        <f t="shared" si="1"/>
        <v>3.8521474829770863E-2</v>
      </c>
      <c r="J7" s="75"/>
      <c r="K7" s="68">
        <f>H7-1.06%</f>
        <v>2.7200000000000002E-2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Data'!H138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4.0113218940828678E-2</v>
      </c>
      <c r="C9" s="56">
        <f t="shared" ref="C9:G9" si="6">((1+$I9)^(C2/365)-1)*365/C2</f>
        <v>4.0128648382387055E-2</v>
      </c>
      <c r="D9" s="56">
        <f t="shared" si="6"/>
        <v>4.0163945399559919E-2</v>
      </c>
      <c r="E9" s="56">
        <f t="shared" si="6"/>
        <v>4.0230238927370383E-2</v>
      </c>
      <c r="F9" s="56">
        <f t="shared" si="6"/>
        <v>4.0296678351598655E-2</v>
      </c>
      <c r="G9" s="56">
        <f t="shared" si="6"/>
        <v>4.0496875619757178E-2</v>
      </c>
      <c r="H9" s="53">
        <v>4.0099999999999997E-2</v>
      </c>
      <c r="I9" s="74">
        <f t="shared" si="1"/>
        <v>4.0912567765710728E-2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4.02E-2</v>
      </c>
      <c r="E3" s="55">
        <v>4.2900000000000001E-2</v>
      </c>
      <c r="F3" s="55">
        <v>4.2900000000000001E-2</v>
      </c>
      <c r="G3" s="55">
        <v>4.0099999999999997E-2</v>
      </c>
      <c r="H3" s="53">
        <v>4.1099999999999998E-2</v>
      </c>
      <c r="I3" s="74">
        <f>(1+H3/365)^365-1</f>
        <v>4.1953885076647213E-2</v>
      </c>
      <c r="J3" s="75"/>
      <c r="K3" s="68">
        <f>H3-'Daily Data'!AR139</f>
        <v>2.4999999999999998E-2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Data'!Z139</f>
        <v>6.5000000000000023E-3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Data'!BJ139</f>
        <v>2.3600000000000003E-2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3.9800000000000002E-2</v>
      </c>
      <c r="C7" s="56">
        <f t="shared" ref="C7:G7" si="4">((1+$I7)^(C2/365)-1)*365/C2</f>
        <v>3.7925590531587998E-2</v>
      </c>
      <c r="D7" s="56">
        <v>4.1700000000000001E-2</v>
      </c>
      <c r="E7" s="56">
        <f t="shared" si="4"/>
        <v>3.801632681242758E-2</v>
      </c>
      <c r="F7" s="56">
        <f t="shared" si="4"/>
        <v>3.8075658566120378E-2</v>
      </c>
      <c r="G7" s="56">
        <f t="shared" si="4"/>
        <v>3.8254395579506578E-2</v>
      </c>
      <c r="H7" s="53">
        <v>3.7900000000000003E-2</v>
      </c>
      <c r="I7" s="74">
        <f t="shared" si="1"/>
        <v>3.8625321400776125E-2</v>
      </c>
      <c r="J7" s="75"/>
      <c r="K7" s="68">
        <f>H7-1.06%</f>
        <v>2.7300000000000005E-2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Data'!H139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4.0099999999999997E-2</v>
      </c>
      <c r="E3" s="55">
        <v>4.2900000000000001E-2</v>
      </c>
      <c r="F3" s="55">
        <v>4.2900000000000001E-2</v>
      </c>
      <c r="G3" s="55">
        <v>5.4899999999999997E-2</v>
      </c>
      <c r="H3" s="53">
        <v>4.0300000000000002E-2</v>
      </c>
      <c r="I3" s="74">
        <f>(1+H3/365)^365-1</f>
        <v>4.1120748168237853E-2</v>
      </c>
      <c r="J3" s="75"/>
      <c r="K3" s="68">
        <f>H3-'Daily Data'!AR140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4.4900000000000002E-2</v>
      </c>
      <c r="C5" s="56">
        <f t="shared" ref="C5:G5" si="2">((1+$I5)^(C2/365)-1)*365/C2</f>
        <v>3.7424919637020534E-2</v>
      </c>
      <c r="D5" s="56">
        <v>5.3800000000000001E-2</v>
      </c>
      <c r="E5" s="56">
        <f t="shared" si="2"/>
        <v>3.7513274746653447E-2</v>
      </c>
      <c r="F5" s="56">
        <f t="shared" si="2"/>
        <v>3.7571047464634799E-2</v>
      </c>
      <c r="G5" s="56">
        <f t="shared" si="2"/>
        <v>3.7745078320365125E-2</v>
      </c>
      <c r="H5" s="57">
        <v>3.7400000000000003E-2</v>
      </c>
      <c r="I5" s="74">
        <f t="shared" si="1"/>
        <v>3.8106192081770685E-2</v>
      </c>
      <c r="J5" s="75"/>
      <c r="K5" s="68">
        <f>H5-'Daily Data'!BJ140</f>
        <v>2.2700000000000005E-2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4.1300000000000003E-2</v>
      </c>
      <c r="C7" s="56">
        <f t="shared" ref="C7:G7" si="4">((1+$I7)^(C2/365)-1)*365/C2</f>
        <v>3.9427656707190346E-2</v>
      </c>
      <c r="D7" s="56">
        <v>4.3299999999999998E-2</v>
      </c>
      <c r="E7" s="56">
        <f t="shared" si="4"/>
        <v>3.9525726953030728E-2</v>
      </c>
      <c r="F7" s="56">
        <f t="shared" si="4"/>
        <v>3.9589861010926784E-2</v>
      </c>
      <c r="G7" s="56">
        <f t="shared" si="4"/>
        <v>3.9783096817143065E-2</v>
      </c>
      <c r="H7" s="53">
        <v>3.9399999999999998E-2</v>
      </c>
      <c r="I7" s="74">
        <f t="shared" si="1"/>
        <v>4.0184263220001792E-2</v>
      </c>
      <c r="J7" s="75"/>
      <c r="K7" s="68">
        <f>H7-1.06%</f>
        <v>2.8799999999999999E-2</v>
      </c>
    </row>
    <row r="8" spans="1:11" ht="23.15" customHeight="1" x14ac:dyDescent="0.4">
      <c r="A8" s="51" t="s">
        <v>62</v>
      </c>
      <c r="B8" s="52">
        <f>((1+$I8)^(B2/365)-1)*365/B2</f>
        <v>3.6711072184115415E-2</v>
      </c>
      <c r="C8" s="52">
        <f t="shared" ref="C8:G8" si="5">((1+$I8)^(C2/365)-1)*365/C2</f>
        <v>3.6723995361844466E-2</v>
      </c>
      <c r="D8" s="52">
        <f t="shared" si="5"/>
        <v>3.6753556836253844E-2</v>
      </c>
      <c r="E8" s="52">
        <f t="shared" si="5"/>
        <v>3.6809070148862498E-2</v>
      </c>
      <c r="F8" s="52">
        <f t="shared" si="5"/>
        <v>3.6864695259371E-2</v>
      </c>
      <c r="G8" s="52">
        <f t="shared" si="5"/>
        <v>3.7032243914290011E-2</v>
      </c>
      <c r="H8" s="53">
        <v>3.6700000000000003E-2</v>
      </c>
      <c r="I8" s="74">
        <f t="shared" si="1"/>
        <v>3.7379845727282035E-2</v>
      </c>
      <c r="J8" s="75"/>
      <c r="K8" s="68">
        <f>H8-'Daily Data'!H140</f>
        <v>2.2300000000000004E-2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3.61E-2</v>
      </c>
      <c r="C5" s="56">
        <f t="shared" ref="C5:G5" si="2">((1+$I5)^(C2/365)-1)*365/C2</f>
        <v>3.8926959066522389E-2</v>
      </c>
      <c r="D5" s="56">
        <v>3.78E-2</v>
      </c>
      <c r="E5" s="56">
        <f t="shared" si="2"/>
        <v>3.9022552912378425E-2</v>
      </c>
      <c r="F5" s="56">
        <f t="shared" si="2"/>
        <v>3.9085065331842528E-2</v>
      </c>
      <c r="G5" s="56">
        <f t="shared" si="2"/>
        <v>3.9273404797430481E-2</v>
      </c>
      <c r="H5" s="57">
        <v>3.8899999999999997E-2</v>
      </c>
      <c r="I5" s="74">
        <f t="shared" si="1"/>
        <v>3.9664356841096371E-2</v>
      </c>
      <c r="J5" s="75"/>
      <c r="K5" s="68">
        <f>H5-'Daily Data'!BJ140</f>
        <v>2.4199999999999999E-2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3.8812375671868189E-2</v>
      </c>
      <c r="C8" s="52">
        <f t="shared" ref="C8:G8" si="5">((1+$I8)^(C2/365)-1)*365/C2</f>
        <v>3.8826820608222859E-2</v>
      </c>
      <c r="D8" s="52">
        <f t="shared" si="5"/>
        <v>3.8859864528720513E-2</v>
      </c>
      <c r="E8" s="52">
        <f t="shared" si="5"/>
        <v>3.8921922983701972E-2</v>
      </c>
      <c r="F8" s="52">
        <f t="shared" si="5"/>
        <v>3.8984113580225445E-2</v>
      </c>
      <c r="G8" s="52">
        <f t="shared" si="5"/>
        <v>3.9171481388509101E-2</v>
      </c>
      <c r="H8" s="53">
        <v>3.8800000000000001E-2</v>
      </c>
      <c r="I8" s="74">
        <f t="shared" si="1"/>
        <v>3.9560406667257908E-2</v>
      </c>
      <c r="J8" s="75"/>
      <c r="K8" s="68">
        <f>H8-'Daily Data'!H140</f>
        <v>2.4400000000000002E-2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4.4600000000000001E-2</v>
      </c>
      <c r="C5" s="56">
        <f t="shared" ref="C5:G5" si="2">((1+$I5)^(C2/365)-1)*365/C2</f>
        <v>3.7224653775365733E-2</v>
      </c>
      <c r="D5" s="56">
        <v>5.3499999999999999E-2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Data'!BJ140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3.7711683846780905E-2</v>
      </c>
      <c r="C8" s="52">
        <f t="shared" ref="C8:G8" si="5">((1+$I8)^(C2/365)-1)*365/C2</f>
        <v>3.7725321103891055E-2</v>
      </c>
      <c r="D8" s="52">
        <f t="shared" si="5"/>
        <v>3.775651667401806E-2</v>
      </c>
      <c r="E8" s="52">
        <f t="shared" si="5"/>
        <v>3.7815101107635661E-2</v>
      </c>
      <c r="F8" s="52">
        <f t="shared" si="5"/>
        <v>3.7873806743672578E-2</v>
      </c>
      <c r="G8" s="52">
        <f t="shared" si="5"/>
        <v>3.8050653690731094E-2</v>
      </c>
      <c r="H8" s="53">
        <v>3.7699999999999997E-2</v>
      </c>
      <c r="I8" s="74">
        <f t="shared" si="1"/>
        <v>3.8417638613382321E-2</v>
      </c>
      <c r="J8" s="75"/>
      <c r="K8" s="68">
        <f>H8-'Daily Data'!H140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3.8211995845654566E-2</v>
      </c>
      <c r="C9" s="56">
        <f t="shared" ref="C9:G9" si="6">((1+$I9)^(C2/365)-1)*365/C2</f>
        <v>3.8225997347559368E-2</v>
      </c>
      <c r="D9" s="56">
        <f t="shared" si="6"/>
        <v>3.8258026473317185E-2</v>
      </c>
      <c r="E9" s="56">
        <f t="shared" si="6"/>
        <v>3.8318177566042645E-2</v>
      </c>
      <c r="F9" s="56">
        <f t="shared" si="6"/>
        <v>3.837845475532109E-2</v>
      </c>
      <c r="G9" s="56">
        <f t="shared" si="6"/>
        <v>3.8560045880042144E-2</v>
      </c>
      <c r="H9" s="53">
        <v>3.8199999999999998E-2</v>
      </c>
      <c r="I9" s="74">
        <f t="shared" si="1"/>
        <v>3.8936923251637001E-2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4.4600000000000001E-2</v>
      </c>
      <c r="C5" s="56">
        <f t="shared" ref="C5:G5" si="2">((1+$I5)^(C2/365)-1)*365/C2</f>
        <v>3.7224653775365733E-2</v>
      </c>
      <c r="D5" s="56">
        <v>5.3499999999999999E-2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Data'!BJ140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Data'!H140</f>
        <v>2.2700000000000001E-2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0.04</v>
      </c>
      <c r="E3" s="55">
        <v>0.04</v>
      </c>
      <c r="F3" s="55">
        <v>4.4499999999999998E-2</v>
      </c>
      <c r="G3" s="55">
        <v>5.7299999999999997E-2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Data'!AR144</f>
        <v>2.6299999999999997E-2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Data'!Z144</f>
        <v>6.5000000000000023E-3</v>
      </c>
    </row>
    <row r="5" spans="1:11" ht="23.15" customHeight="1" x14ac:dyDescent="0.5">
      <c r="A5" s="51" t="s">
        <v>17</v>
      </c>
      <c r="B5" s="56">
        <v>4.5600000000000002E-2</v>
      </c>
      <c r="C5" s="56">
        <f t="shared" ref="C5:G5" si="2">((1+$I5)^(C2/365)-1)*365/C2</f>
        <v>3.8025725780286922E-2</v>
      </c>
      <c r="D5" s="56">
        <v>5.4699999999999999E-2</v>
      </c>
      <c r="E5" s="56">
        <f t="shared" si="2"/>
        <v>3.8116942104048458E-2</v>
      </c>
      <c r="F5" s="56">
        <f t="shared" si="2"/>
        <v>3.8176588168356236E-2</v>
      </c>
      <c r="G5" s="56">
        <f t="shared" si="2"/>
        <v>3.8356274017090804E-2</v>
      </c>
      <c r="H5" s="57">
        <v>3.7999999999999999E-2</v>
      </c>
      <c r="I5" s="74">
        <f t="shared" si="1"/>
        <v>3.8729178327362002E-2</v>
      </c>
      <c r="J5" s="75"/>
      <c r="K5" s="68">
        <f>H5-'Daily Data'!BJ144</f>
        <v>2.35E-2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3.1300000000000001E-2</v>
      </c>
      <c r="C7" s="56">
        <f t="shared" ref="C7:G7" si="4">((1+$I7)^(C2/365)-1)*365/C2</f>
        <v>2.9815819576702873E-2</v>
      </c>
      <c r="D7" s="56">
        <v>3.2800000000000003E-2</v>
      </c>
      <c r="E7" s="56">
        <f t="shared" si="4"/>
        <v>2.9871886517863155E-2</v>
      </c>
      <c r="F7" s="56">
        <f t="shared" si="4"/>
        <v>2.9908527640715526E-2</v>
      </c>
      <c r="G7" s="56">
        <f t="shared" si="4"/>
        <v>3.0018810931547121E-2</v>
      </c>
      <c r="H7" s="53">
        <v>2.98E-2</v>
      </c>
      <c r="I7" s="74">
        <f t="shared" si="1"/>
        <v>3.0247210433201888E-2</v>
      </c>
      <c r="J7" s="75"/>
      <c r="K7" s="68">
        <f>H7-1.06%</f>
        <v>1.9200000000000002E-2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Data'!H144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3.3000000000000002E-2</v>
      </c>
      <c r="D3" s="55">
        <v>3.7900000000000003E-2</v>
      </c>
      <c r="E3" s="55">
        <v>0.04</v>
      </c>
      <c r="F3" s="55">
        <v>4.2900000000000001E-2</v>
      </c>
      <c r="G3" s="55">
        <v>5.7299999999999997E-2</v>
      </c>
      <c r="H3" s="53">
        <v>4.2200000000000001E-2</v>
      </c>
      <c r="I3" s="74">
        <f>(1+H3/365)^365-1</f>
        <v>4.3100534047914474E-2</v>
      </c>
      <c r="J3" s="75"/>
      <c r="K3" s="68">
        <f>H3-'Daily Data'!AR144</f>
        <v>2.7900000000000001E-2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Data'!Z144</f>
        <v>6.5000000000000023E-3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3.9527797305134844E-2</v>
      </c>
      <c r="D5" s="56">
        <v>5.6599999999999998E-2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7">
        <v>3.95E-2</v>
      </c>
      <c r="I5" s="74">
        <f t="shared" si="1"/>
        <v>4.0288275604905666E-2</v>
      </c>
      <c r="J5" s="75"/>
      <c r="K5" s="68">
        <f>H5-'Daily Data'!BJ144</f>
        <v>2.5000000000000001E-2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2.2700000000000001E-2</v>
      </c>
      <c r="C7" s="56">
        <f t="shared" ref="C7:G7" si="4">((1+$I7)^(C2/365)-1)*365/C2</f>
        <v>2.1608310569760963E-2</v>
      </c>
      <c r="D7" s="56">
        <v>2.3699999999999999E-2</v>
      </c>
      <c r="E7" s="56">
        <f t="shared" si="4"/>
        <v>2.1637751452725933E-2</v>
      </c>
      <c r="F7" s="56">
        <f t="shared" si="4"/>
        <v>2.1656980840644872E-2</v>
      </c>
      <c r="G7" s="56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Data'!H144</f>
        <v>2.3800000000000002E-2</v>
      </c>
    </row>
    <row r="9" spans="1:11" ht="23.15" customHeight="1" x14ac:dyDescent="0.5">
      <c r="A9" s="51" t="s">
        <v>61</v>
      </c>
      <c r="B9" s="56">
        <f>((1+$I9)^(B2/365)-1)*365/B2</f>
        <v>3.851218501867569E-2</v>
      </c>
      <c r="C9" s="56">
        <f t="shared" ref="C9:G9" si="6">((1+$I9)^(C2/365)-1)*365/C2</f>
        <v>3.8526407373154492E-2</v>
      </c>
      <c r="D9" s="56">
        <f t="shared" si="6"/>
        <v>3.8558941915132906E-2</v>
      </c>
      <c r="E9" s="56">
        <f t="shared" si="6"/>
        <v>3.862004295629589E-2</v>
      </c>
      <c r="F9" s="56">
        <f t="shared" si="6"/>
        <v>3.8681273092882745E-2</v>
      </c>
      <c r="G9" s="56">
        <f t="shared" si="6"/>
        <v>3.8865741147578438E-2</v>
      </c>
      <c r="H9" s="53">
        <v>3.85E-2</v>
      </c>
      <c r="I9" s="74">
        <f t="shared" si="1"/>
        <v>3.9248618331255036E-2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3.3000000000000002E-2</v>
      </c>
      <c r="D3" s="55">
        <v>3.7900000000000003E-2</v>
      </c>
      <c r="E3" s="55">
        <v>0.04</v>
      </c>
      <c r="F3" s="55">
        <v>4.2900000000000001E-2</v>
      </c>
      <c r="G3" s="55">
        <v>5.7299999999999997E-2</v>
      </c>
      <c r="H3" s="53">
        <v>4.2200000000000001E-2</v>
      </c>
      <c r="I3" s="74">
        <f>(1+H3/365)^365-1</f>
        <v>4.3100534047914474E-2</v>
      </c>
      <c r="J3" s="75"/>
      <c r="K3" s="68">
        <f>H3-'Daily Data'!AR146</f>
        <v>2.5900000000000003E-2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3.9427656707190346E-2</v>
      </c>
      <c r="D5" s="56">
        <v>5.6599999999999998E-2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Data'!BJ146</f>
        <v>2.3799999999999998E-2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2.2700000000000001E-2</v>
      </c>
      <c r="C7" s="56">
        <f t="shared" ref="C7:G7" si="4">((1+$I7)^(C2/365)-1)*365/C2</f>
        <v>2.1608310569760963E-2</v>
      </c>
      <c r="D7" s="56">
        <v>2.3699999999999999E-2</v>
      </c>
      <c r="E7" s="56">
        <f t="shared" si="4"/>
        <v>2.1637751452725933E-2</v>
      </c>
      <c r="F7" s="56">
        <f t="shared" si="4"/>
        <v>2.1656980840644872E-2</v>
      </c>
      <c r="G7" s="56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3.8111933116994026E-2</v>
      </c>
      <c r="C8" s="52">
        <f t="shared" ref="C8:G8" si="5">((1+$I8)^(C2/365)-1)*365/C2</f>
        <v>3.8125861385658953E-2</v>
      </c>
      <c r="D8" s="52">
        <f t="shared" si="5"/>
        <v>3.8157722919830293E-2</v>
      </c>
      <c r="E8" s="52">
        <f t="shared" si="5"/>
        <v>3.8217559021958877E-2</v>
      </c>
      <c r="F8" s="52">
        <f t="shared" si="5"/>
        <v>3.8277520231449862E-2</v>
      </c>
      <c r="G8" s="52">
        <f t="shared" si="5"/>
        <v>3.8458157450568138E-2</v>
      </c>
      <c r="H8" s="53">
        <v>3.8100000000000002E-2</v>
      </c>
      <c r="I8" s="74">
        <f t="shared" si="1"/>
        <v>3.88330456106869E-2</v>
      </c>
      <c r="J8" s="75"/>
      <c r="K8" s="68">
        <f>H8-'Daily Data'!H146</f>
        <v>2.2700000000000001E-2</v>
      </c>
    </row>
    <row r="9" spans="1:11" ht="23.15" customHeight="1" x14ac:dyDescent="0.5">
      <c r="A9" s="51" t="s">
        <v>61</v>
      </c>
      <c r="B9" s="56">
        <f>((1+$I9)^(B2/365)-1)*365/B2</f>
        <v>3.9913087397973931E-2</v>
      </c>
      <c r="C9" s="56">
        <f t="shared" ref="C9:G9" si="6">((1+$I9)^(C2/365)-1)*365/C2</f>
        <v>3.9928363263475992E-2</v>
      </c>
      <c r="D9" s="56">
        <f t="shared" si="6"/>
        <v>3.9963308806990137E-2</v>
      </c>
      <c r="E9" s="56">
        <f t="shared" si="6"/>
        <v>4.0028941658392388E-2</v>
      </c>
      <c r="F9" s="56">
        <f t="shared" si="6"/>
        <v>4.0094718230666425E-2</v>
      </c>
      <c r="G9" s="56">
        <f t="shared" si="6"/>
        <v>4.0292913817926337E-2</v>
      </c>
      <c r="H9" s="53">
        <v>3.9899999999999998E-2</v>
      </c>
      <c r="I9" s="74">
        <f t="shared" si="1"/>
        <v>4.0704428876507048E-2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3.3000000000000002E-2</v>
      </c>
      <c r="D3" s="55">
        <v>3.5000000000000003E-2</v>
      </c>
      <c r="E3" s="55">
        <v>0.04</v>
      </c>
      <c r="F3" s="55">
        <v>4.2900000000000001E-2</v>
      </c>
      <c r="G3" s="55">
        <v>5.7000000000000002E-2</v>
      </c>
      <c r="H3" s="53">
        <v>4.1700000000000001E-2</v>
      </c>
      <c r="I3" s="74">
        <f>(1+H3/365)^365-1</f>
        <v>4.2579174052441493E-2</v>
      </c>
      <c r="J3" s="75"/>
      <c r="K3" s="68">
        <f>H3-'Daily Data'!AR146</f>
        <v>2.5400000000000002E-2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f>((1+$I5)^(B2/365)-1)*365/B2</f>
        <v>3.8712311956318669E-2</v>
      </c>
      <c r="C5" s="56">
        <f t="shared" ref="C5:G5" si="2">((1+$I5)^(C2/365)-1)*365/C2</f>
        <v>3.8726682506561701E-2</v>
      </c>
      <c r="D5" s="56">
        <f t="shared" si="2"/>
        <v>3.8759556193956914E-2</v>
      </c>
      <c r="E5" s="56">
        <f t="shared" si="2"/>
        <v>3.8821294681477138E-2</v>
      </c>
      <c r="F5" s="56">
        <f t="shared" si="2"/>
        <v>3.8883164289896549E-2</v>
      </c>
      <c r="G5" s="56">
        <f t="shared" si="2"/>
        <v>3.9069562977386327E-2</v>
      </c>
      <c r="H5" s="57">
        <v>3.8699999999999998E-2</v>
      </c>
      <c r="I5" s="74">
        <f t="shared" si="1"/>
        <v>3.9456466858355688E-2</v>
      </c>
      <c r="J5" s="75"/>
      <c r="K5" s="68">
        <f>H5-'Daily Data'!BJ146</f>
        <v>2.3099999999999999E-2</v>
      </c>
    </row>
    <row r="6" spans="1:11" ht="23.15" customHeight="1" x14ac:dyDescent="0.5">
      <c r="A6" s="51" t="s">
        <v>60</v>
      </c>
      <c r="B6" s="52">
        <f>((1+$I6)^(B2/365)-1)*365/B2</f>
        <v>3.3709335874898071E-2</v>
      </c>
      <c r="C6" s="52">
        <f t="shared" ref="C6:G6" si="3">((1+$I6)^(C2/365)-1)*365/C2</f>
        <v>3.3720232087598924E-2</v>
      </c>
      <c r="D6" s="52">
        <f t="shared" si="3"/>
        <v>3.3745155354740729E-2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f>((1+$I7)^(B2/365)-1)*365/B2</f>
        <v>1.7902633722116486E-2</v>
      </c>
      <c r="C7" s="56">
        <f t="shared" ref="C7:G7" si="4">((1+$I7)^(C2/365)-1)*365/C2</f>
        <v>1.7905707050962744E-2</v>
      </c>
      <c r="D7" s="56">
        <f t="shared" si="4"/>
        <v>1.7912734444474571E-2</v>
      </c>
      <c r="E7" s="56">
        <f t="shared" si="4"/>
        <v>1.7925920720718819E-2</v>
      </c>
      <c r="F7" s="56">
        <f t="shared" si="4"/>
        <v>1.7939119939552526E-2</v>
      </c>
      <c r="G7" s="56">
        <f t="shared" si="4"/>
        <v>1.7978795394591594E-2</v>
      </c>
      <c r="H7" s="53">
        <v>1.7899999999999999E-2</v>
      </c>
      <c r="I7" s="74">
        <f t="shared" si="1"/>
        <v>1.8060718352335359E-2</v>
      </c>
      <c r="J7" s="75"/>
      <c r="K7" s="68">
        <f>H7-1.06%</f>
        <v>7.2999999999999992E-3</v>
      </c>
    </row>
    <row r="8" spans="1:11" ht="23.15" customHeight="1" x14ac:dyDescent="0.4">
      <c r="A8" s="51" t="s">
        <v>62</v>
      </c>
      <c r="B8" s="52">
        <f>((1+$I8)^(B2/365)-1)*365/B2</f>
        <v>3.7711683846780905E-2</v>
      </c>
      <c r="C8" s="52">
        <f t="shared" ref="C8:G8" si="5">((1+$I8)^(C2/365)-1)*365/C2</f>
        <v>3.7725321103891055E-2</v>
      </c>
      <c r="D8" s="52">
        <f t="shared" si="5"/>
        <v>3.775651667401806E-2</v>
      </c>
      <c r="E8" s="52">
        <f t="shared" si="5"/>
        <v>3.7815101107635661E-2</v>
      </c>
      <c r="F8" s="52">
        <f t="shared" si="5"/>
        <v>3.7873806743672578E-2</v>
      </c>
      <c r="G8" s="52">
        <f t="shared" si="5"/>
        <v>3.8050653690731094E-2</v>
      </c>
      <c r="H8" s="53">
        <v>3.7699999999999997E-2</v>
      </c>
      <c r="I8" s="74">
        <f t="shared" si="1"/>
        <v>3.8417638613382321E-2</v>
      </c>
      <c r="J8" s="75"/>
      <c r="K8" s="68">
        <f>H8-'Daily Data'!H146</f>
        <v>2.2299999999999997E-2</v>
      </c>
    </row>
    <row r="9" spans="1:11" ht="23.15" customHeight="1" x14ac:dyDescent="0.5">
      <c r="A9" s="51" t="s">
        <v>61</v>
      </c>
      <c r="B9" s="56">
        <f>((1+$I9)^(B2/365)-1)*365/B2</f>
        <v>3.9312696716641442E-2</v>
      </c>
      <c r="C9" s="56">
        <f t="shared" ref="C9:G9" si="6">((1+$I9)^(C2/365)-1)*365/C2</f>
        <v>3.9327516465768438E-2</v>
      </c>
      <c r="D9" s="56">
        <f t="shared" si="6"/>
        <v>3.9361418155924789E-2</v>
      </c>
      <c r="E9" s="56">
        <f t="shared" si="6"/>
        <v>3.9425088891784137E-2</v>
      </c>
      <c r="F9" s="56">
        <f t="shared" si="6"/>
        <v>3.9488896952051947E-2</v>
      </c>
      <c r="G9" s="56">
        <f t="shared" si="6"/>
        <v>3.9681148415646884E-2</v>
      </c>
      <c r="H9" s="53">
        <v>3.9300000000000002E-2</v>
      </c>
      <c r="I9" s="74">
        <f t="shared" si="1"/>
        <v>4.0080261206093759E-2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3.39E-2</v>
      </c>
      <c r="D3" s="55">
        <v>3.7699999999999997E-2</v>
      </c>
      <c r="E3" s="55">
        <v>3.9899999999999998E-2</v>
      </c>
      <c r="F3" s="55">
        <v>4.2900000000000001E-2</v>
      </c>
      <c r="G3" s="55">
        <v>4.9799999999999997E-2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Data'!AR146</f>
        <v>2.4299999999999999E-2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4.5199999999999997E-2</v>
      </c>
      <c r="C5" s="56">
        <f t="shared" ref="C5:G5" si="2">((1+$I5)^(C2/365)-1)*365/C2</f>
        <v>3.7525053102707075E-2</v>
      </c>
      <c r="D5" s="56">
        <v>5.4199999999999998E-2</v>
      </c>
      <c r="E5" s="56">
        <f t="shared" si="2"/>
        <v>3.7613881907545298E-2</v>
      </c>
      <c r="F5" s="56">
        <f t="shared" si="2"/>
        <v>3.7671964763798499E-2</v>
      </c>
      <c r="G5" s="56">
        <f t="shared" si="2"/>
        <v>3.7846931782462699E-2</v>
      </c>
      <c r="H5" s="57">
        <v>3.7499999999999999E-2</v>
      </c>
      <c r="I5" s="74">
        <f t="shared" si="1"/>
        <v>3.8209997240440829E-2</v>
      </c>
      <c r="J5" s="75"/>
      <c r="K5" s="68">
        <f>H5-'Daily Data'!BJ146</f>
        <v>2.1899999999999999E-2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2.0799999999999999E-2</v>
      </c>
      <c r="C7" s="56">
        <f t="shared" ref="C7:G7" si="4">((1+$I7)^(C2/365)-1)*365/C2</f>
        <v>1.6905087147609837E-2</v>
      </c>
      <c r="D7" s="56">
        <v>1.6400000000000001E-2</v>
      </c>
      <c r="E7" s="56">
        <f t="shared" si="4"/>
        <v>1.6923104225066061E-2</v>
      </c>
      <c r="F7" s="56">
        <f t="shared" si="4"/>
        <v>1.6934868285771128E-2</v>
      </c>
      <c r="G7" s="56">
        <f t="shared" si="4"/>
        <v>1.6970225927890305E-2</v>
      </c>
      <c r="H7" s="53">
        <v>1.6899999999999998E-2</v>
      </c>
      <c r="I7" s="74">
        <f t="shared" si="1"/>
        <v>1.704321497611061E-2</v>
      </c>
      <c r="J7" s="75"/>
      <c r="K7" s="68">
        <f>H7-1.06%</f>
        <v>6.2999999999999983E-3</v>
      </c>
    </row>
    <row r="8" spans="1:11" ht="23.15" customHeight="1" x14ac:dyDescent="0.4">
      <c r="A8" s="51" t="s">
        <v>62</v>
      </c>
      <c r="B8" s="52">
        <f>((1+$I8)^(B2/365)-1)*365/B2</f>
        <v>3.7411498621118887E-2</v>
      </c>
      <c r="C8" s="52">
        <f t="shared" ref="C8:G8" si="5">((1+$I8)^(C2/365)-1)*365/C2</f>
        <v>3.7424919637020534E-2</v>
      </c>
      <c r="D8" s="52">
        <f t="shared" si="5"/>
        <v>3.7455620356396047E-2</v>
      </c>
      <c r="E8" s="52">
        <f t="shared" si="5"/>
        <v>3.7513274746653447E-2</v>
      </c>
      <c r="F8" s="52">
        <f t="shared" si="5"/>
        <v>3.7571047464634799E-2</v>
      </c>
      <c r="G8" s="52">
        <f t="shared" si="5"/>
        <v>3.7745078320365125E-2</v>
      </c>
      <c r="H8" s="53">
        <v>3.7400000000000003E-2</v>
      </c>
      <c r="I8" s="74">
        <f t="shared" si="1"/>
        <v>3.8106192081770685E-2</v>
      </c>
      <c r="J8" s="75"/>
      <c r="K8" s="68">
        <f>H8-'Daily Data'!H146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3.39E-2</v>
      </c>
      <c r="D3" s="55">
        <v>3.7699999999999997E-2</v>
      </c>
      <c r="E3" s="55">
        <v>3.9899999999999998E-2</v>
      </c>
      <c r="F3" s="55">
        <v>4.2900000000000001E-2</v>
      </c>
      <c r="G3" s="55">
        <v>4.9799999999999997E-2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Data'!AR146</f>
        <v>2.4299999999999999E-2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4.5199999999999997E-2</v>
      </c>
      <c r="C5" s="56">
        <f t="shared" ref="C5:G5" si="2">((1+$I5)^(C2/365)-1)*365/C2</f>
        <v>3.7024389340166004E-2</v>
      </c>
      <c r="D5" s="56">
        <v>5.4199999999999998E-2</v>
      </c>
      <c r="E5" s="56">
        <f t="shared" si="2"/>
        <v>3.7110862363455399E-2</v>
      </c>
      <c r="F5" s="56">
        <f t="shared" si="2"/>
        <v>3.7167402871694732E-2</v>
      </c>
      <c r="G5" s="56">
        <f t="shared" si="2"/>
        <v>3.7337714413147337E-2</v>
      </c>
      <c r="H5" s="57">
        <v>3.6999999999999998E-2</v>
      </c>
      <c r="I5" s="74">
        <f t="shared" si="1"/>
        <v>3.7691074941686109E-2</v>
      </c>
      <c r="J5" s="75"/>
      <c r="K5" s="68">
        <f>H5-'Daily Data'!BJ146</f>
        <v>2.1399999999999999E-2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2.0799999999999999E-2</v>
      </c>
      <c r="C7" s="56">
        <f t="shared" ref="C7:G7" si="4">((1+$I7)^(C2/365)-1)*365/C2</f>
        <v>1.6905087147609837E-2</v>
      </c>
      <c r="D7" s="56">
        <v>1.6400000000000001E-2</v>
      </c>
      <c r="E7" s="56">
        <f t="shared" si="4"/>
        <v>1.6923104225066061E-2</v>
      </c>
      <c r="F7" s="56">
        <f t="shared" si="4"/>
        <v>1.6934868285771128E-2</v>
      </c>
      <c r="G7" s="56">
        <f t="shared" si="4"/>
        <v>1.6970225927890305E-2</v>
      </c>
      <c r="H7" s="53">
        <v>1.6899999999999998E-2</v>
      </c>
      <c r="I7" s="74">
        <f t="shared" si="1"/>
        <v>1.704321497611061E-2</v>
      </c>
      <c r="J7" s="75"/>
      <c r="K7" s="68">
        <f>H7-1.06%</f>
        <v>6.2999999999999983E-3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5">((1+$I8)^(C2/365)-1)*365/C2</f>
        <v>3.6824126331346081E-2</v>
      </c>
      <c r="D8" s="52">
        <f t="shared" si="5"/>
        <v>3.6853849234498227E-2</v>
      </c>
      <c r="E8" s="52">
        <f t="shared" si="5"/>
        <v>3.6909665927788916E-2</v>
      </c>
      <c r="F8" s="52">
        <f t="shared" si="5"/>
        <v>3.6965595336695314E-2</v>
      </c>
      <c r="G8" s="52">
        <f t="shared" si="5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Data'!H146</f>
        <v>2.1399999999999999E-2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3.39E-2</v>
      </c>
      <c r="D3" s="55">
        <v>3.7699999999999997E-2</v>
      </c>
      <c r="E3" s="55">
        <v>3.9899999999999998E-2</v>
      </c>
      <c r="F3" s="55">
        <v>4.2900000000000001E-2</v>
      </c>
      <c r="G3" s="55">
        <v>4.9799999999999997E-2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Data'!AR146</f>
        <v>2.4299999999999999E-2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4.5199999999999997E-2</v>
      </c>
      <c r="C5" s="56">
        <f t="shared" ref="C5:G5" si="2">((1+$I5)^(C2/365)-1)*365/C2</f>
        <v>3.7525053102707075E-2</v>
      </c>
      <c r="D5" s="56">
        <v>5.4199999999999998E-2</v>
      </c>
      <c r="E5" s="56">
        <f t="shared" si="2"/>
        <v>3.7613881907545298E-2</v>
      </c>
      <c r="F5" s="56">
        <f t="shared" si="2"/>
        <v>3.7671964763798499E-2</v>
      </c>
      <c r="G5" s="56">
        <f t="shared" si="2"/>
        <v>3.7846931782462699E-2</v>
      </c>
      <c r="H5" s="57">
        <v>3.7499999999999999E-2</v>
      </c>
      <c r="I5" s="74">
        <f t="shared" si="1"/>
        <v>3.8209997240440829E-2</v>
      </c>
      <c r="J5" s="75"/>
      <c r="K5" s="68">
        <f>H5-'Daily Data'!BJ146</f>
        <v>2.1899999999999999E-2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2.0799999999999999E-2</v>
      </c>
      <c r="C7" s="56">
        <f t="shared" ref="C7:G7" si="4">((1+$I7)^(C2/365)-1)*365/C2</f>
        <v>1.6905087147609837E-2</v>
      </c>
      <c r="D7" s="56">
        <v>1.6400000000000001E-2</v>
      </c>
      <c r="E7" s="56">
        <f t="shared" si="4"/>
        <v>1.6923104225066061E-2</v>
      </c>
      <c r="F7" s="56">
        <f t="shared" si="4"/>
        <v>1.6934868285771128E-2</v>
      </c>
      <c r="G7" s="56">
        <f t="shared" si="4"/>
        <v>1.6970225927890305E-2</v>
      </c>
      <c r="H7" s="53">
        <v>1.6899999999999998E-2</v>
      </c>
      <c r="I7" s="74">
        <f t="shared" si="1"/>
        <v>1.704321497611061E-2</v>
      </c>
      <c r="J7" s="75"/>
      <c r="K7" s="68">
        <f>H7-1.06%</f>
        <v>6.2999999999999983E-3</v>
      </c>
    </row>
    <row r="8" spans="1:11" ht="23.15" customHeight="1" x14ac:dyDescent="0.4">
      <c r="A8" s="51" t="s">
        <v>62</v>
      </c>
      <c r="B8" s="52">
        <f>((1+$I8)^(B2/365)-1)*365/B2</f>
        <v>3.7411498621118887E-2</v>
      </c>
      <c r="C8" s="52">
        <f t="shared" ref="C8:G8" si="5">((1+$I8)^(C2/365)-1)*365/C2</f>
        <v>3.7424919637020534E-2</v>
      </c>
      <c r="D8" s="52">
        <f t="shared" si="5"/>
        <v>3.7455620356396047E-2</v>
      </c>
      <c r="E8" s="52">
        <f t="shared" si="5"/>
        <v>3.7513274746653447E-2</v>
      </c>
      <c r="F8" s="52">
        <f t="shared" si="5"/>
        <v>3.7571047464634799E-2</v>
      </c>
      <c r="G8" s="52">
        <f t="shared" si="5"/>
        <v>3.7745078320365125E-2</v>
      </c>
      <c r="H8" s="53">
        <v>3.7400000000000003E-2</v>
      </c>
      <c r="I8" s="74">
        <f t="shared" si="1"/>
        <v>3.8106192081770685E-2</v>
      </c>
      <c r="J8" s="75"/>
      <c r="K8" s="68">
        <f>H8-'Daily Data'!H146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tabSelected="1" zoomScale="80" zoomScaleNormal="80" workbookViewId="0">
      <selection activeCell="F28" sqref="F2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3.39E-2</v>
      </c>
      <c r="C3" s="55">
        <v>3.49E-2</v>
      </c>
      <c r="D3" s="55">
        <v>3.7499999999999999E-2</v>
      </c>
      <c r="E3" s="55">
        <v>3.9899999999999998E-2</v>
      </c>
      <c r="F3" s="55">
        <v>4.1799999999999997E-2</v>
      </c>
      <c r="G3" s="55">
        <v>4.99E-2</v>
      </c>
      <c r="H3" s="53">
        <v>4.1300000000000003E-2</v>
      </c>
      <c r="I3" s="74">
        <f>(1+H3/365)^365-1</f>
        <v>4.2162273169587428E-2</v>
      </c>
      <c r="J3" s="75"/>
      <c r="K3" s="68">
        <f>H3-'Daily Data'!AR151</f>
        <v>2.5200000000000004E-2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Data'!Z151</f>
        <v>5.7000000000000002E-3</v>
      </c>
    </row>
    <row r="5" spans="1:11" ht="23.15" customHeight="1" x14ac:dyDescent="0.5">
      <c r="A5" s="51" t="s">
        <v>17</v>
      </c>
      <c r="B5" s="56">
        <v>4.5900000000000003E-2</v>
      </c>
      <c r="C5" s="56">
        <f t="shared" ref="C5:G5" si="2">((1+$I5)^(C2/365)-1)*365/C2</f>
        <v>3.8326133666167612E-2</v>
      </c>
      <c r="D5" s="56">
        <v>5.5100000000000003E-2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7">
        <v>3.8300000000000001E-2</v>
      </c>
      <c r="I5" s="74">
        <f t="shared" si="1"/>
        <v>3.9040811251424667E-2</v>
      </c>
      <c r="J5" s="75"/>
      <c r="K5" s="68">
        <f>H5-'Daily Data'!BJ151</f>
        <v>2.4199999999999999E-2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2.64E-2</v>
      </c>
      <c r="C7" s="56">
        <f t="shared" ref="C7:G7" si="4">((1+$I7)^(C2/365)-1)*365/C2</f>
        <v>2.1408157364972067E-2</v>
      </c>
      <c r="D7" s="56">
        <v>2.07E-2</v>
      </c>
      <c r="E7" s="56">
        <f t="shared" si="4"/>
        <v>2.1437055195603755E-2</v>
      </c>
      <c r="F7" s="56">
        <f t="shared" si="4"/>
        <v>2.1455929625400896E-2</v>
      </c>
      <c r="G7" s="56">
        <f t="shared" si="4"/>
        <v>2.1512685957521694E-2</v>
      </c>
      <c r="H7" s="53">
        <v>2.1399999999999999E-2</v>
      </c>
      <c r="I7" s="74">
        <f t="shared" si="1"/>
        <v>2.1629981279808197E-2</v>
      </c>
      <c r="J7" s="75"/>
      <c r="K7" s="68">
        <f>H7-1.06%</f>
        <v>1.0799999999999999E-2</v>
      </c>
    </row>
    <row r="8" spans="1:11" ht="23.15" customHeight="1" x14ac:dyDescent="0.4">
      <c r="A8" s="51" t="s">
        <v>62</v>
      </c>
      <c r="B8" s="52">
        <f>((1+$I8)^(B2/365)-1)*365/B2</f>
        <v>3.7811745917646675E-2</v>
      </c>
      <c r="C8" s="52">
        <f t="shared" ref="C8:G8" si="5">((1+$I8)^(C2/365)-1)*365/C2</f>
        <v>3.7825455639434812E-2</v>
      </c>
      <c r="D8" s="52">
        <f t="shared" si="5"/>
        <v>3.7856817040241096E-2</v>
      </c>
      <c r="E8" s="52">
        <f t="shared" si="5"/>
        <v>3.7915713146943579E-2</v>
      </c>
      <c r="F8" s="52">
        <f t="shared" si="5"/>
        <v>3.7974731424557651E-2</v>
      </c>
      <c r="G8" s="52">
        <f t="shared" si="5"/>
        <v>3.8152522137446708E-2</v>
      </c>
      <c r="H8" s="53">
        <v>3.78E-2</v>
      </c>
      <c r="I8" s="74">
        <f t="shared" si="1"/>
        <v>3.8521474829770863E-2</v>
      </c>
      <c r="J8" s="75"/>
      <c r="K8" s="68">
        <f>H8-'Daily Data'!H151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>
        <f>H9-'Daily Data'!H151</f>
        <v>2.2699999999999998E-2</v>
      </c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0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126</vt:i4>
      </vt:variant>
    </vt:vector>
  </HeadingPairs>
  <TitlesOfParts>
    <vt:vector size="126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2026-07-21T07:16:04Z</dcterms:modified>
</cp:coreProperties>
</file>