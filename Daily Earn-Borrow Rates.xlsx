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E403CB86-6FAB-42B7-8176-5E9C84ED939A}" xr6:coauthVersionLast="47" xr6:coauthVersionMax="47" xr10:uidLastSave="{00000000-0000-0000-0000-000000000000}"/>
  <bookViews>
    <workbookView xWindow="-28965" yWindow="810" windowWidth="29130" windowHeight="17610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,3,2026" sheetId="29" r:id="rId12"/>
    <sheet name="30,3,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  <sheet name="07.05.2026" sheetId="72" r:id="rId51"/>
    <sheet name="08.05.2026" sheetId="73" r:id="rId52"/>
    <sheet name="09.05.2026" sheetId="74" r:id="rId53"/>
    <sheet name="10.05.2026" sheetId="75" r:id="rId54"/>
    <sheet name="11.05.2026" sheetId="77" r:id="rId55"/>
    <sheet name="12.05.2026" sheetId="78" r:id="rId56"/>
    <sheet name="13.05.2026" sheetId="79" r:id="rId57"/>
    <sheet name="14.05.2026" sheetId="80" r:id="rId58"/>
    <sheet name="15.05.2026" sheetId="81" r:id="rId59"/>
    <sheet name="16.05.2026" sheetId="82" r:id="rId60"/>
    <sheet name="17.05.2026" sheetId="83" r:id="rId61"/>
    <sheet name="18.05.2026" sheetId="84" r:id="rId62"/>
    <sheet name="19.05.2026" sheetId="85" r:id="rId63"/>
    <sheet name="20.05.2026" sheetId="86" r:id="rId64"/>
    <sheet name="21.05.2026" sheetId="87" r:id="rId65"/>
    <sheet name="22.05.2026" sheetId="88" r:id="rId66"/>
    <sheet name="23.05.2026" sheetId="89" r:id="rId67"/>
    <sheet name="24.05.2026" sheetId="90" r:id="rId68"/>
    <sheet name="25.05.2026" sheetId="91" r:id="rId69"/>
    <sheet name="26.05.2026" sheetId="92" r:id="rId70"/>
    <sheet name="27.05.2026" sheetId="93" r:id="rId71"/>
    <sheet name="28.05.2026" sheetId="94" r:id="rId72"/>
    <sheet name="29.05.2026" sheetId="95" r:id="rId73"/>
    <sheet name="30.05.2026" sheetId="96" r:id="rId74"/>
    <sheet name="31.05.2026" sheetId="97" r:id="rId75"/>
    <sheet name="01.06.2026" sheetId="98" r:id="rId76"/>
    <sheet name="02.06.2026" sheetId="99" r:id="rId77"/>
    <sheet name="03.06.2026" sheetId="100" r:id="rId78"/>
    <sheet name="04.06.2026" sheetId="101" r:id="rId79"/>
    <sheet name="05.06.2026" sheetId="102" r:id="rId80"/>
    <sheet name="06.06.2026" sheetId="103" r:id="rId81"/>
    <sheet name="07.06.2026" sheetId="104" r:id="rId82"/>
    <sheet name="08.06.2026" sheetId="105" r:id="rId8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O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P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<sst xmlns="http://schemas.openxmlformats.org/spreadsheetml/2006/main" count="4645" uniqueCount="69">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</sst>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80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theme" Target="theme/theme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172082</xdr:colOff>
      <xdr:row>121</xdr:row>
      <xdr:rowOff>28441</xdr:rowOff>
    </xdr:from>
    <xdr:to>
      <xdr:col>34</xdr:col>
      <xdr:colOff>30911</xdr:colOff>
      <xdr:row>155</xdr:row>
      <xdr:rowOff>63975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51278" y="22076745"/>
          <a:ext cx="6470283" cy="623092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abSelected="1" topLeftCell="A140" zoomScale="115" zoomScaleNormal="115" workbookViewId="0">
      <selection activeCell="K147" sqref="K147"/>
    </sheetView>
  </sheetViews>
  <sheetFormatPr defaultRowHeight="14.5" x14ac:dyDescent="0.35"/>
  <cols>
    <col min="1" max="2" width="15.6328125" style="81" customWidth="1"/>
    <col min="3" max="6" width="15.632812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3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3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>
        <v>78257</v>
      </c>
    </row>
    <row r="116" spans="1:7" x14ac:dyDescent="0.35">
      <c r="A116" s="82">
        <v>46137.125</v>
      </c>
      <c r="B116" s="83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90">
        <v>77437</v>
      </c>
    </row>
    <row r="117" spans="1:7" x14ac:dyDescent="0.35">
      <c r="A117" s="82">
        <v>46138.125</v>
      </c>
      <c r="B117" s="83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90">
        <v>77625</v>
      </c>
    </row>
    <row r="118" spans="1:7" x14ac:dyDescent="0.35">
      <c r="A118" s="82">
        <v>46139.125</v>
      </c>
      <c r="B118" s="83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90">
        <v>78657</v>
      </c>
    </row>
    <row r="119" spans="1:7" x14ac:dyDescent="0.35">
      <c r="A119" s="82">
        <v>46140.125</v>
      </c>
      <c r="B119" s="83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90">
        <v>77372</v>
      </c>
    </row>
    <row r="120" spans="1:7" x14ac:dyDescent="0.35">
      <c r="A120" s="82">
        <v>46141.125</v>
      </c>
      <c r="B120" s="83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90">
        <v>76342</v>
      </c>
    </row>
    <row r="121" spans="1:7" x14ac:dyDescent="0.35">
      <c r="A121" s="82">
        <v>46142.125</v>
      </c>
      <c r="B121" s="83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90">
        <v>75780</v>
      </c>
    </row>
    <row r="122" spans="1:7" x14ac:dyDescent="0.35">
      <c r="A122" s="82">
        <v>46143</v>
      </c>
      <c r="B122" s="83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90">
        <v>76347</v>
      </c>
    </row>
    <row r="123" spans="1:7" x14ac:dyDescent="0.35">
      <c r="A123" s="82">
        <v>46144</v>
      </c>
      <c r="B123" s="83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90">
        <v>78232</v>
      </c>
    </row>
    <row r="124" spans="1:7" x14ac:dyDescent="0.35">
      <c r="A124" s="82">
        <v>46145</v>
      </c>
      <c r="B124" s="83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90">
        <v>78687</v>
      </c>
    </row>
    <row r="125" spans="1:7" x14ac:dyDescent="0.35">
      <c r="A125" s="82">
        <v>46146</v>
      </c>
      <c r="B125" s="83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90">
        <v>78569</v>
      </c>
    </row>
    <row r="126" spans="1:7" x14ac:dyDescent="0.35">
      <c r="A126" s="82">
        <v>46147</v>
      </c>
      <c r="B126" s="83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90">
        <v>80905</v>
      </c>
    </row>
    <row r="127" spans="1:7" x14ac:dyDescent="0.35">
      <c r="A127" s="82">
        <v>46148</v>
      </c>
      <c r="B127" s="83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90">
        <v>81200</v>
      </c>
    </row>
    <row r="128" spans="1:7" x14ac:dyDescent="0.35">
      <c r="A128" s="82">
        <v>46149</v>
      </c>
      <c r="B128" s="83">
        <v>2.9499999999999998E-2</v>
      </c>
      <c r="C128" s="23">
        <v>2.47E-2</v>
      </c>
      <c r="D128" s="23">
        <v>3.2500000000000001E-2</v>
      </c>
      <c r="E128" s="23">
        <v>3.1099999999999999E-2</v>
      </c>
      <c r="F128" s="23">
        <v>3.3599999999999998E-2</v>
      </c>
      <c r="G128" s="90">
        <v>81448</v>
      </c>
    </row>
    <row r="129" spans="1:7" x14ac:dyDescent="0.35">
      <c r="A129" s="82">
        <v>46150</v>
      </c>
      <c r="B129" s="83">
        <v>2.9499999999999998E-2</v>
      </c>
      <c r="C129" s="23">
        <v>2.47E-2</v>
      </c>
      <c r="D129" s="23">
        <v>3.2500000000000001E-2</v>
      </c>
      <c r="E129" s="23">
        <v>3.1099999999999999E-2</v>
      </c>
      <c r="F129" s="23">
        <v>3.5000000000000003E-2</v>
      </c>
      <c r="G129" s="90">
        <v>80007</v>
      </c>
    </row>
    <row r="130" spans="1:7" x14ac:dyDescent="0.35">
      <c r="A130" s="82">
        <v>46151</v>
      </c>
      <c r="B130" s="83">
        <v>3.04E-2</v>
      </c>
      <c r="C130" s="23">
        <v>2.47E-2</v>
      </c>
      <c r="D130" s="23">
        <v>3.3399999999999999E-2</v>
      </c>
      <c r="E130" s="23">
        <v>3.1099999999999999E-2</v>
      </c>
      <c r="F130" s="23">
        <v>3.5099999999999999E-2</v>
      </c>
      <c r="G130" s="90">
        <v>82215</v>
      </c>
    </row>
    <row r="131" spans="1:7" x14ac:dyDescent="0.35">
      <c r="A131" s="82">
        <v>46152</v>
      </c>
      <c r="B131" s="83">
        <v>3.1399999999999997E-2</v>
      </c>
      <c r="C131" s="23">
        <v>2.47E-2</v>
      </c>
      <c r="D131" s="23">
        <v>3.39E-2</v>
      </c>
      <c r="E131" s="23">
        <v>3.1099999999999999E-2</v>
      </c>
      <c r="F131" s="23">
        <v>3.61E-2</v>
      </c>
      <c r="G131" s="90">
        <v>80678</v>
      </c>
    </row>
    <row r="132" spans="1:7" x14ac:dyDescent="0.35">
      <c r="A132" s="82">
        <v>46153</v>
      </c>
      <c r="B132" s="83">
        <v>3.3500000000000002E-2</v>
      </c>
      <c r="C132" s="23">
        <v>2.47E-2</v>
      </c>
      <c r="D132" s="23">
        <v>3.6200000000000003E-2</v>
      </c>
      <c r="E132" s="23">
        <v>3.1099999999999999E-2</v>
      </c>
      <c r="F132" s="23">
        <v>3.6499999999999998E-2</v>
      </c>
      <c r="G132" s="90">
        <v>82210</v>
      </c>
    </row>
    <row r="133" spans="1:7" x14ac:dyDescent="0.35">
      <c r="A133" s="82">
        <v>46154</v>
      </c>
      <c r="B133" s="83">
        <v>3.27E-2</v>
      </c>
      <c r="C133" s="23">
        <v>2.47E-2</v>
      </c>
      <c r="D133" s="23">
        <v>3.5999999999999997E-2</v>
      </c>
      <c r="E133" s="23">
        <v>4.19E-2</v>
      </c>
      <c r="F133" s="23">
        <v>3.9899999999999998E-2</v>
      </c>
      <c r="G133" s="90">
        <v>81745</v>
      </c>
    </row>
    <row r="134" spans="1:7" x14ac:dyDescent="0.35">
      <c r="A134" s="82">
        <v>46155</v>
      </c>
      <c r="B134" s="83">
        <v>3.3500000000000002E-2</v>
      </c>
      <c r="C134" s="23">
        <v>2.47E-2</v>
      </c>
      <c r="D134" s="23">
        <v>3.6799999999999999E-2</v>
      </c>
      <c r="E134" s="23">
        <v>4.3499999999999997E-2</v>
      </c>
      <c r="F134" s="23">
        <v>3.8600000000000002E-2</v>
      </c>
      <c r="G134" s="90">
        <v>80505</v>
      </c>
    </row>
    <row r="135" spans="1:7" x14ac:dyDescent="0.35">
      <c r="A135" s="82">
        <v>46156</v>
      </c>
      <c r="B135" s="83">
        <v>3.3500000000000002E-2</v>
      </c>
      <c r="C135" s="23">
        <v>2.47E-2</v>
      </c>
      <c r="D135" s="23">
        <v>3.6900000000000002E-2</v>
      </c>
      <c r="E135" s="23">
        <v>3.7199999999999997E-2</v>
      </c>
      <c r="F135" s="23">
        <v>4.0300000000000002E-2</v>
      </c>
      <c r="G135" s="90">
        <v>79315</v>
      </c>
    </row>
    <row r="136" spans="1:7" x14ac:dyDescent="0.35">
      <c r="A136" s="82">
        <v>46157</v>
      </c>
      <c r="B136" s="83">
        <v>3.2199999999999999E-2</v>
      </c>
      <c r="C136" s="23">
        <v>2.47E-2</v>
      </c>
      <c r="D136" s="23">
        <v>3.5499999999999997E-2</v>
      </c>
      <c r="E136" s="23">
        <v>3.4500000000000003E-2</v>
      </c>
      <c r="F136" s="23">
        <v>3.9899999999999998E-2</v>
      </c>
      <c r="G136" s="90">
        <v>81090</v>
      </c>
    </row>
    <row r="137" spans="1:7" x14ac:dyDescent="0.35">
      <c r="A137" s="82">
        <v>46158</v>
      </c>
      <c r="B137" s="83">
        <v>3.1600000000000003E-2</v>
      </c>
      <c r="C137" s="23">
        <v>2.47E-2</v>
      </c>
      <c r="D137" s="23">
        <v>3.4799999999999998E-2</v>
      </c>
      <c r="E137" s="23">
        <v>3.3300000000000003E-2</v>
      </c>
      <c r="F137" s="23">
        <v>4.0899999999999999E-2</v>
      </c>
      <c r="G137" s="90">
        <v>79114</v>
      </c>
    </row>
    <row r="138" spans="1:7" x14ac:dyDescent="0.35">
      <c r="A138" s="82">
        <v>46159</v>
      </c>
      <c r="B138" s="83">
        <v>3.0700000000000002E-2</v>
      </c>
      <c r="C138" s="23">
        <v>2.47E-2</v>
      </c>
      <c r="D138" s="23">
        <v>3.3799999999999997E-2</v>
      </c>
      <c r="E138" s="23">
        <v>3.3500000000000002E-2</v>
      </c>
      <c r="F138" s="23">
        <v>3.7600000000000001E-2</v>
      </c>
      <c r="G138" s="90">
        <v>78149</v>
      </c>
    </row>
    <row r="139" spans="1:7" x14ac:dyDescent="0.35">
      <c r="A139" s="82">
        <v>46160</v>
      </c>
      <c r="B139" s="83">
        <v>2.9899999999999999E-2</v>
      </c>
      <c r="C139" s="23">
        <v>2.47E-2</v>
      </c>
      <c r="D139" s="23">
        <v>3.2899999999999999E-2</v>
      </c>
      <c r="E139" s="23">
        <v>3.5200000000000002E-2</v>
      </c>
      <c r="F139" s="23">
        <v>3.6900000000000002E-2</v>
      </c>
      <c r="G139" s="90">
        <v>76751</v>
      </c>
    </row>
    <row r="140" spans="1:7" x14ac:dyDescent="0.35">
      <c r="A140" s="82">
        <v>46161</v>
      </c>
      <c r="B140" s="83">
        <v>3.2000000000000001E-2</v>
      </c>
      <c r="C140" s="23">
        <v>2.47E-2</v>
      </c>
      <c r="D140" s="23">
        <v>3.4700000000000002E-2</v>
      </c>
      <c r="E140" s="23">
        <v>3.4500000000000003E-2</v>
      </c>
      <c r="F140" s="23">
        <v>3.5400000000000001E-2</v>
      </c>
      <c r="G140" s="90">
        <v>77002</v>
      </c>
    </row>
    <row r="141" spans="1:7" x14ac:dyDescent="0.35">
      <c r="A141" s="82">
        <v>46162</v>
      </c>
      <c r="B141" s="83">
        <v>3.2000000000000001E-2</v>
      </c>
      <c r="C141" s="23">
        <v>2.47E-2</v>
      </c>
      <c r="D141" s="23">
        <v>3.5200000000000002E-2</v>
      </c>
      <c r="E141" s="23">
        <v>3.3700000000000001E-2</v>
      </c>
      <c r="F141" s="23">
        <v>3.85E-2</v>
      </c>
      <c r="G141" s="90">
        <v>76835</v>
      </c>
    </row>
    <row r="142" spans="1:7" x14ac:dyDescent="0.35">
      <c r="A142" s="82">
        <v>46163</v>
      </c>
      <c r="B142" s="83">
        <v>3.3700000000000001E-2</v>
      </c>
      <c r="C142" s="23">
        <v>2.47E-2</v>
      </c>
      <c r="D142" s="23">
        <v>3.7100000000000001E-2</v>
      </c>
      <c r="E142" s="23">
        <v>3.5400000000000001E-2</v>
      </c>
      <c r="F142" s="23">
        <v>3.8199999999999998E-2</v>
      </c>
      <c r="G142" s="90">
        <v>77553</v>
      </c>
    </row>
    <row r="143" spans="1:7" x14ac:dyDescent="0.35">
      <c r="A143" s="82">
        <v>46164</v>
      </c>
      <c r="B143" s="83">
        <v>3.3300000000000003E-2</v>
      </c>
      <c r="C143" s="23">
        <v>2.47E-2</v>
      </c>
      <c r="D143" s="23">
        <v>3.6700000000000003E-2</v>
      </c>
      <c r="E143" s="23">
        <v>3.5099999999999999E-2</v>
      </c>
      <c r="F143" s="23">
        <v>4.0399999999999998E-2</v>
      </c>
      <c r="G143" s="90">
        <v>77616</v>
      </c>
    </row>
    <row r="144" spans="1:7" x14ac:dyDescent="0.35">
      <c r="A144" s="82">
        <v>46165</v>
      </c>
      <c r="B144" s="83">
        <v>3.2800000000000003E-2</v>
      </c>
      <c r="C144" s="23">
        <v>2.47E-2</v>
      </c>
      <c r="D144" s="23">
        <v>3.61E-2</v>
      </c>
      <c r="E144" s="23">
        <v>3.5700000000000003E-2</v>
      </c>
      <c r="F144" s="23">
        <v>4.0599999999999997E-2</v>
      </c>
      <c r="G144" s="90">
        <v>75540</v>
      </c>
    </row>
    <row r="145" spans="1:7" x14ac:dyDescent="0.35">
      <c r="A145" s="82">
        <v>46166</v>
      </c>
      <c r="B145" s="83">
        <v>3.32E-2</v>
      </c>
      <c r="C145" s="23">
        <v>2.47E-2</v>
      </c>
      <c r="D145" s="23">
        <v>3.5900000000000001E-2</v>
      </c>
      <c r="E145" s="23">
        <v>3.5099999999999999E-2</v>
      </c>
      <c r="F145" s="23">
        <v>3.9600000000000003E-2</v>
      </c>
      <c r="G145" s="90">
        <v>76752</v>
      </c>
    </row>
    <row r="146" spans="1:7" x14ac:dyDescent="0.35">
      <c r="A146" s="82">
        <v>46167</v>
      </c>
      <c r="B146" s="83">
        <v>3.32E-2</v>
      </c>
      <c r="C146" s="23">
        <v>2.47E-2</v>
      </c>
      <c r="D146" s="23">
        <v>3.6600000000000001E-2</v>
      </c>
      <c r="E146" s="23">
        <v>3.5000000000000003E-2</v>
      </c>
      <c r="F146" s="23">
        <v>3.9600000000000003E-2</v>
      </c>
      <c r="G146" s="90">
        <v>77065</v>
      </c>
    </row>
    <row r="147" spans="1:7" x14ac:dyDescent="0.35">
      <c r="A147" s="82">
        <v>46168</v>
      </c>
      <c r="B147" s="83">
        <v>3.4599999999999999E-2</v>
      </c>
      <c r="C147" s="23">
        <v>2.47E-2</v>
      </c>
      <c r="D147" s="23">
        <v>3.7600000000000001E-2</v>
      </c>
      <c r="E147" s="23">
        <v>3.5900000000000001E-2</v>
      </c>
      <c r="F147" s="23">
        <v>4.0300000000000002E-2</v>
      </c>
      <c r="G147" s="90">
        <v>77323</v>
      </c>
    </row>
    <row r="148" spans="1:7" x14ac:dyDescent="0.35">
      <c r="A148" s="82">
        <v>46169</v>
      </c>
      <c r="B148" s="83">
        <v>3.5999999999999997E-2</v>
      </c>
      <c r="C148" s="23">
        <v>2.47E-2</v>
      </c>
      <c r="D148" s="23">
        <v>3.9E-2</v>
      </c>
      <c r="E148" s="23">
        <v>3.7199999999999997E-2</v>
      </c>
      <c r="F148" s="23">
        <v>4.2799999999999998E-2</v>
      </c>
      <c r="G148" s="90">
        <v>75931</v>
      </c>
    </row>
    <row r="149" spans="1:7" x14ac:dyDescent="0.35">
      <c r="A149" s="82">
        <v>46170</v>
      </c>
      <c r="B149" s="83">
        <v>3.6600000000000001E-2</v>
      </c>
      <c r="C149" s="23">
        <v>2.47E-2</v>
      </c>
      <c r="D149" s="23">
        <v>4.02E-2</v>
      </c>
      <c r="E149" s="23">
        <v>3.8399999999999997E-2</v>
      </c>
      <c r="F149" s="23">
        <v>4.4200000000000003E-2</v>
      </c>
      <c r="G149" s="90">
        <v>74450</v>
      </c>
    </row>
    <row r="150" spans="1:7" x14ac:dyDescent="0.35">
      <c r="A150" s="82">
        <v>46171</v>
      </c>
      <c r="B150" s="83">
        <v>3.7400000000000003E-2</v>
      </c>
      <c r="C150" s="23">
        <v>2.47E-2</v>
      </c>
      <c r="D150" s="23">
        <v>4.1099999999999998E-2</v>
      </c>
      <c r="E150" s="23">
        <v>3.9199999999999999E-2</v>
      </c>
      <c r="F150" s="23">
        <v>4.5400000000000003E-2</v>
      </c>
      <c r="G150" s="90">
        <v>73618</v>
      </c>
    </row>
    <row r="151" spans="1:7" x14ac:dyDescent="0.35">
      <c r="A151" s="82">
        <v>46172</v>
      </c>
      <c r="B151" s="83">
        <v>3.73E-2</v>
      </c>
      <c r="C151" s="23">
        <v>2.47E-2</v>
      </c>
      <c r="D151" s="23">
        <v>4.0599999999999997E-2</v>
      </c>
      <c r="E151" s="23">
        <v>3.8800000000000001E-2</v>
      </c>
      <c r="F151" s="23">
        <v>4.5499999999999999E-2</v>
      </c>
      <c r="G151" s="90">
        <v>73461</v>
      </c>
    </row>
    <row r="152" spans="1:7" x14ac:dyDescent="0.35">
      <c r="A152" s="82">
        <v>46173</v>
      </c>
      <c r="B152" s="83">
        <v>3.73E-2</v>
      </c>
      <c r="C152" s="23">
        <v>2.47E-2</v>
      </c>
      <c r="D152" s="23">
        <v>4.1099999999999998E-2</v>
      </c>
      <c r="E152" s="23">
        <v>3.9199999999999999E-2</v>
      </c>
      <c r="F152" s="23">
        <v>0.04</v>
      </c>
      <c r="G152" s="90">
        <v>73885</v>
      </c>
    </row>
    <row r="153" spans="1:7" x14ac:dyDescent="0.35">
      <c r="A153" s="82">
        <v>46174</v>
      </c>
      <c r="B153" s="83">
        <v>3.73E-2</v>
      </c>
      <c r="C153" s="23">
        <v>2.47E-2</v>
      </c>
      <c r="D153" s="23">
        <v>4.1099999999999998E-2</v>
      </c>
      <c r="E153" s="23">
        <v>3.9199999999999999E-2</v>
      </c>
      <c r="F153" s="23">
        <v>4.4999999999999998E-2</v>
      </c>
      <c r="G153" s="90">
        <v>73675</v>
      </c>
    </row>
    <row r="154" spans="1:7" x14ac:dyDescent="0.35">
      <c r="A154" s="82">
        <v>46175</v>
      </c>
      <c r="B154" s="83">
        <v>4.1799999999999997E-2</v>
      </c>
      <c r="C154" s="23">
        <v>2.47E-2</v>
      </c>
      <c r="D154" s="23">
        <v>4.5400000000000003E-2</v>
      </c>
      <c r="E154" s="23">
        <v>4.2900000000000001E-2</v>
      </c>
      <c r="F154" s="23">
        <v>4.6600000000000003E-2</v>
      </c>
      <c r="G154" s="90">
        <v>71408</v>
      </c>
    </row>
    <row r="155" spans="1:7" x14ac:dyDescent="0.35">
      <c r="A155" s="82">
        <v>46176</v>
      </c>
      <c r="B155" s="83">
        <v>4.2799999999999998E-2</v>
      </c>
      <c r="C155" s="23">
        <v>2.47E-2</v>
      </c>
      <c r="D155" s="23">
        <v>4.7E-2</v>
      </c>
      <c r="E155" s="23">
        <v>4.4900000000000002E-2</v>
      </c>
      <c r="F155" s="23">
        <v>5.2600000000000001E-2</v>
      </c>
      <c r="G155" s="90">
        <v>66761</v>
      </c>
    </row>
    <row r="156" spans="1:7" x14ac:dyDescent="0.35">
      <c r="A156" s="82">
        <v>46177</v>
      </c>
      <c r="B156" s="83">
        <v>4.0500000000000001E-2</v>
      </c>
      <c r="C156" s="23">
        <v>2.47E-2</v>
      </c>
      <c r="D156" s="23">
        <v>5.0200000000000002E-2</v>
      </c>
      <c r="E156" s="23">
        <v>4.8000000000000001E-2</v>
      </c>
      <c r="F156" s="23">
        <v>5.28E-2</v>
      </c>
      <c r="G156" s="90">
        <v>64143</v>
      </c>
    </row>
    <row r="157" spans="1:7" x14ac:dyDescent="0.35">
      <c r="A157" s="82">
        <v>46178</v>
      </c>
      <c r="B157" s="83">
        <v>4.0500000000000001E-2</v>
      </c>
      <c r="C157" s="23">
        <v>2.47E-2</v>
      </c>
      <c r="D157" s="23">
        <v>4.4600000000000001E-2</v>
      </c>
      <c r="E157" s="23">
        <v>4.2599999999999999E-2</v>
      </c>
      <c r="F157" s="23">
        <v>5.4800000000000001E-2</v>
      </c>
      <c r="G157" s="90">
        <v>63885</v>
      </c>
    </row>
    <row r="158" spans="1:7" x14ac:dyDescent="0.35">
      <c r="A158" s="82">
        <v>46179</v>
      </c>
      <c r="B158" s="83">
        <v>3.7900000000000003E-2</v>
      </c>
      <c r="C158" s="23">
        <v>2.47E-2</v>
      </c>
      <c r="D158" s="23">
        <v>4.24E-2</v>
      </c>
      <c r="E158" s="23">
        <v>4.0500000000000001E-2</v>
      </c>
      <c r="F158" s="23">
        <v>4.7E-2</v>
      </c>
      <c r="G158" s="90">
        <v>61057</v>
      </c>
    </row>
    <row r="159" spans="1:7" x14ac:dyDescent="0.35">
      <c r="A159" s="82">
        <v>46180</v>
      </c>
      <c r="B159" s="83">
        <v>3.6799999999999999E-2</v>
      </c>
      <c r="C159" s="23">
        <v>2.47E-2</v>
      </c>
      <c r="D159" s="23">
        <v>4.0500000000000001E-2</v>
      </c>
      <c r="E159" s="23">
        <v>3.8699999999999998E-2</v>
      </c>
      <c r="F159" s="23">
        <v>4.4999999999999998E-2</v>
      </c>
      <c r="G159" s="90">
        <v>60885</v>
      </c>
    </row>
    <row r="160" spans="1:7" x14ac:dyDescent="0.35">
      <c r="A160" s="82">
        <v>46181</v>
      </c>
      <c r="B160" s="83">
        <v>3.6299999999999999E-2</v>
      </c>
      <c r="C160" s="23">
        <v>2.47E-2</v>
      </c>
      <c r="D160" s="23">
        <v>3.9899999999999998E-2</v>
      </c>
      <c r="E160" s="23">
        <v>3.8100000000000002E-2</v>
      </c>
      <c r="F160" s="23">
        <v>4.3700000000000003E-2</v>
      </c>
      <c r="G160" s="90">
        <v>63332</v>
      </c>
    </row>
    <row r="161" spans="1:7" x14ac:dyDescent="0.35">
      <c r="A161" s="82">
        <v>46182</v>
      </c>
      <c r="B161" s="83"/>
      <c r="C161" s="23"/>
      <c r="D161" s="23"/>
      <c r="E161" s="23"/>
      <c r="F161" s="23"/>
      <c r="G161" s="90"/>
    </row>
    <row r="162" spans="1:7" x14ac:dyDescent="0.35">
      <c r="A162" s="82">
        <v>46183</v>
      </c>
      <c r="B162" s="83"/>
      <c r="C162" s="23"/>
      <c r="D162" s="23"/>
      <c r="E162" s="23"/>
      <c r="F162" s="23"/>
      <c r="G162" s="90"/>
    </row>
    <row r="163" spans="1:7" x14ac:dyDescent="0.35">
      <c r="A163" s="80"/>
      <c r="B163" s="80"/>
    </row>
    <row r="164" spans="1:7" x14ac:dyDescent="0.35">
      <c r="A164" s="80"/>
      <c r="B164" s="80"/>
    </row>
    <row r="165" spans="1:7" x14ac:dyDescent="0.35">
      <c r="A165" s="80"/>
      <c r="B165" s="80"/>
    </row>
    <row r="166" spans="1:7" x14ac:dyDescent="0.35">
      <c r="A166" s="80"/>
      <c r="B166" s="80"/>
    </row>
    <row r="167" spans="1:7" x14ac:dyDescent="0.35">
      <c r="A167" s="80"/>
      <c r="B167" s="80"/>
    </row>
    <row r="168" spans="1:7" x14ac:dyDescent="0.35">
      <c r="A168" s="80"/>
      <c r="B168" s="80"/>
    </row>
    <row r="169" spans="1:7" x14ac:dyDescent="0.35">
      <c r="A169" s="80"/>
      <c r="B169" s="80"/>
    </row>
    <row r="170" spans="1:7" x14ac:dyDescent="0.35">
      <c r="A170" s="80"/>
      <c r="B170" s="80"/>
    </row>
    <row r="171" spans="1:7" x14ac:dyDescent="0.35">
      <c r="A171" s="80"/>
      <c r="B171" s="80"/>
    </row>
    <row r="172" spans="1:7" x14ac:dyDescent="0.35">
      <c r="A172" s="80"/>
      <c r="B172" s="80"/>
    </row>
    <row r="173" spans="1:7" x14ac:dyDescent="0.35">
      <c r="A173" s="80"/>
      <c r="B173" s="80"/>
    </row>
    <row r="174" spans="1:7" x14ac:dyDescent="0.35">
      <c r="A174" s="80"/>
      <c r="B174" s="80"/>
    </row>
    <row r="175" spans="1:7" x14ac:dyDescent="0.35">
      <c r="A175" s="80"/>
      <c r="B175" s="80"/>
    </row>
    <row r="176" spans="1:7" x14ac:dyDescent="0.35">
      <c r="A176" s="80"/>
      <c r="B176" s="80"/>
    </row>
    <row r="177" spans="1:2" x14ac:dyDescent="0.35">
      <c r="A177" s="80"/>
      <c r="B177" s="80"/>
    </row>
    <row r="178" spans="1:2" x14ac:dyDescent="0.35">
      <c r="A178" s="80"/>
      <c r="B178" s="80"/>
    </row>
    <row r="179" spans="1:2" x14ac:dyDescent="0.35">
      <c r="A179" s="80"/>
      <c r="B179" s="80"/>
    </row>
    <row r="180" spans="1:2" x14ac:dyDescent="0.35">
      <c r="A180" s="80"/>
      <c r="B180" s="80"/>
    </row>
    <row r="181" spans="1:2" x14ac:dyDescent="0.35">
      <c r="A181" s="80"/>
      <c r="B181" s="80"/>
    </row>
    <row r="182" spans="1:2" x14ac:dyDescent="0.35">
      <c r="A182" s="80"/>
      <c r="B182" s="80"/>
    </row>
    <row r="183" spans="1:2" x14ac:dyDescent="0.35">
      <c r="A183" s="80"/>
      <c r="B183" s="80"/>
    </row>
    <row r="184" spans="1:2" x14ac:dyDescent="0.35">
      <c r="A184" s="80"/>
      <c r="B184" s="80"/>
    </row>
    <row r="185" spans="1:2" x14ac:dyDescent="0.35">
      <c r="A185" s="80"/>
      <c r="B185" s="80"/>
    </row>
    <row r="186" spans="1:2" x14ac:dyDescent="0.35">
      <c r="A186" s="80"/>
      <c r="B186" s="80"/>
    </row>
    <row r="187" spans="1:2" x14ac:dyDescent="0.35">
      <c r="A187" s="80"/>
      <c r="B187" s="80"/>
    </row>
    <row r="188" spans="1:2" x14ac:dyDescent="0.35">
      <c r="A188" s="80"/>
      <c r="B188" s="80"/>
    </row>
    <row r="189" spans="1:2" x14ac:dyDescent="0.35">
      <c r="A189" s="80"/>
      <c r="B189" s="80"/>
    </row>
    <row r="190" spans="1:2" x14ac:dyDescent="0.35">
      <c r="A190" s="80"/>
      <c r="B190" s="80"/>
    </row>
    <row r="191" spans="1:2" x14ac:dyDescent="0.35">
      <c r="A191" s="80"/>
      <c r="B191" s="80"/>
    </row>
    <row r="192" spans="1:2" x14ac:dyDescent="0.35">
      <c r="A192" s="80"/>
      <c r="B192" s="80"/>
    </row>
    <row r="193" spans="1:2" x14ac:dyDescent="0.35">
      <c r="A193" s="80"/>
      <c r="B193" s="80"/>
    </row>
    <row r="194" spans="1:2" x14ac:dyDescent="0.35">
      <c r="A194" s="80"/>
      <c r="B194" s="80"/>
    </row>
    <row r="195" spans="1:2" x14ac:dyDescent="0.35">
      <c r="A195" s="80"/>
      <c r="B195" s="80"/>
    </row>
    <row r="196" spans="1:2" x14ac:dyDescent="0.35">
      <c r="A196" s="80"/>
      <c r="B196" s="80"/>
    </row>
    <row r="197" spans="1:2" x14ac:dyDescent="0.35">
      <c r="A197" s="80"/>
      <c r="B197" s="80"/>
    </row>
    <row r="198" spans="1:2" x14ac:dyDescent="0.35">
      <c r="A198" s="80"/>
      <c r="B198" s="80"/>
    </row>
    <row r="199" spans="1:2" x14ac:dyDescent="0.35">
      <c r="A199" s="80"/>
      <c r="B199" s="80"/>
    </row>
    <row r="200" spans="1:2" x14ac:dyDescent="0.35">
      <c r="A200" s="80"/>
      <c r="B200" s="80"/>
    </row>
    <row r="201" spans="1:2" x14ac:dyDescent="0.35">
      <c r="A201" s="80"/>
      <c r="B201" s="80"/>
    </row>
    <row r="202" spans="1:2" x14ac:dyDescent="0.35">
      <c r="A202" s="80"/>
      <c r="B202" s="80"/>
    </row>
    <row r="203" spans="1:2" x14ac:dyDescent="0.35">
      <c r="A203" s="80"/>
      <c r="B203" s="80"/>
    </row>
    <row r="204" spans="1:2" x14ac:dyDescent="0.35">
      <c r="A204" s="80"/>
      <c r="B204" s="80"/>
    </row>
    <row r="205" spans="1:2" x14ac:dyDescent="0.35">
      <c r="A205" s="80"/>
      <c r="B205" s="80"/>
    </row>
    <row r="206" spans="1:2" x14ac:dyDescent="0.35">
      <c r="A206" s="80"/>
      <c r="B206" s="80"/>
    </row>
    <row r="207" spans="1:2" x14ac:dyDescent="0.35">
      <c r="A207" s="80"/>
      <c r="B207" s="80"/>
    </row>
    <row r="208" spans="1:2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85" zoomScale="115" zoomScaleNormal="115" workbookViewId="0">
      <selection activeCell="BL108" sqref="BL108:BR108"/>
    </sheetView>
  </sheetViews>
  <sheetFormatPr defaultColWidth="8.6328125" defaultRowHeight="14.5" x14ac:dyDescent="0.35"/>
  <cols>
    <col min="1" max="1" width="10.54296875" bestFit="1" customWidth="1"/>
    <col min="2" max="6" width="4.36328125" bestFit="1" customWidth="1"/>
    <col min="7" max="7" width="5.453125" bestFit="1" customWidth="1"/>
    <col min="8" max="8" width="7.08984375" bestFit="1" customWidth="1"/>
    <col min="9" max="9" width="10.54296875" bestFit="1" customWidth="1"/>
    <col min="10" max="10" width="4.1796875" bestFit="1" customWidth="1"/>
    <col min="11" max="14" width="4.36328125" bestFit="1" customWidth="1"/>
    <col min="15" max="15" width="5.453125" bestFit="1" customWidth="1"/>
    <col min="16" max="16" width="7.08984375" bestFit="1" customWidth="1"/>
    <col min="19" max="19" width="10.54296875" bestFit="1" customWidth="1"/>
    <col min="20" max="20" width="4.1796875" bestFit="1" customWidth="1"/>
    <col min="21" max="23" width="4.36328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36328125" bestFit="1" customWidth="1"/>
    <col min="33" max="33" width="5.453125" bestFit="1" customWidth="1"/>
    <col min="34" max="34" width="7.08984375" bestFit="1" customWidth="1"/>
    <col min="37" max="37" width="10.54296875" bestFit="1" customWidth="1"/>
    <col min="38" max="40" width="6.08984375" bestFit="1" customWidth="1"/>
    <col min="41" max="41" width="5.81640625" bestFit="1" customWidth="1"/>
    <col min="42" max="43" width="6.1796875" bestFit="1" customWidth="1"/>
    <col min="44" max="44" width="7.089843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1" width="6.179687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1796875" bestFit="1" customWidth="1"/>
    <col min="58" max="58" width="6.1796875" bestFit="1" customWidth="1"/>
    <col min="59" max="60" width="4.36328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36328125" bestFit="1" customWidth="1"/>
    <col min="66" max="66" width="6.1796875" bestFit="1" customWidth="1"/>
    <col min="67" max="68" width="4.36328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108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6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6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6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6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6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6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6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6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108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6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6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6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6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>
        <v>2.93E-2</v>
      </c>
      <c r="Q76" s="86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>
        <v>2.5000000000000001E-2</v>
      </c>
      <c r="AI76" s="13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4">
        <v>2.5000000000000001E-2</v>
      </c>
      <c r="AU76" s="14">
        <v>2.6700000000000002E-2</v>
      </c>
      <c r="AV76" s="14">
        <v>2.75E-2</v>
      </c>
      <c r="AW76" s="14">
        <v>4.3900000000000002E-2</v>
      </c>
      <c r="AX76" s="14">
        <v>5.1700000000000003E-2</v>
      </c>
      <c r="AY76" s="14">
        <v>0.05</v>
      </c>
      <c r="AZ76" s="14">
        <v>3.2899999999999999E-2</v>
      </c>
      <c r="BA76" s="13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8">
        <v>3.56E-2</v>
      </c>
      <c r="BM76" s="1"/>
      <c r="BN76" s="58">
        <v>5.5100000000000003E-2</v>
      </c>
      <c r="BO76" s="1"/>
      <c r="BP76" s="1"/>
      <c r="BQ76" s="1"/>
      <c r="BR76" s="58">
        <v>2.9700000000000001E-2</v>
      </c>
      <c r="BS76" s="13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>
        <v>3.1E-2</v>
      </c>
      <c r="Q77" s="86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>
        <v>2.5000000000000001E-2</v>
      </c>
      <c r="AI77" s="13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4">
        <v>2.8899999999999999E-2</v>
      </c>
      <c r="AU77" s="14">
        <v>2.76E-2</v>
      </c>
      <c r="AV77" s="14">
        <v>0.03</v>
      </c>
      <c r="AW77" s="14">
        <v>0.04</v>
      </c>
      <c r="AX77" s="14">
        <v>4.7800000000000002E-2</v>
      </c>
      <c r="AY77" s="14">
        <v>4.2599999999999999E-2</v>
      </c>
      <c r="AZ77" s="14">
        <v>3.3500000000000002E-2</v>
      </c>
      <c r="BA77" s="13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8">
        <v>4.07E-2</v>
      </c>
      <c r="BM77" s="1"/>
      <c r="BN77" s="58">
        <v>5.5100000000000003E-2</v>
      </c>
      <c r="BO77" s="1"/>
      <c r="BP77" s="1"/>
      <c r="BQ77" s="1"/>
      <c r="BR77" s="58">
        <v>2.98E-2</v>
      </c>
      <c r="BS77" s="13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>
        <v>3.32E-2</v>
      </c>
      <c r="Q78" s="86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>
        <v>2.5000000000000001E-2</v>
      </c>
      <c r="AI78" s="13">
        <f t="shared" ref="AI78:AI108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4">
        <v>2.8899999999999999E-2</v>
      </c>
      <c r="AU78" s="14">
        <v>2.76E-2</v>
      </c>
      <c r="AV78" s="14">
        <v>0.03</v>
      </c>
      <c r="AW78" s="14">
        <v>0.04</v>
      </c>
      <c r="AX78" s="14">
        <v>4.7800000000000002E-2</v>
      </c>
      <c r="AY78" s="14">
        <v>4.2599999999999999E-2</v>
      </c>
      <c r="AZ78" s="14">
        <v>3.4000000000000002E-2</v>
      </c>
      <c r="BA78" s="13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8">
        <v>4.07E-2</v>
      </c>
      <c r="BM78" s="1"/>
      <c r="BN78" s="58">
        <v>5.5100000000000003E-2</v>
      </c>
      <c r="BO78" s="1"/>
      <c r="BP78" s="1"/>
      <c r="BQ78" s="1"/>
      <c r="BR78" s="58">
        <v>3.0800000000000001E-2</v>
      </c>
      <c r="BS78" s="13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>
        <v>3.3500000000000002E-2</v>
      </c>
      <c r="Q79" s="86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>
        <v>2.5000000000000001E-2</v>
      </c>
      <c r="AI79" s="13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4">
        <v>2.8899999999999999E-2</v>
      </c>
      <c r="AU79" s="14">
        <v>2.76E-2</v>
      </c>
      <c r="AV79" s="14">
        <v>0.03</v>
      </c>
      <c r="AW79" s="14">
        <v>0.04</v>
      </c>
      <c r="AX79" s="14">
        <v>4.7800000000000002E-2</v>
      </c>
      <c r="AY79" s="14">
        <v>4.2599999999999999E-2</v>
      </c>
      <c r="AZ79" s="14">
        <v>3.4500000000000003E-2</v>
      </c>
      <c r="BA79" s="13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8">
        <v>4.07E-2</v>
      </c>
      <c r="BM79" s="1"/>
      <c r="BN79" s="58">
        <v>5.5100000000000003E-2</v>
      </c>
      <c r="BO79" s="1"/>
      <c r="BP79" s="1"/>
      <c r="BQ79" s="1"/>
      <c r="BR79" s="58">
        <v>3.1099999999999999E-2</v>
      </c>
      <c r="BS79" s="13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>
        <v>3.3500000000000002E-2</v>
      </c>
      <c r="Q80" s="86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>
        <v>2.5000000000000001E-2</v>
      </c>
      <c r="AI80" s="13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4">
        <v>2.8899999999999999E-2</v>
      </c>
      <c r="AU80" s="14">
        <v>2.76E-2</v>
      </c>
      <c r="AV80" s="14">
        <v>0.03</v>
      </c>
      <c r="AW80" s="14">
        <v>0.04</v>
      </c>
      <c r="AX80" s="14">
        <v>4.7800000000000002E-2</v>
      </c>
      <c r="AY80" s="14">
        <v>4.2599999999999999E-2</v>
      </c>
      <c r="AZ80" s="14">
        <v>3.6900000000000002E-2</v>
      </c>
      <c r="BA80" s="13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8">
        <v>4.07E-2</v>
      </c>
      <c r="BM80" s="1"/>
      <c r="BN80" s="58">
        <v>5.5100000000000003E-2</v>
      </c>
      <c r="BO80" s="1"/>
      <c r="BP80" s="1"/>
      <c r="BQ80" s="1"/>
      <c r="BR80" s="58">
        <v>3.39E-2</v>
      </c>
      <c r="BS80" s="13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>
        <v>3.32E-2</v>
      </c>
      <c r="Q81" s="86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>
        <v>2.5000000000000001E-2</v>
      </c>
      <c r="AI81" s="13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4">
        <v>2.5999999999999999E-2</v>
      </c>
      <c r="AU81" s="14">
        <v>3.1E-2</v>
      </c>
      <c r="AV81" s="14">
        <v>0.04</v>
      </c>
      <c r="AW81" s="14">
        <v>4.1500000000000002E-2</v>
      </c>
      <c r="AX81" s="14">
        <v>4.1000000000000002E-2</v>
      </c>
      <c r="AY81" s="14">
        <v>4.2599999999999999E-2</v>
      </c>
      <c r="AZ81" s="14">
        <v>3.61E-2</v>
      </c>
      <c r="BA81" s="13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8">
        <v>4.0399999999999998E-2</v>
      </c>
      <c r="BM81" s="1"/>
      <c r="BN81" s="58">
        <v>5.5100000000000003E-2</v>
      </c>
      <c r="BO81" s="1"/>
      <c r="BP81" s="1"/>
      <c r="BQ81" s="1"/>
      <c r="BR81" s="58">
        <v>3.32E-2</v>
      </c>
      <c r="BS81" s="13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>
        <v>3.4200000000000001E-2</v>
      </c>
      <c r="Q82" s="86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>
        <v>2.5000000000000001E-2</v>
      </c>
      <c r="AI82" s="13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4">
        <v>2.5499999999999998E-2</v>
      </c>
      <c r="AU82" s="14">
        <v>2.75E-2</v>
      </c>
      <c r="AV82" s="14">
        <v>2.9000000000000001E-2</v>
      </c>
      <c r="AW82" s="14">
        <v>3.95E-2</v>
      </c>
      <c r="AX82" s="14">
        <v>4.1000000000000002E-2</v>
      </c>
      <c r="AY82" s="14">
        <v>4.2599999999999999E-2</v>
      </c>
      <c r="AZ82" s="14">
        <v>3.73E-2</v>
      </c>
      <c r="BA82" s="13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8">
        <v>4.1399999999999999E-2</v>
      </c>
      <c r="BM82" s="1"/>
      <c r="BN82" s="58">
        <v>4.9599999999999998E-2</v>
      </c>
      <c r="BO82" s="1"/>
      <c r="BP82" s="1"/>
      <c r="BQ82" s="1"/>
      <c r="BR82" s="58">
        <v>3.44E-2</v>
      </c>
      <c r="BS82" s="13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>
        <v>3.3599999999999998E-2</v>
      </c>
      <c r="Q83" s="86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>
        <v>2.5000000000000001E-2</v>
      </c>
      <c r="AI83" s="13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4">
        <v>2.5000000000000001E-2</v>
      </c>
      <c r="AU83" s="14">
        <v>2.75E-2</v>
      </c>
      <c r="AV83" s="14">
        <v>2.8500000000000001E-2</v>
      </c>
      <c r="AW83" s="14">
        <v>4.1500000000000002E-2</v>
      </c>
      <c r="AX83" s="14">
        <v>4.7500000000000001E-2</v>
      </c>
      <c r="AY83" s="14">
        <v>4.2599999999999999E-2</v>
      </c>
      <c r="AZ83" s="14">
        <v>3.6999999999999998E-2</v>
      </c>
      <c r="BA83" s="13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8">
        <v>4.1000000000000002E-2</v>
      </c>
      <c r="BM83" s="1"/>
      <c r="BN83" s="58">
        <v>4.9099999999999998E-2</v>
      </c>
      <c r="BO83" s="1"/>
      <c r="BP83" s="1"/>
      <c r="BQ83" s="1"/>
      <c r="BR83" s="58">
        <v>3.4099999999999998E-2</v>
      </c>
      <c r="BS83" s="13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>
        <v>3.2300000000000002E-2</v>
      </c>
      <c r="Q84" s="86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>
        <v>2.5000000000000001E-2</v>
      </c>
      <c r="AI84" s="13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4">
        <v>2.5000000000000001E-2</v>
      </c>
      <c r="AU84" s="14">
        <v>2.6800000000000001E-2</v>
      </c>
      <c r="AV84" s="14">
        <v>0.03</v>
      </c>
      <c r="AW84" s="14">
        <v>4.1500000000000002E-2</v>
      </c>
      <c r="AX84" s="14">
        <v>0.05</v>
      </c>
      <c r="AY84" s="14">
        <v>4.7500000000000001E-2</v>
      </c>
      <c r="AZ84" s="14">
        <v>3.5799999999999998E-2</v>
      </c>
      <c r="BA84" s="13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8">
        <v>4.1599999999999998E-2</v>
      </c>
      <c r="BM84" s="1"/>
      <c r="BN84" s="58">
        <v>4.99E-2</v>
      </c>
      <c r="BO84" s="1"/>
      <c r="BP84" s="1"/>
      <c r="BQ84" s="1"/>
      <c r="BR84" s="58">
        <v>3.4700000000000002E-2</v>
      </c>
      <c r="BS84" s="13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>
        <v>3.2300000000000002E-2</v>
      </c>
      <c r="Q85" s="86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>
        <v>2.5000000000000001E-2</v>
      </c>
      <c r="AI85" s="13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4">
        <v>2.5000000000000001E-2</v>
      </c>
      <c r="AU85" s="14">
        <v>2.8199999999999999E-2</v>
      </c>
      <c r="AV85" s="14">
        <v>3.0200000000000001E-2</v>
      </c>
      <c r="AW85" s="14">
        <v>4.1500000000000002E-2</v>
      </c>
      <c r="AX85" s="14">
        <v>0.05</v>
      </c>
      <c r="AY85" s="14">
        <v>4.7500000000000001E-2</v>
      </c>
      <c r="AZ85" s="14">
        <v>3.5999999999999997E-2</v>
      </c>
      <c r="BA85" s="13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8">
        <v>4.1599999999999998E-2</v>
      </c>
      <c r="BM85" s="1"/>
      <c r="BN85" s="58">
        <v>4.99E-2</v>
      </c>
      <c r="BO85" s="1"/>
      <c r="BP85" s="1"/>
      <c r="BQ85" s="1"/>
      <c r="BR85" s="58">
        <v>3.2599999999999997E-2</v>
      </c>
      <c r="BS85" s="13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>
        <v>3.2300000000000002E-2</v>
      </c>
      <c r="Q86" s="86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>
        <v>2.5000000000000001E-2</v>
      </c>
      <c r="AI86" s="13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4">
        <v>0.04</v>
      </c>
      <c r="AU86" s="14">
        <v>3.15E-2</v>
      </c>
      <c r="AV86" s="14">
        <v>3.2500000000000001E-2</v>
      </c>
      <c r="AW86" s="14">
        <v>4.1500000000000002E-2</v>
      </c>
      <c r="AX86" s="14">
        <v>0.05</v>
      </c>
      <c r="AY86" s="14">
        <v>4.7500000000000001E-2</v>
      </c>
      <c r="AZ86" s="14">
        <v>3.6499999999999998E-2</v>
      </c>
      <c r="BA86" s="13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8">
        <v>4.1000000000000002E-2</v>
      </c>
      <c r="BM86" s="1"/>
      <c r="BN86" s="58">
        <v>4.9099999999999998E-2</v>
      </c>
      <c r="BO86" s="1"/>
      <c r="BP86" s="1"/>
      <c r="BQ86" s="1"/>
      <c r="BR86" s="58">
        <v>3.1600000000000003E-2</v>
      </c>
      <c r="BS86" s="13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8">
        <v>3.2300000000000002E-2</v>
      </c>
      <c r="Q87" s="86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8">
        <v>2.5000000000000001E-2</v>
      </c>
      <c r="AI87" s="13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4">
        <v>0.04</v>
      </c>
      <c r="AU87" s="14">
        <v>3.2500000000000001E-2</v>
      </c>
      <c r="AV87" s="14">
        <v>3.5000000000000003E-2</v>
      </c>
      <c r="AW87" s="14">
        <v>4.1500000000000002E-2</v>
      </c>
      <c r="AX87" s="14">
        <v>0.05</v>
      </c>
      <c r="AY87" s="14">
        <v>4.7500000000000001E-2</v>
      </c>
      <c r="AZ87" s="14">
        <v>3.4200000000000001E-2</v>
      </c>
      <c r="BA87" s="13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8">
        <v>4.1000000000000002E-2</v>
      </c>
      <c r="BM87" s="1"/>
      <c r="BN87" s="58">
        <v>4.9099999999999998E-2</v>
      </c>
      <c r="BO87" s="1"/>
      <c r="BP87" s="1"/>
      <c r="BQ87" s="1"/>
      <c r="BR87" s="58">
        <v>3.04E-2</v>
      </c>
      <c r="BS87" s="13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8">
        <v>3.3000000000000002E-2</v>
      </c>
      <c r="Q88" s="86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8">
        <v>2.5000000000000001E-2</v>
      </c>
      <c r="AI88" s="13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4">
        <v>0.04</v>
      </c>
      <c r="AU88" s="14">
        <v>0.04</v>
      </c>
      <c r="AV88" s="14">
        <v>3.5000000000000003E-2</v>
      </c>
      <c r="AW88" s="14">
        <v>0.04</v>
      </c>
      <c r="AX88" s="14">
        <v>0.05</v>
      </c>
      <c r="AY88" s="14">
        <v>0.05</v>
      </c>
      <c r="AZ88" s="14">
        <v>3.5499999999999997E-2</v>
      </c>
      <c r="BA88" s="13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8">
        <v>3.2899999999999999E-2</v>
      </c>
      <c r="BM88" s="1"/>
      <c r="BN88" s="58">
        <v>4.7399999999999998E-2</v>
      </c>
      <c r="BO88" s="1"/>
      <c r="BP88" s="1"/>
      <c r="BQ88" s="1"/>
      <c r="BR88" s="58">
        <v>3.2599999999999997E-2</v>
      </c>
      <c r="BS88" s="13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8">
        <v>3.32E-2</v>
      </c>
      <c r="Q89" s="86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8">
        <v>2.5000000000000001E-2</v>
      </c>
      <c r="AI89" s="13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4">
        <v>4.2099999999999999E-2</v>
      </c>
      <c r="AU89" s="14">
        <v>3.4200000000000001E-2</v>
      </c>
      <c r="AV89" s="14">
        <v>3.5000000000000003E-2</v>
      </c>
      <c r="AW89" s="14">
        <v>0.04</v>
      </c>
      <c r="AX89" s="14">
        <v>4.9500000000000002E-2</v>
      </c>
      <c r="AY89" s="14">
        <v>0.05</v>
      </c>
      <c r="AZ89" s="14">
        <v>3.6600000000000001E-2</v>
      </c>
      <c r="BA89" s="13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8">
        <v>3.2899999999999999E-2</v>
      </c>
      <c r="BM89" s="1"/>
      <c r="BN89" s="58">
        <v>4.7399999999999998E-2</v>
      </c>
      <c r="BO89" s="1"/>
      <c r="BP89" s="1"/>
      <c r="BQ89" s="1"/>
      <c r="BR89" s="58">
        <v>3.2899999999999999E-2</v>
      </c>
      <c r="BS89" s="13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8">
        <v>3.3399999999999999E-2</v>
      </c>
      <c r="Q90" s="86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8">
        <v>2.5000000000000001E-2</v>
      </c>
      <c r="AI90" s="13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4">
        <v>4.2099999999999999E-2</v>
      </c>
      <c r="AU90" s="14">
        <v>3.4500000000000003E-2</v>
      </c>
      <c r="AV90" s="14">
        <v>3.5000000000000003E-2</v>
      </c>
      <c r="AW90" s="14">
        <v>0.04</v>
      </c>
      <c r="AX90" s="14">
        <v>4.9500000000000002E-2</v>
      </c>
      <c r="AY90" s="14">
        <v>4.7399999999999998E-2</v>
      </c>
      <c r="AZ90" s="14">
        <v>3.7100000000000001E-2</v>
      </c>
      <c r="BA90" s="13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8">
        <v>4.1099999999999998E-2</v>
      </c>
      <c r="BM90" s="1"/>
      <c r="BN90" s="58">
        <v>4.9399999999999999E-2</v>
      </c>
      <c r="BO90" s="1"/>
      <c r="BP90" s="1"/>
      <c r="BQ90" s="1"/>
      <c r="BR90" s="58">
        <v>3.4299999999999997E-2</v>
      </c>
      <c r="BS90" s="13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8">
        <v>3.32E-2</v>
      </c>
      <c r="Q91" s="86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8">
        <v>2.5000000000000001E-2</v>
      </c>
      <c r="AI91" s="13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4">
        <v>0.04</v>
      </c>
      <c r="AU91" s="14">
        <v>3.49E-2</v>
      </c>
      <c r="AV91" s="14">
        <v>3.5000000000000003E-2</v>
      </c>
      <c r="AW91" s="14">
        <v>4.99E-2</v>
      </c>
      <c r="AX91" s="14">
        <v>4.9000000000000002E-2</v>
      </c>
      <c r="AY91" s="14">
        <v>4.7699999999999999E-2</v>
      </c>
      <c r="AZ91" s="14">
        <v>3.6999999999999998E-2</v>
      </c>
      <c r="BA91" s="13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8">
        <v>4.1000000000000002E-2</v>
      </c>
      <c r="BM91" s="1"/>
      <c r="BN91" s="58">
        <v>4.9299999999999997E-2</v>
      </c>
      <c r="BO91" s="1"/>
      <c r="BP91" s="1"/>
      <c r="BQ91" s="1"/>
      <c r="BR91" s="58">
        <v>3.4299999999999997E-2</v>
      </c>
      <c r="BS91" s="13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8">
        <v>3.3799999999999997E-2</v>
      </c>
      <c r="Q92" s="86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8">
        <v>2.5000000000000001E-2</v>
      </c>
      <c r="AI92" s="13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4">
        <v>0.04</v>
      </c>
      <c r="AU92" s="14">
        <v>3.49E-2</v>
      </c>
      <c r="AV92" s="14">
        <v>3.5000000000000003E-2</v>
      </c>
      <c r="AW92" s="14">
        <v>4.99E-2</v>
      </c>
      <c r="AX92" s="14">
        <v>4.9000000000000002E-2</v>
      </c>
      <c r="AY92" s="14">
        <v>4.7699999999999999E-2</v>
      </c>
      <c r="AZ92" s="14">
        <v>3.6999999999999998E-2</v>
      </c>
      <c r="BA92" s="13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8">
        <v>4.1000000000000002E-2</v>
      </c>
      <c r="BM92" s="1"/>
      <c r="BN92" s="58">
        <v>4.9299999999999997E-2</v>
      </c>
      <c r="BO92" s="1"/>
      <c r="BP92" s="1"/>
      <c r="BQ92" s="1"/>
      <c r="BR92" s="58">
        <v>3.39E-2</v>
      </c>
      <c r="BS92" s="13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8">
        <v>3.4200000000000001E-2</v>
      </c>
      <c r="Q93" s="86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8">
        <v>2.5000000000000001E-2</v>
      </c>
      <c r="AI93" s="13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4">
        <v>0.04</v>
      </c>
      <c r="AU93" s="14">
        <v>3.49E-2</v>
      </c>
      <c r="AV93" s="14">
        <v>3.5000000000000003E-2</v>
      </c>
      <c r="AW93" s="14">
        <v>4.99E-2</v>
      </c>
      <c r="AX93" s="14">
        <v>4.9000000000000002E-2</v>
      </c>
      <c r="AY93" s="14">
        <v>4.7699999999999999E-2</v>
      </c>
      <c r="AZ93" s="14">
        <v>3.6999999999999998E-2</v>
      </c>
      <c r="BA93" s="13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8">
        <v>4.1000000000000002E-2</v>
      </c>
      <c r="BM93" s="1"/>
      <c r="BN93" s="58">
        <v>4.9299999999999997E-2</v>
      </c>
      <c r="BO93" s="1"/>
      <c r="BP93" s="1"/>
      <c r="BQ93" s="1"/>
      <c r="BR93" s="58">
        <v>3.3799999999999997E-2</v>
      </c>
      <c r="BS93" s="13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8">
        <v>3.44E-2</v>
      </c>
      <c r="Q94" s="86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8">
        <v>2.5000000000000001E-2</v>
      </c>
      <c r="AI94" s="13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4">
        <v>0.04</v>
      </c>
      <c r="AU94" s="14">
        <v>3.49E-2</v>
      </c>
      <c r="AV94" s="14">
        <v>3.5000000000000003E-2</v>
      </c>
      <c r="AW94" s="14">
        <v>4.99E-2</v>
      </c>
      <c r="AX94" s="14">
        <v>4.9000000000000002E-2</v>
      </c>
      <c r="AY94" s="14">
        <v>4.7699999999999999E-2</v>
      </c>
      <c r="AZ94" s="14">
        <v>3.6999999999999998E-2</v>
      </c>
      <c r="BA94" s="13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8">
        <v>4.1599999999999998E-2</v>
      </c>
      <c r="BM94" s="1"/>
      <c r="BN94" s="58">
        <v>4.99E-2</v>
      </c>
      <c r="BO94" s="1"/>
      <c r="BP94" s="1"/>
      <c r="BQ94" s="1"/>
      <c r="BR94" s="58">
        <v>3.4099999999999998E-2</v>
      </c>
      <c r="BS94" s="13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8">
        <v>3.5499999999999997E-2</v>
      </c>
      <c r="Q95" s="86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8">
        <v>2.5000000000000001E-2</v>
      </c>
      <c r="AI95" s="13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4">
        <v>0.04</v>
      </c>
      <c r="AU95" s="14">
        <v>3.49E-2</v>
      </c>
      <c r="AV95" s="14">
        <v>3.5000000000000003E-2</v>
      </c>
      <c r="AW95" s="14">
        <v>4.99E-2</v>
      </c>
      <c r="AX95" s="14">
        <v>4.9000000000000002E-2</v>
      </c>
      <c r="AY95" s="14">
        <v>4.7699999999999999E-2</v>
      </c>
      <c r="AZ95" s="14">
        <v>3.6999999999999998E-2</v>
      </c>
      <c r="BA95" s="13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8">
        <v>4.2000000000000003E-2</v>
      </c>
      <c r="BM95" s="1"/>
      <c r="BN95" s="58">
        <v>5.2499999999999998E-2</v>
      </c>
      <c r="BO95" s="1"/>
      <c r="BP95" s="1"/>
      <c r="BQ95" s="1"/>
      <c r="BR95" s="58">
        <v>3.5900000000000001E-2</v>
      </c>
      <c r="BS95" s="13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8">
        <v>3.6799999999999999E-2</v>
      </c>
      <c r="Q96" s="86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8">
        <v>2.5000000000000001E-2</v>
      </c>
      <c r="AI96" s="13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4">
        <v>0.04</v>
      </c>
      <c r="AU96" s="14">
        <v>3.49E-2</v>
      </c>
      <c r="AV96" s="14">
        <v>3.5000000000000003E-2</v>
      </c>
      <c r="AW96" s="14">
        <v>4.99E-2</v>
      </c>
      <c r="AX96" s="14">
        <v>4.9000000000000002E-2</v>
      </c>
      <c r="AY96" s="14">
        <v>4.7699999999999999E-2</v>
      </c>
      <c r="AZ96" s="14">
        <v>3.6999999999999998E-2</v>
      </c>
      <c r="BA96" s="13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8">
        <v>4.2000000000000003E-2</v>
      </c>
      <c r="BM96" s="1"/>
      <c r="BN96" s="58">
        <v>5.2499999999999998E-2</v>
      </c>
      <c r="BO96" s="1"/>
      <c r="BP96" s="1"/>
      <c r="BQ96" s="1"/>
      <c r="BR96" s="58">
        <v>3.6999999999999998E-2</v>
      </c>
      <c r="BS96" s="13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8">
        <v>3.7499999999999999E-2</v>
      </c>
      <c r="Q97" s="86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8">
        <v>2.5000000000000001E-2</v>
      </c>
      <c r="AI97" s="13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4">
        <v>0.04</v>
      </c>
      <c r="AU97" s="14">
        <v>3.49E-2</v>
      </c>
      <c r="AV97" s="14">
        <v>3.5000000000000003E-2</v>
      </c>
      <c r="AW97" s="14">
        <v>4.99E-2</v>
      </c>
      <c r="AX97" s="14">
        <v>4.9000000000000002E-2</v>
      </c>
      <c r="AY97" s="14">
        <v>4.7699999999999999E-2</v>
      </c>
      <c r="AZ97" s="14">
        <v>3.6999999999999998E-2</v>
      </c>
      <c r="BA97" s="13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8">
        <v>4.3499999999999997E-2</v>
      </c>
      <c r="BM97" s="1"/>
      <c r="BN97" s="58">
        <v>5.5E-2</v>
      </c>
      <c r="BO97" s="1"/>
      <c r="BP97" s="1"/>
      <c r="BQ97" s="1"/>
      <c r="BR97" s="58">
        <v>3.7999999999999999E-2</v>
      </c>
      <c r="BS97" s="13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8">
        <v>3.85E-2</v>
      </c>
      <c r="Q98" s="86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8">
        <v>2.5000000000000001E-2</v>
      </c>
      <c r="AI98" s="13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4">
        <v>0.04</v>
      </c>
      <c r="AU98" s="14">
        <v>3.49E-2</v>
      </c>
      <c r="AV98" s="14">
        <v>3.5000000000000003E-2</v>
      </c>
      <c r="AW98" s="14">
        <v>4.99E-2</v>
      </c>
      <c r="AX98" s="14">
        <v>4.9000000000000002E-2</v>
      </c>
      <c r="AY98" s="14">
        <v>4.7699999999999999E-2</v>
      </c>
      <c r="AZ98" s="14">
        <v>3.6999999999999998E-2</v>
      </c>
      <c r="BA98" s="13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8">
        <v>4.3499999999999997E-2</v>
      </c>
      <c r="BM98" s="1"/>
      <c r="BN98" s="58">
        <v>5.5E-2</v>
      </c>
      <c r="BO98" s="1"/>
      <c r="BP98" s="1"/>
      <c r="BQ98" s="1"/>
      <c r="BR98" s="58">
        <v>3.8600000000000002E-2</v>
      </c>
      <c r="BS98" s="13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8">
        <v>3.8300000000000001E-2</v>
      </c>
      <c r="Q99" s="86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8">
        <v>2.5000000000000001E-2</v>
      </c>
      <c r="AI99" s="13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4">
        <v>0.04</v>
      </c>
      <c r="AU99" s="14">
        <v>3.49E-2</v>
      </c>
      <c r="AV99" s="14">
        <v>3.5000000000000003E-2</v>
      </c>
      <c r="AW99" s="14">
        <v>4.99E-2</v>
      </c>
      <c r="AX99" s="14">
        <v>4.9000000000000002E-2</v>
      </c>
      <c r="AY99" s="14">
        <v>4.7699999999999999E-2</v>
      </c>
      <c r="AZ99" s="14">
        <v>3.6999999999999998E-2</v>
      </c>
      <c r="BA99" s="13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8">
        <v>4.3499999999999997E-2</v>
      </c>
      <c r="BM99" s="1"/>
      <c r="BN99" s="58">
        <v>5.5E-2</v>
      </c>
      <c r="BO99" s="1"/>
      <c r="BP99" s="1"/>
      <c r="BQ99" s="1"/>
      <c r="BR99" s="58">
        <v>3.8199999999999998E-2</v>
      </c>
      <c r="BS99" s="13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8">
        <v>3.85E-2</v>
      </c>
      <c r="Q100" s="86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8">
        <v>2.5000000000000001E-2</v>
      </c>
      <c r="AI100" s="13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4">
        <v>0.04</v>
      </c>
      <c r="AU100" s="14">
        <v>3.49E-2</v>
      </c>
      <c r="AV100" s="14">
        <v>3.5000000000000003E-2</v>
      </c>
      <c r="AW100" s="14">
        <v>4.99E-2</v>
      </c>
      <c r="AX100" s="14">
        <v>4.9000000000000002E-2</v>
      </c>
      <c r="AY100" s="14">
        <v>4.7699999999999999E-2</v>
      </c>
      <c r="AZ100" s="14">
        <v>3.6999999999999998E-2</v>
      </c>
      <c r="BA100" s="13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8">
        <v>4.7300000000000002E-2</v>
      </c>
      <c r="BM100" s="1"/>
      <c r="BN100" s="58">
        <v>5.67E-2</v>
      </c>
      <c r="BO100" s="1"/>
      <c r="BP100" s="1"/>
      <c r="BQ100" s="1"/>
      <c r="BR100" s="58">
        <v>3.8300000000000001E-2</v>
      </c>
      <c r="BS100" s="13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8">
        <v>3.8600000000000002E-2</v>
      </c>
      <c r="Q101" s="86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8">
        <v>2.5000000000000001E-2</v>
      </c>
      <c r="AI101" s="13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4">
        <v>3.4599999999999999E-2</v>
      </c>
      <c r="AU101" s="14">
        <v>3.49E-2</v>
      </c>
      <c r="AV101" s="14">
        <v>4.99E-2</v>
      </c>
      <c r="AW101" s="14">
        <v>4.8899999999999999E-2</v>
      </c>
      <c r="AX101" s="14">
        <v>4.8899999999999999E-2</v>
      </c>
      <c r="AY101" s="14">
        <v>5.4399999999999997E-2</v>
      </c>
      <c r="AZ101" s="14">
        <v>4.2099999999999999E-2</v>
      </c>
      <c r="BA101" s="13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8">
        <v>4.7300000000000002E-2</v>
      </c>
      <c r="BM101" s="1"/>
      <c r="BN101" s="58">
        <v>5.67E-2</v>
      </c>
      <c r="BO101" s="1"/>
      <c r="BP101" s="1"/>
      <c r="BQ101" s="1"/>
      <c r="BR101" s="58">
        <v>3.95E-2</v>
      </c>
      <c r="BS101" s="13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8">
        <v>4.2500000000000003E-2</v>
      </c>
      <c r="Q102" s="86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8">
        <v>2.5000000000000001E-2</v>
      </c>
      <c r="AI102" s="13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4">
        <v>3.4500000000000003E-2</v>
      </c>
      <c r="AU102" s="14">
        <v>3.4799999999999998E-2</v>
      </c>
      <c r="AV102" s="14">
        <v>4.8899999999999999E-2</v>
      </c>
      <c r="AW102" s="14">
        <v>0.04</v>
      </c>
      <c r="AX102" s="14">
        <v>4.8800000000000003E-2</v>
      </c>
      <c r="AY102" s="14">
        <v>5.5E-2</v>
      </c>
      <c r="AZ102" s="14">
        <v>4.65E-2</v>
      </c>
      <c r="BA102" s="13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8">
        <v>5.1200000000000002E-2</v>
      </c>
      <c r="BM102" s="1"/>
      <c r="BN102" s="58">
        <v>6.1499999999999999E-2</v>
      </c>
      <c r="BO102" s="1"/>
      <c r="BP102" s="1"/>
      <c r="BQ102" s="1"/>
      <c r="BR102" s="58">
        <v>4.2700000000000002E-2</v>
      </c>
      <c r="BS102" s="13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8">
        <v>4.2999999999999997E-2</v>
      </c>
      <c r="Q103" s="86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8">
        <v>2.5000000000000001E-2</v>
      </c>
      <c r="AI103" s="13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4">
        <v>3.5000000000000003E-2</v>
      </c>
      <c r="AU103" s="14">
        <v>3.49E-2</v>
      </c>
      <c r="AV103" s="14">
        <v>4.8800000000000003E-2</v>
      </c>
      <c r="AW103" s="14">
        <v>0.04</v>
      </c>
      <c r="AX103" s="14">
        <v>4.8000000000000001E-2</v>
      </c>
      <c r="AY103" s="14">
        <v>5.8999999999999997E-2</v>
      </c>
      <c r="AZ103" s="14">
        <v>4.6899999999999997E-2</v>
      </c>
      <c r="BA103" s="13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8">
        <v>5.28E-2</v>
      </c>
      <c r="BM103" s="1"/>
      <c r="BN103" s="58">
        <v>6.3299999999999995E-2</v>
      </c>
      <c r="BO103" s="1"/>
      <c r="BP103" s="1"/>
      <c r="BQ103" s="1"/>
      <c r="BR103" s="58">
        <v>4.41E-2</v>
      </c>
      <c r="BS103" s="13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8">
        <v>4.36E-2</v>
      </c>
      <c r="Q104" s="86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8">
        <v>2.5000000000000001E-2</v>
      </c>
      <c r="AI104" s="13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4">
        <v>3.95E-2</v>
      </c>
      <c r="AU104" s="14">
        <v>3.49E-2</v>
      </c>
      <c r="AV104" s="14">
        <v>4.87E-2</v>
      </c>
      <c r="AW104" s="14">
        <v>0.04</v>
      </c>
      <c r="AX104" s="14">
        <v>4.7E-2</v>
      </c>
      <c r="AY104" s="14">
        <v>5.9200000000000003E-2</v>
      </c>
      <c r="AZ104" s="14">
        <v>4.9099999999999998E-2</v>
      </c>
      <c r="BA104" s="13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8">
        <v>5.5800000000000002E-2</v>
      </c>
      <c r="BM104" s="1"/>
      <c r="BN104" s="58">
        <v>6.6900000000000001E-2</v>
      </c>
      <c r="BO104" s="1"/>
      <c r="BP104" s="1"/>
      <c r="BQ104" s="1"/>
      <c r="BR104" s="58">
        <v>4.65E-2</v>
      </c>
      <c r="BS104" s="13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8">
        <v>3.8699999999999998E-2</v>
      </c>
      <c r="Q105" s="86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8">
        <v>2.5000000000000001E-2</v>
      </c>
      <c r="AI105" s="13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4">
        <v>3.7499999999999999E-2</v>
      </c>
      <c r="AU105" s="14">
        <v>3.7999999999999999E-2</v>
      </c>
      <c r="AV105" s="14">
        <v>4.4999999999999998E-2</v>
      </c>
      <c r="AW105" s="14">
        <v>0.04</v>
      </c>
      <c r="AX105" s="14">
        <v>4.7E-2</v>
      </c>
      <c r="AY105" s="14">
        <v>5.9900000000000002E-2</v>
      </c>
      <c r="AZ105" s="14">
        <v>4.41E-2</v>
      </c>
      <c r="BA105" s="13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8">
        <v>4.8599999999999997E-2</v>
      </c>
      <c r="BM105" s="1"/>
      <c r="BN105" s="58">
        <v>5.8299999999999998E-2</v>
      </c>
      <c r="BO105" s="1"/>
      <c r="BP105" s="1"/>
      <c r="BQ105" s="1"/>
      <c r="BR105" s="58">
        <v>4.0500000000000001E-2</v>
      </c>
      <c r="BS105" s="13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8">
        <v>3.6400000000000002E-2</v>
      </c>
      <c r="Q106" s="86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8">
        <v>2.5000000000000001E-2</v>
      </c>
      <c r="AI106" s="13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4">
        <v>0.04</v>
      </c>
      <c r="AU106" s="14">
        <v>3.9E-2</v>
      </c>
      <c r="AV106" s="14">
        <v>4.2999999999999997E-2</v>
      </c>
      <c r="AW106" s="14">
        <v>0.04</v>
      </c>
      <c r="AX106" s="14">
        <v>4.4900000000000002E-2</v>
      </c>
      <c r="AY106" s="14">
        <v>4.4999999999999998E-2</v>
      </c>
      <c r="AZ106" s="14">
        <v>4.0399999999999998E-2</v>
      </c>
      <c r="BA106" s="13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8">
        <v>4.4200000000000003E-2</v>
      </c>
      <c r="BM106" s="1"/>
      <c r="BN106" s="58">
        <v>5.2999999999999999E-2</v>
      </c>
      <c r="BO106" s="1"/>
      <c r="BP106" s="1"/>
      <c r="BQ106" s="1"/>
      <c r="BR106" s="58">
        <v>3.8199999999999998E-2</v>
      </c>
      <c r="BS106" s="13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8">
        <v>3.6299999999999999E-2</v>
      </c>
      <c r="Q107" s="86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8">
        <v>2.5000000000000001E-2</v>
      </c>
      <c r="AI107" s="13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4">
        <v>0.04</v>
      </c>
      <c r="AU107" s="14">
        <v>3.9E-2</v>
      </c>
      <c r="AV107" s="14">
        <v>4.2999999999999997E-2</v>
      </c>
      <c r="AW107" s="14">
        <v>0.04</v>
      </c>
      <c r="AX107" s="14">
        <v>4.4900000000000002E-2</v>
      </c>
      <c r="AY107" s="14">
        <v>4.4999999999999998E-2</v>
      </c>
      <c r="AZ107" s="14">
        <v>4.0399999999999998E-2</v>
      </c>
      <c r="BA107" s="13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8">
        <v>4.4200000000000003E-2</v>
      </c>
      <c r="BM107" s="1"/>
      <c r="BN107" s="58">
        <v>5.2999999999999999E-2</v>
      </c>
      <c r="BO107" s="1"/>
      <c r="BP107" s="1"/>
      <c r="BQ107" s="1"/>
      <c r="BR107" s="58">
        <v>3.7199999999999997E-2</v>
      </c>
      <c r="BS107" s="13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8">
        <v>3.6400000000000002E-2</v>
      </c>
      <c r="Q108" s="86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8">
        <v>2.5000000000000001E-2</v>
      </c>
      <c r="AI108" s="13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4">
        <v>0.04</v>
      </c>
      <c r="AU108" s="14">
        <v>3.9E-2</v>
      </c>
      <c r="AV108" s="14">
        <v>4.2999999999999997E-2</v>
      </c>
      <c r="AW108" s="14">
        <v>0.04</v>
      </c>
      <c r="AX108" s="14">
        <v>4.4900000000000002E-2</v>
      </c>
      <c r="AY108" s="14">
        <v>4.4999999999999998E-2</v>
      </c>
      <c r="AZ108" s="14">
        <v>4.0399999999999998E-2</v>
      </c>
      <c r="BA108" s="13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8">
        <v>4.4200000000000003E-2</v>
      </c>
      <c r="BM108" s="1"/>
      <c r="BN108" s="58">
        <v>5.2999999999999999E-2</v>
      </c>
      <c r="BO108" s="1"/>
      <c r="BP108" s="1"/>
      <c r="BQ108" s="1"/>
      <c r="BR108" s="58">
        <v>3.6799999999999999E-2</v>
      </c>
      <c r="BS108" s="13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/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8"/>
      <c r="Q109" s="86">
        <f t="shared" si="8"/>
        <v>0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/>
      <c r="Y109" s="3" t="s">
        <v>33</v>
      </c>
      <c r="Z109" s="6"/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8"/>
      <c r="AI109" s="13"/>
      <c r="AK109" s="4">
        <v>46182</v>
      </c>
      <c r="AL109" s="3"/>
      <c r="AM109" s="3"/>
      <c r="AN109" s="3"/>
      <c r="AO109" s="3"/>
      <c r="AP109" s="3"/>
      <c r="AQ109" s="6"/>
      <c r="AR109" s="6"/>
      <c r="AS109" s="2">
        <v>46182</v>
      </c>
      <c r="AT109" s="14"/>
      <c r="AU109" s="14"/>
      <c r="AV109" s="14"/>
      <c r="AW109" s="14"/>
      <c r="AX109" s="14"/>
      <c r="AY109" s="14"/>
      <c r="AZ109" s="14"/>
      <c r="BA109" s="13"/>
      <c r="BC109" s="4">
        <v>46182</v>
      </c>
      <c r="BD109" s="6"/>
      <c r="BE109" s="6"/>
      <c r="BF109" s="6"/>
      <c r="BG109" s="3"/>
      <c r="BH109" s="3"/>
      <c r="BI109" s="3"/>
      <c r="BJ109" s="6"/>
      <c r="BK109" s="2">
        <v>46182</v>
      </c>
      <c r="BL109" s="58"/>
      <c r="BM109" s="1"/>
      <c r="BN109" s="58"/>
      <c r="BO109" s="1"/>
      <c r="BP109" s="1"/>
      <c r="BQ109" s="1"/>
      <c r="BR109" s="58"/>
      <c r="BS109" s="13"/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/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8"/>
      <c r="Q110" s="86">
        <f t="shared" si="8"/>
        <v>0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/>
      <c r="Y110" s="3" t="s">
        <v>33</v>
      </c>
      <c r="Z110" s="6"/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8"/>
      <c r="AI110" s="13"/>
      <c r="AK110" s="4">
        <v>46183</v>
      </c>
      <c r="AL110" s="3"/>
      <c r="AM110" s="3"/>
      <c r="AN110" s="3"/>
      <c r="AO110" s="3"/>
      <c r="AP110" s="3"/>
      <c r="AQ110" s="6"/>
      <c r="AR110" s="6"/>
      <c r="AS110" s="2">
        <v>46183</v>
      </c>
      <c r="AT110" s="14"/>
      <c r="AU110" s="14"/>
      <c r="AV110" s="14"/>
      <c r="AW110" s="14"/>
      <c r="AX110" s="14"/>
      <c r="AY110" s="14"/>
      <c r="AZ110" s="14"/>
      <c r="BA110" s="13"/>
      <c r="BC110" s="4">
        <v>46183</v>
      </c>
      <c r="BD110" s="6"/>
      <c r="BE110" s="6"/>
      <c r="BF110" s="6"/>
      <c r="BG110" s="3"/>
      <c r="BH110" s="3"/>
      <c r="BI110" s="3"/>
      <c r="BJ110" s="6"/>
      <c r="BK110" s="2">
        <v>46183</v>
      </c>
      <c r="BL110" s="58"/>
      <c r="BM110" s="1"/>
      <c r="BN110" s="58"/>
      <c r="BO110" s="1"/>
      <c r="BP110" s="1"/>
      <c r="BQ110" s="1"/>
      <c r="BR110" s="58"/>
      <c r="BS110" s="13"/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/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8"/>
      <c r="Q111" s="86">
        <f t="shared" si="8"/>
        <v>0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/>
      <c r="Y111" s="3" t="s">
        <v>33</v>
      </c>
      <c r="Z111" s="6"/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8"/>
      <c r="AI111" s="13"/>
      <c r="AK111" s="4">
        <v>46184</v>
      </c>
      <c r="AL111" s="3"/>
      <c r="AM111" s="3"/>
      <c r="AN111" s="3"/>
      <c r="AO111" s="3"/>
      <c r="AP111" s="3"/>
      <c r="AQ111" s="6"/>
      <c r="AR111" s="6"/>
      <c r="AS111" s="2">
        <v>46184</v>
      </c>
      <c r="AT111" s="14"/>
      <c r="AU111" s="14"/>
      <c r="AV111" s="14"/>
      <c r="AW111" s="14"/>
      <c r="AX111" s="14"/>
      <c r="AY111" s="14"/>
      <c r="AZ111" s="14"/>
      <c r="BA111" s="13"/>
      <c r="BC111" s="4">
        <v>46184</v>
      </c>
      <c r="BD111" s="6"/>
      <c r="BE111" s="6"/>
      <c r="BF111" s="6"/>
      <c r="BG111" s="3"/>
      <c r="BH111" s="3"/>
      <c r="BI111" s="3"/>
      <c r="BJ111" s="6"/>
      <c r="BK111" s="2">
        <v>46184</v>
      </c>
      <c r="BL111" s="58"/>
      <c r="BM111" s="1"/>
      <c r="BN111" s="58"/>
      <c r="BO111" s="1"/>
      <c r="BP111" s="1"/>
      <c r="BQ111" s="1"/>
      <c r="BR111" s="58"/>
      <c r="BS111" s="13"/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/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8"/>
      <c r="Q112" s="86">
        <f t="shared" si="8"/>
        <v>0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/>
      <c r="Y112" s="3" t="s">
        <v>33</v>
      </c>
      <c r="Z112" s="6"/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8"/>
      <c r="AI112" s="13"/>
      <c r="AK112" s="4">
        <v>46185</v>
      </c>
      <c r="AL112" s="3"/>
      <c r="AM112" s="3"/>
      <c r="AN112" s="3"/>
      <c r="AO112" s="3"/>
      <c r="AP112" s="3"/>
      <c r="AQ112" s="6"/>
      <c r="AR112" s="6"/>
      <c r="AS112" s="2">
        <v>46185</v>
      </c>
      <c r="AT112" s="14"/>
      <c r="AU112" s="14"/>
      <c r="AV112" s="14"/>
      <c r="AW112" s="14"/>
      <c r="AX112" s="14"/>
      <c r="AY112" s="14"/>
      <c r="AZ112" s="14"/>
      <c r="BA112" s="13"/>
      <c r="BC112" s="4">
        <v>46185</v>
      </c>
      <c r="BD112" s="6"/>
      <c r="BE112" s="6"/>
      <c r="BF112" s="6"/>
      <c r="BG112" s="3"/>
      <c r="BH112" s="3"/>
      <c r="BI112" s="3"/>
      <c r="BJ112" s="6"/>
      <c r="BK112" s="2">
        <v>46185</v>
      </c>
      <c r="BL112" s="58"/>
      <c r="BM112" s="1"/>
      <c r="BN112" s="58"/>
      <c r="BO112" s="1"/>
      <c r="BP112" s="1"/>
      <c r="BQ112" s="1"/>
      <c r="BR112" s="58"/>
      <c r="BS112" s="13"/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/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8"/>
      <c r="Q113" s="86">
        <f t="shared" si="8"/>
        <v>0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/>
      <c r="Y113" s="3" t="s">
        <v>33</v>
      </c>
      <c r="Z113" s="6"/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8"/>
      <c r="AI113" s="13"/>
      <c r="AK113" s="4">
        <v>46186</v>
      </c>
      <c r="AL113" s="3"/>
      <c r="AM113" s="3"/>
      <c r="AN113" s="3"/>
      <c r="AO113" s="3"/>
      <c r="AP113" s="3"/>
      <c r="AQ113" s="6"/>
      <c r="AR113" s="6"/>
      <c r="AS113" s="2">
        <v>46186</v>
      </c>
      <c r="AT113" s="14"/>
      <c r="AU113" s="14"/>
      <c r="AV113" s="14"/>
      <c r="AW113" s="14"/>
      <c r="AX113" s="14"/>
      <c r="AY113" s="14"/>
      <c r="AZ113" s="14"/>
      <c r="BA113" s="13"/>
      <c r="BC113" s="4">
        <v>46186</v>
      </c>
      <c r="BD113" s="6"/>
      <c r="BE113" s="6"/>
      <c r="BF113" s="6"/>
      <c r="BG113" s="3"/>
      <c r="BH113" s="3"/>
      <c r="BI113" s="3"/>
      <c r="BJ113" s="6"/>
      <c r="BK113" s="2">
        <v>46186</v>
      </c>
      <c r="BL113" s="58"/>
      <c r="BM113" s="1"/>
      <c r="BN113" s="58"/>
      <c r="BO113" s="1"/>
      <c r="BP113" s="1"/>
      <c r="BQ113" s="1"/>
      <c r="BR113" s="58"/>
      <c r="BS113" s="13"/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/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8"/>
      <c r="Q114" s="86">
        <f t="shared" si="8"/>
        <v>0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/>
      <c r="Y114" s="3" t="s">
        <v>33</v>
      </c>
      <c r="Z114" s="6"/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8"/>
      <c r="AI114" s="13"/>
      <c r="AK114" s="4">
        <v>46187</v>
      </c>
      <c r="AL114" s="3"/>
      <c r="AM114" s="3"/>
      <c r="AN114" s="3"/>
      <c r="AO114" s="3"/>
      <c r="AP114" s="3"/>
      <c r="AQ114" s="6"/>
      <c r="AR114" s="6"/>
      <c r="AS114" s="2">
        <v>46187</v>
      </c>
      <c r="AT114" s="14"/>
      <c r="AU114" s="14"/>
      <c r="AV114" s="14"/>
      <c r="AW114" s="14"/>
      <c r="AX114" s="14"/>
      <c r="AY114" s="14"/>
      <c r="AZ114" s="14"/>
      <c r="BA114" s="13"/>
      <c r="BC114" s="4">
        <v>46187</v>
      </c>
      <c r="BD114" s="6"/>
      <c r="BE114" s="6"/>
      <c r="BF114" s="6"/>
      <c r="BG114" s="3"/>
      <c r="BH114" s="3"/>
      <c r="BI114" s="3"/>
      <c r="BJ114" s="6"/>
      <c r="BK114" s="2">
        <v>46187</v>
      </c>
      <c r="BL114" s="58"/>
      <c r="BM114" s="1"/>
      <c r="BN114" s="58"/>
      <c r="BO114" s="1"/>
      <c r="BP114" s="1"/>
      <c r="BQ114" s="1"/>
      <c r="BR114" s="58"/>
      <c r="BS114" s="13"/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/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8"/>
      <c r="Q115" s="86">
        <f t="shared" si="8"/>
        <v>0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/>
      <c r="Y115" s="3" t="s">
        <v>33</v>
      </c>
      <c r="Z115" s="6"/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8"/>
      <c r="AI115" s="13"/>
      <c r="AK115" s="4">
        <v>46188</v>
      </c>
      <c r="AL115" s="3"/>
      <c r="AM115" s="3"/>
      <c r="AN115" s="3"/>
      <c r="AO115" s="3"/>
      <c r="AP115" s="3"/>
      <c r="AQ115" s="6"/>
      <c r="AR115" s="6"/>
      <c r="AS115" s="2">
        <v>46188</v>
      </c>
      <c r="AT115" s="14"/>
      <c r="AU115" s="14"/>
      <c r="AV115" s="14"/>
      <c r="AW115" s="14"/>
      <c r="AX115" s="14"/>
      <c r="AY115" s="14"/>
      <c r="AZ115" s="14"/>
      <c r="BA115" s="13"/>
      <c r="BC115" s="4">
        <v>46188</v>
      </c>
      <c r="BD115" s="6"/>
      <c r="BE115" s="6"/>
      <c r="BF115" s="6"/>
      <c r="BG115" s="3"/>
      <c r="BH115" s="3"/>
      <c r="BI115" s="3"/>
      <c r="BJ115" s="6"/>
      <c r="BK115" s="2">
        <v>46188</v>
      </c>
      <c r="BL115" s="58"/>
      <c r="BM115" s="1"/>
      <c r="BN115" s="58"/>
      <c r="BO115" s="1"/>
      <c r="BP115" s="1"/>
      <c r="BQ115" s="1"/>
      <c r="BR115" s="58"/>
      <c r="BS115" s="13"/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/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8"/>
      <c r="Q116" s="86">
        <f t="shared" si="8"/>
        <v>0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/>
      <c r="Y116" s="3" t="s">
        <v>33</v>
      </c>
      <c r="Z116" s="6"/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8"/>
      <c r="AI116" s="13"/>
      <c r="AK116" s="4">
        <v>46189</v>
      </c>
      <c r="AL116" s="3"/>
      <c r="AM116" s="3"/>
      <c r="AN116" s="3"/>
      <c r="AO116" s="3"/>
      <c r="AP116" s="3"/>
      <c r="AQ116" s="6"/>
      <c r="AR116" s="6"/>
      <c r="AS116" s="2">
        <v>46189</v>
      </c>
      <c r="AT116" s="14"/>
      <c r="AU116" s="14"/>
      <c r="AV116" s="14"/>
      <c r="AW116" s="14"/>
      <c r="AX116" s="14"/>
      <c r="AY116" s="14"/>
      <c r="AZ116" s="14"/>
      <c r="BA116" s="13"/>
      <c r="BC116" s="4">
        <v>46189</v>
      </c>
      <c r="BD116" s="6"/>
      <c r="BE116" s="6"/>
      <c r="BF116" s="6"/>
      <c r="BG116" s="3"/>
      <c r="BH116" s="3"/>
      <c r="BI116" s="3"/>
      <c r="BJ116" s="6"/>
      <c r="BK116" s="2">
        <v>46189</v>
      </c>
      <c r="BL116" s="58"/>
      <c r="BM116" s="1"/>
      <c r="BN116" s="58"/>
      <c r="BO116" s="1"/>
      <c r="BP116" s="1"/>
      <c r="BQ116" s="1"/>
      <c r="BR116" s="58"/>
      <c r="BS116" s="13"/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/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8"/>
      <c r="Q117" s="86">
        <f t="shared" si="8"/>
        <v>0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/>
      <c r="Y117" s="3" t="s">
        <v>33</v>
      </c>
      <c r="Z117" s="6"/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8"/>
      <c r="AI117" s="13"/>
      <c r="AK117" s="4">
        <v>46190</v>
      </c>
      <c r="AL117" s="3"/>
      <c r="AM117" s="3"/>
      <c r="AN117" s="3"/>
      <c r="AO117" s="3"/>
      <c r="AP117" s="3"/>
      <c r="AQ117" s="6"/>
      <c r="AR117" s="6"/>
      <c r="AS117" s="2">
        <v>46190</v>
      </c>
      <c r="AT117" s="14"/>
      <c r="AU117" s="14"/>
      <c r="AV117" s="14"/>
      <c r="AW117" s="14"/>
      <c r="AX117" s="14"/>
      <c r="AY117" s="14"/>
      <c r="AZ117" s="14"/>
      <c r="BA117" s="13"/>
      <c r="BC117" s="4">
        <v>46190</v>
      </c>
      <c r="BD117" s="6"/>
      <c r="BE117" s="6"/>
      <c r="BF117" s="6"/>
      <c r="BG117" s="3"/>
      <c r="BH117" s="3"/>
      <c r="BI117" s="3"/>
      <c r="BJ117" s="6"/>
      <c r="BK117" s="2">
        <v>46190</v>
      </c>
      <c r="BL117" s="58"/>
      <c r="BM117" s="1"/>
      <c r="BN117" s="58"/>
      <c r="BO117" s="1"/>
      <c r="BP117" s="1"/>
      <c r="BQ117" s="1"/>
      <c r="BR117" s="58"/>
      <c r="BS117" s="13"/>
    </row>
    <row r="1048576" spans="42:42" x14ac:dyDescent="0.35"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7" t="s">
        <v>44</v>
      </c>
      <c r="C1" s="97"/>
      <c r="D1" s="97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632812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9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6328125" style="24" customWidth="1"/>
    <col min="33" max="34" width="8.7265625" style="24"/>
    <col min="35" max="35" width="10.089843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632812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90625" bestFit="1" customWidth="1"/>
    <col min="82" max="82" width="8.90625" bestFit="1" customWidth="1"/>
    <col min="89" max="89" width="9.26953125" bestFit="1" customWidth="1"/>
    <col min="91" max="91" width="8.90625" bestFit="1" customWidth="1"/>
    <col min="100" max="100" width="9.90625" bestFit="1" customWidth="1"/>
    <col min="109" max="109" width="9.9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632812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7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632812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78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6328125" customWidth="1"/>
    <col min="10" max="10" width="23.6328125" hidden="1" customWidth="1"/>
    <col min="1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77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76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75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74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73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72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6328125" defaultRowHeight="23" customHeight="1" x14ac:dyDescent="0.35"/>
  <cols>
    <col min="10" max="10" width="0" hidden="1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71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70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69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68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67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66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65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64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63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62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61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60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59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58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" customHeight="1" x14ac:dyDescent="0.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2.6700000000000002E-2</v>
      </c>
      <c r="D3" s="55">
        <v>2.75E-2</v>
      </c>
      <c r="E3" s="55">
        <v>4.3900000000000002E-2</v>
      </c>
      <c r="F3" s="55">
        <v>5.1700000000000003E-2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Data'!AR76</f>
        <v>2.3899999999999998E-2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Data'!Z76</f>
        <v>1.2000000000000002E-2</v>
      </c>
    </row>
    <row r="5" spans="1:11" ht="23" customHeight="1" x14ac:dyDescent="0.5">
      <c r="A5" s="51" t="s">
        <v>17</v>
      </c>
      <c r="B5" s="56">
        <v>3.56E-2</v>
      </c>
      <c r="C5" s="56">
        <f t="shared" ref="C5:G5" si="2">((1+$I5)^(C2/365)-1)*365/C2</f>
        <v>2.97157135659997E-2</v>
      </c>
      <c r="D5" s="56">
        <v>5.5100000000000003E-2</v>
      </c>
      <c r="E5" s="56">
        <f t="shared" si="2"/>
        <v>2.9771404489047876E-2</v>
      </c>
      <c r="F5" s="56">
        <f t="shared" si="2"/>
        <v>2.9807799622090583E-2</v>
      </c>
      <c r="G5" s="56">
        <f t="shared" si="2"/>
        <v>2.991734132434765E-2</v>
      </c>
      <c r="H5" s="53">
        <v>2.9700000000000001E-2</v>
      </c>
      <c r="I5" s="74">
        <f t="shared" si="1"/>
        <v>3.0144199258958837E-2</v>
      </c>
      <c r="J5" s="75"/>
      <c r="K5" s="68">
        <f>H5-'Daily Data'!BJ76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2.7799999999999998E-2</v>
      </c>
      <c r="C7" s="52">
        <f t="shared" ref="C7:G7" si="4">((1+$I7)^(C2/365)-1)*365/C2</f>
        <v>2.6512509454446293E-2</v>
      </c>
      <c r="D7" s="52">
        <v>2.92E-2</v>
      </c>
      <c r="E7" s="52">
        <f t="shared" si="4"/>
        <v>2.6556836941645196E-2</v>
      </c>
      <c r="F7" s="52">
        <f t="shared" si="4"/>
        <v>2.6585799405461893E-2</v>
      </c>
      <c r="G7" s="52">
        <f t="shared" si="4"/>
        <v>2.6672939714643285E-2</v>
      </c>
      <c r="H7" s="53">
        <v>2.6499999999999999E-2</v>
      </c>
      <c r="I7" s="74">
        <f t="shared" si="1"/>
        <v>2.6853259490220882E-2</v>
      </c>
      <c r="J7" s="75"/>
      <c r="K7" s="68">
        <f>H7-1.01%</f>
        <v>1.6399999999999998E-2</v>
      </c>
    </row>
    <row r="8" spans="1:11" ht="23" customHeight="1" x14ac:dyDescent="0.4">
      <c r="A8" s="51" t="s">
        <v>62</v>
      </c>
      <c r="B8" s="52">
        <f>((1+$I8)^(B2/365)-1)*365/B2</f>
        <v>2.9307057026300192E-2</v>
      </c>
      <c r="C8" s="52">
        <f t="shared" ref="C8:G8" si="5">((1+$I8)^(C2/365)-1)*365/C2</f>
        <v>2.9315293088140817E-2</v>
      </c>
      <c r="D8" s="52">
        <f t="shared" si="5"/>
        <v>2.9334129962939159E-2</v>
      </c>
      <c r="E8" s="52">
        <f t="shared" si="5"/>
        <v>2.9369492614198467E-2</v>
      </c>
      <c r="F8" s="52">
        <f t="shared" si="5"/>
        <v>2.940491210560266E-2</v>
      </c>
      <c r="G8" s="52">
        <f t="shared" si="5"/>
        <v>2.9511512649485608E-2</v>
      </c>
      <c r="H8" s="53">
        <v>2.93E-2</v>
      </c>
      <c r="I8" s="74">
        <f t="shared" si="1"/>
        <v>2.9732257267065743E-2</v>
      </c>
      <c r="J8" s="75"/>
      <c r="K8" s="68">
        <f>H8-'Daily Data'!H76</f>
        <v>0.02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3.3500000000000002E-2</v>
      </c>
      <c r="I3" s="74">
        <f>(1+H3/365)^365-1</f>
        <v>3.4065854123153105E-2</v>
      </c>
      <c r="J3" s="75"/>
      <c r="K3" s="68">
        <f>H3-'Daily Data'!AR77</f>
        <v>2.4900000000000002E-2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Data'!Z77</f>
        <v>1.1600000000000001E-2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2.9815819576702873E-2</v>
      </c>
      <c r="D5" s="56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Data'!BJ77</f>
        <v>2.07E-2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4">
        <f t="shared" si="1"/>
        <v>3.1484146077251696E-2</v>
      </c>
      <c r="J8" s="75"/>
      <c r="K8" s="68">
        <f>H8-'Daily Data'!H77</f>
        <v>2.1400000000000002E-2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3.4000000000000002E-2</v>
      </c>
      <c r="I3" s="74">
        <f>(1+H3/365)^365-1</f>
        <v>3.4582968502674616E-2</v>
      </c>
      <c r="J3" s="75"/>
      <c r="K3" s="68">
        <f>H3-'Daily Data'!AR78</f>
        <v>2.5000000000000001E-2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Data'!Z78</f>
        <v>1.1500000000000002E-2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3.0816899292500168E-2</v>
      </c>
      <c r="D5" s="56">
        <v>5.5100000000000003E-2</v>
      </c>
      <c r="E5" s="56">
        <f t="shared" si="2"/>
        <v>3.087679613673544E-2</v>
      </c>
      <c r="F5" s="56">
        <f t="shared" si="2"/>
        <v>3.0915942913661267E-2</v>
      </c>
      <c r="G5" s="56">
        <f t="shared" si="2"/>
        <v>3.1033780718266069E-2</v>
      </c>
      <c r="H5" s="53">
        <v>3.0800000000000001E-2</v>
      </c>
      <c r="I5" s="74">
        <f t="shared" si="1"/>
        <v>3.127788733589032E-2</v>
      </c>
      <c r="J5" s="75"/>
      <c r="K5" s="68">
        <f>H5-'Daily Data'!BJ78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Data'!H78</f>
        <v>2.3199999999999998E-2</v>
      </c>
    </row>
    <row r="9" spans="1:11" ht="23" customHeight="1" x14ac:dyDescent="0.5">
      <c r="A9" s="51" t="s">
        <v>61</v>
      </c>
      <c r="B9" s="56">
        <f>((1+$H9)^(B2/365)-1)*365/B2</f>
        <v>3.0635189475697006E-2</v>
      </c>
      <c r="C9" s="56">
        <f t="shared" ref="C9:G9" si="6">((1+$H9)^(C2/365)-1)*365/C2</f>
        <v>3.0644188933007483E-2</v>
      </c>
      <c r="D9" s="56">
        <f t="shared" si="6"/>
        <v>3.06647723601375E-2</v>
      </c>
      <c r="E9" s="56">
        <f t="shared" si="6"/>
        <v>3.0703415987420896E-2</v>
      </c>
      <c r="F9" s="56">
        <f t="shared" si="6"/>
        <v>3.0742124546103724E-2</v>
      </c>
      <c r="G9" s="56">
        <f t="shared" si="6"/>
        <v>3.0858641039178882E-2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3.4500000000000003E-2</v>
      </c>
      <c r="I3" s="74">
        <f>(1+H3/365)^365-1</f>
        <v>3.5100340771234473E-2</v>
      </c>
      <c r="J3" s="75"/>
      <c r="K3" s="68">
        <f>H3-'Daily Data'!AR79</f>
        <v>2.5300000000000003E-2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Data'!Z79</f>
        <v>1.0900000000000002E-2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3.1117230159457634E-2</v>
      </c>
      <c r="D5" s="56">
        <v>5.5100000000000003E-2</v>
      </c>
      <c r="E5" s="56">
        <f t="shared" si="2"/>
        <v>3.1178300696434385E-2</v>
      </c>
      <c r="F5" s="56">
        <f t="shared" si="2"/>
        <v>3.1218215395197819E-2</v>
      </c>
      <c r="G5" s="56">
        <f t="shared" si="2"/>
        <v>3.1338368720569248E-2</v>
      </c>
      <c r="H5" s="53">
        <v>3.1099999999999999E-2</v>
      </c>
      <c r="I5" s="74">
        <f t="shared" si="1"/>
        <v>3.1587290874597329E-2</v>
      </c>
      <c r="J5" s="75"/>
      <c r="K5" s="68">
        <f>H5-'Daily Data'!BJ79</f>
        <v>2.0899999999999998E-2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3.7725321103891055E-2</v>
      </c>
      <c r="D6" s="52">
        <v>0.06</v>
      </c>
      <c r="E6" s="52">
        <f t="shared" si="3"/>
        <v>3.7815101107635661E-2</v>
      </c>
      <c r="F6" s="52">
        <f t="shared" si="3"/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Data'!H79</f>
        <v>2.3300000000000001E-2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3.6900000000000002E-2</v>
      </c>
      <c r="I3" s="74">
        <f>(1+H3/365)^365-1</f>
        <v>3.7587321525166306E-2</v>
      </c>
      <c r="J3" s="75"/>
      <c r="K3" s="68">
        <f>H3-'Daily Data'!AR80</f>
        <v>2.5800000000000003E-2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'11.05.2026'!H4-'Daily Data'!Z80</f>
        <v>1.0900000000000002E-2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3.3920472988498589E-2</v>
      </c>
      <c r="D5" s="56">
        <v>5.5100000000000003E-2</v>
      </c>
      <c r="E5" s="56">
        <f t="shared" si="2"/>
        <v>3.3993048356382727E-2</v>
      </c>
      <c r="F5" s="56">
        <f t="shared" si="2"/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Data'!BJ80</f>
        <v>2.2800000000000001E-2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Data'!H80</f>
        <v>2.3300000000000001E-2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2.5999999999999999E-2</v>
      </c>
      <c r="C3" s="55">
        <v>3.1E-2</v>
      </c>
      <c r="D3" s="55">
        <v>0.04</v>
      </c>
      <c r="E3" s="55">
        <v>4.1500000000000002E-2</v>
      </c>
      <c r="F3" s="55">
        <v>4.1000000000000002E-2</v>
      </c>
      <c r="G3" s="55">
        <v>4.2599999999999999E-2</v>
      </c>
      <c r="H3" s="53">
        <v>3.61E-2</v>
      </c>
      <c r="I3" s="74">
        <f>(1+H3/365)^365-1</f>
        <v>3.6757666539783518E-2</v>
      </c>
      <c r="J3" s="75"/>
      <c r="K3" s="68">
        <f>H3-'Daily Data'!AR81</f>
        <v>2.58E-2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Data'!Z81</f>
        <v>1.0900000000000002E-2</v>
      </c>
    </row>
    <row r="5" spans="1:11" ht="23" customHeight="1" x14ac:dyDescent="0.5">
      <c r="A5" s="51" t="s">
        <v>17</v>
      </c>
      <c r="B5" s="56">
        <v>4.0399999999999998E-2</v>
      </c>
      <c r="C5" s="56">
        <f t="shared" ref="C5:G5" si="2">((1+$I5)^(C2/365)-1)*365/C2</f>
        <v>3.3219636075024761E-2</v>
      </c>
      <c r="D5" s="56">
        <v>5.5100000000000003E-2</v>
      </c>
      <c r="E5" s="56">
        <f t="shared" si="2"/>
        <v>3.3289242013672393E-2</v>
      </c>
      <c r="F5" s="56">
        <f t="shared" si="2"/>
        <v>3.3334741945595443E-2</v>
      </c>
      <c r="G5" s="56">
        <f t="shared" si="2"/>
        <v>3.3471739824844977E-2</v>
      </c>
      <c r="H5" s="53">
        <v>3.32E-2</v>
      </c>
      <c r="I5" s="74">
        <f t="shared" si="1"/>
        <v>3.3755709228882935E-2</v>
      </c>
      <c r="J5" s="75"/>
      <c r="K5" s="68">
        <f>H5-'Daily Data'!BJ81</f>
        <v>2.1999999999999999E-2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'12.05.2026'!H6-2.3%</f>
        <v>1.0700000000000001E-2</v>
      </c>
    </row>
    <row r="7" spans="1:11" ht="23" customHeight="1" x14ac:dyDescent="0.4">
      <c r="A7" s="51" t="s">
        <v>52</v>
      </c>
      <c r="B7" s="52">
        <v>3.2199999999999999E-2</v>
      </c>
      <c r="C7" s="52">
        <f t="shared" ref="C7:G7" si="4">((1+$I7)^(C2/365)-1)*365/C2</f>
        <v>3.0616680497176203E-2</v>
      </c>
      <c r="D7" s="52">
        <v>3.3700000000000001E-2</v>
      </c>
      <c r="E7" s="52">
        <f t="shared" si="4"/>
        <v>3.0675801218832937E-2</v>
      </c>
      <c r="F7" s="52">
        <f t="shared" si="4"/>
        <v>3.071444020872649E-2</v>
      </c>
      <c r="G7" s="52">
        <f t="shared" si="4"/>
        <v>3.0830746942096931E-2</v>
      </c>
      <c r="H7" s="53">
        <v>3.0599999999999999E-2</v>
      </c>
      <c r="I7" s="74">
        <f t="shared" si="1"/>
        <v>3.1071669725747597E-2</v>
      </c>
      <c r="J7" s="75"/>
      <c r="K7" s="68">
        <f>H7-1.06%</f>
        <v>1.9999999999999997E-2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Data'!H81</f>
        <v>2.1400000000000002E-2</v>
      </c>
    </row>
    <row r="9" spans="1:11" ht="23" customHeight="1" x14ac:dyDescent="0.5">
      <c r="A9" s="51" t="s">
        <v>61</v>
      </c>
      <c r="B9" s="56">
        <f>((1+$I9)^(B2/365)-1)*365/B2</f>
        <v>4.1914432432310952E-2</v>
      </c>
      <c r="C9" s="56">
        <f t="shared" ref="C9:G9" si="6">((1+$I9)^(C2/365)-1)*365/C2</f>
        <v>4.1931278648089418E-2</v>
      </c>
      <c r="D9" s="56">
        <f t="shared" si="6"/>
        <v>4.1969818193079732E-2</v>
      </c>
      <c r="E9" s="56">
        <f t="shared" si="6"/>
        <v>4.2042207191949066E-2</v>
      </c>
      <c r="F9" s="56">
        <f t="shared" si="6"/>
        <v>4.2114762664961662E-2</v>
      </c>
      <c r="G9" s="56">
        <f t="shared" si="6"/>
        <v>4.2333432241796282E-2</v>
      </c>
      <c r="H9" s="53">
        <v>4.19E-2</v>
      </c>
      <c r="I9" s="74">
        <f t="shared" si="1"/>
        <v>4.2787686858843488E-2</v>
      </c>
      <c r="J9" s="75"/>
      <c r="K9" s="69"/>
    </row>
  </sheetData>
  <conditionalFormatting sqref="A1:J9">
    <cfRule type="expression" dxfId="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2.5499999999999998E-2</v>
      </c>
      <c r="C3" s="55">
        <v>2.75E-2</v>
      </c>
      <c r="D3" s="55">
        <v>2.9000000000000001E-2</v>
      </c>
      <c r="E3" s="55">
        <v>3.95E-2</v>
      </c>
      <c r="F3" s="55">
        <v>4.1000000000000002E-2</v>
      </c>
      <c r="G3" s="55">
        <v>4.2599999999999999E-2</v>
      </c>
      <c r="H3" s="53">
        <v>3.73E-2</v>
      </c>
      <c r="I3" s="74">
        <f>(1+H3/365)^365-1</f>
        <v>3.8002397273573685E-2</v>
      </c>
      <c r="J3" s="75"/>
      <c r="K3" s="68">
        <f>H3-'Daily Data'!AR82</f>
        <v>2.7200000000000002E-2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Data'!Z82</f>
        <v>1.0800000000000001E-2</v>
      </c>
    </row>
    <row r="5" spans="1:11" ht="23" customHeight="1" x14ac:dyDescent="0.5">
      <c r="A5" s="51" t="s">
        <v>17</v>
      </c>
      <c r="B5" s="56">
        <v>4.1399999999999999E-2</v>
      </c>
      <c r="C5" s="56">
        <f t="shared" ref="C5:G5" si="2">((1+$I5)^(C2/365)-1)*365/C2</f>
        <v>3.442108148072958E-2</v>
      </c>
      <c r="D5" s="56">
        <v>4.9599999999999998E-2</v>
      </c>
      <c r="E5" s="56">
        <f t="shared" si="2"/>
        <v>3.449581592722497E-2</v>
      </c>
      <c r="F5" s="56">
        <f t="shared" si="2"/>
        <v>3.4544672327758312E-2</v>
      </c>
      <c r="G5" s="56">
        <f t="shared" si="2"/>
        <v>3.4691795745238868E-2</v>
      </c>
      <c r="H5" s="53">
        <v>3.44E-2</v>
      </c>
      <c r="I5" s="74">
        <f t="shared" si="1"/>
        <v>3.4996845680234534E-2</v>
      </c>
      <c r="J5" s="75"/>
      <c r="K5" s="68">
        <f>H5-'Daily Data'!BJ82</f>
        <v>2.2699999999999998E-2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Data'!H82</f>
        <v>2.1700000000000001E-2</v>
      </c>
    </row>
    <row r="9" spans="1:11" ht="23" customHeight="1" x14ac:dyDescent="0.5">
      <c r="A9" s="51" t="s">
        <v>61</v>
      </c>
      <c r="B9" s="56">
        <f>((1+$I9)^(B2/365)-1)*365/B2</f>
        <v>4.2815059161980883E-2</v>
      </c>
      <c r="C9" s="56">
        <f t="shared" ref="C9:G9" si="6">((1+$I9)^(C2/365)-1)*365/C2</f>
        <v>4.2832637114085803E-2</v>
      </c>
      <c r="D9" s="56">
        <f t="shared" si="6"/>
        <v>4.287285143257006E-2</v>
      </c>
      <c r="E9" s="56">
        <f t="shared" si="6"/>
        <v>4.2948389023937085E-2</v>
      </c>
      <c r="F9" s="56">
        <f t="shared" si="6"/>
        <v>4.3024104068013491E-2</v>
      </c>
      <c r="G9" s="56">
        <f t="shared" si="6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2.75E-2</v>
      </c>
      <c r="D3" s="55">
        <v>2.8500000000000001E-2</v>
      </c>
      <c r="E3" s="55">
        <v>4.1500000000000002E-2</v>
      </c>
      <c r="F3" s="55">
        <v>4.7500000000000001E-2</v>
      </c>
      <c r="G3" s="55">
        <v>4.2599999999999999E-2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Data'!AR83</f>
        <v>2.7400000000000001E-2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Data'!Z83</f>
        <v>1.0800000000000001E-2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3.4120715315691226E-2</v>
      </c>
      <c r="D5" s="56">
        <v>4.9099999999999998E-2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3">
        <v>3.4099999999999998E-2</v>
      </c>
      <c r="I5" s="74">
        <f t="shared" si="1"/>
        <v>3.4686422321102972E-2</v>
      </c>
      <c r="J5" s="75"/>
      <c r="K5" s="68">
        <f>H5-'Daily Data'!BJ83</f>
        <v>2.2499999999999999E-2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" customHeight="1" x14ac:dyDescent="0.4">
      <c r="A7" s="51" t="s">
        <v>52</v>
      </c>
      <c r="B7" s="52">
        <v>3.49E-2</v>
      </c>
      <c r="C7" s="52">
        <f t="shared" ref="C7:G7" si="4">((1+$I7)^(C2/365)-1)*365/C2</f>
        <v>3.3219636075024761E-2</v>
      </c>
      <c r="D7" s="52">
        <v>3.6600000000000001E-2</v>
      </c>
      <c r="E7" s="52">
        <f t="shared" si="4"/>
        <v>3.3289242013672393E-2</v>
      </c>
      <c r="F7" s="52">
        <f t="shared" si="4"/>
        <v>3.3334741945595443E-2</v>
      </c>
      <c r="G7" s="52">
        <f t="shared" si="4"/>
        <v>3.3471739824844977E-2</v>
      </c>
      <c r="H7" s="53">
        <v>3.32E-2</v>
      </c>
      <c r="I7" s="74">
        <f t="shared" si="1"/>
        <v>3.3755709228882935E-2</v>
      </c>
      <c r="J7" s="75"/>
      <c r="K7" s="68">
        <f>H7-1.06%</f>
        <v>2.2600000000000002E-2</v>
      </c>
    </row>
    <row r="8" spans="1:11" ht="23" customHeight="1" x14ac:dyDescent="0.4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4">
        <f t="shared" si="1"/>
        <v>3.4169256374043444E-2</v>
      </c>
      <c r="J8" s="75"/>
      <c r="K8" s="68">
        <f>H8-'Daily Data'!H83</f>
        <v>2.1499999999999998E-2</v>
      </c>
    </row>
    <row r="9" spans="1:11" ht="23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</sheetData>
  <conditionalFormatting sqref="A1:J9">
    <cfRule type="expression" dxfId="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2.6800000000000001E-2</v>
      </c>
      <c r="D3" s="55">
        <v>0.03</v>
      </c>
      <c r="E3" s="55">
        <v>4.1500000000000002E-2</v>
      </c>
      <c r="F3" s="55">
        <v>0.05</v>
      </c>
      <c r="G3" s="55">
        <v>4.7500000000000001E-2</v>
      </c>
      <c r="H3" s="53">
        <v>3.5799999999999998E-2</v>
      </c>
      <c r="I3" s="74">
        <f>(1+H3/365)^365-1</f>
        <v>3.6446716511065569E-2</v>
      </c>
      <c r="J3" s="75"/>
      <c r="K3" s="68">
        <f>H3-'Daily Data'!AR84</f>
        <v>2.4899999999999999E-2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Data'!Z84</f>
        <v>1.0400000000000001E-2</v>
      </c>
    </row>
    <row r="5" spans="1:11" ht="23" customHeight="1" x14ac:dyDescent="0.5">
      <c r="A5" s="51" t="s">
        <v>17</v>
      </c>
      <c r="B5" s="56">
        <v>4.1599999999999998E-2</v>
      </c>
      <c r="C5" s="56">
        <f t="shared" ref="C5:G5" si="2">((1+$I5)^(C2/365)-1)*365/C2</f>
        <v>3.4721450854841733E-2</v>
      </c>
      <c r="D5" s="56">
        <v>4.99E-2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3">
        <v>3.4700000000000002E-2</v>
      </c>
      <c r="I5" s="74">
        <f t="shared" si="1"/>
        <v>3.5307361916328883E-2</v>
      </c>
      <c r="J5" s="75"/>
      <c r="K5" s="68">
        <f>H5-'Daily Data'!BJ84</f>
        <v>2.2700000000000001E-2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H8-1.06%</f>
        <v>2.1700000000000004E-2</v>
      </c>
    </row>
    <row r="9" spans="1:11" ht="23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2.8199999999999999E-2</v>
      </c>
      <c r="D3" s="55">
        <v>3.0200000000000001E-2</v>
      </c>
      <c r="E3" s="55">
        <v>4.1500000000000002E-2</v>
      </c>
      <c r="F3" s="55">
        <v>0.05</v>
      </c>
      <c r="G3" s="55">
        <v>4.7500000000000001E-2</v>
      </c>
      <c r="H3" s="53">
        <v>3.5999999999999997E-2</v>
      </c>
      <c r="I3" s="74">
        <f>(1+H3/365)^365-1</f>
        <v>3.6654006194406952E-2</v>
      </c>
      <c r="J3" s="75"/>
      <c r="K3" s="68">
        <f>H3-'Daily Data'!AR85</f>
        <v>2.7199999999999995E-2</v>
      </c>
    </row>
    <row r="4" spans="1:11" ht="23" customHeight="1" x14ac:dyDescent="0.5">
      <c r="A4" s="51" t="s">
        <v>15</v>
      </c>
      <c r="B4" s="56">
        <f>((1+ $I4)^(B2/365)-1)*365/B2</f>
        <v>2.5005137572765568E-2</v>
      </c>
      <c r="C4" s="56">
        <f t="shared" ref="C4:G4" si="0">((1+ 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" customHeight="1" x14ac:dyDescent="0.5">
      <c r="A5" s="51" t="s">
        <v>17</v>
      </c>
      <c r="B5" s="56">
        <v>4.1599999999999998E-2</v>
      </c>
      <c r="C5" s="56">
        <f>((1+I5)^(C2/365)-1)*365/C2</f>
        <v>3.2618932626085458E-2</v>
      </c>
      <c r="D5" s="56">
        <v>4.99E-2</v>
      </c>
      <c r="E5" s="56">
        <f>((1+I5)^(E2/365)-1)*365/E2</f>
        <v>3.2686042808954284E-2</v>
      </c>
      <c r="F5" s="56">
        <f t="shared" ref="F5:G5" si="2">((1+J5)^(F2/365)-1)*365/F2</f>
        <v>0</v>
      </c>
      <c r="G5" s="56">
        <f t="shared" si="2"/>
        <v>2.1087297787769743E-2</v>
      </c>
      <c r="H5" s="53">
        <v>3.2599999999999997E-2</v>
      </c>
      <c r="I5" s="74">
        <f t="shared" si="1"/>
        <v>3.3135697711292433E-2</v>
      </c>
      <c r="J5" s="75"/>
      <c r="K5" s="68">
        <f>H5-'Daily Data'!BJ85</f>
        <v>2.1199999999999997E-2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((1+I6)^(E2/365)-1)*365/E2</f>
        <v>3.3791952704462558E-2</v>
      </c>
      <c r="F6" s="52">
        <f t="shared" ref="F6:G6" si="3">((1+J6)^(F2/365)-1)*365/F2</f>
        <v>0</v>
      </c>
      <c r="G6" s="52">
        <f t="shared" si="3"/>
        <v>1.0671140309914364E-2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>((1+I7)^(C2/365)-1)*365/C2</f>
        <v>3.2018242012937716E-2</v>
      </c>
      <c r="D7" s="52">
        <v>3.5200000000000002E-2</v>
      </c>
      <c r="E7" s="52">
        <f>((1+$I7)^(E2/365)-1)*365/E2</f>
        <v>3.2082902098360046E-2</v>
      </c>
      <c r="F7" s="52">
        <f t="shared" ref="F7:G7" si="4">((1+$I7)^(F2/365)-1)*365/F2</f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H7-1.3%</f>
        <v>1.9E-2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Data'!H85</f>
        <v>2.23E-2</v>
      </c>
    </row>
    <row r="9" spans="1:11" ht="23" customHeight="1" x14ac:dyDescent="0.5">
      <c r="A9" s="51" t="s">
        <v>61</v>
      </c>
      <c r="B9" s="56">
        <f>((1+$I9)^(B2/365)-1)*365/B2</f>
        <v>4.0913751691330012E-2</v>
      </c>
      <c r="C9" s="56">
        <f t="shared" ref="C9:G9" si="6">((1+$I9)^(C2/365)-1)*365/C2</f>
        <v>4.0929803123583457E-2</v>
      </c>
      <c r="D9" s="56">
        <f t="shared" si="6"/>
        <v>4.0966523649155873E-2</v>
      </c>
      <c r="E9" s="56">
        <f t="shared" si="6"/>
        <v>4.1035493076274597E-2</v>
      </c>
      <c r="F9" s="56">
        <f t="shared" si="6"/>
        <v>4.1104617321895423E-2</v>
      </c>
      <c r="G9" s="56">
        <f t="shared" si="6"/>
        <v>4.1312922884725982E-2</v>
      </c>
      <c r="H9" s="53">
        <v>4.0899999999999999E-2</v>
      </c>
      <c r="I9" s="74">
        <f t="shared" si="1"/>
        <v>4.1745538538283444E-2</v>
      </c>
      <c r="J9" s="75"/>
      <c r="K9" s="69"/>
    </row>
  </sheetData>
  <conditionalFormatting sqref="A1:J9">
    <cfRule type="expression" dxfId="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3.15E-2</v>
      </c>
      <c r="D3" s="55">
        <v>3.2500000000000001E-2</v>
      </c>
      <c r="E3" s="55">
        <v>4.1500000000000002E-2</v>
      </c>
      <c r="F3" s="55">
        <v>0.05</v>
      </c>
      <c r="G3" s="55">
        <v>4.7500000000000001E-2</v>
      </c>
      <c r="H3" s="53">
        <v>3.6499999999999998E-2</v>
      </c>
      <c r="I3" s="74">
        <f>(1+H3/365)^365-1</f>
        <v>3.7172411302539565E-2</v>
      </c>
      <c r="J3" s="75"/>
      <c r="K3" s="68">
        <f>H3-'Daily Data'!AR86</f>
        <v>2.7899999999999998E-2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Data'!Z86</f>
        <v>1.1100000000000002E-2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3.1617788734936939E-2</v>
      </c>
      <c r="D5" s="56">
        <v>4.9099999999999998E-2</v>
      </c>
      <c r="E5" s="56">
        <f t="shared" si="2"/>
        <v>3.1680840785172228E-2</v>
      </c>
      <c r="F5" s="56">
        <f t="shared" si="2"/>
        <v>3.172205199932869E-2</v>
      </c>
      <c r="G5" s="56">
        <f t="shared" si="2"/>
        <v>3.1846114975320451E-2</v>
      </c>
      <c r="H5" s="53">
        <v>3.1600000000000003E-2</v>
      </c>
      <c r="I5" s="74">
        <f t="shared" si="1"/>
        <v>3.2103169169868329E-2</v>
      </c>
      <c r="J5" s="75"/>
      <c r="K5" s="68">
        <f>H5-'Daily Data'!BJ86</f>
        <v>2.0500000000000004E-2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Data'!H86</f>
        <v>2.2600000000000002E-2</v>
      </c>
    </row>
    <row r="9" spans="1:11" ht="23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9"/>
    </row>
  </sheetData>
  <conditionalFormatting sqref="A1:J9">
    <cfRule type="expression" dxfId="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3.2500000000000001E-2</v>
      </c>
      <c r="D3" s="55">
        <v>3.5000000000000003E-2</v>
      </c>
      <c r="E3" s="55">
        <v>4.1500000000000002E-2</v>
      </c>
      <c r="F3" s="55">
        <v>0.05</v>
      </c>
      <c r="G3" s="55">
        <v>4.7500000000000001E-2</v>
      </c>
      <c r="H3" s="53">
        <v>3.4200000000000001E-2</v>
      </c>
      <c r="I3" s="74">
        <f>(1+H3/365)^365-1</f>
        <v>3.4789886456186414E-2</v>
      </c>
      <c r="J3" s="75"/>
      <c r="K3" s="68">
        <f>'18.05.2026'!H3-'Daily Data'!AR87</f>
        <v>2.5300000000000003E-2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Data'!Z87</f>
        <v>1.1000000000000001E-2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3.0416463127971544E-2</v>
      </c>
      <c r="D5" s="56">
        <v>4.9099999999999998E-2</v>
      </c>
      <c r="E5" s="56">
        <f t="shared" si="2"/>
        <v>3.0474812798236512E-2</v>
      </c>
      <c r="F5" s="56">
        <f t="shared" si="2"/>
        <v>3.0512947329474491E-2</v>
      </c>
      <c r="G5" s="56">
        <f t="shared" si="2"/>
        <v>3.0627733077317729E-2</v>
      </c>
      <c r="H5" s="53">
        <v>3.04E-2</v>
      </c>
      <c r="I5" s="74">
        <f t="shared" si="1"/>
        <v>3.0865493238620978E-2</v>
      </c>
      <c r="J5" s="75"/>
      <c r="K5" s="68">
        <f>H5-'Daily Data'!BJ87</f>
        <v>2.0799999999999999E-2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Data'!H87</f>
        <v>2.2400000000000003E-2</v>
      </c>
    </row>
    <row r="9" spans="1:11" ht="23" customHeight="1" x14ac:dyDescent="0.5">
      <c r="A9" s="51" t="s">
        <v>61</v>
      </c>
      <c r="B9" s="56">
        <f>((1+$I9)^(B2/365)-1)*365/B2</f>
        <v>3.5210185527416567E-2</v>
      </c>
      <c r="C9" s="56">
        <f t="shared" ref="C9:G9" si="6">((1+$I9)^(C2/365)-1)*365/C2</f>
        <v>3.5222073609817203E-2</v>
      </c>
      <c r="D9" s="56">
        <f t="shared" si="6"/>
        <v>3.5249266470243436E-2</v>
      </c>
      <c r="E9" s="56">
        <f t="shared" si="6"/>
        <v>3.5300328557368831E-2</v>
      </c>
      <c r="F9" s="56">
        <f t="shared" si="6"/>
        <v>3.5351489269211729E-2</v>
      </c>
      <c r="G9" s="56">
        <f t="shared" si="6"/>
        <v>3.5505565298553574E-2</v>
      </c>
      <c r="H9" s="53">
        <v>3.5200000000000002E-2</v>
      </c>
      <c r="I9" s="74">
        <f t="shared" si="1"/>
        <v>3.582509544513357E-2</v>
      </c>
      <c r="J9" s="75"/>
      <c r="K9" s="69"/>
    </row>
  </sheetData>
  <conditionalFormatting sqref="A1:J9">
    <cfRule type="expression" dxfId="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0.04</v>
      </c>
      <c r="D3" s="55">
        <v>3.5000000000000003E-2</v>
      </c>
      <c r="E3" s="55">
        <v>0.04</v>
      </c>
      <c r="F3" s="55">
        <v>0.05</v>
      </c>
      <c r="G3" s="55">
        <v>0.05</v>
      </c>
      <c r="H3" s="53">
        <v>3.5499999999999997E-2</v>
      </c>
      <c r="I3" s="74">
        <f>(1+H3/365)^365-1</f>
        <v>3.6135859488784616E-2</v>
      </c>
      <c r="J3" s="75"/>
      <c r="K3" s="68">
        <f>H3-'Daily Data'!AR88</f>
        <v>2.5499999999999995E-2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Data'!Z88</f>
        <v>1.1000000000000001E-2</v>
      </c>
    </row>
    <row r="5" spans="1:11" ht="23" customHeight="1" x14ac:dyDescent="0.5">
      <c r="A5" s="51" t="s">
        <v>17</v>
      </c>
      <c r="B5" s="56">
        <v>3.2899999999999999E-2</v>
      </c>
      <c r="C5" s="56">
        <f>((1+I5)^(C2/365)-1)*365/C2</f>
        <v>3.2618932626085458E-2</v>
      </c>
      <c r="D5" s="56">
        <v>4.7399999999999998E-2</v>
      </c>
      <c r="E5" s="56">
        <f>((1+$I5)^(E2/365)-1)*365/E2</f>
        <v>3.2686042808954284E-2</v>
      </c>
      <c r="F5" s="56">
        <f t="shared" ref="F5:G5" si="2">((1+$I5)^(F2/365)-1)*365/F2</f>
        <v>3.2729909490182445E-2</v>
      </c>
      <c r="G5" s="56">
        <f t="shared" si="2"/>
        <v>3.286198103507449E-2</v>
      </c>
      <c r="H5" s="53">
        <v>3.2599999999999997E-2</v>
      </c>
      <c r="I5" s="74">
        <f t="shared" si="1"/>
        <v>3.3135697711292433E-2</v>
      </c>
      <c r="J5" s="75"/>
      <c r="K5" s="68">
        <f>H5-'Daily Data'!BJ88</f>
        <v>2.1799999999999996E-2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Data'!H88</f>
        <v>2.2000000000000002E-2</v>
      </c>
    </row>
    <row r="9" spans="1:11" ht="23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4.2099999999999999E-2</v>
      </c>
      <c r="C3" s="55">
        <v>3.4200000000000001E-2</v>
      </c>
      <c r="D3" s="55">
        <v>3.5000000000000003E-2</v>
      </c>
      <c r="E3" s="55">
        <v>0.04</v>
      </c>
      <c r="F3" s="55">
        <v>4.9500000000000002E-2</v>
      </c>
      <c r="G3" s="55">
        <v>0.05</v>
      </c>
      <c r="H3" s="53">
        <v>3.6600000000000001E-2</v>
      </c>
      <c r="I3" s="74">
        <f>(1+H3/365)^365-1</f>
        <v>3.727612334382413E-2</v>
      </c>
      <c r="J3" s="75"/>
      <c r="K3" s="68">
        <f>H3-'Daily Data'!AR89</f>
        <v>2.5100000000000001E-2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" customHeight="1" x14ac:dyDescent="0.5">
      <c r="A5" s="51" t="s">
        <v>17</v>
      </c>
      <c r="B5" s="56">
        <v>3.2899999999999999E-2</v>
      </c>
      <c r="C5" s="56">
        <f t="shared" ref="C5:G5" si="2">((1+$I5)^(C2/365)-1)*365/C2</f>
        <v>3.2919282746055836E-2</v>
      </c>
      <c r="D5" s="56">
        <v>4.7399999999999998E-2</v>
      </c>
      <c r="E5" s="56">
        <f t="shared" si="2"/>
        <v>3.2987635099189561E-2</v>
      </c>
      <c r="F5" s="56">
        <f t="shared" si="2"/>
        <v>3.3032314657883019E-2</v>
      </c>
      <c r="G5" s="56">
        <f t="shared" si="2"/>
        <v>3.3166838004525655E-2</v>
      </c>
      <c r="H5" s="53">
        <v>3.2899999999999999E-2</v>
      </c>
      <c r="I5" s="74">
        <f t="shared" si="1"/>
        <v>3.3445657100777071E-2</v>
      </c>
      <c r="J5" s="75"/>
      <c r="K5" s="68">
        <f>H5-'Daily Data'!BJ89</f>
        <v>2.18E-2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Data'!H89</f>
        <v>2.1400000000000002E-2</v>
      </c>
    </row>
    <row r="9" spans="1:11" ht="23" customHeight="1" x14ac:dyDescent="0.5">
      <c r="A9" s="51" t="s">
        <v>61</v>
      </c>
      <c r="B9" s="56">
        <f>((1+$I9)^(B2/365)-1)*365/B2</f>
        <v>3.3709335874898071E-2</v>
      </c>
      <c r="C9" s="56">
        <f t="shared" ref="C9:G9" si="6">((1+$I9)^(C2/365)-1)*365/C2</f>
        <v>3.3720232087598924E-2</v>
      </c>
      <c r="D9" s="56">
        <f t="shared" si="6"/>
        <v>3.3745155354740729E-2</v>
      </c>
      <c r="E9" s="56">
        <f t="shared" si="6"/>
        <v>3.3791952704462558E-2</v>
      </c>
      <c r="F9" s="56">
        <f t="shared" si="6"/>
        <v>3.3838836584806672E-2</v>
      </c>
      <c r="G9" s="56">
        <f t="shared" si="6"/>
        <v>3.3980009211555737E-2</v>
      </c>
      <c r="H9" s="53">
        <v>3.3700000000000001E-2</v>
      </c>
      <c r="I9" s="74">
        <f t="shared" si="1"/>
        <v>3.4272668936467188E-2</v>
      </c>
      <c r="J9" s="75"/>
      <c r="K9" s="69"/>
    </row>
  </sheetData>
  <conditionalFormatting sqref="A1:J9">
    <cfRule type="expression" dxfId="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4.2099999999999999E-2</v>
      </c>
      <c r="C3" s="55">
        <v>3.4500000000000003E-2</v>
      </c>
      <c r="D3" s="55">
        <v>3.5000000000000003E-2</v>
      </c>
      <c r="E3" s="55">
        <v>0.04</v>
      </c>
      <c r="F3" s="55">
        <v>4.9500000000000002E-2</v>
      </c>
      <c r="G3" s="55">
        <v>4.7399999999999998E-2</v>
      </c>
      <c r="H3" s="53">
        <v>3.7100000000000001E-2</v>
      </c>
      <c r="I3" s="74">
        <f>(1+H3/365)^365-1</f>
        <v>3.7794838704558797E-2</v>
      </c>
      <c r="J3" s="75"/>
      <c r="K3" s="68">
        <f>H3-'Daily Data'!AR90</f>
        <v>2.4899999999999999E-2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Data'!Z90</f>
        <v>1.1100000000000002E-2</v>
      </c>
    </row>
    <row r="5" spans="1:11" ht="23" customHeight="1" x14ac:dyDescent="0.5">
      <c r="A5" s="51" t="s">
        <v>17</v>
      </c>
      <c r="B5" s="56">
        <v>4.1099999999999998E-2</v>
      </c>
      <c r="C5" s="56">
        <f>((1+I5)^(C2/365)-1)*365/C2</f>
        <v>3.4320959069194204E-2</v>
      </c>
      <c r="D5" s="56">
        <v>4.9399999999999999E-2</v>
      </c>
      <c r="E5" s="56">
        <f>((1+$I5)^(E2/365)-1)*365/E2</f>
        <v>3.4395259162604379E-2</v>
      </c>
      <c r="F5" s="56">
        <f t="shared" ref="F5:G5" si="2">((1+$I5)^(F2/365)-1)*365/F2</f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Data'!BJ90</f>
        <v>2.2899999999999997E-2</v>
      </c>
    </row>
    <row r="6" spans="1:11" ht="23" customHeight="1" x14ac:dyDescent="0.4">
      <c r="A6" s="51" t="s">
        <v>60</v>
      </c>
      <c r="B6" s="52">
        <v>3.7499999999999999E-2</v>
      </c>
      <c r="C6" s="52">
        <f>((1+$I6)^(C2/365)-1)*365/C2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3.7999999999999999E-2</v>
      </c>
      <c r="C7" s="52">
        <f>((1+I7)^(C2/365)-1)*365/C2</f>
        <v>3.6223345863170948E-2</v>
      </c>
      <c r="D7" s="52">
        <v>3.9800000000000002E-2</v>
      </c>
      <c r="E7" s="52">
        <f>((1+$I7)^(E2/365)-1)*365/E2</f>
        <v>3.6306115642032878E-2</v>
      </c>
      <c r="F7" s="52">
        <f t="shared" ref="F7:G7" si="4">((1+$I7)^(F2/365)-1)*365/F2</f>
        <v>3.6360231771886457E-2</v>
      </c>
      <c r="G7" s="52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" customHeight="1" x14ac:dyDescent="0.4">
      <c r="A8" s="51" t="s">
        <v>62</v>
      </c>
      <c r="B8" s="52">
        <f>((1+$I8)^(B2/365)-1)*365/B2</f>
        <v>3.340917038478116E-2</v>
      </c>
      <c r="C8" s="52">
        <f t="shared" ref="C8:G8" si="5">((1+$I8)^(C2/365)-1)*365/C2</f>
        <v>3.3419873410345406E-2</v>
      </c>
      <c r="D8" s="52">
        <f t="shared" si="5"/>
        <v>3.3444354639846442E-2</v>
      </c>
      <c r="E8" s="52">
        <f t="shared" si="5"/>
        <v>3.3490321414801537E-2</v>
      </c>
      <c r="F8" s="52">
        <f t="shared" si="5"/>
        <v>3.3536372426970877E-2</v>
      </c>
      <c r="G8" s="52">
        <f t="shared" si="5"/>
        <v>3.3675032625327374E-2</v>
      </c>
      <c r="H8" s="53">
        <v>3.3399999999999999E-2</v>
      </c>
      <c r="I8" s="74">
        <f t="shared" si="1"/>
        <v>3.3962462182619113E-2</v>
      </c>
      <c r="J8" s="75"/>
      <c r="K8" s="68">
        <f>H8-'Daily Data'!H90</f>
        <v>2.1499999999999998E-2</v>
      </c>
    </row>
    <row r="9" spans="1:11" ht="23" customHeight="1" x14ac:dyDescent="0.5">
      <c r="A9" s="51" t="s">
        <v>61</v>
      </c>
      <c r="B9" s="56">
        <f>((1+$I9)^(B2/365)-1)*365/B2</f>
        <v>3.5410301610253284E-2</v>
      </c>
      <c r="C9" s="56">
        <f t="shared" ref="C9:G9" si="6">((1+$I9)^(C2/365)-1)*365/C2</f>
        <v>3.5422325207818642E-2</v>
      </c>
      <c r="D9" s="56">
        <f t="shared" si="6"/>
        <v>3.5449828161880172E-2</v>
      </c>
      <c r="E9" s="56">
        <f t="shared" si="6"/>
        <v>3.5501472969416858E-2</v>
      </c>
      <c r="F9" s="56">
        <f t="shared" si="6"/>
        <v>3.5553218094735967E-2</v>
      </c>
      <c r="G9" s="56">
        <f t="shared" si="6"/>
        <v>3.5709057572161224E-2</v>
      </c>
      <c r="H9" s="53">
        <v>3.5400000000000001E-2</v>
      </c>
      <c r="I9" s="74">
        <f t="shared" si="1"/>
        <v>3.6032261144603783E-2</v>
      </c>
      <c r="J9" s="75"/>
      <c r="K9" s="69"/>
    </row>
  </sheetData>
  <conditionalFormatting sqref="A1:J9">
    <cfRule type="expression" dxfId="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Data'!AR91</f>
        <v>2.4099999999999996E-2</v>
      </c>
    </row>
    <row r="4" spans="1:11" ht="23" customHeight="1" x14ac:dyDescent="0.5">
      <c r="A4" s="51" t="s">
        <v>15</v>
      </c>
      <c r="B4" s="56">
        <f>((1+$I5)^(B2/365)-1)*365/B2</f>
        <v>3.430967129548395E-2</v>
      </c>
      <c r="C4" s="56">
        <f t="shared" ref="C4:G4" si="0">((1+$I5)^(C2/365)-1)*365/C2</f>
        <v>3.4320959069194204E-2</v>
      </c>
      <c r="D4" s="56">
        <f t="shared" si="0"/>
        <v>3.4346778292231983E-2</v>
      </c>
      <c r="E4" s="56">
        <f t="shared" si="0"/>
        <v>3.4395259162604379E-2</v>
      </c>
      <c r="F4" s="56">
        <f t="shared" si="0"/>
        <v>3.4443831274714017E-2</v>
      </c>
      <c r="G4" s="56">
        <f t="shared" si="0"/>
        <v>3.459009699547997E-2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Data'!Z91</f>
        <v>1.1100000000000002E-2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3.4320959069194204E-2</v>
      </c>
      <c r="D5" s="56">
        <v>4.9299999999999997E-2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Data'!BJ91</f>
        <v>2.2699999999999998E-2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3.7900000000000003E-2</v>
      </c>
      <c r="C7" s="52">
        <f t="shared" ref="C7:G7" si="4">((1+$I7)^(C2/365)-1)*365/C2</f>
        <v>3.6123217033267992E-2</v>
      </c>
      <c r="D7" s="52">
        <v>3.9699999999999999E-2</v>
      </c>
      <c r="E7" s="52">
        <f t="shared" si="4"/>
        <v>3.6205529618120479E-2</v>
      </c>
      <c r="F7" s="52">
        <f t="shared" si="4"/>
        <v>3.6259346453876025E-2</v>
      </c>
      <c r="G7" s="52">
        <f t="shared" si="4"/>
        <v>3.6421437712058899E-2</v>
      </c>
      <c r="H7" s="53">
        <v>3.61E-2</v>
      </c>
      <c r="I7" s="74">
        <f t="shared" si="1"/>
        <v>3.6757666539783518E-2</v>
      </c>
      <c r="J7" s="75"/>
      <c r="K7" s="68">
        <f>H7-1.06%</f>
        <v>2.5500000000000002E-2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Data'!H91</f>
        <v>2.1400000000000002E-2</v>
      </c>
    </row>
    <row r="9" spans="1:11" ht="23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(H3-'Daily Data'!AR92)</f>
        <v>2.5499999999999998E-2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Data'!Z92</f>
        <v>1.1500000000000002E-2</v>
      </c>
    </row>
    <row r="5" spans="1:11" ht="23" customHeight="1" x14ac:dyDescent="0.5">
      <c r="A5" s="51" t="s">
        <v>17</v>
      </c>
      <c r="B5" s="56">
        <v>4.1000000000000002E-2</v>
      </c>
      <c r="C5" s="56">
        <f>((1+I5)^(C2/365)-1)*365/C2</f>
        <v>3.3920472988498589E-2</v>
      </c>
      <c r="D5" s="56">
        <v>4.9299999999999997E-2</v>
      </c>
      <c r="E5" s="56">
        <f>((1+$I5)^(E2/365)-1)*365/E2</f>
        <v>3.3993048356382727E-2</v>
      </c>
      <c r="F5" s="56">
        <f t="shared" ref="F5:G5" si="2">((1+$I5)^(F2/365)-1)*365/F2</f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Data'!AR92</f>
        <v>2.24E-2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3.1699999999999999E-2</v>
      </c>
      <c r="C7" s="52">
        <f>((1+I7)^(C2/365)-1)*365/C2</f>
        <v>3.0216247184851448E-2</v>
      </c>
      <c r="D7" s="52">
        <v>3.32E-2</v>
      </c>
      <c r="E7" s="52">
        <f>((1+$I7)^(E2/365)-1)*365/E2</f>
        <v>3.0273830874697632E-2</v>
      </c>
      <c r="F7" s="52">
        <f t="shared" ref="F7:G7" si="4">((1+$I7)^(F2/365)-1)*365/F2</f>
        <v>3.0311464275388368E-2</v>
      </c>
      <c r="G7" s="52">
        <f t="shared" si="4"/>
        <v>3.0424739121945526E-2</v>
      </c>
      <c r="H7" s="53">
        <v>3.0200000000000001E-2</v>
      </c>
      <c r="I7" s="74">
        <f t="shared" si="1"/>
        <v>3.0659357866290149E-2</v>
      </c>
      <c r="J7" s="75"/>
      <c r="K7" s="68">
        <f>H7-1.06%</f>
        <v>1.9599999999999999E-2</v>
      </c>
    </row>
    <row r="8" spans="1:11" ht="23" customHeight="1" x14ac:dyDescent="0.4">
      <c r="A8" s="51" t="s">
        <v>62</v>
      </c>
      <c r="B8" s="52">
        <f>((1+$I8)^(B2/365)-1)*365/B2</f>
        <v>3.3809391367190918E-2</v>
      </c>
      <c r="C8" s="52">
        <f t="shared" ref="C8:G8" si="5">((1+$I8)^(C2/365)-1)*365/C2</f>
        <v>3.382035235981351E-2</v>
      </c>
      <c r="D8" s="52">
        <f t="shared" si="5"/>
        <v>3.3845423852858346E-2</v>
      </c>
      <c r="E8" s="52">
        <f t="shared" si="5"/>
        <v>3.3892499717891801E-2</v>
      </c>
      <c r="F8" s="52">
        <f t="shared" si="5"/>
        <v>3.3939662887175724E-2</v>
      </c>
      <c r="G8" s="52">
        <f t="shared" si="5"/>
        <v>3.4081678044053536E-2</v>
      </c>
      <c r="H8" s="53">
        <v>3.3799999999999997E-2</v>
      </c>
      <c r="I8" s="74">
        <f t="shared" si="1"/>
        <v>3.4376091811363807E-2</v>
      </c>
      <c r="J8" s="75"/>
      <c r="K8" s="68">
        <f>H8-'Daily Data'!H92</f>
        <v>2.2599999999999995E-2</v>
      </c>
    </row>
    <row r="9" spans="1:11" ht="23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</sheetData>
  <conditionalFormatting sqref="A1:J9">
    <cfRule type="expression" dxfId="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Data'!AR63</f>
        <v>0.03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3.382035235981351E-2</v>
      </c>
      <c r="D5" s="56">
        <v>4.9299999999999997E-2</v>
      </c>
      <c r="E5" s="56">
        <f t="shared" si="2"/>
        <v>3.3892499717891801E-2</v>
      </c>
      <c r="F5" s="56">
        <f t="shared" si="2"/>
        <v>3.3939662887175724E-2</v>
      </c>
      <c r="G5" s="56">
        <f t="shared" si="2"/>
        <v>3.4081678044053536E-2</v>
      </c>
      <c r="H5" s="53">
        <v>3.3799999999999997E-2</v>
      </c>
      <c r="I5" s="74">
        <f t="shared" si="1"/>
        <v>3.4376091811363807E-2</v>
      </c>
      <c r="J5" s="75"/>
      <c r="K5" s="68">
        <f>H5-'Daily Data'!BJ63</f>
        <v>2.6199999999999998E-2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H7-1.36%</f>
        <v>1.7599999999999998E-2</v>
      </c>
    </row>
    <row r="8" spans="1:11" ht="23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Data'!H63</f>
        <v>2.6200000000000001E-2</v>
      </c>
    </row>
    <row r="9" spans="1:11" ht="23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/>
      <c r="J3" s="75"/>
      <c r="K3" s="68"/>
    </row>
    <row r="4" spans="1:11" ht="23" customHeight="1" x14ac:dyDescent="0.5">
      <c r="A4" s="51" t="s">
        <v>15</v>
      </c>
      <c r="B4" s="56"/>
      <c r="C4" s="56"/>
      <c r="D4" s="56"/>
      <c r="E4" s="56"/>
      <c r="F4" s="56"/>
      <c r="G4" s="56"/>
      <c r="H4" s="53">
        <v>2.5000000000000001E-2</v>
      </c>
      <c r="I4" s="74"/>
      <c r="J4" s="75"/>
      <c r="K4" s="68"/>
    </row>
    <row r="5" spans="1:11" ht="23" customHeight="1" x14ac:dyDescent="0.5">
      <c r="A5" s="51" t="s">
        <v>17</v>
      </c>
      <c r="B5" s="56"/>
      <c r="C5" s="56"/>
      <c r="D5" s="56"/>
      <c r="E5" s="56"/>
      <c r="F5" s="56"/>
      <c r="G5" s="56"/>
      <c r="H5" s="53"/>
      <c r="I5" s="74"/>
      <c r="J5" s="75"/>
      <c r="K5" s="68"/>
    </row>
    <row r="6" spans="1:11" ht="23" customHeight="1" x14ac:dyDescent="0.4">
      <c r="A6" s="51" t="s">
        <v>60</v>
      </c>
      <c r="B6" s="52"/>
      <c r="C6" s="52"/>
      <c r="D6" s="52"/>
      <c r="E6" s="52"/>
      <c r="F6" s="52"/>
      <c r="G6" s="52"/>
      <c r="H6" s="53"/>
      <c r="I6" s="74"/>
      <c r="J6" s="75"/>
      <c r="K6" s="68"/>
    </row>
    <row r="7" spans="1:11" ht="23" customHeight="1" x14ac:dyDescent="0.4">
      <c r="A7" s="51" t="s">
        <v>52</v>
      </c>
      <c r="B7" s="52"/>
      <c r="C7" s="52"/>
      <c r="D7" s="52"/>
      <c r="E7" s="52"/>
      <c r="F7" s="52"/>
      <c r="G7" s="52"/>
      <c r="H7" s="53"/>
      <c r="I7" s="74"/>
      <c r="J7" s="75"/>
      <c r="K7" s="68"/>
    </row>
    <row r="8" spans="1:11" ht="23" customHeight="1" x14ac:dyDescent="0.4">
      <c r="A8" s="51" t="s">
        <v>62</v>
      </c>
      <c r="B8" s="52"/>
      <c r="C8" s="52"/>
      <c r="D8" s="52"/>
      <c r="E8" s="52"/>
      <c r="F8" s="52"/>
      <c r="G8" s="52"/>
      <c r="H8" s="53"/>
      <c r="I8" s="74"/>
      <c r="J8" s="75"/>
      <c r="K8" s="68"/>
    </row>
    <row r="9" spans="1:11" ht="23" customHeight="1" x14ac:dyDescent="0.5">
      <c r="A9" s="51" t="s">
        <v>61</v>
      </c>
      <c r="B9" s="56"/>
      <c r="C9" s="56"/>
      <c r="D9" s="56"/>
      <c r="E9" s="56"/>
      <c r="F9" s="56"/>
      <c r="G9" s="56"/>
      <c r="H9" s="53"/>
      <c r="I9" s="74"/>
      <c r="J9" s="75"/>
      <c r="K9" s="69"/>
    </row>
  </sheetData>
  <conditionalFormatting sqref="A1:J9">
    <cfRule type="expression" dxfId="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Data'!AR95</f>
        <v>2.4E-2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Data'!Z95</f>
        <v>1.1300000000000001E-2</v>
      </c>
    </row>
    <row r="5" spans="1:11" ht="23" customHeight="1" x14ac:dyDescent="0.5">
      <c r="A5" s="51" t="s">
        <v>17</v>
      </c>
      <c r="B5" s="56">
        <v>4.2000000000000003E-2</v>
      </c>
      <c r="C5" s="56">
        <f>((1+$I5)^(C2/365)-1)*365/C2</f>
        <v>3.5922960443012478E-2</v>
      </c>
      <c r="D5" s="56">
        <v>5.2499999999999998E-2</v>
      </c>
      <c r="E5" s="56">
        <f>((1+$I5)^(E2/365)-1)*365/E2</f>
        <v>3.6004362447270476E-2</v>
      </c>
      <c r="F5" s="56">
        <f t="shared" ref="F5:G5" si="2">((1+$I5)^(F2/365)-1)*365/F2</f>
        <v>3.6057583196594925E-2</v>
      </c>
      <c r="G5" s="56">
        <f t="shared" si="2"/>
        <v>3.6217875576784582E-2</v>
      </c>
      <c r="H5" s="53">
        <v>3.5900000000000001E-2</v>
      </c>
      <c r="I5" s="74">
        <f t="shared" si="1"/>
        <v>3.6550356185158339E-2</v>
      </c>
      <c r="J5" s="75"/>
      <c r="K5" s="68">
        <f>H5-'Daily Data'!BJ95</f>
        <v>2.3800000000000002E-2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3.2800000000000003E-2</v>
      </c>
      <c r="C7" s="52">
        <f>((1+I7)^(C2/365)-1)*365/C2</f>
        <v>3.121734116151758E-2</v>
      </c>
      <c r="D7" s="52">
        <v>3.4299999999999997E-2</v>
      </c>
      <c r="E7" s="52">
        <f>((1+$I7)^(E2/365)-1)*365/E2</f>
        <v>3.1278805465217829E-2</v>
      </c>
      <c r="F7" s="52">
        <f t="shared" ref="F7:G7" si="4">((1+$I7)^(F2/365)-1)*365/F2</f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Data'!H95</f>
        <v>2.2399999999999996E-2</v>
      </c>
    </row>
    <row r="9" spans="1:11" ht="23" customHeight="1" x14ac:dyDescent="0.5">
      <c r="A9" s="51" t="s">
        <v>61</v>
      </c>
      <c r="B9" s="56">
        <f>((1+$I9)^(B2/365)-1)*365/B2</f>
        <v>3.5910594695506913E-2</v>
      </c>
      <c r="C9" s="56">
        <f t="shared" ref="C9:G9" si="6">((1+$I9)^(C2/365)-1)*365/C2</f>
        <v>3.5922960443012478E-2</v>
      </c>
      <c r="D9" s="56">
        <f t="shared" si="6"/>
        <v>3.5951246333042218E-2</v>
      </c>
      <c r="E9" s="56">
        <f t="shared" si="6"/>
        <v>3.6004362447270476E-2</v>
      </c>
      <c r="F9" s="56">
        <f t="shared" si="6"/>
        <v>3.6057583196594925E-2</v>
      </c>
      <c r="G9" s="56">
        <f t="shared" si="6"/>
        <v>3.6217875576784582E-2</v>
      </c>
      <c r="H9" s="53">
        <v>3.5900000000000001E-2</v>
      </c>
      <c r="I9" s="74">
        <f t="shared" si="1"/>
        <v>3.6550356185158339E-2</v>
      </c>
      <c r="J9" s="75"/>
      <c r="K9" s="69"/>
    </row>
  </sheetData>
  <conditionalFormatting sqref="A1:J9">
    <cfRule type="expression" dxfId="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Data'!AR96</f>
        <v>2.3599999999999996E-2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Data'!Z96</f>
        <v>1.1100000000000002E-2</v>
      </c>
    </row>
    <row r="5" spans="1:11" ht="23" customHeight="1" x14ac:dyDescent="0.5">
      <c r="A5" s="51" t="s">
        <v>17</v>
      </c>
      <c r="B5" s="56">
        <v>4.2000000000000003E-2</v>
      </c>
      <c r="C5" s="56">
        <f>((1+I5)^(C2/365)-1)*365/C2</f>
        <v>3.7024389340166004E-2</v>
      </c>
      <c r="D5" s="56">
        <v>5.2499999999999998E-2</v>
      </c>
      <c r="E5" s="56">
        <f>((1+$I5)^(E2/365)-1)*365/E2</f>
        <v>3.7110862363455399E-2</v>
      </c>
      <c r="F5" s="56">
        <f>((1+$I5)^(F2/365)-1)*365/F2</f>
        <v>3.7167402871694732E-2</v>
      </c>
      <c r="G5" s="56">
        <f>((1+$I5)^(G2/365)-1)*365/G2</f>
        <v>3.7337714413147337E-2</v>
      </c>
      <c r="H5" s="53">
        <v>3.6999999999999998E-2</v>
      </c>
      <c r="I5" s="74">
        <f t="shared" si="1"/>
        <v>3.7691074941686109E-2</v>
      </c>
      <c r="J5" s="75"/>
      <c r="K5" s="68">
        <f>H5-'Daily Data'!BJ96</f>
        <v>2.4299999999999999E-2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3.5900000000000001E-2</v>
      </c>
      <c r="C7" s="52">
        <f t="shared" ref="C7:G7" si="3">((1+$I7)^(C2/365)-1)*365/C2</f>
        <v>3.4220837014135107E-2</v>
      </c>
      <c r="D7" s="52">
        <v>3.7600000000000001E-2</v>
      </c>
      <c r="E7" s="52">
        <f t="shared" si="3"/>
        <v>3.4294704023164348E-2</v>
      </c>
      <c r="F7" s="52">
        <f t="shared" si="3"/>
        <v>3.4342992680180727E-2</v>
      </c>
      <c r="G7" s="52">
        <f t="shared" si="3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H7-2%</f>
        <v>1.4200000000000001E-2</v>
      </c>
    </row>
    <row r="8" spans="1:11" ht="23" customHeight="1" x14ac:dyDescent="0.4">
      <c r="A8" s="51" t="s">
        <v>62</v>
      </c>
      <c r="B8" s="52">
        <f>((1+$I8)^(B2/365)-1)*365/B2</f>
        <v>3.6811132610262698E-2</v>
      </c>
      <c r="C8" s="52">
        <f t="shared" ref="C8:G8" si="4">((1+$I8)^(C2/365)-1)*365/C2</f>
        <v>3.6824126331346081E-2</v>
      </c>
      <c r="D8" s="52">
        <f t="shared" si="4"/>
        <v>3.6853849234498227E-2</v>
      </c>
      <c r="E8" s="52">
        <f t="shared" si="4"/>
        <v>3.6909665927788916E-2</v>
      </c>
      <c r="F8" s="52">
        <f t="shared" si="4"/>
        <v>3.6965595336695314E-2</v>
      </c>
      <c r="G8" s="52">
        <f t="shared" si="4"/>
        <v>3.7134062420906062E-2</v>
      </c>
      <c r="H8" s="53">
        <v>3.6799999999999999E-2</v>
      </c>
      <c r="I8" s="74">
        <f t="shared" si="1"/>
        <v>3.7483578454069244E-2</v>
      </c>
      <c r="J8" s="75"/>
      <c r="K8" s="68">
        <f>H8-'Daily Data'!H96</f>
        <v>2.2699999999999998E-2</v>
      </c>
    </row>
    <row r="9" spans="1:11" ht="23" customHeight="1" x14ac:dyDescent="0.5">
      <c r="A9" s="51" t="s">
        <v>61</v>
      </c>
      <c r="B9" s="56">
        <f>((1+$I9)^(B2/365)-1)*365/B2</f>
        <v>4.2815059161980883E-2</v>
      </c>
      <c r="C9" s="56">
        <f t="shared" ref="C9:G9" si="5">((1+$I9)^(C2/365)-1)*365/C2</f>
        <v>4.2832637114085803E-2</v>
      </c>
      <c r="D9" s="56">
        <f t="shared" si="5"/>
        <v>4.287285143257006E-2</v>
      </c>
      <c r="E9" s="56">
        <f t="shared" si="5"/>
        <v>4.2948389023937085E-2</v>
      </c>
      <c r="F9" s="56">
        <f t="shared" si="5"/>
        <v>4.3024104068013491E-2</v>
      </c>
      <c r="G9" s="56">
        <f t="shared" si="5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Data'!AR97</f>
        <v>2.3E-2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Data'!Z97</f>
        <v>1.0800000000000001E-2</v>
      </c>
    </row>
    <row r="5" spans="1:11" ht="23" customHeight="1" x14ac:dyDescent="0.5">
      <c r="A5" s="51" t="s">
        <v>17</v>
      </c>
      <c r="B5" s="56">
        <v>4.3499999999999997E-2</v>
      </c>
      <c r="C5" s="56">
        <f>((1+I5)^(C2/365)-1)*365/C2</f>
        <v>3.8025725780286922E-2</v>
      </c>
      <c r="D5" s="56">
        <v>5.5E-2</v>
      </c>
      <c r="E5" s="56">
        <f>((1+$I5)^(E2/365)-1)*365/E2</f>
        <v>3.8116942104048458E-2</v>
      </c>
      <c r="F5" s="56">
        <f t="shared" ref="F5:G5" si="2">((1+$I5)^(F2/365)-1)*365/F2</f>
        <v>3.8176588168356236E-2</v>
      </c>
      <c r="G5" s="56">
        <f t="shared" si="2"/>
        <v>3.8356274017090804E-2</v>
      </c>
      <c r="H5" s="53">
        <v>3.7999999999999999E-2</v>
      </c>
      <c r="I5" s="74">
        <f t="shared" si="1"/>
        <v>3.8729178327362002E-2</v>
      </c>
      <c r="J5" s="75"/>
      <c r="K5" s="68">
        <f>H5-'Daily Data'!BJ97</f>
        <v>2.4500000000000001E-2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3.5900000000000001E-2</v>
      </c>
      <c r="C7" s="52">
        <f>((1+$I7)^(C2/365)-1)*365/C2</f>
        <v>3.4220837014135107E-2</v>
      </c>
      <c r="D7" s="52">
        <v>3.7600000000000001E-2</v>
      </c>
      <c r="E7" s="52">
        <f>((1+$I7)^(E2/365)-1)*365/E2</f>
        <v>3.4294704023164348E-2</v>
      </c>
      <c r="F7" s="52">
        <f t="shared" ref="F7:G7" si="4">((1+$I7)^(F2/365)-1)*365/F2</f>
        <v>3.4342992680180727E-2</v>
      </c>
      <c r="G7" s="52">
        <f t="shared" si="4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H7-1.06%</f>
        <v>2.3600000000000003E-2</v>
      </c>
    </row>
    <row r="8" spans="1:11" ht="23" customHeight="1" x14ac:dyDescent="0.4">
      <c r="A8" s="51" t="s">
        <v>62</v>
      </c>
      <c r="B8" s="52">
        <f>((1+$I8)^(B2/365)-1)*365/B2</f>
        <v>3.751156019854017E-2</v>
      </c>
      <c r="C8" s="52">
        <f t="shared" ref="C8:G8" si="5">((1+$I8)^(C2/365)-1)*365/C2</f>
        <v>3.7525053102707075E-2</v>
      </c>
      <c r="D8" s="52">
        <f t="shared" si="5"/>
        <v>3.7555918332129311E-2</v>
      </c>
      <c r="E8" s="52">
        <f t="shared" si="5"/>
        <v>3.7613881907545298E-2</v>
      </c>
      <c r="F8" s="52">
        <f t="shared" si="5"/>
        <v>3.7671964763798499E-2</v>
      </c>
      <c r="G8" s="52">
        <f t="shared" si="5"/>
        <v>3.7846931782462699E-2</v>
      </c>
      <c r="H8" s="53">
        <v>3.7499999999999999E-2</v>
      </c>
      <c r="I8" s="74">
        <f t="shared" si="1"/>
        <v>3.8209997240440829E-2</v>
      </c>
      <c r="J8" s="75"/>
      <c r="K8" s="68">
        <f>H8-'Daily Data'!H98</f>
        <v>2.2399999999999996E-2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((1+H3/365)^365-1)</f>
        <v>3.7691074941686109E-2</v>
      </c>
      <c r="J3" s="75"/>
      <c r="K3" s="68">
        <f>H3-'Daily Data'!AR98</f>
        <v>2.1599999999999998E-2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Data'!Z98</f>
        <v>1.0600000000000002E-2</v>
      </c>
    </row>
    <row r="5" spans="1:11" ht="23" customHeight="1" x14ac:dyDescent="0.5">
      <c r="A5" s="51" t="s">
        <v>17</v>
      </c>
      <c r="B5" s="56">
        <v>4.3499999999999997E-2</v>
      </c>
      <c r="C5" s="56">
        <f>((1+I5)^(C2/365)-1)*365/C2</f>
        <v>3.8626544761562069E-2</v>
      </c>
      <c r="D5" s="56">
        <v>5.5E-2</v>
      </c>
      <c r="E5" s="56">
        <f>((1+$I5)^(E2/365)-1)*365/E2</f>
        <v>3.8720668005707982E-2</v>
      </c>
      <c r="F5" s="56">
        <f t="shared" ref="F5:G5" si="2">((1+$I5)^(F2/365)-1)*365/F2</f>
        <v>3.8782217460826149E-2</v>
      </c>
      <c r="G5" s="56">
        <f t="shared" si="2"/>
        <v>3.8967649563848281E-2</v>
      </c>
      <c r="H5" s="53">
        <v>3.8600000000000002E-2</v>
      </c>
      <c r="I5" s="74">
        <f t="shared" si="1"/>
        <v>3.9352537413389843E-2</v>
      </c>
      <c r="J5" s="75"/>
      <c r="K5" s="68">
        <f>H5-'Daily Data'!BJ98</f>
        <v>2.4600000000000004E-2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Data'!H98</f>
        <v>2.3399999999999997E-2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Data'!AR99</f>
        <v>2.1399999999999999E-2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Data'!Z99</f>
        <v>1.0700000000000001E-2</v>
      </c>
    </row>
    <row r="5" spans="1:11" ht="23" customHeight="1" x14ac:dyDescent="0.5">
      <c r="A5" s="51" t="s">
        <v>17</v>
      </c>
      <c r="B5" s="56">
        <v>4.3499999999999997E-2</v>
      </c>
      <c r="C5" s="56">
        <f t="shared" ref="C5:G5" si="2">((1+$I5)^(C2/365)-1)*365/C2</f>
        <v>3.8225997347559368E-2</v>
      </c>
      <c r="D5" s="56">
        <v>5.5E-2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3">
        <v>3.8199999999999998E-2</v>
      </c>
      <c r="I5" s="74">
        <f t="shared" si="1"/>
        <v>3.8936923251637001E-2</v>
      </c>
      <c r="J5" s="75"/>
      <c r="K5" s="68">
        <f>H5-'Daily Data'!BJ99</f>
        <v>2.4399999999999998E-2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" customHeight="1" x14ac:dyDescent="0.4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Data'!H99</f>
        <v>2.3300000000000001E-2</v>
      </c>
    </row>
    <row r="9" spans="1:11" ht="23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9"/>
    </row>
  </sheetData>
  <conditionalFormatting sqref="A1:J9">
    <cfRule type="expression" dxfId="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Data'!AR100</f>
        <v>2.1099999999999997E-2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Data'!Z100</f>
        <v>1.1500000000000002E-2</v>
      </c>
    </row>
    <row r="5" spans="1:11" ht="23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3.8326133666167612E-2</v>
      </c>
      <c r="D5" s="56">
        <v>5.67E-2</v>
      </c>
      <c r="E5" s="56">
        <f t="shared" si="2"/>
        <v>3.8418797736503744E-2</v>
      </c>
      <c r="F5" s="56">
        <f t="shared" si="2"/>
        <v>3.8479391740204962E-2</v>
      </c>
      <c r="G5" s="56">
        <f t="shared" si="2"/>
        <v>3.8661939305934263E-2</v>
      </c>
      <c r="H5" s="53">
        <v>3.8300000000000001E-2</v>
      </c>
      <c r="I5" s="74">
        <f t="shared" si="1"/>
        <v>3.9040811251424667E-2</v>
      </c>
      <c r="J5" s="75"/>
      <c r="K5" s="68">
        <f>H5-'Daily Data'!BJ100</f>
        <v>2.4500000000000001E-2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Data'!H100</f>
        <v>2.35E-2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3.4599999999999999E-2</v>
      </c>
      <c r="C3" s="55">
        <v>3.49E-2</v>
      </c>
      <c r="D3" s="55">
        <v>4.99E-2</v>
      </c>
      <c r="E3" s="55">
        <v>4.8899999999999999E-2</v>
      </c>
      <c r="F3" s="55">
        <v>4.8899999999999999E-2</v>
      </c>
      <c r="G3" s="55">
        <v>5.4399999999999997E-2</v>
      </c>
      <c r="H3" s="53">
        <v>4.2099999999999999E-2</v>
      </c>
      <c r="I3" s="74">
        <f>(1+H3/365)^365-1</f>
        <v>4.2996241252897249E-2</v>
      </c>
      <c r="J3" s="75"/>
      <c r="K3" s="68">
        <f>H3-'Daily Data'!AR101</f>
        <v>2.4599999999999997E-2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Data'!Z101</f>
        <v>1.1500000000000002E-2</v>
      </c>
    </row>
    <row r="5" spans="1:11" ht="23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3.9527797305134844E-2</v>
      </c>
      <c r="D5" s="56">
        <v>5.67E-2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3">
        <v>3.95E-2</v>
      </c>
      <c r="I5" s="74">
        <f t="shared" si="1"/>
        <v>4.0288275604905666E-2</v>
      </c>
      <c r="J5" s="75"/>
      <c r="K5" s="68">
        <f>H5-'Daily Data'!BJ101</f>
        <v>2.5700000000000001E-2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" customHeight="1" x14ac:dyDescent="0.4">
      <c r="A8" s="51" t="s">
        <v>62</v>
      </c>
      <c r="B8" s="52">
        <f>((1+$I8)^(B2/365)-1)*365/B2</f>
        <v>3.8612248405269937E-2</v>
      </c>
      <c r="C8" s="52">
        <f t="shared" ref="C8:G8" si="5">((1+$I8)^(C2/365)-1)*365/C2</f>
        <v>3.8626544761562069E-2</v>
      </c>
      <c r="D8" s="52">
        <f t="shared" si="5"/>
        <v>3.8659248656118694E-2</v>
      </c>
      <c r="E8" s="52">
        <f t="shared" si="5"/>
        <v>3.8720668005707982E-2</v>
      </c>
      <c r="F8" s="52">
        <f t="shared" si="5"/>
        <v>3.8782217460826149E-2</v>
      </c>
      <c r="G8" s="52">
        <f t="shared" si="5"/>
        <v>3.8967649563848281E-2</v>
      </c>
      <c r="H8" s="53">
        <v>3.8600000000000002E-2</v>
      </c>
      <c r="I8" s="74">
        <f t="shared" si="1"/>
        <v>3.9352537413389843E-2</v>
      </c>
      <c r="J8" s="75"/>
      <c r="K8" s="68">
        <f>H8-'Daily Data'!H101</f>
        <v>2.2800000000000001E-2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  <row r="16" spans="1:11" x14ac:dyDescent="0.35">
      <c r="G16" s="19"/>
    </row>
    <row r="17" spans="7:7" x14ac:dyDescent="0.35">
      <c r="G17" s="19"/>
    </row>
    <row r="18" spans="7:7" x14ac:dyDescent="0.35">
      <c r="G18" s="60"/>
    </row>
    <row r="19" spans="7:7" x14ac:dyDescent="0.35">
      <c r="G19" s="60"/>
    </row>
    <row r="20" spans="7:7" x14ac:dyDescent="0.35">
      <c r="G20" s="19"/>
    </row>
  </sheetData>
  <conditionalFormatting sqref="A1:J9">
    <cfRule type="expression" dxfId="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3.4500000000000003E-2</v>
      </c>
      <c r="C3" s="55">
        <v>3.4799999999999998E-2</v>
      </c>
      <c r="D3" s="55">
        <v>4.8899999999999999E-2</v>
      </c>
      <c r="E3" s="55">
        <v>0.04</v>
      </c>
      <c r="F3" s="55">
        <v>4.8800000000000003E-2</v>
      </c>
      <c r="G3" s="55">
        <v>5.5E-2</v>
      </c>
      <c r="H3" s="53">
        <v>4.65E-2</v>
      </c>
      <c r="I3" s="74">
        <f>(1+H3/365)^365-1</f>
        <v>4.7594976365493258E-2</v>
      </c>
      <c r="J3" s="75"/>
      <c r="K3" s="68">
        <f>H3-'Daily Data'!AR102</f>
        <v>2.58E-2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Data'!H102</f>
        <v>5.8000000000000031E-3</v>
      </c>
    </row>
    <row r="5" spans="1:11" ht="23" customHeight="1" x14ac:dyDescent="0.5">
      <c r="A5" s="51" t="s">
        <v>17</v>
      </c>
      <c r="B5" s="56">
        <v>5.1200000000000002E-2</v>
      </c>
      <c r="C5" s="56">
        <f t="shared" ref="C5:G5" si="2">((1+$I5)^(C2/365)-1)*365/C2</f>
        <v>4.2732484746831965E-2</v>
      </c>
      <c r="D5" s="56">
        <v>6.1499999999999999E-2</v>
      </c>
      <c r="E5" s="56">
        <f t="shared" si="2"/>
        <v>4.2847695644248965E-2</v>
      </c>
      <c r="F5" s="56">
        <f t="shared" si="2"/>
        <v>4.2923056280611376E-2</v>
      </c>
      <c r="G5" s="56">
        <f t="shared" si="2"/>
        <v>4.315020010039558E-2</v>
      </c>
      <c r="H5" s="53">
        <v>4.2700000000000002E-2</v>
      </c>
      <c r="I5" s="74">
        <f t="shared" si="1"/>
        <v>4.3622154043978734E-2</v>
      </c>
      <c r="J5" s="75"/>
      <c r="K5" s="68">
        <f>H5-'Daily Data'!BJ102</f>
        <v>2.6600000000000002E-2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" customHeight="1" x14ac:dyDescent="0.4">
      <c r="A8" s="51" t="s">
        <v>62</v>
      </c>
      <c r="B8" s="52">
        <f>((1+$I8)^(B2/365)-1)*365/B2</f>
        <v>4.2514848771842341E-2</v>
      </c>
      <c r="C8" s="52">
        <f t="shared" ref="C8:G8" si="5">((1+$I8)^(C2/365)-1)*365/C2</f>
        <v>4.2532181082204676E-2</v>
      </c>
      <c r="D8" s="52">
        <f t="shared" si="5"/>
        <v>4.2571833178827546E-2</v>
      </c>
      <c r="E8" s="52">
        <f t="shared" si="5"/>
        <v>4.2646313767056111E-2</v>
      </c>
      <c r="F8" s="52">
        <f t="shared" si="5"/>
        <v>4.2720968096388673E-2</v>
      </c>
      <c r="G8" s="52">
        <f t="shared" si="5"/>
        <v>4.2945978096879549E-2</v>
      </c>
      <c r="H8" s="53">
        <v>4.2500000000000003E-2</v>
      </c>
      <c r="I8" s="74">
        <f t="shared" si="1"/>
        <v>4.3413474837240562E-2</v>
      </c>
      <c r="J8" s="75"/>
      <c r="K8" s="68">
        <f>H8-1.92%</f>
        <v>2.3300000000000005E-2</v>
      </c>
    </row>
    <row r="9" spans="1:11" ht="23" customHeight="1" x14ac:dyDescent="0.5">
      <c r="A9" s="51" t="s">
        <v>61</v>
      </c>
      <c r="B9" s="56">
        <f>((1+$I9)^(B2/365)-1)*365/B2</f>
        <v>4.2915129621032513E-2</v>
      </c>
      <c r="C9" s="56">
        <f t="shared" ref="C9:G9" si="6">((1+$I9)^(C2/365)-1)*365/C2</f>
        <v>4.2932789838088001E-2</v>
      </c>
      <c r="D9" s="56">
        <f t="shared" si="6"/>
        <v>4.2973192444788845E-2</v>
      </c>
      <c r="E9" s="56">
        <f t="shared" si="6"/>
        <v>4.3049084031183106E-2</v>
      </c>
      <c r="F9" s="56">
        <f t="shared" si="6"/>
        <v>4.3125154319151399E-2</v>
      </c>
      <c r="G9" s="56">
        <f t="shared" si="6"/>
        <v>4.3354442133061333E-2</v>
      </c>
      <c r="H9" s="53">
        <v>4.2900000000000001E-2</v>
      </c>
      <c r="I9" s="74">
        <f t="shared" si="1"/>
        <v>4.3830874871463754E-2</v>
      </c>
      <c r="J9" s="75"/>
      <c r="K9" s="69"/>
    </row>
  </sheetData>
  <conditionalFormatting sqref="A1:J9">
    <cfRule type="expression" dxfId="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3.5000000000000003E-2</v>
      </c>
      <c r="C3" s="55">
        <v>3.49E-2</v>
      </c>
      <c r="D3" s="55">
        <v>4.8800000000000003E-2</v>
      </c>
      <c r="E3" s="55">
        <v>0.04</v>
      </c>
      <c r="F3" s="55">
        <v>4.8000000000000001E-2</v>
      </c>
      <c r="G3" s="55">
        <v>5.8999999999999997E-2</v>
      </c>
      <c r="H3" s="53">
        <v>4.6899999999999997E-2</v>
      </c>
      <c r="I3" s="74">
        <f>(1+H3/365)^365-1</f>
        <v>4.8014044546304424E-2</v>
      </c>
      <c r="J3" s="75"/>
      <c r="K3" s="68">
        <f>H3-'Daily Data'!AR103</f>
        <v>2.6699999999999998E-2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" customHeight="1" x14ac:dyDescent="0.5">
      <c r="A5" s="51" t="s">
        <v>17</v>
      </c>
      <c r="B5" s="56">
        <v>5.28E-2</v>
      </c>
      <c r="C5" s="56">
        <f>((1+I5)^(C2/365)-1)*365/C2</f>
        <v>4.4134650346251733E-2</v>
      </c>
      <c r="D5" s="56">
        <v>6.3799999999999996E-2</v>
      </c>
      <c r="E5" s="56">
        <f>((1+$I5)^(E2/365)-1)*365/E2</f>
        <v>4.4257551069836011E-2</v>
      </c>
      <c r="F5" s="56">
        <f t="shared" ref="F5:G5" si="2">((1+$I5)^(F2/365)-1)*365/F2</f>
        <v>4.4337949518542676E-2</v>
      </c>
      <c r="G5" s="56">
        <f t="shared" si="2"/>
        <v>4.4580315051523496E-2</v>
      </c>
      <c r="H5" s="53">
        <v>4.41E-2</v>
      </c>
      <c r="I5" s="74">
        <f t="shared" si="1"/>
        <v>4.5084074336688928E-2</v>
      </c>
      <c r="J5" s="75"/>
      <c r="K5" s="68">
        <f>H5-'Daily Data'!BJ103</f>
        <v>2.63E-2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3.4099999999999998E-2</v>
      </c>
      <c r="C7" s="52">
        <f>((1+I7)^(C2/365)-1)*365/C2</f>
        <v>3.2518816632587697E-2</v>
      </c>
      <c r="D7" s="52">
        <v>3.5799999999999998E-2</v>
      </c>
      <c r="E7" s="52">
        <f>((1+$I7)^(E2/365)-1)*365/E2</f>
        <v>3.2585515295304769E-2</v>
      </c>
      <c r="F7" s="52">
        <f t="shared" ref="F7:G7" si="4">((1+$I7)^(F2/365)-1)*365/F2</f>
        <v>3.2629112682946743E-2</v>
      </c>
      <c r="G7" s="52">
        <f t="shared" si="4"/>
        <v>3.2760372011032608E-2</v>
      </c>
      <c r="H7" s="53">
        <v>3.2500000000000001E-2</v>
      </c>
      <c r="I7" s="74">
        <f t="shared" si="1"/>
        <v>3.303239851864892E-2</v>
      </c>
      <c r="J7" s="75"/>
      <c r="K7" s="68">
        <f>H7-1.06%</f>
        <v>2.1900000000000003E-2</v>
      </c>
    </row>
    <row r="8" spans="1:11" ht="23" customHeight="1" x14ac:dyDescent="0.4">
      <c r="A8" s="51" t="s">
        <v>62</v>
      </c>
      <c r="B8" s="52">
        <f>((1+$I8)^(B2/365)-1)*365/B2</f>
        <v>4.3015200244608094E-2</v>
      </c>
      <c r="C8" s="52">
        <f t="shared" ref="C8:G8" si="5">((1+$I8)^(C2/365)-1)*365/C2</f>
        <v>4.3032942918809609E-2</v>
      </c>
      <c r="D8" s="52">
        <f t="shared" si="5"/>
        <v>4.3073534254197764E-2</v>
      </c>
      <c r="E8" s="52">
        <f t="shared" si="5"/>
        <v>4.3149780665970826E-2</v>
      </c>
      <c r="F8" s="52">
        <f t="shared" si="5"/>
        <v>4.3226207034042216E-2</v>
      </c>
      <c r="G8" s="52">
        <f t="shared" si="5"/>
        <v>4.3456570661041326E-2</v>
      </c>
      <c r="H8" s="53">
        <v>4.2999999999999997E-2</v>
      </c>
      <c r="I8" s="74">
        <f t="shared" si="1"/>
        <v>4.3935250895680733E-2</v>
      </c>
      <c r="J8" s="75"/>
      <c r="K8" s="68">
        <f>H8-'Daily Data'!H103</f>
        <v>2.3299999999999998E-2</v>
      </c>
    </row>
    <row r="9" spans="1:11" ht="23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3.95E-2</v>
      </c>
      <c r="C3" s="55">
        <v>3.49E-2</v>
      </c>
      <c r="D3" s="55">
        <v>4.87E-2</v>
      </c>
      <c r="E3" s="55">
        <v>0.04</v>
      </c>
      <c r="F3" s="55">
        <v>4.7E-2</v>
      </c>
      <c r="G3" s="55">
        <v>5.9200000000000003E-2</v>
      </c>
      <c r="H3" s="53">
        <v>4.9099999999999998E-2</v>
      </c>
      <c r="I3" s="74">
        <f>(1+H3/365)^365-1</f>
        <v>5.0321909665185904E-2</v>
      </c>
      <c r="J3" s="75"/>
      <c r="K3" s="68">
        <f>H3-'Daily Data'!AR104</f>
        <v>2.8299999999999999E-2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" customHeight="1" x14ac:dyDescent="0.5">
      <c r="A5" s="51" t="s">
        <v>17</v>
      </c>
      <c r="B5" s="56">
        <v>5.5800000000000002E-2</v>
      </c>
      <c r="C5" s="56">
        <f t="shared" ref="C5:G5" si="2">((1+$I5)^(C2/365)-1)*365/C2</f>
        <v>4.6538525450946423E-2</v>
      </c>
      <c r="D5" s="56">
        <v>6.6900000000000001E-2</v>
      </c>
      <c r="E5" s="56">
        <f t="shared" si="2"/>
        <v>4.6675188403669354E-2</v>
      </c>
      <c r="F5" s="56">
        <f t="shared" si="2"/>
        <v>4.6764604648815496E-2</v>
      </c>
      <c r="G5" s="56">
        <f t="shared" si="2"/>
        <v>4.7034225939659821E-2</v>
      </c>
      <c r="H5" s="53">
        <v>4.65E-2</v>
      </c>
      <c r="I5" s="74">
        <f t="shared" si="1"/>
        <v>4.7594976365493258E-2</v>
      </c>
      <c r="J5" s="75"/>
      <c r="K5" s="68">
        <f>H5-'Daily Data'!BJ104</f>
        <v>2.75E-2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2.9000000000000001E-2</v>
      </c>
      <c r="C7" s="52">
        <f t="shared" ref="C7:G7" si="4">((1+$I7)^(C2/365)-1)*365/C2</f>
        <v>2.7613569693030509E-2</v>
      </c>
      <c r="D7" s="52">
        <v>3.0300000000000001E-2</v>
      </c>
      <c r="E7" s="52">
        <f t="shared" si="4"/>
        <v>2.7661657006941637E-2</v>
      </c>
      <c r="F7" s="52">
        <f t="shared" si="4"/>
        <v>2.7693078446810349E-2</v>
      </c>
      <c r="G7" s="52">
        <f t="shared" si="4"/>
        <v>2.7787628574820866E-2</v>
      </c>
      <c r="H7" s="53">
        <v>2.76E-2</v>
      </c>
      <c r="I7" s="74">
        <f t="shared" si="1"/>
        <v>2.7983335754216743E-2</v>
      </c>
      <c r="J7" s="75"/>
      <c r="K7" s="68">
        <f>H7-1.06%</f>
        <v>1.7000000000000001E-2</v>
      </c>
    </row>
    <row r="8" spans="1:11" ht="23" customHeight="1" x14ac:dyDescent="0.4">
      <c r="A8" s="51" t="s">
        <v>62</v>
      </c>
      <c r="B8" s="52">
        <f>((1+$I8)^(B2/365)-1)*365/B2</f>
        <v>4.3615627439733053E-2</v>
      </c>
      <c r="C8" s="52">
        <f t="shared" ref="C8:G8" si="5">((1+$I8)^(C2/365)-1)*365/C2</f>
        <v>4.363386889274766E-2</v>
      </c>
      <c r="D8" s="52">
        <f t="shared" si="5"/>
        <v>4.3675601850457969E-2</v>
      </c>
      <c r="E8" s="52">
        <f t="shared" si="5"/>
        <v>4.3753994653074044E-2</v>
      </c>
      <c r="F8" s="52">
        <f t="shared" si="5"/>
        <v>4.3832575064065793E-2</v>
      </c>
      <c r="G8" s="52">
        <f t="shared" si="5"/>
        <v>4.4069447005582213E-2</v>
      </c>
      <c r="H8" s="53">
        <v>4.36E-2</v>
      </c>
      <c r="I8" s="74">
        <f t="shared" si="1"/>
        <v>4.4561725651013573E-2</v>
      </c>
      <c r="J8" s="75"/>
      <c r="K8" s="68">
        <f>H8-'Daily Data'!H104</f>
        <v>2.3400000000000001E-2</v>
      </c>
    </row>
    <row r="9" spans="1:11" ht="23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3.7499999999999999E-2</v>
      </c>
      <c r="C3" s="55">
        <v>3.7999999999999999E-2</v>
      </c>
      <c r="D3" s="55">
        <v>4.4999999999999998E-2</v>
      </c>
      <c r="E3" s="55">
        <v>0.04</v>
      </c>
      <c r="F3" s="55">
        <v>4.7E-2</v>
      </c>
      <c r="G3" s="55">
        <v>5.9900000000000002E-2</v>
      </c>
      <c r="H3" s="53">
        <v>4.41E-2</v>
      </c>
      <c r="I3" s="74">
        <f>(1+H3/365)^365-1</f>
        <v>4.5084074336688928E-2</v>
      </c>
      <c r="J3" s="75"/>
      <c r="K3" s="68">
        <f>H3-'Daily Data'!AR105</f>
        <v>2.75E-2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Data'!Z105</f>
        <v>9.700000000000002E-3</v>
      </c>
    </row>
    <row r="5" spans="1:11" ht="23" customHeight="1" x14ac:dyDescent="0.5">
      <c r="A5" s="51" t="s">
        <v>17</v>
      </c>
      <c r="B5" s="56">
        <v>4.8599999999999997E-2</v>
      </c>
      <c r="C5" s="56">
        <f t="shared" ref="C5:G5" si="2">((1+$I5)^(C2/365)-1)*365/C2</f>
        <v>4.052922289982909E-2</v>
      </c>
      <c r="D5" s="56">
        <v>5.8299999999999998E-2</v>
      </c>
      <c r="E5" s="56">
        <f t="shared" si="2"/>
        <v>4.0632852986788683E-2</v>
      </c>
      <c r="F5" s="56">
        <f t="shared" si="2"/>
        <v>4.0700628138462452E-2</v>
      </c>
      <c r="G5" s="56">
        <f t="shared" si="2"/>
        <v>4.0904859236788139E-2</v>
      </c>
      <c r="H5" s="57">
        <v>4.0500000000000001E-2</v>
      </c>
      <c r="I5" s="74">
        <f t="shared" si="1"/>
        <v>4.1328970092306072E-2</v>
      </c>
      <c r="J5" s="75"/>
      <c r="K5" s="68">
        <f>H5-'Daily Data'!BJ105</f>
        <v>2.5300000000000003E-2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2.69E-2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" customHeight="1" x14ac:dyDescent="0.4">
      <c r="A8" s="51" t="s">
        <v>62</v>
      </c>
      <c r="B8" s="52">
        <f>((1+$I8)^(B2/365)-1)*365/B2</f>
        <v>3.8712311956318669E-2</v>
      </c>
      <c r="C8" s="52">
        <f t="shared" ref="C8:G8" si="5">((1+$I8)^(C2/365)-1)*365/C2</f>
        <v>3.8726682506561701E-2</v>
      </c>
      <c r="D8" s="52">
        <f t="shared" si="5"/>
        <v>3.8759556193956914E-2</v>
      </c>
      <c r="E8" s="52">
        <f t="shared" si="5"/>
        <v>3.8821294681477138E-2</v>
      </c>
      <c r="F8" s="52">
        <f t="shared" si="5"/>
        <v>3.8883164289896549E-2</v>
      </c>
      <c r="G8" s="52">
        <f t="shared" si="5"/>
        <v>3.9069562977386327E-2</v>
      </c>
      <c r="H8" s="53">
        <v>3.8699999999999998E-2</v>
      </c>
      <c r="I8" s="74">
        <f t="shared" si="1"/>
        <v>3.9456466858355688E-2</v>
      </c>
      <c r="J8" s="75"/>
      <c r="K8" s="68">
        <f>H8-'Daily Data'!H105</f>
        <v>2.24E-2</v>
      </c>
    </row>
    <row r="9" spans="1:11" ht="23" customHeight="1" x14ac:dyDescent="0.5">
      <c r="A9" s="51" t="s">
        <v>61</v>
      </c>
      <c r="B9" s="56">
        <f>((1+$I9)^(B2/365)-1)*365/B2</f>
        <v>4.2614918737380006E-2</v>
      </c>
      <c r="C9" s="56">
        <f t="shared" ref="C9:G9" si="6">((1+$I9)^(C2/365)-1)*365/C2</f>
        <v>4.263233273613546E-2</v>
      </c>
      <c r="D9" s="56">
        <f t="shared" si="6"/>
        <v>4.2672171799586711E-2</v>
      </c>
      <c r="E9" s="56">
        <f t="shared" si="6"/>
        <v>4.2747003891891823E-2</v>
      </c>
      <c r="F9" s="56">
        <f t="shared" si="6"/>
        <v>4.2822010956684808E-2</v>
      </c>
      <c r="G9" s="56">
        <f t="shared" si="6"/>
        <v>4.3048086595060091E-2</v>
      </c>
      <c r="H9" s="53">
        <v>4.2599999999999999E-2</v>
      </c>
      <c r="I9" s="74">
        <f t="shared" si="1"/>
        <v>4.3517809238476701E-2</v>
      </c>
      <c r="J9" s="75"/>
      <c r="K9" s="69"/>
    </row>
  </sheetData>
  <conditionalFormatting sqref="A1:J9">
    <cfRule type="expression" dxfId="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Data'!AR106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Data'!Z106</f>
        <v>1.0100000000000001E-2</v>
      </c>
    </row>
    <row r="5" spans="1:11" ht="23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3.8225997347559368E-2</v>
      </c>
      <c r="D5" s="56">
        <v>5.2999999999999999E-2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Data'!BJ106</f>
        <v>2.4299999999999999E-2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Data'!H106</f>
        <v>2.1900000000000003E-2</v>
      </c>
    </row>
    <row r="9" spans="1:11" ht="23" customHeight="1" x14ac:dyDescent="0.5">
      <c r="A9" s="51" t="s">
        <v>61</v>
      </c>
      <c r="B9" s="56">
        <f>((1+$I9)^(B2/365)-1)*365/B2</f>
        <v>4.0513484000246666E-2</v>
      </c>
      <c r="C9" s="56">
        <f t="shared" ref="C9:G9" si="6">((1+$I9)^(C2/365)-1)*365/C2</f>
        <v>4.052922289982909E-2</v>
      </c>
      <c r="D9" s="56">
        <f t="shared" si="6"/>
        <v>4.0565228148374044E-2</v>
      </c>
      <c r="E9" s="56">
        <f t="shared" si="6"/>
        <v>4.0632852986788683E-2</v>
      </c>
      <c r="F9" s="56">
        <f t="shared" si="6"/>
        <v>4.0700628138462452E-2</v>
      </c>
      <c r="G9" s="56">
        <f t="shared" si="6"/>
        <v>4.0904859236788139E-2</v>
      </c>
      <c r="H9" s="53">
        <v>4.0500000000000001E-2</v>
      </c>
      <c r="I9" s="74">
        <f t="shared" si="1"/>
        <v>4.1328970092306072E-2</v>
      </c>
      <c r="J9" s="75"/>
      <c r="K9" s="69"/>
    </row>
  </sheetData>
  <conditionalFormatting sqref="A1:J9">
    <cfRule type="expression" dxfId="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Data'!AR107</f>
        <v>2.5700000000000001E-2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Data'!Z107</f>
        <v>1.0000000000000002E-2</v>
      </c>
    </row>
    <row r="5" spans="1:11" ht="23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3.7224653775365733E-2</v>
      </c>
      <c r="D5" s="56">
        <v>5.2999999999999999E-2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Data'!BJ107</f>
        <v>2.1599999999999998E-2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Data'!H107</f>
        <v>2.23E-2</v>
      </c>
    </row>
    <row r="9" spans="1:11" ht="23" customHeight="1" x14ac:dyDescent="0.5">
      <c r="A9" s="51" t="s">
        <v>61</v>
      </c>
      <c r="B9" s="56">
        <f>((1+$I9)^(B2/365)-1)*365/B2</f>
        <v>3.8712311956318669E-2</v>
      </c>
      <c r="C9" s="56">
        <f t="shared" ref="C9:G9" si="6">((1+$I9)^(C2/365)-1)*365/C2</f>
        <v>3.8726682506561701E-2</v>
      </c>
      <c r="D9" s="56">
        <f t="shared" si="6"/>
        <v>3.8759556193956914E-2</v>
      </c>
      <c r="E9" s="56">
        <f t="shared" si="6"/>
        <v>3.8821294681477138E-2</v>
      </c>
      <c r="F9" s="56">
        <f t="shared" si="6"/>
        <v>3.8883164289896549E-2</v>
      </c>
      <c r="G9" s="56">
        <f t="shared" si="6"/>
        <v>3.9069562977386327E-2</v>
      </c>
      <c r="H9" s="53">
        <v>3.8699999999999998E-2</v>
      </c>
      <c r="I9" s="74">
        <f t="shared" si="1"/>
        <v>3.9456466858355688E-2</v>
      </c>
      <c r="J9" s="75"/>
      <c r="K9" s="69"/>
    </row>
  </sheetData>
  <conditionalFormatting sqref="A1:J3 I4:J9 A4:H5 A6:G7 A8:H9">
    <cfRule type="expression" dxfId="3" priority="5">
      <formula>_xlfn.ISFORMULA(A1)</formula>
    </cfRule>
    <cfRule type="expression" priority="6">
      <formula>_xlfn.ISFORMULA(A1)</formula>
    </cfRule>
  </conditionalFormatting>
  <conditionalFormatting sqref="H6">
    <cfRule type="expression" dxfId="1" priority="3">
      <formula>_xlfn.ISFORMULA(H6)</formula>
    </cfRule>
    <cfRule type="expression" priority="4">
      <formula>_xlfn.ISFORMULA(H6)</formula>
    </cfRule>
  </conditionalFormatting>
  <conditionalFormatting sqref="H7">
    <cfRule type="expression" dxfId="0" priority="1">
      <formula>_xlfn.ISFORMULA(H7)</formula>
    </cfRule>
    <cfRule type="expression" priority="2">
      <formula>_xlfn.ISFORMULA(H7)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activeCell="F34" sqref="F3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Data'!AR108</f>
        <v>2.64E-2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Data'!Z108</f>
        <v>1.0800000000000001E-2</v>
      </c>
    </row>
    <row r="5" spans="1:11" ht="23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Data'!BJ108</f>
        <v>2.3699999999999999E-2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Data'!H108</f>
        <v>2.23E-2</v>
      </c>
    </row>
    <row r="9" spans="1:11" ht="23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83</vt:i4>
      </vt:variant>
    </vt:vector>
  </HeadingPairs>
  <TitlesOfParts>
    <vt:vector size="83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29,3,2026</vt:lpstr>
      <vt:lpstr>30,3,2026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2026-06-08T08:34:13Z</dcterms:modified>
</cp:coreProperties>
</file>