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omments143.xml" ContentType="application/vnd.openxmlformats-officedocument.spreadsheetml.comments+xml"/>
  <Override PartName="/xl/comments144.xml" ContentType="application/vnd.openxmlformats-officedocument.spreadsheetml.comments+xml"/>
  <Override PartName="/xl/comments145.xml" ContentType="application/vnd.openxmlformats-officedocument.spreadsheetml.comments+xml"/>
  <Override PartName="/xl/comments146.xml" ContentType="application/vnd.openxmlformats-officedocument.spreadsheetml.comments+xml"/>
  <Override PartName="/xl/comments147.xml" ContentType="application/vnd.openxmlformats-officedocument.spreadsheetml.comments+xml"/>
  <Override PartName="/xl/comments148.xml" ContentType="application/vnd.openxmlformats-officedocument.spreadsheetml.comments+xml"/>
  <Override PartName="/xl/comments149.xml" ContentType="application/vnd.openxmlformats-officedocument.spreadsheetml.comments+xml"/>
  <Override PartName="/xl/comments150.xml" ContentType="application/vnd.openxmlformats-officedocument.spreadsheetml.comments+xml"/>
  <Override PartName="/xl/comments151.xml" ContentType="application/vnd.openxmlformats-officedocument.spreadsheetml.comments+xml"/>
  <Override PartName="/xl/comments152.xml" ContentType="application/vnd.openxmlformats-officedocument.spreadsheetml.comments+xml"/>
  <Override PartName="/xl/comments153.xml" ContentType="application/vnd.openxmlformats-officedocument.spreadsheetml.comments+xml"/>
  <Override PartName="/xl/comments154.xml" ContentType="application/vnd.openxmlformats-officedocument.spreadsheetml.comments+xml"/>
  <Override PartName="/xl/comments155.xml" ContentType="application/vnd.openxmlformats-officedocument.spreadsheetml.comments+xml"/>
  <Override PartName="/xl/comments156.xml" ContentType="application/vnd.openxmlformats-officedocument.spreadsheetml.comments+xml"/>
  <Override PartName="/xl/comments157.xml" ContentType="application/vnd.openxmlformats-officedocument.spreadsheetml.comments+xml"/>
  <Override PartName="/xl/comments158.xml" ContentType="application/vnd.openxmlformats-officedocument.spreadsheetml.comments+xml"/>
  <Override PartName="/xl/comments159.xml" ContentType="application/vnd.openxmlformats-officedocument.spreadsheetml.comments+xml"/>
  <Override PartName="/xl/comments160.xml" ContentType="application/vnd.openxmlformats-officedocument.spreadsheetml.comments+xml"/>
  <Override PartName="/xl/comments161.xml" ContentType="application/vnd.openxmlformats-officedocument.spreadsheetml.comments+xml"/>
  <Override PartName="/xl/comments162.xml" ContentType="application/vnd.openxmlformats-officedocument.spreadsheetml.comments+xml"/>
  <Override PartName="/xl/comments163.xml" ContentType="application/vnd.openxmlformats-officedocument.spreadsheetml.comments+xml"/>
  <Override PartName="/xl/comments164.xml" ContentType="application/vnd.openxmlformats-officedocument.spreadsheetml.comments+xml"/>
  <Override PartName="/xl/comments165.xml" ContentType="application/vnd.openxmlformats-officedocument.spreadsheetml.comments+xml"/>
  <Override PartName="/xl/comments166.xml" ContentType="application/vnd.openxmlformats-officedocument.spreadsheetml.comments+xml"/>
  <Override PartName="/xl/comments16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52DE6F63-8CD4-42E5-8AFC-374139B26E25}" xr6:coauthVersionLast="47" xr6:coauthVersionMax="47" xr10:uidLastSave="{00000000-0000-0000-0000-000000000000}"/>
  <bookViews>
    <workbookView xWindow="-110" yWindow="-110" windowWidth="19420" windowHeight="11500" firstSheet="164" activeTab="169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  <sheet name="06.08.2026" sheetId="164" r:id="rId141"/>
    <sheet name="07.08.2026" sheetId="165" r:id="rId142"/>
    <sheet name="08.08.2026" sheetId="166" r:id="rId143"/>
    <sheet name="09.08.2026" sheetId="167" r:id="rId144"/>
    <sheet name="10.08.2026" sheetId="168" r:id="rId145"/>
    <sheet name="11.08.2026" sheetId="169" r:id="rId146"/>
    <sheet name="12.08.2026" sheetId="170" r:id="rId147"/>
    <sheet name="13.08.2026" sheetId="171" r:id="rId148"/>
    <sheet name="14.08.2026" sheetId="172" r:id="rId149"/>
    <sheet name="15.08.2026" sheetId="173" r:id="rId150"/>
    <sheet name="16.08.2026" sheetId="174" r:id="rId151"/>
    <sheet name="17.08.2026" sheetId="175" r:id="rId152"/>
    <sheet name="18.08.2026" sheetId="176" r:id="rId153"/>
    <sheet name="19.08.2026" sheetId="177" r:id="rId154"/>
    <sheet name="20.08.2026" sheetId="178" r:id="rId155"/>
    <sheet name="21.08.2026" sheetId="179" r:id="rId156"/>
    <sheet name="22.08.2026" sheetId="180" r:id="rId157"/>
    <sheet name="23.08.2026" sheetId="181" r:id="rId158"/>
    <sheet name="24.08.2026" sheetId="182" r:id="rId159"/>
    <sheet name="25.08.2026" sheetId="183" r:id="rId160"/>
    <sheet name="26.08.2026" sheetId="184" r:id="rId161"/>
    <sheet name="27.08.2026" sheetId="185" r:id="rId162"/>
    <sheet name="28.08.2026" sheetId="186" r:id="rId163"/>
    <sheet name="29.08.2026" sheetId="187" r:id="rId164"/>
    <sheet name="30.08.2026" sheetId="188" r:id="rId165"/>
    <sheet name="31.08.2026" sheetId="189" r:id="rId166"/>
    <sheet name="01.09.2026" sheetId="190" r:id="rId167"/>
    <sheet name="02.09.2026" sheetId="191" r:id="rId168"/>
    <sheet name="03.09.2026" sheetId="192" r:id="rId169"/>
    <sheet name="04.09.2026" sheetId="193" r:id="rId17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193" l="1"/>
  <c r="F9" i="193" s="1"/>
  <c r="K8" i="193"/>
  <c r="I8" i="193"/>
  <c r="G8" i="193"/>
  <c r="F8" i="193"/>
  <c r="E8" i="193"/>
  <c r="D8" i="193"/>
  <c r="C8" i="193"/>
  <c r="B8" i="193"/>
  <c r="K7" i="193"/>
  <c r="I7" i="193"/>
  <c r="G7" i="193"/>
  <c r="F7" i="193"/>
  <c r="E7" i="193"/>
  <c r="C7" i="193"/>
  <c r="K6" i="193"/>
  <c r="I6" i="193"/>
  <c r="F6" i="193" s="1"/>
  <c r="G6" i="193"/>
  <c r="K5" i="193"/>
  <c r="I5" i="193"/>
  <c r="G5" i="193"/>
  <c r="F5" i="193"/>
  <c r="E5" i="193"/>
  <c r="C5" i="193"/>
  <c r="K4" i="193"/>
  <c r="I4" i="193"/>
  <c r="G4" i="193"/>
  <c r="F4" i="193"/>
  <c r="E4" i="193"/>
  <c r="D4" i="193"/>
  <c r="C4" i="193"/>
  <c r="B4" i="193"/>
  <c r="K3" i="193"/>
  <c r="I3" i="193"/>
  <c r="BS196" i="10"/>
  <c r="AI196" i="10"/>
  <c r="Q196" i="10"/>
  <c r="BS195" i="10"/>
  <c r="AI195" i="10"/>
  <c r="Q195" i="10"/>
  <c r="I9" i="192"/>
  <c r="C9" i="192" s="1"/>
  <c r="G9" i="192"/>
  <c r="F9" i="192"/>
  <c r="E9" i="192"/>
  <c r="D9" i="192"/>
  <c r="B9" i="192"/>
  <c r="K8" i="192"/>
  <c r="I8" i="192"/>
  <c r="G8" i="192" s="1"/>
  <c r="K7" i="192"/>
  <c r="I7" i="192"/>
  <c r="C7" i="192" s="1"/>
  <c r="K6" i="192"/>
  <c r="I6" i="192"/>
  <c r="G6" i="192"/>
  <c r="F6" i="192"/>
  <c r="E6" i="192"/>
  <c r="C6" i="192"/>
  <c r="K5" i="192"/>
  <c r="I5" i="192"/>
  <c r="G5" i="192"/>
  <c r="F5" i="192"/>
  <c r="E5" i="192"/>
  <c r="C5" i="192"/>
  <c r="K4" i="192"/>
  <c r="I4" i="192"/>
  <c r="G4" i="192"/>
  <c r="F4" i="192"/>
  <c r="E4" i="192"/>
  <c r="D4" i="192"/>
  <c r="C4" i="192"/>
  <c r="B4" i="192"/>
  <c r="K3" i="192"/>
  <c r="I3" i="192"/>
  <c r="BS194" i="10"/>
  <c r="AI194" i="10"/>
  <c r="Q194" i="10"/>
  <c r="I9" i="191"/>
  <c r="F9" i="191" s="1"/>
  <c r="G9" i="191"/>
  <c r="C9" i="191"/>
  <c r="K8" i="191"/>
  <c r="I8" i="191"/>
  <c r="G8" i="191"/>
  <c r="F8" i="191"/>
  <c r="E8" i="191"/>
  <c r="D8" i="191"/>
  <c r="C8" i="191"/>
  <c r="B8" i="191"/>
  <c r="K7" i="191"/>
  <c r="I7" i="191"/>
  <c r="G7" i="191" s="1"/>
  <c r="K6" i="191"/>
  <c r="I6" i="191"/>
  <c r="F6" i="191" s="1"/>
  <c r="G6" i="191"/>
  <c r="K5" i="191"/>
  <c r="I5" i="191"/>
  <c r="G5" i="191"/>
  <c r="F5" i="191"/>
  <c r="E5" i="191"/>
  <c r="C5" i="191"/>
  <c r="K4" i="191"/>
  <c r="I4" i="191"/>
  <c r="G4" i="191"/>
  <c r="F4" i="191"/>
  <c r="E4" i="191"/>
  <c r="D4" i="191"/>
  <c r="C4" i="191"/>
  <c r="B4" i="191"/>
  <c r="K3" i="191"/>
  <c r="I3" i="191"/>
  <c r="BS193" i="10"/>
  <c r="AI192" i="10"/>
  <c r="AI193" i="10"/>
  <c r="Q193" i="10"/>
  <c r="I9" i="190"/>
  <c r="G9" i="190" s="1"/>
  <c r="K8" i="190"/>
  <c r="I8" i="190"/>
  <c r="D8" i="190" s="1"/>
  <c r="K7" i="190"/>
  <c r="I7" i="190"/>
  <c r="G7" i="190" s="1"/>
  <c r="K6" i="190"/>
  <c r="I6" i="190"/>
  <c r="G6" i="190" s="1"/>
  <c r="K5" i="190"/>
  <c r="I5" i="190"/>
  <c r="C5" i="190" s="1"/>
  <c r="K4" i="190"/>
  <c r="I4" i="190"/>
  <c r="G4" i="190" s="1"/>
  <c r="K3" i="190"/>
  <c r="I3" i="190"/>
  <c r="G9" i="193" l="1"/>
  <c r="B9" i="193"/>
  <c r="C9" i="193"/>
  <c r="C6" i="193"/>
  <c r="D9" i="193"/>
  <c r="E6" i="193"/>
  <c r="E9" i="193"/>
  <c r="B8" i="192"/>
  <c r="C8" i="192"/>
  <c r="D8" i="192"/>
  <c r="E8" i="192"/>
  <c r="F8" i="192"/>
  <c r="G7" i="192"/>
  <c r="E7" i="192"/>
  <c r="F7" i="192"/>
  <c r="C7" i="191"/>
  <c r="E7" i="191"/>
  <c r="F7" i="191"/>
  <c r="B9" i="191"/>
  <c r="C6" i="191"/>
  <c r="D9" i="191"/>
  <c r="E6" i="191"/>
  <c r="E9" i="191"/>
  <c r="B9" i="190"/>
  <c r="C7" i="190"/>
  <c r="E7" i="190"/>
  <c r="B4" i="190"/>
  <c r="F7" i="190"/>
  <c r="C4" i="190"/>
  <c r="D4" i="190"/>
  <c r="E8" i="190"/>
  <c r="F8" i="190"/>
  <c r="E5" i="190"/>
  <c r="G8" i="190"/>
  <c r="F5" i="190"/>
  <c r="C9" i="190"/>
  <c r="C6" i="190"/>
  <c r="D9" i="190"/>
  <c r="E6" i="190"/>
  <c r="E9" i="190"/>
  <c r="G5" i="190"/>
  <c r="F6" i="190"/>
  <c r="F9" i="190"/>
  <c r="E4" i="190"/>
  <c r="F4" i="190"/>
  <c r="B8" i="190"/>
  <c r="C8" i="190"/>
  <c r="E9" i="189"/>
  <c r="D9" i="189"/>
  <c r="C9" i="189"/>
  <c r="B9" i="189"/>
  <c r="G7" i="189"/>
  <c r="F7" i="189"/>
  <c r="E7" i="189"/>
  <c r="C7" i="189"/>
  <c r="F6" i="189"/>
  <c r="E6" i="189"/>
  <c r="C6" i="189"/>
  <c r="G5" i="189"/>
  <c r="F5" i="189"/>
  <c r="E7" i="188"/>
  <c r="G5" i="188"/>
  <c r="F5" i="188"/>
  <c r="E5" i="188"/>
  <c r="D4" i="188"/>
  <c r="C4" i="188"/>
  <c r="B4" i="188"/>
  <c r="BS190" i="10"/>
  <c r="BS191" i="10"/>
  <c r="BS192" i="10"/>
  <c r="AI190" i="10"/>
  <c r="AI191" i="10"/>
  <c r="Q192" i="10"/>
  <c r="Q191" i="10"/>
  <c r="Q190" i="10"/>
  <c r="I9" i="189"/>
  <c r="G9" i="189" s="1"/>
  <c r="K8" i="189"/>
  <c r="I8" i="189"/>
  <c r="F8" i="189" s="1"/>
  <c r="K7" i="189"/>
  <c r="I7" i="189"/>
  <c r="K6" i="189"/>
  <c r="I6" i="189"/>
  <c r="G6" i="189" s="1"/>
  <c r="K5" i="189"/>
  <c r="I5" i="189"/>
  <c r="E5" i="189" s="1"/>
  <c r="K4" i="189"/>
  <c r="I4" i="189"/>
  <c r="G4" i="189" s="1"/>
  <c r="K3" i="189"/>
  <c r="I3" i="189"/>
  <c r="I9" i="188"/>
  <c r="G9" i="188" s="1"/>
  <c r="K8" i="188"/>
  <c r="I8" i="188"/>
  <c r="G8" i="188" s="1"/>
  <c r="K7" i="188"/>
  <c r="I7" i="188"/>
  <c r="F7" i="188" s="1"/>
  <c r="K6" i="188"/>
  <c r="I6" i="188"/>
  <c r="C6" i="188" s="1"/>
  <c r="K5" i="188"/>
  <c r="I5" i="188"/>
  <c r="C5" i="188" s="1"/>
  <c r="K4" i="188"/>
  <c r="I4" i="188"/>
  <c r="E4" i="188" s="1"/>
  <c r="K3" i="188"/>
  <c r="I3" i="188"/>
  <c r="I9" i="187"/>
  <c r="G9" i="187" s="1"/>
  <c r="E9" i="187"/>
  <c r="D9" i="187"/>
  <c r="C9" i="187"/>
  <c r="B9" i="187"/>
  <c r="K8" i="187"/>
  <c r="I8" i="187"/>
  <c r="G8" i="187" s="1"/>
  <c r="K7" i="187"/>
  <c r="I7" i="187"/>
  <c r="G7" i="187"/>
  <c r="F7" i="187"/>
  <c r="E7" i="187"/>
  <c r="C7" i="187"/>
  <c r="K6" i="187"/>
  <c r="I6" i="187"/>
  <c r="G6" i="187" s="1"/>
  <c r="E6" i="187"/>
  <c r="C6" i="187"/>
  <c r="K5" i="187"/>
  <c r="I5" i="187"/>
  <c r="E5" i="187" s="1"/>
  <c r="G5" i="187"/>
  <c r="F5" i="187"/>
  <c r="K4" i="187"/>
  <c r="I4" i="187"/>
  <c r="G4" i="187"/>
  <c r="F4" i="187"/>
  <c r="E4" i="187"/>
  <c r="D4" i="187"/>
  <c r="C4" i="187"/>
  <c r="B4" i="187"/>
  <c r="K3" i="187"/>
  <c r="I3" i="187"/>
  <c r="BS189" i="10"/>
  <c r="AI189" i="10"/>
  <c r="Q189" i="10"/>
  <c r="I9" i="186"/>
  <c r="G9" i="186" s="1"/>
  <c r="K8" i="186"/>
  <c r="I8" i="186"/>
  <c r="G8" i="186" s="1"/>
  <c r="B8" i="186"/>
  <c r="K7" i="186"/>
  <c r="I7" i="186"/>
  <c r="G7" i="186" s="1"/>
  <c r="F7" i="186"/>
  <c r="E7" i="186"/>
  <c r="C7" i="186"/>
  <c r="K6" i="186"/>
  <c r="I6" i="186"/>
  <c r="G6" i="186" s="1"/>
  <c r="K5" i="186"/>
  <c r="I5" i="186"/>
  <c r="G5" i="186"/>
  <c r="F5" i="186"/>
  <c r="E5" i="186"/>
  <c r="C5" i="186"/>
  <c r="K4" i="186"/>
  <c r="I4" i="186"/>
  <c r="D4" i="186" s="1"/>
  <c r="G4" i="186"/>
  <c r="F4" i="186"/>
  <c r="E4" i="186"/>
  <c r="K3" i="186"/>
  <c r="I3" i="186"/>
  <c r="BS188" i="10"/>
  <c r="AI188" i="10"/>
  <c r="Q188" i="10"/>
  <c r="I9" i="185"/>
  <c r="B9" i="185" s="1"/>
  <c r="G9" i="185"/>
  <c r="F9" i="185"/>
  <c r="E9" i="185"/>
  <c r="D9" i="185"/>
  <c r="C9" i="185"/>
  <c r="K8" i="185"/>
  <c r="I8" i="185"/>
  <c r="G8" i="185"/>
  <c r="F8" i="185"/>
  <c r="E8" i="185"/>
  <c r="D8" i="185"/>
  <c r="C8" i="185"/>
  <c r="B8" i="185"/>
  <c r="K7" i="185"/>
  <c r="I7" i="185"/>
  <c r="E7" i="185" s="1"/>
  <c r="G7" i="185"/>
  <c r="F7" i="185"/>
  <c r="K6" i="185"/>
  <c r="I6" i="185"/>
  <c r="G6" i="185"/>
  <c r="F6" i="185"/>
  <c r="E6" i="185"/>
  <c r="C6" i="185"/>
  <c r="K5" i="185"/>
  <c r="I5" i="185"/>
  <c r="G5" i="185"/>
  <c r="F5" i="185"/>
  <c r="E5" i="185"/>
  <c r="C5" i="185"/>
  <c r="K4" i="185"/>
  <c r="I4" i="185"/>
  <c r="G4" i="185"/>
  <c r="F4" i="185"/>
  <c r="E4" i="185"/>
  <c r="D4" i="185"/>
  <c r="C4" i="185"/>
  <c r="B4" i="185"/>
  <c r="K3" i="185"/>
  <c r="I3" i="185"/>
  <c r="G9" i="184"/>
  <c r="F9" i="184"/>
  <c r="G7" i="184"/>
  <c r="F7" i="184"/>
  <c r="E7" i="184"/>
  <c r="C7" i="184"/>
  <c r="G5" i="184"/>
  <c r="F5" i="184"/>
  <c r="I9" i="184"/>
  <c r="E9" i="184" s="1"/>
  <c r="K8" i="184"/>
  <c r="I8" i="184"/>
  <c r="F8" i="184" s="1"/>
  <c r="K7" i="184"/>
  <c r="I7" i="184"/>
  <c r="K6" i="184"/>
  <c r="I6" i="184"/>
  <c r="G6" i="184" s="1"/>
  <c r="K5" i="184"/>
  <c r="I5" i="184"/>
  <c r="E5" i="184" s="1"/>
  <c r="K4" i="184"/>
  <c r="I4" i="184"/>
  <c r="G4" i="184" s="1"/>
  <c r="K3" i="184"/>
  <c r="I3" i="184"/>
  <c r="BS187" i="10"/>
  <c r="AI187" i="10"/>
  <c r="Q187" i="10"/>
  <c r="C9" i="183"/>
  <c r="B9" i="183"/>
  <c r="C8" i="183"/>
  <c r="B8" i="183"/>
  <c r="G6" i="183"/>
  <c r="F6" i="183"/>
  <c r="E6" i="183"/>
  <c r="C6" i="183"/>
  <c r="G5" i="183"/>
  <c r="F5" i="183"/>
  <c r="E5" i="183"/>
  <c r="C5" i="183"/>
  <c r="G4" i="183"/>
  <c r="F4" i="183"/>
  <c r="E4" i="183"/>
  <c r="D4" i="183"/>
  <c r="C4" i="183"/>
  <c r="B4" i="183"/>
  <c r="BS186" i="10"/>
  <c r="AI186" i="10"/>
  <c r="Q186" i="10"/>
  <c r="I9" i="183"/>
  <c r="G9" i="183" s="1"/>
  <c r="K8" i="183"/>
  <c r="I8" i="183"/>
  <c r="G8" i="183" s="1"/>
  <c r="K7" i="183"/>
  <c r="I7" i="183"/>
  <c r="G7" i="183" s="1"/>
  <c r="K6" i="183"/>
  <c r="I6" i="183"/>
  <c r="K5" i="183"/>
  <c r="I5" i="183"/>
  <c r="K4" i="183"/>
  <c r="I4" i="183"/>
  <c r="K3" i="183"/>
  <c r="I3" i="183"/>
  <c r="I9" i="182"/>
  <c r="G9" i="182"/>
  <c r="F9" i="182"/>
  <c r="E9" i="182"/>
  <c r="D9" i="182"/>
  <c r="C9" i="182"/>
  <c r="B9" i="182"/>
  <c r="K8" i="182"/>
  <c r="I8" i="182"/>
  <c r="G8" i="182" s="1"/>
  <c r="B8" i="182"/>
  <c r="K7" i="182"/>
  <c r="I7" i="182"/>
  <c r="G7" i="182"/>
  <c r="F7" i="182"/>
  <c r="E7" i="182"/>
  <c r="C7" i="182"/>
  <c r="K6" i="182"/>
  <c r="I6" i="182"/>
  <c r="G6" i="182"/>
  <c r="F6" i="182"/>
  <c r="E6" i="182"/>
  <c r="C6" i="182"/>
  <c r="K5" i="182"/>
  <c r="I5" i="182"/>
  <c r="G5" i="182"/>
  <c r="F5" i="182"/>
  <c r="E5" i="182"/>
  <c r="C5" i="182"/>
  <c r="K4" i="182"/>
  <c r="I4" i="182"/>
  <c r="G4" i="182"/>
  <c r="F4" i="182"/>
  <c r="E4" i="182"/>
  <c r="D4" i="182"/>
  <c r="C4" i="182"/>
  <c r="B4" i="182"/>
  <c r="K3" i="182"/>
  <c r="I3" i="182"/>
  <c r="I9" i="181"/>
  <c r="G9" i="181" s="1"/>
  <c r="K8" i="181"/>
  <c r="I8" i="181"/>
  <c r="G8" i="181"/>
  <c r="F8" i="181"/>
  <c r="E8" i="181"/>
  <c r="D8" i="181"/>
  <c r="C8" i="181"/>
  <c r="B8" i="181"/>
  <c r="K7" i="181"/>
  <c r="I7" i="181"/>
  <c r="G7" i="181"/>
  <c r="F7" i="181"/>
  <c r="E7" i="181"/>
  <c r="C7" i="181"/>
  <c r="K6" i="181"/>
  <c r="I6" i="181"/>
  <c r="G6" i="181" s="1"/>
  <c r="K5" i="181"/>
  <c r="I5" i="181"/>
  <c r="G5" i="181" s="1"/>
  <c r="F5" i="181"/>
  <c r="E5" i="181"/>
  <c r="C5" i="181"/>
  <c r="K4" i="181"/>
  <c r="I4" i="181"/>
  <c r="G4" i="181"/>
  <c r="F4" i="181"/>
  <c r="E4" i="181"/>
  <c r="D4" i="181"/>
  <c r="C4" i="181"/>
  <c r="B4" i="181"/>
  <c r="K3" i="181"/>
  <c r="I3" i="181"/>
  <c r="I9" i="180"/>
  <c r="G9" i="180"/>
  <c r="F9" i="180"/>
  <c r="E9" i="180"/>
  <c r="D9" i="180"/>
  <c r="C9" i="180"/>
  <c r="B9" i="180"/>
  <c r="K8" i="180"/>
  <c r="I8" i="180"/>
  <c r="G8" i="180" s="1"/>
  <c r="F8" i="180"/>
  <c r="E8" i="180"/>
  <c r="D8" i="180"/>
  <c r="C8" i="180"/>
  <c r="B8" i="180"/>
  <c r="K7" i="180"/>
  <c r="I7" i="180"/>
  <c r="G7" i="180" s="1"/>
  <c r="K6" i="180"/>
  <c r="I6" i="180"/>
  <c r="G6" i="180" s="1"/>
  <c r="K5" i="180"/>
  <c r="I5" i="180"/>
  <c r="G5" i="180" s="1"/>
  <c r="K4" i="180"/>
  <c r="I4" i="180"/>
  <c r="G4" i="180" s="1"/>
  <c r="K3" i="180"/>
  <c r="I3" i="180"/>
  <c r="G8" i="179"/>
  <c r="F8" i="179"/>
  <c r="E8" i="179"/>
  <c r="D8" i="179"/>
  <c r="C8" i="179"/>
  <c r="B8" i="179"/>
  <c r="G4" i="179"/>
  <c r="F4" i="179"/>
  <c r="E4" i="179"/>
  <c r="D4" i="179"/>
  <c r="C4" i="179"/>
  <c r="B4" i="179"/>
  <c r="I9" i="179"/>
  <c r="G9" i="179" s="1"/>
  <c r="K8" i="179"/>
  <c r="I8" i="179"/>
  <c r="K7" i="179"/>
  <c r="I7" i="179"/>
  <c r="G7" i="179" s="1"/>
  <c r="K6" i="179"/>
  <c r="I6" i="179"/>
  <c r="G6" i="179" s="1"/>
  <c r="K5" i="179"/>
  <c r="I5" i="179"/>
  <c r="G5" i="179" s="1"/>
  <c r="K4" i="179"/>
  <c r="I4" i="179"/>
  <c r="K3" i="179"/>
  <c r="I3" i="179"/>
  <c r="BS185" i="10"/>
  <c r="BS184" i="10"/>
  <c r="BS183" i="10"/>
  <c r="BS182" i="10"/>
  <c r="AI185" i="10"/>
  <c r="AI184" i="10"/>
  <c r="AI183" i="10"/>
  <c r="AI182" i="10"/>
  <c r="Q185" i="10"/>
  <c r="Q184" i="10"/>
  <c r="Q183" i="10"/>
  <c r="Q182" i="10"/>
  <c r="C8" i="189" l="1"/>
  <c r="D8" i="189"/>
  <c r="E8" i="189"/>
  <c r="B8" i="189"/>
  <c r="G8" i="189"/>
  <c r="B4" i="189"/>
  <c r="C5" i="189"/>
  <c r="F9" i="189"/>
  <c r="C4" i="189"/>
  <c r="D4" i="189"/>
  <c r="E4" i="189"/>
  <c r="F4" i="189"/>
  <c r="F6" i="188"/>
  <c r="E8" i="188"/>
  <c r="F4" i="188"/>
  <c r="D9" i="188"/>
  <c r="C7" i="188"/>
  <c r="G7" i="188"/>
  <c r="C8" i="188"/>
  <c r="B9" i="188"/>
  <c r="C9" i="188"/>
  <c r="G4" i="188"/>
  <c r="E9" i="188"/>
  <c r="E6" i="188"/>
  <c r="G6" i="188"/>
  <c r="B8" i="188"/>
  <c r="D8" i="188"/>
  <c r="F8" i="188"/>
  <c r="F9" i="188"/>
  <c r="B8" i="187"/>
  <c r="C8" i="187"/>
  <c r="D8" i="187"/>
  <c r="E8" i="187"/>
  <c r="C5" i="187"/>
  <c r="F8" i="187"/>
  <c r="F6" i="187"/>
  <c r="F9" i="187"/>
  <c r="C8" i="186"/>
  <c r="D8" i="186"/>
  <c r="E8" i="186"/>
  <c r="F8" i="186"/>
  <c r="B4" i="186"/>
  <c r="C4" i="186"/>
  <c r="B9" i="186"/>
  <c r="C9" i="186"/>
  <c r="C6" i="186"/>
  <c r="D9" i="186"/>
  <c r="E6" i="186"/>
  <c r="E9" i="186"/>
  <c r="F6" i="186"/>
  <c r="F9" i="186"/>
  <c r="C7" i="185"/>
  <c r="B9" i="184"/>
  <c r="C9" i="184"/>
  <c r="D9" i="184"/>
  <c r="D8" i="184"/>
  <c r="G8" i="184"/>
  <c r="B8" i="184"/>
  <c r="C8" i="184"/>
  <c r="E8" i="184"/>
  <c r="C6" i="184"/>
  <c r="E6" i="184"/>
  <c r="F6" i="184"/>
  <c r="C5" i="184"/>
  <c r="F4" i="184"/>
  <c r="B4" i="184"/>
  <c r="C4" i="184"/>
  <c r="D4" i="184"/>
  <c r="E4" i="184"/>
  <c r="D9" i="183"/>
  <c r="E9" i="183"/>
  <c r="F9" i="183"/>
  <c r="F8" i="183"/>
  <c r="D8" i="183"/>
  <c r="E8" i="183"/>
  <c r="C7" i="183"/>
  <c r="E7" i="183"/>
  <c r="F7" i="183"/>
  <c r="C8" i="182"/>
  <c r="D8" i="182"/>
  <c r="E8" i="182"/>
  <c r="F8" i="182"/>
  <c r="B9" i="181"/>
  <c r="F9" i="181"/>
  <c r="C9" i="181"/>
  <c r="C6" i="181"/>
  <c r="D9" i="181"/>
  <c r="E6" i="181"/>
  <c r="E9" i="181"/>
  <c r="F6" i="181"/>
  <c r="C7" i="180"/>
  <c r="E7" i="180"/>
  <c r="F7" i="180"/>
  <c r="C5" i="180"/>
  <c r="E5" i="180"/>
  <c r="F5" i="180"/>
  <c r="B4" i="180"/>
  <c r="C4" i="180"/>
  <c r="D4" i="180"/>
  <c r="E4" i="180"/>
  <c r="F4" i="180"/>
  <c r="C6" i="180"/>
  <c r="E6" i="180"/>
  <c r="F6" i="180"/>
  <c r="B9" i="179"/>
  <c r="C9" i="179"/>
  <c r="D9" i="179"/>
  <c r="E9" i="179"/>
  <c r="F9" i="179"/>
  <c r="C7" i="179"/>
  <c r="E7" i="179"/>
  <c r="F7" i="179"/>
  <c r="F6" i="179"/>
  <c r="C6" i="179"/>
  <c r="E6" i="179"/>
  <c r="E5" i="179"/>
  <c r="C5" i="179"/>
  <c r="F5" i="179"/>
  <c r="G9" i="178"/>
  <c r="F9" i="178"/>
  <c r="E9" i="178"/>
  <c r="D9" i="178"/>
  <c r="C9" i="178"/>
  <c r="B9" i="178"/>
  <c r="G8" i="178"/>
  <c r="F8" i="178"/>
  <c r="E8" i="178"/>
  <c r="D8" i="178"/>
  <c r="C8" i="178"/>
  <c r="B8" i="178"/>
  <c r="G7" i="178"/>
  <c r="F7" i="178"/>
  <c r="E7" i="178"/>
  <c r="C7" i="178"/>
  <c r="G6" i="178"/>
  <c r="F6" i="178"/>
  <c r="E6" i="178"/>
  <c r="C6" i="178"/>
  <c r="G5" i="178"/>
  <c r="F5" i="178"/>
  <c r="E5" i="178"/>
  <c r="C5" i="178"/>
  <c r="G4" i="178"/>
  <c r="F4" i="178"/>
  <c r="E4" i="178"/>
  <c r="D4" i="178"/>
  <c r="C4" i="178"/>
  <c r="B4" i="178"/>
  <c r="I9" i="178"/>
  <c r="K8" i="178"/>
  <c r="I8" i="178"/>
  <c r="K7" i="178"/>
  <c r="I7" i="178"/>
  <c r="K6" i="178"/>
  <c r="I6" i="178"/>
  <c r="K5" i="178"/>
  <c r="I5" i="178"/>
  <c r="K4" i="178"/>
  <c r="I4" i="178"/>
  <c r="K3" i="178"/>
  <c r="I3" i="178"/>
  <c r="BS181" i="10"/>
  <c r="AI181" i="10"/>
  <c r="Q181" i="10"/>
  <c r="I9" i="177"/>
  <c r="G9" i="177"/>
  <c r="F9" i="177"/>
  <c r="E9" i="177"/>
  <c r="D9" i="177"/>
  <c r="C9" i="177"/>
  <c r="B9" i="177"/>
  <c r="K8" i="177"/>
  <c r="I8" i="177"/>
  <c r="G8" i="177"/>
  <c r="F8" i="177"/>
  <c r="E8" i="177"/>
  <c r="D8" i="177"/>
  <c r="C8" i="177"/>
  <c r="B8" i="177"/>
  <c r="K7" i="177"/>
  <c r="I7" i="177"/>
  <c r="F7" i="177" s="1"/>
  <c r="E7" i="177"/>
  <c r="K6" i="177"/>
  <c r="I6" i="177"/>
  <c r="G6" i="177" s="1"/>
  <c r="F6" i="177"/>
  <c r="E6" i="177"/>
  <c r="C6" i="177"/>
  <c r="K5" i="177"/>
  <c r="I5" i="177"/>
  <c r="G5" i="177"/>
  <c r="F5" i="177"/>
  <c r="E5" i="177"/>
  <c r="C5" i="177"/>
  <c r="K4" i="177"/>
  <c r="I4" i="177"/>
  <c r="E4" i="177" s="1"/>
  <c r="G4" i="177"/>
  <c r="D4" i="177"/>
  <c r="B4" i="177"/>
  <c r="K3" i="177"/>
  <c r="I3" i="177"/>
  <c r="BS180" i="10"/>
  <c r="AI180" i="10"/>
  <c r="Q180" i="10"/>
  <c r="G7" i="176"/>
  <c r="F7" i="176"/>
  <c r="E7" i="176"/>
  <c r="C7" i="176"/>
  <c r="G6" i="176"/>
  <c r="F6" i="176"/>
  <c r="E6" i="176"/>
  <c r="C6" i="176"/>
  <c r="G5" i="176"/>
  <c r="F5" i="176"/>
  <c r="E5" i="176"/>
  <c r="C5" i="176"/>
  <c r="G9" i="176"/>
  <c r="F9" i="176"/>
  <c r="E9" i="176"/>
  <c r="D9" i="176"/>
  <c r="C9" i="176"/>
  <c r="B9" i="176"/>
  <c r="G8" i="176"/>
  <c r="F8" i="176"/>
  <c r="E8" i="176"/>
  <c r="D8" i="176"/>
  <c r="C8" i="176"/>
  <c r="B8" i="176"/>
  <c r="G4" i="176"/>
  <c r="F4" i="176"/>
  <c r="E4" i="176"/>
  <c r="D4" i="176"/>
  <c r="C4" i="176"/>
  <c r="B4" i="176"/>
  <c r="BS179" i="10"/>
  <c r="AI179" i="10"/>
  <c r="Q179" i="10"/>
  <c r="I9" i="176"/>
  <c r="K8" i="176"/>
  <c r="I8" i="176"/>
  <c r="K7" i="176"/>
  <c r="I7" i="176"/>
  <c r="K6" i="176"/>
  <c r="I6" i="176"/>
  <c r="K5" i="176"/>
  <c r="I5" i="176"/>
  <c r="K4" i="176"/>
  <c r="I4" i="176"/>
  <c r="K3" i="176"/>
  <c r="I3" i="176"/>
  <c r="G9" i="175"/>
  <c r="F9" i="175"/>
  <c r="E9" i="175"/>
  <c r="D9" i="175"/>
  <c r="C9" i="175"/>
  <c r="B9" i="175"/>
  <c r="G8" i="175"/>
  <c r="F8" i="175"/>
  <c r="E8" i="175"/>
  <c r="C7" i="175"/>
  <c r="F6" i="175"/>
  <c r="E6" i="175"/>
  <c r="C6" i="175"/>
  <c r="G5" i="175"/>
  <c r="F5" i="175"/>
  <c r="E5" i="175"/>
  <c r="C5" i="175"/>
  <c r="G4" i="175"/>
  <c r="F4" i="175"/>
  <c r="E4" i="175"/>
  <c r="D4" i="175"/>
  <c r="C4" i="175"/>
  <c r="B4" i="175"/>
  <c r="G6" i="174"/>
  <c r="F6" i="174"/>
  <c r="E6" i="174"/>
  <c r="C6" i="174"/>
  <c r="D4" i="174"/>
  <c r="C4" i="174"/>
  <c r="B4" i="174"/>
  <c r="C9" i="173"/>
  <c r="B9" i="173"/>
  <c r="C8" i="173"/>
  <c r="B8" i="173"/>
  <c r="E7" i="173"/>
  <c r="C7" i="173"/>
  <c r="G5" i="173"/>
  <c r="F5" i="173"/>
  <c r="BS177" i="10"/>
  <c r="AI178" i="10"/>
  <c r="AI177" i="10"/>
  <c r="Q178" i="10"/>
  <c r="Q177" i="10"/>
  <c r="BS178" i="10"/>
  <c r="BS176" i="10"/>
  <c r="AI176" i="10"/>
  <c r="Q176" i="10"/>
  <c r="I9" i="175"/>
  <c r="K8" i="175"/>
  <c r="I8" i="175"/>
  <c r="D8" i="175" s="1"/>
  <c r="K7" i="175"/>
  <c r="I7" i="175"/>
  <c r="G7" i="175" s="1"/>
  <c r="K6" i="175"/>
  <c r="I6" i="175"/>
  <c r="G6" i="175" s="1"/>
  <c r="K5" i="175"/>
  <c r="I5" i="175"/>
  <c r="K4" i="175"/>
  <c r="I4" i="175"/>
  <c r="K3" i="175"/>
  <c r="I3" i="175"/>
  <c r="I9" i="174"/>
  <c r="G9" i="174" s="1"/>
  <c r="K8" i="174"/>
  <c r="I8" i="174"/>
  <c r="G8" i="174" s="1"/>
  <c r="K7" i="174"/>
  <c r="I7" i="174"/>
  <c r="G7" i="174" s="1"/>
  <c r="K6" i="174"/>
  <c r="I6" i="174"/>
  <c r="K5" i="174"/>
  <c r="I5" i="174"/>
  <c r="E5" i="174" s="1"/>
  <c r="K4" i="174"/>
  <c r="I4" i="174"/>
  <c r="G4" i="174" s="1"/>
  <c r="K3" i="174"/>
  <c r="I3" i="174"/>
  <c r="I9" i="173"/>
  <c r="G9" i="173" s="1"/>
  <c r="K8" i="173"/>
  <c r="I8" i="173"/>
  <c r="F8" i="173" s="1"/>
  <c r="K7" i="173"/>
  <c r="I7" i="173"/>
  <c r="G7" i="173" s="1"/>
  <c r="K6" i="173"/>
  <c r="I6" i="173"/>
  <c r="G6" i="173" s="1"/>
  <c r="K5" i="173"/>
  <c r="I5" i="173"/>
  <c r="E5" i="173" s="1"/>
  <c r="K4" i="173"/>
  <c r="I4" i="173"/>
  <c r="G4" i="173" s="1"/>
  <c r="K3" i="173"/>
  <c r="I3" i="173"/>
  <c r="G9" i="172"/>
  <c r="F9" i="172"/>
  <c r="E9" i="172"/>
  <c r="D9" i="172"/>
  <c r="C9" i="172"/>
  <c r="B9" i="172"/>
  <c r="G8" i="172"/>
  <c r="F8" i="172"/>
  <c r="E8" i="172"/>
  <c r="D8" i="172"/>
  <c r="C8" i="172"/>
  <c r="B8" i="172"/>
  <c r="G7" i="172"/>
  <c r="F7" i="172"/>
  <c r="E7" i="172"/>
  <c r="C7" i="172"/>
  <c r="G6" i="172"/>
  <c r="F6" i="172"/>
  <c r="E6" i="172"/>
  <c r="C6" i="172"/>
  <c r="G5" i="172"/>
  <c r="F5" i="172"/>
  <c r="E5" i="172"/>
  <c r="C5" i="172"/>
  <c r="G4" i="172"/>
  <c r="F4" i="172"/>
  <c r="E4" i="172"/>
  <c r="D4" i="172"/>
  <c r="C4" i="172"/>
  <c r="B4" i="172"/>
  <c r="I9" i="172"/>
  <c r="K8" i="172"/>
  <c r="I8" i="172"/>
  <c r="K7" i="172"/>
  <c r="I7" i="172"/>
  <c r="K6" i="172"/>
  <c r="I6" i="172"/>
  <c r="K5" i="172"/>
  <c r="I5" i="172"/>
  <c r="K4" i="172"/>
  <c r="I4" i="172"/>
  <c r="K3" i="172"/>
  <c r="I3" i="172"/>
  <c r="BS175" i="10"/>
  <c r="AI175" i="10"/>
  <c r="Q175" i="10"/>
  <c r="G9" i="171"/>
  <c r="F9" i="171"/>
  <c r="E9" i="171"/>
  <c r="D9" i="171"/>
  <c r="C9" i="171"/>
  <c r="B9" i="171"/>
  <c r="G8" i="171"/>
  <c r="F8" i="171"/>
  <c r="E8" i="171"/>
  <c r="D8" i="171"/>
  <c r="C8" i="171"/>
  <c r="B8" i="171"/>
  <c r="G7" i="171"/>
  <c r="F7" i="171"/>
  <c r="E7" i="171"/>
  <c r="C7" i="171"/>
  <c r="G6" i="171"/>
  <c r="F6" i="171"/>
  <c r="E6" i="171"/>
  <c r="C6" i="171"/>
  <c r="G5" i="171"/>
  <c r="F5" i="171"/>
  <c r="E5" i="171"/>
  <c r="C5" i="171"/>
  <c r="G7" i="177" l="1"/>
  <c r="C7" i="177"/>
  <c r="C4" i="177"/>
  <c r="F4" i="177"/>
  <c r="E7" i="175"/>
  <c r="F7" i="175"/>
  <c r="B8" i="175"/>
  <c r="C8" i="175"/>
  <c r="F5" i="174"/>
  <c r="G5" i="174"/>
  <c r="F9" i="174"/>
  <c r="C7" i="174"/>
  <c r="E7" i="174"/>
  <c r="F7" i="174"/>
  <c r="B8" i="174"/>
  <c r="C8" i="174"/>
  <c r="D8" i="174"/>
  <c r="E8" i="174"/>
  <c r="F8" i="174"/>
  <c r="B9" i="174"/>
  <c r="E4" i="174"/>
  <c r="C9" i="174"/>
  <c r="F4" i="174"/>
  <c r="D9" i="174"/>
  <c r="E9" i="174"/>
  <c r="C5" i="174"/>
  <c r="D9" i="173"/>
  <c r="E9" i="173"/>
  <c r="F9" i="173"/>
  <c r="D8" i="173"/>
  <c r="E8" i="173"/>
  <c r="G8" i="173"/>
  <c r="F7" i="173"/>
  <c r="C6" i="173"/>
  <c r="E6" i="173"/>
  <c r="F6" i="173"/>
  <c r="C5" i="173"/>
  <c r="D4" i="173"/>
  <c r="E4" i="173"/>
  <c r="F4" i="173"/>
  <c r="B4" i="173"/>
  <c r="C4" i="173"/>
  <c r="G4" i="171"/>
  <c r="F4" i="171"/>
  <c r="E4" i="171"/>
  <c r="D4" i="171"/>
  <c r="C4" i="171"/>
  <c r="B4" i="171"/>
  <c r="BS174" i="10"/>
  <c r="AI174" i="10"/>
  <c r="Q174" i="10"/>
  <c r="I9" i="171"/>
  <c r="K8" i="171"/>
  <c r="I8" i="171"/>
  <c r="K7" i="171"/>
  <c r="I7" i="171"/>
  <c r="K6" i="171"/>
  <c r="I6" i="171"/>
  <c r="K5" i="171"/>
  <c r="I5" i="171"/>
  <c r="K4" i="171"/>
  <c r="I4" i="171"/>
  <c r="K3" i="171"/>
  <c r="I3" i="171"/>
  <c r="G9" i="170"/>
  <c r="F9" i="170"/>
  <c r="E9" i="170"/>
  <c r="D9" i="170"/>
  <c r="C9" i="170"/>
  <c r="B9" i="170"/>
  <c r="G8" i="170"/>
  <c r="F8" i="170"/>
  <c r="E8" i="170"/>
  <c r="D8" i="170"/>
  <c r="C8" i="170"/>
  <c r="B8" i="170"/>
  <c r="G7" i="170"/>
  <c r="F7" i="170"/>
  <c r="E7" i="170"/>
  <c r="C7" i="170"/>
  <c r="G6" i="170"/>
  <c r="F6" i="170"/>
  <c r="E6" i="170"/>
  <c r="C6" i="170"/>
  <c r="C5" i="170"/>
  <c r="E5" i="170"/>
  <c r="F5" i="170"/>
  <c r="G5" i="170"/>
  <c r="G4" i="170"/>
  <c r="F4" i="170"/>
  <c r="E4" i="170"/>
  <c r="D4" i="170"/>
  <c r="C4" i="170"/>
  <c r="B4" i="170"/>
  <c r="BS173" i="10"/>
  <c r="AI173" i="10"/>
  <c r="Q173" i="10"/>
  <c r="I9" i="170"/>
  <c r="K8" i="170"/>
  <c r="I8" i="170"/>
  <c r="K7" i="170"/>
  <c r="I7" i="170"/>
  <c r="K6" i="170"/>
  <c r="I6" i="170"/>
  <c r="K5" i="170"/>
  <c r="I5" i="170"/>
  <c r="K4" i="170"/>
  <c r="I4" i="170"/>
  <c r="K3" i="170"/>
  <c r="I3" i="170"/>
  <c r="C9" i="169"/>
  <c r="D9" i="169"/>
  <c r="E9" i="169"/>
  <c r="F9" i="169"/>
  <c r="G9" i="169"/>
  <c r="B9" i="169"/>
  <c r="C8" i="169"/>
  <c r="D8" i="169"/>
  <c r="E8" i="169"/>
  <c r="F8" i="169"/>
  <c r="G8" i="169"/>
  <c r="B8" i="169"/>
  <c r="C7" i="169"/>
  <c r="E7" i="169"/>
  <c r="F7" i="169"/>
  <c r="G7" i="169"/>
  <c r="C6" i="169"/>
  <c r="E6" i="169"/>
  <c r="F6" i="169"/>
  <c r="G6" i="169"/>
  <c r="C5" i="169"/>
  <c r="E5" i="169"/>
  <c r="F5" i="169"/>
  <c r="G5" i="169"/>
  <c r="G4" i="169"/>
  <c r="F4" i="169"/>
  <c r="E4" i="169"/>
  <c r="D4" i="169"/>
  <c r="C4" i="169"/>
  <c r="B4" i="169"/>
  <c r="I9" i="169"/>
  <c r="I8" i="169"/>
  <c r="I7" i="169"/>
  <c r="I6" i="169"/>
  <c r="I5" i="169"/>
  <c r="I4" i="169"/>
  <c r="I3" i="169"/>
  <c r="BS172" i="10"/>
  <c r="AI172" i="10"/>
  <c r="Q172" i="10"/>
  <c r="K8" i="169"/>
  <c r="K7" i="169"/>
  <c r="K6" i="169"/>
  <c r="K5" i="169"/>
  <c r="K4" i="169"/>
  <c r="K3" i="169"/>
  <c r="G9" i="167"/>
  <c r="F9" i="167"/>
  <c r="E9" i="167"/>
  <c r="D9" i="167"/>
  <c r="C9" i="167"/>
  <c r="B9" i="167"/>
  <c r="G8" i="167"/>
  <c r="F8" i="167"/>
  <c r="E8" i="167"/>
  <c r="D8" i="167"/>
  <c r="C8" i="167"/>
  <c r="B8" i="167"/>
  <c r="C9" i="166"/>
  <c r="D9" i="166"/>
  <c r="E9" i="166"/>
  <c r="F9" i="166"/>
  <c r="G9" i="166"/>
  <c r="B9" i="166"/>
  <c r="C8" i="166"/>
  <c r="D8" i="166"/>
  <c r="E8" i="166"/>
  <c r="F8" i="166"/>
  <c r="G8" i="166"/>
  <c r="B8" i="166"/>
  <c r="C7" i="166"/>
  <c r="E7" i="166"/>
  <c r="F7" i="166"/>
  <c r="G7" i="166"/>
  <c r="C6" i="166"/>
  <c r="E6" i="166"/>
  <c r="F6" i="166"/>
  <c r="G6" i="166"/>
  <c r="C5" i="166"/>
  <c r="E5" i="166"/>
  <c r="F5" i="166"/>
  <c r="G5" i="166"/>
  <c r="G4" i="166"/>
  <c r="F4" i="166"/>
  <c r="E4" i="166"/>
  <c r="D4" i="166"/>
  <c r="C4" i="166"/>
  <c r="B4" i="166"/>
  <c r="C9" i="165"/>
  <c r="D9" i="165"/>
  <c r="E9" i="165"/>
  <c r="F9" i="165"/>
  <c r="G9" i="165"/>
  <c r="B9" i="165"/>
  <c r="C8" i="165"/>
  <c r="D8" i="165"/>
  <c r="E8" i="165"/>
  <c r="F8" i="165"/>
  <c r="G8" i="165"/>
  <c r="B8" i="165"/>
  <c r="C7" i="165"/>
  <c r="E7" i="165"/>
  <c r="F7" i="165"/>
  <c r="G7" i="165"/>
  <c r="C6" i="165"/>
  <c r="E6" i="165"/>
  <c r="F6" i="165"/>
  <c r="G6" i="165"/>
  <c r="C5" i="165"/>
  <c r="E5" i="165"/>
  <c r="F5" i="165"/>
  <c r="G5" i="165"/>
  <c r="G4" i="165"/>
  <c r="F4" i="165"/>
  <c r="E4" i="165"/>
  <c r="D4" i="165"/>
  <c r="C4" i="165"/>
  <c r="B4" i="165"/>
  <c r="BS171" i="10"/>
  <c r="BS170" i="10"/>
  <c r="BS169" i="10"/>
  <c r="AI171" i="10"/>
  <c r="AI170" i="10"/>
  <c r="AI169" i="10"/>
  <c r="Q171" i="10"/>
  <c r="Q170" i="10"/>
  <c r="Q169" i="10"/>
  <c r="BS168" i="10"/>
  <c r="AI168" i="10"/>
  <c r="Q168" i="10"/>
  <c r="I9" i="168"/>
  <c r="G9" i="168" s="1"/>
  <c r="K8" i="168"/>
  <c r="I8" i="168"/>
  <c r="G8" i="168" s="1"/>
  <c r="K7" i="168"/>
  <c r="I7" i="168"/>
  <c r="G7" i="168" s="1"/>
  <c r="K6" i="168"/>
  <c r="I6" i="168"/>
  <c r="G6" i="168" s="1"/>
  <c r="K5" i="168"/>
  <c r="I5" i="168"/>
  <c r="G5" i="168" s="1"/>
  <c r="K4" i="168"/>
  <c r="I4" i="168"/>
  <c r="G4" i="168" s="1"/>
  <c r="K3" i="168"/>
  <c r="I3" i="168"/>
  <c r="I9" i="167"/>
  <c r="K8" i="167"/>
  <c r="I8" i="167"/>
  <c r="K7" i="167"/>
  <c r="I7" i="167"/>
  <c r="G7" i="167" s="1"/>
  <c r="K6" i="167"/>
  <c r="I6" i="167"/>
  <c r="G6" i="167" s="1"/>
  <c r="K5" i="167"/>
  <c r="I5" i="167"/>
  <c r="G5" i="167" s="1"/>
  <c r="K4" i="167"/>
  <c r="I4" i="167"/>
  <c r="G4" i="167" s="1"/>
  <c r="K3" i="167"/>
  <c r="I3" i="167"/>
  <c r="I9" i="166"/>
  <c r="K8" i="166"/>
  <c r="I8" i="166"/>
  <c r="K7" i="166"/>
  <c r="I7" i="166"/>
  <c r="K6" i="166"/>
  <c r="I6" i="166"/>
  <c r="K5" i="166"/>
  <c r="I5" i="166"/>
  <c r="K4" i="166"/>
  <c r="I4" i="166"/>
  <c r="K3" i="166"/>
  <c r="I3" i="166"/>
  <c r="I9" i="165"/>
  <c r="K8" i="165"/>
  <c r="I8" i="165"/>
  <c r="K7" i="165"/>
  <c r="I7" i="165"/>
  <c r="K6" i="165"/>
  <c r="I6" i="165"/>
  <c r="K5" i="165"/>
  <c r="I5" i="165"/>
  <c r="K4" i="165"/>
  <c r="I4" i="165"/>
  <c r="K3" i="165"/>
  <c r="I3" i="165"/>
  <c r="C9" i="164"/>
  <c r="D9" i="164"/>
  <c r="E9" i="164"/>
  <c r="F9" i="164"/>
  <c r="G9" i="164"/>
  <c r="B9" i="164"/>
  <c r="C8" i="164"/>
  <c r="D8" i="164"/>
  <c r="E8" i="164"/>
  <c r="F8" i="164"/>
  <c r="G8" i="164"/>
  <c r="B8" i="164"/>
  <c r="C7" i="164"/>
  <c r="E7" i="164"/>
  <c r="F7" i="164"/>
  <c r="G7" i="164"/>
  <c r="G6" i="164"/>
  <c r="F6" i="164"/>
  <c r="E6" i="164"/>
  <c r="C6" i="164"/>
  <c r="G5" i="164"/>
  <c r="F5" i="164"/>
  <c r="E5" i="164"/>
  <c r="C5" i="164"/>
  <c r="G4" i="164"/>
  <c r="F4" i="164"/>
  <c r="E4" i="164"/>
  <c r="D4" i="164"/>
  <c r="C4" i="164"/>
  <c r="B4" i="164"/>
  <c r="BS167" i="10"/>
  <c r="AI167" i="10"/>
  <c r="Q167" i="10"/>
  <c r="I9" i="164"/>
  <c r="K8" i="164"/>
  <c r="I8" i="164"/>
  <c r="K7" i="164"/>
  <c r="I7" i="164"/>
  <c r="K6" i="164"/>
  <c r="I6" i="164"/>
  <c r="K5" i="164"/>
  <c r="I5" i="164"/>
  <c r="K4" i="164"/>
  <c r="I4" i="164"/>
  <c r="K3" i="164"/>
  <c r="I3" i="164"/>
  <c r="G5" i="163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C8" i="168" l="1"/>
  <c r="D8" i="168"/>
  <c r="E9" i="168"/>
  <c r="E8" i="168"/>
  <c r="F9" i="168"/>
  <c r="B8" i="168"/>
  <c r="F8" i="168"/>
  <c r="B9" i="168"/>
  <c r="C9" i="168"/>
  <c r="D9" i="168"/>
  <c r="C5" i="168"/>
  <c r="E5" i="168"/>
  <c r="F5" i="168"/>
  <c r="C6" i="168"/>
  <c r="E6" i="168"/>
  <c r="F6" i="168"/>
  <c r="C7" i="168"/>
  <c r="E7" i="168"/>
  <c r="F7" i="168"/>
  <c r="E4" i="168"/>
  <c r="F4" i="168"/>
  <c r="B4" i="168"/>
  <c r="C4" i="168"/>
  <c r="D4" i="168"/>
  <c r="F7" i="167"/>
  <c r="C5" i="167"/>
  <c r="E5" i="167"/>
  <c r="F5" i="167"/>
  <c r="C6" i="167"/>
  <c r="E6" i="167"/>
  <c r="F6" i="167"/>
  <c r="C7" i="167"/>
  <c r="E7" i="167"/>
  <c r="D4" i="167"/>
  <c r="B4" i="167"/>
  <c r="E4" i="167"/>
  <c r="F4" i="167"/>
  <c r="C4" i="167"/>
  <c r="B9" i="163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D4864FD-29D1-40B1-A5F8-28C6D3DACB1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28A6E2-6C1B-4800-96AB-89FF873C13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4B68AC-2221-473C-93B2-10F080408F0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038267-E956-42EA-A01E-5EAC0FDA6E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59CF37-67B1-49BE-B0FF-DEF4703BAE5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8D5087-D210-4272-8614-38072392BB7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9F581C-FFD7-4301-B5A9-C8B6FDD132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76450B5-5625-4236-80D3-EC477132E0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0809799-27E5-4FB1-9512-8EA3BF6C80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BDAB5E-71DF-4118-896A-6B509AB181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18D4C3-A794-4B14-81E5-715A209009B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17D8309-2DEE-4989-9A6E-2578575119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602E598-F0C1-44BF-8874-10EC22270A4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75CC3B-3DE6-4887-9066-BFB3BD7645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793B08-EFA8-4755-8D19-5909480FEB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63912B8-5DD2-4838-BC20-13D067ED59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C3A9D7-DC90-4227-8001-0A6961EC559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B7281BF-C4F9-41FA-8681-E70D6FE2BD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EB193C-397D-4E0A-8F10-ED8685F827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4C8D5A4-7C27-4A82-92E9-8BBD87160B2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C2AEAE1-2C1A-4BFE-8776-42B43685967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22BD521-54F7-4B99-A894-1C2B6EA058E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243EAA-F7E1-4144-98A3-F9F304C30E5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09EA11A-5E88-48E8-8881-1A479BB4F5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CD4BFA-80A6-4154-BA85-24C296D5DFD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C8D44E-928C-404B-A892-11C6BE9B9C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1B41C8B-7333-4C71-BCC6-8DAEF74AF7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8F6559-7B58-4650-9CA3-61BE87AEA9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BB9476F-178E-4C79-93D2-06F7153F37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14F2BE3-F6A7-472E-9141-2E2DB9ACC1C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<sst xmlns="http://schemas.openxmlformats.org/spreadsheetml/2006/main" count="8077" uniqueCount="68">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</sst>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6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10" fontId="0" fillId="3" borderId="1" xfId="0" applyNumberFormat="1" applyFill="1" applyBorder="1" applyAlignment="1">
      <alignment vertical="top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33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theme" Target="theme/theme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2" Type="http://schemas.openxmlformats.org/officeDocument/2006/relationships/styles" Target="style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calcChain" Target="calcChain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28810</xdr:colOff>
      <xdr:row>212</xdr:row>
      <xdr:rowOff>8995</xdr:rowOff>
    </xdr:from>
    <xdr:to>
      <xdr:col>33</xdr:col>
      <xdr:colOff>378971</xdr:colOff>
      <xdr:row>246</xdr:row>
      <xdr:rowOff>25478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86910" y="38375695"/>
          <a:ext cx="6512836" cy="61728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8.xml"/><Relationship Id="rId1" Type="http://schemas.openxmlformats.org/officeDocument/2006/relationships/vmlDrawing" Target="../drawings/vmlDrawing138.v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9.xml"/><Relationship Id="rId1" Type="http://schemas.openxmlformats.org/officeDocument/2006/relationships/vmlDrawing" Target="../drawings/vmlDrawing139.v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0.xml"/><Relationship Id="rId1" Type="http://schemas.openxmlformats.org/officeDocument/2006/relationships/vmlDrawing" Target="../drawings/vmlDrawing140.v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1.xml"/><Relationship Id="rId1" Type="http://schemas.openxmlformats.org/officeDocument/2006/relationships/vmlDrawing" Target="../drawings/vmlDrawing141.v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2.xml"/><Relationship Id="rId1" Type="http://schemas.openxmlformats.org/officeDocument/2006/relationships/vmlDrawing" Target="../drawings/vmlDrawing142.v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3.xml"/><Relationship Id="rId1" Type="http://schemas.openxmlformats.org/officeDocument/2006/relationships/vmlDrawing" Target="../drawings/vmlDrawing143.v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4.xml"/><Relationship Id="rId1" Type="http://schemas.openxmlformats.org/officeDocument/2006/relationships/vmlDrawing" Target="../drawings/vmlDrawing144.v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5.xml"/><Relationship Id="rId1" Type="http://schemas.openxmlformats.org/officeDocument/2006/relationships/vmlDrawing" Target="../drawings/vmlDrawing145.vml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6.xml"/><Relationship Id="rId1" Type="http://schemas.openxmlformats.org/officeDocument/2006/relationships/vmlDrawing" Target="../drawings/vmlDrawing146.vml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7.xml"/><Relationship Id="rId1" Type="http://schemas.openxmlformats.org/officeDocument/2006/relationships/vmlDrawing" Target="../drawings/vmlDrawing147.vml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8.xml"/><Relationship Id="rId1" Type="http://schemas.openxmlformats.org/officeDocument/2006/relationships/vmlDrawing" Target="../drawings/vmlDrawing148.vml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9.xml"/><Relationship Id="rId1" Type="http://schemas.openxmlformats.org/officeDocument/2006/relationships/vmlDrawing" Target="../drawings/vmlDrawing149.vml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0.xml"/><Relationship Id="rId1" Type="http://schemas.openxmlformats.org/officeDocument/2006/relationships/vmlDrawing" Target="../drawings/vmlDrawing150.vml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1.xml"/><Relationship Id="rId1" Type="http://schemas.openxmlformats.org/officeDocument/2006/relationships/vmlDrawing" Target="../drawings/vmlDrawing151.vml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2.xml"/><Relationship Id="rId1" Type="http://schemas.openxmlformats.org/officeDocument/2006/relationships/vmlDrawing" Target="../drawings/vmlDrawing152.vml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3.xml"/><Relationship Id="rId1" Type="http://schemas.openxmlformats.org/officeDocument/2006/relationships/vmlDrawing" Target="../drawings/vmlDrawing153.vml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4.xml"/><Relationship Id="rId1" Type="http://schemas.openxmlformats.org/officeDocument/2006/relationships/vmlDrawing" Target="../drawings/vmlDrawing154.vml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5.xml"/><Relationship Id="rId1" Type="http://schemas.openxmlformats.org/officeDocument/2006/relationships/vmlDrawing" Target="../drawings/vmlDrawing155.vml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6.xml"/><Relationship Id="rId1" Type="http://schemas.openxmlformats.org/officeDocument/2006/relationships/vmlDrawing" Target="../drawings/vmlDrawing156.vml"/></Relationships>
</file>

<file path=xl/worksheets/_rels/sheet16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7.xml"/><Relationship Id="rId2" Type="http://schemas.openxmlformats.org/officeDocument/2006/relationships/vmlDrawing" Target="../drawings/vmlDrawing157.vml"/><Relationship Id="rId1" Type="http://schemas.openxmlformats.org/officeDocument/2006/relationships/printerSettings" Target="../printerSettings/printerSettings1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8.xml"/><Relationship Id="rId1" Type="http://schemas.openxmlformats.org/officeDocument/2006/relationships/vmlDrawing" Target="../drawings/vmlDrawing158.vml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9.xml"/><Relationship Id="rId1" Type="http://schemas.openxmlformats.org/officeDocument/2006/relationships/vmlDrawing" Target="../drawings/vmlDrawing159.vml"/></Relationships>
</file>

<file path=xl/worksheets/_rels/sheet1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0.xml"/><Relationship Id="rId2" Type="http://schemas.openxmlformats.org/officeDocument/2006/relationships/vmlDrawing" Target="../drawings/vmlDrawing160.vml"/><Relationship Id="rId1" Type="http://schemas.openxmlformats.org/officeDocument/2006/relationships/printerSettings" Target="../printerSettings/printerSettings11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1.xml"/><Relationship Id="rId1" Type="http://schemas.openxmlformats.org/officeDocument/2006/relationships/vmlDrawing" Target="../drawings/vmlDrawing161.vml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2.xml"/><Relationship Id="rId1" Type="http://schemas.openxmlformats.org/officeDocument/2006/relationships/vmlDrawing" Target="../drawings/vmlDrawing162.vml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3.xml"/><Relationship Id="rId1" Type="http://schemas.openxmlformats.org/officeDocument/2006/relationships/vmlDrawing" Target="../drawings/vmlDrawing163.vml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4.xml"/><Relationship Id="rId1" Type="http://schemas.openxmlformats.org/officeDocument/2006/relationships/vmlDrawing" Target="../drawings/vmlDrawing164.vml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5.xml"/><Relationship Id="rId1" Type="http://schemas.openxmlformats.org/officeDocument/2006/relationships/vmlDrawing" Target="../drawings/vmlDrawing165.vml"/></Relationships>
</file>

<file path=xl/worksheets/_rels/sheet1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6.xml"/><Relationship Id="rId1" Type="http://schemas.openxmlformats.org/officeDocument/2006/relationships/vmlDrawing" Target="../drawings/vmlDrawing166.vml"/></Relationships>
</file>

<file path=xl/worksheets/_rels/sheet1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7.xml"/><Relationship Id="rId1" Type="http://schemas.openxmlformats.org/officeDocument/2006/relationships/vmlDrawing" Target="../drawings/vmlDrawing16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244" zoomScale="115" zoomScaleNormal="115" workbookViewId="0">
      <selection activeCell="G248" sqref="G248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>
        <v>64106</v>
      </c>
    </row>
    <row r="219" spans="1:7" x14ac:dyDescent="0.35">
      <c r="A219" s="80">
        <v>46240</v>
      </c>
      <c r="B219" s="81">
        <v>3.8100000000000002E-2</v>
      </c>
      <c r="C219" s="22">
        <v>2.76E-2</v>
      </c>
      <c r="D219" s="22">
        <v>4.19E-2</v>
      </c>
      <c r="E219" s="22">
        <v>4.0099999999999997E-2</v>
      </c>
      <c r="F219" s="22">
        <v>4.7699999999999999E-2</v>
      </c>
      <c r="G219" s="88">
        <v>64665</v>
      </c>
    </row>
    <row r="220" spans="1:7" x14ac:dyDescent="0.35">
      <c r="A220" s="80">
        <v>46241</v>
      </c>
      <c r="B220" s="81">
        <v>3.9E-2</v>
      </c>
      <c r="C220" s="22">
        <v>2.76E-2</v>
      </c>
      <c r="D220" s="22">
        <v>4.2900000000000001E-2</v>
      </c>
      <c r="E220" s="22">
        <v>4.1000000000000002E-2</v>
      </c>
      <c r="F220" s="22">
        <v>4.7699999999999999E-2</v>
      </c>
      <c r="G220" s="88">
        <v>64324</v>
      </c>
    </row>
    <row r="221" spans="1:7" x14ac:dyDescent="0.35">
      <c r="A221" s="80">
        <v>46242</v>
      </c>
      <c r="B221" s="81">
        <v>3.9399999999999998E-2</v>
      </c>
      <c r="C221" s="22">
        <v>2.76E-2</v>
      </c>
      <c r="D221" s="22">
        <v>4.3299999999999998E-2</v>
      </c>
      <c r="E221" s="22">
        <v>4.1399999999999999E-2</v>
      </c>
      <c r="F221" s="22">
        <v>4.8599999999999997E-2</v>
      </c>
      <c r="G221" s="88">
        <v>64924</v>
      </c>
    </row>
    <row r="222" spans="1:7" x14ac:dyDescent="0.35">
      <c r="A222" s="80">
        <v>46243</v>
      </c>
      <c r="B222" s="81">
        <v>3.9300000000000002E-2</v>
      </c>
      <c r="C222" s="22">
        <v>2.76E-2</v>
      </c>
      <c r="D222" s="22">
        <v>4.3299999999999998E-2</v>
      </c>
      <c r="E222" s="22">
        <v>4.1300000000000003E-2</v>
      </c>
      <c r="F222" s="22">
        <v>4.9799999999999997E-2</v>
      </c>
      <c r="G222" s="88">
        <v>64963</v>
      </c>
    </row>
    <row r="223" spans="1:7" x14ac:dyDescent="0.35">
      <c r="A223" s="80">
        <v>46244</v>
      </c>
      <c r="B223" s="81">
        <v>0.04</v>
      </c>
      <c r="C223" s="22">
        <v>2.76E-2</v>
      </c>
      <c r="D223" s="22">
        <v>4.3999999999999997E-2</v>
      </c>
      <c r="E223" s="22">
        <v>4.1599999999999998E-2</v>
      </c>
      <c r="F223" s="22">
        <v>4.9099999999999998E-2</v>
      </c>
      <c r="G223" s="88">
        <v>64902</v>
      </c>
    </row>
    <row r="224" spans="1:7" x14ac:dyDescent="0.35">
      <c r="A224" s="80">
        <v>46245</v>
      </c>
      <c r="B224" s="81">
        <v>4.07E-2</v>
      </c>
      <c r="C224" s="22">
        <v>2.76E-2</v>
      </c>
      <c r="D224" s="22">
        <v>4.4699999999999997E-2</v>
      </c>
      <c r="E224" s="22">
        <v>4.2799999999999998E-2</v>
      </c>
      <c r="F224" s="22">
        <v>5.1499999999999997E-2</v>
      </c>
      <c r="G224" s="88">
        <v>63971</v>
      </c>
    </row>
    <row r="225" spans="1:7" x14ac:dyDescent="0.35">
      <c r="A225" s="80">
        <v>46246</v>
      </c>
      <c r="B225" s="81">
        <v>4.07E-2</v>
      </c>
      <c r="C225" s="22">
        <v>2.76E-2</v>
      </c>
      <c r="D225" s="22">
        <v>4.3999999999999997E-2</v>
      </c>
      <c r="E225" s="22">
        <v>4.2099999999999999E-2</v>
      </c>
      <c r="F225" s="22">
        <v>5.1700000000000003E-2</v>
      </c>
      <c r="G225" s="88">
        <v>63480</v>
      </c>
    </row>
    <row r="226" spans="1:7" x14ac:dyDescent="0.35">
      <c r="A226" s="80">
        <v>46247</v>
      </c>
      <c r="B226" s="81">
        <v>4.0500000000000001E-2</v>
      </c>
      <c r="C226" s="22">
        <v>2.76E-2</v>
      </c>
      <c r="D226" s="22">
        <v>4.4600000000000001E-2</v>
      </c>
      <c r="E226" s="22">
        <v>4.2599999999999999E-2</v>
      </c>
      <c r="F226" s="22">
        <v>4.87E-2</v>
      </c>
      <c r="G226" s="88">
        <v>63490</v>
      </c>
    </row>
    <row r="227" spans="1:7" x14ac:dyDescent="0.35">
      <c r="A227" s="80">
        <v>46248</v>
      </c>
      <c r="B227" s="81">
        <v>4.0800000000000003E-2</v>
      </c>
      <c r="C227" s="22">
        <v>2.76E-2</v>
      </c>
      <c r="D227" s="22">
        <v>4.4900000000000002E-2</v>
      </c>
      <c r="E227" s="22">
        <v>4.2900000000000001E-2</v>
      </c>
      <c r="F227" s="22">
        <v>4.9200000000000001E-2</v>
      </c>
      <c r="G227" s="88">
        <v>63490</v>
      </c>
    </row>
    <row r="228" spans="1:7" x14ac:dyDescent="0.35">
      <c r="A228" s="80">
        <v>46249</v>
      </c>
      <c r="B228" s="81">
        <v>3.95E-2</v>
      </c>
      <c r="C228" s="22">
        <v>2.76E-2</v>
      </c>
      <c r="D228" s="22">
        <v>4.2599999999999999E-2</v>
      </c>
      <c r="E228" s="22">
        <v>4.2099999999999999E-2</v>
      </c>
      <c r="F228" s="22">
        <v>4.9200000000000001E-2</v>
      </c>
      <c r="G228" s="88">
        <v>63045</v>
      </c>
    </row>
    <row r="229" spans="1:7" x14ac:dyDescent="0.35">
      <c r="A229" s="80">
        <v>46250</v>
      </c>
      <c r="B229" s="81">
        <v>0.04</v>
      </c>
      <c r="C229" s="22">
        <v>2.76E-2</v>
      </c>
      <c r="D229" s="22">
        <v>4.2700000000000002E-2</v>
      </c>
      <c r="E229" s="22">
        <v>4.1599999999999998E-2</v>
      </c>
      <c r="F229" s="22">
        <v>4.7600000000000003E-2</v>
      </c>
      <c r="G229" s="88">
        <v>63087</v>
      </c>
    </row>
    <row r="230" spans="1:7" x14ac:dyDescent="0.35">
      <c r="A230" s="80">
        <v>46251</v>
      </c>
      <c r="B230" s="81">
        <v>3.95E-2</v>
      </c>
      <c r="C230" s="22">
        <v>2.76E-2</v>
      </c>
      <c r="D230" s="22">
        <v>4.2599999999999999E-2</v>
      </c>
      <c r="E230" s="22">
        <v>4.1599999999999998E-2</v>
      </c>
      <c r="F230" s="22">
        <v>4.8399999999999999E-2</v>
      </c>
      <c r="G230" s="88">
        <v>62900</v>
      </c>
    </row>
    <row r="231" spans="1:7" x14ac:dyDescent="0.35">
      <c r="A231" s="80">
        <v>46252</v>
      </c>
      <c r="B231" s="81">
        <v>4.02E-2</v>
      </c>
      <c r="C231" s="22">
        <v>2.76E-2</v>
      </c>
      <c r="D231" s="22">
        <v>4.2799999999999998E-2</v>
      </c>
      <c r="E231" s="22">
        <v>4.1799999999999997E-2</v>
      </c>
      <c r="F231" s="22">
        <v>4.7300000000000002E-2</v>
      </c>
      <c r="G231" s="88">
        <v>64533</v>
      </c>
    </row>
    <row r="232" spans="1:7" x14ac:dyDescent="0.35">
      <c r="A232" s="80">
        <v>46253</v>
      </c>
      <c r="B232" s="81">
        <v>3.9899999999999998E-2</v>
      </c>
      <c r="C232" s="22">
        <v>2.76E-2</v>
      </c>
      <c r="D232" s="22">
        <v>4.2500000000000003E-2</v>
      </c>
      <c r="E232" s="22">
        <v>4.1799999999999997E-2</v>
      </c>
      <c r="F232" s="22">
        <v>4.8300000000000003E-2</v>
      </c>
      <c r="G232" s="88">
        <v>64726</v>
      </c>
    </row>
    <row r="233" spans="1:7" x14ac:dyDescent="0.35">
      <c r="A233" s="80">
        <v>46254</v>
      </c>
      <c r="B233" s="81">
        <v>4.48E-2</v>
      </c>
      <c r="C233" s="22">
        <v>2.9600000000000001E-2</v>
      </c>
      <c r="D233" s="22">
        <v>4.7100000000000003E-2</v>
      </c>
      <c r="E233" s="22">
        <v>4.1799999999999997E-2</v>
      </c>
      <c r="F233" s="22">
        <v>4.7500000000000001E-2</v>
      </c>
      <c r="G233" s="88">
        <v>69335</v>
      </c>
    </row>
    <row r="234" spans="1:7" x14ac:dyDescent="0.35">
      <c r="A234" s="80">
        <v>46255</v>
      </c>
      <c r="B234" s="81">
        <v>4.8099999999999997E-2</v>
      </c>
      <c r="C234" s="22">
        <v>2.9600000000000001E-2</v>
      </c>
      <c r="D234" s="22">
        <v>5.11E-2</v>
      </c>
      <c r="E234" s="22">
        <v>4.1799999999999997E-2</v>
      </c>
      <c r="F234" s="22">
        <v>5.3800000000000001E-2</v>
      </c>
      <c r="G234" s="88">
        <v>73078</v>
      </c>
    </row>
    <row r="235" spans="1:7" x14ac:dyDescent="0.35">
      <c r="A235" s="80">
        <v>46256</v>
      </c>
      <c r="B235" s="81">
        <v>5.1400000000000001E-2</v>
      </c>
      <c r="C235" s="22">
        <v>3.4599999999999999E-2</v>
      </c>
      <c r="D235" s="22">
        <v>5.3699999999999998E-2</v>
      </c>
      <c r="E235" s="22">
        <v>4.1799999999999997E-2</v>
      </c>
      <c r="F235" s="22">
        <v>5.8099999999999999E-2</v>
      </c>
      <c r="G235" s="88">
        <v>78339</v>
      </c>
    </row>
    <row r="236" spans="1:7" x14ac:dyDescent="0.35">
      <c r="A236" s="80">
        <v>46257</v>
      </c>
      <c r="B236" s="81">
        <v>5.1400000000000001E-2</v>
      </c>
      <c r="C236" s="22">
        <v>2.9600000000000001E-2</v>
      </c>
      <c r="D236" s="22">
        <v>5.3699999999999998E-2</v>
      </c>
      <c r="E236" s="22">
        <v>4.1799999999999997E-2</v>
      </c>
      <c r="F236" s="22">
        <v>5.8099999999999999E-2</v>
      </c>
      <c r="G236" s="88">
        <v>77075</v>
      </c>
    </row>
    <row r="237" spans="1:7" x14ac:dyDescent="0.35">
      <c r="A237" s="80">
        <v>46258</v>
      </c>
      <c r="B237" s="81">
        <v>5.21E-2</v>
      </c>
      <c r="C237" s="22">
        <v>3.95E-2</v>
      </c>
      <c r="D237" s="22">
        <v>5.45E-2</v>
      </c>
      <c r="E237" s="22">
        <v>4.1799999999999997E-2</v>
      </c>
      <c r="F237" s="22">
        <v>5.8099999999999999E-2</v>
      </c>
      <c r="G237" s="88">
        <v>77735</v>
      </c>
    </row>
    <row r="238" spans="1:7" x14ac:dyDescent="0.35">
      <c r="A238" s="80">
        <v>46259</v>
      </c>
      <c r="B238" s="81">
        <v>5.4399999999999997E-2</v>
      </c>
      <c r="C238" s="22">
        <v>2.9600000000000001E-2</v>
      </c>
      <c r="D238" s="22">
        <v>5.1400000000000001E-2</v>
      </c>
      <c r="E238" s="22">
        <v>4.1799999999999997E-2</v>
      </c>
      <c r="F238" s="22">
        <v>5.8099999999999999E-2</v>
      </c>
      <c r="G238" s="88">
        <v>78993</v>
      </c>
    </row>
    <row r="239" spans="1:7" x14ac:dyDescent="0.35">
      <c r="A239" s="80">
        <v>46260</v>
      </c>
      <c r="B239" s="81">
        <v>5.2499999999999998E-2</v>
      </c>
      <c r="C239" s="22">
        <v>2.9600000000000001E-2</v>
      </c>
      <c r="D239" s="22">
        <v>4.9099999999999998E-2</v>
      </c>
      <c r="E239" s="22">
        <v>5.5800000000000002E-2</v>
      </c>
      <c r="F239" s="22">
        <v>5.8099999999999999E-2</v>
      </c>
      <c r="G239" s="88">
        <v>78540</v>
      </c>
    </row>
    <row r="240" spans="1:7" x14ac:dyDescent="0.35">
      <c r="A240" s="80">
        <v>46261</v>
      </c>
      <c r="B240" s="81">
        <v>5.16E-2</v>
      </c>
      <c r="C240" s="22">
        <v>2.9600000000000001E-2</v>
      </c>
      <c r="D240" s="22">
        <v>4.82E-2</v>
      </c>
      <c r="E240" s="22">
        <v>5.16E-2</v>
      </c>
      <c r="F240" s="22">
        <v>5.8099999999999999E-2</v>
      </c>
      <c r="G240" s="88">
        <v>79073</v>
      </c>
    </row>
    <row r="241" spans="1:7" x14ac:dyDescent="0.35">
      <c r="A241" s="80">
        <v>46262</v>
      </c>
      <c r="B241" s="81">
        <v>5.0900000000000001E-2</v>
      </c>
      <c r="C241" s="22">
        <v>3.4599999999999999E-2</v>
      </c>
      <c r="D241" s="22">
        <v>4.7600000000000003E-2</v>
      </c>
      <c r="E241" s="22">
        <v>5.16E-2</v>
      </c>
      <c r="F241" s="22">
        <v>5.8099999999999999E-2</v>
      </c>
      <c r="G241" s="88">
        <v>79024</v>
      </c>
    </row>
    <row r="242" spans="1:7" x14ac:dyDescent="0.35">
      <c r="A242" s="80">
        <v>46263</v>
      </c>
      <c r="B242" s="81">
        <v>5.0700000000000002E-2</v>
      </c>
      <c r="C242" s="22">
        <v>3.4599999999999999E-2</v>
      </c>
      <c r="D242" s="22">
        <v>4.7399999999999998E-2</v>
      </c>
      <c r="E242" s="22">
        <v>5.16E-2</v>
      </c>
      <c r="F242" s="22">
        <v>5.8099999999999999E-2</v>
      </c>
      <c r="G242" s="88">
        <v>80250</v>
      </c>
    </row>
    <row r="243" spans="1:7" x14ac:dyDescent="0.35">
      <c r="A243" s="80">
        <v>46264</v>
      </c>
      <c r="B243" s="81">
        <v>5.0099999999999999E-2</v>
      </c>
      <c r="C243" s="22">
        <v>3.4599999999999999E-2</v>
      </c>
      <c r="D243" s="22">
        <v>4.6899999999999997E-2</v>
      </c>
      <c r="E243" s="22">
        <v>5.16E-2</v>
      </c>
      <c r="F243" s="22">
        <v>5.8099999999999999E-2</v>
      </c>
      <c r="G243" s="88">
        <v>77846</v>
      </c>
    </row>
    <row r="244" spans="1:7" x14ac:dyDescent="0.35">
      <c r="A244" s="80">
        <v>46265</v>
      </c>
      <c r="B244" s="81">
        <v>5.0799999999999998E-2</v>
      </c>
      <c r="C244" s="22">
        <v>3.4599999999999999E-2</v>
      </c>
      <c r="D244" s="22">
        <v>4.6800000000000001E-2</v>
      </c>
      <c r="E244" s="22">
        <v>5.16E-2</v>
      </c>
      <c r="F244" s="22">
        <v>5.8099999999999999E-2</v>
      </c>
      <c r="G244" s="88">
        <v>78231</v>
      </c>
    </row>
    <row r="245" spans="1:7" x14ac:dyDescent="0.35">
      <c r="A245" s="80">
        <v>46266</v>
      </c>
      <c r="B245" s="81">
        <v>4.9500000000000002E-2</v>
      </c>
      <c r="C245" s="22">
        <v>3.4599999999999999E-2</v>
      </c>
      <c r="D245" s="22">
        <v>4.6300000000000001E-2</v>
      </c>
      <c r="E245" s="22">
        <v>5.16E-2</v>
      </c>
      <c r="F245" s="22">
        <v>5.8099999999999999E-2</v>
      </c>
      <c r="G245" s="88">
        <v>78582</v>
      </c>
    </row>
    <row r="246" spans="1:7" x14ac:dyDescent="0.35">
      <c r="A246" s="80">
        <v>46267</v>
      </c>
      <c r="B246" s="81">
        <v>5.0500000000000003E-2</v>
      </c>
      <c r="C246" s="22">
        <v>3.4599999999999999E-2</v>
      </c>
      <c r="D246" s="22">
        <v>4.7199999999999999E-2</v>
      </c>
      <c r="E246" s="22">
        <v>5.16E-2</v>
      </c>
      <c r="F246" s="22">
        <v>5.8099999999999999E-2</v>
      </c>
      <c r="G246" s="88">
        <v>77440</v>
      </c>
    </row>
    <row r="247" spans="1:7" x14ac:dyDescent="0.35">
      <c r="A247" s="80">
        <v>46268</v>
      </c>
      <c r="B247" s="81">
        <v>5.11E-2</v>
      </c>
      <c r="C247" s="22">
        <v>3.4599999999999999E-2</v>
      </c>
      <c r="D247" s="22">
        <v>4.7100000000000003E-2</v>
      </c>
      <c r="E247" s="22">
        <v>5.3499999999999999E-2</v>
      </c>
      <c r="F247" s="22">
        <v>5.8099999999999999E-2</v>
      </c>
      <c r="G247" s="88">
        <v>77341</v>
      </c>
    </row>
    <row r="248" spans="1:7" x14ac:dyDescent="0.35">
      <c r="A248" s="80">
        <v>46269</v>
      </c>
      <c r="B248" s="81">
        <v>5.2600000000000001E-2</v>
      </c>
      <c r="C248" s="22">
        <v>3.4599999999999999E-2</v>
      </c>
      <c r="D248" s="22">
        <v>4.9200000000000001E-2</v>
      </c>
      <c r="E248" s="22">
        <v>5.3499999999999999E-2</v>
      </c>
      <c r="F248" s="22">
        <v>5.8099999999999999E-2</v>
      </c>
      <c r="G248" s="88"/>
    </row>
    <row r="249" spans="1:7" x14ac:dyDescent="0.35">
      <c r="A249" s="80">
        <v>46270</v>
      </c>
      <c r="B249" s="81"/>
      <c r="C249" s="22"/>
      <c r="D249" s="22"/>
      <c r="E249" s="22"/>
      <c r="F249" s="22"/>
      <c r="G249" s="88"/>
    </row>
    <row r="250" spans="1:7" x14ac:dyDescent="0.35">
      <c r="A250" s="80">
        <v>46271</v>
      </c>
      <c r="B250" s="81"/>
      <c r="C250" s="22"/>
      <c r="D250" s="22"/>
      <c r="E250" s="22"/>
      <c r="F250" s="22"/>
      <c r="G250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I183" zoomScaleNormal="100" workbookViewId="0">
      <selection activeCell="AT196" sqref="AT196:AZ196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96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77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196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2.5000000000000001E-2</v>
      </c>
      <c r="AI166" s="12">
        <f t="shared" si="13"/>
        <v>2.2000000000000006E-3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>
        <v>1.6E-2</v>
      </c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>
        <v>3.8800000000000001E-2</v>
      </c>
      <c r="Q167" s="84">
        <f t="shared" si="21"/>
        <v>2.2800000000000001E-2</v>
      </c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>
        <v>3.5000000000000003E-2</v>
      </c>
      <c r="Y167" s="3" t="s">
        <v>33</v>
      </c>
      <c r="Z167" s="6">
        <v>2.2800000000000001E-2</v>
      </c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>
        <v>2.8000000000000001E-2</v>
      </c>
      <c r="AI167" s="12">
        <f t="shared" si="13"/>
        <v>5.1999999999999998E-3</v>
      </c>
      <c r="AK167" s="4">
        <v>46240</v>
      </c>
      <c r="AL167" s="6">
        <v>0.02</v>
      </c>
      <c r="AM167" s="3"/>
      <c r="AN167" s="3"/>
      <c r="AO167" s="3"/>
      <c r="AP167" s="3" t="s">
        <v>33</v>
      </c>
      <c r="AQ167" s="3" t="s">
        <v>33</v>
      </c>
      <c r="AR167" s="6">
        <v>1.6799999999999999E-2</v>
      </c>
      <c r="AS167" s="2">
        <v>46240</v>
      </c>
      <c r="AT167" s="13">
        <v>3.6700000000000003E-2</v>
      </c>
      <c r="AU167" s="13">
        <v>3.9E-2</v>
      </c>
      <c r="AV167" s="13">
        <v>4.9399999999999999E-2</v>
      </c>
      <c r="AW167" s="13">
        <v>0.04</v>
      </c>
      <c r="AX167" s="13">
        <v>4.4900000000000002E-2</v>
      </c>
      <c r="AY167" s="13">
        <v>4.9799999999999997E-2</v>
      </c>
      <c r="AZ167" s="13">
        <v>4.24E-2</v>
      </c>
      <c r="BA167" s="12">
        <v>2.5999999999999999E-2</v>
      </c>
      <c r="BC167" s="4">
        <v>46240</v>
      </c>
      <c r="BD167" s="6">
        <v>1.7999999999999999E-2</v>
      </c>
      <c r="BE167" s="6">
        <v>2.8000000000000001E-2</v>
      </c>
      <c r="BF167" s="6">
        <v>3.2000000000000001E-2</v>
      </c>
      <c r="BG167" s="3"/>
      <c r="BH167" s="3"/>
      <c r="BI167" s="3"/>
      <c r="BJ167" s="6">
        <v>1.66E-2</v>
      </c>
      <c r="BK167" s="2">
        <v>46240</v>
      </c>
      <c r="BL167" s="57">
        <v>4.7800000000000002E-2</v>
      </c>
      <c r="BM167" s="1"/>
      <c r="BN167" s="57">
        <v>5.7299999999999997E-2</v>
      </c>
      <c r="BO167" s="1"/>
      <c r="BP167" s="1"/>
      <c r="BQ167" s="1"/>
      <c r="BR167" s="57">
        <v>0.04</v>
      </c>
      <c r="BS167" s="12">
        <f t="shared" si="18"/>
        <v>2.3400000000000001E-2</v>
      </c>
    </row>
    <row r="168" spans="1:71" x14ac:dyDescent="0.35">
      <c r="A168" s="4">
        <v>46241</v>
      </c>
      <c r="B168" s="3" t="s">
        <v>33</v>
      </c>
      <c r="C168" s="3" t="s">
        <v>33</v>
      </c>
      <c r="D168" s="3" t="s">
        <v>32</v>
      </c>
      <c r="E168" s="3" t="s">
        <v>33</v>
      </c>
      <c r="F168" s="3" t="s">
        <v>32</v>
      </c>
      <c r="G168" s="3" t="s">
        <v>33</v>
      </c>
      <c r="H168" s="9">
        <v>1.6799999999999999E-2</v>
      </c>
      <c r="I168" s="2">
        <v>46241</v>
      </c>
      <c r="J168" s="1" t="s">
        <v>33</v>
      </c>
      <c r="K168" s="1" t="s">
        <v>33</v>
      </c>
      <c r="L168" s="1" t="s">
        <v>32</v>
      </c>
      <c r="M168" s="1" t="s">
        <v>33</v>
      </c>
      <c r="N168" s="1" t="s">
        <v>32</v>
      </c>
      <c r="O168" s="1" t="s">
        <v>32</v>
      </c>
      <c r="P168" s="57">
        <v>4.0300000000000002E-2</v>
      </c>
      <c r="Q168" s="84">
        <f t="shared" si="21"/>
        <v>2.3500000000000004E-2</v>
      </c>
      <c r="S168" s="4">
        <v>46241</v>
      </c>
      <c r="T168" s="3" t="s">
        <v>33</v>
      </c>
      <c r="U168" s="3" t="s">
        <v>33</v>
      </c>
      <c r="V168" s="3" t="s">
        <v>33</v>
      </c>
      <c r="W168" s="3" t="s">
        <v>33</v>
      </c>
      <c r="X168" s="6">
        <v>3.5000000000000003E-2</v>
      </c>
      <c r="Y168" s="3" t="s">
        <v>33</v>
      </c>
      <c r="Z168" s="6">
        <v>2.2599999999999999E-2</v>
      </c>
      <c r="AA168" s="2">
        <v>46241</v>
      </c>
      <c r="AB168" s="1" t="s">
        <v>33</v>
      </c>
      <c r="AC168" s="1" t="s">
        <v>33</v>
      </c>
      <c r="AD168" s="1" t="s">
        <v>33</v>
      </c>
      <c r="AE168" s="1" t="s">
        <v>33</v>
      </c>
      <c r="AF168" s="1" t="s">
        <v>33</v>
      </c>
      <c r="AG168" s="1" t="s">
        <v>33</v>
      </c>
      <c r="AH168" s="57">
        <v>2.8000000000000001E-2</v>
      </c>
      <c r="AI168" s="12">
        <f t="shared" si="13"/>
        <v>5.400000000000002E-3</v>
      </c>
      <c r="AK168" s="4">
        <v>46241</v>
      </c>
      <c r="AL168" s="6">
        <v>0.02</v>
      </c>
      <c r="AM168" s="3"/>
      <c r="AN168" s="3"/>
      <c r="AO168" s="3"/>
      <c r="AP168" s="3" t="s">
        <v>33</v>
      </c>
      <c r="AQ168" s="3" t="s">
        <v>33</v>
      </c>
      <c r="AR168" s="6">
        <v>1.7899999999999999E-2</v>
      </c>
      <c r="AS168" s="2">
        <v>46241</v>
      </c>
      <c r="AT168" s="13">
        <v>3.6999999999999998E-2</v>
      </c>
      <c r="AU168" s="13">
        <v>3.6900000000000002E-2</v>
      </c>
      <c r="AV168" s="13">
        <v>4.5699999999999998E-2</v>
      </c>
      <c r="AW168" s="13">
        <v>0.04</v>
      </c>
      <c r="AX168" s="13">
        <v>4.41E-2</v>
      </c>
      <c r="AY168" s="13">
        <v>4.9799999999999997E-2</v>
      </c>
      <c r="AZ168" s="13">
        <v>4.48E-2</v>
      </c>
      <c r="BA168" s="12">
        <v>2.5999999999999999E-2</v>
      </c>
      <c r="BC168" s="4">
        <v>46241</v>
      </c>
      <c r="BD168" s="6">
        <v>1.7999999999999999E-2</v>
      </c>
      <c r="BE168" s="6">
        <v>2.8000000000000001E-2</v>
      </c>
      <c r="BF168" s="6">
        <v>3.2000000000000001E-2</v>
      </c>
      <c r="BG168" s="3"/>
      <c r="BH168" s="3"/>
      <c r="BI168" s="3"/>
      <c r="BJ168" s="6">
        <v>1.78E-2</v>
      </c>
      <c r="BK168" s="2">
        <v>46241</v>
      </c>
      <c r="BL168" s="57">
        <v>5.0299999999999997E-2</v>
      </c>
      <c r="BM168" s="1"/>
      <c r="BN168" s="57">
        <v>6.0400000000000002E-2</v>
      </c>
      <c r="BO168" s="1"/>
      <c r="BP168" s="1"/>
      <c r="BQ168" s="1"/>
      <c r="BR168" s="57">
        <v>4.0899999999999999E-2</v>
      </c>
      <c r="BS168" s="12">
        <f t="shared" si="18"/>
        <v>2.3099999999999999E-2</v>
      </c>
    </row>
    <row r="169" spans="1:71" x14ac:dyDescent="0.35">
      <c r="A169" s="4">
        <v>46242</v>
      </c>
      <c r="B169" s="3" t="s">
        <v>33</v>
      </c>
      <c r="C169" s="3" t="s">
        <v>33</v>
      </c>
      <c r="D169" s="3" t="s">
        <v>32</v>
      </c>
      <c r="E169" s="3" t="s">
        <v>33</v>
      </c>
      <c r="F169" s="3" t="s">
        <v>32</v>
      </c>
      <c r="G169" s="3" t="s">
        <v>33</v>
      </c>
      <c r="H169" s="9">
        <v>1.67E-2</v>
      </c>
      <c r="I169" s="2">
        <v>46242</v>
      </c>
      <c r="J169" s="1" t="s">
        <v>33</v>
      </c>
      <c r="K169" s="1" t="s">
        <v>33</v>
      </c>
      <c r="L169" s="1" t="s">
        <v>32</v>
      </c>
      <c r="M169" s="1" t="s">
        <v>33</v>
      </c>
      <c r="N169" s="1" t="s">
        <v>32</v>
      </c>
      <c r="O169" s="1" t="s">
        <v>32</v>
      </c>
      <c r="P169" s="57">
        <v>4.0800000000000003E-2</v>
      </c>
      <c r="Q169" s="84">
        <f t="shared" si="21"/>
        <v>2.4100000000000003E-2</v>
      </c>
      <c r="S169" s="4">
        <v>46242</v>
      </c>
      <c r="T169" s="3" t="s">
        <v>33</v>
      </c>
      <c r="U169" s="3" t="s">
        <v>33</v>
      </c>
      <c r="V169" s="3" t="s">
        <v>33</v>
      </c>
      <c r="W169" s="3" t="s">
        <v>33</v>
      </c>
      <c r="X169" s="6">
        <v>3.5000000000000003E-2</v>
      </c>
      <c r="Y169" s="3" t="s">
        <v>33</v>
      </c>
      <c r="Z169" s="6">
        <v>2.2499999999999999E-2</v>
      </c>
      <c r="AA169" s="2">
        <v>46242</v>
      </c>
      <c r="AB169" s="1" t="s">
        <v>33</v>
      </c>
      <c r="AC169" s="1" t="s">
        <v>33</v>
      </c>
      <c r="AD169" s="1" t="s">
        <v>33</v>
      </c>
      <c r="AE169" s="1" t="s">
        <v>33</v>
      </c>
      <c r="AF169" s="1" t="s">
        <v>33</v>
      </c>
      <c r="AG169" s="1" t="s">
        <v>33</v>
      </c>
      <c r="AH169" s="57">
        <v>2.8000000000000001E-2</v>
      </c>
      <c r="AI169" s="12">
        <f t="shared" si="13"/>
        <v>5.5000000000000014E-3</v>
      </c>
      <c r="AK169" s="4">
        <v>46242</v>
      </c>
      <c r="AL169" s="6">
        <v>0.02</v>
      </c>
      <c r="AM169" s="3"/>
      <c r="AN169" s="3"/>
      <c r="AO169" s="3"/>
      <c r="AP169" s="3" t="s">
        <v>33</v>
      </c>
      <c r="AQ169" s="3" t="s">
        <v>33</v>
      </c>
      <c r="AR169" s="6">
        <v>1.7899999999999999E-2</v>
      </c>
      <c r="AS169" s="2">
        <v>46242</v>
      </c>
      <c r="AT169" s="13">
        <v>3.6999999999999998E-2</v>
      </c>
      <c r="AU169" s="13">
        <v>3.6900000000000002E-2</v>
      </c>
      <c r="AV169" s="13">
        <v>4.5699999999999998E-2</v>
      </c>
      <c r="AW169" s="13">
        <v>0.04</v>
      </c>
      <c r="AX169" s="13">
        <v>4.41E-2</v>
      </c>
      <c r="AY169" s="13">
        <v>4.9799999999999997E-2</v>
      </c>
      <c r="AZ169" s="13">
        <v>4.48E-2</v>
      </c>
      <c r="BA169" s="12">
        <v>2.5999999999999999E-2</v>
      </c>
      <c r="BC169" s="4">
        <v>46242</v>
      </c>
      <c r="BD169" s="6">
        <v>1.7999999999999999E-2</v>
      </c>
      <c r="BE169" s="6">
        <v>2.8000000000000001E-2</v>
      </c>
      <c r="BF169" s="6">
        <v>3.2000000000000001E-2</v>
      </c>
      <c r="BG169" s="3"/>
      <c r="BH169" s="3"/>
      <c r="BI169" s="3"/>
      <c r="BJ169" s="6">
        <v>1.9800000000000002E-2</v>
      </c>
      <c r="BK169" s="2">
        <v>46242</v>
      </c>
      <c r="BL169" s="57">
        <v>5.0299999999999997E-2</v>
      </c>
      <c r="BM169" s="1"/>
      <c r="BN169" s="57">
        <v>6.0400000000000002E-2</v>
      </c>
      <c r="BO169" s="1"/>
      <c r="BP169" s="1"/>
      <c r="BQ169" s="1"/>
      <c r="BR169" s="57">
        <v>4.19E-2</v>
      </c>
      <c r="BS169" s="12">
        <f t="shared" si="18"/>
        <v>2.2099999999999998E-2</v>
      </c>
    </row>
    <row r="170" spans="1:71" x14ac:dyDescent="0.35">
      <c r="A170" s="4">
        <v>46243</v>
      </c>
      <c r="B170" s="3" t="s">
        <v>33</v>
      </c>
      <c r="C170" s="3" t="s">
        <v>33</v>
      </c>
      <c r="D170" s="3" t="s">
        <v>32</v>
      </c>
      <c r="E170" s="3" t="s">
        <v>33</v>
      </c>
      <c r="F170" s="3" t="s">
        <v>32</v>
      </c>
      <c r="G170" s="3" t="s">
        <v>33</v>
      </c>
      <c r="H170" s="9">
        <v>1.72E-2</v>
      </c>
      <c r="I170" s="2">
        <v>46243</v>
      </c>
      <c r="J170" s="1" t="s">
        <v>33</v>
      </c>
      <c r="K170" s="1" t="s">
        <v>33</v>
      </c>
      <c r="L170" s="1" t="s">
        <v>32</v>
      </c>
      <c r="M170" s="1" t="s">
        <v>33</v>
      </c>
      <c r="N170" s="1" t="s">
        <v>32</v>
      </c>
      <c r="O170" s="1" t="s">
        <v>32</v>
      </c>
      <c r="P170" s="57">
        <v>4.0899999999999999E-2</v>
      </c>
      <c r="Q170" s="84">
        <f t="shared" si="21"/>
        <v>2.3699999999999999E-2</v>
      </c>
      <c r="S170" s="4">
        <v>46243</v>
      </c>
      <c r="T170" s="3" t="s">
        <v>33</v>
      </c>
      <c r="U170" s="3" t="s">
        <v>33</v>
      </c>
      <c r="V170" s="3" t="s">
        <v>33</v>
      </c>
      <c r="W170" s="3" t="s">
        <v>33</v>
      </c>
      <c r="X170" s="6">
        <v>3.5000000000000003E-2</v>
      </c>
      <c r="Y170" s="3" t="s">
        <v>33</v>
      </c>
      <c r="Z170" s="6">
        <v>2.2599999999999999E-2</v>
      </c>
      <c r="AA170" s="2">
        <v>46243</v>
      </c>
      <c r="AB170" s="1" t="s">
        <v>33</v>
      </c>
      <c r="AC170" s="1" t="s">
        <v>33</v>
      </c>
      <c r="AD170" s="1" t="s">
        <v>33</v>
      </c>
      <c r="AE170" s="1" t="s">
        <v>33</v>
      </c>
      <c r="AF170" s="1" t="s">
        <v>33</v>
      </c>
      <c r="AG170" s="1" t="s">
        <v>33</v>
      </c>
      <c r="AH170" s="57">
        <v>2.8000000000000001E-2</v>
      </c>
      <c r="AI170" s="12">
        <f t="shared" si="13"/>
        <v>5.400000000000002E-3</v>
      </c>
      <c r="AK170" s="4">
        <v>46243</v>
      </c>
      <c r="AL170" s="6">
        <v>0.02</v>
      </c>
      <c r="AM170" s="3"/>
      <c r="AN170" s="3"/>
      <c r="AO170" s="3"/>
      <c r="AP170" s="3" t="s">
        <v>33</v>
      </c>
      <c r="AQ170" s="3" t="s">
        <v>33</v>
      </c>
      <c r="AR170" s="6">
        <v>1.7899999999999999E-2</v>
      </c>
      <c r="AS170" s="2">
        <v>46243</v>
      </c>
      <c r="AT170" s="13">
        <v>3.6999999999999998E-2</v>
      </c>
      <c r="AU170" s="13">
        <v>3.6900000000000002E-2</v>
      </c>
      <c r="AV170" s="13">
        <v>4.5699999999999998E-2</v>
      </c>
      <c r="AW170" s="13">
        <v>0.04</v>
      </c>
      <c r="AX170" s="13">
        <v>4.41E-2</v>
      </c>
      <c r="AY170" s="13">
        <v>4.9799999999999997E-2</v>
      </c>
      <c r="AZ170" s="13">
        <v>4.48E-2</v>
      </c>
      <c r="BA170" s="12">
        <v>2.5999999999999999E-2</v>
      </c>
      <c r="BC170" s="4">
        <v>46243</v>
      </c>
      <c r="BD170" s="6">
        <v>1.7999999999999999E-2</v>
      </c>
      <c r="BE170" s="6">
        <v>2.8000000000000001E-2</v>
      </c>
      <c r="BF170" s="6">
        <v>3.2000000000000001E-2</v>
      </c>
      <c r="BG170" s="3"/>
      <c r="BH170" s="3"/>
      <c r="BI170" s="3"/>
      <c r="BJ170" s="6">
        <v>2.12E-2</v>
      </c>
      <c r="BK170" s="2">
        <v>46243</v>
      </c>
      <c r="BL170" s="57">
        <v>5.0299999999999997E-2</v>
      </c>
      <c r="BM170" s="1"/>
      <c r="BN170" s="57">
        <v>6.0400000000000002E-2</v>
      </c>
      <c r="BO170" s="1"/>
      <c r="BP170" s="1"/>
      <c r="BQ170" s="1"/>
      <c r="BR170" s="57">
        <v>4.1700000000000001E-2</v>
      </c>
      <c r="BS170" s="12">
        <f t="shared" si="18"/>
        <v>2.0500000000000001E-2</v>
      </c>
    </row>
    <row r="171" spans="1:71" x14ac:dyDescent="0.35">
      <c r="A171" s="4">
        <v>46244</v>
      </c>
      <c r="B171" s="3" t="s">
        <v>33</v>
      </c>
      <c r="C171" s="3" t="s">
        <v>33</v>
      </c>
      <c r="D171" s="3" t="s">
        <v>32</v>
      </c>
      <c r="E171" s="3" t="s">
        <v>33</v>
      </c>
      <c r="F171" s="3" t="s">
        <v>32</v>
      </c>
      <c r="G171" s="3" t="s">
        <v>33</v>
      </c>
      <c r="H171" s="9">
        <v>1.78E-2</v>
      </c>
      <c r="I171" s="2">
        <v>46244</v>
      </c>
      <c r="J171" s="1" t="s">
        <v>33</v>
      </c>
      <c r="K171" s="1" t="s">
        <v>33</v>
      </c>
      <c r="L171" s="1" t="s">
        <v>32</v>
      </c>
      <c r="M171" s="1" t="s">
        <v>33</v>
      </c>
      <c r="N171" s="1" t="s">
        <v>32</v>
      </c>
      <c r="O171" s="1" t="s">
        <v>32</v>
      </c>
      <c r="P171" s="57">
        <v>4.1000000000000002E-2</v>
      </c>
      <c r="Q171" s="84">
        <f t="shared" si="21"/>
        <v>2.3200000000000002E-2</v>
      </c>
      <c r="S171" s="4">
        <v>46244</v>
      </c>
      <c r="T171" s="3" t="s">
        <v>33</v>
      </c>
      <c r="U171" s="3" t="s">
        <v>33</v>
      </c>
      <c r="V171" s="3" t="s">
        <v>33</v>
      </c>
      <c r="W171" s="3" t="s">
        <v>33</v>
      </c>
      <c r="X171" s="6">
        <v>3.5000000000000003E-2</v>
      </c>
      <c r="Y171" s="3" t="s">
        <v>33</v>
      </c>
      <c r="Z171" s="6">
        <v>2.2599999999999999E-2</v>
      </c>
      <c r="AA171" s="2">
        <v>46244</v>
      </c>
      <c r="AB171" s="1" t="s">
        <v>33</v>
      </c>
      <c r="AC171" s="1" t="s">
        <v>33</v>
      </c>
      <c r="AD171" s="1" t="s">
        <v>33</v>
      </c>
      <c r="AE171" s="1" t="s">
        <v>33</v>
      </c>
      <c r="AF171" s="1" t="s">
        <v>33</v>
      </c>
      <c r="AG171" s="1" t="s">
        <v>33</v>
      </c>
      <c r="AH171" s="57">
        <v>2.8000000000000001E-2</v>
      </c>
      <c r="AI171" s="12">
        <f t="shared" si="13"/>
        <v>5.400000000000002E-3</v>
      </c>
      <c r="AK171" s="4">
        <v>46244</v>
      </c>
      <c r="AL171" s="6">
        <v>0.02</v>
      </c>
      <c r="AM171" s="3"/>
      <c r="AN171" s="3"/>
      <c r="AO171" s="3"/>
      <c r="AP171" s="3" t="s">
        <v>33</v>
      </c>
      <c r="AQ171" s="3" t="s">
        <v>33</v>
      </c>
      <c r="AR171" s="6">
        <v>1.7899999999999999E-2</v>
      </c>
      <c r="AS171" s="2">
        <v>46244</v>
      </c>
      <c r="AT171" s="13">
        <v>3.6999999999999998E-2</v>
      </c>
      <c r="AU171" s="13">
        <v>3.6900000000000002E-2</v>
      </c>
      <c r="AV171" s="13">
        <v>4.5699999999999998E-2</v>
      </c>
      <c r="AW171" s="13">
        <v>0.04</v>
      </c>
      <c r="AX171" s="13">
        <v>4.41E-2</v>
      </c>
      <c r="AY171" s="13">
        <v>4.9799999999999997E-2</v>
      </c>
      <c r="AZ171" s="13">
        <v>4.48E-2</v>
      </c>
      <c r="BA171" s="12">
        <v>2.5999999999999999E-2</v>
      </c>
      <c r="BC171" s="4">
        <v>46244</v>
      </c>
      <c r="BD171" s="6">
        <v>1.7999999999999999E-2</v>
      </c>
      <c r="BE171" s="6">
        <v>2.8000000000000001E-2</v>
      </c>
      <c r="BF171" s="6">
        <v>3.2000000000000001E-2</v>
      </c>
      <c r="BG171" s="3"/>
      <c r="BH171" s="3"/>
      <c r="BI171" s="3"/>
      <c r="BJ171" s="6">
        <v>1.8700000000000001E-2</v>
      </c>
      <c r="BK171" s="2">
        <v>46244</v>
      </c>
      <c r="BL171" s="57">
        <v>5.0299999999999997E-2</v>
      </c>
      <c r="BM171" s="1"/>
      <c r="BN171" s="57">
        <v>6.0400000000000002E-2</v>
      </c>
      <c r="BO171" s="1"/>
      <c r="BP171" s="1"/>
      <c r="BQ171" s="1"/>
      <c r="BR171" s="57">
        <v>4.2099999999999999E-2</v>
      </c>
      <c r="BS171" s="12">
        <f t="shared" si="18"/>
        <v>2.3399999999999997E-2</v>
      </c>
    </row>
    <row r="172" spans="1:71" x14ac:dyDescent="0.35">
      <c r="A172" s="4">
        <v>46245</v>
      </c>
      <c r="B172" s="3" t="s">
        <v>33</v>
      </c>
      <c r="C172" s="3" t="s">
        <v>33</v>
      </c>
      <c r="D172" s="3" t="s">
        <v>32</v>
      </c>
      <c r="E172" s="3" t="s">
        <v>33</v>
      </c>
      <c r="F172" s="3" t="s">
        <v>32</v>
      </c>
      <c r="G172" s="3" t="s">
        <v>33</v>
      </c>
      <c r="H172" s="9">
        <v>1.7600000000000001E-2</v>
      </c>
      <c r="I172" s="2">
        <v>46245</v>
      </c>
      <c r="J172" s="1" t="s">
        <v>33</v>
      </c>
      <c r="K172" s="1" t="s">
        <v>33</v>
      </c>
      <c r="L172" s="1" t="s">
        <v>32</v>
      </c>
      <c r="M172" s="1" t="s">
        <v>33</v>
      </c>
      <c r="N172" s="1" t="s">
        <v>32</v>
      </c>
      <c r="O172" s="1" t="s">
        <v>32</v>
      </c>
      <c r="P172" s="57">
        <v>4.0800000000000003E-2</v>
      </c>
      <c r="Q172" s="84">
        <f t="shared" si="21"/>
        <v>2.3200000000000002E-2</v>
      </c>
      <c r="S172" s="4">
        <v>46245</v>
      </c>
      <c r="T172" s="3" t="s">
        <v>33</v>
      </c>
      <c r="U172" s="3" t="s">
        <v>33</v>
      </c>
      <c r="V172" s="3" t="s">
        <v>33</v>
      </c>
      <c r="W172" s="3" t="s">
        <v>33</v>
      </c>
      <c r="X172" s="6">
        <v>3.5000000000000003E-2</v>
      </c>
      <c r="Y172" s="3" t="s">
        <v>33</v>
      </c>
      <c r="Z172" s="6">
        <v>2.29E-2</v>
      </c>
      <c r="AA172" s="2">
        <v>46245</v>
      </c>
      <c r="AB172" s="1" t="s">
        <v>33</v>
      </c>
      <c r="AC172" s="1" t="s">
        <v>33</v>
      </c>
      <c r="AD172" s="1" t="s">
        <v>33</v>
      </c>
      <c r="AE172" s="1" t="s">
        <v>33</v>
      </c>
      <c r="AF172" s="1" t="s">
        <v>33</v>
      </c>
      <c r="AG172" s="1" t="s">
        <v>33</v>
      </c>
      <c r="AH172" s="57">
        <v>2.8000000000000001E-2</v>
      </c>
      <c r="AI172" s="12">
        <f t="shared" si="13"/>
        <v>5.1000000000000004E-3</v>
      </c>
      <c r="AK172" s="4">
        <v>46245</v>
      </c>
      <c r="AL172" s="6">
        <v>0.02</v>
      </c>
      <c r="AM172" s="3"/>
      <c r="AN172" s="3"/>
      <c r="AO172" s="3"/>
      <c r="AP172" s="3" t="s">
        <v>33</v>
      </c>
      <c r="AQ172" s="3" t="s">
        <v>33</v>
      </c>
      <c r="AR172" s="6">
        <v>1.77E-2</v>
      </c>
      <c r="AS172" s="2">
        <v>46245</v>
      </c>
      <c r="AT172" s="13">
        <v>3.7900000000000003E-2</v>
      </c>
      <c r="AU172" s="13">
        <v>3.78E-2</v>
      </c>
      <c r="AV172" s="13">
        <v>0.04</v>
      </c>
      <c r="AW172" s="13">
        <v>0.05</v>
      </c>
      <c r="AX172" s="13">
        <v>4.4699999999999997E-2</v>
      </c>
      <c r="AY172" s="13">
        <v>4.9599999999999998E-2</v>
      </c>
      <c r="AZ172" s="13">
        <v>4.4600000000000001E-2</v>
      </c>
      <c r="BA172" s="12">
        <v>2.5999999999999999E-2</v>
      </c>
      <c r="BC172" s="4">
        <v>46245</v>
      </c>
      <c r="BD172" s="6" t="s">
        <v>33</v>
      </c>
      <c r="BE172" s="6">
        <v>2.8000000000000001E-2</v>
      </c>
      <c r="BF172" s="6">
        <v>3.2000000000000001E-2</v>
      </c>
      <c r="BG172" s="3"/>
      <c r="BH172" s="3"/>
      <c r="BI172" s="3"/>
      <c r="BJ172" s="6">
        <v>2.1700000000000001E-2</v>
      </c>
      <c r="BK172" s="2">
        <v>46245</v>
      </c>
      <c r="BL172" s="57">
        <v>5.16E-2</v>
      </c>
      <c r="BM172" s="1"/>
      <c r="BN172" s="57">
        <v>6.2E-2</v>
      </c>
      <c r="BO172" s="1"/>
      <c r="BP172" s="1"/>
      <c r="BQ172" s="1"/>
      <c r="BR172" s="57">
        <v>4.3400000000000001E-2</v>
      </c>
      <c r="BS172" s="12">
        <f t="shared" si="18"/>
        <v>2.1700000000000001E-2</v>
      </c>
    </row>
    <row r="173" spans="1:71" x14ac:dyDescent="0.35">
      <c r="A173" s="4">
        <v>46246</v>
      </c>
      <c r="B173" s="3" t="s">
        <v>33</v>
      </c>
      <c r="C173" s="3" t="s">
        <v>33</v>
      </c>
      <c r="D173" s="3" t="s">
        <v>32</v>
      </c>
      <c r="E173" s="3" t="s">
        <v>33</v>
      </c>
      <c r="F173" s="3" t="s">
        <v>32</v>
      </c>
      <c r="G173" s="3" t="s">
        <v>33</v>
      </c>
      <c r="H173" s="9">
        <v>1.7999999999999999E-2</v>
      </c>
      <c r="I173" s="2">
        <v>46246</v>
      </c>
      <c r="J173" s="1" t="s">
        <v>33</v>
      </c>
      <c r="K173" s="1" t="s">
        <v>33</v>
      </c>
      <c r="L173" s="1" t="s">
        <v>32</v>
      </c>
      <c r="M173" s="1" t="s">
        <v>33</v>
      </c>
      <c r="N173" s="1" t="s">
        <v>32</v>
      </c>
      <c r="O173" s="1" t="s">
        <v>32</v>
      </c>
      <c r="P173" s="57">
        <v>4.1200000000000001E-2</v>
      </c>
      <c r="Q173" s="84">
        <f t="shared" si="21"/>
        <v>2.3200000000000002E-2</v>
      </c>
      <c r="S173" s="4">
        <v>46246</v>
      </c>
      <c r="T173" s="3" t="s">
        <v>33</v>
      </c>
      <c r="U173" s="3" t="s">
        <v>33</v>
      </c>
      <c r="V173" s="3" t="s">
        <v>33</v>
      </c>
      <c r="W173" s="3" t="s">
        <v>33</v>
      </c>
      <c r="X173" s="6">
        <v>3.5000000000000003E-2</v>
      </c>
      <c r="Y173" s="3" t="s">
        <v>33</v>
      </c>
      <c r="Z173" s="6">
        <v>2.3199999999999998E-2</v>
      </c>
      <c r="AA173" s="2">
        <v>46246</v>
      </c>
      <c r="AB173" s="1" t="s">
        <v>33</v>
      </c>
      <c r="AC173" s="1" t="s">
        <v>33</v>
      </c>
      <c r="AD173" s="1" t="s">
        <v>33</v>
      </c>
      <c r="AE173" s="1" t="s">
        <v>33</v>
      </c>
      <c r="AF173" s="1" t="s">
        <v>33</v>
      </c>
      <c r="AG173" s="1" t="s">
        <v>33</v>
      </c>
      <c r="AH173" s="57">
        <v>2.8000000000000001E-2</v>
      </c>
      <c r="AI173" s="12">
        <f t="shared" si="13"/>
        <v>4.8000000000000022E-3</v>
      </c>
      <c r="AK173" s="4">
        <v>46246</v>
      </c>
      <c r="AL173" s="6">
        <v>0.02</v>
      </c>
      <c r="AM173" s="3"/>
      <c r="AN173" s="3"/>
      <c r="AO173" s="3"/>
      <c r="AP173" s="3" t="s">
        <v>33</v>
      </c>
      <c r="AQ173" s="3" t="s">
        <v>33</v>
      </c>
      <c r="AR173" s="6">
        <v>1.8100000000000002E-2</v>
      </c>
      <c r="AS173" s="2">
        <v>46246</v>
      </c>
      <c r="AT173" s="13">
        <v>3.7499999999999999E-2</v>
      </c>
      <c r="AU173" s="13">
        <v>3.78E-2</v>
      </c>
      <c r="AV173" s="13">
        <v>3.0099999999999998E-2</v>
      </c>
      <c r="AW173" s="13">
        <v>4.8899999999999999E-2</v>
      </c>
      <c r="AX173" s="13">
        <v>4.4699999999999997E-2</v>
      </c>
      <c r="AY173" s="13">
        <v>4.9599999999999998E-2</v>
      </c>
      <c r="AZ173" s="13">
        <v>4.5100000000000001E-2</v>
      </c>
      <c r="BA173" s="12">
        <v>2.5999999999999999E-2</v>
      </c>
      <c r="BC173" s="4">
        <v>46246</v>
      </c>
      <c r="BD173" s="6" t="s">
        <v>33</v>
      </c>
      <c r="BE173" s="6">
        <v>2.8000000000000001E-2</v>
      </c>
      <c r="BF173" s="6">
        <v>3.2000000000000001E-2</v>
      </c>
      <c r="BG173" s="3"/>
      <c r="BH173" s="3"/>
      <c r="BI173" s="3"/>
      <c r="BJ173" s="6">
        <v>1.8200000000000001E-2</v>
      </c>
      <c r="BK173" s="2">
        <v>46246</v>
      </c>
      <c r="BL173" s="57">
        <v>5.0500000000000003E-2</v>
      </c>
      <c r="BM173" s="1"/>
      <c r="BN173" s="57">
        <v>6.0600000000000001E-2</v>
      </c>
      <c r="BO173" s="1"/>
      <c r="BP173" s="1"/>
      <c r="BQ173" s="1"/>
      <c r="BR173" s="57">
        <v>4.2299999999999997E-2</v>
      </c>
      <c r="BS173" s="12">
        <f t="shared" si="18"/>
        <v>2.4099999999999996E-2</v>
      </c>
    </row>
    <row r="174" spans="1:71" x14ac:dyDescent="0.35">
      <c r="A174" s="4">
        <v>46247</v>
      </c>
      <c r="B174" s="3" t="s">
        <v>33</v>
      </c>
      <c r="C174" s="3" t="s">
        <v>33</v>
      </c>
      <c r="D174" s="3" t="s">
        <v>32</v>
      </c>
      <c r="E174" s="3" t="s">
        <v>33</v>
      </c>
      <c r="F174" s="3" t="s">
        <v>32</v>
      </c>
      <c r="G174" s="3" t="s">
        <v>33</v>
      </c>
      <c r="H174" s="9">
        <v>1.8100000000000002E-2</v>
      </c>
      <c r="I174" s="2">
        <v>46247</v>
      </c>
      <c r="J174" s="1" t="s">
        <v>33</v>
      </c>
      <c r="K174" s="1" t="s">
        <v>33</v>
      </c>
      <c r="L174" s="1" t="s">
        <v>32</v>
      </c>
      <c r="M174" s="1" t="s">
        <v>33</v>
      </c>
      <c r="N174" s="1" t="s">
        <v>32</v>
      </c>
      <c r="O174" s="1" t="s">
        <v>32</v>
      </c>
      <c r="P174" s="92">
        <v>4.1300000000000003E-2</v>
      </c>
      <c r="Q174" s="84">
        <f t="shared" si="21"/>
        <v>2.3200000000000002E-2</v>
      </c>
      <c r="S174" s="4">
        <v>46247</v>
      </c>
      <c r="T174" s="3" t="s">
        <v>33</v>
      </c>
      <c r="U174" s="3" t="s">
        <v>33</v>
      </c>
      <c r="V174" s="3" t="s">
        <v>33</v>
      </c>
      <c r="W174" s="3" t="s">
        <v>33</v>
      </c>
      <c r="X174" s="6">
        <v>3.5000000000000003E-2</v>
      </c>
      <c r="Y174" s="3" t="s">
        <v>33</v>
      </c>
      <c r="Z174" s="6">
        <v>2.3199999999999998E-2</v>
      </c>
      <c r="AA174" s="2">
        <v>46247</v>
      </c>
      <c r="AB174" s="1" t="s">
        <v>33</v>
      </c>
      <c r="AC174" s="1" t="s">
        <v>33</v>
      </c>
      <c r="AD174" s="1" t="s">
        <v>33</v>
      </c>
      <c r="AE174" s="1" t="s">
        <v>33</v>
      </c>
      <c r="AF174" s="1" t="s">
        <v>33</v>
      </c>
      <c r="AG174" s="1" t="s">
        <v>33</v>
      </c>
      <c r="AH174" s="57">
        <v>2.8000000000000001E-2</v>
      </c>
      <c r="AI174" s="12">
        <f t="shared" si="13"/>
        <v>4.8000000000000022E-3</v>
      </c>
      <c r="AK174" s="4">
        <v>46247</v>
      </c>
      <c r="AL174" s="6">
        <v>0.02</v>
      </c>
      <c r="AM174" s="3"/>
      <c r="AN174" s="3"/>
      <c r="AO174" s="3"/>
      <c r="AP174" s="3" t="s">
        <v>33</v>
      </c>
      <c r="AQ174" s="3" t="s">
        <v>33</v>
      </c>
      <c r="AR174" s="6">
        <v>1.8100000000000002E-2</v>
      </c>
      <c r="AS174" s="2">
        <v>46247</v>
      </c>
      <c r="AT174" s="13">
        <v>3.6799999999999999E-2</v>
      </c>
      <c r="AU174" s="13">
        <v>3.6900000000000002E-2</v>
      </c>
      <c r="AV174" s="13">
        <v>3.9899999999999998E-2</v>
      </c>
      <c r="AW174" s="13">
        <v>4.8899999999999999E-2</v>
      </c>
      <c r="AX174" s="13">
        <v>3.95E-2</v>
      </c>
      <c r="AY174" s="13">
        <v>5.1900000000000002E-2</v>
      </c>
      <c r="AZ174" s="13">
        <v>4.5400000000000003E-2</v>
      </c>
      <c r="BA174" s="12">
        <v>2.5999999999999999E-2</v>
      </c>
      <c r="BC174" s="4">
        <v>46247</v>
      </c>
      <c r="BD174" s="6" t="s">
        <v>33</v>
      </c>
      <c r="BE174" s="6">
        <v>2.8000000000000001E-2</v>
      </c>
      <c r="BF174" s="6">
        <v>3.2000000000000001E-2</v>
      </c>
      <c r="BG174" s="3"/>
      <c r="BH174" s="3"/>
      <c r="BI174" s="3"/>
      <c r="BJ174" s="6">
        <v>1.8100000000000002E-2</v>
      </c>
      <c r="BK174" s="2">
        <v>46247</v>
      </c>
      <c r="BL174" s="57">
        <v>5.0900000000000001E-2</v>
      </c>
      <c r="BM174" s="1"/>
      <c r="BN174" s="57">
        <v>6.1100000000000002E-2</v>
      </c>
      <c r="BO174" s="1"/>
      <c r="BP174" s="1"/>
      <c r="BQ174" s="1"/>
      <c r="BR174" s="57">
        <v>4.24E-2</v>
      </c>
      <c r="BS174" s="12">
        <f t="shared" si="18"/>
        <v>2.4299999999999999E-2</v>
      </c>
    </row>
    <row r="175" spans="1:71" x14ac:dyDescent="0.35">
      <c r="A175" s="4">
        <v>46248</v>
      </c>
      <c r="B175" s="3" t="s">
        <v>33</v>
      </c>
      <c r="C175" s="3" t="s">
        <v>33</v>
      </c>
      <c r="D175" s="3" t="s">
        <v>32</v>
      </c>
      <c r="E175" s="3" t="s">
        <v>33</v>
      </c>
      <c r="F175" s="3" t="s">
        <v>32</v>
      </c>
      <c r="G175" s="3" t="s">
        <v>33</v>
      </c>
      <c r="H175" s="9">
        <v>1.7899999999999999E-2</v>
      </c>
      <c r="I175" s="2">
        <v>46248</v>
      </c>
      <c r="J175" s="1" t="s">
        <v>33</v>
      </c>
      <c r="K175" s="1" t="s">
        <v>33</v>
      </c>
      <c r="L175" s="1" t="s">
        <v>32</v>
      </c>
      <c r="M175" s="1" t="s">
        <v>33</v>
      </c>
      <c r="N175" s="1" t="s">
        <v>32</v>
      </c>
      <c r="O175" s="1" t="s">
        <v>32</v>
      </c>
      <c r="P175" s="57">
        <v>4.1099999999999998E-2</v>
      </c>
      <c r="Q175" s="84">
        <f t="shared" si="21"/>
        <v>2.3199999999999998E-2</v>
      </c>
      <c r="S175" s="4">
        <v>46248</v>
      </c>
      <c r="T175" s="3" t="s">
        <v>33</v>
      </c>
      <c r="U175" s="3" t="s">
        <v>33</v>
      </c>
      <c r="V175" s="3" t="s">
        <v>33</v>
      </c>
      <c r="W175" s="3" t="s">
        <v>33</v>
      </c>
      <c r="X175" s="6">
        <v>3.5000000000000003E-2</v>
      </c>
      <c r="Y175" s="3" t="s">
        <v>33</v>
      </c>
      <c r="Z175" s="6">
        <v>2.35E-2</v>
      </c>
      <c r="AA175" s="2">
        <v>46248</v>
      </c>
      <c r="AB175" s="1" t="s">
        <v>33</v>
      </c>
      <c r="AC175" s="1" t="s">
        <v>33</v>
      </c>
      <c r="AD175" s="1" t="s">
        <v>33</v>
      </c>
      <c r="AE175" s="1" t="s">
        <v>33</v>
      </c>
      <c r="AF175" s="1" t="s">
        <v>33</v>
      </c>
      <c r="AG175" s="1" t="s">
        <v>33</v>
      </c>
      <c r="AH175" s="57">
        <v>2.8000000000000001E-2</v>
      </c>
      <c r="AI175" s="12">
        <f t="shared" si="13"/>
        <v>4.5000000000000005E-3</v>
      </c>
      <c r="AK175" s="4">
        <v>46248</v>
      </c>
      <c r="AL175" s="6">
        <v>0.02</v>
      </c>
      <c r="AM175" s="3"/>
      <c r="AN175" s="3"/>
      <c r="AO175" s="3"/>
      <c r="AP175" s="3" t="s">
        <v>33</v>
      </c>
      <c r="AQ175" s="3" t="s">
        <v>33</v>
      </c>
      <c r="AR175" s="6">
        <v>1.7500000000000002E-2</v>
      </c>
      <c r="AS175" s="2">
        <v>46248</v>
      </c>
      <c r="AT175" s="13">
        <v>3.7699999999999997E-2</v>
      </c>
      <c r="AU175" s="13">
        <v>3.6900000000000002E-2</v>
      </c>
      <c r="AV175" s="13">
        <v>0.04</v>
      </c>
      <c r="AW175" s="13">
        <v>4.8899999999999999E-2</v>
      </c>
      <c r="AX175" s="13">
        <v>4.4699999999999997E-2</v>
      </c>
      <c r="AY175" s="13">
        <v>0.05</v>
      </c>
      <c r="AZ175" s="13">
        <v>4.2200000000000001E-2</v>
      </c>
      <c r="BA175" s="12">
        <v>2.5999999999999999E-2</v>
      </c>
      <c r="BC175" s="4">
        <v>46248</v>
      </c>
      <c r="BD175" s="6" t="s">
        <v>33</v>
      </c>
      <c r="BE175" s="6">
        <v>2.8000000000000001E-2</v>
      </c>
      <c r="BF175" s="6">
        <v>3.2000000000000001E-2</v>
      </c>
      <c r="BG175" s="3"/>
      <c r="BH175" s="3"/>
      <c r="BI175" s="3"/>
      <c r="BJ175" s="6">
        <v>1.7600000000000001E-2</v>
      </c>
      <c r="BK175" s="2">
        <v>46248</v>
      </c>
      <c r="BL175" s="57">
        <v>5.0500000000000003E-2</v>
      </c>
      <c r="BM175" s="1"/>
      <c r="BN175" s="57">
        <v>6.0600000000000001E-2</v>
      </c>
      <c r="BO175" s="1"/>
      <c r="BP175" s="1"/>
      <c r="BQ175" s="1"/>
      <c r="BR175" s="57">
        <v>4.19E-2</v>
      </c>
      <c r="BS175" s="12">
        <f t="shared" si="18"/>
        <v>2.4299999999999999E-2</v>
      </c>
    </row>
    <row r="176" spans="1:71" x14ac:dyDescent="0.35">
      <c r="A176" s="4">
        <v>46249</v>
      </c>
      <c r="B176" s="3" t="s">
        <v>33</v>
      </c>
      <c r="C176" s="3" t="s">
        <v>33</v>
      </c>
      <c r="D176" s="3" t="s">
        <v>32</v>
      </c>
      <c r="E176" s="3" t="s">
        <v>33</v>
      </c>
      <c r="F176" s="3" t="s">
        <v>32</v>
      </c>
      <c r="G176" s="3" t="s">
        <v>33</v>
      </c>
      <c r="H176" s="9">
        <v>1.7100000000000001E-2</v>
      </c>
      <c r="I176" s="2">
        <v>46249</v>
      </c>
      <c r="J176" s="1" t="s">
        <v>33</v>
      </c>
      <c r="K176" s="1" t="s">
        <v>33</v>
      </c>
      <c r="L176" s="1" t="s">
        <v>32</v>
      </c>
      <c r="M176" s="1" t="s">
        <v>33</v>
      </c>
      <c r="N176" s="1" t="s">
        <v>32</v>
      </c>
      <c r="O176" s="1" t="s">
        <v>32</v>
      </c>
      <c r="P176" s="57">
        <v>4.1099999999999998E-2</v>
      </c>
      <c r="Q176" s="84">
        <f t="shared" si="21"/>
        <v>2.3999999999999997E-2</v>
      </c>
      <c r="S176" s="4">
        <v>46249</v>
      </c>
      <c r="T176" s="3" t="s">
        <v>33</v>
      </c>
      <c r="U176" s="3" t="s">
        <v>33</v>
      </c>
      <c r="V176" s="3" t="s">
        <v>33</v>
      </c>
      <c r="W176" s="3" t="s">
        <v>33</v>
      </c>
      <c r="X176" s="6">
        <v>3.5000000000000003E-2</v>
      </c>
      <c r="Y176" s="3" t="s">
        <v>33</v>
      </c>
      <c r="Z176" s="6">
        <v>2.35E-2</v>
      </c>
      <c r="AA176" s="2">
        <v>46249</v>
      </c>
      <c r="AB176" s="1" t="s">
        <v>33</v>
      </c>
      <c r="AC176" s="1" t="s">
        <v>33</v>
      </c>
      <c r="AD176" s="1" t="s">
        <v>33</v>
      </c>
      <c r="AE176" s="1" t="s">
        <v>33</v>
      </c>
      <c r="AF176" s="1" t="s">
        <v>33</v>
      </c>
      <c r="AG176" s="1" t="s">
        <v>33</v>
      </c>
      <c r="AH176" s="57">
        <v>2.8000000000000001E-2</v>
      </c>
      <c r="AI176" s="12">
        <f t="shared" si="13"/>
        <v>4.5000000000000005E-3</v>
      </c>
      <c r="AK176" s="4">
        <v>46249</v>
      </c>
      <c r="AL176" s="6">
        <v>0.02</v>
      </c>
      <c r="AM176" s="3"/>
      <c r="AN176" s="3"/>
      <c r="AO176" s="3"/>
      <c r="AP176" s="3" t="s">
        <v>33</v>
      </c>
      <c r="AQ176" s="3" t="s">
        <v>33</v>
      </c>
      <c r="AR176" s="6">
        <v>1.6799999999999999E-2</v>
      </c>
      <c r="AS176" s="2">
        <v>46249</v>
      </c>
      <c r="AT176" s="13">
        <v>3.7699999999999997E-2</v>
      </c>
      <c r="AU176" s="13">
        <v>3.6900000000000002E-2</v>
      </c>
      <c r="AV176" s="13">
        <v>0.04</v>
      </c>
      <c r="AW176" s="13">
        <v>4.8899999999999999E-2</v>
      </c>
      <c r="AX176" s="13">
        <v>4.4699999999999997E-2</v>
      </c>
      <c r="AY176" s="13">
        <v>0.05</v>
      </c>
      <c r="AZ176" s="13">
        <v>4.3400000000000001E-2</v>
      </c>
      <c r="BA176" s="12">
        <v>2.5999999999999999E-2</v>
      </c>
      <c r="BC176" s="4">
        <v>46249</v>
      </c>
      <c r="BD176" s="6" t="s">
        <v>33</v>
      </c>
      <c r="BE176" s="6">
        <v>2.8000000000000001E-2</v>
      </c>
      <c r="BF176" s="6">
        <v>3.2000000000000001E-2</v>
      </c>
      <c r="BG176" s="3"/>
      <c r="BH176" s="3"/>
      <c r="BI176" s="3"/>
      <c r="BJ176" s="6">
        <v>1.7399999999999999E-2</v>
      </c>
      <c r="BK176" s="2">
        <v>46249</v>
      </c>
      <c r="BL176" s="57">
        <v>4.8800000000000003E-2</v>
      </c>
      <c r="BM176" s="1"/>
      <c r="BN176" s="57">
        <v>5.8599999999999999E-2</v>
      </c>
      <c r="BO176" s="1"/>
      <c r="BP176" s="1"/>
      <c r="BQ176" s="1"/>
      <c r="BR176" s="57">
        <v>4.1000000000000002E-2</v>
      </c>
      <c r="BS176" s="12">
        <f t="shared" si="18"/>
        <v>2.3600000000000003E-2</v>
      </c>
    </row>
    <row r="177" spans="1:71" x14ac:dyDescent="0.35">
      <c r="A177" s="4">
        <v>46250</v>
      </c>
      <c r="B177" s="3" t="s">
        <v>33</v>
      </c>
      <c r="C177" s="3" t="s">
        <v>33</v>
      </c>
      <c r="D177" s="3" t="s">
        <v>32</v>
      </c>
      <c r="E177" s="3" t="s">
        <v>33</v>
      </c>
      <c r="F177" s="3" t="s">
        <v>32</v>
      </c>
      <c r="G177" s="3" t="s">
        <v>33</v>
      </c>
      <c r="H177" s="9">
        <v>1.7100000000000001E-2</v>
      </c>
      <c r="I177" s="2">
        <v>46250</v>
      </c>
      <c r="J177" s="1" t="s">
        <v>33</v>
      </c>
      <c r="K177" s="1" t="s">
        <v>33</v>
      </c>
      <c r="L177" s="1" t="s">
        <v>32</v>
      </c>
      <c r="M177" s="1" t="s">
        <v>33</v>
      </c>
      <c r="N177" s="1" t="s">
        <v>32</v>
      </c>
      <c r="O177" s="1" t="s">
        <v>32</v>
      </c>
      <c r="P177" s="57">
        <v>4.1099999999999998E-2</v>
      </c>
      <c r="Q177" s="84">
        <f t="shared" si="21"/>
        <v>2.3999999999999997E-2</v>
      </c>
      <c r="S177" s="4">
        <v>46250</v>
      </c>
      <c r="T177" s="3" t="s">
        <v>33</v>
      </c>
      <c r="U177" s="3" t="s">
        <v>33</v>
      </c>
      <c r="V177" s="3" t="s">
        <v>33</v>
      </c>
      <c r="W177" s="3" t="s">
        <v>33</v>
      </c>
      <c r="X177" s="6">
        <v>3.5000000000000003E-2</v>
      </c>
      <c r="Y177" s="3" t="s">
        <v>33</v>
      </c>
      <c r="Z177" s="6">
        <v>2.35E-2</v>
      </c>
      <c r="AA177" s="2">
        <v>46250</v>
      </c>
      <c r="AB177" s="1" t="s">
        <v>33</v>
      </c>
      <c r="AC177" s="1" t="s">
        <v>33</v>
      </c>
      <c r="AD177" s="1" t="s">
        <v>33</v>
      </c>
      <c r="AE177" s="1" t="s">
        <v>33</v>
      </c>
      <c r="AF177" s="1" t="s">
        <v>33</v>
      </c>
      <c r="AG177" s="1" t="s">
        <v>33</v>
      </c>
      <c r="AH177" s="57">
        <v>2.8000000000000001E-2</v>
      </c>
      <c r="AI177" s="12">
        <f t="shared" si="13"/>
        <v>4.5000000000000005E-3</v>
      </c>
      <c r="AK177" s="4">
        <v>46250</v>
      </c>
      <c r="AL177" s="6">
        <v>0.02</v>
      </c>
      <c r="AM177" s="3"/>
      <c r="AN177" s="3"/>
      <c r="AO177" s="3"/>
      <c r="AP177" s="3" t="s">
        <v>33</v>
      </c>
      <c r="AQ177" s="3" t="s">
        <v>33</v>
      </c>
      <c r="AR177" s="6">
        <v>1.6799999999999999E-2</v>
      </c>
      <c r="AS177" s="2">
        <v>46250</v>
      </c>
      <c r="AT177" s="13">
        <v>3.7699999999999997E-2</v>
      </c>
      <c r="AU177" s="13">
        <v>3.6900000000000002E-2</v>
      </c>
      <c r="AV177" s="13">
        <v>0.04</v>
      </c>
      <c r="AW177" s="13">
        <v>4.8899999999999999E-2</v>
      </c>
      <c r="AX177" s="13">
        <v>4.4699999999999997E-2</v>
      </c>
      <c r="AY177" s="13">
        <v>0.05</v>
      </c>
      <c r="AZ177" s="13">
        <v>4.3400000000000001E-2</v>
      </c>
      <c r="BA177" s="12">
        <v>2.5999999999999999E-2</v>
      </c>
      <c r="BC177" s="4">
        <v>46250</v>
      </c>
      <c r="BD177" s="6" t="s">
        <v>33</v>
      </c>
      <c r="BE177" s="6">
        <v>2.8000000000000001E-2</v>
      </c>
      <c r="BF177" s="6">
        <v>3.2000000000000001E-2</v>
      </c>
      <c r="BG177" s="3"/>
      <c r="BH177" s="3"/>
      <c r="BI177" s="3"/>
      <c r="BJ177" s="6">
        <v>1.7399999999999999E-2</v>
      </c>
      <c r="BK177" s="2">
        <v>46250</v>
      </c>
      <c r="BL177" s="57">
        <v>4.8800000000000003E-2</v>
      </c>
      <c r="BM177" s="1"/>
      <c r="BN177" s="57">
        <v>5.8599999999999999E-2</v>
      </c>
      <c r="BO177" s="1"/>
      <c r="BP177" s="1"/>
      <c r="BQ177" s="1"/>
      <c r="BR177" s="57">
        <v>4.1300000000000003E-2</v>
      </c>
      <c r="BS177" s="12">
        <f t="shared" si="18"/>
        <v>2.3900000000000005E-2</v>
      </c>
    </row>
    <row r="178" spans="1:71" x14ac:dyDescent="0.35">
      <c r="A178" s="4">
        <v>46251</v>
      </c>
      <c r="B178" s="3" t="s">
        <v>33</v>
      </c>
      <c r="C178" s="3" t="s">
        <v>33</v>
      </c>
      <c r="D178" s="3" t="s">
        <v>32</v>
      </c>
      <c r="E178" s="3" t="s">
        <v>33</v>
      </c>
      <c r="F178" s="3" t="s">
        <v>32</v>
      </c>
      <c r="G178" s="3" t="s">
        <v>33</v>
      </c>
      <c r="H178" s="9">
        <v>1.72E-2</v>
      </c>
      <c r="I178" s="2">
        <v>46251</v>
      </c>
      <c r="J178" s="1" t="s">
        <v>33</v>
      </c>
      <c r="K178" s="1" t="s">
        <v>33</v>
      </c>
      <c r="L178" s="1" t="s">
        <v>32</v>
      </c>
      <c r="M178" s="1" t="s">
        <v>33</v>
      </c>
      <c r="N178" s="1" t="s">
        <v>32</v>
      </c>
      <c r="O178" s="1" t="s">
        <v>32</v>
      </c>
      <c r="P178" s="57">
        <v>4.0300000000000002E-2</v>
      </c>
      <c r="Q178" s="84">
        <f t="shared" si="21"/>
        <v>2.3100000000000002E-2</v>
      </c>
      <c r="S178" s="4">
        <v>46251</v>
      </c>
      <c r="T178" s="3" t="s">
        <v>33</v>
      </c>
      <c r="U178" s="3" t="s">
        <v>33</v>
      </c>
      <c r="V178" s="3" t="s">
        <v>33</v>
      </c>
      <c r="W178" s="3" t="s">
        <v>33</v>
      </c>
      <c r="X178" s="6">
        <v>3.5000000000000003E-2</v>
      </c>
      <c r="Y178" s="3" t="s">
        <v>33</v>
      </c>
      <c r="Z178" s="6">
        <v>2.3400000000000001E-2</v>
      </c>
      <c r="AA178" s="2">
        <v>46251</v>
      </c>
      <c r="AB178" s="1" t="s">
        <v>33</v>
      </c>
      <c r="AC178" s="1" t="s">
        <v>33</v>
      </c>
      <c r="AD178" s="1" t="s">
        <v>33</v>
      </c>
      <c r="AE178" s="1" t="s">
        <v>33</v>
      </c>
      <c r="AF178" s="1" t="s">
        <v>33</v>
      </c>
      <c r="AG178" s="1" t="s">
        <v>33</v>
      </c>
      <c r="AH178" s="57">
        <v>2.8000000000000001E-2</v>
      </c>
      <c r="AI178" s="12">
        <f t="shared" si="13"/>
        <v>4.5999999999999999E-3</v>
      </c>
      <c r="AK178" s="4">
        <v>46251</v>
      </c>
      <c r="AL178" s="6">
        <v>0.02</v>
      </c>
      <c r="AM178" s="3"/>
      <c r="AN178" s="3"/>
      <c r="AO178" s="3"/>
      <c r="AP178" s="3" t="s">
        <v>33</v>
      </c>
      <c r="AQ178" s="3" t="s">
        <v>33</v>
      </c>
      <c r="AR178" s="6">
        <v>1.6799999999999999E-2</v>
      </c>
      <c r="AS178" s="2">
        <v>46251</v>
      </c>
      <c r="AT178" s="13">
        <v>3.7900000000000003E-2</v>
      </c>
      <c r="AU178" s="13">
        <v>3.9899999999999998E-2</v>
      </c>
      <c r="AV178" s="13">
        <v>0.04</v>
      </c>
      <c r="AW178" s="13">
        <v>4.8000000000000001E-2</v>
      </c>
      <c r="AX178" s="13">
        <v>4.48E-2</v>
      </c>
      <c r="AY178" s="13">
        <v>5.0299999999999997E-2</v>
      </c>
      <c r="AZ178" s="13">
        <v>4.3400000000000001E-2</v>
      </c>
      <c r="BA178" s="12">
        <v>2.5999999999999999E-2</v>
      </c>
      <c r="BC178" s="4">
        <v>46251</v>
      </c>
      <c r="BD178" s="6" t="s">
        <v>33</v>
      </c>
      <c r="BE178" s="6">
        <v>2.8000000000000001E-2</v>
      </c>
      <c r="BF178" s="6">
        <v>3.2000000000000001E-2</v>
      </c>
      <c r="BG178" s="3"/>
      <c r="BH178" s="3"/>
      <c r="BI178" s="3"/>
      <c r="BJ178" s="6">
        <v>1.7399999999999999E-2</v>
      </c>
      <c r="BK178" s="2">
        <v>46251</v>
      </c>
      <c r="BL178" s="57">
        <v>4.8800000000000003E-2</v>
      </c>
      <c r="BM178" s="1"/>
      <c r="BN178" s="57">
        <v>5.8599999999999999E-2</v>
      </c>
      <c r="BO178" s="1"/>
      <c r="BP178" s="1"/>
      <c r="BQ178" s="1"/>
      <c r="BR178" s="57">
        <v>4.0800000000000003E-2</v>
      </c>
      <c r="BS178" s="12">
        <f t="shared" ref="BS178:BS196" si="24">BR178-BJ178</f>
        <v>2.3400000000000004E-2</v>
      </c>
    </row>
    <row r="179" spans="1:71" x14ac:dyDescent="0.35">
      <c r="A179" s="4">
        <v>46252</v>
      </c>
      <c r="B179" s="3" t="s">
        <v>33</v>
      </c>
      <c r="C179" s="3" t="s">
        <v>33</v>
      </c>
      <c r="D179" s="3" t="s">
        <v>32</v>
      </c>
      <c r="E179" s="3" t="s">
        <v>33</v>
      </c>
      <c r="F179" s="3" t="s">
        <v>32</v>
      </c>
      <c r="G179" s="3" t="s">
        <v>33</v>
      </c>
      <c r="H179" s="9">
        <v>1.6899999999999998E-2</v>
      </c>
      <c r="I179" s="2">
        <v>46252</v>
      </c>
      <c r="J179" s="1" t="s">
        <v>33</v>
      </c>
      <c r="K179" s="1" t="s">
        <v>33</v>
      </c>
      <c r="L179" s="1" t="s">
        <v>32</v>
      </c>
      <c r="M179" s="1" t="s">
        <v>33</v>
      </c>
      <c r="N179" s="1" t="s">
        <v>32</v>
      </c>
      <c r="O179" s="1" t="s">
        <v>32</v>
      </c>
      <c r="P179" s="57">
        <v>0.04</v>
      </c>
      <c r="Q179" s="84">
        <f t="shared" si="21"/>
        <v>2.3100000000000002E-2</v>
      </c>
      <c r="S179" s="4">
        <v>46252</v>
      </c>
      <c r="T179" s="3" t="s">
        <v>33</v>
      </c>
      <c r="U179" s="3" t="s">
        <v>33</v>
      </c>
      <c r="V179" s="3" t="s">
        <v>33</v>
      </c>
      <c r="W179" s="3" t="s">
        <v>33</v>
      </c>
      <c r="X179" s="6">
        <v>3.5000000000000003E-2</v>
      </c>
      <c r="Y179" s="3" t="s">
        <v>33</v>
      </c>
      <c r="Z179" s="6">
        <v>2.3400000000000001E-2</v>
      </c>
      <c r="AA179" s="2">
        <v>46252</v>
      </c>
      <c r="AB179" s="1" t="s">
        <v>33</v>
      </c>
      <c r="AC179" s="1" t="s">
        <v>33</v>
      </c>
      <c r="AD179" s="1" t="s">
        <v>33</v>
      </c>
      <c r="AE179" s="1" t="s">
        <v>33</v>
      </c>
      <c r="AF179" s="1" t="s">
        <v>33</v>
      </c>
      <c r="AG179" s="1" t="s">
        <v>33</v>
      </c>
      <c r="AH179" s="57">
        <v>2.8000000000000001E-2</v>
      </c>
      <c r="AI179" s="12">
        <f t="shared" si="13"/>
        <v>4.5999999999999999E-3</v>
      </c>
      <c r="AK179" s="4">
        <v>46252</v>
      </c>
      <c r="AL179" s="6">
        <v>0.02</v>
      </c>
      <c r="AM179" s="3"/>
      <c r="AN179" s="3"/>
      <c r="AO179" s="3"/>
      <c r="AP179" s="3" t="s">
        <v>33</v>
      </c>
      <c r="AQ179" s="3" t="s">
        <v>33</v>
      </c>
      <c r="AR179" s="6">
        <v>1.7000000000000001E-2</v>
      </c>
      <c r="AS179" s="2">
        <v>46252</v>
      </c>
      <c r="AT179" s="13">
        <v>3.7900000000000003E-2</v>
      </c>
      <c r="AU179" s="13">
        <v>3.9800000000000002E-2</v>
      </c>
      <c r="AV179" s="13">
        <v>0.04</v>
      </c>
      <c r="AW179" s="13">
        <v>4.7E-2</v>
      </c>
      <c r="AX179" s="13">
        <v>4.48E-2</v>
      </c>
      <c r="AY179" s="13">
        <v>0.05</v>
      </c>
      <c r="AZ179" s="13">
        <v>4.3099999999999999E-2</v>
      </c>
      <c r="BA179" s="12">
        <v>2.5999999999999999E-2</v>
      </c>
      <c r="BC179" s="4">
        <v>46252</v>
      </c>
      <c r="BD179" s="6" t="s">
        <v>33</v>
      </c>
      <c r="BE179" s="6">
        <v>2.8000000000000001E-2</v>
      </c>
      <c r="BF179" s="6">
        <v>3.2000000000000001E-2</v>
      </c>
      <c r="BG179" s="3"/>
      <c r="BH179" s="3"/>
      <c r="BI179" s="3"/>
      <c r="BJ179" s="6">
        <v>1.77E-2</v>
      </c>
      <c r="BK179" s="2">
        <v>46252</v>
      </c>
      <c r="BL179" s="57">
        <v>4.9599999999999998E-2</v>
      </c>
      <c r="BM179" s="1"/>
      <c r="BN179" s="57">
        <v>5.9499999999999997E-2</v>
      </c>
      <c r="BO179" s="1"/>
      <c r="BP179" s="1"/>
      <c r="BQ179" s="1"/>
      <c r="BR179" s="57">
        <v>4.1500000000000002E-2</v>
      </c>
      <c r="BS179" s="12">
        <f t="shared" si="24"/>
        <v>2.3800000000000002E-2</v>
      </c>
    </row>
    <row r="180" spans="1:71" x14ac:dyDescent="0.35">
      <c r="A180" s="4">
        <v>46253</v>
      </c>
      <c r="B180" s="3" t="s">
        <v>33</v>
      </c>
      <c r="C180" s="3" t="s">
        <v>33</v>
      </c>
      <c r="D180" s="3" t="s">
        <v>32</v>
      </c>
      <c r="E180" s="3" t="s">
        <v>33</v>
      </c>
      <c r="F180" s="3" t="s">
        <v>32</v>
      </c>
      <c r="G180" s="3" t="s">
        <v>33</v>
      </c>
      <c r="H180" s="9">
        <v>1.7000000000000001E-2</v>
      </c>
      <c r="I180" s="2">
        <v>46253</v>
      </c>
      <c r="J180" s="1" t="s">
        <v>33</v>
      </c>
      <c r="K180" s="1" t="s">
        <v>33</v>
      </c>
      <c r="L180" s="1" t="s">
        <v>32</v>
      </c>
      <c r="M180" s="1" t="s">
        <v>33</v>
      </c>
      <c r="N180" s="1" t="s">
        <v>32</v>
      </c>
      <c r="O180" s="1" t="s">
        <v>32</v>
      </c>
      <c r="P180" s="57">
        <v>4.0099999999999997E-2</v>
      </c>
      <c r="Q180" s="84">
        <f t="shared" si="21"/>
        <v>2.3099999999999996E-2</v>
      </c>
      <c r="S180" s="4">
        <v>46253</v>
      </c>
      <c r="T180" s="3" t="s">
        <v>33</v>
      </c>
      <c r="U180" s="3" t="s">
        <v>33</v>
      </c>
      <c r="V180" s="3" t="s">
        <v>33</v>
      </c>
      <c r="W180" s="3" t="s">
        <v>33</v>
      </c>
      <c r="X180" s="6">
        <v>3.5000000000000003E-2</v>
      </c>
      <c r="Y180" s="3" t="s">
        <v>33</v>
      </c>
      <c r="Z180" s="6">
        <v>2.5100000000000001E-2</v>
      </c>
      <c r="AA180" s="2">
        <v>46253</v>
      </c>
      <c r="AB180" s="1" t="s">
        <v>33</v>
      </c>
      <c r="AC180" s="1" t="s">
        <v>33</v>
      </c>
      <c r="AD180" s="1" t="s">
        <v>33</v>
      </c>
      <c r="AE180" s="1" t="s">
        <v>33</v>
      </c>
      <c r="AF180" s="1" t="s">
        <v>33</v>
      </c>
      <c r="AG180" s="1" t="s">
        <v>33</v>
      </c>
      <c r="AH180" s="57">
        <v>0.03</v>
      </c>
      <c r="AI180" s="12">
        <f t="shared" si="13"/>
        <v>4.8999999999999981E-3</v>
      </c>
      <c r="AK180" s="4">
        <v>46253</v>
      </c>
      <c r="AL180" s="6">
        <v>0.02</v>
      </c>
      <c r="AM180" s="3"/>
      <c r="AN180" s="3"/>
      <c r="AO180" s="3"/>
      <c r="AP180" s="3" t="s">
        <v>33</v>
      </c>
      <c r="AQ180" s="3" t="s">
        <v>33</v>
      </c>
      <c r="AR180" s="6">
        <v>1.7000000000000001E-2</v>
      </c>
      <c r="AS180" s="2">
        <v>46253</v>
      </c>
      <c r="AT180" s="13">
        <v>3.7999999999999999E-2</v>
      </c>
      <c r="AU180" s="13">
        <v>3.9899999999999998E-2</v>
      </c>
      <c r="AV180" s="13">
        <v>4.5999999999999999E-2</v>
      </c>
      <c r="AW180" s="13">
        <v>0.05</v>
      </c>
      <c r="AX180" s="13">
        <v>4.4999999999999998E-2</v>
      </c>
      <c r="AY180" s="13">
        <v>5.0299999999999997E-2</v>
      </c>
      <c r="AZ180" s="13">
        <v>4.2900000000000001E-2</v>
      </c>
      <c r="BA180" s="12">
        <v>2.5999999999999999E-2</v>
      </c>
      <c r="BC180" s="4">
        <v>46253</v>
      </c>
      <c r="BD180" s="6" t="s">
        <v>33</v>
      </c>
      <c r="BE180" s="6">
        <v>2.8000000000000001E-2</v>
      </c>
      <c r="BF180" s="6">
        <v>3.2000000000000001E-2</v>
      </c>
      <c r="BG180" s="3"/>
      <c r="BH180" s="3"/>
      <c r="BI180" s="3"/>
      <c r="BJ180" s="6">
        <v>1.7399999999999999E-2</v>
      </c>
      <c r="BK180" s="2">
        <v>46253</v>
      </c>
      <c r="BL180" s="57">
        <v>4.9099999999999998E-2</v>
      </c>
      <c r="BM180" s="1"/>
      <c r="BN180" s="57">
        <v>5.8900000000000001E-2</v>
      </c>
      <c r="BO180" s="1"/>
      <c r="BP180" s="1"/>
      <c r="BQ180" s="1"/>
      <c r="BR180" s="57">
        <v>4.1000000000000002E-2</v>
      </c>
      <c r="BS180" s="12">
        <f t="shared" si="24"/>
        <v>2.3600000000000003E-2</v>
      </c>
    </row>
    <row r="181" spans="1:71" x14ac:dyDescent="0.35">
      <c r="A181" s="4">
        <v>46254</v>
      </c>
      <c r="B181" s="3" t="s">
        <v>33</v>
      </c>
      <c r="C181" s="3" t="s">
        <v>33</v>
      </c>
      <c r="D181" s="3" t="s">
        <v>32</v>
      </c>
      <c r="E181" s="3" t="s">
        <v>33</v>
      </c>
      <c r="F181" s="3" t="s">
        <v>32</v>
      </c>
      <c r="G181" s="3" t="s">
        <v>33</v>
      </c>
      <c r="H181" s="9">
        <v>2.2599999999999999E-2</v>
      </c>
      <c r="I181" s="2">
        <v>46254</v>
      </c>
      <c r="J181" s="1" t="s">
        <v>33</v>
      </c>
      <c r="K181" s="1" t="s">
        <v>33</v>
      </c>
      <c r="L181" s="1" t="s">
        <v>32</v>
      </c>
      <c r="M181" s="1" t="s">
        <v>33</v>
      </c>
      <c r="N181" s="1" t="s">
        <v>32</v>
      </c>
      <c r="O181" s="1" t="s">
        <v>32</v>
      </c>
      <c r="P181" s="57">
        <v>4.6300000000000001E-2</v>
      </c>
      <c r="Q181" s="84">
        <f t="shared" si="21"/>
        <v>2.3700000000000002E-2</v>
      </c>
      <c r="S181" s="4">
        <v>46254</v>
      </c>
      <c r="T181" s="3" t="s">
        <v>33</v>
      </c>
      <c r="U181" s="3" t="s">
        <v>33</v>
      </c>
      <c r="V181" s="3" t="s">
        <v>33</v>
      </c>
      <c r="W181" s="3" t="s">
        <v>33</v>
      </c>
      <c r="X181" s="6">
        <v>3.5000000000000003E-2</v>
      </c>
      <c r="Y181" s="3" t="s">
        <v>33</v>
      </c>
      <c r="Z181" s="6">
        <v>2.75E-2</v>
      </c>
      <c r="AA181" s="2">
        <v>46254</v>
      </c>
      <c r="AB181" s="1" t="s">
        <v>33</v>
      </c>
      <c r="AC181" s="1" t="s">
        <v>33</v>
      </c>
      <c r="AD181" s="1" t="s">
        <v>33</v>
      </c>
      <c r="AE181" s="1" t="s">
        <v>33</v>
      </c>
      <c r="AF181" s="1" t="s">
        <v>33</v>
      </c>
      <c r="AG181" s="1" t="s">
        <v>33</v>
      </c>
      <c r="AH181" s="57">
        <v>0.03</v>
      </c>
      <c r="AI181" s="12">
        <f t="shared" si="13"/>
        <v>2.4999999999999988E-3</v>
      </c>
      <c r="AK181" s="4">
        <v>46254</v>
      </c>
      <c r="AL181" s="6">
        <v>0.02</v>
      </c>
      <c r="AM181" s="3"/>
      <c r="AN181" s="3"/>
      <c r="AO181" s="3"/>
      <c r="AP181" s="3" t="s">
        <v>33</v>
      </c>
      <c r="AQ181" s="3" t="s">
        <v>33</v>
      </c>
      <c r="AR181" s="6">
        <v>2.3900000000000001E-2</v>
      </c>
      <c r="AS181" s="2">
        <v>46254</v>
      </c>
      <c r="AT181" s="13">
        <v>0.05</v>
      </c>
      <c r="AU181" s="13">
        <v>4.4999999999999998E-2</v>
      </c>
      <c r="AV181" s="13">
        <v>4.3400000000000001E-2</v>
      </c>
      <c r="AW181" s="13">
        <v>4.99E-2</v>
      </c>
      <c r="AX181" s="13">
        <v>4.53E-2</v>
      </c>
      <c r="AY181" s="13">
        <v>5.04E-2</v>
      </c>
      <c r="AZ181" s="13">
        <v>4.8800000000000003E-2</v>
      </c>
      <c r="BA181" s="12">
        <v>2.5999999999999999E-2</v>
      </c>
      <c r="BC181" s="4">
        <v>46254</v>
      </c>
      <c r="BD181" s="6" t="s">
        <v>33</v>
      </c>
      <c r="BE181" s="6">
        <v>2.8000000000000001E-2</v>
      </c>
      <c r="BF181" s="6">
        <v>3.2000000000000001E-2</v>
      </c>
      <c r="BG181" s="3"/>
      <c r="BH181" s="3"/>
      <c r="BI181" s="3"/>
      <c r="BJ181" s="6">
        <v>1.9400000000000001E-2</v>
      </c>
      <c r="BK181" s="2">
        <v>46254</v>
      </c>
      <c r="BL181" s="57">
        <v>5.5199999999999999E-2</v>
      </c>
      <c r="BM181" s="1"/>
      <c r="BN181" s="57">
        <v>6.6199999999999995E-2</v>
      </c>
      <c r="BO181" s="1"/>
      <c r="BP181" s="1"/>
      <c r="BQ181" s="1"/>
      <c r="BR181" s="57">
        <v>4.6100000000000002E-2</v>
      </c>
      <c r="BS181" s="12">
        <f t="shared" si="24"/>
        <v>2.6700000000000002E-2</v>
      </c>
    </row>
    <row r="182" spans="1:71" x14ac:dyDescent="0.35">
      <c r="A182" s="4">
        <v>46255</v>
      </c>
      <c r="B182" s="3" t="s">
        <v>33</v>
      </c>
      <c r="C182" s="3" t="s">
        <v>33</v>
      </c>
      <c r="D182" s="3" t="s">
        <v>32</v>
      </c>
      <c r="E182" s="3" t="s">
        <v>33</v>
      </c>
      <c r="F182" s="3" t="s">
        <v>32</v>
      </c>
      <c r="G182" s="3" t="s">
        <v>33</v>
      </c>
      <c r="H182" s="9">
        <v>2.7699999999999999E-2</v>
      </c>
      <c r="I182" s="2">
        <v>46255</v>
      </c>
      <c r="J182" s="1" t="s">
        <v>33</v>
      </c>
      <c r="K182" s="1" t="s">
        <v>33</v>
      </c>
      <c r="L182" s="1" t="s">
        <v>32</v>
      </c>
      <c r="M182" s="1" t="s">
        <v>33</v>
      </c>
      <c r="N182" s="1" t="s">
        <v>32</v>
      </c>
      <c r="O182" s="1" t="s">
        <v>32</v>
      </c>
      <c r="P182" s="57">
        <v>4.9599999999999998E-2</v>
      </c>
      <c r="Q182" s="84">
        <f t="shared" si="21"/>
        <v>2.1899999999999999E-2</v>
      </c>
      <c r="S182" s="4">
        <v>46255</v>
      </c>
      <c r="T182" s="3" t="s">
        <v>33</v>
      </c>
      <c r="U182" s="3" t="s">
        <v>33</v>
      </c>
      <c r="V182" s="3" t="s">
        <v>33</v>
      </c>
      <c r="W182" s="3" t="s">
        <v>33</v>
      </c>
      <c r="X182" s="6">
        <v>3.5000000000000003E-2</v>
      </c>
      <c r="Y182" s="3" t="s">
        <v>33</v>
      </c>
      <c r="Z182" s="6">
        <v>3.1800000000000002E-2</v>
      </c>
      <c r="AA182" s="2">
        <v>46255</v>
      </c>
      <c r="AB182" s="1" t="s">
        <v>33</v>
      </c>
      <c r="AC182" s="1" t="s">
        <v>33</v>
      </c>
      <c r="AD182" s="1" t="s">
        <v>33</v>
      </c>
      <c r="AE182" s="1" t="s">
        <v>33</v>
      </c>
      <c r="AF182" s="1" t="s">
        <v>33</v>
      </c>
      <c r="AG182" s="1" t="s">
        <v>33</v>
      </c>
      <c r="AH182" s="57">
        <v>3.4599999999999999E-2</v>
      </c>
      <c r="AI182" s="12">
        <f t="shared" si="13"/>
        <v>2.7999999999999969E-3</v>
      </c>
      <c r="AK182" s="4">
        <v>46255</v>
      </c>
      <c r="AL182" s="6">
        <v>0.02</v>
      </c>
      <c r="AM182" s="3"/>
      <c r="AN182" s="3"/>
      <c r="AO182" s="3"/>
      <c r="AP182" s="3" t="s">
        <v>33</v>
      </c>
      <c r="AQ182" s="3" t="s">
        <v>33</v>
      </c>
      <c r="AR182" s="6">
        <v>2.0899999999999998E-2</v>
      </c>
      <c r="AS182" s="2">
        <v>46255</v>
      </c>
      <c r="AT182" s="13">
        <v>4.9799999999999997E-2</v>
      </c>
      <c r="AU182" s="13">
        <v>4.2900000000000001E-2</v>
      </c>
      <c r="AV182" s="13">
        <v>5.79E-2</v>
      </c>
      <c r="AW182" s="13">
        <v>4.9799999999999997E-2</v>
      </c>
      <c r="AX182" s="13">
        <v>4.99E-2</v>
      </c>
      <c r="AY182" s="13">
        <v>5.3999999999999999E-2</v>
      </c>
      <c r="AZ182" s="13">
        <v>5.04E-2</v>
      </c>
      <c r="BA182" s="12">
        <v>2.5999999999999999E-2</v>
      </c>
      <c r="BC182" s="4">
        <v>46255</v>
      </c>
      <c r="BD182" s="6" t="s">
        <v>33</v>
      </c>
      <c r="BE182" s="6">
        <v>2.8000000000000001E-2</v>
      </c>
      <c r="BF182" s="6">
        <v>3.2000000000000001E-2</v>
      </c>
      <c r="BG182" s="3"/>
      <c r="BH182" s="3"/>
      <c r="BI182" s="3"/>
      <c r="BJ182" s="6">
        <v>2.5000000000000001E-2</v>
      </c>
      <c r="BK182" s="2">
        <v>46255</v>
      </c>
      <c r="BL182" s="57">
        <v>5.5E-2</v>
      </c>
      <c r="BM182" s="1"/>
      <c r="BN182" s="57">
        <v>6.0499999999999998E-2</v>
      </c>
      <c r="BO182" s="1"/>
      <c r="BP182" s="1"/>
      <c r="BQ182" s="1"/>
      <c r="BR182" s="57">
        <v>4.9399999999999999E-2</v>
      </c>
      <c r="BS182" s="12">
        <f t="shared" si="24"/>
        <v>2.4399999999999998E-2</v>
      </c>
    </row>
    <row r="183" spans="1:71" x14ac:dyDescent="0.35">
      <c r="A183" s="4">
        <v>46256</v>
      </c>
      <c r="B183" s="3" t="s">
        <v>33</v>
      </c>
      <c r="C183" s="3" t="s">
        <v>33</v>
      </c>
      <c r="D183" s="3" t="s">
        <v>32</v>
      </c>
      <c r="E183" s="3" t="s">
        <v>33</v>
      </c>
      <c r="F183" s="3" t="s">
        <v>32</v>
      </c>
      <c r="G183" s="3" t="s">
        <v>33</v>
      </c>
      <c r="H183" s="9">
        <v>2.8799999999999999E-2</v>
      </c>
      <c r="I183" s="2">
        <v>46256</v>
      </c>
      <c r="J183" s="1" t="s">
        <v>33</v>
      </c>
      <c r="K183" s="1" t="s">
        <v>33</v>
      </c>
      <c r="L183" s="1" t="s">
        <v>32</v>
      </c>
      <c r="M183" s="1" t="s">
        <v>33</v>
      </c>
      <c r="N183" s="1" t="s">
        <v>32</v>
      </c>
      <c r="O183" s="1" t="s">
        <v>32</v>
      </c>
      <c r="P183" s="57">
        <v>5.3400000000000003E-2</v>
      </c>
      <c r="Q183" s="84">
        <f t="shared" si="21"/>
        <v>2.4600000000000004E-2</v>
      </c>
      <c r="S183" s="4">
        <v>46256</v>
      </c>
      <c r="T183" s="3" t="s">
        <v>33</v>
      </c>
      <c r="U183" s="3" t="s">
        <v>33</v>
      </c>
      <c r="V183" s="3" t="s">
        <v>33</v>
      </c>
      <c r="W183" s="3" t="s">
        <v>33</v>
      </c>
      <c r="X183" s="6">
        <v>3.5000000000000003E-2</v>
      </c>
      <c r="Y183" s="3" t="s">
        <v>33</v>
      </c>
      <c r="Z183" s="6">
        <v>3.4599999999999999E-2</v>
      </c>
      <c r="AA183" s="2">
        <v>46256</v>
      </c>
      <c r="AB183" s="1" t="s">
        <v>33</v>
      </c>
      <c r="AC183" s="1" t="s">
        <v>33</v>
      </c>
      <c r="AD183" s="1" t="s">
        <v>33</v>
      </c>
      <c r="AE183" s="1" t="s">
        <v>33</v>
      </c>
      <c r="AF183" s="1" t="s">
        <v>33</v>
      </c>
      <c r="AG183" s="1" t="s">
        <v>33</v>
      </c>
      <c r="AH183" s="57">
        <v>3.7600000000000001E-2</v>
      </c>
      <c r="AI183" s="12">
        <f t="shared" si="13"/>
        <v>3.0000000000000027E-3</v>
      </c>
      <c r="AK183" s="4">
        <v>46256</v>
      </c>
      <c r="AL183" s="6">
        <v>0.02</v>
      </c>
      <c r="AM183" s="3"/>
      <c r="AN183" s="3"/>
      <c r="AO183" s="3"/>
      <c r="AP183" s="3" t="s">
        <v>33</v>
      </c>
      <c r="AQ183" s="3" t="s">
        <v>33</v>
      </c>
      <c r="AR183" s="6">
        <v>2.0899999999999998E-2</v>
      </c>
      <c r="AS183" s="2">
        <v>46256</v>
      </c>
      <c r="AT183" s="13">
        <v>4.9799999999999997E-2</v>
      </c>
      <c r="AU183" s="13">
        <v>4.2900000000000001E-2</v>
      </c>
      <c r="AV183" s="13">
        <v>5.79E-2</v>
      </c>
      <c r="AW183" s="13">
        <v>4.9799999999999997E-2</v>
      </c>
      <c r="AX183" s="13">
        <v>4.99E-2</v>
      </c>
      <c r="AY183" s="13">
        <v>5.3999999999999999E-2</v>
      </c>
      <c r="AZ183" s="13">
        <v>5.04E-2</v>
      </c>
      <c r="BA183" s="12">
        <v>2.5999999999999999E-2</v>
      </c>
      <c r="BC183" s="4">
        <v>46256</v>
      </c>
      <c r="BD183" s="6" t="s">
        <v>33</v>
      </c>
      <c r="BE183" s="6">
        <v>2.8000000000000001E-2</v>
      </c>
      <c r="BF183" s="6">
        <v>3.2000000000000001E-2</v>
      </c>
      <c r="BG183" s="3"/>
      <c r="BH183" s="3"/>
      <c r="BI183" s="3"/>
      <c r="BJ183" s="6">
        <v>2.5899999999999999E-2</v>
      </c>
      <c r="BK183" s="2">
        <v>46256</v>
      </c>
      <c r="BL183" s="57">
        <v>5.5E-2</v>
      </c>
      <c r="BM183" s="1"/>
      <c r="BN183" s="57">
        <v>6.0499999999999998E-2</v>
      </c>
      <c r="BO183" s="1"/>
      <c r="BP183" s="1"/>
      <c r="BQ183" s="1"/>
      <c r="BR183" s="57">
        <v>4.99E-2</v>
      </c>
      <c r="BS183" s="12">
        <f t="shared" si="24"/>
        <v>2.4E-2</v>
      </c>
    </row>
    <row r="184" spans="1:71" x14ac:dyDescent="0.35">
      <c r="A184" s="4">
        <v>46257</v>
      </c>
      <c r="B184" s="3" t="s">
        <v>33</v>
      </c>
      <c r="C184" s="3" t="s">
        <v>33</v>
      </c>
      <c r="D184" s="3" t="s">
        <v>32</v>
      </c>
      <c r="E184" s="3" t="s">
        <v>33</v>
      </c>
      <c r="F184" s="3" t="s">
        <v>32</v>
      </c>
      <c r="G184" s="3" t="s">
        <v>33</v>
      </c>
      <c r="H184" s="9">
        <v>2.93E-2</v>
      </c>
      <c r="I184" s="2">
        <v>46257</v>
      </c>
      <c r="J184" s="1" t="s">
        <v>33</v>
      </c>
      <c r="K184" s="1" t="s">
        <v>33</v>
      </c>
      <c r="L184" s="1" t="s">
        <v>32</v>
      </c>
      <c r="M184" s="1" t="s">
        <v>33</v>
      </c>
      <c r="N184" s="1" t="s">
        <v>32</v>
      </c>
      <c r="O184" s="1" t="s">
        <v>32</v>
      </c>
      <c r="P184" s="57">
        <v>5.3100000000000001E-2</v>
      </c>
      <c r="Q184" s="84">
        <f t="shared" si="21"/>
        <v>2.3800000000000002E-2</v>
      </c>
      <c r="S184" s="4">
        <v>46257</v>
      </c>
      <c r="T184" s="3" t="s">
        <v>33</v>
      </c>
      <c r="U184" s="3" t="s">
        <v>33</v>
      </c>
      <c r="V184" s="3" t="s">
        <v>33</v>
      </c>
      <c r="W184" s="3" t="s">
        <v>33</v>
      </c>
      <c r="X184" s="6">
        <v>3.5000000000000003E-2</v>
      </c>
      <c r="Y184" s="3" t="s">
        <v>33</v>
      </c>
      <c r="Z184" s="6">
        <v>3.4599999999999999E-2</v>
      </c>
      <c r="AA184" s="2">
        <v>46257</v>
      </c>
      <c r="AB184" s="1" t="s">
        <v>33</v>
      </c>
      <c r="AC184" s="1" t="s">
        <v>33</v>
      </c>
      <c r="AD184" s="1" t="s">
        <v>33</v>
      </c>
      <c r="AE184" s="1" t="s">
        <v>33</v>
      </c>
      <c r="AF184" s="1" t="s">
        <v>33</v>
      </c>
      <c r="AG184" s="1" t="s">
        <v>33</v>
      </c>
      <c r="AH184" s="57">
        <v>3.7600000000000001E-2</v>
      </c>
      <c r="AI184" s="12">
        <f t="shared" si="13"/>
        <v>3.0000000000000027E-3</v>
      </c>
      <c r="AK184" s="4">
        <v>46257</v>
      </c>
      <c r="AL184" s="6">
        <v>0.02</v>
      </c>
      <c r="AM184" s="3"/>
      <c r="AN184" s="3"/>
      <c r="AO184" s="3"/>
      <c r="AP184" s="3" t="s">
        <v>33</v>
      </c>
      <c r="AQ184" s="3" t="s">
        <v>33</v>
      </c>
      <c r="AR184" s="6">
        <v>2.0899999999999998E-2</v>
      </c>
      <c r="AS184" s="2">
        <v>46257</v>
      </c>
      <c r="AT184" s="13">
        <v>4.9799999999999997E-2</v>
      </c>
      <c r="AU184" s="13">
        <v>4.2900000000000001E-2</v>
      </c>
      <c r="AV184" s="13">
        <v>5.79E-2</v>
      </c>
      <c r="AW184" s="13">
        <v>4.9799999999999997E-2</v>
      </c>
      <c r="AX184" s="13">
        <v>4.99E-2</v>
      </c>
      <c r="AY184" s="13">
        <v>5.3999999999999999E-2</v>
      </c>
      <c r="AZ184" s="13">
        <v>5.04E-2</v>
      </c>
      <c r="BA184" s="12">
        <v>2.5999999999999999E-2</v>
      </c>
      <c r="BC184" s="4">
        <v>46257</v>
      </c>
      <c r="BD184" s="6" t="s">
        <v>33</v>
      </c>
      <c r="BE184" s="6">
        <v>2.8000000000000001E-2</v>
      </c>
      <c r="BF184" s="6">
        <v>3.2000000000000001E-2</v>
      </c>
      <c r="BG184" s="3"/>
      <c r="BH184" s="3"/>
      <c r="BI184" s="3"/>
      <c r="BJ184" s="6">
        <v>2.5700000000000001E-2</v>
      </c>
      <c r="BK184" s="2">
        <v>46257</v>
      </c>
      <c r="BL184" s="57">
        <v>5.5E-2</v>
      </c>
      <c r="BM184" s="1"/>
      <c r="BN184" s="57">
        <v>6.0499999999999998E-2</v>
      </c>
      <c r="BO184" s="1"/>
      <c r="BP184" s="1"/>
      <c r="BQ184" s="1"/>
      <c r="BR184" s="57">
        <v>0.05</v>
      </c>
      <c r="BS184" s="12">
        <f t="shared" si="24"/>
        <v>2.4300000000000002E-2</v>
      </c>
    </row>
    <row r="185" spans="1:71" x14ac:dyDescent="0.35">
      <c r="A185" s="4">
        <v>46258</v>
      </c>
      <c r="B185" s="3" t="s">
        <v>33</v>
      </c>
      <c r="C185" s="3" t="s">
        <v>33</v>
      </c>
      <c r="D185" s="3" t="s">
        <v>32</v>
      </c>
      <c r="E185" s="3" t="s">
        <v>33</v>
      </c>
      <c r="F185" s="3" t="s">
        <v>32</v>
      </c>
      <c r="G185" s="3" t="s">
        <v>33</v>
      </c>
      <c r="H185" s="9">
        <v>3.09E-2</v>
      </c>
      <c r="I185" s="2">
        <v>46258</v>
      </c>
      <c r="J185" s="1" t="s">
        <v>33</v>
      </c>
      <c r="K185" s="1" t="s">
        <v>33</v>
      </c>
      <c r="L185" s="1" t="s">
        <v>32</v>
      </c>
      <c r="M185" s="1" t="s">
        <v>33</v>
      </c>
      <c r="N185" s="1" t="s">
        <v>32</v>
      </c>
      <c r="O185" s="1" t="s">
        <v>32</v>
      </c>
      <c r="P185" s="57">
        <v>5.3699999999999998E-2</v>
      </c>
      <c r="Q185" s="84">
        <f t="shared" si="21"/>
        <v>2.2799999999999997E-2</v>
      </c>
      <c r="S185" s="4">
        <v>46258</v>
      </c>
      <c r="T185" s="3" t="s">
        <v>33</v>
      </c>
      <c r="U185" s="3" t="s">
        <v>33</v>
      </c>
      <c r="V185" s="3" t="s">
        <v>33</v>
      </c>
      <c r="W185" s="3" t="s">
        <v>33</v>
      </c>
      <c r="X185" s="6">
        <v>3.5000000000000003E-2</v>
      </c>
      <c r="Y185" s="3" t="s">
        <v>33</v>
      </c>
      <c r="Z185" s="6">
        <v>2.7699999999999999E-2</v>
      </c>
      <c r="AA185" s="2">
        <v>46258</v>
      </c>
      <c r="AB185" s="1" t="s">
        <v>33</v>
      </c>
      <c r="AC185" s="1" t="s">
        <v>33</v>
      </c>
      <c r="AD185" s="1" t="s">
        <v>33</v>
      </c>
      <c r="AE185" s="1" t="s">
        <v>33</v>
      </c>
      <c r="AF185" s="1" t="s">
        <v>33</v>
      </c>
      <c r="AG185" s="1" t="s">
        <v>33</v>
      </c>
      <c r="AH185" s="57">
        <v>0.03</v>
      </c>
      <c r="AI185" s="12">
        <f t="shared" si="13"/>
        <v>2.3E-3</v>
      </c>
      <c r="AK185" s="4">
        <v>46258</v>
      </c>
      <c r="AL185" s="6">
        <v>0.02</v>
      </c>
      <c r="AM185" s="3"/>
      <c r="AN185" s="3"/>
      <c r="AO185" s="3"/>
      <c r="AP185" s="3" t="s">
        <v>33</v>
      </c>
      <c r="AQ185" s="3" t="s">
        <v>33</v>
      </c>
      <c r="AR185" s="6">
        <v>2.0899999999999998E-2</v>
      </c>
      <c r="AS185" s="2">
        <v>46258</v>
      </c>
      <c r="AT185" s="13">
        <v>4.9799999999999997E-2</v>
      </c>
      <c r="AU185" s="13">
        <v>4.2900000000000001E-2</v>
      </c>
      <c r="AV185" s="13">
        <v>5.79E-2</v>
      </c>
      <c r="AW185" s="13">
        <v>4.9799999999999997E-2</v>
      </c>
      <c r="AX185" s="13">
        <v>4.99E-2</v>
      </c>
      <c r="AY185" s="13">
        <v>5.3999999999999999E-2</v>
      </c>
      <c r="AZ185" s="13">
        <v>5.04E-2</v>
      </c>
      <c r="BA185" s="12">
        <v>2.5999999999999999E-2</v>
      </c>
      <c r="BC185" s="4">
        <v>46258</v>
      </c>
      <c r="BD185" s="6" t="s">
        <v>33</v>
      </c>
      <c r="BE185" s="6">
        <v>2.8000000000000001E-2</v>
      </c>
      <c r="BF185" s="6">
        <v>3.2000000000000001E-2</v>
      </c>
      <c r="BG185" s="3"/>
      <c r="BH185" s="3"/>
      <c r="BI185" s="3"/>
      <c r="BJ185" s="6">
        <v>2.7199999999999998E-2</v>
      </c>
      <c r="BK185" s="2">
        <v>46258</v>
      </c>
      <c r="BL185" s="57">
        <v>5.5E-2</v>
      </c>
      <c r="BM185" s="1"/>
      <c r="BN185" s="57">
        <v>6.0499999999999998E-2</v>
      </c>
      <c r="BO185" s="1"/>
      <c r="BP185" s="1"/>
      <c r="BQ185" s="1"/>
      <c r="BR185" s="57">
        <v>0.05</v>
      </c>
      <c r="BS185" s="12">
        <f t="shared" si="24"/>
        <v>2.2800000000000004E-2</v>
      </c>
    </row>
    <row r="186" spans="1:71" x14ac:dyDescent="0.35">
      <c r="A186" s="4">
        <v>46259</v>
      </c>
      <c r="B186" s="3" t="s">
        <v>33</v>
      </c>
      <c r="C186" s="3" t="s">
        <v>33</v>
      </c>
      <c r="D186" s="3" t="s">
        <v>32</v>
      </c>
      <c r="E186" s="3" t="s">
        <v>33</v>
      </c>
      <c r="F186" s="3" t="s">
        <v>32</v>
      </c>
      <c r="G186" s="3" t="s">
        <v>33</v>
      </c>
      <c r="H186" s="9">
        <v>3.2300000000000002E-2</v>
      </c>
      <c r="I186" s="2">
        <v>46259</v>
      </c>
      <c r="J186" s="1" t="s">
        <v>33</v>
      </c>
      <c r="K186" s="1" t="s">
        <v>33</v>
      </c>
      <c r="L186" s="1" t="s">
        <v>32</v>
      </c>
      <c r="M186" s="1" t="s">
        <v>33</v>
      </c>
      <c r="N186" s="1" t="s">
        <v>32</v>
      </c>
      <c r="O186" s="1" t="s">
        <v>32</v>
      </c>
      <c r="P186" s="57">
        <v>5.5300000000000002E-2</v>
      </c>
      <c r="Q186" s="84">
        <f t="shared" si="21"/>
        <v>2.3E-2</v>
      </c>
      <c r="S186" s="4">
        <v>46259</v>
      </c>
      <c r="T186" s="3" t="s">
        <v>33</v>
      </c>
      <c r="U186" s="3" t="s">
        <v>33</v>
      </c>
      <c r="V186" s="3" t="s">
        <v>33</v>
      </c>
      <c r="W186" s="3" t="s">
        <v>33</v>
      </c>
      <c r="X186" s="6">
        <v>3.5000000000000003E-2</v>
      </c>
      <c r="Y186" s="3" t="s">
        <v>33</v>
      </c>
      <c r="Z186" s="6">
        <v>2.76E-2</v>
      </c>
      <c r="AA186" s="2">
        <v>46259</v>
      </c>
      <c r="AB186" s="1" t="s">
        <v>33</v>
      </c>
      <c r="AC186" s="1" t="s">
        <v>33</v>
      </c>
      <c r="AD186" s="1" t="s">
        <v>33</v>
      </c>
      <c r="AE186" s="1" t="s">
        <v>33</v>
      </c>
      <c r="AF186" s="1" t="s">
        <v>33</v>
      </c>
      <c r="AG186" s="1" t="s">
        <v>33</v>
      </c>
      <c r="AH186" s="57">
        <v>0.03</v>
      </c>
      <c r="AI186" s="12">
        <f t="shared" si="13"/>
        <v>2.3999999999999994E-3</v>
      </c>
      <c r="AK186" s="4">
        <v>46259</v>
      </c>
      <c r="AL186" s="6">
        <v>0.02</v>
      </c>
      <c r="AM186" s="3"/>
      <c r="AN186" s="3"/>
      <c r="AO186" s="3"/>
      <c r="AP186" s="3" t="s">
        <v>33</v>
      </c>
      <c r="AQ186" s="3" t="s">
        <v>33</v>
      </c>
      <c r="AR186" s="6">
        <v>2.1100000000000001E-2</v>
      </c>
      <c r="AS186" s="2">
        <v>46259</v>
      </c>
      <c r="AT186" s="13">
        <v>4.99E-2</v>
      </c>
      <c r="AU186" s="13">
        <v>4.48E-2</v>
      </c>
      <c r="AV186" s="13">
        <v>5.7700000000000001E-2</v>
      </c>
      <c r="AW186" s="13">
        <v>4.9700000000000001E-2</v>
      </c>
      <c r="AX186" s="13">
        <v>4.99E-2</v>
      </c>
      <c r="AY186" s="13">
        <v>5.3900000000000003E-2</v>
      </c>
      <c r="AZ186" s="13">
        <v>5.0900000000000001E-2</v>
      </c>
      <c r="BA186" s="12">
        <v>2.5999999999999999E-2</v>
      </c>
      <c r="BC186" s="4">
        <v>46259</v>
      </c>
      <c r="BD186" s="6" t="s">
        <v>33</v>
      </c>
      <c r="BE186" s="6">
        <v>2.8000000000000001E-2</v>
      </c>
      <c r="BF186" s="6">
        <v>3.2000000000000001E-2</v>
      </c>
      <c r="BG186" s="3"/>
      <c r="BH186" s="3"/>
      <c r="BI186" s="3"/>
      <c r="BJ186" s="6">
        <v>2.81E-2</v>
      </c>
      <c r="BK186" s="2">
        <v>46259</v>
      </c>
      <c r="BL186" s="57">
        <v>5.5E-2</v>
      </c>
      <c r="BM186" s="1"/>
      <c r="BN186" s="57">
        <v>6.0499999999999998E-2</v>
      </c>
      <c r="BO186" s="1"/>
      <c r="BP186" s="1"/>
      <c r="BQ186" s="1"/>
      <c r="BR186" s="57">
        <v>0.05</v>
      </c>
      <c r="BS186" s="12">
        <f t="shared" si="24"/>
        <v>2.1900000000000003E-2</v>
      </c>
    </row>
    <row r="187" spans="1:71" x14ac:dyDescent="0.35">
      <c r="A187" s="4">
        <v>46260</v>
      </c>
      <c r="B187" s="3" t="s">
        <v>33</v>
      </c>
      <c r="C187" s="3" t="s">
        <v>33</v>
      </c>
      <c r="D187" s="3" t="s">
        <v>32</v>
      </c>
      <c r="E187" s="3" t="s">
        <v>33</v>
      </c>
      <c r="F187" s="3" t="s">
        <v>32</v>
      </c>
      <c r="G187" s="3" t="s">
        <v>33</v>
      </c>
      <c r="H187" s="9">
        <v>2.9399999999999999E-2</v>
      </c>
      <c r="I187" s="2">
        <v>46260</v>
      </c>
      <c r="J187" s="1" t="s">
        <v>33</v>
      </c>
      <c r="K187" s="1" t="s">
        <v>33</v>
      </c>
      <c r="L187" s="1" t="s">
        <v>32</v>
      </c>
      <c r="M187" s="1" t="s">
        <v>33</v>
      </c>
      <c r="N187" s="1" t="s">
        <v>32</v>
      </c>
      <c r="O187" s="1" t="s">
        <v>32</v>
      </c>
      <c r="P187" s="57">
        <v>5.2900000000000003E-2</v>
      </c>
      <c r="Q187" s="84">
        <f t="shared" si="21"/>
        <v>2.3500000000000004E-2</v>
      </c>
      <c r="S187" s="4">
        <v>46260</v>
      </c>
      <c r="T187" s="3" t="s">
        <v>33</v>
      </c>
      <c r="U187" s="3" t="s">
        <v>33</v>
      </c>
      <c r="V187" s="3" t="s">
        <v>33</v>
      </c>
      <c r="W187" s="3" t="s">
        <v>33</v>
      </c>
      <c r="X187" s="6">
        <v>3.5000000000000003E-2</v>
      </c>
      <c r="Y187" s="3" t="s">
        <v>33</v>
      </c>
      <c r="Z187" s="6">
        <v>2.8000000000000001E-2</v>
      </c>
      <c r="AA187" s="2">
        <v>46260</v>
      </c>
      <c r="AB187" s="1" t="s">
        <v>33</v>
      </c>
      <c r="AC187" s="1" t="s">
        <v>33</v>
      </c>
      <c r="AD187" s="1" t="s">
        <v>33</v>
      </c>
      <c r="AE187" s="1" t="s">
        <v>33</v>
      </c>
      <c r="AF187" s="1" t="s">
        <v>33</v>
      </c>
      <c r="AG187" s="1" t="s">
        <v>33</v>
      </c>
      <c r="AH187" s="57">
        <v>0.03</v>
      </c>
      <c r="AI187" s="12">
        <f t="shared" si="13"/>
        <v>1.9999999999999983E-3</v>
      </c>
      <c r="AK187" s="4">
        <v>46260</v>
      </c>
      <c r="AL187" s="6">
        <v>0.02</v>
      </c>
      <c r="AM187" s="3"/>
      <c r="AN187" s="3"/>
      <c r="AO187" s="3"/>
      <c r="AP187" s="3" t="s">
        <v>33</v>
      </c>
      <c r="AQ187" s="3" t="s">
        <v>33</v>
      </c>
      <c r="AR187" s="6">
        <v>1.9199999999999998E-2</v>
      </c>
      <c r="AS187" s="2">
        <v>46260</v>
      </c>
      <c r="AT187" s="13">
        <v>4.7E-2</v>
      </c>
      <c r="AU187" s="13">
        <v>4.48E-2</v>
      </c>
      <c r="AV187" s="13">
        <v>5.4600000000000003E-2</v>
      </c>
      <c r="AW187" s="13">
        <v>4.9700000000000001E-2</v>
      </c>
      <c r="AX187" s="13">
        <v>6.9800000000000001E-2</v>
      </c>
      <c r="AY187" s="13">
        <v>5.5E-2</v>
      </c>
      <c r="AZ187" s="13">
        <v>4.9399999999999999E-2</v>
      </c>
      <c r="BA187" s="12">
        <v>2.5999999999999999E-2</v>
      </c>
      <c r="BC187" s="4">
        <v>46260</v>
      </c>
      <c r="BD187" s="6" t="s">
        <v>33</v>
      </c>
      <c r="BE187" s="6">
        <v>2.8000000000000001E-2</v>
      </c>
      <c r="BF187" s="6">
        <v>3.2000000000000001E-2</v>
      </c>
      <c r="BG187" s="3"/>
      <c r="BH187" s="3"/>
      <c r="BI187" s="3"/>
      <c r="BJ187" s="6">
        <v>2.6599999999999999E-2</v>
      </c>
      <c r="BK187" s="2">
        <v>46260</v>
      </c>
      <c r="BL187" s="57">
        <v>5.5E-2</v>
      </c>
      <c r="BM187" s="1"/>
      <c r="BN187" s="57">
        <v>6.0499999999999998E-2</v>
      </c>
      <c r="BO187" s="1"/>
      <c r="BP187" s="1"/>
      <c r="BQ187" s="1"/>
      <c r="BR187" s="57">
        <v>0.05</v>
      </c>
      <c r="BS187" s="12">
        <f t="shared" si="24"/>
        <v>2.3400000000000004E-2</v>
      </c>
    </row>
    <row r="188" spans="1:71" x14ac:dyDescent="0.35">
      <c r="A188" s="4">
        <v>46261</v>
      </c>
      <c r="B188" s="3" t="s">
        <v>33</v>
      </c>
      <c r="C188" s="3" t="s">
        <v>33</v>
      </c>
      <c r="D188" s="3" t="s">
        <v>32</v>
      </c>
      <c r="E188" s="3" t="s">
        <v>33</v>
      </c>
      <c r="F188" s="3" t="s">
        <v>32</v>
      </c>
      <c r="G188" s="3" t="s">
        <v>33</v>
      </c>
      <c r="H188" s="9">
        <v>2.81E-2</v>
      </c>
      <c r="I188" s="2">
        <v>46261</v>
      </c>
      <c r="J188" s="1" t="s">
        <v>33</v>
      </c>
      <c r="K188" s="1" t="s">
        <v>33</v>
      </c>
      <c r="L188" s="1" t="s">
        <v>32</v>
      </c>
      <c r="M188" s="1" t="s">
        <v>33</v>
      </c>
      <c r="N188" s="1" t="s">
        <v>32</v>
      </c>
      <c r="O188" s="1" t="s">
        <v>32</v>
      </c>
      <c r="P188" s="57">
        <v>5.16E-2</v>
      </c>
      <c r="Q188" s="84">
        <f t="shared" si="21"/>
        <v>2.35E-2</v>
      </c>
      <c r="S188" s="4">
        <v>46261</v>
      </c>
      <c r="T188" s="3" t="s">
        <v>33</v>
      </c>
      <c r="U188" s="3" t="s">
        <v>33</v>
      </c>
      <c r="V188" s="3" t="s">
        <v>33</v>
      </c>
      <c r="W188" s="3" t="s">
        <v>33</v>
      </c>
      <c r="X188" s="6">
        <v>3.5000000000000003E-2</v>
      </c>
      <c r="Y188" s="3" t="s">
        <v>33</v>
      </c>
      <c r="Z188" s="6">
        <v>2.8000000000000001E-2</v>
      </c>
      <c r="AA188" s="2">
        <v>46261</v>
      </c>
      <c r="AB188" s="1" t="s">
        <v>33</v>
      </c>
      <c r="AC188" s="1" t="s">
        <v>33</v>
      </c>
      <c r="AD188" s="1" t="s">
        <v>33</v>
      </c>
      <c r="AE188" s="1" t="s">
        <v>33</v>
      </c>
      <c r="AF188" s="1" t="s">
        <v>33</v>
      </c>
      <c r="AG188" s="1" t="s">
        <v>33</v>
      </c>
      <c r="AH188" s="57">
        <v>0.03</v>
      </c>
      <c r="AI188" s="12">
        <f t="shared" si="13"/>
        <v>1.9999999999999983E-3</v>
      </c>
      <c r="AK188" s="4">
        <v>46261</v>
      </c>
      <c r="AL188" s="6">
        <v>0.02</v>
      </c>
      <c r="AM188" s="3"/>
      <c r="AN188" s="3"/>
      <c r="AO188" s="3"/>
      <c r="AP188" s="3" t="s">
        <v>33</v>
      </c>
      <c r="AQ188" s="3" t="s">
        <v>33</v>
      </c>
      <c r="AR188" s="6">
        <v>1.8100000000000002E-2</v>
      </c>
      <c r="AS188" s="2">
        <v>46261</v>
      </c>
      <c r="AT188" s="13">
        <v>4.1000000000000002E-2</v>
      </c>
      <c r="AU188" s="13">
        <v>4.4900000000000002E-2</v>
      </c>
      <c r="AV188" s="13">
        <v>4.5999999999999999E-2</v>
      </c>
      <c r="AW188" s="13">
        <v>4.9799999999999997E-2</v>
      </c>
      <c r="AX188" s="13">
        <v>6.4299999999999996E-2</v>
      </c>
      <c r="AY188" s="13">
        <v>6.4899999999999999E-2</v>
      </c>
      <c r="AZ188" s="13">
        <v>4.82E-2</v>
      </c>
      <c r="BA188" s="12">
        <v>2.5999999999999999E-2</v>
      </c>
      <c r="BC188" s="4">
        <v>46261</v>
      </c>
      <c r="BD188" s="6" t="s">
        <v>33</v>
      </c>
      <c r="BE188" s="6">
        <v>2.8000000000000001E-2</v>
      </c>
      <c r="BF188" s="6">
        <v>3.2000000000000001E-2</v>
      </c>
      <c r="BG188" s="3"/>
      <c r="BH188" s="3"/>
      <c r="BI188" s="3"/>
      <c r="BJ188" s="6">
        <v>2.6599999999999999E-2</v>
      </c>
      <c r="BK188" s="2">
        <v>46261</v>
      </c>
      <c r="BL188" s="57">
        <v>5.5E-2</v>
      </c>
      <c r="BM188" s="1"/>
      <c r="BN188" s="57">
        <v>6.0499999999999998E-2</v>
      </c>
      <c r="BO188" s="1"/>
      <c r="BP188" s="1"/>
      <c r="BQ188" s="1"/>
      <c r="BR188" s="57">
        <v>0.05</v>
      </c>
      <c r="BS188" s="12">
        <f t="shared" si="24"/>
        <v>2.3400000000000004E-2</v>
      </c>
    </row>
    <row r="189" spans="1:71" x14ac:dyDescent="0.35">
      <c r="A189" s="4">
        <v>46262</v>
      </c>
      <c r="B189" s="3" t="s">
        <v>33</v>
      </c>
      <c r="C189" s="3" t="s">
        <v>33</v>
      </c>
      <c r="D189" s="3" t="s">
        <v>32</v>
      </c>
      <c r="E189" s="3" t="s">
        <v>33</v>
      </c>
      <c r="F189" s="3" t="s">
        <v>32</v>
      </c>
      <c r="G189" s="3" t="s">
        <v>33</v>
      </c>
      <c r="H189" s="9">
        <v>2.8799999999999999E-2</v>
      </c>
      <c r="I189" s="2">
        <v>46262</v>
      </c>
      <c r="J189" s="1" t="s">
        <v>33</v>
      </c>
      <c r="K189" s="1" t="s">
        <v>33</v>
      </c>
      <c r="L189" s="1" t="s">
        <v>32</v>
      </c>
      <c r="M189" s="1" t="s">
        <v>33</v>
      </c>
      <c r="N189" s="1" t="s">
        <v>32</v>
      </c>
      <c r="O189" s="1" t="s">
        <v>32</v>
      </c>
      <c r="P189" s="57">
        <v>5.2200000000000003E-2</v>
      </c>
      <c r="Q189" s="84">
        <f t="shared" si="21"/>
        <v>2.3400000000000004E-2</v>
      </c>
      <c r="S189" s="4">
        <v>46262</v>
      </c>
      <c r="T189" s="3" t="s">
        <v>33</v>
      </c>
      <c r="U189" s="3" t="s">
        <v>33</v>
      </c>
      <c r="V189" s="3" t="s">
        <v>33</v>
      </c>
      <c r="W189" s="3" t="s">
        <v>33</v>
      </c>
      <c r="X189" s="6">
        <v>3.5000000000000003E-2</v>
      </c>
      <c r="Y189" s="3" t="s">
        <v>33</v>
      </c>
      <c r="Z189" s="6">
        <v>3.2099999999999997E-2</v>
      </c>
      <c r="AA189" s="2">
        <v>46262</v>
      </c>
      <c r="AB189" s="1" t="s">
        <v>33</v>
      </c>
      <c r="AC189" s="1" t="s">
        <v>33</v>
      </c>
      <c r="AD189" s="1" t="s">
        <v>33</v>
      </c>
      <c r="AE189" s="1" t="s">
        <v>33</v>
      </c>
      <c r="AF189" s="1" t="s">
        <v>33</v>
      </c>
      <c r="AG189" s="1" t="s">
        <v>33</v>
      </c>
      <c r="AH189" s="57">
        <v>3.5000000000000003E-2</v>
      </c>
      <c r="AI189" s="12">
        <f t="shared" si="13"/>
        <v>2.9000000000000067E-3</v>
      </c>
      <c r="AK189" s="4">
        <v>46262</v>
      </c>
      <c r="AL189" s="6">
        <v>0.02</v>
      </c>
      <c r="AM189" s="3"/>
      <c r="AN189" s="3"/>
      <c r="AO189" s="3"/>
      <c r="AP189" s="3" t="s">
        <v>33</v>
      </c>
      <c r="AQ189" s="3" t="s">
        <v>33</v>
      </c>
      <c r="AR189" s="6">
        <v>1.8499999999999999E-2</v>
      </c>
      <c r="AS189" s="2">
        <v>46262</v>
      </c>
      <c r="AT189" s="13">
        <v>4.0099999999999997E-2</v>
      </c>
      <c r="AU189" s="13">
        <v>4.2900000000000001E-2</v>
      </c>
      <c r="AV189" s="13">
        <v>5.45E-2</v>
      </c>
      <c r="AW189" s="13">
        <v>4.4999999999999998E-2</v>
      </c>
      <c r="AX189" s="13">
        <v>5.5500000000000001E-2</v>
      </c>
      <c r="AY189" s="13">
        <v>6.88E-2</v>
      </c>
      <c r="AZ189" s="13">
        <v>4.8500000000000001E-2</v>
      </c>
      <c r="BA189" s="12">
        <v>2.5999999999999999E-2</v>
      </c>
      <c r="BC189" s="4">
        <v>46262</v>
      </c>
      <c r="BD189" s="6" t="s">
        <v>33</v>
      </c>
      <c r="BE189" s="6">
        <v>2.8000000000000001E-2</v>
      </c>
      <c r="BF189" s="6">
        <v>3.2000000000000001E-2</v>
      </c>
      <c r="BG189" s="3"/>
      <c r="BH189" s="3"/>
      <c r="BI189" s="3"/>
      <c r="BJ189" s="6">
        <v>2.5999999999999999E-2</v>
      </c>
      <c r="BK189" s="2">
        <v>46262</v>
      </c>
      <c r="BL189" s="57">
        <v>5.5E-2</v>
      </c>
      <c r="BM189" s="1"/>
      <c r="BN189" s="57">
        <v>6.0499999999999998E-2</v>
      </c>
      <c r="BO189" s="1"/>
      <c r="BP189" s="1"/>
      <c r="BQ189" s="1"/>
      <c r="BR189" s="57">
        <v>0.05</v>
      </c>
      <c r="BS189" s="12">
        <f t="shared" si="24"/>
        <v>2.4000000000000004E-2</v>
      </c>
    </row>
    <row r="190" spans="1:71" x14ac:dyDescent="0.35">
      <c r="A190" s="4">
        <v>46263</v>
      </c>
      <c r="B190" s="3" t="s">
        <v>33</v>
      </c>
      <c r="C190" s="3" t="s">
        <v>33</v>
      </c>
      <c r="D190" s="3" t="s">
        <v>32</v>
      </c>
      <c r="E190" s="3" t="s">
        <v>33</v>
      </c>
      <c r="F190" s="3" t="s">
        <v>32</v>
      </c>
      <c r="G190" s="3" t="s">
        <v>33</v>
      </c>
      <c r="H190" s="9">
        <v>2.7699999999999999E-2</v>
      </c>
      <c r="I190" s="2">
        <v>46263</v>
      </c>
      <c r="J190" s="1" t="s">
        <v>33</v>
      </c>
      <c r="K190" s="1" t="s">
        <v>33</v>
      </c>
      <c r="L190" s="1" t="s">
        <v>32</v>
      </c>
      <c r="M190" s="1" t="s">
        <v>33</v>
      </c>
      <c r="N190" s="1" t="s">
        <v>32</v>
      </c>
      <c r="O190" s="1" t="s">
        <v>32</v>
      </c>
      <c r="P190" s="57">
        <v>5.2600000000000001E-2</v>
      </c>
      <c r="Q190" s="84">
        <f t="shared" si="21"/>
        <v>2.4900000000000002E-2</v>
      </c>
      <c r="S190" s="4">
        <v>46263</v>
      </c>
      <c r="T190" s="3" t="s">
        <v>33</v>
      </c>
      <c r="U190" s="3" t="s">
        <v>33</v>
      </c>
      <c r="V190" s="3" t="s">
        <v>33</v>
      </c>
      <c r="W190" s="3" t="s">
        <v>33</v>
      </c>
      <c r="X190" s="6">
        <v>3.5000000000000003E-2</v>
      </c>
      <c r="Y190" s="3" t="s">
        <v>33</v>
      </c>
      <c r="Z190" s="6">
        <v>3.1800000000000002E-2</v>
      </c>
      <c r="AA190" s="2">
        <v>46263</v>
      </c>
      <c r="AB190" s="1" t="s">
        <v>33</v>
      </c>
      <c r="AC190" s="1" t="s">
        <v>33</v>
      </c>
      <c r="AD190" s="1" t="s">
        <v>33</v>
      </c>
      <c r="AE190" s="1" t="s">
        <v>33</v>
      </c>
      <c r="AF190" s="1" t="s">
        <v>33</v>
      </c>
      <c r="AG190" s="1" t="s">
        <v>33</v>
      </c>
      <c r="AH190" s="57">
        <v>3.5000000000000003E-2</v>
      </c>
      <c r="AI190" s="12">
        <f t="shared" si="13"/>
        <v>3.2000000000000015E-3</v>
      </c>
      <c r="AK190" s="4">
        <v>46263</v>
      </c>
      <c r="AL190" s="6">
        <v>0.02</v>
      </c>
      <c r="AM190" s="3"/>
      <c r="AN190" s="3"/>
      <c r="AO190" s="3"/>
      <c r="AP190" s="3" t="s">
        <v>33</v>
      </c>
      <c r="AQ190" s="3" t="s">
        <v>33</v>
      </c>
      <c r="AR190" s="6">
        <v>1.6799999999999999E-2</v>
      </c>
      <c r="AS190" s="2">
        <v>46263</v>
      </c>
      <c r="AT190" s="13">
        <v>0.04</v>
      </c>
      <c r="AU190" s="13">
        <v>0.04</v>
      </c>
      <c r="AV190" s="13">
        <v>0.04</v>
      </c>
      <c r="AW190" s="13">
        <v>0.04</v>
      </c>
      <c r="AX190" s="13">
        <v>0.04</v>
      </c>
      <c r="AY190" s="13">
        <v>6.8500000000000005E-2</v>
      </c>
      <c r="AZ190" s="13">
        <v>4.7399999999999998E-2</v>
      </c>
      <c r="BA190" s="12">
        <v>2.5999999999999999E-2</v>
      </c>
      <c r="BC190" s="4">
        <v>46263</v>
      </c>
      <c r="BD190" s="6" t="s">
        <v>33</v>
      </c>
      <c r="BE190" s="6">
        <v>2.8000000000000001E-2</v>
      </c>
      <c r="BF190" s="6">
        <v>3.2000000000000001E-2</v>
      </c>
      <c r="BG190" s="3"/>
      <c r="BH190" s="3"/>
      <c r="BI190" s="3"/>
      <c r="BJ190" s="6">
        <v>2.3900000000000001E-2</v>
      </c>
      <c r="BK190" s="2">
        <v>46263</v>
      </c>
      <c r="BL190" s="57">
        <v>5.5E-2</v>
      </c>
      <c r="BM190" s="1"/>
      <c r="BN190" s="57">
        <v>6.0499999999999998E-2</v>
      </c>
      <c r="BO190" s="1"/>
      <c r="BP190" s="1"/>
      <c r="BQ190" s="1"/>
      <c r="BR190" s="57">
        <v>0.05</v>
      </c>
      <c r="BS190" s="12">
        <f t="shared" si="24"/>
        <v>2.6100000000000002E-2</v>
      </c>
    </row>
    <row r="191" spans="1:71" x14ac:dyDescent="0.35">
      <c r="A191" s="4">
        <v>46264</v>
      </c>
      <c r="B191" s="3" t="s">
        <v>33</v>
      </c>
      <c r="C191" s="3" t="s">
        <v>33</v>
      </c>
      <c r="D191" s="3" t="s">
        <v>32</v>
      </c>
      <c r="E191" s="3" t="s">
        <v>33</v>
      </c>
      <c r="F191" s="3" t="s">
        <v>32</v>
      </c>
      <c r="G191" s="3" t="s">
        <v>33</v>
      </c>
      <c r="H191" s="9">
        <v>2.76E-2</v>
      </c>
      <c r="I191" s="2">
        <v>46264</v>
      </c>
      <c r="J191" s="1" t="s">
        <v>33</v>
      </c>
      <c r="K191" s="1" t="s">
        <v>33</v>
      </c>
      <c r="L191" s="1" t="s">
        <v>32</v>
      </c>
      <c r="M191" s="1" t="s">
        <v>33</v>
      </c>
      <c r="N191" s="1" t="s">
        <v>32</v>
      </c>
      <c r="O191" s="1" t="s">
        <v>32</v>
      </c>
      <c r="P191" s="57">
        <v>5.2299999999999999E-2</v>
      </c>
      <c r="Q191" s="84">
        <f t="shared" si="21"/>
        <v>2.47E-2</v>
      </c>
      <c r="S191" s="4">
        <v>46264</v>
      </c>
      <c r="T191" s="3" t="s">
        <v>33</v>
      </c>
      <c r="U191" s="3" t="s">
        <v>33</v>
      </c>
      <c r="V191" s="3" t="s">
        <v>33</v>
      </c>
      <c r="W191" s="3" t="s">
        <v>33</v>
      </c>
      <c r="X191" s="6">
        <v>3.5000000000000003E-2</v>
      </c>
      <c r="Y191" s="3" t="s">
        <v>33</v>
      </c>
      <c r="Z191" s="6">
        <v>3.1800000000000002E-2</v>
      </c>
      <c r="AA191" s="2">
        <v>46264</v>
      </c>
      <c r="AB191" s="1" t="s">
        <v>33</v>
      </c>
      <c r="AC191" s="1" t="s">
        <v>33</v>
      </c>
      <c r="AD191" s="1" t="s">
        <v>33</v>
      </c>
      <c r="AE191" s="1" t="s">
        <v>33</v>
      </c>
      <c r="AF191" s="1" t="s">
        <v>33</v>
      </c>
      <c r="AG191" s="1" t="s">
        <v>33</v>
      </c>
      <c r="AH191" s="57">
        <v>3.5000000000000003E-2</v>
      </c>
      <c r="AI191" s="12">
        <f t="shared" si="13"/>
        <v>3.2000000000000015E-3</v>
      </c>
      <c r="AK191" s="4">
        <v>46264</v>
      </c>
      <c r="AL191" s="6">
        <v>0.02</v>
      </c>
      <c r="AM191" s="3"/>
      <c r="AN191" s="3"/>
      <c r="AO191" s="3"/>
      <c r="AP191" s="3" t="s">
        <v>33</v>
      </c>
      <c r="AQ191" s="3" t="s">
        <v>33</v>
      </c>
      <c r="AR191" s="6">
        <v>1.6799999999999999E-2</v>
      </c>
      <c r="AS191" s="2">
        <v>46264</v>
      </c>
      <c r="AT191" s="13">
        <v>0.04</v>
      </c>
      <c r="AU191" s="13">
        <v>0.04</v>
      </c>
      <c r="AV191" s="13">
        <v>0.04</v>
      </c>
      <c r="AW191" s="13">
        <v>0.04</v>
      </c>
      <c r="AX191" s="13">
        <v>0.04</v>
      </c>
      <c r="AY191" s="13">
        <v>6.8500000000000005E-2</v>
      </c>
      <c r="AZ191" s="13">
        <v>4.7399999999999998E-2</v>
      </c>
      <c r="BA191" s="12">
        <v>2.5999999999999999E-2</v>
      </c>
      <c r="BC191" s="4">
        <v>46264</v>
      </c>
      <c r="BD191" s="6" t="s">
        <v>33</v>
      </c>
      <c r="BE191" s="6">
        <v>2.8000000000000001E-2</v>
      </c>
      <c r="BF191" s="6">
        <v>3.2000000000000001E-2</v>
      </c>
      <c r="BG191" s="3"/>
      <c r="BH191" s="3"/>
      <c r="BI191" s="3"/>
      <c r="BJ191" s="6">
        <v>2.3900000000000001E-2</v>
      </c>
      <c r="BK191" s="2">
        <v>46264</v>
      </c>
      <c r="BL191" s="57">
        <v>5.5E-2</v>
      </c>
      <c r="BM191" s="1"/>
      <c r="BN191" s="57">
        <v>6.0499999999999998E-2</v>
      </c>
      <c r="BO191" s="1"/>
      <c r="BP191" s="1"/>
      <c r="BQ191" s="1"/>
      <c r="BR191" s="57">
        <v>0.05</v>
      </c>
      <c r="BS191" s="12">
        <f t="shared" si="24"/>
        <v>2.6100000000000002E-2</v>
      </c>
    </row>
    <row r="192" spans="1:71" x14ac:dyDescent="0.35">
      <c r="A192" s="4">
        <v>46265</v>
      </c>
      <c r="B192" s="3" t="s">
        <v>33</v>
      </c>
      <c r="C192" s="3" t="s">
        <v>33</v>
      </c>
      <c r="D192" s="3" t="s">
        <v>32</v>
      </c>
      <c r="E192" s="3" t="s">
        <v>33</v>
      </c>
      <c r="F192" s="3" t="s">
        <v>32</v>
      </c>
      <c r="G192" s="3" t="s">
        <v>33</v>
      </c>
      <c r="H192" s="9">
        <v>2.76E-2</v>
      </c>
      <c r="I192" s="2">
        <v>46265</v>
      </c>
      <c r="J192" s="1" t="s">
        <v>33</v>
      </c>
      <c r="K192" s="1" t="s">
        <v>33</v>
      </c>
      <c r="L192" s="1" t="s">
        <v>32</v>
      </c>
      <c r="M192" s="1" t="s">
        <v>33</v>
      </c>
      <c r="N192" s="1" t="s">
        <v>32</v>
      </c>
      <c r="O192" s="1" t="s">
        <v>32</v>
      </c>
      <c r="P192" s="57">
        <v>5.11E-2</v>
      </c>
      <c r="Q192" s="84">
        <f t="shared" si="21"/>
        <v>2.35E-2</v>
      </c>
      <c r="S192" s="4">
        <v>46265</v>
      </c>
      <c r="T192" s="3" t="s">
        <v>33</v>
      </c>
      <c r="U192" s="3" t="s">
        <v>33</v>
      </c>
      <c r="V192" s="3" t="s">
        <v>33</v>
      </c>
      <c r="W192" s="3" t="s">
        <v>33</v>
      </c>
      <c r="X192" s="6">
        <v>3.5000000000000003E-2</v>
      </c>
      <c r="Y192" s="3" t="s">
        <v>33</v>
      </c>
      <c r="Z192" s="6">
        <v>3.1800000000000002E-2</v>
      </c>
      <c r="AA192" s="2">
        <v>46265</v>
      </c>
      <c r="AB192" s="1" t="s">
        <v>33</v>
      </c>
      <c r="AC192" s="1" t="s">
        <v>33</v>
      </c>
      <c r="AD192" s="1" t="s">
        <v>33</v>
      </c>
      <c r="AE192" s="1" t="s">
        <v>33</v>
      </c>
      <c r="AF192" s="1" t="s">
        <v>33</v>
      </c>
      <c r="AG192" s="1" t="s">
        <v>33</v>
      </c>
      <c r="AH192" s="57">
        <v>3.5000000000000003E-2</v>
      </c>
      <c r="AI192" s="12">
        <f t="shared" si="13"/>
        <v>3.2000000000000015E-3</v>
      </c>
      <c r="AK192" s="4">
        <v>46265</v>
      </c>
      <c r="AL192" s="6">
        <v>0.02</v>
      </c>
      <c r="AM192" s="3"/>
      <c r="AN192" s="3"/>
      <c r="AO192" s="3"/>
      <c r="AP192" s="3" t="s">
        <v>33</v>
      </c>
      <c r="AQ192" s="3" t="s">
        <v>33</v>
      </c>
      <c r="AR192" s="6">
        <v>1.6799999999999999E-2</v>
      </c>
      <c r="AS192" s="2">
        <v>46265</v>
      </c>
      <c r="AT192" s="13">
        <v>0.04</v>
      </c>
      <c r="AU192" s="13">
        <v>0.04</v>
      </c>
      <c r="AV192" s="13">
        <v>0.04</v>
      </c>
      <c r="AW192" s="13">
        <v>0.04</v>
      </c>
      <c r="AX192" s="13">
        <v>0.04</v>
      </c>
      <c r="AY192" s="13">
        <v>6.8500000000000005E-2</v>
      </c>
      <c r="AZ192" s="13">
        <v>4.7399999999999998E-2</v>
      </c>
      <c r="BA192" s="12">
        <v>2.5999999999999999E-2</v>
      </c>
      <c r="BC192" s="4">
        <v>46265</v>
      </c>
      <c r="BD192" s="6" t="s">
        <v>33</v>
      </c>
      <c r="BE192" s="6">
        <v>2.8000000000000001E-2</v>
      </c>
      <c r="BF192" s="6">
        <v>3.2000000000000001E-2</v>
      </c>
      <c r="BG192" s="3"/>
      <c r="BH192" s="3"/>
      <c r="BI192" s="3"/>
      <c r="BJ192" s="6">
        <v>2.4899999999999999E-2</v>
      </c>
      <c r="BK192" s="2">
        <v>46265</v>
      </c>
      <c r="BL192" s="57">
        <v>5.5E-2</v>
      </c>
      <c r="BM192" s="1"/>
      <c r="BN192" s="57">
        <v>6.0499999999999998E-2</v>
      </c>
      <c r="BO192" s="1"/>
      <c r="BP192" s="1"/>
      <c r="BQ192" s="1"/>
      <c r="BR192" s="57">
        <v>0.05</v>
      </c>
      <c r="BS192" s="12">
        <f t="shared" si="24"/>
        <v>2.5100000000000004E-2</v>
      </c>
    </row>
    <row r="193" spans="1:71" x14ac:dyDescent="0.35">
      <c r="A193" s="4">
        <v>46266</v>
      </c>
      <c r="B193" s="3" t="s">
        <v>33</v>
      </c>
      <c r="C193" s="3" t="s">
        <v>33</v>
      </c>
      <c r="D193" s="3" t="s">
        <v>32</v>
      </c>
      <c r="E193" s="3" t="s">
        <v>33</v>
      </c>
      <c r="F193" s="3" t="s">
        <v>32</v>
      </c>
      <c r="G193" s="3" t="s">
        <v>33</v>
      </c>
      <c r="H193" s="9">
        <v>2.7199999999999998E-2</v>
      </c>
      <c r="I193" s="2">
        <v>46266</v>
      </c>
      <c r="J193" s="1" t="s">
        <v>33</v>
      </c>
      <c r="K193" s="1" t="s">
        <v>33</v>
      </c>
      <c r="L193" s="1" t="s">
        <v>32</v>
      </c>
      <c r="M193" s="1" t="s">
        <v>33</v>
      </c>
      <c r="N193" s="1" t="s">
        <v>32</v>
      </c>
      <c r="O193" s="1" t="s">
        <v>32</v>
      </c>
      <c r="P193" s="57">
        <v>5.0799999999999998E-2</v>
      </c>
      <c r="Q193" s="84">
        <f t="shared" si="21"/>
        <v>2.3599999999999999E-2</v>
      </c>
      <c r="S193" s="4">
        <v>46266</v>
      </c>
      <c r="T193" s="3" t="s">
        <v>33</v>
      </c>
      <c r="U193" s="3" t="s">
        <v>33</v>
      </c>
      <c r="V193" s="3" t="s">
        <v>33</v>
      </c>
      <c r="W193" s="3" t="s">
        <v>33</v>
      </c>
      <c r="X193" s="6">
        <v>3.5000000000000003E-2</v>
      </c>
      <c r="Y193" s="3" t="s">
        <v>33</v>
      </c>
      <c r="Z193" s="6">
        <v>3.1300000000000001E-2</v>
      </c>
      <c r="AA193" s="2">
        <v>46266</v>
      </c>
      <c r="AB193" s="1" t="s">
        <v>33</v>
      </c>
      <c r="AC193" s="1" t="s">
        <v>33</v>
      </c>
      <c r="AD193" s="1" t="s">
        <v>33</v>
      </c>
      <c r="AE193" s="1" t="s">
        <v>33</v>
      </c>
      <c r="AF193" s="1" t="s">
        <v>33</v>
      </c>
      <c r="AG193" s="1" t="s">
        <v>33</v>
      </c>
      <c r="AH193" s="57">
        <v>3.5000000000000003E-2</v>
      </c>
      <c r="AI193" s="12">
        <f t="shared" si="13"/>
        <v>3.7000000000000019E-3</v>
      </c>
      <c r="AK193" s="4">
        <v>46266</v>
      </c>
      <c r="AL193" s="6">
        <v>0.02</v>
      </c>
      <c r="AM193" s="3"/>
      <c r="AN193" s="3"/>
      <c r="AO193" s="3"/>
      <c r="AP193" s="3" t="s">
        <v>33</v>
      </c>
      <c r="AQ193" s="3" t="s">
        <v>33</v>
      </c>
      <c r="AR193" s="6">
        <v>1.6799999999999999E-2</v>
      </c>
      <c r="AS193" s="2">
        <v>46266</v>
      </c>
      <c r="AT193" s="13">
        <v>3.0099999999999998E-2</v>
      </c>
      <c r="AU193" s="13">
        <v>4.0800000000000003E-2</v>
      </c>
      <c r="AV193" s="13">
        <v>4.99E-2</v>
      </c>
      <c r="AW193" s="13">
        <v>0.04</v>
      </c>
      <c r="AX193" s="13">
        <v>5.5300000000000002E-2</v>
      </c>
      <c r="AY193" s="13">
        <v>6.7400000000000002E-2</v>
      </c>
      <c r="AZ193" s="13">
        <v>4.6600000000000003E-2</v>
      </c>
      <c r="BA193" s="12">
        <v>2.5999999999999999E-2</v>
      </c>
      <c r="BC193" s="4">
        <v>46266</v>
      </c>
      <c r="BD193" s="6" t="s">
        <v>33</v>
      </c>
      <c r="BE193" s="6">
        <v>2.8000000000000001E-2</v>
      </c>
      <c r="BF193" s="6">
        <v>3.2000000000000001E-2</v>
      </c>
      <c r="BG193" s="3"/>
      <c r="BH193" s="3"/>
      <c r="BI193" s="3"/>
      <c r="BJ193" s="6">
        <v>2.4500000000000001E-2</v>
      </c>
      <c r="BK193" s="2">
        <v>46266</v>
      </c>
      <c r="BL193" s="57">
        <v>5.5E-2</v>
      </c>
      <c r="BM193" s="1"/>
      <c r="BN193" s="57">
        <v>6.0499999999999998E-2</v>
      </c>
      <c r="BO193" s="1"/>
      <c r="BP193" s="1"/>
      <c r="BQ193" s="1"/>
      <c r="BR193" s="57">
        <v>0.05</v>
      </c>
      <c r="BS193" s="12">
        <f t="shared" si="24"/>
        <v>2.5500000000000002E-2</v>
      </c>
    </row>
    <row r="194" spans="1:71" x14ac:dyDescent="0.35">
      <c r="A194" s="4">
        <v>46267</v>
      </c>
      <c r="B194" s="3" t="s">
        <v>33</v>
      </c>
      <c r="C194" s="3" t="s">
        <v>33</v>
      </c>
      <c r="D194" s="3" t="s">
        <v>32</v>
      </c>
      <c r="E194" s="3" t="s">
        <v>33</v>
      </c>
      <c r="F194" s="3" t="s">
        <v>32</v>
      </c>
      <c r="G194" s="3" t="s">
        <v>33</v>
      </c>
      <c r="H194" s="9">
        <v>2.76E-2</v>
      </c>
      <c r="I194" s="2">
        <v>46267</v>
      </c>
      <c r="J194" s="1" t="s">
        <v>33</v>
      </c>
      <c r="K194" s="1" t="s">
        <v>33</v>
      </c>
      <c r="L194" s="1" t="s">
        <v>32</v>
      </c>
      <c r="M194" s="1" t="s">
        <v>33</v>
      </c>
      <c r="N194" s="1" t="s">
        <v>32</v>
      </c>
      <c r="O194" s="1" t="s">
        <v>32</v>
      </c>
      <c r="P194" s="57">
        <v>5.1200000000000002E-2</v>
      </c>
      <c r="Q194" s="84">
        <f t="shared" si="21"/>
        <v>2.3600000000000003E-2</v>
      </c>
      <c r="S194" s="4">
        <v>46267</v>
      </c>
      <c r="T194" s="3" t="s">
        <v>33</v>
      </c>
      <c r="U194" s="3" t="s">
        <v>33</v>
      </c>
      <c r="V194" s="3" t="s">
        <v>33</v>
      </c>
      <c r="W194" s="3" t="s">
        <v>33</v>
      </c>
      <c r="X194" s="6">
        <v>0.04</v>
      </c>
      <c r="Y194" s="3" t="s">
        <v>33</v>
      </c>
      <c r="Z194" s="6">
        <v>0.03</v>
      </c>
      <c r="AA194" s="2">
        <v>46267</v>
      </c>
      <c r="AB194" s="1" t="s">
        <v>33</v>
      </c>
      <c r="AC194" s="1" t="s">
        <v>33</v>
      </c>
      <c r="AD194" s="1" t="s">
        <v>33</v>
      </c>
      <c r="AE194" s="1" t="s">
        <v>33</v>
      </c>
      <c r="AF194" s="1" t="s">
        <v>33</v>
      </c>
      <c r="AG194" s="1" t="s">
        <v>33</v>
      </c>
      <c r="AH194" s="57">
        <v>3.5000000000000003E-2</v>
      </c>
      <c r="AI194" s="12">
        <f t="shared" si="13"/>
        <v>5.0000000000000044E-3</v>
      </c>
      <c r="AK194" s="4">
        <v>46267</v>
      </c>
      <c r="AL194" s="6">
        <v>0.02</v>
      </c>
      <c r="AM194" s="3"/>
      <c r="AN194" s="3"/>
      <c r="AO194" s="3"/>
      <c r="AP194" s="3" t="s">
        <v>33</v>
      </c>
      <c r="AQ194" s="3" t="s">
        <v>33</v>
      </c>
      <c r="AR194" s="6">
        <v>1.6400000000000001E-2</v>
      </c>
      <c r="AS194" s="2">
        <v>46267</v>
      </c>
      <c r="AT194" s="13">
        <v>0.04</v>
      </c>
      <c r="AU194" s="13">
        <v>0.04</v>
      </c>
      <c r="AV194" s="13">
        <v>4.5199999999999997E-2</v>
      </c>
      <c r="AW194" s="13">
        <v>4.4999999999999998E-2</v>
      </c>
      <c r="AX194" s="13">
        <v>5.5300000000000002E-2</v>
      </c>
      <c r="AY194" s="13">
        <v>3.85E-2</v>
      </c>
      <c r="AZ194" s="13">
        <v>4.7399999999999998E-2</v>
      </c>
      <c r="BA194" s="12">
        <v>2.5999999999999999E-2</v>
      </c>
      <c r="BC194" s="4">
        <v>46267</v>
      </c>
      <c r="BD194" s="6" t="s">
        <v>33</v>
      </c>
      <c r="BE194" s="6">
        <v>2.8000000000000001E-2</v>
      </c>
      <c r="BF194" s="6">
        <v>3.2000000000000001E-2</v>
      </c>
      <c r="BG194" s="3"/>
      <c r="BH194" s="3"/>
      <c r="BI194" s="3"/>
      <c r="BJ194" s="6">
        <v>2.4500000000000001E-2</v>
      </c>
      <c r="BK194" s="2">
        <v>46267</v>
      </c>
      <c r="BL194" s="57">
        <v>5.5E-2</v>
      </c>
      <c r="BM194" s="1"/>
      <c r="BN194" s="57">
        <v>6.0499999999999998E-2</v>
      </c>
      <c r="BO194" s="1"/>
      <c r="BP194" s="1"/>
      <c r="BQ194" s="1"/>
      <c r="BR194" s="57">
        <v>0.05</v>
      </c>
      <c r="BS194" s="12">
        <f t="shared" si="24"/>
        <v>2.5500000000000002E-2</v>
      </c>
    </row>
    <row r="195" spans="1:71" x14ac:dyDescent="0.35">
      <c r="A195" s="4">
        <v>46268</v>
      </c>
      <c r="B195" s="3" t="s">
        <v>33</v>
      </c>
      <c r="C195" s="3" t="s">
        <v>33</v>
      </c>
      <c r="D195" s="3" t="s">
        <v>32</v>
      </c>
      <c r="E195" s="3" t="s">
        <v>33</v>
      </c>
      <c r="F195" s="3" t="s">
        <v>32</v>
      </c>
      <c r="G195" s="3" t="s">
        <v>33</v>
      </c>
      <c r="H195" s="9">
        <v>2.76E-2</v>
      </c>
      <c r="I195" s="2">
        <v>46268</v>
      </c>
      <c r="J195" s="1" t="s">
        <v>33</v>
      </c>
      <c r="K195" s="1" t="s">
        <v>33</v>
      </c>
      <c r="L195" s="1" t="s">
        <v>32</v>
      </c>
      <c r="M195" s="1" t="s">
        <v>33</v>
      </c>
      <c r="N195" s="1" t="s">
        <v>32</v>
      </c>
      <c r="O195" s="1" t="s">
        <v>32</v>
      </c>
      <c r="P195" s="57">
        <v>5.11E-2</v>
      </c>
      <c r="Q195" s="84">
        <f t="shared" si="21"/>
        <v>2.35E-2</v>
      </c>
      <c r="S195" s="4">
        <v>46268</v>
      </c>
      <c r="T195" s="3" t="s">
        <v>33</v>
      </c>
      <c r="U195" s="3" t="s">
        <v>33</v>
      </c>
      <c r="V195" s="3" t="s">
        <v>33</v>
      </c>
      <c r="W195" s="3" t="s">
        <v>33</v>
      </c>
      <c r="X195" s="6">
        <v>0.04</v>
      </c>
      <c r="Y195" s="3" t="s">
        <v>33</v>
      </c>
      <c r="Z195" s="6">
        <v>3.04E-2</v>
      </c>
      <c r="AA195" s="2">
        <v>46268</v>
      </c>
      <c r="AB195" s="1" t="s">
        <v>33</v>
      </c>
      <c r="AC195" s="1" t="s">
        <v>33</v>
      </c>
      <c r="AD195" s="1" t="s">
        <v>33</v>
      </c>
      <c r="AE195" s="1" t="s">
        <v>33</v>
      </c>
      <c r="AF195" s="1" t="s">
        <v>33</v>
      </c>
      <c r="AG195" s="1" t="s">
        <v>33</v>
      </c>
      <c r="AH195" s="57">
        <v>3.5000000000000003E-2</v>
      </c>
      <c r="AI195" s="12">
        <f t="shared" si="13"/>
        <v>4.6000000000000034E-3</v>
      </c>
      <c r="AK195" s="4">
        <v>46268</v>
      </c>
      <c r="AL195" s="6">
        <v>0.02</v>
      </c>
      <c r="AM195" s="3"/>
      <c r="AN195" s="3"/>
      <c r="AO195" s="3"/>
      <c r="AP195" s="3" t="s">
        <v>33</v>
      </c>
      <c r="AQ195" s="3" t="s">
        <v>33</v>
      </c>
      <c r="AR195" s="6">
        <v>1.6899999999999998E-2</v>
      </c>
      <c r="AS195" s="2">
        <v>46268</v>
      </c>
      <c r="AT195" s="13">
        <v>4.1000000000000002E-2</v>
      </c>
      <c r="AU195" s="13">
        <v>4.4900000000000002E-2</v>
      </c>
      <c r="AV195" s="13">
        <v>4.3999999999999997E-2</v>
      </c>
      <c r="AW195" s="13">
        <v>4.4999999999999998E-2</v>
      </c>
      <c r="AX195" s="13">
        <v>5.5399999999999998E-2</v>
      </c>
      <c r="AY195" s="13">
        <v>6.6000000000000003E-2</v>
      </c>
      <c r="AZ195" s="13">
        <v>4.7600000000000003E-2</v>
      </c>
      <c r="BA195" s="12">
        <v>2.5999999999999999E-2</v>
      </c>
      <c r="BC195" s="4">
        <v>46268</v>
      </c>
      <c r="BD195" s="6" t="s">
        <v>33</v>
      </c>
      <c r="BE195" s="6">
        <v>2.8000000000000001E-2</v>
      </c>
      <c r="BF195" s="6">
        <v>3.2000000000000001E-2</v>
      </c>
      <c r="BG195" s="3"/>
      <c r="BH195" s="3"/>
      <c r="BI195" s="3"/>
      <c r="BJ195" s="6">
        <v>2.4199999999999999E-2</v>
      </c>
      <c r="BK195" s="2">
        <v>46268</v>
      </c>
      <c r="BL195" s="57">
        <v>5.5E-2</v>
      </c>
      <c r="BM195" s="1"/>
      <c r="BN195" s="57">
        <v>6.0499999999999998E-2</v>
      </c>
      <c r="BO195" s="1"/>
      <c r="BP195" s="1"/>
      <c r="BQ195" s="1"/>
      <c r="BR195" s="57">
        <v>0.05</v>
      </c>
      <c r="BS195" s="12">
        <f t="shared" si="24"/>
        <v>2.5800000000000003E-2</v>
      </c>
    </row>
    <row r="196" spans="1:71" x14ac:dyDescent="0.35">
      <c r="A196" s="4">
        <v>46269</v>
      </c>
      <c r="B196" s="3" t="s">
        <v>33</v>
      </c>
      <c r="C196" s="3" t="s">
        <v>33</v>
      </c>
      <c r="D196" s="3" t="s">
        <v>32</v>
      </c>
      <c r="E196" s="3" t="s">
        <v>33</v>
      </c>
      <c r="F196" s="3" t="s">
        <v>32</v>
      </c>
      <c r="G196" s="3" t="s">
        <v>33</v>
      </c>
      <c r="H196" s="9">
        <v>3.0599999999999999E-2</v>
      </c>
      <c r="I196" s="2">
        <v>46269</v>
      </c>
      <c r="J196" s="1" t="s">
        <v>33</v>
      </c>
      <c r="K196" s="1" t="s">
        <v>33</v>
      </c>
      <c r="L196" s="1" t="s">
        <v>32</v>
      </c>
      <c r="M196" s="1" t="s">
        <v>33</v>
      </c>
      <c r="N196" s="1" t="s">
        <v>32</v>
      </c>
      <c r="O196" s="1" t="s">
        <v>32</v>
      </c>
      <c r="P196" s="57">
        <v>5.3900000000000003E-2</v>
      </c>
      <c r="Q196" s="84">
        <f t="shared" si="21"/>
        <v>2.3300000000000005E-2</v>
      </c>
      <c r="S196" s="4">
        <v>46269</v>
      </c>
      <c r="T196" s="3" t="s">
        <v>33</v>
      </c>
      <c r="U196" s="3" t="s">
        <v>33</v>
      </c>
      <c r="V196" s="3" t="s">
        <v>33</v>
      </c>
      <c r="W196" s="3" t="s">
        <v>33</v>
      </c>
      <c r="X196" s="6">
        <v>0.04</v>
      </c>
      <c r="Y196" s="3" t="s">
        <v>33</v>
      </c>
      <c r="Z196" s="6">
        <v>3.15E-2</v>
      </c>
      <c r="AA196" s="2">
        <v>46269</v>
      </c>
      <c r="AB196" s="1" t="s">
        <v>33</v>
      </c>
      <c r="AC196" s="1" t="s">
        <v>33</v>
      </c>
      <c r="AD196" s="1" t="s">
        <v>33</v>
      </c>
      <c r="AE196" s="1" t="s">
        <v>33</v>
      </c>
      <c r="AF196" s="1" t="s">
        <v>33</v>
      </c>
      <c r="AG196" s="1" t="s">
        <v>33</v>
      </c>
      <c r="AH196" s="57">
        <v>3.5000000000000003E-2</v>
      </c>
      <c r="AI196" s="12">
        <f t="shared" si="13"/>
        <v>3.5000000000000031E-3</v>
      </c>
      <c r="AK196" s="4">
        <v>46269</v>
      </c>
      <c r="AL196" s="6">
        <v>0.02</v>
      </c>
      <c r="AM196" s="3"/>
      <c r="AN196" s="3"/>
      <c r="AO196" s="3"/>
      <c r="AP196" s="3" t="s">
        <v>33</v>
      </c>
      <c r="AQ196" s="3" t="s">
        <v>33</v>
      </c>
      <c r="AR196" s="6">
        <v>1.9800000000000002E-2</v>
      </c>
      <c r="AS196" s="2">
        <v>46269</v>
      </c>
      <c r="AT196" s="13">
        <v>4.1799999999999997E-2</v>
      </c>
      <c r="AU196" s="13">
        <v>4.2000000000000003E-2</v>
      </c>
      <c r="AV196" s="13">
        <v>4.5100000000000001E-2</v>
      </c>
      <c r="AW196" s="13">
        <v>4.4999999999999998E-2</v>
      </c>
      <c r="AX196" s="13">
        <v>5.5300000000000002E-2</v>
      </c>
      <c r="AY196" s="13">
        <v>6.5000000000000002E-2</v>
      </c>
      <c r="AZ196" s="13">
        <v>5.0200000000000002E-2</v>
      </c>
      <c r="BA196" s="12">
        <v>2.5999999999999999E-2</v>
      </c>
      <c r="BC196" s="4">
        <v>46269</v>
      </c>
      <c r="BD196" s="6" t="s">
        <v>33</v>
      </c>
      <c r="BE196" s="6">
        <v>2.8000000000000001E-2</v>
      </c>
      <c r="BF196" s="6">
        <v>3.2000000000000001E-2</v>
      </c>
      <c r="BG196" s="3"/>
      <c r="BH196" s="3"/>
      <c r="BI196" s="3"/>
      <c r="BJ196" s="6">
        <v>2.5000000000000001E-2</v>
      </c>
      <c r="BK196" s="2">
        <v>46269</v>
      </c>
      <c r="BL196" s="57">
        <v>5.5E-2</v>
      </c>
      <c r="BM196" s="1"/>
      <c r="BN196" s="57">
        <v>6.0499999999999998E-2</v>
      </c>
      <c r="BO196" s="1"/>
      <c r="BP196" s="1"/>
      <c r="BQ196" s="1"/>
      <c r="BR196" s="57">
        <v>0.05</v>
      </c>
      <c r="BS196" s="12">
        <f t="shared" si="24"/>
        <v>2.5000000000000001E-2</v>
      </c>
    </row>
    <row r="197" spans="1:71" x14ac:dyDescent="0.35">
      <c r="A197" s="4">
        <v>46270</v>
      </c>
      <c r="B197" s="3" t="s">
        <v>33</v>
      </c>
      <c r="C197" s="3" t="s">
        <v>33</v>
      </c>
      <c r="D197" s="3" t="s">
        <v>32</v>
      </c>
      <c r="E197" s="3" t="s">
        <v>33</v>
      </c>
      <c r="F197" s="3" t="s">
        <v>32</v>
      </c>
      <c r="G197" s="3" t="s">
        <v>33</v>
      </c>
      <c r="H197" s="9"/>
      <c r="I197" s="2">
        <v>46270</v>
      </c>
      <c r="J197" s="1" t="s">
        <v>33</v>
      </c>
      <c r="K197" s="1" t="s">
        <v>33</v>
      </c>
      <c r="L197" s="1" t="s">
        <v>32</v>
      </c>
      <c r="M197" s="1" t="s">
        <v>33</v>
      </c>
      <c r="N197" s="1" t="s">
        <v>32</v>
      </c>
      <c r="O197" s="1" t="s">
        <v>32</v>
      </c>
      <c r="P197" s="57"/>
      <c r="Q197" s="84"/>
      <c r="S197" s="4">
        <v>46270</v>
      </c>
      <c r="T197" s="3" t="s">
        <v>33</v>
      </c>
      <c r="U197" s="3" t="s">
        <v>33</v>
      </c>
      <c r="V197" s="3" t="s">
        <v>33</v>
      </c>
      <c r="W197" s="3" t="s">
        <v>33</v>
      </c>
      <c r="X197" s="6"/>
      <c r="Y197" s="3" t="s">
        <v>33</v>
      </c>
      <c r="Z197" s="6"/>
      <c r="AA197" s="2">
        <v>46270</v>
      </c>
      <c r="AB197" s="1" t="s">
        <v>33</v>
      </c>
      <c r="AC197" s="1" t="s">
        <v>33</v>
      </c>
      <c r="AD197" s="1" t="s">
        <v>33</v>
      </c>
      <c r="AE197" s="1" t="s">
        <v>33</v>
      </c>
      <c r="AF197" s="1" t="s">
        <v>33</v>
      </c>
      <c r="AG197" s="1" t="s">
        <v>33</v>
      </c>
      <c r="AH197" s="57"/>
      <c r="AI197" s="12"/>
      <c r="AK197" s="4">
        <v>46270</v>
      </c>
      <c r="AL197" s="6"/>
      <c r="AM197" s="3"/>
      <c r="AN197" s="3"/>
      <c r="AO197" s="3"/>
      <c r="AP197" s="3" t="s">
        <v>33</v>
      </c>
      <c r="AQ197" s="3" t="s">
        <v>33</v>
      </c>
      <c r="AR197" s="6"/>
      <c r="AS197" s="2">
        <v>46270</v>
      </c>
      <c r="AT197" s="13"/>
      <c r="AU197" s="13"/>
      <c r="AV197" s="13"/>
      <c r="AW197" s="13"/>
      <c r="AX197" s="13"/>
      <c r="AY197" s="13"/>
      <c r="AZ197" s="13"/>
      <c r="BA197" s="12"/>
      <c r="BC197" s="4">
        <v>46270</v>
      </c>
      <c r="BD197" s="6" t="s">
        <v>33</v>
      </c>
      <c r="BE197" s="6"/>
      <c r="BF197" s="6"/>
      <c r="BG197" s="3"/>
      <c r="BH197" s="3"/>
      <c r="BI197" s="3"/>
      <c r="BJ197" s="6"/>
      <c r="BK197" s="2">
        <v>46270</v>
      </c>
      <c r="BL197" s="57"/>
      <c r="BM197" s="1"/>
      <c r="BN197" s="57"/>
      <c r="BO197" s="1"/>
      <c r="BP197" s="1"/>
      <c r="BQ197" s="1"/>
      <c r="BR197" s="57"/>
      <c r="BS197" s="12"/>
    </row>
    <row r="198" spans="1:71" x14ac:dyDescent="0.35">
      <c r="A198" s="4">
        <v>46271</v>
      </c>
      <c r="B198" s="3" t="s">
        <v>33</v>
      </c>
      <c r="C198" s="3" t="s">
        <v>33</v>
      </c>
      <c r="D198" s="3" t="s">
        <v>32</v>
      </c>
      <c r="E198" s="3" t="s">
        <v>33</v>
      </c>
      <c r="F198" s="3" t="s">
        <v>32</v>
      </c>
      <c r="G198" s="3" t="s">
        <v>33</v>
      </c>
      <c r="H198" s="9"/>
      <c r="I198" s="2">
        <v>46271</v>
      </c>
      <c r="J198" s="1" t="s">
        <v>33</v>
      </c>
      <c r="K198" s="1" t="s">
        <v>33</v>
      </c>
      <c r="L198" s="1" t="s">
        <v>32</v>
      </c>
      <c r="M198" s="1" t="s">
        <v>33</v>
      </c>
      <c r="N198" s="1" t="s">
        <v>32</v>
      </c>
      <c r="O198" s="1" t="s">
        <v>32</v>
      </c>
      <c r="P198" s="57"/>
      <c r="Q198" s="84"/>
      <c r="S198" s="4">
        <v>46271</v>
      </c>
      <c r="T198" s="3" t="s">
        <v>33</v>
      </c>
      <c r="U198" s="3" t="s">
        <v>33</v>
      </c>
      <c r="V198" s="3" t="s">
        <v>33</v>
      </c>
      <c r="W198" s="3" t="s">
        <v>33</v>
      </c>
      <c r="X198" s="6"/>
      <c r="Y198" s="3" t="s">
        <v>33</v>
      </c>
      <c r="Z198" s="6"/>
      <c r="AA198" s="2">
        <v>46271</v>
      </c>
      <c r="AB198" s="1" t="s">
        <v>33</v>
      </c>
      <c r="AC198" s="1" t="s">
        <v>33</v>
      </c>
      <c r="AD198" s="1" t="s">
        <v>33</v>
      </c>
      <c r="AE198" s="1" t="s">
        <v>33</v>
      </c>
      <c r="AF198" s="1" t="s">
        <v>33</v>
      </c>
      <c r="AG198" s="1" t="s">
        <v>33</v>
      </c>
      <c r="AH198" s="57"/>
      <c r="AI198" s="12"/>
      <c r="AK198" s="4">
        <v>46271</v>
      </c>
      <c r="AL198" s="6"/>
      <c r="AM198" s="3"/>
      <c r="AN198" s="3"/>
      <c r="AO198" s="3"/>
      <c r="AP198" s="3" t="s">
        <v>33</v>
      </c>
      <c r="AQ198" s="3" t="s">
        <v>33</v>
      </c>
      <c r="AR198" s="6"/>
      <c r="AS198" s="2">
        <v>46271</v>
      </c>
      <c r="AT198" s="13"/>
      <c r="AU198" s="13"/>
      <c r="AV198" s="13"/>
      <c r="AW198" s="13"/>
      <c r="AX198" s="13"/>
      <c r="AY198" s="13"/>
      <c r="AZ198" s="13"/>
      <c r="BA198" s="12"/>
      <c r="BC198" s="4">
        <v>46271</v>
      </c>
      <c r="BD198" s="6" t="s">
        <v>33</v>
      </c>
      <c r="BE198" s="6"/>
      <c r="BF198" s="6"/>
      <c r="BG198" s="3"/>
      <c r="BH198" s="3"/>
      <c r="BI198" s="3"/>
      <c r="BJ198" s="6"/>
      <c r="BK198" s="2">
        <v>46271</v>
      </c>
      <c r="BL198" s="57"/>
      <c r="BM198" s="1"/>
      <c r="BN198" s="57"/>
      <c r="BO198" s="1"/>
      <c r="BP198" s="1"/>
      <c r="BQ198" s="1"/>
      <c r="BR198" s="57"/>
      <c r="BS198" s="12"/>
    </row>
    <row r="199" spans="1:71" x14ac:dyDescent="0.35">
      <c r="A199" s="4">
        <v>46272</v>
      </c>
      <c r="B199" s="3" t="s">
        <v>33</v>
      </c>
      <c r="C199" s="3" t="s">
        <v>33</v>
      </c>
      <c r="D199" s="3" t="s">
        <v>32</v>
      </c>
      <c r="E199" s="3" t="s">
        <v>33</v>
      </c>
      <c r="F199" s="3" t="s">
        <v>32</v>
      </c>
      <c r="G199" s="3" t="s">
        <v>33</v>
      </c>
      <c r="H199" s="9"/>
      <c r="I199" s="2">
        <v>46272</v>
      </c>
      <c r="J199" s="1" t="s">
        <v>33</v>
      </c>
      <c r="K199" s="1" t="s">
        <v>33</v>
      </c>
      <c r="L199" s="1" t="s">
        <v>32</v>
      </c>
      <c r="M199" s="1" t="s">
        <v>33</v>
      </c>
      <c r="N199" s="1" t="s">
        <v>32</v>
      </c>
      <c r="O199" s="1" t="s">
        <v>32</v>
      </c>
      <c r="P199" s="57"/>
      <c r="Q199" s="84"/>
      <c r="S199" s="4">
        <v>46272</v>
      </c>
      <c r="T199" s="3" t="s">
        <v>33</v>
      </c>
      <c r="U199" s="3" t="s">
        <v>33</v>
      </c>
      <c r="V199" s="3" t="s">
        <v>33</v>
      </c>
      <c r="W199" s="3" t="s">
        <v>33</v>
      </c>
      <c r="X199" s="6"/>
      <c r="Y199" s="3" t="s">
        <v>33</v>
      </c>
      <c r="Z199" s="6"/>
      <c r="AA199" s="2">
        <v>46272</v>
      </c>
      <c r="AB199" s="1" t="s">
        <v>33</v>
      </c>
      <c r="AC199" s="1" t="s">
        <v>33</v>
      </c>
      <c r="AD199" s="1" t="s">
        <v>33</v>
      </c>
      <c r="AE199" s="1" t="s">
        <v>33</v>
      </c>
      <c r="AF199" s="1" t="s">
        <v>33</v>
      </c>
      <c r="AG199" s="1" t="s">
        <v>33</v>
      </c>
      <c r="AH199" s="57"/>
      <c r="AI199" s="12"/>
      <c r="AK199" s="4">
        <v>46272</v>
      </c>
      <c r="AL199" s="6"/>
      <c r="AM199" s="3"/>
      <c r="AN199" s="3"/>
      <c r="AO199" s="3"/>
      <c r="AP199" s="3" t="s">
        <v>33</v>
      </c>
      <c r="AQ199" s="3" t="s">
        <v>33</v>
      </c>
      <c r="AR199" s="6"/>
      <c r="AS199" s="2">
        <v>46272</v>
      </c>
      <c r="AT199" s="13"/>
      <c r="AU199" s="13"/>
      <c r="AV199" s="13"/>
      <c r="AW199" s="13"/>
      <c r="AX199" s="13"/>
      <c r="AY199" s="13"/>
      <c r="AZ199" s="13"/>
      <c r="BA199" s="12"/>
      <c r="BC199" s="4">
        <v>46272</v>
      </c>
      <c r="BD199" s="6" t="s">
        <v>33</v>
      </c>
      <c r="BE199" s="6"/>
      <c r="BF199" s="6"/>
      <c r="BG199" s="3"/>
      <c r="BH199" s="3"/>
      <c r="BI199" s="3"/>
      <c r="BJ199" s="6"/>
      <c r="BK199" s="2">
        <v>46272</v>
      </c>
      <c r="BL199" s="57"/>
      <c r="BM199" s="1"/>
      <c r="BN199" s="57"/>
      <c r="BO199" s="1"/>
      <c r="BP199" s="1"/>
      <c r="BQ199" s="1"/>
      <c r="BR199" s="57"/>
      <c r="BS199" s="12"/>
    </row>
    <row r="200" spans="1:71" x14ac:dyDescent="0.35">
      <c r="A200" s="4">
        <v>46273</v>
      </c>
      <c r="B200" s="3" t="s">
        <v>33</v>
      </c>
      <c r="C200" s="3" t="s">
        <v>33</v>
      </c>
      <c r="D200" s="3" t="s">
        <v>32</v>
      </c>
      <c r="E200" s="3" t="s">
        <v>33</v>
      </c>
      <c r="F200" s="3" t="s">
        <v>32</v>
      </c>
      <c r="G200" s="3" t="s">
        <v>33</v>
      </c>
      <c r="H200" s="9"/>
      <c r="I200" s="2">
        <v>46273</v>
      </c>
      <c r="J200" s="1" t="s">
        <v>33</v>
      </c>
      <c r="K200" s="1" t="s">
        <v>33</v>
      </c>
      <c r="L200" s="1" t="s">
        <v>32</v>
      </c>
      <c r="M200" s="1" t="s">
        <v>33</v>
      </c>
      <c r="N200" s="1" t="s">
        <v>32</v>
      </c>
      <c r="O200" s="1" t="s">
        <v>32</v>
      </c>
      <c r="P200" s="57"/>
      <c r="Q200" s="84"/>
      <c r="S200" s="4">
        <v>46273</v>
      </c>
      <c r="T200" s="3" t="s">
        <v>33</v>
      </c>
      <c r="U200" s="3" t="s">
        <v>33</v>
      </c>
      <c r="V200" s="3" t="s">
        <v>33</v>
      </c>
      <c r="W200" s="3" t="s">
        <v>33</v>
      </c>
      <c r="X200" s="6"/>
      <c r="Y200" s="3" t="s">
        <v>33</v>
      </c>
      <c r="Z200" s="6"/>
      <c r="AA200" s="2">
        <v>46273</v>
      </c>
      <c r="AB200" s="1" t="s">
        <v>33</v>
      </c>
      <c r="AC200" s="1" t="s">
        <v>33</v>
      </c>
      <c r="AD200" s="1" t="s">
        <v>33</v>
      </c>
      <c r="AE200" s="1" t="s">
        <v>33</v>
      </c>
      <c r="AF200" s="1" t="s">
        <v>33</v>
      </c>
      <c r="AG200" s="1" t="s">
        <v>33</v>
      </c>
      <c r="AH200" s="57"/>
      <c r="AI200" s="12"/>
      <c r="AK200" s="4">
        <v>46273</v>
      </c>
      <c r="AL200" s="6"/>
      <c r="AM200" s="3"/>
      <c r="AN200" s="3"/>
      <c r="AO200" s="3"/>
      <c r="AP200" s="3" t="s">
        <v>33</v>
      </c>
      <c r="AQ200" s="3" t="s">
        <v>33</v>
      </c>
      <c r="AR200" s="6"/>
      <c r="AS200" s="2">
        <v>46273</v>
      </c>
      <c r="AT200" s="13"/>
      <c r="AU200" s="13"/>
      <c r="AV200" s="13"/>
      <c r="AW200" s="13"/>
      <c r="AX200" s="13"/>
      <c r="AY200" s="13"/>
      <c r="AZ200" s="13"/>
      <c r="BA200" s="12"/>
      <c r="BC200" s="4">
        <v>46273</v>
      </c>
      <c r="BD200" s="6" t="s">
        <v>33</v>
      </c>
      <c r="BE200" s="6"/>
      <c r="BF200" s="6"/>
      <c r="BG200" s="3"/>
      <c r="BH200" s="3"/>
      <c r="BI200" s="3"/>
      <c r="BJ200" s="6"/>
      <c r="BK200" s="2">
        <v>46273</v>
      </c>
      <c r="BL200" s="57"/>
      <c r="BM200" s="1"/>
      <c r="BN200" s="57"/>
      <c r="BO200" s="1"/>
      <c r="BP200" s="1"/>
      <c r="BQ200" s="1"/>
      <c r="BR200" s="57"/>
      <c r="BS200" s="12"/>
    </row>
    <row r="201" spans="1:71" x14ac:dyDescent="0.35">
      <c r="A201" s="4">
        <v>46274</v>
      </c>
      <c r="B201" s="3" t="s">
        <v>33</v>
      </c>
      <c r="C201" s="3" t="s">
        <v>33</v>
      </c>
      <c r="D201" s="3" t="s">
        <v>32</v>
      </c>
      <c r="E201" s="3" t="s">
        <v>33</v>
      </c>
      <c r="F201" s="3" t="s">
        <v>32</v>
      </c>
      <c r="G201" s="3" t="s">
        <v>33</v>
      </c>
      <c r="H201" s="9"/>
      <c r="I201" s="2">
        <v>46274</v>
      </c>
      <c r="J201" s="1" t="s">
        <v>33</v>
      </c>
      <c r="K201" s="1" t="s">
        <v>33</v>
      </c>
      <c r="L201" s="1" t="s">
        <v>32</v>
      </c>
      <c r="M201" s="1" t="s">
        <v>33</v>
      </c>
      <c r="N201" s="1" t="s">
        <v>32</v>
      </c>
      <c r="O201" s="1" t="s">
        <v>32</v>
      </c>
      <c r="P201" s="57"/>
      <c r="Q201" s="84"/>
      <c r="S201" s="4">
        <v>46274</v>
      </c>
      <c r="T201" s="3" t="s">
        <v>33</v>
      </c>
      <c r="U201" s="3" t="s">
        <v>33</v>
      </c>
      <c r="V201" s="3" t="s">
        <v>33</v>
      </c>
      <c r="W201" s="3" t="s">
        <v>33</v>
      </c>
      <c r="X201" s="6"/>
      <c r="Y201" s="3" t="s">
        <v>33</v>
      </c>
      <c r="Z201" s="6"/>
      <c r="AA201" s="2">
        <v>46274</v>
      </c>
      <c r="AB201" s="1" t="s">
        <v>33</v>
      </c>
      <c r="AC201" s="1" t="s">
        <v>33</v>
      </c>
      <c r="AD201" s="1" t="s">
        <v>33</v>
      </c>
      <c r="AE201" s="1" t="s">
        <v>33</v>
      </c>
      <c r="AF201" s="1" t="s">
        <v>33</v>
      </c>
      <c r="AG201" s="1" t="s">
        <v>33</v>
      </c>
      <c r="AH201" s="57"/>
      <c r="AI201" s="12"/>
      <c r="AK201" s="4">
        <v>46274</v>
      </c>
      <c r="AL201" s="6"/>
      <c r="AM201" s="3"/>
      <c r="AN201" s="3"/>
      <c r="AO201" s="3"/>
      <c r="AP201" s="3" t="s">
        <v>33</v>
      </c>
      <c r="AQ201" s="3" t="s">
        <v>33</v>
      </c>
      <c r="AR201" s="6"/>
      <c r="AS201" s="2">
        <v>46274</v>
      </c>
      <c r="AT201" s="13"/>
      <c r="AU201" s="13"/>
      <c r="AV201" s="13"/>
      <c r="AW201" s="13"/>
      <c r="AX201" s="13"/>
      <c r="AY201" s="13"/>
      <c r="AZ201" s="13"/>
      <c r="BA201" s="12"/>
      <c r="BC201" s="4">
        <v>46274</v>
      </c>
      <c r="BD201" s="6" t="s">
        <v>33</v>
      </c>
      <c r="BE201" s="6"/>
      <c r="BF201" s="6"/>
      <c r="BG201" s="3"/>
      <c r="BH201" s="3"/>
      <c r="BI201" s="3"/>
      <c r="BJ201" s="6"/>
      <c r="BK201" s="2">
        <v>46274</v>
      </c>
      <c r="BL201" s="57"/>
      <c r="BM201" s="1"/>
      <c r="BN201" s="57"/>
      <c r="BO201" s="1"/>
      <c r="BP201" s="1"/>
      <c r="BQ201" s="1"/>
      <c r="BR201" s="57"/>
      <c r="BS201" s="12"/>
    </row>
    <row r="202" spans="1:71" x14ac:dyDescent="0.35">
      <c r="A202" s="4">
        <v>46275</v>
      </c>
      <c r="B202" s="3" t="s">
        <v>33</v>
      </c>
      <c r="C202" s="3" t="s">
        <v>33</v>
      </c>
      <c r="D202" s="3" t="s">
        <v>32</v>
      </c>
      <c r="E202" s="3" t="s">
        <v>33</v>
      </c>
      <c r="F202" s="3" t="s">
        <v>32</v>
      </c>
      <c r="G202" s="3" t="s">
        <v>33</v>
      </c>
      <c r="H202" s="9"/>
      <c r="I202" s="2">
        <v>46275</v>
      </c>
      <c r="J202" s="1" t="s">
        <v>33</v>
      </c>
      <c r="K202" s="1" t="s">
        <v>33</v>
      </c>
      <c r="L202" s="1" t="s">
        <v>32</v>
      </c>
      <c r="M202" s="1" t="s">
        <v>33</v>
      </c>
      <c r="N202" s="1" t="s">
        <v>32</v>
      </c>
      <c r="O202" s="1" t="s">
        <v>32</v>
      </c>
      <c r="P202" s="57"/>
      <c r="Q202" s="84"/>
      <c r="S202" s="4">
        <v>46275</v>
      </c>
      <c r="T202" s="3" t="s">
        <v>33</v>
      </c>
      <c r="U202" s="3" t="s">
        <v>33</v>
      </c>
      <c r="V202" s="3" t="s">
        <v>33</v>
      </c>
      <c r="W202" s="3" t="s">
        <v>33</v>
      </c>
      <c r="X202" s="6"/>
      <c r="Y202" s="3" t="s">
        <v>33</v>
      </c>
      <c r="Z202" s="6"/>
      <c r="AA202" s="2">
        <v>46275</v>
      </c>
      <c r="AB202" s="1" t="s">
        <v>33</v>
      </c>
      <c r="AC202" s="1" t="s">
        <v>33</v>
      </c>
      <c r="AD202" s="1" t="s">
        <v>33</v>
      </c>
      <c r="AE202" s="1" t="s">
        <v>33</v>
      </c>
      <c r="AF202" s="1" t="s">
        <v>33</v>
      </c>
      <c r="AG202" s="1" t="s">
        <v>33</v>
      </c>
      <c r="AH202" s="57"/>
      <c r="AI202" s="12"/>
      <c r="AK202" s="4">
        <v>46275</v>
      </c>
      <c r="AL202" s="6"/>
      <c r="AM202" s="3"/>
      <c r="AN202" s="3"/>
      <c r="AO202" s="3"/>
      <c r="AP202" s="3" t="s">
        <v>33</v>
      </c>
      <c r="AQ202" s="3" t="s">
        <v>33</v>
      </c>
      <c r="AR202" s="6"/>
      <c r="AS202" s="2">
        <v>46275</v>
      </c>
      <c r="AT202" s="13"/>
      <c r="AU202" s="13"/>
      <c r="AV202" s="13"/>
      <c r="AW202" s="13"/>
      <c r="AX202" s="13"/>
      <c r="AY202" s="13"/>
      <c r="AZ202" s="13"/>
      <c r="BA202" s="12"/>
      <c r="BC202" s="4">
        <v>46275</v>
      </c>
      <c r="BD202" s="6" t="s">
        <v>33</v>
      </c>
      <c r="BE202" s="6"/>
      <c r="BF202" s="6"/>
      <c r="BG202" s="3"/>
      <c r="BH202" s="3"/>
      <c r="BI202" s="3"/>
      <c r="BJ202" s="6"/>
      <c r="BK202" s="2">
        <v>46275</v>
      </c>
      <c r="BL202" s="57"/>
      <c r="BM202" s="1"/>
      <c r="BN202" s="57"/>
      <c r="BO202" s="1"/>
      <c r="BP202" s="1"/>
      <c r="BQ202" s="1"/>
      <c r="BR202" s="57"/>
      <c r="BS202" s="12"/>
    </row>
    <row r="203" spans="1:71" x14ac:dyDescent="0.35">
      <c r="A203" s="4">
        <v>46276</v>
      </c>
      <c r="B203" s="3" t="s">
        <v>33</v>
      </c>
      <c r="C203" s="3" t="s">
        <v>33</v>
      </c>
      <c r="D203" s="3" t="s">
        <v>32</v>
      </c>
      <c r="E203" s="3" t="s">
        <v>33</v>
      </c>
      <c r="F203" s="3" t="s">
        <v>32</v>
      </c>
      <c r="G203" s="3" t="s">
        <v>33</v>
      </c>
      <c r="H203" s="9"/>
      <c r="I203" s="2">
        <v>46276</v>
      </c>
      <c r="J203" s="1" t="s">
        <v>33</v>
      </c>
      <c r="K203" s="1" t="s">
        <v>33</v>
      </c>
      <c r="L203" s="1" t="s">
        <v>32</v>
      </c>
      <c r="M203" s="1" t="s">
        <v>33</v>
      </c>
      <c r="N203" s="1" t="s">
        <v>32</v>
      </c>
      <c r="O203" s="1" t="s">
        <v>32</v>
      </c>
      <c r="P203" s="57"/>
      <c r="Q203" s="84"/>
      <c r="S203" s="4">
        <v>46276</v>
      </c>
      <c r="T203" s="3" t="s">
        <v>33</v>
      </c>
      <c r="U203" s="3" t="s">
        <v>33</v>
      </c>
      <c r="V203" s="3" t="s">
        <v>33</v>
      </c>
      <c r="W203" s="3" t="s">
        <v>33</v>
      </c>
      <c r="X203" s="6"/>
      <c r="Y203" s="3" t="s">
        <v>33</v>
      </c>
      <c r="Z203" s="6"/>
      <c r="AA203" s="2">
        <v>46276</v>
      </c>
      <c r="AB203" s="1" t="s">
        <v>33</v>
      </c>
      <c r="AC203" s="1" t="s">
        <v>33</v>
      </c>
      <c r="AD203" s="1" t="s">
        <v>33</v>
      </c>
      <c r="AE203" s="1" t="s">
        <v>33</v>
      </c>
      <c r="AF203" s="1" t="s">
        <v>33</v>
      </c>
      <c r="AG203" s="1" t="s">
        <v>33</v>
      </c>
      <c r="AH203" s="57"/>
      <c r="AI203" s="12"/>
      <c r="AK203" s="4">
        <v>46276</v>
      </c>
      <c r="AL203" s="6"/>
      <c r="AM203" s="3"/>
      <c r="AN203" s="3"/>
      <c r="AO203" s="3"/>
      <c r="AP203" s="3" t="s">
        <v>33</v>
      </c>
      <c r="AQ203" s="3" t="s">
        <v>33</v>
      </c>
      <c r="AR203" s="6"/>
      <c r="AS203" s="2">
        <v>46276</v>
      </c>
      <c r="AT203" s="13"/>
      <c r="AU203" s="13"/>
      <c r="AV203" s="13"/>
      <c r="AW203" s="13"/>
      <c r="AX203" s="13"/>
      <c r="AY203" s="13"/>
      <c r="AZ203" s="13"/>
      <c r="BA203" s="12"/>
      <c r="BC203" s="4">
        <v>46276</v>
      </c>
      <c r="BD203" s="6" t="s">
        <v>33</v>
      </c>
      <c r="BE203" s="6"/>
      <c r="BF203" s="6"/>
      <c r="BG203" s="3"/>
      <c r="BH203" s="3"/>
      <c r="BI203" s="3"/>
      <c r="BJ203" s="6"/>
      <c r="BK203" s="2">
        <v>46276</v>
      </c>
      <c r="BL203" s="57"/>
      <c r="BM203" s="1"/>
      <c r="BN203" s="57"/>
      <c r="BO203" s="1"/>
      <c r="BP203" s="1"/>
      <c r="BQ203" s="1"/>
      <c r="BR203" s="57"/>
      <c r="BS203" s="12"/>
    </row>
    <row r="204" spans="1:71" x14ac:dyDescent="0.35">
      <c r="A204" s="4">
        <v>46277</v>
      </c>
      <c r="B204" s="3" t="s">
        <v>33</v>
      </c>
      <c r="C204" s="3" t="s">
        <v>33</v>
      </c>
      <c r="D204" s="3" t="s">
        <v>32</v>
      </c>
      <c r="E204" s="3" t="s">
        <v>33</v>
      </c>
      <c r="F204" s="3" t="s">
        <v>32</v>
      </c>
      <c r="G204" s="3" t="s">
        <v>33</v>
      </c>
      <c r="H204" s="9"/>
      <c r="I204" s="2">
        <v>46277</v>
      </c>
      <c r="J204" s="1" t="s">
        <v>33</v>
      </c>
      <c r="K204" s="1" t="s">
        <v>33</v>
      </c>
      <c r="L204" s="1" t="s">
        <v>32</v>
      </c>
      <c r="M204" s="1" t="s">
        <v>33</v>
      </c>
      <c r="N204" s="1" t="s">
        <v>32</v>
      </c>
      <c r="O204" s="1" t="s">
        <v>32</v>
      </c>
      <c r="P204" s="57"/>
      <c r="Q204" s="84"/>
      <c r="S204" s="4">
        <v>46277</v>
      </c>
      <c r="T204" s="3" t="s">
        <v>33</v>
      </c>
      <c r="U204" s="3" t="s">
        <v>33</v>
      </c>
      <c r="V204" s="3" t="s">
        <v>33</v>
      </c>
      <c r="W204" s="3" t="s">
        <v>33</v>
      </c>
      <c r="X204" s="6"/>
      <c r="Y204" s="3" t="s">
        <v>33</v>
      </c>
      <c r="Z204" s="6"/>
      <c r="AA204" s="2">
        <v>46277</v>
      </c>
      <c r="AB204" s="1" t="s">
        <v>33</v>
      </c>
      <c r="AC204" s="1" t="s">
        <v>33</v>
      </c>
      <c r="AD204" s="1" t="s">
        <v>33</v>
      </c>
      <c r="AE204" s="1" t="s">
        <v>33</v>
      </c>
      <c r="AF204" s="1" t="s">
        <v>33</v>
      </c>
      <c r="AG204" s="1" t="s">
        <v>33</v>
      </c>
      <c r="AH204" s="57"/>
      <c r="AI204" s="12"/>
      <c r="AK204" s="4">
        <v>46277</v>
      </c>
      <c r="AL204" s="6"/>
      <c r="AM204" s="3"/>
      <c r="AN204" s="3"/>
      <c r="AO204" s="3"/>
      <c r="AP204" s="3" t="s">
        <v>33</v>
      </c>
      <c r="AQ204" s="3" t="s">
        <v>33</v>
      </c>
      <c r="AR204" s="6"/>
      <c r="AS204" s="2">
        <v>46277</v>
      </c>
      <c r="AT204" s="13"/>
      <c r="AU204" s="13"/>
      <c r="AV204" s="13"/>
      <c r="AW204" s="13"/>
      <c r="AX204" s="13"/>
      <c r="AY204" s="13"/>
      <c r="AZ204" s="13"/>
      <c r="BA204" s="12"/>
      <c r="BC204" s="4">
        <v>46277</v>
      </c>
      <c r="BD204" s="6" t="s">
        <v>33</v>
      </c>
      <c r="BE204" s="6"/>
      <c r="BF204" s="6"/>
      <c r="BG204" s="3"/>
      <c r="BH204" s="3"/>
      <c r="BI204" s="3"/>
      <c r="BJ204" s="6"/>
      <c r="BK204" s="2">
        <v>46277</v>
      </c>
      <c r="BL204" s="57"/>
      <c r="BM204" s="1"/>
      <c r="BN204" s="57"/>
      <c r="BO204" s="1"/>
      <c r="BP204" s="1"/>
      <c r="BQ204" s="1"/>
      <c r="BR204" s="57"/>
      <c r="BS204" s="12"/>
    </row>
    <row r="205" spans="1:71" x14ac:dyDescent="0.35">
      <c r="A205" s="4">
        <v>46278</v>
      </c>
      <c r="B205" s="3" t="s">
        <v>33</v>
      </c>
      <c r="C205" s="3" t="s">
        <v>33</v>
      </c>
      <c r="D205" s="3" t="s">
        <v>32</v>
      </c>
      <c r="E205" s="3" t="s">
        <v>33</v>
      </c>
      <c r="F205" s="3" t="s">
        <v>32</v>
      </c>
      <c r="G205" s="3" t="s">
        <v>33</v>
      </c>
      <c r="H205" s="9"/>
      <c r="I205" s="2">
        <v>46278</v>
      </c>
      <c r="J205" s="1" t="s">
        <v>33</v>
      </c>
      <c r="K205" s="1" t="s">
        <v>33</v>
      </c>
      <c r="L205" s="1" t="s">
        <v>32</v>
      </c>
      <c r="M205" s="1" t="s">
        <v>33</v>
      </c>
      <c r="N205" s="1" t="s">
        <v>32</v>
      </c>
      <c r="O205" s="1" t="s">
        <v>32</v>
      </c>
      <c r="P205" s="57"/>
      <c r="Q205" s="84"/>
      <c r="S205" s="4">
        <v>46278</v>
      </c>
      <c r="T205" s="3" t="s">
        <v>33</v>
      </c>
      <c r="U205" s="3" t="s">
        <v>33</v>
      </c>
      <c r="V205" s="3" t="s">
        <v>33</v>
      </c>
      <c r="W205" s="3" t="s">
        <v>33</v>
      </c>
      <c r="X205" s="6"/>
      <c r="Y205" s="3" t="s">
        <v>33</v>
      </c>
      <c r="Z205" s="6"/>
      <c r="AA205" s="2">
        <v>46278</v>
      </c>
      <c r="AB205" s="1" t="s">
        <v>33</v>
      </c>
      <c r="AC205" s="1" t="s">
        <v>33</v>
      </c>
      <c r="AD205" s="1" t="s">
        <v>33</v>
      </c>
      <c r="AE205" s="1" t="s">
        <v>33</v>
      </c>
      <c r="AF205" s="1" t="s">
        <v>33</v>
      </c>
      <c r="AG205" s="1" t="s">
        <v>33</v>
      </c>
      <c r="AH205" s="57"/>
      <c r="AI205" s="12"/>
      <c r="AK205" s="4">
        <v>46278</v>
      </c>
      <c r="AL205" s="6"/>
      <c r="AM205" s="3"/>
      <c r="AN205" s="3"/>
      <c r="AO205" s="3"/>
      <c r="AP205" s="3" t="s">
        <v>33</v>
      </c>
      <c r="AQ205" s="3" t="s">
        <v>33</v>
      </c>
      <c r="AR205" s="6"/>
      <c r="AS205" s="2">
        <v>46278</v>
      </c>
      <c r="AT205" s="13"/>
      <c r="AU205" s="13"/>
      <c r="AV205" s="13"/>
      <c r="AW205" s="13"/>
      <c r="AX205" s="13"/>
      <c r="AY205" s="13"/>
      <c r="AZ205" s="13"/>
      <c r="BA205" s="12"/>
      <c r="BC205" s="4">
        <v>46278</v>
      </c>
      <c r="BD205" s="6" t="s">
        <v>33</v>
      </c>
      <c r="BE205" s="6"/>
      <c r="BF205" s="6"/>
      <c r="BG205" s="3"/>
      <c r="BH205" s="3"/>
      <c r="BI205" s="3"/>
      <c r="BJ205" s="6"/>
      <c r="BK205" s="2">
        <v>46278</v>
      </c>
      <c r="BL205" s="57"/>
      <c r="BM205" s="1"/>
      <c r="BN205" s="57"/>
      <c r="BO205" s="1"/>
      <c r="BP205" s="1"/>
      <c r="BQ205" s="1"/>
      <c r="BR205" s="57"/>
      <c r="BS205" s="12"/>
    </row>
    <row r="206" spans="1:71" x14ac:dyDescent="0.35">
      <c r="A206" s="4">
        <v>46279</v>
      </c>
      <c r="B206" s="3" t="s">
        <v>33</v>
      </c>
      <c r="C206" s="3" t="s">
        <v>33</v>
      </c>
      <c r="D206" s="3" t="s">
        <v>32</v>
      </c>
      <c r="E206" s="3" t="s">
        <v>33</v>
      </c>
      <c r="F206" s="3" t="s">
        <v>32</v>
      </c>
      <c r="G206" s="3" t="s">
        <v>33</v>
      </c>
      <c r="H206" s="9"/>
      <c r="I206" s="2">
        <v>46279</v>
      </c>
      <c r="J206" s="1" t="s">
        <v>33</v>
      </c>
      <c r="K206" s="1" t="s">
        <v>33</v>
      </c>
      <c r="L206" s="1" t="s">
        <v>32</v>
      </c>
      <c r="M206" s="1" t="s">
        <v>33</v>
      </c>
      <c r="N206" s="1" t="s">
        <v>32</v>
      </c>
      <c r="O206" s="1" t="s">
        <v>32</v>
      </c>
      <c r="P206" s="57"/>
      <c r="Q206" s="84"/>
      <c r="S206" s="4">
        <v>46279</v>
      </c>
      <c r="T206" s="3" t="s">
        <v>33</v>
      </c>
      <c r="U206" s="3" t="s">
        <v>33</v>
      </c>
      <c r="V206" s="3" t="s">
        <v>33</v>
      </c>
      <c r="W206" s="3" t="s">
        <v>33</v>
      </c>
      <c r="X206" s="6"/>
      <c r="Y206" s="3" t="s">
        <v>33</v>
      </c>
      <c r="Z206" s="6"/>
      <c r="AA206" s="2">
        <v>46279</v>
      </c>
      <c r="AB206" s="1" t="s">
        <v>33</v>
      </c>
      <c r="AC206" s="1" t="s">
        <v>33</v>
      </c>
      <c r="AD206" s="1" t="s">
        <v>33</v>
      </c>
      <c r="AE206" s="1" t="s">
        <v>33</v>
      </c>
      <c r="AF206" s="1" t="s">
        <v>33</v>
      </c>
      <c r="AG206" s="1" t="s">
        <v>33</v>
      </c>
      <c r="AH206" s="57"/>
      <c r="AI206" s="12"/>
      <c r="AK206" s="4">
        <v>46279</v>
      </c>
      <c r="AL206" s="6"/>
      <c r="AM206" s="3"/>
      <c r="AN206" s="3"/>
      <c r="AO206" s="3"/>
      <c r="AP206" s="3" t="s">
        <v>33</v>
      </c>
      <c r="AQ206" s="3" t="s">
        <v>33</v>
      </c>
      <c r="AR206" s="6"/>
      <c r="AS206" s="2">
        <v>46279</v>
      </c>
      <c r="AT206" s="13"/>
      <c r="AU206" s="13"/>
      <c r="AV206" s="13"/>
      <c r="AW206" s="13"/>
      <c r="AX206" s="13"/>
      <c r="AY206" s="13"/>
      <c r="AZ206" s="13"/>
      <c r="BA206" s="12"/>
      <c r="BC206" s="4">
        <v>46279</v>
      </c>
      <c r="BD206" s="6" t="s">
        <v>33</v>
      </c>
      <c r="BE206" s="6"/>
      <c r="BF206" s="6"/>
      <c r="BG206" s="3"/>
      <c r="BH206" s="3"/>
      <c r="BI206" s="3"/>
      <c r="BJ206" s="6"/>
      <c r="BK206" s="2">
        <v>46279</v>
      </c>
      <c r="BL206" s="57"/>
      <c r="BM206" s="1"/>
      <c r="BN206" s="57"/>
      <c r="BO206" s="1"/>
      <c r="BP206" s="1"/>
      <c r="BQ206" s="1"/>
      <c r="BR206" s="57"/>
      <c r="BS206" s="12"/>
    </row>
    <row r="207" spans="1:71" x14ac:dyDescent="0.35">
      <c r="A207" s="4">
        <v>46280</v>
      </c>
      <c r="B207" s="3" t="s">
        <v>33</v>
      </c>
      <c r="C207" s="3" t="s">
        <v>33</v>
      </c>
      <c r="D207" s="3" t="s">
        <v>32</v>
      </c>
      <c r="E207" s="3" t="s">
        <v>33</v>
      </c>
      <c r="F207" s="3" t="s">
        <v>32</v>
      </c>
      <c r="G207" s="3" t="s">
        <v>33</v>
      </c>
      <c r="H207" s="9"/>
      <c r="I207" s="2">
        <v>46280</v>
      </c>
      <c r="J207" s="1" t="s">
        <v>33</v>
      </c>
      <c r="K207" s="1" t="s">
        <v>33</v>
      </c>
      <c r="L207" s="1" t="s">
        <v>32</v>
      </c>
      <c r="M207" s="1" t="s">
        <v>33</v>
      </c>
      <c r="N207" s="1" t="s">
        <v>32</v>
      </c>
      <c r="O207" s="1" t="s">
        <v>32</v>
      </c>
      <c r="P207" s="57"/>
      <c r="Q207" s="84"/>
      <c r="S207" s="4">
        <v>46280</v>
      </c>
      <c r="T207" s="3" t="s">
        <v>33</v>
      </c>
      <c r="U207" s="3" t="s">
        <v>33</v>
      </c>
      <c r="V207" s="3" t="s">
        <v>33</v>
      </c>
      <c r="W207" s="3" t="s">
        <v>33</v>
      </c>
      <c r="X207" s="6"/>
      <c r="Y207" s="3" t="s">
        <v>33</v>
      </c>
      <c r="Z207" s="6"/>
      <c r="AA207" s="2">
        <v>46280</v>
      </c>
      <c r="AB207" s="1" t="s">
        <v>33</v>
      </c>
      <c r="AC207" s="1" t="s">
        <v>33</v>
      </c>
      <c r="AD207" s="1" t="s">
        <v>33</v>
      </c>
      <c r="AE207" s="1" t="s">
        <v>33</v>
      </c>
      <c r="AF207" s="1" t="s">
        <v>33</v>
      </c>
      <c r="AG207" s="1" t="s">
        <v>33</v>
      </c>
      <c r="AH207" s="57"/>
      <c r="AI207" s="12"/>
      <c r="AK207" s="4">
        <v>46280</v>
      </c>
      <c r="AL207" s="6"/>
      <c r="AM207" s="3"/>
      <c r="AN207" s="3"/>
      <c r="AO207" s="3"/>
      <c r="AP207" s="3" t="s">
        <v>33</v>
      </c>
      <c r="AQ207" s="3" t="s">
        <v>33</v>
      </c>
      <c r="AR207" s="6"/>
      <c r="AS207" s="2">
        <v>46280</v>
      </c>
      <c r="AT207" s="13"/>
      <c r="AU207" s="13"/>
      <c r="AV207" s="13"/>
      <c r="AW207" s="13"/>
      <c r="AX207" s="13"/>
      <c r="AY207" s="13"/>
      <c r="AZ207" s="13"/>
      <c r="BA207" s="12"/>
      <c r="BC207" s="4">
        <v>46280</v>
      </c>
      <c r="BD207" s="6" t="s">
        <v>33</v>
      </c>
      <c r="BE207" s="6"/>
      <c r="BF207" s="6"/>
      <c r="BG207" s="3"/>
      <c r="BH207" s="3"/>
      <c r="BI207" s="3"/>
      <c r="BJ207" s="6"/>
      <c r="BK207" s="2">
        <v>46280</v>
      </c>
      <c r="BL207" s="57"/>
      <c r="BM207" s="1"/>
      <c r="BN207" s="57"/>
      <c r="BO207" s="1"/>
      <c r="BP207" s="1"/>
      <c r="BQ207" s="1"/>
      <c r="BR207" s="57"/>
      <c r="BS207" s="12"/>
    </row>
    <row r="208" spans="1:71" x14ac:dyDescent="0.35">
      <c r="A208" s="4">
        <v>46281</v>
      </c>
      <c r="B208" s="3" t="s">
        <v>33</v>
      </c>
      <c r="C208" s="3" t="s">
        <v>33</v>
      </c>
      <c r="D208" s="3" t="s">
        <v>32</v>
      </c>
      <c r="E208" s="3" t="s">
        <v>33</v>
      </c>
      <c r="F208" s="3" t="s">
        <v>32</v>
      </c>
      <c r="G208" s="3" t="s">
        <v>33</v>
      </c>
      <c r="H208" s="9"/>
      <c r="I208" s="2">
        <v>46281</v>
      </c>
      <c r="J208" s="1" t="s">
        <v>33</v>
      </c>
      <c r="K208" s="1" t="s">
        <v>33</v>
      </c>
      <c r="L208" s="1" t="s">
        <v>32</v>
      </c>
      <c r="M208" s="1" t="s">
        <v>33</v>
      </c>
      <c r="N208" s="1" t="s">
        <v>32</v>
      </c>
      <c r="O208" s="1" t="s">
        <v>32</v>
      </c>
      <c r="P208" s="57"/>
      <c r="Q208" s="84"/>
      <c r="S208" s="4">
        <v>46281</v>
      </c>
      <c r="T208" s="3" t="s">
        <v>33</v>
      </c>
      <c r="U208" s="3" t="s">
        <v>33</v>
      </c>
      <c r="V208" s="3" t="s">
        <v>33</v>
      </c>
      <c r="W208" s="3" t="s">
        <v>33</v>
      </c>
      <c r="X208" s="6"/>
      <c r="Y208" s="3" t="s">
        <v>33</v>
      </c>
      <c r="Z208" s="6"/>
      <c r="AA208" s="2">
        <v>46281</v>
      </c>
      <c r="AB208" s="1" t="s">
        <v>33</v>
      </c>
      <c r="AC208" s="1" t="s">
        <v>33</v>
      </c>
      <c r="AD208" s="1" t="s">
        <v>33</v>
      </c>
      <c r="AE208" s="1" t="s">
        <v>33</v>
      </c>
      <c r="AF208" s="1" t="s">
        <v>33</v>
      </c>
      <c r="AG208" s="1" t="s">
        <v>33</v>
      </c>
      <c r="AH208" s="57"/>
      <c r="AI208" s="12"/>
      <c r="AK208" s="4">
        <v>46281</v>
      </c>
      <c r="AL208" s="6"/>
      <c r="AM208" s="3"/>
      <c r="AN208" s="3"/>
      <c r="AO208" s="3"/>
      <c r="AP208" s="3" t="s">
        <v>33</v>
      </c>
      <c r="AQ208" s="3" t="s">
        <v>33</v>
      </c>
      <c r="AR208" s="6"/>
      <c r="AS208" s="2">
        <v>46281</v>
      </c>
      <c r="AT208" s="13"/>
      <c r="AU208" s="13"/>
      <c r="AV208" s="13"/>
      <c r="AW208" s="13"/>
      <c r="AX208" s="13"/>
      <c r="AY208" s="13"/>
      <c r="AZ208" s="13"/>
      <c r="BA208" s="12"/>
      <c r="BC208" s="4">
        <v>46281</v>
      </c>
      <c r="BD208" s="6" t="s">
        <v>33</v>
      </c>
      <c r="BE208" s="6"/>
      <c r="BF208" s="6"/>
      <c r="BG208" s="3"/>
      <c r="BH208" s="3"/>
      <c r="BI208" s="3"/>
      <c r="BJ208" s="6"/>
      <c r="BK208" s="2">
        <v>46281</v>
      </c>
      <c r="BL208" s="57"/>
      <c r="BM208" s="1"/>
      <c r="BN208" s="57"/>
      <c r="BO208" s="1"/>
      <c r="BP208" s="1"/>
      <c r="BQ208" s="1"/>
      <c r="BR208" s="57"/>
      <c r="BS208" s="12"/>
    </row>
    <row r="209" spans="1:71" x14ac:dyDescent="0.35">
      <c r="A209" s="4">
        <v>46282</v>
      </c>
      <c r="B209" s="3" t="s">
        <v>33</v>
      </c>
      <c r="C209" s="3" t="s">
        <v>33</v>
      </c>
      <c r="D209" s="3" t="s">
        <v>32</v>
      </c>
      <c r="E209" s="3" t="s">
        <v>33</v>
      </c>
      <c r="F209" s="3" t="s">
        <v>32</v>
      </c>
      <c r="G209" s="3" t="s">
        <v>33</v>
      </c>
      <c r="H209" s="9"/>
      <c r="I209" s="2">
        <v>46282</v>
      </c>
      <c r="J209" s="1" t="s">
        <v>33</v>
      </c>
      <c r="K209" s="1" t="s">
        <v>33</v>
      </c>
      <c r="L209" s="1" t="s">
        <v>32</v>
      </c>
      <c r="M209" s="1" t="s">
        <v>33</v>
      </c>
      <c r="N209" s="1" t="s">
        <v>32</v>
      </c>
      <c r="O209" s="1" t="s">
        <v>32</v>
      </c>
      <c r="P209" s="57"/>
      <c r="Q209" s="84"/>
      <c r="S209" s="4">
        <v>46282</v>
      </c>
      <c r="T209" s="3" t="s">
        <v>33</v>
      </c>
      <c r="U209" s="3" t="s">
        <v>33</v>
      </c>
      <c r="V209" s="3" t="s">
        <v>33</v>
      </c>
      <c r="W209" s="3" t="s">
        <v>33</v>
      </c>
      <c r="X209" s="6"/>
      <c r="Y209" s="3" t="s">
        <v>33</v>
      </c>
      <c r="Z209" s="6"/>
      <c r="AA209" s="2">
        <v>46282</v>
      </c>
      <c r="AB209" s="1" t="s">
        <v>33</v>
      </c>
      <c r="AC209" s="1" t="s">
        <v>33</v>
      </c>
      <c r="AD209" s="1" t="s">
        <v>33</v>
      </c>
      <c r="AE209" s="1" t="s">
        <v>33</v>
      </c>
      <c r="AF209" s="1" t="s">
        <v>33</v>
      </c>
      <c r="AG209" s="1" t="s">
        <v>33</v>
      </c>
      <c r="AH209" s="57"/>
      <c r="AI209" s="12"/>
      <c r="AK209" s="4">
        <v>46282</v>
      </c>
      <c r="AL209" s="6"/>
      <c r="AM209" s="3"/>
      <c r="AN209" s="3"/>
      <c r="AO209" s="3"/>
      <c r="AP209" s="3" t="s">
        <v>33</v>
      </c>
      <c r="AQ209" s="3" t="s">
        <v>33</v>
      </c>
      <c r="AR209" s="6"/>
      <c r="AS209" s="2">
        <v>46282</v>
      </c>
      <c r="AT209" s="13"/>
      <c r="AU209" s="13"/>
      <c r="AV209" s="13"/>
      <c r="AW209" s="13"/>
      <c r="AX209" s="13"/>
      <c r="AY209" s="13"/>
      <c r="AZ209" s="13"/>
      <c r="BA209" s="12"/>
      <c r="BC209" s="4">
        <v>46282</v>
      </c>
      <c r="BD209" s="6" t="s">
        <v>33</v>
      </c>
      <c r="BE209" s="6"/>
      <c r="BF209" s="6"/>
      <c r="BG209" s="3"/>
      <c r="BH209" s="3"/>
      <c r="BI209" s="3"/>
      <c r="BJ209" s="6"/>
      <c r="BK209" s="2">
        <v>46282</v>
      </c>
      <c r="BL209" s="57"/>
      <c r="BM209" s="1"/>
      <c r="BN209" s="57"/>
      <c r="BO209" s="1"/>
      <c r="BP209" s="1"/>
      <c r="BQ209" s="1"/>
      <c r="BR209" s="57"/>
      <c r="BS209" s="12"/>
    </row>
    <row r="210" spans="1:71" x14ac:dyDescent="0.35">
      <c r="A210" s="4">
        <v>46283</v>
      </c>
      <c r="B210" s="3" t="s">
        <v>33</v>
      </c>
      <c r="C210" s="3" t="s">
        <v>33</v>
      </c>
      <c r="D210" s="3" t="s">
        <v>32</v>
      </c>
      <c r="E210" s="3" t="s">
        <v>33</v>
      </c>
      <c r="F210" s="3" t="s">
        <v>32</v>
      </c>
      <c r="G210" s="3" t="s">
        <v>33</v>
      </c>
      <c r="H210" s="9"/>
      <c r="I210" s="2">
        <v>46283</v>
      </c>
      <c r="J210" s="1" t="s">
        <v>33</v>
      </c>
      <c r="K210" s="1" t="s">
        <v>33</v>
      </c>
      <c r="L210" s="1" t="s">
        <v>32</v>
      </c>
      <c r="M210" s="1" t="s">
        <v>33</v>
      </c>
      <c r="N210" s="1" t="s">
        <v>32</v>
      </c>
      <c r="O210" s="1" t="s">
        <v>32</v>
      </c>
      <c r="P210" s="57"/>
      <c r="Q210" s="84"/>
      <c r="S210" s="4">
        <v>46283</v>
      </c>
      <c r="T210" s="3" t="s">
        <v>33</v>
      </c>
      <c r="U210" s="3" t="s">
        <v>33</v>
      </c>
      <c r="V210" s="3" t="s">
        <v>33</v>
      </c>
      <c r="W210" s="3" t="s">
        <v>33</v>
      </c>
      <c r="X210" s="6"/>
      <c r="Y210" s="3" t="s">
        <v>33</v>
      </c>
      <c r="Z210" s="6"/>
      <c r="AA210" s="2">
        <v>46283</v>
      </c>
      <c r="AB210" s="1" t="s">
        <v>33</v>
      </c>
      <c r="AC210" s="1" t="s">
        <v>33</v>
      </c>
      <c r="AD210" s="1" t="s">
        <v>33</v>
      </c>
      <c r="AE210" s="1" t="s">
        <v>33</v>
      </c>
      <c r="AF210" s="1" t="s">
        <v>33</v>
      </c>
      <c r="AG210" s="1" t="s">
        <v>33</v>
      </c>
      <c r="AH210" s="57"/>
      <c r="AI210" s="12"/>
      <c r="AK210" s="4">
        <v>46283</v>
      </c>
      <c r="AL210" s="6"/>
      <c r="AM210" s="3"/>
      <c r="AN210" s="3"/>
      <c r="AO210" s="3"/>
      <c r="AP210" s="3" t="s">
        <v>33</v>
      </c>
      <c r="AQ210" s="3" t="s">
        <v>33</v>
      </c>
      <c r="AR210" s="6"/>
      <c r="AS210" s="2">
        <v>46283</v>
      </c>
      <c r="AT210" s="13"/>
      <c r="AU210" s="13"/>
      <c r="AV210" s="13"/>
      <c r="AW210" s="13"/>
      <c r="AX210" s="13"/>
      <c r="AY210" s="13"/>
      <c r="AZ210" s="13"/>
      <c r="BA210" s="12"/>
      <c r="BC210" s="4">
        <v>46283</v>
      </c>
      <c r="BD210" s="6" t="s">
        <v>33</v>
      </c>
      <c r="BE210" s="6"/>
      <c r="BF210" s="6"/>
      <c r="BG210" s="3"/>
      <c r="BH210" s="3"/>
      <c r="BI210" s="3"/>
      <c r="BJ210" s="6"/>
      <c r="BK210" s="2">
        <v>46283</v>
      </c>
      <c r="BL210" s="57"/>
      <c r="BM210" s="1"/>
      <c r="BN210" s="57"/>
      <c r="BO210" s="1"/>
      <c r="BP210" s="1"/>
      <c r="BQ210" s="1"/>
      <c r="BR210" s="57"/>
      <c r="BS210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3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331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330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329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328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327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326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325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324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323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322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321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320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319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318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317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316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315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314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313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312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311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3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3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3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3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2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2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2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2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2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2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2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2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2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2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2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2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2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2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2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2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2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2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2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2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2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2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2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2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2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2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2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2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2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2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250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4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248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4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2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2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2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2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2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2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2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2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2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1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1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1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1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1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9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7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84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183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182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181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8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79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17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7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75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7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7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2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71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7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69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8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67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6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6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63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6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6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0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59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5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57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6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55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5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53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2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51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5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49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zoomScale="80" zoomScaleNormal="80" workbookViewId="0">
      <selection activeCell="B7" sqref="B7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8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147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4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45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655B-7755-4772-B63A-8C171FE7A23B}">
  <dimension ref="A1:K10"/>
  <sheetViews>
    <sheetView topLeftCell="B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3.6700000000000003E-2</v>
      </c>
      <c r="C3" s="54">
        <v>3.9E-2</v>
      </c>
      <c r="D3" s="54">
        <v>4.9399999999999999E-2</v>
      </c>
      <c r="E3" s="54">
        <v>0.04</v>
      </c>
      <c r="F3" s="54">
        <v>4.4900000000000002E-2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4.0028505644548663E-2</v>
      </c>
      <c r="D5" s="55">
        <v>5.7299999999999997E-2</v>
      </c>
      <c r="E5" s="55">
        <f t="shared" si="2"/>
        <v>4.0129589479445525E-2</v>
      </c>
      <c r="F5" s="55">
        <f t="shared" si="2"/>
        <v>4.0195697060078257E-2</v>
      </c>
      <c r="G5" s="55">
        <f t="shared" si="2"/>
        <v>4.0394892218424641E-2</v>
      </c>
      <c r="H5" s="56">
        <v>0.04</v>
      </c>
      <c r="I5" s="73">
        <f t="shared" si="1"/>
        <v>4.080849313239665E-2</v>
      </c>
      <c r="J5" s="74"/>
      <c r="K5" s="67">
        <f>H5-'Daily Data'!BJ153</f>
        <v>2.5300000000000003E-2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2.86E-2</v>
      </c>
      <c r="C7" s="55">
        <f t="shared" ref="C7:G7" si="4">((1+$I7)^(C2/365)-1)*365/C2</f>
        <v>2.7313276259254522E-2</v>
      </c>
      <c r="D7" s="55">
        <v>0.03</v>
      </c>
      <c r="E7" s="55">
        <f t="shared" si="4"/>
        <v>2.7360322962594403E-2</v>
      </c>
      <c r="F7" s="55">
        <f t="shared" si="4"/>
        <v>2.7391063801394545E-2</v>
      </c>
      <c r="G7" s="55">
        <f t="shared" si="4"/>
        <v>2.7483562888867545E-2</v>
      </c>
      <c r="H7" s="56">
        <v>2.7300000000000001E-2</v>
      </c>
      <c r="I7" s="73">
        <f t="shared" si="1"/>
        <v>2.7675010192383942E-2</v>
      </c>
      <c r="J7" s="74"/>
      <c r="K7" s="67">
        <f>H7-1.06%</f>
        <v>1.67E-2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Data'!H153</f>
        <v>2.3E-2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4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4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41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5220-38E4-43AA-B328-6DA37675E6FE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4.0929803123583457E-2</v>
      </c>
      <c r="D5" s="55">
        <v>6.0400000000000002E-2</v>
      </c>
      <c r="E5" s="55">
        <f t="shared" si="2"/>
        <v>4.1035493076274597E-2</v>
      </c>
      <c r="F5" s="55">
        <f t="shared" si="2"/>
        <v>4.1104617321895423E-2</v>
      </c>
      <c r="G5" s="55">
        <f t="shared" si="2"/>
        <v>4.1312922884725982E-2</v>
      </c>
      <c r="H5" s="56">
        <v>4.0899999999999999E-2</v>
      </c>
      <c r="I5" s="73">
        <f t="shared" si="1"/>
        <v>4.1745538538283444E-2</v>
      </c>
      <c r="J5" s="74"/>
      <c r="K5" s="67">
        <f>H5-'Daily Data'!BJ153</f>
        <v>2.6200000000000001E-2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4.1013819025260211E-2</v>
      </c>
      <c r="C9" s="55">
        <f t="shared" ref="C9:G9" si="6">((1+$I9)^(C2/365)-1)*365/C2</f>
        <v>4.1029949071097707E-2</v>
      </c>
      <c r="D9" s="55">
        <f t="shared" si="6"/>
        <v>4.1066849516847803E-2</v>
      </c>
      <c r="E9" s="55">
        <f t="shared" si="6"/>
        <v>4.113615716599487E-2</v>
      </c>
      <c r="F9" s="55">
        <f t="shared" si="6"/>
        <v>4.1205620773869758E-2</v>
      </c>
      <c r="G9" s="55">
        <f t="shared" si="6"/>
        <v>4.1414951303325058E-2</v>
      </c>
      <c r="H9" s="52">
        <v>4.1000000000000002E-2</v>
      </c>
      <c r="I9" s="73">
        <f t="shared" si="1"/>
        <v>4.1849706613630966E-2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39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3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3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509B4-A0CA-4672-9A69-393223917BD2}">
  <dimension ref="A1:K10"/>
  <sheetViews>
    <sheetView zoomScale="60" zoomScaleNormal="6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4.1414090005873164E-2</v>
      </c>
      <c r="C9" s="55">
        <f t="shared" ref="C9:G9" si="6">((1+$I9)^(C2/365)-1)*365/C2</f>
        <v>4.1430536427735247E-2</v>
      </c>
      <c r="D9" s="55">
        <f t="shared" si="6"/>
        <v>4.1468160958033663E-2</v>
      </c>
      <c r="E9" s="55">
        <f t="shared" si="6"/>
        <v>4.1538829795291013E-2</v>
      </c>
      <c r="F9" s="55">
        <f t="shared" si="6"/>
        <v>4.1609659208258577E-2</v>
      </c>
      <c r="G9" s="55">
        <f t="shared" si="6"/>
        <v>4.1823115011749498E-2</v>
      </c>
      <c r="H9" s="52">
        <v>4.1399999999999999E-2</v>
      </c>
      <c r="I9" s="73">
        <f t="shared" si="1"/>
        <v>4.2266482801674554E-2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35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3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3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FFC0-2C48-4D25-9817-3CA93E501EC9}">
  <dimension ref="A1:K10"/>
  <sheetViews>
    <sheetView zoomScale="70" zoomScaleNormal="70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4.0913751691330012E-2</v>
      </c>
      <c r="C8" s="51">
        <f t="shared" ref="C8:G8" si="5">((1+$I8)^(C2/365)-1)*365/C2</f>
        <v>4.0929803123583457E-2</v>
      </c>
      <c r="D8" s="51">
        <f t="shared" si="5"/>
        <v>4.0966523649155873E-2</v>
      </c>
      <c r="E8" s="51">
        <f t="shared" si="5"/>
        <v>4.1035493076274597E-2</v>
      </c>
      <c r="F8" s="51">
        <f t="shared" si="5"/>
        <v>4.1104617321895423E-2</v>
      </c>
      <c r="G8" s="51">
        <f t="shared" si="5"/>
        <v>4.1312922884725982E-2</v>
      </c>
      <c r="H8" s="52">
        <v>4.0899999999999999E-2</v>
      </c>
      <c r="I8" s="73">
        <f t="shared" si="1"/>
        <v>4.1745538538283444E-2</v>
      </c>
      <c r="J8" s="74"/>
      <c r="K8" s="67">
        <f>H8-'Daily Data'!H153</f>
        <v>2.5099999999999997E-2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2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31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3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29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88C16-F34E-4CFA-90A1-37E6F6AF1694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4.2131578032795769E-2</v>
      </c>
      <c r="D5" s="55">
        <v>6.0400000000000002E-2</v>
      </c>
      <c r="E5" s="55">
        <f t="shared" si="2"/>
        <v>4.2243569541063529E-2</v>
      </c>
      <c r="F5" s="55">
        <f t="shared" si="2"/>
        <v>4.2316821288990662E-2</v>
      </c>
      <c r="G5" s="55">
        <f t="shared" si="2"/>
        <v>4.2537594169484265E-2</v>
      </c>
      <c r="H5" s="56">
        <v>4.2099999999999999E-2</v>
      </c>
      <c r="I5" s="73">
        <f t="shared" si="1"/>
        <v>4.2996241252897249E-2</v>
      </c>
      <c r="J5" s="74"/>
      <c r="K5" s="67">
        <f>H5-'Daily Data'!BJ153</f>
        <v>2.7400000000000001E-2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4.1013819025260211E-2</v>
      </c>
      <c r="C8" s="51">
        <f t="shared" ref="C8:G8" si="5">((1+$I8)^(C2/365)-1)*365/C2</f>
        <v>4.1029949071097707E-2</v>
      </c>
      <c r="D8" s="51">
        <f t="shared" si="5"/>
        <v>4.1066849516847803E-2</v>
      </c>
      <c r="E8" s="51">
        <f t="shared" si="5"/>
        <v>4.113615716599487E-2</v>
      </c>
      <c r="F8" s="51">
        <f t="shared" si="5"/>
        <v>4.1205620773869758E-2</v>
      </c>
      <c r="G8" s="51">
        <f t="shared" si="5"/>
        <v>4.1414951303325058E-2</v>
      </c>
      <c r="H8" s="52">
        <v>4.1000000000000002E-2</v>
      </c>
      <c r="I8" s="73">
        <f t="shared" si="1"/>
        <v>4.1849706613630966E-2</v>
      </c>
      <c r="J8" s="74"/>
      <c r="K8" s="67">
        <f>H8-'Daily Data'!H153</f>
        <v>2.52E-2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8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27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12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25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8DAE-9AC8-46DA-9A70-1481A85364FA}">
  <dimension ref="A1:K10"/>
  <sheetViews>
    <sheetView zoomScale="80" zoomScaleNormal="80" workbookViewId="0">
      <selection activeCell="B5" sqref="B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3.78E-2</v>
      </c>
      <c r="D3" s="54">
        <v>0.04</v>
      </c>
      <c r="E3" s="54">
        <v>0.05</v>
      </c>
      <c r="F3" s="54">
        <v>4.4699999999999997E-2</v>
      </c>
      <c r="G3" s="54">
        <v>4.9599999999999998E-2</v>
      </c>
      <c r="H3" s="52">
        <v>4.4600000000000001E-2</v>
      </c>
      <c r="I3" s="73">
        <f>(1+H3/365)^365-1</f>
        <v>4.5606683514678892E-2</v>
      </c>
      <c r="J3" s="74"/>
      <c r="K3" s="67">
        <f>H3-'Daily Data'!AR153</f>
        <v>2.8199999999999999E-2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4.3433558808068172E-2</v>
      </c>
      <c r="D5" s="55">
        <v>6.2E-2</v>
      </c>
      <c r="E5" s="55">
        <f t="shared" si="2"/>
        <v>4.3552583480272515E-2</v>
      </c>
      <c r="F5" s="55">
        <f t="shared" si="2"/>
        <v>4.3630442531530762E-2</v>
      </c>
      <c r="G5" s="55">
        <f t="shared" si="2"/>
        <v>4.3865134855359665E-2</v>
      </c>
      <c r="H5" s="56">
        <v>4.3400000000000001E-2</v>
      </c>
      <c r="I5" s="73">
        <f t="shared" si="1"/>
        <v>4.4352859085561747E-2</v>
      </c>
      <c r="J5" s="74"/>
      <c r="K5" s="67">
        <f>H5-'Daily Data'!BJ153</f>
        <v>2.8700000000000003E-2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3.2899999999999999E-2</v>
      </c>
      <c r="C7" s="55">
        <f t="shared" ref="C7:G7" si="4">((1+$I7)^(C2/365)-1)*365/C2</f>
        <v>3.1417564235164716E-2</v>
      </c>
      <c r="D7" s="55">
        <v>3.4500000000000003E-2</v>
      </c>
      <c r="E7" s="55">
        <f t="shared" si="4"/>
        <v>3.1479819876150263E-2</v>
      </c>
      <c r="F7" s="55">
        <f t="shared" si="4"/>
        <v>3.1520509987099911E-2</v>
      </c>
      <c r="G7" s="55">
        <f t="shared" si="4"/>
        <v>3.1643001534340846E-2</v>
      </c>
      <c r="H7" s="56">
        <v>3.1399999999999997E-2</v>
      </c>
      <c r="I7" s="73">
        <f t="shared" si="1"/>
        <v>3.1896786986022718E-2</v>
      </c>
      <c r="J7" s="74"/>
      <c r="K7" s="67">
        <f>H7-1.06%</f>
        <v>2.0799999999999999E-2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2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2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2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20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3A13C-188A-44B0-B0C2-ACAEFAFF55CB}">
  <dimension ref="A1:K10"/>
  <sheetViews>
    <sheetView zoomScale="70" zoomScaleNormal="70" workbookViewId="0">
      <selection activeCell="B6" sqref="B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3.78E-2</v>
      </c>
      <c r="D3" s="54">
        <v>3.0099999999999998E-2</v>
      </c>
      <c r="E3" s="54">
        <v>4.8899999999999999E-2</v>
      </c>
      <c r="F3" s="54">
        <v>4.4699999999999997E-2</v>
      </c>
      <c r="G3" s="54">
        <v>4.9599999999999998E-2</v>
      </c>
      <c r="H3" s="52">
        <v>4.5100000000000001E-2</v>
      </c>
      <c r="I3" s="73">
        <f>(1+H3/365)^365-1</f>
        <v>4.6129553314463001E-2</v>
      </c>
      <c r="J3" s="74"/>
      <c r="K3" s="67">
        <f>H3-'Daily Data'!AR153</f>
        <v>2.87E-2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4.2331878844136646E-2</v>
      </c>
      <c r="D5" s="55">
        <v>6.2E-2</v>
      </c>
      <c r="E5" s="55">
        <f t="shared" si="2"/>
        <v>4.2444938399335733E-2</v>
      </c>
      <c r="F5" s="55">
        <f t="shared" si="2"/>
        <v>4.2518889765945693E-2</v>
      </c>
      <c r="G5" s="55">
        <f t="shared" si="2"/>
        <v>4.274177612049835E-2</v>
      </c>
      <c r="H5" s="56">
        <v>4.2299999999999997E-2</v>
      </c>
      <c r="I5" s="73">
        <f t="shared" si="1"/>
        <v>4.3204837242908356E-2</v>
      </c>
      <c r="J5" s="74"/>
      <c r="K5" s="67">
        <f>H5-'Daily Data'!BJ153</f>
        <v>2.76E-2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3.3419873410345406E-2</v>
      </c>
      <c r="D7" s="55">
        <v>3.6700000000000003E-2</v>
      </c>
      <c r="E7" s="55">
        <f t="shared" si="4"/>
        <v>3.3490321414801537E-2</v>
      </c>
      <c r="F7" s="55">
        <f t="shared" si="4"/>
        <v>3.3536372426970877E-2</v>
      </c>
      <c r="G7" s="55">
        <f t="shared" si="4"/>
        <v>3.3675032625327374E-2</v>
      </c>
      <c r="H7" s="56">
        <v>3.3399999999999999E-2</v>
      </c>
      <c r="I7" s="73">
        <f t="shared" si="1"/>
        <v>3.3962462182619113E-2</v>
      </c>
      <c r="J7" s="74"/>
      <c r="K7" s="67">
        <f>H7-1.06%</f>
        <v>2.2800000000000001E-2</v>
      </c>
    </row>
    <row r="8" spans="1:11" ht="23.15" customHeight="1" x14ac:dyDescent="0.4">
      <c r="A8" s="50" t="s">
        <v>57</v>
      </c>
      <c r="B8" s="51">
        <f>((1+$I8)^(B2/365)-1)*365/B2</f>
        <v>4.1213954186646147E-2</v>
      </c>
      <c r="C8" s="51">
        <f t="shared" ref="C8:G8" si="5">((1+$I8)^(C2/365)-1)*365/C2</f>
        <v>4.1230242036151318E-2</v>
      </c>
      <c r="D8" s="51">
        <f t="shared" si="5"/>
        <v>4.1267503643402224E-2</v>
      </c>
      <c r="E8" s="51">
        <f t="shared" si="5"/>
        <v>4.1337490226565209E-2</v>
      </c>
      <c r="F8" s="51">
        <f t="shared" si="5"/>
        <v>4.1407635065704738E-2</v>
      </c>
      <c r="G8" s="51">
        <f t="shared" si="5"/>
        <v>4.1619023150302505E-2</v>
      </c>
      <c r="H8" s="52">
        <v>4.1200000000000001E-2</v>
      </c>
      <c r="I8" s="73">
        <f t="shared" si="1"/>
        <v>4.2058073928315842E-2</v>
      </c>
      <c r="J8" s="74"/>
      <c r="K8" s="67">
        <f>H8-'Daily Data'!H153</f>
        <v>2.5399999999999999E-2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9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18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1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6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115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48A9-A2A6-4DFD-BFF6-EEB5632BDA6C}">
  <dimension ref="A1:K10"/>
  <sheetViews>
    <sheetView zoomScale="50" zoomScaleNormal="50" workbookViewId="0">
      <selection activeCell="B8" sqref="B8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3.6900000000000002E-2</v>
      </c>
      <c r="D3" s="54">
        <v>3.9899999999999998E-2</v>
      </c>
      <c r="E3" s="54">
        <v>4.8899999999999999E-2</v>
      </c>
      <c r="F3" s="54">
        <v>3.95E-2</v>
      </c>
      <c r="G3" s="54">
        <v>5.1900000000000002E-2</v>
      </c>
      <c r="H3" s="52">
        <v>4.5400000000000003E-2</v>
      </c>
      <c r="I3" s="73">
        <f>(1+H3/365)^365-1</f>
        <v>4.6443400346764196E-2</v>
      </c>
      <c r="J3" s="74"/>
      <c r="K3" s="67">
        <f>H3-'Daily Data'!AR153</f>
        <v>2.9000000000000001E-2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4.2432029784837004E-2</v>
      </c>
      <c r="D5" s="55">
        <v>6.2E-2</v>
      </c>
      <c r="E5" s="55">
        <f t="shared" si="2"/>
        <v>4.2545625269509495E-2</v>
      </c>
      <c r="F5" s="55">
        <f t="shared" si="2"/>
        <v>4.2619927699459124E-2</v>
      </c>
      <c r="G5" s="55">
        <f t="shared" si="2"/>
        <v>4.2843874605403696E-2</v>
      </c>
      <c r="H5" s="56">
        <v>4.24E-2</v>
      </c>
      <c r="I5" s="73">
        <f t="shared" si="1"/>
        <v>4.3309150839025312E-2</v>
      </c>
      <c r="J5" s="74"/>
      <c r="K5" s="67">
        <f>H5-'Daily Data'!BJ153</f>
        <v>2.7700000000000002E-2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3.4220837014135107E-2</v>
      </c>
      <c r="D7" s="55">
        <v>3.6700000000000003E-2</v>
      </c>
      <c r="E7" s="55">
        <f t="shared" si="4"/>
        <v>3.4294704023164348E-2</v>
      </c>
      <c r="F7" s="55">
        <f t="shared" si="4"/>
        <v>3.4342992680180727E-2</v>
      </c>
      <c r="G7" s="55">
        <f t="shared" si="4"/>
        <v>3.4488403232455951E-2</v>
      </c>
      <c r="H7" s="56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4.1314022013974529E-2</v>
      </c>
      <c r="C8" s="51">
        <f t="shared" ref="C8:G8" si="5">((1+$I8)^(C2/365)-1)*365/C2</f>
        <v>4.133038905357489E-2</v>
      </c>
      <c r="D8" s="51">
        <f t="shared" si="5"/>
        <v>4.1367831902151243E-2</v>
      </c>
      <c r="E8" s="51">
        <f t="shared" si="5"/>
        <v>4.1438159197340965E-2</v>
      </c>
      <c r="F8" s="51">
        <f t="shared" si="5"/>
        <v>4.1508645905557265E-2</v>
      </c>
      <c r="G8" s="51">
        <f t="shared" si="5"/>
        <v>4.1721066579039283E-2</v>
      </c>
      <c r="H8" s="52">
        <v>4.1300000000000003E-2</v>
      </c>
      <c r="I8" s="73">
        <f t="shared" si="1"/>
        <v>4.2162273169587428E-2</v>
      </c>
      <c r="J8" s="74"/>
      <c r="K8" s="67">
        <f>H8-'Daily Data'!H153</f>
        <v>2.5500000000000002E-2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4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13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11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1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110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C469-C3B9-42DD-AAB2-DC079AC8FF27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4.2200000000000001E-2</v>
      </c>
      <c r="I3" s="73">
        <f>(1+H3/365)^365-1</f>
        <v>4.3100534047914474E-2</v>
      </c>
      <c r="J3" s="74"/>
      <c r="K3" s="67">
        <f>H3-'Daily Data'!AR153</f>
        <v>2.58E-2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4.1931278648089418E-2</v>
      </c>
      <c r="D5" s="55">
        <v>6.2E-2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2.8013965928817948E-2</v>
      </c>
      <c r="D7" s="55">
        <v>3.6700000000000003E-2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9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108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10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06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105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52BD-F9B5-468D-9EEF-E57F7A8829C5}">
  <dimension ref="A1:K10"/>
  <sheetViews>
    <sheetView zoomScale="80" zoomScaleNormal="80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4.1029949071097707E-2</v>
      </c>
      <c r="D5" s="55">
        <v>5.8599999999999999E-2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03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10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01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100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0393-FD25-4F73-AC47-54EA4F209744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4.133038905357489E-2</v>
      </c>
      <c r="D5" s="55">
        <v>5.8599999999999999E-2</v>
      </c>
      <c r="E5" s="55">
        <f t="shared" si="2"/>
        <v>4.1438159197340965E-2</v>
      </c>
      <c r="F5" s="55">
        <f t="shared" si="2"/>
        <v>4.1508645905557265E-2</v>
      </c>
      <c r="G5" s="55">
        <f t="shared" si="2"/>
        <v>4.1721066579039283E-2</v>
      </c>
      <c r="H5" s="56">
        <v>4.1300000000000003E-2</v>
      </c>
      <c r="I5" s="73">
        <f t="shared" si="1"/>
        <v>4.2162273169587428E-2</v>
      </c>
      <c r="J5" s="74"/>
      <c r="K5" s="67">
        <f>H5-'Daily Data'!BJ153</f>
        <v>2.6600000000000006E-2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9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98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9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6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9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F8895-B338-4F75-BB2B-7470688414E0}">
  <dimension ref="A1:K10"/>
  <sheetViews>
    <sheetView zoomScale="80" zoomScaleNormal="80" workbookViewId="0">
      <selection activeCell="B5" sqref="B5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4.0829657532690203E-2</v>
      </c>
      <c r="D5" s="55">
        <v>5.8599999999999999E-2</v>
      </c>
      <c r="E5" s="55">
        <f t="shared" si="2"/>
        <v>4.093483061350843E-2</v>
      </c>
      <c r="F5" s="55">
        <f t="shared" si="2"/>
        <v>4.1003616332415969E-2</v>
      </c>
      <c r="G5" s="55">
        <f t="shared" si="2"/>
        <v>4.1210899469005316E-2</v>
      </c>
      <c r="H5" s="56">
        <v>4.0800000000000003E-2</v>
      </c>
      <c r="I5" s="73">
        <f t="shared" si="1"/>
        <v>4.1641380849498866E-2</v>
      </c>
      <c r="J5" s="74"/>
      <c r="K5" s="67">
        <f>H5-'Daily Data'!BJ153</f>
        <v>2.6100000000000005E-2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4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93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9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1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90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53A49-C304-480A-8C9E-EB7BED0E960E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3.9800000000000002E-2</v>
      </c>
      <c r="D3" s="54">
        <v>0.04</v>
      </c>
      <c r="E3" s="54">
        <v>4.7E-2</v>
      </c>
      <c r="F3" s="54">
        <v>4.48E-2</v>
      </c>
      <c r="G3" s="54">
        <v>0.05</v>
      </c>
      <c r="H3" s="52">
        <v>4.3099999999999999E-2</v>
      </c>
      <c r="I3" s="73">
        <f>(1+H3/365)^365-1</f>
        <v>4.4039637328060488E-2</v>
      </c>
      <c r="J3" s="74"/>
      <c r="K3" s="67">
        <f>H3-'Daily Data'!AR153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4.9599999999999998E-2</v>
      </c>
      <c r="C5" s="55">
        <f t="shared" ref="C5:G5" si="2">((1+$I5)^(C2/365)-1)*365/C2</f>
        <v>4.1530684158452923E-2</v>
      </c>
      <c r="D5" s="55">
        <v>5.9499999999999997E-2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2.8013965928817948E-2</v>
      </c>
      <c r="D7" s="55">
        <v>3.0700000000000002E-2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4.001315308710459E-2</v>
      </c>
      <c r="C8" s="51">
        <f t="shared" ref="C8:G8" si="5">((1+$I8)^(C2/365)-1)*365/C2</f>
        <v>4.0028505644548663E-2</v>
      </c>
      <c r="D8" s="51">
        <f t="shared" si="5"/>
        <v>4.0063626704731292E-2</v>
      </c>
      <c r="E8" s="51">
        <f t="shared" si="5"/>
        <v>4.0129589479445525E-2</v>
      </c>
      <c r="F8" s="51">
        <f t="shared" si="5"/>
        <v>4.0195697060078257E-2</v>
      </c>
      <c r="G8" s="51">
        <f t="shared" si="5"/>
        <v>4.0394892218424641E-2</v>
      </c>
      <c r="H8" s="52">
        <v>0.04</v>
      </c>
      <c r="I8" s="73">
        <f t="shared" si="1"/>
        <v>4.080849313239665E-2</v>
      </c>
      <c r="J8" s="74"/>
      <c r="K8" s="67">
        <f>H8-'Daily Data'!H153</f>
        <v>2.4199999999999999E-2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9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88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8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6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8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49641-FE96-4482-A43B-0B5840E848D9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3.9899999999999998E-2</v>
      </c>
      <c r="D3" s="54">
        <v>4.5999999999999999E-2</v>
      </c>
      <c r="E3" s="54">
        <v>0.05</v>
      </c>
      <c r="F3" s="54">
        <v>4.4999999999999998E-2</v>
      </c>
      <c r="G3" s="54">
        <v>5.0299999999999997E-2</v>
      </c>
      <c r="H3" s="52">
        <v>4.2900000000000001E-2</v>
      </c>
      <c r="I3" s="73">
        <f>(1+H3/365)^365-1</f>
        <v>4.3830874871463754E-2</v>
      </c>
      <c r="J3" s="74"/>
      <c r="K3" s="67">
        <f>H3-'Daily Data'!AR153</f>
        <v>2.6499999999999999E-2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4.9099999999999998E-2</v>
      </c>
      <c r="C5" s="55">
        <f t="shared" ref="C5:G5" si="2">((1+$I5)^(C2/365)-1)*365/C2</f>
        <v>4.1029949071097707E-2</v>
      </c>
      <c r="D5" s="55">
        <v>5.8900000000000001E-2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8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8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08A1-E5B6-466A-93BE-FDBE38A48AB3}">
  <dimension ref="A1:K10"/>
  <sheetViews>
    <sheetView zoomScale="80" zoomScaleNormal="80" workbookViewId="0">
      <selection activeCell="H9" sqref="B9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0.05</v>
      </c>
      <c r="C3" s="54">
        <v>4.4999999999999998E-2</v>
      </c>
      <c r="D3" s="54">
        <v>4.3400000000000001E-2</v>
      </c>
      <c r="E3" s="54">
        <v>4.99E-2</v>
      </c>
      <c r="F3" s="54">
        <v>4.53E-2</v>
      </c>
      <c r="G3" s="54">
        <v>5.04E-2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5.5199999999999999E-2</v>
      </c>
      <c r="C5" s="55">
        <f t="shared" ref="C5:G5" si="2">((1+$I5)^(C2/365)-1)*365/C2</f>
        <v>4.6137865332208414E-2</v>
      </c>
      <c r="D5" s="55">
        <v>6.6199999999999995E-2</v>
      </c>
      <c r="E5" s="55">
        <f t="shared" si="2"/>
        <v>4.6272183720636809E-2</v>
      </c>
      <c r="F5" s="55">
        <f t="shared" si="2"/>
        <v>4.636006351548938E-2</v>
      </c>
      <c r="G5" s="55">
        <f t="shared" si="2"/>
        <v>4.6625040219632347E-2</v>
      </c>
      <c r="H5" s="56">
        <v>4.6100000000000002E-2</v>
      </c>
      <c r="I5" s="73">
        <f t="shared" si="1"/>
        <v>4.7176075298026587E-2</v>
      </c>
      <c r="J5" s="74"/>
      <c r="K5" s="67">
        <f>H5-'Daily Data'!BJ153</f>
        <v>3.1400000000000004E-2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3.1399999999999997E-2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4.6317623095367529E-2</v>
      </c>
      <c r="C8" s="51">
        <f t="shared" ref="C8:G8" si="5">((1+$I8)^(C2/365)-1)*365/C2</f>
        <v>4.6338194678196477E-2</v>
      </c>
      <c r="D8" s="51">
        <f t="shared" si="5"/>
        <v>4.6385261197639339E-2</v>
      </c>
      <c r="E8" s="51">
        <f t="shared" si="5"/>
        <v>4.6473682805437289E-2</v>
      </c>
      <c r="F8" s="51">
        <f t="shared" si="5"/>
        <v>4.6562329150732995E-2</v>
      </c>
      <c r="G8" s="51">
        <f t="shared" si="5"/>
        <v>4.6829623047492733E-2</v>
      </c>
      <c r="H8" s="52">
        <v>4.6300000000000001E-2</v>
      </c>
      <c r="I8" s="73">
        <f t="shared" si="1"/>
        <v>4.7385504946772405E-2</v>
      </c>
      <c r="J8" s="74"/>
      <c r="K8" s="67">
        <f>H8-'Daily Data'!H153</f>
        <v>3.0499999999999999E-2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78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7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6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75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CB116-E6BA-47B3-A663-C46A23C1DAA0}">
  <dimension ref="A1:K10"/>
  <sheetViews>
    <sheetView zoomScale="60" zoomScaleNormal="60" workbookViewId="0">
      <selection activeCell="H7" sqref="B7: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3.4609841225906601E-2</v>
      </c>
      <c r="C4" s="55">
        <f t="shared" ref="C4:G4" si="0">((1+$I4)^(C2/365)-1)*365/C2</f>
        <v>3.4621327373535973E-2</v>
      </c>
      <c r="D4" s="55">
        <f t="shared" si="0"/>
        <v>3.464760051509911E-2</v>
      </c>
      <c r="E4" s="55">
        <f t="shared" si="0"/>
        <v>3.4696934332418397E-2</v>
      </c>
      <c r="F4" s="55">
        <f t="shared" si="0"/>
        <v>3.4746361809923854E-2</v>
      </c>
      <c r="G4" s="55">
        <f t="shared" si="0"/>
        <v>3.4895208206242749E-2</v>
      </c>
      <c r="H4" s="56">
        <v>3.4599999999999999E-2</v>
      </c>
      <c r="I4" s="73">
        <f t="shared" ref="I4:I9" si="1">(1+H4/365)^365-1</f>
        <v>3.5203846182888965E-2</v>
      </c>
      <c r="J4" s="74"/>
      <c r="K4" s="67">
        <f>H4-'Daily Data'!Z153</f>
        <v>1.5299999999999998E-2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4.9443482001640948E-2</v>
      </c>
      <c r="D5" s="55">
        <v>6.0499999999999998E-2</v>
      </c>
      <c r="E5" s="55">
        <f t="shared" si="2"/>
        <v>4.9597751660351963E-2</v>
      </c>
      <c r="F5" s="55">
        <f t="shared" si="2"/>
        <v>4.9698708008895191E-2</v>
      </c>
      <c r="G5" s="55">
        <f t="shared" si="2"/>
        <v>5.0003223819850513E-2</v>
      </c>
      <c r="H5" s="56">
        <v>4.9399999999999999E-2</v>
      </c>
      <c r="I5" s="73">
        <f t="shared" si="1"/>
        <v>5.0637010983829667E-2</v>
      </c>
      <c r="J5" s="74"/>
      <c r="K5" s="67">
        <f>H5-'Daily Data'!BJ153</f>
        <v>3.4700000000000002E-2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4.9620225073435824E-2</v>
      </c>
      <c r="C8" s="51">
        <f t="shared" ref="C8:G8" si="5">((1+$I8)^(C2/365)-1)*365/C2</f>
        <v>4.9643834891457801E-2</v>
      </c>
      <c r="D8" s="51">
        <f t="shared" si="5"/>
        <v>4.9697856452395404E-2</v>
      </c>
      <c r="E8" s="51">
        <f t="shared" si="5"/>
        <v>4.979935824428551E-2</v>
      </c>
      <c r="F8" s="51">
        <f t="shared" si="5"/>
        <v>4.9901136442830521E-2</v>
      </c>
      <c r="G8" s="51">
        <f t="shared" si="5"/>
        <v>5.0208137960153429E-2</v>
      </c>
      <c r="H8" s="52">
        <v>4.9599999999999998E-2</v>
      </c>
      <c r="I8" s="73">
        <f t="shared" si="1"/>
        <v>5.084713090162829E-2</v>
      </c>
      <c r="J8" s="74"/>
      <c r="K8" s="67">
        <f>H8-'Daily Data'!H153</f>
        <v>3.3799999999999997E-2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4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73" priority="19">
      <formula>_xlfn.ISFORMULA(A1)</formula>
    </cfRule>
    <cfRule type="expression" priority="20">
      <formula>_xlfn.ISFORMULA(A1)</formula>
    </cfRule>
  </conditionalFormatting>
  <conditionalFormatting sqref="B3:H9">
    <cfRule type="expression" dxfId="7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1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70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B0138-C5D4-4054-B783-732C7368636C}">
  <dimension ref="A1:K10"/>
  <sheetViews>
    <sheetView zoomScale="60" zoomScaleNormal="6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4.9944366901749478E-2</v>
      </c>
      <c r="D5" s="55">
        <v>6.0499999999999998E-2</v>
      </c>
      <c r="E5" s="55">
        <f t="shared" si="2"/>
        <v>5.0101780339424869E-2</v>
      </c>
      <c r="F5" s="55">
        <f t="shared" si="2"/>
        <v>5.0204797601506791E-2</v>
      </c>
      <c r="G5" s="55">
        <f t="shared" si="2"/>
        <v>5.0515546852463948E-2</v>
      </c>
      <c r="H5" s="56">
        <v>4.99E-2</v>
      </c>
      <c r="I5" s="73">
        <f t="shared" si="1"/>
        <v>5.11623893571449E-2</v>
      </c>
      <c r="J5" s="74"/>
      <c r="K5" s="67">
        <f>H5-'Daily Data'!BJ153</f>
        <v>3.5200000000000002E-2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5.3423443195175543E-2</v>
      </c>
      <c r="C8" s="51">
        <f t="shared" ref="C8:G8" si="5">((1+$I8)^(C2/365)-1)*365/C2</f>
        <v>5.3450810934871758E-2</v>
      </c>
      <c r="D8" s="51">
        <f t="shared" si="5"/>
        <v>5.3513435986629498E-2</v>
      </c>
      <c r="E8" s="51">
        <f t="shared" si="5"/>
        <v>5.3631121787907632E-2</v>
      </c>
      <c r="F8" s="51">
        <f t="shared" si="5"/>
        <v>5.3749152672560731E-2</v>
      </c>
      <c r="G8" s="51">
        <f t="shared" si="5"/>
        <v>5.4105327230329986E-2</v>
      </c>
      <c r="H8" s="52">
        <v>5.3400000000000003E-2</v>
      </c>
      <c r="I8" s="73">
        <f t="shared" si="1"/>
        <v>5.4847381242841609E-2</v>
      </c>
      <c r="J8" s="74"/>
      <c r="K8" s="67">
        <f>H8-'Daily Data'!H153</f>
        <v>3.7600000000000001E-2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9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68" priority="23">
      <formula>_xlfn.ISFORMULA(A1)</formula>
    </cfRule>
    <cfRule type="expression" priority="24">
      <formula>_xlfn.ISFORMULA(A1)</formula>
    </cfRule>
  </conditionalFormatting>
  <conditionalFormatting sqref="B3:H9">
    <cfRule type="expression" dxfId="6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6" priority="19">
      <formula>_xlfn.ISFORMULA(I3)</formula>
    </cfRule>
    <cfRule type="expression" priority="20">
      <formula>_xlfn.ISFORMULA(I3)</formula>
    </cfRule>
  </conditionalFormatting>
  <conditionalFormatting sqref="J3:J9 B10:F10">
    <cfRule type="expression" dxfId="65" priority="21">
      <formula>_xlfn.ISFORMULA(B3)</formula>
    </cfRule>
    <cfRule type="expression" priority="22">
      <formula>_xlfn.ISFORMULA(B3)</formula>
    </cfRule>
  </conditionalFormatting>
  <pageMargins left="0.7" right="0.7" top="0.75" bottom="0.75" header="0.3" footer="0.3"/>
  <legacyDrawing r:id="rId1"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DA857-5E45-4AA4-A731-8C265FE5945D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5.3123180496644294E-2</v>
      </c>
      <c r="C8" s="51">
        <f t="shared" ref="C8:G8" si="5">((1+$I8)^(C2/365)-1)*365/C2</f>
        <v>5.3150241463964444E-2</v>
      </c>
      <c r="D8" s="51">
        <f t="shared" si="5"/>
        <v>5.3212164144261331E-2</v>
      </c>
      <c r="E8" s="51">
        <f t="shared" si="5"/>
        <v>5.3328528572189969E-2</v>
      </c>
      <c r="F8" s="51">
        <f t="shared" si="5"/>
        <v>5.3445232287955967E-2</v>
      </c>
      <c r="G8" s="51">
        <f t="shared" si="5"/>
        <v>5.3797390311090577E-2</v>
      </c>
      <c r="H8" s="52">
        <v>5.3100000000000001E-2</v>
      </c>
      <c r="I8" s="73">
        <f t="shared" si="1"/>
        <v>5.4531020638925565E-2</v>
      </c>
      <c r="J8" s="74"/>
      <c r="K8" s="67">
        <f>H8-'Daily Data'!H153</f>
        <v>3.73E-2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4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63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6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1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60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F9225-58C2-49D0-A01C-BCE508F8645D}">
  <dimension ref="A1:K10"/>
  <sheetViews>
    <sheetView zoomScale="60" zoomScaleNormal="60" workbookViewId="0">
      <selection activeCell="B4" sqref="B4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5.3723707374283398E-2</v>
      </c>
      <c r="C8" s="51">
        <f t="shared" ref="C8:G8" si="5">((1+$I8)^(C2/365)-1)*365/C2</f>
        <v>5.3751383616936925E-2</v>
      </c>
      <c r="D8" s="51">
        <f t="shared" si="5"/>
        <v>5.3814715009084892E-2</v>
      </c>
      <c r="E8" s="51">
        <f t="shared" si="5"/>
        <v>5.3933729675586149E-2</v>
      </c>
      <c r="F8" s="51">
        <f t="shared" si="5"/>
        <v>5.4053095286763608E-2</v>
      </c>
      <c r="G8" s="51">
        <f t="shared" si="5"/>
        <v>5.4413309451020214E-2</v>
      </c>
      <c r="H8" s="52">
        <v>5.3699999999999998E-2</v>
      </c>
      <c r="I8" s="73">
        <f t="shared" si="1"/>
        <v>5.5163836495283336E-2</v>
      </c>
      <c r="J8" s="74"/>
      <c r="K8" s="67">
        <f>H8-'Daily Data'!H153</f>
        <v>3.7899999999999996E-2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9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58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5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6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55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1962A-71F2-40DE-9171-05162260BBE7}">
  <dimension ref="A1:K10"/>
  <sheetViews>
    <sheetView zoomScale="90" zoomScaleNormal="90" zoomScaleSheetLayoutView="80" workbookViewId="0">
      <selection activeCell="B3" sqref="B3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4.99E-2</v>
      </c>
      <c r="C3" s="54">
        <v>4.48E-2</v>
      </c>
      <c r="D3" s="54">
        <v>5.7700000000000001E-2</v>
      </c>
      <c r="E3" s="54">
        <v>4.9700000000000001E-2</v>
      </c>
      <c r="F3" s="54">
        <v>4.99E-2</v>
      </c>
      <c r="G3" s="54">
        <v>5.3900000000000003E-2</v>
      </c>
      <c r="H3" s="52">
        <v>5.0900000000000001E-2</v>
      </c>
      <c r="I3" s="73">
        <f>(1+H3/365)^365-1</f>
        <v>5.2213932230986249E-2</v>
      </c>
      <c r="J3" s="74"/>
      <c r="K3" s="67">
        <f>H3-'Daily Data'!AR153</f>
        <v>3.4500000000000003E-2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5.5325141334093671E-2</v>
      </c>
      <c r="C8" s="51">
        <f t="shared" ref="C8:G8" si="5">((1+$I8)^(C2/365)-1)*365/C2</f>
        <v>5.5354492154433714E-2</v>
      </c>
      <c r="D8" s="51">
        <f t="shared" si="5"/>
        <v>5.542165773154839E-2</v>
      </c>
      <c r="E8" s="51">
        <f t="shared" si="5"/>
        <v>5.5547886230688258E-2</v>
      </c>
      <c r="F8" s="51">
        <f t="shared" si="5"/>
        <v>5.5674498060932227E-2</v>
      </c>
      <c r="G8" s="51">
        <f t="shared" si="5"/>
        <v>5.6056646658316459E-2</v>
      </c>
      <c r="H8" s="52">
        <v>5.5300000000000002E-2</v>
      </c>
      <c r="I8" s="73">
        <f t="shared" si="1"/>
        <v>5.6853197515025489E-2</v>
      </c>
      <c r="J8" s="74"/>
      <c r="K8" s="67">
        <f>H8-'Daily Data'!H153</f>
        <v>3.95E-2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5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5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5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363B7-04E8-4A4A-8CEC-4C094197BB9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4.7E-2</v>
      </c>
      <c r="C3" s="54">
        <v>4.48E-2</v>
      </c>
      <c r="D3" s="54">
        <v>5.4600000000000003E-2</v>
      </c>
      <c r="E3" s="54">
        <v>4.9700000000000001E-2</v>
      </c>
      <c r="F3" s="54">
        <v>6.9800000000000001E-2</v>
      </c>
      <c r="G3" s="54">
        <v>5.5E-2</v>
      </c>
      <c r="H3" s="52">
        <v>4.9399999999999999E-2</v>
      </c>
      <c r="I3" s="73">
        <f>(1+H3/365)^365-1</f>
        <v>5.0637010983829667E-2</v>
      </c>
      <c r="J3" s="74"/>
      <c r="K3" s="67">
        <f>H3-'Daily Data'!AR153</f>
        <v>3.3000000000000002E-2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5.2923006186801826E-2</v>
      </c>
      <c r="C8" s="51">
        <f t="shared" ref="C8:G8" si="5">((1+$I8)^(C2/365)-1)*365/C2</f>
        <v>5.2949863600616091E-2</v>
      </c>
      <c r="D8" s="51">
        <f t="shared" si="5"/>
        <v>5.3011320238160797E-2</v>
      </c>
      <c r="E8" s="51">
        <f t="shared" si="5"/>
        <v>5.3126807912409459E-2</v>
      </c>
      <c r="F8" s="51">
        <f t="shared" si="5"/>
        <v>5.3242631047156923E-2</v>
      </c>
      <c r="G8" s="51">
        <f t="shared" si="5"/>
        <v>5.359212419575117E-2</v>
      </c>
      <c r="H8" s="52">
        <v>5.2900000000000003E-2</v>
      </c>
      <c r="I8" s="73">
        <f t="shared" si="1"/>
        <v>5.4320166138172032E-2</v>
      </c>
      <c r="J8" s="74"/>
      <c r="K8" s="67">
        <f>H8-'Daily Data'!H153</f>
        <v>3.7100000000000001E-2</v>
      </c>
    </row>
    <row r="9" spans="1:11" ht="23.15" customHeight="1" x14ac:dyDescent="0.5">
      <c r="A9" s="50" t="s">
        <v>56</v>
      </c>
      <c r="B9" s="55">
        <f>((1+$I9)^(B2/365)-1)*365/B2</f>
        <v>5.5825598083176296E-2</v>
      </c>
      <c r="C9" s="55">
        <f t="shared" ref="C9:G9" si="6">((1+$I9)^(C2/365)-1)*365/C2</f>
        <v>5.5855482304831679E-2</v>
      </c>
      <c r="D9" s="55">
        <f t="shared" si="6"/>
        <v>5.5923869220788257E-2</v>
      </c>
      <c r="E9" s="55">
        <f t="shared" si="6"/>
        <v>5.6052395761142147E-2</v>
      </c>
      <c r="F9" s="55">
        <f t="shared" si="6"/>
        <v>5.618131614815066E-2</v>
      </c>
      <c r="G9" s="55">
        <f t="shared" si="6"/>
        <v>5.6570453991400212E-2</v>
      </c>
      <c r="H9" s="52">
        <v>5.5800000000000002E-2</v>
      </c>
      <c r="I9" s="73">
        <f t="shared" si="1"/>
        <v>5.7381675792276265E-2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4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4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4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AB4A7-FE32-40F2-B1F6-E915391454D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4.1000000000000002E-2</v>
      </c>
      <c r="C3" s="54">
        <v>4.4900000000000002E-2</v>
      </c>
      <c r="D3" s="54">
        <v>4.5999999999999999E-2</v>
      </c>
      <c r="E3" s="54">
        <v>4.9799999999999997E-2</v>
      </c>
      <c r="F3" s="54">
        <v>6.4299999999999996E-2</v>
      </c>
      <c r="G3" s="54">
        <v>6.4899999999999999E-2</v>
      </c>
      <c r="H3" s="52">
        <v>4.82E-2</v>
      </c>
      <c r="I3" s="73">
        <f>(1+H3/365)^365-1</f>
        <v>4.9377171064564962E-2</v>
      </c>
      <c r="J3" s="74"/>
      <c r="K3" s="67">
        <f>H3-'Daily Data'!AR153</f>
        <v>3.1799999999999995E-2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2.7713668217315055E-2</v>
      </c>
      <c r="D7" s="55">
        <v>3.1E-2</v>
      </c>
      <c r="E7" s="55">
        <f t="shared" si="4"/>
        <v>2.7762104935491045E-2</v>
      </c>
      <c r="F7" s="55">
        <f t="shared" si="4"/>
        <v>2.7793754904522662E-2</v>
      </c>
      <c r="G7" s="55">
        <f t="shared" si="4"/>
        <v>2.7888993744320009E-2</v>
      </c>
      <c r="H7" s="56">
        <v>2.7699999999999999E-2</v>
      </c>
      <c r="I7" s="73">
        <f t="shared" si="1"/>
        <v>2.8086131440423268E-2</v>
      </c>
      <c r="J7" s="74"/>
      <c r="K7" s="67">
        <f>H7-1.06%</f>
        <v>1.7099999999999997E-2</v>
      </c>
    </row>
    <row r="8" spans="1:11" ht="23.15" customHeight="1" x14ac:dyDescent="0.4">
      <c r="A8" s="50" t="s">
        <v>57</v>
      </c>
      <c r="B8" s="51">
        <f>((1+$I8)^(B2/365)-1)*365/B2</f>
        <v>5.1621889211780507E-2</v>
      </c>
      <c r="C8" s="51">
        <f t="shared" ref="C8:G8" si="5">((1+$I8)^(C2/365)-1)*365/C2</f>
        <v>5.1647442274954658E-2</v>
      </c>
      <c r="D8" s="51">
        <f t="shared" si="5"/>
        <v>5.1705912627104743E-2</v>
      </c>
      <c r="E8" s="51">
        <f t="shared" si="5"/>
        <v>5.181578254767797E-2</v>
      </c>
      <c r="F8" s="51">
        <f t="shared" si="5"/>
        <v>5.1925963751785355E-2</v>
      </c>
      <c r="G8" s="51">
        <f t="shared" si="5"/>
        <v>5.2258385003894861E-2</v>
      </c>
      <c r="H8" s="52">
        <v>5.16E-2</v>
      </c>
      <c r="I8" s="73">
        <f t="shared" si="1"/>
        <v>5.2950636358536585E-2</v>
      </c>
      <c r="J8" s="74"/>
      <c r="K8" s="67">
        <f>H8-'Daily Data'!H153</f>
        <v>3.5799999999999998E-2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4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4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4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0119-AF92-4A82-8B7E-BF4D9DD562B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4.0099999999999997E-2</v>
      </c>
      <c r="C3" s="54">
        <v>4.2900000000000001E-2</v>
      </c>
      <c r="D3" s="54">
        <v>5.45E-2</v>
      </c>
      <c r="E3" s="54">
        <v>4.4999999999999998E-2</v>
      </c>
      <c r="F3" s="54">
        <v>5.5500000000000001E-2</v>
      </c>
      <c r="G3" s="54">
        <v>6.88E-2</v>
      </c>
      <c r="H3" s="52">
        <v>4.8500000000000001E-2</v>
      </c>
      <c r="I3" s="73">
        <f>(1+H3/365)^365-1</f>
        <v>4.9691989733668729E-2</v>
      </c>
      <c r="J3" s="74"/>
      <c r="K3" s="67">
        <f>H3-'Daily Data'!AR153</f>
        <v>3.2100000000000004E-2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2.791386633517404E-2</v>
      </c>
      <c r="D7" s="55">
        <v>3.0599999999999999E-2</v>
      </c>
      <c r="E7" s="55">
        <f t="shared" si="4"/>
        <v>2.7963005663145801E-2</v>
      </c>
      <c r="F7" s="55">
        <f t="shared" si="4"/>
        <v>2.7995115183913229E-2</v>
      </c>
      <c r="G7" s="55">
        <f t="shared" si="4"/>
        <v>2.8091738995796145E-2</v>
      </c>
      <c r="H7" s="56">
        <v>2.7900000000000001E-2</v>
      </c>
      <c r="I7" s="73">
        <f t="shared" si="1"/>
        <v>2.8291753567093458E-2</v>
      </c>
      <c r="J7" s="74"/>
      <c r="K7" s="67">
        <f>H7-1.06%</f>
        <v>1.7300000000000003E-2</v>
      </c>
    </row>
    <row r="8" spans="1:11" ht="23.15" customHeight="1" x14ac:dyDescent="0.4">
      <c r="A8" s="50" t="s">
        <v>57</v>
      </c>
      <c r="B8" s="51">
        <f>((1+$I8)^(B2/365)-1)*365/B2</f>
        <v>5.2222401284220794E-2</v>
      </c>
      <c r="C8" s="51">
        <f t="shared" ref="C8:G8" si="5">((1+$I8)^(C2/365)-1)*365/C2</f>
        <v>5.2248552317604884E-2</v>
      </c>
      <c r="D8" s="51">
        <f t="shared" si="5"/>
        <v>5.2308391695708077E-2</v>
      </c>
      <c r="E8" s="51">
        <f t="shared" si="5"/>
        <v>5.2420836949479542E-2</v>
      </c>
      <c r="F8" s="51">
        <f t="shared" si="5"/>
        <v>5.2533604495327582E-2</v>
      </c>
      <c r="G8" s="51">
        <f t="shared" si="5"/>
        <v>5.2873851295484206E-2</v>
      </c>
      <c r="H8" s="52">
        <v>5.2200000000000003E-2</v>
      </c>
      <c r="I8" s="73">
        <f t="shared" si="1"/>
        <v>5.3582506435715826E-2</v>
      </c>
      <c r="J8" s="74"/>
      <c r="K8" s="67">
        <f>H8-'Daily Data'!H153</f>
        <v>3.6400000000000002E-2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3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3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73DE2-36D8-41A8-B276-B33B6DD12632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5.2622745955805642E-2</v>
      </c>
      <c r="C8" s="51">
        <f t="shared" ref="C8:G8" si="5">((1+$I8)^(C2/365)-1)*365/C2</f>
        <v>5.2649299481484148E-2</v>
      </c>
      <c r="D8" s="51">
        <f t="shared" si="5"/>
        <v>5.2710060362138211E-2</v>
      </c>
      <c r="E8" s="51">
        <f t="shared" si="5"/>
        <v>5.2824239148303379E-2</v>
      </c>
      <c r="F8" s="51">
        <f t="shared" si="5"/>
        <v>5.2938747708207383E-2</v>
      </c>
      <c r="G8" s="51">
        <f t="shared" si="5"/>
        <v>5.328426276410056E-2</v>
      </c>
      <c r="H8" s="52">
        <v>5.2600000000000001E-2</v>
      </c>
      <c r="I8" s="73">
        <f t="shared" si="1"/>
        <v>5.4003963218958839E-2</v>
      </c>
      <c r="J8" s="74"/>
      <c r="K8" s="67">
        <f>H8-'Daily Data'!H153</f>
        <v>3.6799999999999999E-2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3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3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E2C6-B29B-4732-A85A-0A520C8029DB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5.2322487205339767E-2</v>
      </c>
      <c r="C8" s="51">
        <f t="shared" ref="C8:G8" si="5">((1+$I8)^(C2/365)-1)*365/C2</f>
        <v>5.23487385733769E-2</v>
      </c>
      <c r="D8" s="51">
        <f t="shared" si="5"/>
        <v>5.2408807665711175E-2</v>
      </c>
      <c r="E8" s="51">
        <f t="shared" si="5"/>
        <v>5.2521685054242769E-2</v>
      </c>
      <c r="F8" s="51">
        <f t="shared" si="5"/>
        <v>5.2634886594519981E-2</v>
      </c>
      <c r="G8" s="51">
        <f t="shared" si="5"/>
        <v>5.2976446616182254E-2</v>
      </c>
      <c r="H8" s="52">
        <v>5.2299999999999999E-2</v>
      </c>
      <c r="I8" s="73">
        <f t="shared" si="1"/>
        <v>5.3687854872955132E-2</v>
      </c>
      <c r="J8" s="74"/>
      <c r="K8" s="67">
        <f>H8-'Daily Data'!H153</f>
        <v>3.6499999999999998E-2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2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2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2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8DCE-0E60-4F64-BFB5-586FA9CDE1F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5.1121467008524553E-2</v>
      </c>
      <c r="C8" s="51">
        <f t="shared" ref="C8:G8" si="5">((1+$I8)^(C2/365)-1)*365/C2</f>
        <v>5.1146527050610228E-2</v>
      </c>
      <c r="D8" s="51">
        <f t="shared" si="5"/>
        <v>5.1203868672657214E-2</v>
      </c>
      <c r="E8" s="51">
        <f t="shared" si="5"/>
        <v>5.131161536445409E-2</v>
      </c>
      <c r="F8" s="51">
        <f t="shared" si="5"/>
        <v>5.1419664360221017E-2</v>
      </c>
      <c r="G8" s="51">
        <f t="shared" si="5"/>
        <v>5.1745634729347401E-2</v>
      </c>
      <c r="H8" s="52">
        <v>5.11E-2</v>
      </c>
      <c r="I8" s="73">
        <f t="shared" si="1"/>
        <v>5.2424366656971921E-2</v>
      </c>
      <c r="J8" s="74"/>
      <c r="K8" s="67">
        <f>H8-'Daily Data'!H153</f>
        <v>3.5299999999999998E-2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2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2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2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0C348-C592-4DCF-AF7C-9C771F6C01F8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4.0800000000000003E-2</v>
      </c>
      <c r="D3" s="54">
        <v>4.99E-2</v>
      </c>
      <c r="E3" s="54">
        <v>0.04</v>
      </c>
      <c r="F3" s="54">
        <v>5.5300000000000002E-2</v>
      </c>
      <c r="G3" s="54">
        <v>6.7400000000000002E-2</v>
      </c>
      <c r="H3" s="52">
        <v>4.6600000000000003E-2</v>
      </c>
      <c r="I3" s="73">
        <f>(1+H3/365)^365-1</f>
        <v>4.7699727741152609E-2</v>
      </c>
      <c r="J3" s="74"/>
      <c r="K3" s="67">
        <f>H3-'Daily Data'!AR153</f>
        <v>3.0200000000000001E-2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2.8414367868607897E-2</v>
      </c>
      <c r="D7" s="55">
        <v>3.1199999999999999E-2</v>
      </c>
      <c r="E7" s="55">
        <f t="shared" si="4"/>
        <v>2.8465285896267883E-2</v>
      </c>
      <c r="F7" s="55">
        <f t="shared" si="4"/>
        <v>2.8498558842821323E-2</v>
      </c>
      <c r="G7" s="55">
        <f t="shared" si="4"/>
        <v>2.8598689126452321E-2</v>
      </c>
      <c r="H7" s="56">
        <v>2.8400000000000002E-2</v>
      </c>
      <c r="I7" s="73">
        <f t="shared" si="1"/>
        <v>2.8805988332401222E-2</v>
      </c>
      <c r="J7" s="74"/>
      <c r="K7" s="67">
        <f>H7-1.06%</f>
        <v>1.7800000000000003E-2</v>
      </c>
    </row>
    <row r="8" spans="1:11" ht="23.15" customHeight="1" x14ac:dyDescent="0.4">
      <c r="A8" s="50" t="s">
        <v>57</v>
      </c>
      <c r="B8" s="51">
        <f>((1+$I8)^(B2/365)-1)*365/B2</f>
        <v>5.0821215660524936E-2</v>
      </c>
      <c r="C8" s="51">
        <f t="shared" ref="C8:G8" si="5">((1+$I8)^(C2/365)-1)*365/C2</f>
        <v>5.0845982197134418E-2</v>
      </c>
      <c r="D8" s="51">
        <f t="shared" si="5"/>
        <v>5.090265187169548E-2</v>
      </c>
      <c r="E8" s="51">
        <f t="shared" si="5"/>
        <v>5.100913461008879E-2</v>
      </c>
      <c r="F8" s="51">
        <f t="shared" si="5"/>
        <v>5.111591434868807E-2</v>
      </c>
      <c r="G8" s="51">
        <f t="shared" si="5"/>
        <v>5.1438044900706213E-2</v>
      </c>
      <c r="H8" s="52">
        <v>5.0799999999999998E-2</v>
      </c>
      <c r="I8" s="73">
        <f t="shared" si="1"/>
        <v>5.2108730754010235E-2</v>
      </c>
      <c r="J8" s="74"/>
      <c r="K8" s="67">
        <f>H8-'Daily Data'!H153</f>
        <v>3.4999999999999996E-2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63219-E21E-4747-AAD7-BEF6AE9574E8}">
  <dimension ref="A1:K10"/>
  <sheetViews>
    <sheetView topLeftCell="B1" zoomScale="80" zoomScaleNormal="80" workbookViewId="0">
      <selection activeCell="B1"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4.5199999999999997E-2</v>
      </c>
      <c r="E3" s="54">
        <v>4.4999999999999998E-2</v>
      </c>
      <c r="F3" s="54">
        <v>5.5300000000000002E-2</v>
      </c>
      <c r="G3" s="54">
        <v>3.85E-2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2.8214166185754581E-2</v>
      </c>
      <c r="D7" s="55">
        <v>3.1199999999999999E-2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5.1221551120100059E-2</v>
      </c>
      <c r="C8" s="51">
        <f t="shared" ref="C8:G8" si="5">((1+$I8)^(C2/365)-1)*365/C2</f>
        <v>5.1246709381866609E-2</v>
      </c>
      <c r="D8" s="51">
        <f t="shared" si="5"/>
        <v>5.1304275868163107E-2</v>
      </c>
      <c r="E8" s="51">
        <f t="shared" si="5"/>
        <v>5.1412445541682748E-2</v>
      </c>
      <c r="F8" s="51">
        <f t="shared" si="5"/>
        <v>5.1520919301055054E-2</v>
      </c>
      <c r="G8" s="51">
        <f t="shared" si="5"/>
        <v>5.1848174727502076E-2</v>
      </c>
      <c r="H8" s="52">
        <v>5.1200000000000002E-2</v>
      </c>
      <c r="I8" s="73">
        <f t="shared" si="1"/>
        <v>5.2529599608084121E-2</v>
      </c>
      <c r="J8" s="74"/>
      <c r="K8" s="67">
        <f>H8-'Daily Data'!H153</f>
        <v>3.5400000000000001E-2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4FB2B-F6A1-49A4-894D-4FD31179D361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4.1000000000000002E-2</v>
      </c>
      <c r="C3" s="54">
        <v>4.4900000000000002E-2</v>
      </c>
      <c r="D3" s="54">
        <v>4.3999999999999997E-2</v>
      </c>
      <c r="E3" s="54">
        <v>4.4999999999999998E-2</v>
      </c>
      <c r="F3" s="54">
        <v>5.5399999999999998E-2</v>
      </c>
      <c r="G3" s="54">
        <v>6.6000000000000003E-2</v>
      </c>
      <c r="H3" s="52">
        <v>4.7600000000000003E-2</v>
      </c>
      <c r="I3" s="73">
        <f>(1+H3/365)^365-1</f>
        <v>4.8747816179411707E-2</v>
      </c>
      <c r="J3" s="74"/>
      <c r="K3" s="67">
        <f>H3-'Daily Data'!AR153</f>
        <v>3.1200000000000002E-2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2.8514469244696868E-2</v>
      </c>
      <c r="D7" s="55">
        <v>3.1199999999999999E-2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5.1121467008524553E-2</v>
      </c>
      <c r="C8" s="51">
        <f t="shared" ref="C8:G8" si="5">((1+$I8)^(C2/365)-1)*365/C2</f>
        <v>5.1146527050610228E-2</v>
      </c>
      <c r="D8" s="51">
        <f t="shared" si="5"/>
        <v>5.1203868672657214E-2</v>
      </c>
      <c r="E8" s="51">
        <f t="shared" si="5"/>
        <v>5.131161536445409E-2</v>
      </c>
      <c r="F8" s="51">
        <f t="shared" si="5"/>
        <v>5.1419664360221017E-2</v>
      </c>
      <c r="G8" s="51">
        <f t="shared" si="5"/>
        <v>5.1745634729347401E-2</v>
      </c>
      <c r="H8" s="52">
        <v>5.11E-2</v>
      </c>
      <c r="I8" s="73">
        <f t="shared" si="1"/>
        <v>5.2424366656971921E-2</v>
      </c>
      <c r="J8" s="74"/>
      <c r="K8" s="67">
        <f>H8-'Daily Data'!H153</f>
        <v>3.5299999999999998E-2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599FA-5214-4DBC-A91B-263E58EB80E2}">
  <dimension ref="A1:K10"/>
  <sheetViews>
    <sheetView tabSelected="1" zoomScale="70" zoomScaleNormal="7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4.1799999999999997E-2</v>
      </c>
      <c r="C3" s="54">
        <v>4.2000000000000003E-2</v>
      </c>
      <c r="D3" s="54">
        <v>4.5100000000000001E-2</v>
      </c>
      <c r="E3" s="54">
        <v>4.4999999999999998E-2</v>
      </c>
      <c r="F3" s="54">
        <v>5.5300000000000002E-2</v>
      </c>
      <c r="G3" s="54">
        <v>6.5000000000000002E-2</v>
      </c>
      <c r="H3" s="52">
        <v>5.0200000000000002E-2</v>
      </c>
      <c r="I3" s="73">
        <f>(1+H3/365)^365-1</f>
        <v>5.1477742132218118E-2</v>
      </c>
      <c r="J3" s="74"/>
      <c r="K3" s="67">
        <f>H3-'Daily Data'!AR153</f>
        <v>3.3799999999999997E-2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3.39E-2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5.3923884316161734E-2</v>
      </c>
      <c r="C8" s="51">
        <f t="shared" ref="C8:G8" si="5">((1+$I8)^(C2/365)-1)*365/C2</f>
        <v>5.3951767188901635E-2</v>
      </c>
      <c r="D8" s="51">
        <f t="shared" si="5"/>
        <v>5.4015571679666675E-2</v>
      </c>
      <c r="E8" s="51">
        <f t="shared" si="5"/>
        <v>5.4135476418728942E-2</v>
      </c>
      <c r="F8" s="51">
        <f t="shared" si="5"/>
        <v>5.4255736046726039E-2</v>
      </c>
      <c r="G8" s="51">
        <f t="shared" si="5"/>
        <v>5.4618656102147008E-2</v>
      </c>
      <c r="H8" s="52">
        <v>5.3900000000000003E-2</v>
      </c>
      <c r="I8" s="73">
        <f t="shared" si="1"/>
        <v>5.5374859259955445E-2</v>
      </c>
      <c r="J8" s="74"/>
      <c r="K8" s="67">
        <f>H8-'Daily Data'!H153</f>
        <v>3.8100000000000002E-2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170</vt:i4>
      </vt:variant>
    </vt:vector>
  </HeadingPairs>
  <TitlesOfParts>
    <vt:vector size="170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18.08.2026</vt:lpstr>
      <vt:lpstr>19.08.2026</vt:lpstr>
      <vt:lpstr>20.08.2026</vt:lpstr>
      <vt:lpstr>21.08.2026</vt:lpstr>
      <vt:lpstr>22.08.2026</vt:lpstr>
      <vt:lpstr>23.08.2026</vt:lpstr>
      <vt:lpstr>24.08.2026</vt:lpstr>
      <vt:lpstr>25.08.2026</vt:lpstr>
      <vt:lpstr>26.08.2026</vt:lpstr>
      <vt:lpstr>27.08.2026</vt:lpstr>
      <vt:lpstr>28.08.2026</vt:lpstr>
      <vt:lpstr>29.08.2026</vt:lpstr>
      <vt:lpstr>30.08.2026</vt:lpstr>
      <vt:lpstr>31.08.2026</vt:lpstr>
      <vt:lpstr>01.09.2026</vt:lpstr>
      <vt:lpstr>02.09.2026</vt:lpstr>
      <vt:lpstr>03.09.2026</vt:lpstr>
      <vt:lpstr>04.09.2026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2026-09-04T07:39:12Z</dcterms:modified>
</cp:coreProperties>
</file>