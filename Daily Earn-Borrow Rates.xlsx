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C5BB91B5-A451-4365-94CE-8DD748845CF4}" xr6:coauthVersionLast="47" xr6:coauthVersionMax="47" xr10:uidLastSave="{00000000-0000-0000-0000-000000000000}"/>
  <bookViews>
    <workbookView xWindow="-110" yWindow="-110" windowWidth="19420" windowHeight="11500" firstSheet="105" activeTab="110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.3.2026" sheetId="29" r:id="rId12"/>
    <sheet name="30.3.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  <sheet name="06.06.2026" sheetId="103" r:id="rId81"/>
    <sheet name="07.06.2026" sheetId="104" r:id="rId82"/>
    <sheet name="08.06.2026" sheetId="105" r:id="rId83"/>
    <sheet name="09.06.2026" sheetId="106" r:id="rId84"/>
    <sheet name="10.06.2026" sheetId="107" r:id="rId85"/>
    <sheet name="11.06.2026" sheetId="108" r:id="rId86"/>
    <sheet name="12.06.2026" sheetId="109" r:id="rId87"/>
    <sheet name="13.06.2026" sheetId="110" r:id="rId88"/>
    <sheet name="14.06.2026" sheetId="111" r:id="rId89"/>
    <sheet name="15.06.2026" sheetId="112" r:id="rId90"/>
    <sheet name="16.06.2026" sheetId="113" r:id="rId91"/>
    <sheet name="17.06.2026" sheetId="114" r:id="rId92"/>
    <sheet name="18.06.2026" sheetId="115" r:id="rId93"/>
    <sheet name="19.06.2026" sheetId="116" r:id="rId94"/>
    <sheet name="20.06.2026" sheetId="117" r:id="rId95"/>
    <sheet name="21.06.2026" sheetId="118" r:id="rId96"/>
    <sheet name="22.06.2026" sheetId="119" r:id="rId97"/>
    <sheet name="23.06.2026" sheetId="120" r:id="rId98"/>
    <sheet name="24.06.2026" sheetId="121" r:id="rId99"/>
    <sheet name="25.06.2026" sheetId="122" r:id="rId100"/>
    <sheet name="26.06.2026" sheetId="123" r:id="rId101"/>
    <sheet name="27.06.2026" sheetId="124" r:id="rId102"/>
    <sheet name="28.06.2026" sheetId="125" r:id="rId103"/>
    <sheet name="29.06.2026" sheetId="126" r:id="rId104"/>
    <sheet name="30.06.2026" sheetId="127" r:id="rId105"/>
    <sheet name="01.07.2026" sheetId="128" r:id="rId106"/>
    <sheet name="02.07.2026" sheetId="129" r:id="rId107"/>
    <sheet name="03.07.2026" sheetId="130" r:id="rId108"/>
    <sheet name="04.07.2026" sheetId="131" r:id="rId109"/>
    <sheet name="05.07.2026" sheetId="132" r:id="rId110"/>
    <sheet name="06.07.2026" sheetId="133" r:id="rId1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3" l="1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<sst xmlns="http://schemas.openxmlformats.org/spreadsheetml/2006/main" count="5474" uniqueCount="73">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</sst>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0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theme" Target="theme/theme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46273</xdr:colOff>
      <xdr:row>147</xdr:row>
      <xdr:rowOff>101070</xdr:rowOff>
    </xdr:from>
    <xdr:to>
      <xdr:col>33</xdr:col>
      <xdr:colOff>398021</xdr:colOff>
      <xdr:row>181</xdr:row>
      <xdr:rowOff>120728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76195" y="26354351"/>
          <a:ext cx="6542998" cy="609819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77" zoomScale="115" zoomScaleNormal="115" workbookViewId="0">
      <selection activeCell="G188" sqref="G188"/>
    </sheetView>
  </sheetViews>
  <sheetFormatPr defaultRowHeight="14.5" x14ac:dyDescent="0.35"/>
  <cols>
    <col min="1" max="2" width="15.54296875" style="81" customWidth="1"/>
    <col min="3" max="6" width="15.5429687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>
        <v>4.0500000000000001E-2</v>
      </c>
      <c r="C157" s="23">
        <v>2.47E-2</v>
      </c>
      <c r="D157" s="23">
        <v>4.4600000000000001E-2</v>
      </c>
      <c r="E157" s="23">
        <v>4.2599999999999999E-2</v>
      </c>
      <c r="F157" s="23">
        <v>5.4800000000000001E-2</v>
      </c>
      <c r="G157" s="90">
        <v>63885</v>
      </c>
    </row>
    <row r="158" spans="1:7" x14ac:dyDescent="0.35">
      <c r="A158" s="82">
        <v>46179</v>
      </c>
      <c r="B158" s="83">
        <v>3.7900000000000003E-2</v>
      </c>
      <c r="C158" s="23">
        <v>2.47E-2</v>
      </c>
      <c r="D158" s="23">
        <v>4.24E-2</v>
      </c>
      <c r="E158" s="23">
        <v>4.0500000000000001E-2</v>
      </c>
      <c r="F158" s="23">
        <v>4.7E-2</v>
      </c>
      <c r="G158" s="90">
        <v>61057</v>
      </c>
    </row>
    <row r="159" spans="1:7" x14ac:dyDescent="0.35">
      <c r="A159" s="82">
        <v>46180</v>
      </c>
      <c r="B159" s="83">
        <v>3.6799999999999999E-2</v>
      </c>
      <c r="C159" s="23">
        <v>2.47E-2</v>
      </c>
      <c r="D159" s="23">
        <v>4.0500000000000001E-2</v>
      </c>
      <c r="E159" s="23">
        <v>3.8699999999999998E-2</v>
      </c>
      <c r="F159" s="23">
        <v>4.4999999999999998E-2</v>
      </c>
      <c r="G159" s="90">
        <v>60885</v>
      </c>
    </row>
    <row r="160" spans="1:7" x14ac:dyDescent="0.35">
      <c r="A160" s="82">
        <v>46181</v>
      </c>
      <c r="B160" s="83">
        <v>3.6299999999999999E-2</v>
      </c>
      <c r="C160" s="23">
        <v>2.47E-2</v>
      </c>
      <c r="D160" s="23">
        <v>3.9899999999999998E-2</v>
      </c>
      <c r="E160" s="23">
        <v>3.8100000000000002E-2</v>
      </c>
      <c r="F160" s="23">
        <v>4.3700000000000003E-2</v>
      </c>
      <c r="G160" s="90">
        <v>63332</v>
      </c>
    </row>
    <row r="161" spans="1:7" x14ac:dyDescent="0.35">
      <c r="A161" s="82">
        <v>46182</v>
      </c>
      <c r="B161" s="83">
        <v>3.6299999999999999E-2</v>
      </c>
      <c r="C161" s="23">
        <v>2.47E-2</v>
      </c>
      <c r="D161" s="23">
        <v>3.9899999999999998E-2</v>
      </c>
      <c r="E161" s="23">
        <v>3.8100000000000002E-2</v>
      </c>
      <c r="F161" s="23">
        <v>4.2700000000000002E-2</v>
      </c>
      <c r="G161" s="90">
        <v>61685</v>
      </c>
    </row>
    <row r="162" spans="1:7" x14ac:dyDescent="0.35">
      <c r="A162" s="82">
        <v>46183</v>
      </c>
      <c r="B162" s="83">
        <v>3.6700000000000003E-2</v>
      </c>
      <c r="C162" s="23">
        <v>2.47E-2</v>
      </c>
      <c r="D162" s="23">
        <v>4.0399999999999998E-2</v>
      </c>
      <c r="E162" s="23">
        <v>3.8600000000000002E-2</v>
      </c>
      <c r="F162" s="23">
        <v>4.3499999999999997E-2</v>
      </c>
      <c r="G162" s="90">
        <v>61509</v>
      </c>
    </row>
    <row r="163" spans="1:7" x14ac:dyDescent="0.35">
      <c r="A163" s="82">
        <v>46184</v>
      </c>
      <c r="B163" s="83">
        <v>3.6600000000000001E-2</v>
      </c>
      <c r="C163" s="23">
        <v>2.47E-2</v>
      </c>
      <c r="D163" s="23">
        <v>4.02E-2</v>
      </c>
      <c r="E163" s="23">
        <v>3.8399999999999997E-2</v>
      </c>
      <c r="F163" s="23">
        <v>4.4699999999999997E-2</v>
      </c>
      <c r="G163" s="90">
        <v>63612</v>
      </c>
    </row>
    <row r="164" spans="1:7" x14ac:dyDescent="0.35">
      <c r="A164" s="82">
        <v>46185</v>
      </c>
      <c r="B164" s="83">
        <v>3.5900000000000001E-2</v>
      </c>
      <c r="C164" s="23">
        <v>2.47E-2</v>
      </c>
      <c r="D164" s="23">
        <v>3.95E-2</v>
      </c>
      <c r="E164" s="23">
        <v>3.78E-2</v>
      </c>
      <c r="F164" s="23">
        <v>4.3700000000000003E-2</v>
      </c>
      <c r="G164" s="90">
        <v>63626</v>
      </c>
    </row>
    <row r="165" spans="1:7" x14ac:dyDescent="0.35">
      <c r="A165" s="82">
        <v>46186</v>
      </c>
      <c r="B165" s="83">
        <v>3.5400000000000001E-2</v>
      </c>
      <c r="C165" s="23">
        <v>2.47E-2</v>
      </c>
      <c r="D165" s="23">
        <v>3.9E-2</v>
      </c>
      <c r="E165" s="23">
        <v>3.7199999999999997E-2</v>
      </c>
      <c r="F165" s="23">
        <v>4.0500000000000001E-2</v>
      </c>
      <c r="G165" s="90">
        <v>63580</v>
      </c>
    </row>
    <row r="166" spans="1:7" x14ac:dyDescent="0.35">
      <c r="A166" s="82">
        <v>46187</v>
      </c>
      <c r="B166" s="83">
        <v>3.3799999999999997E-2</v>
      </c>
      <c r="C166" s="23">
        <v>2.47E-2</v>
      </c>
      <c r="D166" s="23">
        <v>3.7199999999999997E-2</v>
      </c>
      <c r="E166" s="23">
        <v>3.56E-2</v>
      </c>
      <c r="F166" s="23">
        <v>4.1399999999999999E-2</v>
      </c>
      <c r="G166" s="90">
        <v>64459</v>
      </c>
    </row>
    <row r="167" spans="1:7" x14ac:dyDescent="0.35">
      <c r="A167" s="82">
        <v>46188</v>
      </c>
      <c r="B167" s="83">
        <v>3.4299999999999997E-2</v>
      </c>
      <c r="C167" s="23">
        <v>2.47E-2</v>
      </c>
      <c r="D167" s="23">
        <v>3.73E-2</v>
      </c>
      <c r="E167" s="23">
        <v>3.5700000000000003E-2</v>
      </c>
      <c r="F167" s="23">
        <v>4.1000000000000002E-2</v>
      </c>
      <c r="G167" s="90">
        <v>66515</v>
      </c>
    </row>
    <row r="168" spans="1:7" x14ac:dyDescent="0.35">
      <c r="A168" s="82">
        <v>46189</v>
      </c>
      <c r="B168" s="83">
        <v>3.4299999999999997E-2</v>
      </c>
      <c r="C168" s="23">
        <v>2.47E-2</v>
      </c>
      <c r="D168" s="23">
        <v>3.6600000000000001E-2</v>
      </c>
      <c r="E168" s="23">
        <v>3.5000000000000003E-2</v>
      </c>
      <c r="F168" s="23">
        <v>4.2299999999999997E-2</v>
      </c>
      <c r="G168" s="90">
        <v>66328</v>
      </c>
    </row>
    <row r="169" spans="1:7" x14ac:dyDescent="0.35">
      <c r="A169" s="82">
        <v>46190</v>
      </c>
      <c r="B169" s="83">
        <v>3.3399999999999999E-2</v>
      </c>
      <c r="C169" s="23">
        <v>2.47E-2</v>
      </c>
      <c r="D169" s="23">
        <v>3.6700000000000003E-2</v>
      </c>
      <c r="E169" s="23">
        <v>3.5099999999999999E-2</v>
      </c>
      <c r="F169" s="23">
        <v>4.41E-2</v>
      </c>
      <c r="G169" s="90">
        <v>65676</v>
      </c>
    </row>
    <row r="170" spans="1:7" x14ac:dyDescent="0.35">
      <c r="A170" s="82">
        <v>46191</v>
      </c>
      <c r="B170" s="83">
        <v>3.2899999999999999E-2</v>
      </c>
      <c r="C170" s="23">
        <v>2.47E-2</v>
      </c>
      <c r="D170" s="23">
        <v>3.6200000000000003E-2</v>
      </c>
      <c r="E170" s="23">
        <v>3.4599999999999999E-2</v>
      </c>
      <c r="F170" s="23">
        <v>4.2599999999999999E-2</v>
      </c>
      <c r="G170" s="90">
        <v>64510</v>
      </c>
    </row>
    <row r="171" spans="1:7" x14ac:dyDescent="0.35">
      <c r="A171" s="82">
        <v>46192</v>
      </c>
      <c r="B171" s="83">
        <v>3.1800000000000002E-2</v>
      </c>
      <c r="C171" s="23">
        <v>2.47E-2</v>
      </c>
      <c r="D171" s="23">
        <v>3.5000000000000003E-2</v>
      </c>
      <c r="E171" s="23">
        <v>3.3500000000000002E-2</v>
      </c>
      <c r="F171" s="23">
        <v>4.5400000000000003E-2</v>
      </c>
      <c r="G171" s="90">
        <v>62960</v>
      </c>
    </row>
    <row r="172" spans="1:7" x14ac:dyDescent="0.35">
      <c r="A172" s="82">
        <v>46193</v>
      </c>
      <c r="B172" s="83">
        <v>3.0800000000000001E-2</v>
      </c>
      <c r="C172" s="23">
        <v>2.47E-2</v>
      </c>
      <c r="D172" s="23">
        <v>3.39E-2</v>
      </c>
      <c r="E172" s="23">
        <v>3.2399999999999998E-2</v>
      </c>
      <c r="F172" s="23">
        <v>3.9300000000000002E-2</v>
      </c>
      <c r="G172" s="90">
        <v>63544</v>
      </c>
    </row>
    <row r="173" spans="1:7" x14ac:dyDescent="0.35">
      <c r="A173" s="82">
        <v>46194</v>
      </c>
      <c r="B173" s="83">
        <v>3.1300000000000001E-2</v>
      </c>
      <c r="C173" s="23">
        <v>2.47E-2</v>
      </c>
      <c r="D173" s="23">
        <v>3.44E-2</v>
      </c>
      <c r="E173" s="23">
        <v>3.2800000000000003E-2</v>
      </c>
      <c r="F173" s="23">
        <v>3.6499999999999998E-2</v>
      </c>
      <c r="G173" s="90">
        <v>64298</v>
      </c>
    </row>
    <row r="174" spans="1:7" x14ac:dyDescent="0.35">
      <c r="A174" s="82">
        <v>46195</v>
      </c>
      <c r="B174" s="83">
        <v>3.1300000000000001E-2</v>
      </c>
      <c r="C174" s="23">
        <v>2.47E-2</v>
      </c>
      <c r="D174" s="23">
        <v>3.4000000000000002E-2</v>
      </c>
      <c r="E174" s="23">
        <v>3.2500000000000001E-2</v>
      </c>
      <c r="F174" s="23">
        <v>6.13E-2</v>
      </c>
      <c r="G174" s="90">
        <v>63313</v>
      </c>
    </row>
    <row r="175" spans="1:7" x14ac:dyDescent="0.35">
      <c r="A175" s="82">
        <v>46196</v>
      </c>
      <c r="B175" s="83">
        <v>3.27E-2</v>
      </c>
      <c r="C175" s="23">
        <v>2.47E-2</v>
      </c>
      <c r="D175" s="23">
        <v>3.5999999999999997E-2</v>
      </c>
      <c r="E175" s="23">
        <v>3.4500000000000003E-2</v>
      </c>
      <c r="F175" s="23">
        <v>5.7099999999999998E-2</v>
      </c>
      <c r="G175" s="90">
        <v>64021</v>
      </c>
    </row>
    <row r="176" spans="1:7" x14ac:dyDescent="0.35">
      <c r="A176" s="82">
        <v>46197</v>
      </c>
      <c r="B176" s="83">
        <v>3.2800000000000003E-2</v>
      </c>
      <c r="C176" s="23">
        <v>2.47E-2</v>
      </c>
      <c r="D176" s="23">
        <v>3.61E-2</v>
      </c>
      <c r="E176" s="23">
        <v>3.4500000000000003E-2</v>
      </c>
      <c r="F176" s="23">
        <v>6.1899999999999997E-2</v>
      </c>
      <c r="G176" s="90">
        <v>62735</v>
      </c>
    </row>
    <row r="177" spans="1:7" x14ac:dyDescent="0.35">
      <c r="A177" s="82">
        <v>46198</v>
      </c>
      <c r="B177" s="83">
        <v>3.2800000000000003E-2</v>
      </c>
      <c r="C177" s="23">
        <v>2.47E-2</v>
      </c>
      <c r="D177" s="23">
        <v>3.6200000000000003E-2</v>
      </c>
      <c r="E177" s="23">
        <v>3.4599999999999999E-2</v>
      </c>
      <c r="F177" s="23">
        <v>6.0499999999999998E-2</v>
      </c>
      <c r="G177" s="90">
        <v>61079</v>
      </c>
    </row>
    <row r="178" spans="1:7" x14ac:dyDescent="0.35">
      <c r="A178" s="82">
        <v>46199</v>
      </c>
      <c r="B178" s="83">
        <v>3.3099999999999997E-2</v>
      </c>
      <c r="C178" s="23">
        <v>2.47E-2</v>
      </c>
      <c r="D178" s="23">
        <v>3.6400000000000002E-2</v>
      </c>
      <c r="E178" s="23">
        <v>3.4700000000000002E-2</v>
      </c>
      <c r="F178" s="23">
        <v>6.1899999999999997E-2</v>
      </c>
      <c r="G178" s="90">
        <v>59795</v>
      </c>
    </row>
    <row r="179" spans="1:7" x14ac:dyDescent="0.35">
      <c r="A179" s="82">
        <v>46200</v>
      </c>
      <c r="B179" s="83">
        <v>3.3300000000000003E-2</v>
      </c>
      <c r="C179" s="23">
        <v>2.47E-2</v>
      </c>
      <c r="D179" s="23">
        <v>3.6600000000000001E-2</v>
      </c>
      <c r="E179" s="23">
        <v>3.5000000000000003E-2</v>
      </c>
      <c r="F179" s="23">
        <v>6.2199999999999998E-2</v>
      </c>
      <c r="G179" s="90">
        <v>60098</v>
      </c>
    </row>
    <row r="180" spans="1:7" x14ac:dyDescent="0.35">
      <c r="A180" s="82">
        <v>46201</v>
      </c>
      <c r="B180" s="83">
        <v>3.2599999999999997E-2</v>
      </c>
      <c r="C180" s="23">
        <v>2.47E-2</v>
      </c>
      <c r="D180" s="23">
        <v>3.5799999999999998E-2</v>
      </c>
      <c r="E180" s="23">
        <v>3.4299999999999997E-2</v>
      </c>
      <c r="F180" s="23">
        <v>6.2100000000000002E-2</v>
      </c>
      <c r="G180" s="90">
        <v>59578</v>
      </c>
    </row>
    <row r="181" spans="1:7" x14ac:dyDescent="0.35">
      <c r="A181" s="82">
        <v>46202</v>
      </c>
      <c r="B181" s="83">
        <v>3.2599999999999997E-2</v>
      </c>
      <c r="C181" s="23">
        <v>2.47E-2</v>
      </c>
      <c r="D181" s="23">
        <v>3.5700000000000003E-2</v>
      </c>
      <c r="E181" s="23">
        <v>3.4200000000000001E-2</v>
      </c>
      <c r="F181" s="23">
        <v>6.1600000000000002E-2</v>
      </c>
      <c r="G181" s="90">
        <v>60030</v>
      </c>
    </row>
    <row r="182" spans="1:7" x14ac:dyDescent="0.35">
      <c r="A182" s="82">
        <v>46203</v>
      </c>
      <c r="B182" s="83">
        <v>3.5400000000000001E-2</v>
      </c>
      <c r="C182" s="23">
        <v>2.47E-2</v>
      </c>
      <c r="D182" s="23">
        <v>3.8600000000000002E-2</v>
      </c>
      <c r="E182" s="23">
        <v>3.6799999999999999E-2</v>
      </c>
      <c r="F182" s="23">
        <v>5.0599999999999999E-2</v>
      </c>
      <c r="G182" s="90">
        <v>60261</v>
      </c>
    </row>
    <row r="183" spans="1:7" x14ac:dyDescent="0.35">
      <c r="A183" s="82">
        <v>46204</v>
      </c>
      <c r="B183" s="83">
        <v>3.5700000000000003E-2</v>
      </c>
      <c r="C183" s="23">
        <v>2.47E-2</v>
      </c>
      <c r="D183" s="23">
        <v>3.8800000000000001E-2</v>
      </c>
      <c r="E183" s="23">
        <v>3.7100000000000001E-2</v>
      </c>
      <c r="F183" s="23">
        <v>5.57E-2</v>
      </c>
      <c r="G183" s="90">
        <v>58625</v>
      </c>
    </row>
    <row r="184" spans="1:7" x14ac:dyDescent="0.35">
      <c r="A184" s="82">
        <v>46205</v>
      </c>
      <c r="B184" s="83">
        <v>3.6700000000000003E-2</v>
      </c>
      <c r="C184" s="23">
        <v>2.47E-2</v>
      </c>
      <c r="D184" s="23">
        <v>3.95E-2</v>
      </c>
      <c r="E184" s="23">
        <v>3.78E-2</v>
      </c>
      <c r="F184" s="23">
        <v>4.1700000000000001E-2</v>
      </c>
      <c r="G184" s="90">
        <v>60025</v>
      </c>
    </row>
    <row r="185" spans="1:7" x14ac:dyDescent="0.35">
      <c r="A185" s="82">
        <v>46206</v>
      </c>
      <c r="B185" s="83">
        <v>3.6999999999999998E-2</v>
      </c>
      <c r="C185" s="23">
        <v>2.47E-2</v>
      </c>
      <c r="D185" s="23">
        <v>4.07E-2</v>
      </c>
      <c r="E185" s="23">
        <v>3.8899999999999997E-2</v>
      </c>
      <c r="F185" s="23">
        <v>4.3200000000000002E-2</v>
      </c>
      <c r="G185" s="90">
        <v>61561</v>
      </c>
    </row>
    <row r="186" spans="1:7" x14ac:dyDescent="0.35">
      <c r="A186" s="82">
        <v>46207</v>
      </c>
      <c r="B186" s="83">
        <v>3.6200000000000003E-2</v>
      </c>
      <c r="C186" s="23">
        <v>2.47E-2</v>
      </c>
      <c r="D186" s="23">
        <v>3.9899999999999998E-2</v>
      </c>
      <c r="E186" s="23">
        <v>3.8100000000000002E-2</v>
      </c>
      <c r="F186" s="23">
        <v>4.24E-2</v>
      </c>
      <c r="G186" s="90">
        <v>62584</v>
      </c>
    </row>
    <row r="187" spans="1:7" x14ac:dyDescent="0.35">
      <c r="A187" s="82">
        <v>46208</v>
      </c>
      <c r="B187" s="83">
        <v>3.6900000000000002E-2</v>
      </c>
      <c r="C187" s="23">
        <v>2.47E-2</v>
      </c>
      <c r="D187" s="23">
        <v>4.0099999999999997E-2</v>
      </c>
      <c r="E187" s="23">
        <v>3.8399999999999997E-2</v>
      </c>
      <c r="F187" s="23">
        <v>4.3499999999999997E-2</v>
      </c>
      <c r="G187" s="90">
        <v>63145</v>
      </c>
    </row>
    <row r="188" spans="1:7" x14ac:dyDescent="0.35">
      <c r="A188" s="82">
        <v>46209</v>
      </c>
      <c r="B188" s="83">
        <v>3.6299999999999999E-2</v>
      </c>
      <c r="C188" s="23">
        <v>2.47E-2</v>
      </c>
      <c r="D188" s="23">
        <v>3.9899999999999998E-2</v>
      </c>
      <c r="E188" s="23">
        <v>3.8100000000000002E-2</v>
      </c>
      <c r="F188" s="23">
        <v>4.3700000000000003E-2</v>
      </c>
      <c r="G188" s="90"/>
    </row>
    <row r="189" spans="1:7" x14ac:dyDescent="0.35">
      <c r="A189" s="82">
        <v>46210</v>
      </c>
      <c r="B189" s="83"/>
      <c r="C189" s="23"/>
      <c r="D189" s="23"/>
      <c r="E189" s="23"/>
      <c r="F189" s="23"/>
      <c r="G189" s="90"/>
    </row>
    <row r="190" spans="1:7" x14ac:dyDescent="0.35">
      <c r="A190" s="82">
        <v>46211</v>
      </c>
      <c r="B190" s="83"/>
      <c r="C190" s="23"/>
      <c r="D190" s="23"/>
      <c r="E190" s="23"/>
      <c r="F190" s="23"/>
      <c r="G190" s="90"/>
    </row>
    <row r="191" spans="1:7" x14ac:dyDescent="0.35">
      <c r="A191" s="82">
        <v>46212</v>
      </c>
      <c r="B191" s="83"/>
      <c r="C191" s="23"/>
      <c r="D191" s="23"/>
      <c r="E191" s="23"/>
      <c r="F191" s="23"/>
      <c r="G191" s="90"/>
    </row>
    <row r="192" spans="1:7" x14ac:dyDescent="0.35">
      <c r="A192" s="82">
        <v>46213</v>
      </c>
      <c r="B192" s="83"/>
      <c r="C192" s="23"/>
      <c r="D192" s="23"/>
      <c r="E192" s="23"/>
      <c r="F192" s="23"/>
      <c r="G192" s="90"/>
    </row>
    <row r="193" spans="1:7" x14ac:dyDescent="0.35">
      <c r="A193" s="82">
        <v>46214</v>
      </c>
      <c r="B193" s="83"/>
      <c r="C193" s="23"/>
      <c r="D193" s="23"/>
      <c r="E193" s="23"/>
      <c r="F193" s="23"/>
      <c r="G193" s="90"/>
    </row>
    <row r="194" spans="1:7" x14ac:dyDescent="0.35">
      <c r="A194" s="80"/>
      <c r="B194" s="80"/>
    </row>
    <row r="195" spans="1:7" x14ac:dyDescent="0.35">
      <c r="A195" s="80"/>
      <c r="B195" s="80"/>
    </row>
    <row r="196" spans="1:7" x14ac:dyDescent="0.35">
      <c r="A196" s="80"/>
      <c r="B196" s="80"/>
    </row>
    <row r="197" spans="1:7" x14ac:dyDescent="0.35">
      <c r="A197" s="80"/>
      <c r="B197" s="80"/>
    </row>
    <row r="198" spans="1:7" x14ac:dyDescent="0.35">
      <c r="A198" s="80"/>
      <c r="B198" s="80"/>
    </row>
    <row r="199" spans="1:7" x14ac:dyDescent="0.35">
      <c r="A199" s="80"/>
      <c r="B199" s="80"/>
    </row>
    <row r="200" spans="1:7" x14ac:dyDescent="0.35">
      <c r="A200" s="80"/>
      <c r="B200" s="80"/>
    </row>
    <row r="201" spans="1:7" x14ac:dyDescent="0.35">
      <c r="A201" s="80"/>
      <c r="B201" s="80"/>
    </row>
    <row r="202" spans="1:7" x14ac:dyDescent="0.35">
      <c r="A202" s="80"/>
      <c r="B202" s="80"/>
    </row>
    <row r="203" spans="1:7" x14ac:dyDescent="0.35">
      <c r="A203" s="80"/>
      <c r="B203" s="80"/>
    </row>
    <row r="204" spans="1:7" x14ac:dyDescent="0.35">
      <c r="A204" s="80"/>
      <c r="B204" s="80"/>
    </row>
    <row r="205" spans="1:7" x14ac:dyDescent="0.35">
      <c r="A205" s="80"/>
      <c r="B205" s="80"/>
    </row>
    <row r="206" spans="1:7" x14ac:dyDescent="0.35">
      <c r="A206" s="80"/>
      <c r="B206" s="80"/>
    </row>
    <row r="207" spans="1:7" x14ac:dyDescent="0.35">
      <c r="A207" s="80"/>
      <c r="B207" s="80"/>
    </row>
    <row r="208" spans="1:7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18" zoomScale="96" zoomScaleNormal="96" workbookViewId="0">
      <selection activeCell="AT136" sqref="AT136:AZ136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179687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1796875" bestFit="1" customWidth="1"/>
    <col min="37" max="37" width="10.54296875" bestFit="1" customWidth="1"/>
    <col min="38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>
        <v>3.6400000000000002E-2</v>
      </c>
      <c r="Q106" s="86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>
        <v>2.5000000000000001E-2</v>
      </c>
      <c r="AI106" s="13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4">
        <v>0.04</v>
      </c>
      <c r="AU106" s="14">
        <v>3.9E-2</v>
      </c>
      <c r="AV106" s="14">
        <v>4.2999999999999997E-2</v>
      </c>
      <c r="AW106" s="14">
        <v>0.04</v>
      </c>
      <c r="AX106" s="14">
        <v>4.4900000000000002E-2</v>
      </c>
      <c r="AY106" s="14">
        <v>4.4999999999999998E-2</v>
      </c>
      <c r="AZ106" s="14">
        <v>4.0399999999999998E-2</v>
      </c>
      <c r="BA106" s="13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8">
        <v>4.4200000000000003E-2</v>
      </c>
      <c r="BM106" s="1"/>
      <c r="BN106" s="58">
        <v>5.2999999999999999E-2</v>
      </c>
      <c r="BO106" s="1"/>
      <c r="BP106" s="1"/>
      <c r="BQ106" s="1"/>
      <c r="BR106" s="58">
        <v>3.8199999999999998E-2</v>
      </c>
      <c r="BS106" s="13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>
        <v>3.6299999999999999E-2</v>
      </c>
      <c r="Q107" s="86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>
        <v>2.5000000000000001E-2</v>
      </c>
      <c r="AI107" s="13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4">
        <v>0.04</v>
      </c>
      <c r="AU107" s="14">
        <v>3.9E-2</v>
      </c>
      <c r="AV107" s="14">
        <v>4.2999999999999997E-2</v>
      </c>
      <c r="AW107" s="14">
        <v>0.04</v>
      </c>
      <c r="AX107" s="14">
        <v>4.4900000000000002E-2</v>
      </c>
      <c r="AY107" s="14">
        <v>4.4999999999999998E-2</v>
      </c>
      <c r="AZ107" s="14">
        <v>4.0399999999999998E-2</v>
      </c>
      <c r="BA107" s="13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8">
        <v>4.4200000000000003E-2</v>
      </c>
      <c r="BM107" s="1"/>
      <c r="BN107" s="58">
        <v>5.2999999999999999E-2</v>
      </c>
      <c r="BO107" s="1"/>
      <c r="BP107" s="1"/>
      <c r="BQ107" s="1"/>
      <c r="BR107" s="58">
        <v>3.7199999999999997E-2</v>
      </c>
      <c r="BS107" s="13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>
        <v>3.6400000000000002E-2</v>
      </c>
      <c r="Q108" s="86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>
        <v>2.5000000000000001E-2</v>
      </c>
      <c r="AI108" s="13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4">
        <v>0.04</v>
      </c>
      <c r="AU108" s="14">
        <v>3.9E-2</v>
      </c>
      <c r="AV108" s="14">
        <v>4.2999999999999997E-2</v>
      </c>
      <c r="AW108" s="14">
        <v>0.04</v>
      </c>
      <c r="AX108" s="14">
        <v>4.4900000000000002E-2</v>
      </c>
      <c r="AY108" s="14">
        <v>4.4999999999999998E-2</v>
      </c>
      <c r="AZ108" s="14">
        <v>4.0399999999999998E-2</v>
      </c>
      <c r="BA108" s="13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8">
        <v>4.4200000000000003E-2</v>
      </c>
      <c r="BM108" s="1"/>
      <c r="BN108" s="58">
        <v>5.2999999999999999E-2</v>
      </c>
      <c r="BO108" s="1"/>
      <c r="BP108" s="1"/>
      <c r="BQ108" s="1"/>
      <c r="BR108" s="58">
        <v>3.6799999999999999E-2</v>
      </c>
      <c r="BS108" s="13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>
        <v>3.5799999999999998E-2</v>
      </c>
      <c r="Q109" s="86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>
        <v>2.5000000000000001E-2</v>
      </c>
      <c r="AI109" s="13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4">
        <v>4.4499999999999998E-2</v>
      </c>
      <c r="AU109" s="14">
        <v>3.9E-2</v>
      </c>
      <c r="AV109" s="14">
        <v>4.2999999999999997E-2</v>
      </c>
      <c r="AW109" s="14">
        <v>0.04</v>
      </c>
      <c r="AX109" s="14">
        <v>4.4900000000000002E-2</v>
      </c>
      <c r="AY109" s="14">
        <v>4.4999999999999998E-2</v>
      </c>
      <c r="AZ109" s="14">
        <v>4.0399999999999998E-2</v>
      </c>
      <c r="BA109" s="13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8">
        <v>4.3799999999999999E-2</v>
      </c>
      <c r="BM109" s="1"/>
      <c r="BN109" s="58">
        <v>5.2600000000000001E-2</v>
      </c>
      <c r="BO109" s="1"/>
      <c r="BP109" s="1"/>
      <c r="BQ109" s="1"/>
      <c r="BR109" s="58">
        <v>3.6600000000000001E-2</v>
      </c>
      <c r="BS109" s="13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>
        <v>3.5799999999999998E-2</v>
      </c>
      <c r="Q110" s="86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>
        <v>2.5000000000000001E-2</v>
      </c>
      <c r="AI110" s="13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4">
        <v>3.7999999999999999E-2</v>
      </c>
      <c r="AU110" s="14">
        <v>3.9E-2</v>
      </c>
      <c r="AV110" s="14">
        <v>3.7999999999999999E-2</v>
      </c>
      <c r="AW110" s="14">
        <v>3.9E-2</v>
      </c>
      <c r="AX110" s="14">
        <v>4.5400000000000003E-2</v>
      </c>
      <c r="AY110" s="14">
        <v>5.3999999999999999E-2</v>
      </c>
      <c r="AZ110" s="14">
        <v>4.0300000000000002E-2</v>
      </c>
      <c r="BA110" s="13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8">
        <v>4.4400000000000002E-2</v>
      </c>
      <c r="BM110" s="1"/>
      <c r="BN110" s="58">
        <v>5.3199999999999997E-2</v>
      </c>
      <c r="BO110" s="1"/>
      <c r="BP110" s="1"/>
      <c r="BQ110" s="1"/>
      <c r="BR110" s="58">
        <v>3.7100000000000001E-2</v>
      </c>
      <c r="BS110" s="13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>
        <v>3.61E-2</v>
      </c>
      <c r="Q111" s="86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>
        <v>2.5000000000000001E-2</v>
      </c>
      <c r="AI111" s="13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4">
        <v>3.5000000000000003E-2</v>
      </c>
      <c r="AU111" s="14">
        <v>3.6900000000000002E-2</v>
      </c>
      <c r="AV111" s="14">
        <v>3.7999999999999999E-2</v>
      </c>
      <c r="AW111" s="14">
        <v>3.9E-2</v>
      </c>
      <c r="AX111" s="14">
        <v>4.5400000000000003E-2</v>
      </c>
      <c r="AY111" s="14">
        <v>5.45E-2</v>
      </c>
      <c r="AZ111" s="14">
        <v>4.0399999999999998E-2</v>
      </c>
      <c r="BA111" s="13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8">
        <v>4.4200000000000003E-2</v>
      </c>
      <c r="BM111" s="1"/>
      <c r="BN111" s="58">
        <v>5.2999999999999999E-2</v>
      </c>
      <c r="BO111" s="1"/>
      <c r="BP111" s="1"/>
      <c r="BQ111" s="1"/>
      <c r="BR111" s="58">
        <v>3.6799999999999999E-2</v>
      </c>
      <c r="BS111" s="13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>
        <v>3.4200000000000001E-2</v>
      </c>
      <c r="Q112" s="86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>
        <v>2.5000000000000001E-2</v>
      </c>
      <c r="AI112" s="13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4">
        <v>3.4500000000000003E-2</v>
      </c>
      <c r="AU112" s="14">
        <v>3.6799999999999999E-2</v>
      </c>
      <c r="AV112" s="14">
        <v>3.9899999999999998E-2</v>
      </c>
      <c r="AW112" s="14" t="s">
        <v>69</v>
      </c>
      <c r="AX112" s="14">
        <v>4.4999999999999998E-2</v>
      </c>
      <c r="AY112" s="14">
        <v>5.5E-2</v>
      </c>
      <c r="AZ112" s="14">
        <v>3.9899999999999998E-2</v>
      </c>
      <c r="BA112" s="13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8">
        <v>4.36E-2</v>
      </c>
      <c r="BM112" s="1"/>
      <c r="BN112" s="58">
        <v>5.2299999999999999E-2</v>
      </c>
      <c r="BO112" s="1"/>
      <c r="BP112" s="1"/>
      <c r="BQ112" s="1"/>
      <c r="BR112" s="58">
        <v>3.6499999999999998E-2</v>
      </c>
      <c r="BS112" s="13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>
        <v>3.3000000000000002E-2</v>
      </c>
      <c r="Q113" s="86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>
        <v>2.5000000000000001E-2</v>
      </c>
      <c r="AI113" s="13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4">
        <v>3.2000000000000001E-2</v>
      </c>
      <c r="AU113" s="14">
        <v>3.2000000000000001E-2</v>
      </c>
      <c r="AV113" s="14">
        <v>4.2999999999999997E-2</v>
      </c>
      <c r="AW113" s="14">
        <v>0.04</v>
      </c>
      <c r="AX113" s="14">
        <v>4.8000000000000001E-2</v>
      </c>
      <c r="AY113" s="14">
        <v>5.2999999999999999E-2</v>
      </c>
      <c r="AZ113" s="14">
        <v>3.6600000000000001E-2</v>
      </c>
      <c r="BA113" s="13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8">
        <v>4.19E-2</v>
      </c>
      <c r="BM113" s="1"/>
      <c r="BN113" s="58">
        <v>5.0299999999999997E-2</v>
      </c>
      <c r="BO113" s="1"/>
      <c r="BP113" s="1"/>
      <c r="BQ113" s="1"/>
      <c r="BR113" s="58">
        <v>3.5400000000000001E-2</v>
      </c>
      <c r="BS113" s="13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>
        <v>3.2500000000000001E-2</v>
      </c>
      <c r="Q114" s="86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>
        <v>2.5000000000000001E-2</v>
      </c>
      <c r="AI114" s="13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4">
        <v>3.2000000000000001E-2</v>
      </c>
      <c r="AU114" s="14">
        <v>3.2000000000000001E-2</v>
      </c>
      <c r="AV114" s="14">
        <v>4.2999999999999997E-2</v>
      </c>
      <c r="AW114" s="14">
        <v>0.04</v>
      </c>
      <c r="AX114" s="14">
        <v>4.8000000000000001E-2</v>
      </c>
      <c r="AY114" s="14">
        <v>5.2999999999999999E-2</v>
      </c>
      <c r="AZ114" s="14">
        <v>3.5999999999999997E-2</v>
      </c>
      <c r="BA114" s="13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8">
        <v>4.19E-2</v>
      </c>
      <c r="BM114" s="1"/>
      <c r="BN114" s="58">
        <v>5.0299999999999997E-2</v>
      </c>
      <c r="BO114" s="1"/>
      <c r="BP114" s="1"/>
      <c r="BQ114" s="1"/>
      <c r="BR114" s="58">
        <v>3.5400000000000001E-2</v>
      </c>
      <c r="BS114" s="13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>
        <v>3.2500000000000001E-2</v>
      </c>
      <c r="Q115" s="86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>
        <v>2.5000000000000001E-2</v>
      </c>
      <c r="AI115" s="13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4">
        <v>3.2000000000000001E-2</v>
      </c>
      <c r="AU115" s="14">
        <v>3.2000000000000001E-2</v>
      </c>
      <c r="AV115" s="14">
        <v>4.2999999999999997E-2</v>
      </c>
      <c r="AW115" s="14">
        <v>0.04</v>
      </c>
      <c r="AX115" s="14">
        <v>4.8000000000000001E-2</v>
      </c>
      <c r="AY115" s="14">
        <v>5.2999999999999999E-2</v>
      </c>
      <c r="AZ115" s="14">
        <v>3.5099999999999999E-2</v>
      </c>
      <c r="BA115" s="13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8">
        <v>4.19E-2</v>
      </c>
      <c r="BM115" s="1"/>
      <c r="BN115" s="58">
        <v>5.0299999999999997E-2</v>
      </c>
      <c r="BO115" s="1"/>
      <c r="BP115" s="1"/>
      <c r="BQ115" s="1"/>
      <c r="BR115" s="58">
        <v>3.4700000000000002E-2</v>
      </c>
      <c r="BS115" s="13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>
        <v>3.32E-2</v>
      </c>
      <c r="Q116" s="86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>
        <v>2.5000000000000001E-2</v>
      </c>
      <c r="AI116" s="13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4">
        <v>0.03</v>
      </c>
      <c r="AU116" s="14">
        <v>3.5000000000000003E-2</v>
      </c>
      <c r="AV116" s="14">
        <v>3.9E-2</v>
      </c>
      <c r="AW116" s="14">
        <v>0.04</v>
      </c>
      <c r="AX116" s="14">
        <v>4.7300000000000002E-2</v>
      </c>
      <c r="AY116" s="14">
        <v>5.2999999999999999E-2</v>
      </c>
      <c r="AZ116" s="14">
        <v>3.7199999999999997E-2</v>
      </c>
      <c r="BA116" s="13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8">
        <v>4.1200000000000001E-2</v>
      </c>
      <c r="BM116" s="1"/>
      <c r="BN116" s="58">
        <v>4.9000000000000002E-2</v>
      </c>
      <c r="BO116" s="1"/>
      <c r="BP116" s="1"/>
      <c r="BQ116" s="1"/>
      <c r="BR116" s="58">
        <v>3.4099999999999998E-2</v>
      </c>
      <c r="BS116" s="13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>
        <v>3.3300000000000003E-2</v>
      </c>
      <c r="Q117" s="86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>
        <v>2.5000000000000001E-2</v>
      </c>
      <c r="AI117" s="13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4">
        <v>2.8500000000000001E-2</v>
      </c>
      <c r="AU117" s="14">
        <v>3.5000000000000003E-2</v>
      </c>
      <c r="AV117" s="14">
        <v>3.7999999999999999E-2</v>
      </c>
      <c r="AW117" s="14">
        <v>5.7200000000000001E-2</v>
      </c>
      <c r="AX117" s="14">
        <v>4.8000000000000001E-2</v>
      </c>
      <c r="AY117" s="14">
        <v>5.2999999999999999E-2</v>
      </c>
      <c r="AZ117" s="14">
        <v>3.7199999999999997E-2</v>
      </c>
      <c r="BA117" s="13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8">
        <v>4.1200000000000001E-2</v>
      </c>
      <c r="BM117" s="1"/>
      <c r="BN117" s="58">
        <v>4.9399999999999999E-2</v>
      </c>
      <c r="BO117" s="1"/>
      <c r="BP117" s="1"/>
      <c r="BQ117" s="1"/>
      <c r="BR117" s="58">
        <v>3.4299999999999997E-2</v>
      </c>
      <c r="BS117" s="13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8">
        <v>3.2500000000000001E-2</v>
      </c>
      <c r="Q118" s="86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8">
        <v>2.5000000000000001E-2</v>
      </c>
      <c r="AI118" s="13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4">
        <v>3.1E-2</v>
      </c>
      <c r="AU118" s="14">
        <v>0.04</v>
      </c>
      <c r="AV118" s="14">
        <v>3.6999999999999998E-2</v>
      </c>
      <c r="AW118" s="14">
        <v>5.7000000000000002E-2</v>
      </c>
      <c r="AX118" s="14">
        <v>4.8000000000000001E-2</v>
      </c>
      <c r="AY118" s="14">
        <v>5.79E-2</v>
      </c>
      <c r="AZ118" s="14">
        <v>3.6400000000000002E-2</v>
      </c>
      <c r="BA118" s="13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8">
        <v>4.1000000000000002E-2</v>
      </c>
      <c r="BM118" s="1"/>
      <c r="BN118" s="58">
        <v>4.82E-2</v>
      </c>
      <c r="BO118" s="1"/>
      <c r="BP118" s="1"/>
      <c r="BQ118" s="1"/>
      <c r="BR118" s="58">
        <v>3.4000000000000002E-2</v>
      </c>
      <c r="BS118" s="13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8">
        <v>3.1699999999999999E-2</v>
      </c>
      <c r="Q119" s="86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8">
        <v>2.5000000000000001E-2</v>
      </c>
      <c r="AI119" s="13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4">
        <v>3.2000000000000001E-2</v>
      </c>
      <c r="AU119" s="14">
        <v>4.4499999999999998E-2</v>
      </c>
      <c r="AV119" s="14">
        <v>0.04</v>
      </c>
      <c r="AW119" s="14">
        <v>6.3E-2</v>
      </c>
      <c r="AX119" s="14">
        <v>4.8000000000000001E-2</v>
      </c>
      <c r="AY119" s="14">
        <v>5.8999999999999997E-2</v>
      </c>
      <c r="AZ119" s="14">
        <v>3.5099999999999999E-2</v>
      </c>
      <c r="BA119" s="13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8">
        <v>4.1000000000000002E-2</v>
      </c>
      <c r="BM119" s="1"/>
      <c r="BN119" s="58">
        <v>4.7399999999999998E-2</v>
      </c>
      <c r="BO119" s="1"/>
      <c r="BP119" s="1"/>
      <c r="BQ119" s="1"/>
      <c r="BR119" s="58">
        <v>3.3000000000000002E-2</v>
      </c>
      <c r="BS119" s="13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8">
        <v>3.15E-2</v>
      </c>
      <c r="Q120" s="86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8">
        <v>2.5000000000000001E-2</v>
      </c>
      <c r="AI120" s="13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4">
        <v>3.2000000000000001E-2</v>
      </c>
      <c r="AU120" s="14">
        <v>3.2500000000000001E-2</v>
      </c>
      <c r="AV120" s="14">
        <v>3.6600000000000001E-2</v>
      </c>
      <c r="AW120" s="14">
        <v>3.8899999999999997E-2</v>
      </c>
      <c r="AX120" s="14">
        <v>4.65E-2</v>
      </c>
      <c r="AY120" s="14">
        <v>5.7799999999999997E-2</v>
      </c>
      <c r="AZ120" s="14">
        <v>3.5299999999999998E-2</v>
      </c>
      <c r="BA120" s="13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8">
        <v>4.1000000000000002E-2</v>
      </c>
      <c r="BM120" s="1"/>
      <c r="BN120" s="58">
        <v>4.7399999999999998E-2</v>
      </c>
      <c r="BO120" s="1"/>
      <c r="BP120" s="1"/>
      <c r="BQ120" s="1"/>
      <c r="BR120" s="58">
        <v>3.1300000000000001E-2</v>
      </c>
      <c r="BS120" s="13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8">
        <v>3.1800000000000002E-2</v>
      </c>
      <c r="Q121" s="86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8">
        <v>2.5000000000000001E-2</v>
      </c>
      <c r="AI121" s="13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4">
        <v>3.2000000000000001E-2</v>
      </c>
      <c r="AU121" s="14">
        <v>3.2500000000000001E-2</v>
      </c>
      <c r="AV121" s="14">
        <v>3.6600000000000001E-2</v>
      </c>
      <c r="AW121" s="14">
        <v>3.8899999999999997E-2</v>
      </c>
      <c r="AX121" s="14">
        <v>4.65E-2</v>
      </c>
      <c r="AY121" s="14">
        <v>5.7799999999999997E-2</v>
      </c>
      <c r="AZ121" s="14">
        <v>3.5299999999999998E-2</v>
      </c>
      <c r="BA121" s="13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8">
        <v>5.9299999999999999E-2</v>
      </c>
      <c r="BM121" s="1"/>
      <c r="BN121" s="58">
        <v>7.1099999999999997E-2</v>
      </c>
      <c r="BO121" s="1"/>
      <c r="BP121" s="1"/>
      <c r="BQ121" s="1"/>
      <c r="BR121" s="58">
        <v>4.1700000000000001E-2</v>
      </c>
      <c r="BS121" s="13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8">
        <v>3.1800000000000002E-2</v>
      </c>
      <c r="Q122" s="86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8">
        <v>2.5000000000000001E-2</v>
      </c>
      <c r="AI122" s="13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4">
        <v>3.2000000000000001E-2</v>
      </c>
      <c r="AU122" s="14">
        <v>3.2500000000000001E-2</v>
      </c>
      <c r="AV122" s="14">
        <v>3.6600000000000001E-2</v>
      </c>
      <c r="AW122" s="14">
        <v>3.8899999999999997E-2</v>
      </c>
      <c r="AX122" s="14">
        <v>4.65E-2</v>
      </c>
      <c r="AY122" s="14">
        <v>5.7799999999999997E-2</v>
      </c>
      <c r="AZ122" s="14">
        <v>3.5299999999999998E-2</v>
      </c>
      <c r="BA122" s="13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8">
        <v>5.9299999999999999E-2</v>
      </c>
      <c r="BM122" s="1"/>
      <c r="BN122" s="58">
        <v>7.1099999999999997E-2</v>
      </c>
      <c r="BO122" s="1"/>
      <c r="BP122" s="1"/>
      <c r="BQ122" s="1"/>
      <c r="BR122" s="58">
        <v>4.9500000000000002E-2</v>
      </c>
      <c r="BS122" s="13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8">
        <v>3.3500000000000002E-2</v>
      </c>
      <c r="Q123" s="86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8">
        <v>2.5000000000000001E-2</v>
      </c>
      <c r="AI123" s="13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4">
        <v>3.2000000000000001E-2</v>
      </c>
      <c r="AU123" s="14">
        <v>3.9899999999999998E-2</v>
      </c>
      <c r="AV123" s="14">
        <v>3.1E-2</v>
      </c>
      <c r="AW123" s="14">
        <v>6.0999999999999999E-2</v>
      </c>
      <c r="AX123" s="14">
        <v>4.9000000000000002E-2</v>
      </c>
      <c r="AY123" s="14">
        <v>5.9900000000000002E-2</v>
      </c>
      <c r="AZ123" s="14">
        <v>3.6299999999999999E-2</v>
      </c>
      <c r="BA123" s="13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8">
        <v>6.3299999999999995E-2</v>
      </c>
      <c r="BM123" s="1"/>
      <c r="BN123" s="58">
        <v>7.5899999999999995E-2</v>
      </c>
      <c r="BO123" s="1"/>
      <c r="BP123" s="1"/>
      <c r="BQ123" s="1"/>
      <c r="BR123" s="58">
        <v>5.28E-2</v>
      </c>
      <c r="BS123" s="13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8">
        <v>3.27E-2</v>
      </c>
      <c r="Q124" s="86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8">
        <v>2.5000000000000001E-2</v>
      </c>
      <c r="AI124" s="13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4">
        <v>3.2000000000000001E-2</v>
      </c>
      <c r="AU124" s="14">
        <v>3.2000000000000001E-2</v>
      </c>
      <c r="AV124" s="14">
        <v>3.7999999999999999E-2</v>
      </c>
      <c r="AW124" s="14">
        <v>5.9700000000000003E-2</v>
      </c>
      <c r="AX124" s="14">
        <v>4.9000000000000002E-2</v>
      </c>
      <c r="AY124" s="14">
        <v>5.6899999999999999E-2</v>
      </c>
      <c r="AZ124" s="14">
        <v>3.6799999999999999E-2</v>
      </c>
      <c r="BA124" s="13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8">
        <v>6.3799999999999996E-2</v>
      </c>
      <c r="BM124" s="1"/>
      <c r="BN124" s="58">
        <v>7.6600000000000001E-2</v>
      </c>
      <c r="BO124" s="1"/>
      <c r="BP124" s="1"/>
      <c r="BQ124" s="1"/>
      <c r="BR124" s="58">
        <v>5.3199999999999997E-2</v>
      </c>
      <c r="BS124" s="13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8">
        <v>3.2399999999999998E-2</v>
      </c>
      <c r="Q125" s="86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8">
        <v>2.5000000000000001E-2</v>
      </c>
      <c r="AI125" s="13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4">
        <v>3.2000000000000001E-2</v>
      </c>
      <c r="AU125" s="14">
        <v>0.04</v>
      </c>
      <c r="AV125" s="14">
        <v>4.5999999999999999E-2</v>
      </c>
      <c r="AW125" s="14">
        <v>5.96E-2</v>
      </c>
      <c r="AX125" s="14">
        <v>4.9000000000000002E-2</v>
      </c>
      <c r="AY125" s="14">
        <v>5.96E-2</v>
      </c>
      <c r="AZ125" s="14">
        <v>3.61E-2</v>
      </c>
      <c r="BA125" s="13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8">
        <v>6.3200000000000006E-2</v>
      </c>
      <c r="BM125" s="1"/>
      <c r="BN125" s="58">
        <v>7.5800000000000006E-2</v>
      </c>
      <c r="BO125" s="1"/>
      <c r="BP125" s="1"/>
      <c r="BQ125" s="1"/>
      <c r="BR125" s="58">
        <v>5.2699999999999997E-2</v>
      </c>
      <c r="BS125" s="13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8">
        <v>3.32E-2</v>
      </c>
      <c r="Q126" s="86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8">
        <v>2.5000000000000001E-2</v>
      </c>
      <c r="AI126" s="13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4">
        <v>3.2000000000000001E-2</v>
      </c>
      <c r="AU126" s="14">
        <v>3.9899999999999998E-2</v>
      </c>
      <c r="AV126" s="14">
        <v>4.1000000000000002E-2</v>
      </c>
      <c r="AW126" s="14">
        <v>5.9299999999999999E-2</v>
      </c>
      <c r="AX126" s="14">
        <v>4.0899999999999999E-2</v>
      </c>
      <c r="AY126" s="14" t="s">
        <v>71</v>
      </c>
      <c r="AZ126" s="14">
        <v>3.6999999999999998E-2</v>
      </c>
      <c r="BA126" s="13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8">
        <v>6.4699999999999994E-2</v>
      </c>
      <c r="BM126" s="1"/>
      <c r="BN126" s="58">
        <v>7.7700000000000005E-2</v>
      </c>
      <c r="BO126" s="1"/>
      <c r="BP126" s="1"/>
      <c r="BQ126" s="1"/>
      <c r="BR126" s="58">
        <v>5.3999999999999999E-2</v>
      </c>
      <c r="BS126" s="13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8">
        <v>3.39E-2</v>
      </c>
      <c r="Q127" s="86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8">
        <v>2.5000000000000001E-2</v>
      </c>
      <c r="AI127" s="13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4">
        <v>3.2000000000000001E-2</v>
      </c>
      <c r="AU127" s="14">
        <v>3.78E-2</v>
      </c>
      <c r="AV127" s="14">
        <v>4.0800000000000003E-2</v>
      </c>
      <c r="AW127" s="14">
        <v>5.8400000000000001E-2</v>
      </c>
      <c r="AX127" s="14">
        <v>0.04</v>
      </c>
      <c r="AY127" s="14">
        <v>4.3999999999999997E-2</v>
      </c>
      <c r="AZ127" s="14">
        <v>3.6600000000000001E-2</v>
      </c>
      <c r="BA127" s="13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8">
        <v>5.1900000000000002E-2</v>
      </c>
      <c r="BM127" s="1"/>
      <c r="BN127" s="58">
        <v>6.2199999999999998E-2</v>
      </c>
      <c r="BO127" s="1"/>
      <c r="BP127" s="1"/>
      <c r="BQ127" s="1"/>
      <c r="BR127" s="58">
        <v>5.3600000000000002E-2</v>
      </c>
      <c r="BS127" s="13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8">
        <v>3.4200000000000001E-2</v>
      </c>
      <c r="Q128" s="86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8">
        <v>2.5000000000000001E-2</v>
      </c>
      <c r="AI128" s="13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4">
        <v>3.2000000000000001E-2</v>
      </c>
      <c r="AU128" s="14">
        <v>3.78E-2</v>
      </c>
      <c r="AV128" s="14">
        <v>4.0800000000000003E-2</v>
      </c>
      <c r="AW128" s="14">
        <v>5.8400000000000001E-2</v>
      </c>
      <c r="AX128" s="14">
        <v>0.04</v>
      </c>
      <c r="AY128" s="14">
        <v>4.3999999999999997E-2</v>
      </c>
      <c r="AZ128" s="14">
        <v>3.6600000000000001E-2</v>
      </c>
      <c r="BA128" s="13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8">
        <v>5.1900000000000002E-2</v>
      </c>
      <c r="BM128" s="1"/>
      <c r="BN128" s="58">
        <v>6.2199999999999998E-2</v>
      </c>
      <c r="BO128" s="1"/>
      <c r="BP128" s="1"/>
      <c r="BQ128" s="1"/>
      <c r="BR128" s="58">
        <v>5.3600000000000002E-2</v>
      </c>
      <c r="BS128" s="13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8">
        <v>3.2899999999999999E-2</v>
      </c>
      <c r="Q129" s="86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8">
        <v>2.5000000000000001E-2</v>
      </c>
      <c r="AI129" s="13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4">
        <v>3.2000000000000001E-2</v>
      </c>
      <c r="AU129" s="14">
        <v>3.78E-2</v>
      </c>
      <c r="AV129" s="14">
        <v>4.0800000000000003E-2</v>
      </c>
      <c r="AW129" s="14">
        <v>5.8400000000000001E-2</v>
      </c>
      <c r="AX129" s="14">
        <v>0.04</v>
      </c>
      <c r="AY129" s="14">
        <v>4.3999999999999997E-2</v>
      </c>
      <c r="AZ129" s="14">
        <v>3.6600000000000001E-2</v>
      </c>
      <c r="BA129" s="13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8">
        <v>5.1900000000000002E-2</v>
      </c>
      <c r="BM129" s="1"/>
      <c r="BN129" s="58">
        <v>6.2199999999999998E-2</v>
      </c>
      <c r="BO129" s="1"/>
      <c r="BP129" s="1"/>
      <c r="BQ129" s="1"/>
      <c r="BR129" s="58">
        <v>4.3200000000000002E-2</v>
      </c>
      <c r="BS129" s="13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8">
        <v>3.5900000000000001E-2</v>
      </c>
      <c r="Q130" s="86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8">
        <v>2.5000000000000001E-2</v>
      </c>
      <c r="AI130" s="13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4">
        <v>0.03</v>
      </c>
      <c r="AU130" s="14">
        <v>3.1899999999999998E-2</v>
      </c>
      <c r="AV130" s="14">
        <v>3.9E-2</v>
      </c>
      <c r="AW130" s="14">
        <v>5.7799999999999997E-2</v>
      </c>
      <c r="AX130" s="14">
        <v>4.4999999999999998E-2</v>
      </c>
      <c r="AY130" s="14">
        <v>4.1000000000000002E-2</v>
      </c>
      <c r="AZ130" s="14">
        <v>3.9800000000000002E-2</v>
      </c>
      <c r="BA130" s="13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8">
        <v>5.1900000000000002E-2</v>
      </c>
      <c r="BM130" s="1"/>
      <c r="BN130" s="58">
        <v>6.2199999999999998E-2</v>
      </c>
      <c r="BO130" s="1"/>
      <c r="BP130" s="1"/>
      <c r="BQ130" s="1"/>
      <c r="BR130" s="58">
        <v>4.3200000000000002E-2</v>
      </c>
      <c r="BS130" s="13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8">
        <v>3.5499999999999997E-2</v>
      </c>
      <c r="Q131" s="86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8">
        <v>2.5000000000000001E-2</v>
      </c>
      <c r="AI131" s="13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4">
        <v>3.2000000000000001E-2</v>
      </c>
      <c r="AU131" s="14">
        <v>4.2999999999999997E-2</v>
      </c>
      <c r="AV131" s="14">
        <v>4.1000000000000002E-2</v>
      </c>
      <c r="AW131" s="14">
        <v>5.8000000000000003E-2</v>
      </c>
      <c r="AX131" s="14">
        <v>4.9500000000000002E-2</v>
      </c>
      <c r="AY131" s="14">
        <v>5.5E-2</v>
      </c>
      <c r="AZ131" s="14">
        <v>3.9600000000000003E-2</v>
      </c>
      <c r="BA131" s="13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8">
        <v>4.87E-2</v>
      </c>
      <c r="BM131" s="1"/>
      <c r="BN131" s="58">
        <v>5.16E-2</v>
      </c>
      <c r="BO131" s="1"/>
      <c r="BP131" s="1"/>
      <c r="BQ131" s="1"/>
      <c r="BR131" s="58">
        <v>3.5900000000000001E-2</v>
      </c>
      <c r="BS131" s="13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8">
        <v>3.6299999999999999E-2</v>
      </c>
      <c r="Q132" s="86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8">
        <v>2.5000000000000001E-2</v>
      </c>
      <c r="AI132" s="13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4">
        <v>3.5000000000000003E-2</v>
      </c>
      <c r="AU132" s="14">
        <v>4.2999999999999997E-2</v>
      </c>
      <c r="AV132" s="14">
        <v>4.1000000000000002E-2</v>
      </c>
      <c r="AW132" s="14">
        <v>5.21E-2</v>
      </c>
      <c r="AX132" s="14">
        <v>4.8800000000000003E-2</v>
      </c>
      <c r="AY132" s="14">
        <v>5.9700000000000003E-2</v>
      </c>
      <c r="AZ132" s="14">
        <v>4.0300000000000002E-2</v>
      </c>
      <c r="BA132" s="13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8">
        <v>4.7E-2</v>
      </c>
      <c r="BM132" s="1"/>
      <c r="BN132" s="58">
        <v>5.4199999999999998E-2</v>
      </c>
      <c r="BO132" s="1"/>
      <c r="BP132" s="1"/>
      <c r="BQ132" s="1"/>
      <c r="BR132" s="58">
        <v>3.7600000000000001E-2</v>
      </c>
      <c r="BS132" s="13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8">
        <v>3.73E-2</v>
      </c>
      <c r="Q133" s="86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8">
        <v>2.5000000000000001E-2</v>
      </c>
      <c r="AI133" s="13">
        <f t="shared" ref="AI133:AI141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4">
        <v>3.49E-2</v>
      </c>
      <c r="AU133" s="14">
        <v>3.7999999999999999E-2</v>
      </c>
      <c r="AV133" s="14">
        <v>3.9899999999999998E-2</v>
      </c>
      <c r="AW133" s="14">
        <v>5.7599999999999998E-2</v>
      </c>
      <c r="AX133" s="14">
        <v>3.9100000000000003E-2</v>
      </c>
      <c r="AY133" s="14">
        <v>5.1999999999999998E-2</v>
      </c>
      <c r="AZ133" s="14">
        <v>4.1500000000000002E-2</v>
      </c>
      <c r="BA133" s="13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8">
        <v>4.6600000000000003E-2</v>
      </c>
      <c r="BM133" s="1"/>
      <c r="BN133" s="58">
        <v>5.3499999999999999E-2</v>
      </c>
      <c r="BO133" s="1"/>
      <c r="BP133" s="1"/>
      <c r="BQ133" s="1"/>
      <c r="BR133" s="58">
        <v>3.7100000000000001E-2</v>
      </c>
      <c r="BS133" s="13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8">
        <v>3.6900000000000002E-2</v>
      </c>
      <c r="Q134" s="86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8">
        <v>2.5000000000000001E-2</v>
      </c>
      <c r="AI134" s="13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4">
        <v>5.0999999999999997E-2</v>
      </c>
      <c r="AU134" s="14">
        <v>4.2799999999999998E-2</v>
      </c>
      <c r="AV134" s="14">
        <v>0.04</v>
      </c>
      <c r="AW134" s="14">
        <v>5.5899999999999998E-2</v>
      </c>
      <c r="AX134" s="14">
        <v>3.9100000000000003E-2</v>
      </c>
      <c r="AY134" s="14">
        <v>4.0099999999999997E-2</v>
      </c>
      <c r="AZ134" s="14">
        <v>4.1000000000000002E-2</v>
      </c>
      <c r="BA134" s="13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8">
        <v>4.5999999999999999E-2</v>
      </c>
      <c r="BM134" s="1"/>
      <c r="BN134" s="58">
        <v>5.4899999999999997E-2</v>
      </c>
      <c r="BO134" s="1"/>
      <c r="BP134" s="1"/>
      <c r="BQ134" s="1"/>
      <c r="BR134" s="58">
        <v>3.73E-2</v>
      </c>
      <c r="BS134" s="13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8">
        <v>3.7999999999999999E-2</v>
      </c>
      <c r="Q135" s="86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8">
        <v>2.5000000000000001E-2</v>
      </c>
      <c r="AI135" s="13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4">
        <v>5.0999999999999997E-2</v>
      </c>
      <c r="AU135" s="14">
        <v>4.2799999999999998E-2</v>
      </c>
      <c r="AV135" s="14">
        <v>0.04</v>
      </c>
      <c r="AW135" s="14">
        <v>5.5899999999999998E-2</v>
      </c>
      <c r="AX135" s="14">
        <v>3.9100000000000003E-2</v>
      </c>
      <c r="AY135" s="14">
        <v>4.0099999999999997E-2</v>
      </c>
      <c r="AZ135" s="14">
        <v>4.1000000000000002E-2</v>
      </c>
      <c r="BA135" s="13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8">
        <v>4.5999999999999999E-2</v>
      </c>
      <c r="BM135" s="1"/>
      <c r="BN135" s="58">
        <v>5.4899999999999997E-2</v>
      </c>
      <c r="BO135" s="1"/>
      <c r="BP135" s="1"/>
      <c r="BQ135" s="1"/>
      <c r="BR135" s="58">
        <v>3.7499999999999999E-2</v>
      </c>
      <c r="BS135" s="13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8">
        <v>3.8199999999999998E-2</v>
      </c>
      <c r="Q136" s="86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8">
        <v>2.5000000000000001E-2</v>
      </c>
      <c r="AI136" s="13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4">
        <v>5.0999999999999997E-2</v>
      </c>
      <c r="AU136" s="14">
        <v>4.2799999999999998E-2</v>
      </c>
      <c r="AV136" s="14">
        <v>0.04</v>
      </c>
      <c r="AW136" s="14">
        <v>5.5899999999999998E-2</v>
      </c>
      <c r="AX136" s="14">
        <v>3.9100000000000003E-2</v>
      </c>
      <c r="AY136" s="14">
        <v>4.0099999999999997E-2</v>
      </c>
      <c r="AZ136" s="14">
        <v>4.1000000000000002E-2</v>
      </c>
      <c r="BA136" s="13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8">
        <v>4.5999999999999999E-2</v>
      </c>
      <c r="BM136" s="1"/>
      <c r="BN136" s="58">
        <v>5.4899999999999997E-2</v>
      </c>
      <c r="BO136" s="1"/>
      <c r="BP136" s="1"/>
      <c r="BQ136" s="1"/>
      <c r="BR136" s="58">
        <v>3.8199999999999998E-2</v>
      </c>
      <c r="BS136" s="13">
        <f t="shared" si="15"/>
        <v>2.3899999999999998E-2</v>
      </c>
    </row>
    <row r="137" spans="1:71" x14ac:dyDescent="0.35">
      <c r="A137" s="4">
        <v>46210</v>
      </c>
      <c r="B137" s="3"/>
      <c r="C137" s="3"/>
      <c r="D137" s="3"/>
      <c r="E137" s="3"/>
      <c r="F137" s="3"/>
      <c r="G137" s="3"/>
      <c r="H137" s="9"/>
      <c r="I137" s="2">
        <v>46210</v>
      </c>
      <c r="J137" s="1"/>
      <c r="K137" s="1"/>
      <c r="L137" s="1"/>
      <c r="M137" s="1"/>
      <c r="N137" s="1"/>
      <c r="O137" s="1"/>
      <c r="P137" s="58"/>
      <c r="Q137" s="86">
        <f t="shared" si="12"/>
        <v>0</v>
      </c>
      <c r="S137" s="4">
        <v>46210</v>
      </c>
      <c r="T137" s="3"/>
      <c r="U137" s="3"/>
      <c r="V137" s="3"/>
      <c r="W137" s="3"/>
      <c r="X137" s="6"/>
      <c r="Y137" s="3"/>
      <c r="Z137" s="6"/>
      <c r="AA137" s="2">
        <v>46210</v>
      </c>
      <c r="AB137" s="1"/>
      <c r="AC137" s="1"/>
      <c r="AD137" s="1"/>
      <c r="AE137" s="1"/>
      <c r="AF137" s="1"/>
      <c r="AG137" s="1"/>
      <c r="AH137" s="58"/>
      <c r="AI137" s="13">
        <f t="shared" si="13"/>
        <v>0</v>
      </c>
      <c r="AK137" s="4">
        <v>46210</v>
      </c>
      <c r="AL137" s="6"/>
      <c r="AM137" s="3"/>
      <c r="AN137" s="3"/>
      <c r="AO137" s="3"/>
      <c r="AP137" s="3"/>
      <c r="AQ137" s="3"/>
      <c r="AR137" s="6"/>
      <c r="AS137" s="2">
        <v>46210</v>
      </c>
      <c r="AT137" s="14"/>
      <c r="AU137" s="14"/>
      <c r="AV137" s="14"/>
      <c r="AW137" s="14"/>
      <c r="AX137" s="14"/>
      <c r="AY137" s="14"/>
      <c r="AZ137" s="14"/>
      <c r="BA137" s="13">
        <f t="shared" si="14"/>
        <v>0</v>
      </c>
      <c r="BC137" s="4">
        <v>46210</v>
      </c>
      <c r="BD137" s="6"/>
      <c r="BE137" s="6"/>
      <c r="BF137" s="6"/>
      <c r="BG137" s="3"/>
      <c r="BH137" s="3"/>
      <c r="BI137" s="3"/>
      <c r="BJ137" s="6"/>
      <c r="BK137" s="2">
        <v>46210</v>
      </c>
      <c r="BL137" s="58"/>
      <c r="BM137" s="1"/>
      <c r="BN137" s="58"/>
      <c r="BO137" s="1"/>
      <c r="BP137" s="1"/>
      <c r="BQ137" s="1"/>
      <c r="BR137" s="58"/>
      <c r="BS137" s="13">
        <f t="shared" si="15"/>
        <v>0</v>
      </c>
    </row>
    <row r="138" spans="1:71" x14ac:dyDescent="0.35">
      <c r="A138" s="4">
        <v>46211</v>
      </c>
      <c r="B138" s="3"/>
      <c r="C138" s="3"/>
      <c r="D138" s="3"/>
      <c r="E138" s="3"/>
      <c r="F138" s="3"/>
      <c r="G138" s="3"/>
      <c r="H138" s="9"/>
      <c r="I138" s="2">
        <v>46211</v>
      </c>
      <c r="J138" s="1"/>
      <c r="K138" s="1"/>
      <c r="L138" s="1"/>
      <c r="M138" s="1"/>
      <c r="N138" s="1"/>
      <c r="O138" s="1"/>
      <c r="P138" s="58"/>
      <c r="Q138" s="86">
        <f t="shared" si="12"/>
        <v>0</v>
      </c>
      <c r="S138" s="4">
        <v>46211</v>
      </c>
      <c r="T138" s="3"/>
      <c r="U138" s="3"/>
      <c r="V138" s="3"/>
      <c r="W138" s="3"/>
      <c r="X138" s="6"/>
      <c r="Y138" s="3"/>
      <c r="Z138" s="6"/>
      <c r="AA138" s="2">
        <v>46211</v>
      </c>
      <c r="AB138" s="1"/>
      <c r="AC138" s="1"/>
      <c r="AD138" s="1"/>
      <c r="AE138" s="1"/>
      <c r="AF138" s="1"/>
      <c r="AG138" s="1"/>
      <c r="AH138" s="58"/>
      <c r="AI138" s="13">
        <f t="shared" si="13"/>
        <v>0</v>
      </c>
      <c r="AK138" s="4">
        <v>46211</v>
      </c>
      <c r="AL138" s="6"/>
      <c r="AM138" s="3"/>
      <c r="AN138" s="3"/>
      <c r="AO138" s="3"/>
      <c r="AP138" s="3"/>
      <c r="AQ138" s="3"/>
      <c r="AR138" s="6"/>
      <c r="AS138" s="2">
        <v>46211</v>
      </c>
      <c r="AT138" s="14"/>
      <c r="AU138" s="14"/>
      <c r="AV138" s="14"/>
      <c r="AW138" s="14"/>
      <c r="AX138" s="14"/>
      <c r="AY138" s="14"/>
      <c r="AZ138" s="14"/>
      <c r="BA138" s="13">
        <f t="shared" si="14"/>
        <v>0</v>
      </c>
      <c r="BC138" s="4">
        <v>46211</v>
      </c>
      <c r="BD138" s="6"/>
      <c r="BE138" s="6"/>
      <c r="BF138" s="6"/>
      <c r="BG138" s="3"/>
      <c r="BH138" s="3"/>
      <c r="BI138" s="3"/>
      <c r="BJ138" s="6"/>
      <c r="BK138" s="2">
        <v>46211</v>
      </c>
      <c r="BL138" s="58"/>
      <c r="BM138" s="1"/>
      <c r="BN138" s="58"/>
      <c r="BO138" s="1"/>
      <c r="BP138" s="1"/>
      <c r="BQ138" s="1"/>
      <c r="BR138" s="58"/>
      <c r="BS138" s="13">
        <f t="shared" si="15"/>
        <v>0</v>
      </c>
    </row>
    <row r="139" spans="1:71" x14ac:dyDescent="0.35">
      <c r="A139" s="4">
        <v>46212</v>
      </c>
      <c r="B139" s="3"/>
      <c r="C139" s="3"/>
      <c r="D139" s="3"/>
      <c r="E139" s="3"/>
      <c r="F139" s="3"/>
      <c r="G139" s="3"/>
      <c r="H139" s="9"/>
      <c r="I139" s="2">
        <v>46212</v>
      </c>
      <c r="J139" s="1"/>
      <c r="K139" s="1"/>
      <c r="L139" s="1"/>
      <c r="M139" s="1"/>
      <c r="N139" s="1"/>
      <c r="O139" s="1"/>
      <c r="P139" s="58"/>
      <c r="Q139" s="86">
        <f t="shared" si="12"/>
        <v>0</v>
      </c>
      <c r="S139" s="4">
        <v>46212</v>
      </c>
      <c r="T139" s="3"/>
      <c r="U139" s="3"/>
      <c r="V139" s="3"/>
      <c r="W139" s="3"/>
      <c r="X139" s="6"/>
      <c r="Y139" s="3"/>
      <c r="Z139" s="6"/>
      <c r="AA139" s="2">
        <v>46212</v>
      </c>
      <c r="AB139" s="1"/>
      <c r="AC139" s="1"/>
      <c r="AD139" s="1"/>
      <c r="AE139" s="1"/>
      <c r="AF139" s="1"/>
      <c r="AG139" s="1"/>
      <c r="AH139" s="58"/>
      <c r="AI139" s="13">
        <f t="shared" si="13"/>
        <v>0</v>
      </c>
      <c r="AK139" s="4">
        <v>46212</v>
      </c>
      <c r="AL139" s="6"/>
      <c r="AM139" s="3"/>
      <c r="AN139" s="3"/>
      <c r="AO139" s="3"/>
      <c r="AP139" s="3"/>
      <c r="AQ139" s="3"/>
      <c r="AR139" s="6"/>
      <c r="AS139" s="2">
        <v>46212</v>
      </c>
      <c r="AT139" s="14"/>
      <c r="AU139" s="14"/>
      <c r="AV139" s="14"/>
      <c r="AW139" s="14"/>
      <c r="AX139" s="14"/>
      <c r="AY139" s="14"/>
      <c r="AZ139" s="14"/>
      <c r="BA139" s="13">
        <f t="shared" si="14"/>
        <v>0</v>
      </c>
      <c r="BC139" s="4">
        <v>46212</v>
      </c>
      <c r="BD139" s="6"/>
      <c r="BE139" s="6"/>
      <c r="BF139" s="6"/>
      <c r="BG139" s="3"/>
      <c r="BH139" s="3"/>
      <c r="BI139" s="3"/>
      <c r="BJ139" s="6"/>
      <c r="BK139" s="2">
        <v>46212</v>
      </c>
      <c r="BL139" s="58"/>
      <c r="BM139" s="1"/>
      <c r="BN139" s="58"/>
      <c r="BO139" s="1"/>
      <c r="BP139" s="1"/>
      <c r="BQ139" s="1"/>
      <c r="BR139" s="58"/>
      <c r="BS139" s="13">
        <f t="shared" si="15"/>
        <v>0</v>
      </c>
    </row>
    <row r="140" spans="1:71" x14ac:dyDescent="0.35">
      <c r="A140" s="4">
        <v>46213</v>
      </c>
      <c r="B140" s="3"/>
      <c r="C140" s="3"/>
      <c r="D140" s="3"/>
      <c r="E140" s="3"/>
      <c r="F140" s="3"/>
      <c r="G140" s="3"/>
      <c r="H140" s="9"/>
      <c r="I140" s="2">
        <v>46213</v>
      </c>
      <c r="J140" s="1"/>
      <c r="K140" s="1"/>
      <c r="L140" s="1"/>
      <c r="M140" s="1"/>
      <c r="N140" s="1"/>
      <c r="O140" s="1"/>
      <c r="P140" s="58"/>
      <c r="Q140" s="86">
        <f t="shared" si="12"/>
        <v>0</v>
      </c>
      <c r="S140" s="4">
        <v>46213</v>
      </c>
      <c r="T140" s="3"/>
      <c r="U140" s="3"/>
      <c r="V140" s="3"/>
      <c r="W140" s="3"/>
      <c r="X140" s="6"/>
      <c r="Y140" s="3"/>
      <c r="Z140" s="6"/>
      <c r="AA140" s="2">
        <v>46213</v>
      </c>
      <c r="AB140" s="1"/>
      <c r="AC140" s="1"/>
      <c r="AD140" s="1"/>
      <c r="AE140" s="1"/>
      <c r="AF140" s="1"/>
      <c r="AG140" s="1"/>
      <c r="AH140" s="58"/>
      <c r="AI140" s="13">
        <f t="shared" si="13"/>
        <v>0</v>
      </c>
      <c r="AK140" s="4">
        <v>46213</v>
      </c>
      <c r="AL140" s="6"/>
      <c r="AM140" s="3"/>
      <c r="AN140" s="3"/>
      <c r="AO140" s="3"/>
      <c r="AP140" s="3"/>
      <c r="AQ140" s="3"/>
      <c r="AR140" s="6"/>
      <c r="AS140" s="2">
        <v>46213</v>
      </c>
      <c r="AT140" s="14"/>
      <c r="AU140" s="14"/>
      <c r="AV140" s="14"/>
      <c r="AW140" s="14"/>
      <c r="AX140" s="14"/>
      <c r="AY140" s="14"/>
      <c r="AZ140" s="14"/>
      <c r="BA140" s="13">
        <f t="shared" si="14"/>
        <v>0</v>
      </c>
      <c r="BC140" s="4">
        <v>46213</v>
      </c>
      <c r="BD140" s="6"/>
      <c r="BE140" s="6"/>
      <c r="BF140" s="6"/>
      <c r="BG140" s="3"/>
      <c r="BH140" s="3"/>
      <c r="BI140" s="3"/>
      <c r="BJ140" s="6"/>
      <c r="BK140" s="2">
        <v>46213</v>
      </c>
      <c r="BL140" s="58"/>
      <c r="BM140" s="1"/>
      <c r="BN140" s="58"/>
      <c r="BO140" s="1"/>
      <c r="BP140" s="1"/>
      <c r="BQ140" s="1"/>
      <c r="BR140" s="58"/>
      <c r="BS140" s="13">
        <f t="shared" si="15"/>
        <v>0</v>
      </c>
    </row>
    <row r="141" spans="1:71" x14ac:dyDescent="0.35">
      <c r="A141" s="4">
        <v>46214</v>
      </c>
      <c r="B141" s="3"/>
      <c r="C141" s="3"/>
      <c r="D141" s="3"/>
      <c r="E141" s="3"/>
      <c r="F141" s="3"/>
      <c r="G141" s="3"/>
      <c r="H141" s="9"/>
      <c r="I141" s="2">
        <v>46214</v>
      </c>
      <c r="J141" s="1"/>
      <c r="K141" s="1"/>
      <c r="L141" s="1"/>
      <c r="M141" s="1"/>
      <c r="N141" s="1"/>
      <c r="O141" s="1"/>
      <c r="P141" s="58"/>
      <c r="Q141" s="86">
        <f t="shared" si="12"/>
        <v>0</v>
      </c>
      <c r="S141" s="4">
        <v>46214</v>
      </c>
      <c r="T141" s="3"/>
      <c r="U141" s="3"/>
      <c r="V141" s="3"/>
      <c r="W141" s="3"/>
      <c r="X141" s="6"/>
      <c r="Y141" s="3"/>
      <c r="Z141" s="6"/>
      <c r="AA141" s="2">
        <v>46214</v>
      </c>
      <c r="AB141" s="1"/>
      <c r="AC141" s="1"/>
      <c r="AD141" s="1"/>
      <c r="AE141" s="1"/>
      <c r="AF141" s="1"/>
      <c r="AG141" s="1"/>
      <c r="AH141" s="58"/>
      <c r="AI141" s="13">
        <f t="shared" si="13"/>
        <v>0</v>
      </c>
      <c r="AK141" s="4">
        <v>46214</v>
      </c>
      <c r="AL141" s="6"/>
      <c r="AM141" s="3"/>
      <c r="AN141" s="3"/>
      <c r="AO141" s="3"/>
      <c r="AP141" s="3"/>
      <c r="AQ141" s="3"/>
      <c r="AR141" s="6"/>
      <c r="AS141" s="2">
        <v>46214</v>
      </c>
      <c r="AT141" s="14"/>
      <c r="AU141" s="14"/>
      <c r="AV141" s="14"/>
      <c r="AW141" s="14"/>
      <c r="AX141" s="14"/>
      <c r="AY141" s="14"/>
      <c r="AZ141" s="14"/>
      <c r="BA141" s="13">
        <f t="shared" si="14"/>
        <v>0</v>
      </c>
      <c r="BC141" s="4">
        <v>46214</v>
      </c>
      <c r="BD141" s="6"/>
      <c r="BE141" s="6"/>
      <c r="BF141" s="6"/>
      <c r="BG141" s="3"/>
      <c r="BH141" s="3"/>
      <c r="BI141" s="3"/>
      <c r="BJ141" s="6"/>
      <c r="BK141" s="2">
        <v>46214</v>
      </c>
      <c r="BL141" s="58"/>
      <c r="BM141" s="1"/>
      <c r="BN141" s="58"/>
      <c r="BO141" s="1"/>
      <c r="BP141" s="1"/>
      <c r="BQ141" s="1"/>
      <c r="BR141" s="58"/>
      <c r="BS141" s="13">
        <f t="shared" si="15"/>
        <v>0</v>
      </c>
    </row>
    <row r="1048576" spans="34:42" x14ac:dyDescent="0.35">
      <c r="AH1048576" s="60"/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5429687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8164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54296875" style="24" customWidth="1"/>
    <col min="33" max="34" width="8.7265625" style="24"/>
    <col min="35" max="35" width="10.17968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106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105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104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.15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.15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03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.15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.15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02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.15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01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.15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00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99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.15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.15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98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97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.15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.15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.15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96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95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94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.15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.15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93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.15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.15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.15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.15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92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.15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.15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.15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91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.15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.15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.15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90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.15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.15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89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.15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88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87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.15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.15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.15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.15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.15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.15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.15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86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.15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.15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.15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.15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.15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.15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.15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.15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.15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.15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.15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.15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.15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.15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.15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.15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.15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.15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.15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.15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.15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.15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.15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.15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.15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.15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.15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.15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.15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.15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.15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.15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.15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.15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.15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.15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.15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.15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.15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.15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.15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.15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.15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.15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.15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.15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.15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.15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.15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.15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.15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.15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.15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.15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.15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.15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.15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.15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.15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.15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.15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.15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.15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.15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.15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.15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.15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.15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.15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.15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.15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.15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.15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2.24E-2</v>
      </c>
    </row>
    <row r="9" spans="1:11" ht="23.15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46179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Data'!AR106</f>
        <v>2.5899999999999999E-2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Data'!Z106</f>
        <v>1.0100000000000001E-2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3.8225997347559368E-2</v>
      </c>
      <c r="D5" s="56">
        <v>5.2999999999999999E-2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Data'!BJ106</f>
        <v>2.4299999999999999E-2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Data'!H106</f>
        <v>2.1900000000000003E-2</v>
      </c>
    </row>
    <row r="9" spans="1:11" ht="23.15" customHeight="1" x14ac:dyDescent="0.5">
      <c r="A9" s="51" t="s">
        <v>61</v>
      </c>
      <c r="B9" s="56">
        <f>((1+$I9)^(B2/365)-1)*365/B2</f>
        <v>4.0513484000246666E-2</v>
      </c>
      <c r="C9" s="56">
        <f t="shared" ref="C9:G9" si="6">((1+$I9)^(C2/365)-1)*365/C2</f>
        <v>4.052922289982909E-2</v>
      </c>
      <c r="D9" s="56">
        <f t="shared" si="6"/>
        <v>4.0565228148374044E-2</v>
      </c>
      <c r="E9" s="56">
        <f t="shared" si="6"/>
        <v>4.0632852986788683E-2</v>
      </c>
      <c r="F9" s="56">
        <f t="shared" si="6"/>
        <v>4.0700628138462452E-2</v>
      </c>
      <c r="G9" s="56">
        <f t="shared" si="6"/>
        <v>4.0904859236788139E-2</v>
      </c>
      <c r="H9" s="53">
        <v>4.0500000000000001E-2</v>
      </c>
      <c r="I9" s="74">
        <f t="shared" si="1"/>
        <v>4.1328970092306072E-2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Data'!AR107</f>
        <v>2.5700000000000001E-2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Data'!Z107</f>
        <v>1.0000000000000002E-2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3.7224653775365733E-2</v>
      </c>
      <c r="D5" s="56">
        <v>5.2999999999999999E-2</v>
      </c>
      <c r="E5" s="56">
        <f t="shared" si="2"/>
        <v>3.7312065302985954E-2</v>
      </c>
      <c r="F5" s="56">
        <f t="shared" si="2"/>
        <v>3.7369220247494755E-2</v>
      </c>
      <c r="G5" s="56">
        <f t="shared" si="2"/>
        <v>3.7541386378962212E-2</v>
      </c>
      <c r="H5" s="57">
        <v>3.7199999999999997E-2</v>
      </c>
      <c r="I5" s="74">
        <f t="shared" si="1"/>
        <v>3.7898612814819987E-2</v>
      </c>
      <c r="J5" s="75"/>
      <c r="K5" s="68">
        <f>H5-'Daily Data'!BJ107</f>
        <v>2.1599999999999998E-2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Data'!H107</f>
        <v>2.23E-2</v>
      </c>
    </row>
    <row r="9" spans="1:11" ht="23.15" customHeight="1" x14ac:dyDescent="0.5">
      <c r="A9" s="51" t="s">
        <v>61</v>
      </c>
      <c r="B9" s="56">
        <f>((1+$I9)^(B2/365)-1)*365/B2</f>
        <v>3.8712311956318669E-2</v>
      </c>
      <c r="C9" s="56">
        <f t="shared" ref="C9:G9" si="6">((1+$I9)^(C2/365)-1)*365/C2</f>
        <v>3.8726682506561701E-2</v>
      </c>
      <c r="D9" s="56">
        <f t="shared" si="6"/>
        <v>3.8759556193956914E-2</v>
      </c>
      <c r="E9" s="56">
        <f t="shared" si="6"/>
        <v>3.8821294681477138E-2</v>
      </c>
      <c r="F9" s="56">
        <f t="shared" si="6"/>
        <v>3.8883164289896549E-2</v>
      </c>
      <c r="G9" s="56">
        <f t="shared" si="6"/>
        <v>3.9069562977386327E-2</v>
      </c>
      <c r="H9" s="53">
        <v>3.8699999999999998E-2</v>
      </c>
      <c r="I9" s="74">
        <f t="shared" si="1"/>
        <v>3.9456466858355688E-2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0.04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Data'!AR108</f>
        <v>2.64E-2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Data'!Z108</f>
        <v>1.0800000000000001E-2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Data'!BJ108</f>
        <v>2.3699999999999999E-2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2.1899999999999999E-2</v>
      </c>
      <c r="C7" s="52">
        <f t="shared" ref="C7:G7" si="4">((1+$I7)^(C2/365)-1)*365/C2</f>
        <v>2.090778059017687E-2</v>
      </c>
      <c r="D7" s="52">
        <v>2.29E-2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H7-1.06%</f>
        <v>1.0299999999999998E-2</v>
      </c>
    </row>
    <row r="8" spans="1:11" ht="23.15" customHeight="1" x14ac:dyDescent="0.4">
      <c r="A8" s="51" t="s">
        <v>62</v>
      </c>
      <c r="B8" s="52">
        <f>((1+$I8)^(B2/365)-1)*365/B2</f>
        <v>3.6410891892388886E-2</v>
      </c>
      <c r="C8" s="52">
        <f t="shared" ref="C8:G8" si="5">((1+$I8)^(C2/365)-1)*365/C2</f>
        <v>3.6423604592851447E-2</v>
      </c>
      <c r="D8" s="52">
        <f t="shared" si="5"/>
        <v>3.6452684422008552E-2</v>
      </c>
      <c r="E8" s="52">
        <f t="shared" si="5"/>
        <v>3.6507292567278249E-2</v>
      </c>
      <c r="F8" s="52">
        <f t="shared" si="5"/>
        <v>3.6562009787260347E-2</v>
      </c>
      <c r="G8" s="52">
        <f t="shared" si="5"/>
        <v>3.672681834941291E-2</v>
      </c>
      <c r="H8" s="53">
        <v>3.6400000000000002E-2</v>
      </c>
      <c r="I8" s="74">
        <f t="shared" si="1"/>
        <v>3.7068709602530836E-2</v>
      </c>
      <c r="J8" s="75"/>
      <c r="K8" s="68">
        <f>H8-'Daily Data'!H108</f>
        <v>2.23E-2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4.4499999999999998E-2</v>
      </c>
      <c r="C3" s="55">
        <v>3.9E-2</v>
      </c>
      <c r="D3" s="55">
        <v>4.2999999999999997E-2</v>
      </c>
      <c r="E3" s="55">
        <v>0.04</v>
      </c>
      <c r="F3" s="55">
        <v>4.4900000000000002E-2</v>
      </c>
      <c r="G3" s="55">
        <v>4.4999999999999998E-2</v>
      </c>
      <c r="H3" s="53">
        <v>4.0399999999999998E-2</v>
      </c>
      <c r="I3" s="74">
        <f>(1+H3/365)^365-1</f>
        <v>4.1224853939605843E-2</v>
      </c>
      <c r="J3" s="75"/>
      <c r="K3" s="68">
        <f>H3-'Daily Data'!AR109</f>
        <v>2.5599999999999998E-2</v>
      </c>
    </row>
    <row r="4" spans="1:11" ht="23.15" customHeight="1" x14ac:dyDescent="0.5">
      <c r="A4" s="51" t="s">
        <v>15</v>
      </c>
      <c r="B4" s="56">
        <f>((1+$I5)^(B2/365)-1)*365/B2</f>
        <v>3.6611011922457352E-2</v>
      </c>
      <c r="C4" s="56">
        <f t="shared" ref="C4:G4" si="0">((1+$I5)^(C2/365)-1)*365/C2</f>
        <v>3.6623864748969649E-2</v>
      </c>
      <c r="D4" s="56">
        <f t="shared" si="0"/>
        <v>3.6653265234805166E-2</v>
      </c>
      <c r="E4" s="56">
        <f t="shared" si="0"/>
        <v>3.6708475995860898E-2</v>
      </c>
      <c r="F4" s="56">
        <f t="shared" si="0"/>
        <v>3.6763797642103878E-2</v>
      </c>
      <c r="G4" s="56">
        <f t="shared" si="0"/>
        <v>3.6930430400372957E-2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Data'!Z109</f>
        <v>1.0300000000000002E-2</v>
      </c>
    </row>
    <row r="5" spans="1:11" ht="23.15" customHeight="1" x14ac:dyDescent="0.5">
      <c r="A5" s="51" t="s">
        <v>17</v>
      </c>
      <c r="B5" s="56">
        <v>4.3799999999999999E-2</v>
      </c>
      <c r="C5" s="56">
        <f t="shared" ref="C5:F5" si="2">((1+$I5)^(C2/365)-1)*365/C2</f>
        <v>3.6623864748969649E-2</v>
      </c>
      <c r="D5" s="56">
        <v>5.2600000000000001E-2</v>
      </c>
      <c r="E5" s="56">
        <f t="shared" si="2"/>
        <v>3.6708475995860898E-2</v>
      </c>
      <c r="F5" s="56">
        <f t="shared" si="2"/>
        <v>3.6763797642103878E-2</v>
      </c>
      <c r="G5" s="56">
        <f>((1+$I5)^(G2/365)-1)*365/G2</f>
        <v>3.6930430400372957E-2</v>
      </c>
      <c r="H5" s="57">
        <v>3.6600000000000001E-2</v>
      </c>
      <c r="I5" s="74">
        <f t="shared" si="1"/>
        <v>3.727612334382413E-2</v>
      </c>
      <c r="J5" s="75"/>
      <c r="K5" s="68">
        <f>H5-'Daily Data'!BJ109</f>
        <v>2.3900000000000001E-2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2.1999999999999999E-2</v>
      </c>
      <c r="C7" s="52">
        <f t="shared" ref="C7:G7" si="4">((1+$I7)^(C2/365)-1)*365/C2</f>
        <v>2.1007855232316502E-2</v>
      </c>
      <c r="D7" s="52">
        <v>2.3099999999999999E-2</v>
      </c>
      <c r="E7" s="52">
        <f t="shared" si="4"/>
        <v>2.1035682144425177E-2</v>
      </c>
      <c r="F7" s="52">
        <f t="shared" si="4"/>
        <v>2.1053856606007598E-2</v>
      </c>
      <c r="G7" s="52">
        <f t="shared" si="4"/>
        <v>2.1108505700553632E-2</v>
      </c>
      <c r="H7" s="53">
        <v>2.1000000000000001E-2</v>
      </c>
      <c r="I7" s="74">
        <f t="shared" si="1"/>
        <v>2.1221434731349964E-2</v>
      </c>
      <c r="J7" s="75"/>
      <c r="K7" s="68">
        <f>H7-1.06%</f>
        <v>1.0400000000000001E-2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Data'!H109</f>
        <v>2.2199999999999998E-2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3.7999999999999999E-2</v>
      </c>
      <c r="C3" s="55">
        <v>3.9E-2</v>
      </c>
      <c r="D3" s="55">
        <v>3.7999999999999999E-2</v>
      </c>
      <c r="E3" s="55">
        <v>3.9E-2</v>
      </c>
      <c r="F3" s="55">
        <v>4.5400000000000003E-2</v>
      </c>
      <c r="G3" s="55">
        <v>5.3999999999999999E-2</v>
      </c>
      <c r="H3" s="53">
        <v>4.0300000000000002E-2</v>
      </c>
      <c r="I3" s="74">
        <f>(1+H3/365)^365-1</f>
        <v>4.1120748168237853E-2</v>
      </c>
      <c r="J3" s="75"/>
      <c r="K3" s="68">
        <f>H3-'Daily Data'!AR110</f>
        <v>2.6300000000000004E-2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Data'!Z110</f>
        <v>1.0100000000000001E-2</v>
      </c>
    </row>
    <row r="5" spans="1:11" ht="23.15" customHeight="1" x14ac:dyDescent="0.5">
      <c r="A5" s="51" t="s">
        <v>17</v>
      </c>
      <c r="B5" s="56">
        <v>4.4400000000000002E-2</v>
      </c>
      <c r="C5" s="56">
        <f>((1+I5)^(C2/365)-1)*365/C2</f>
        <v>3.7124521379478526E-2</v>
      </c>
      <c r="D5" s="56">
        <v>5.3199999999999997E-2</v>
      </c>
      <c r="E5" s="56">
        <f>((1+$I5)^(E2/365)-1)*365/E2</f>
        <v>3.7211463020234627E-2</v>
      </c>
      <c r="F5" s="56">
        <f t="shared" ref="F5:G5" si="2">((1+$I5)^(F2/365)-1)*365/F2</f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Data'!BJ110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2.23E-2</v>
      </c>
      <c r="C7" s="52">
        <f t="shared" ref="C7:G7" si="4">((1+$I7)^(C2/365)-1)*365/C2</f>
        <v>2.1208005585827774E-2</v>
      </c>
      <c r="D7" s="52">
        <v>2.3400000000000001E-2</v>
      </c>
      <c r="E7" s="52">
        <f t="shared" si="4"/>
        <v>2.1236365426236359E-2</v>
      </c>
      <c r="F7" s="52">
        <f t="shared" si="4"/>
        <v>2.1254888214009424E-2</v>
      </c>
      <c r="G7" s="52">
        <f t="shared" si="4"/>
        <v>2.1310585918899037E-2</v>
      </c>
      <c r="H7" s="53">
        <v>2.12E-2</v>
      </c>
      <c r="I7" s="74">
        <f t="shared" si="1"/>
        <v>2.1425687635407309E-2</v>
      </c>
      <c r="J7" s="75"/>
      <c r="K7" s="68">
        <f>H7-1.06%</f>
        <v>1.06E-2</v>
      </c>
    </row>
    <row r="8" spans="1:11" ht="23.15" customHeight="1" x14ac:dyDescent="0.4">
      <c r="A8" s="51" t="s">
        <v>62</v>
      </c>
      <c r="B8" s="52">
        <f>((1+$I8)^(B2/365)-1)*365/B2</f>
        <v>3.5810535749577328E-2</v>
      </c>
      <c r="C8" s="52">
        <f t="shared" ref="C8:G8" si="5">((1+$I8)^(C2/365)-1)*365/C2</f>
        <v>3.5822832682856749E-2</v>
      </c>
      <c r="D8" s="52">
        <f t="shared" si="5"/>
        <v>3.5850961105459378E-2</v>
      </c>
      <c r="E8" s="52">
        <f t="shared" si="5"/>
        <v>3.5903781300481455E-2</v>
      </c>
      <c r="F8" s="52">
        <f t="shared" si="5"/>
        <v>3.5956705257407101E-2</v>
      </c>
      <c r="G8" s="52">
        <f t="shared" si="5"/>
        <v>3.6116101995444835E-2</v>
      </c>
      <c r="H8" s="53">
        <v>3.5799999999999998E-2</v>
      </c>
      <c r="I8" s="74">
        <f t="shared" si="1"/>
        <v>3.6446716511065569E-2</v>
      </c>
      <c r="J8" s="75"/>
      <c r="K8" s="68">
        <f>H8-'Daily Data'!H110</f>
        <v>2.2099999999999998E-2</v>
      </c>
    </row>
    <row r="9" spans="1:11" ht="23.15" customHeight="1" x14ac:dyDescent="0.5">
      <c r="A9" s="51" t="s">
        <v>61</v>
      </c>
      <c r="B9" s="56">
        <f>((1+$I9)^(B2/365)-1)*365/B2</f>
        <v>3.8612248405269937E-2</v>
      </c>
      <c r="C9" s="56">
        <f t="shared" ref="C9:G9" si="6">((1+$I9)^(C2/365)-1)*365/C2</f>
        <v>3.8626544761562069E-2</v>
      </c>
      <c r="D9" s="56">
        <f t="shared" si="6"/>
        <v>3.8659248656118694E-2</v>
      </c>
      <c r="E9" s="56">
        <f t="shared" si="6"/>
        <v>3.8720668005707982E-2</v>
      </c>
      <c r="F9" s="56">
        <f t="shared" si="6"/>
        <v>3.8782217460826149E-2</v>
      </c>
      <c r="G9" s="56">
        <f t="shared" si="6"/>
        <v>3.8967649563848281E-2</v>
      </c>
      <c r="H9" s="53">
        <v>3.8600000000000002E-2</v>
      </c>
      <c r="I9" s="74">
        <f t="shared" si="1"/>
        <v>3.9352537413389843E-2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3.6900000000000002E-2</v>
      </c>
      <c r="D3" s="55">
        <v>3.7999999999999999E-2</v>
      </c>
      <c r="E3" s="55">
        <v>3.9E-2</v>
      </c>
      <c r="F3" s="55">
        <v>4.5400000000000003E-2</v>
      </c>
      <c r="G3" s="55">
        <v>5.45E-2</v>
      </c>
      <c r="H3" s="53">
        <v>4.0399999999999998E-2</v>
      </c>
      <c r="I3" s="74">
        <f>(1+H3/365)^365-1</f>
        <v>4.1224853939605843E-2</v>
      </c>
      <c r="J3" s="75"/>
      <c r="K3" s="68">
        <f>H3-'Daily Data'!AR111</f>
        <v>2.7099999999999999E-2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4.4200000000000003E-2</v>
      </c>
      <c r="C5" s="56">
        <f t="shared" ref="C5:G5" si="2">((1+$I5)^(C2/365)-1)*365/C2</f>
        <v>3.6824126331346081E-2</v>
      </c>
      <c r="D5" s="56">
        <v>5.2999999999999999E-2</v>
      </c>
      <c r="E5" s="56">
        <f t="shared" si="2"/>
        <v>3.6909665927788916E-2</v>
      </c>
      <c r="F5" s="56">
        <f t="shared" si="2"/>
        <v>3.6965595336695314E-2</v>
      </c>
      <c r="G5" s="56">
        <f t="shared" si="2"/>
        <v>3.7134062420906062E-2</v>
      </c>
      <c r="H5" s="57">
        <v>3.6799999999999999E-2</v>
      </c>
      <c r="I5" s="74">
        <f t="shared" si="1"/>
        <v>3.7483578454069244E-2</v>
      </c>
      <c r="J5" s="75"/>
      <c r="K5" s="68">
        <f>H5-'Daily Data'!BJ111</f>
        <v>2.29E-2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2.2700000000000001E-2</v>
      </c>
      <c r="C7" s="52">
        <f t="shared" ref="C7:G7" si="4">((1+$I7)^(C2/365)-1)*365/C2</f>
        <v>2.1608310569760963E-2</v>
      </c>
      <c r="D7" s="52">
        <v>2.3800000000000002E-2</v>
      </c>
      <c r="E7" s="52">
        <f t="shared" si="4"/>
        <v>2.1637751452725933E-2</v>
      </c>
      <c r="F7" s="52">
        <f t="shared" si="4"/>
        <v>2.1656980840644872E-2</v>
      </c>
      <c r="G7" s="52">
        <f t="shared" si="4"/>
        <v>2.1714805818345999E-2</v>
      </c>
      <c r="H7" s="53">
        <v>2.1600000000000001E-2</v>
      </c>
      <c r="I7" s="74">
        <f t="shared" si="1"/>
        <v>2.1834315672647486E-2</v>
      </c>
      <c r="J7" s="75"/>
      <c r="K7" s="68">
        <f>H7-1.06%</f>
        <v>1.1000000000000001E-2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3.4500000000000003E-2</v>
      </c>
      <c r="C3" s="55">
        <v>3.6799999999999999E-2</v>
      </c>
      <c r="D3" s="55">
        <v>3.9899999999999998E-2</v>
      </c>
      <c r="E3" s="55" t="s">
        <v>69</v>
      </c>
      <c r="F3" s="55">
        <v>4.4999999999999998E-2</v>
      </c>
      <c r="G3" s="55">
        <v>5.5E-2</v>
      </c>
      <c r="H3" s="53">
        <v>3.9899999999999998E-2</v>
      </c>
      <c r="I3" s="74">
        <f>(1+H3/365)^365-1</f>
        <v>4.0704428876507048E-2</v>
      </c>
      <c r="J3" s="75"/>
      <c r="K3" s="68">
        <f>H3-'Daily Data'!AR112</f>
        <v>2.6699999999999998E-2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Data'!Z111</f>
        <v>1.0200000000000001E-2</v>
      </c>
    </row>
    <row r="5" spans="1:11" ht="23.15" customHeight="1" x14ac:dyDescent="0.5">
      <c r="A5" s="51" t="s">
        <v>17</v>
      </c>
      <c r="B5" s="56">
        <v>4.36E-2</v>
      </c>
      <c r="C5" s="56">
        <f t="shared" ref="C5:G5" si="2">((1+$I5)^(C2/365)-1)*365/C2</f>
        <v>3.6523734492600046E-2</v>
      </c>
      <c r="D5" s="56">
        <v>5.2299999999999999E-2</v>
      </c>
      <c r="E5" s="56">
        <f t="shared" si="2"/>
        <v>3.6607883468631482E-2</v>
      </c>
      <c r="F5" s="56">
        <f t="shared" si="2"/>
        <v>3.666290248471115E-2</v>
      </c>
      <c r="G5" s="56">
        <f t="shared" si="2"/>
        <v>3.6828621878785224E-2</v>
      </c>
      <c r="H5" s="57">
        <v>3.6499999999999998E-2</v>
      </c>
      <c r="I5" s="74">
        <f t="shared" si="1"/>
        <v>3.7172411302539565E-2</v>
      </c>
      <c r="J5" s="75"/>
      <c r="K5" s="68">
        <f>H5-'Daily Data'!BJ112</f>
        <v>2.2599999999999999E-2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2.29E-2</v>
      </c>
      <c r="C7" s="52">
        <f t="shared" ref="C7:G7" si="4">((1+$I7)^(C2/365)-1)*365/C2</f>
        <v>2.1808465200333398E-2</v>
      </c>
      <c r="D7" s="52">
        <v>2.4E-2</v>
      </c>
      <c r="E7" s="52">
        <f t="shared" si="4"/>
        <v>2.1838454197951385E-2</v>
      </c>
      <c r="F7" s="52">
        <f t="shared" si="4"/>
        <v>2.1858041860356409E-2</v>
      </c>
      <c r="G7" s="52">
        <f t="shared" si="4"/>
        <v>2.1916945503448543E-2</v>
      </c>
      <c r="H7" s="53">
        <v>2.18E-2</v>
      </c>
      <c r="I7" s="74">
        <f t="shared" si="1"/>
        <v>2.2038690822175022E-2</v>
      </c>
      <c r="J7" s="75"/>
      <c r="K7" s="68">
        <f>H7-1.01%</f>
        <v>1.17E-2</v>
      </c>
    </row>
    <row r="8" spans="1:11" ht="23.15" customHeight="1" x14ac:dyDescent="0.4">
      <c r="A8" s="51" t="s">
        <v>62</v>
      </c>
      <c r="B8" s="52">
        <f>((1+$I8)^(B2/365)-1)*365/B2</f>
        <v>3.6110713080949521E-2</v>
      </c>
      <c r="C8" s="52">
        <f t="shared" ref="C8:G8" si="5">((1+$I8)^(C2/365)-1)*365/C2</f>
        <v>3.6123217033267992E-2</v>
      </c>
      <c r="D8" s="52">
        <f t="shared" si="5"/>
        <v>3.615181917853557E-2</v>
      </c>
      <c r="E8" s="52">
        <f t="shared" si="5"/>
        <v>3.6205529618120479E-2</v>
      </c>
      <c r="F8" s="52">
        <f t="shared" si="5"/>
        <v>3.6259346453876025E-2</v>
      </c>
      <c r="G8" s="52">
        <f t="shared" si="5"/>
        <v>3.6421437712058899E-2</v>
      </c>
      <c r="H8" s="53">
        <v>3.61E-2</v>
      </c>
      <c r="I8" s="74">
        <f t="shared" si="1"/>
        <v>3.6757666539783518E-2</v>
      </c>
      <c r="J8" s="75"/>
      <c r="K8" s="68">
        <f>H8-'Daily Data'!H111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3.6600000000000001E-2</v>
      </c>
      <c r="I3" s="74">
        <f>(1+H3/365)^365-1</f>
        <v>3.727612334382413E-2</v>
      </c>
      <c r="J3" s="75"/>
      <c r="K3" s="68">
        <f>H3-'Daily Data'!I128</f>
        <v>-46200.963400000001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Data'!Z113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Data'!BJ113</f>
        <v>2.3199999999999998E-2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2.69E-2</v>
      </c>
      <c r="C7" s="52">
        <f t="shared" ref="C7:G7" si="4">((1+$I7)^(C2/365)-1)*365/C2</f>
        <v>2.5611674069389738E-2</v>
      </c>
      <c r="D7" s="52">
        <v>2.81E-2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H7-1.06%</f>
        <v>1.5000000000000001E-2</v>
      </c>
    </row>
    <row r="8" spans="1:11" ht="23.15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Data'!H113</f>
        <v>2.0700000000000003E-2</v>
      </c>
    </row>
    <row r="9" spans="1:11" ht="23.15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2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3.5999999999999997E-2</v>
      </c>
      <c r="I3" s="74">
        <f>(1+H3/365)^365-1</f>
        <v>3.6654006194406952E-2</v>
      </c>
      <c r="J3" s="75"/>
      <c r="K3" s="68">
        <f>H3-'Daily Data'!BJ114</f>
        <v>2.3899999999999998E-2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Data'!Z114</f>
        <v>1.0400000000000001E-2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3.5422325207818642E-2</v>
      </c>
      <c r="D5" s="56">
        <v>5.0299999999999997E-2</v>
      </c>
      <c r="E5" s="56">
        <f t="shared" si="2"/>
        <v>3.5501472969416858E-2</v>
      </c>
      <c r="F5" s="56">
        <f t="shared" si="2"/>
        <v>3.5553218094735967E-2</v>
      </c>
      <c r="G5" s="56">
        <f t="shared" si="2"/>
        <v>3.5709057572161224E-2</v>
      </c>
      <c r="H5" s="57">
        <v>3.5400000000000001E-2</v>
      </c>
      <c r="I5" s="74">
        <f t="shared" si="1"/>
        <v>3.6032261144603783E-2</v>
      </c>
      <c r="J5" s="75"/>
      <c r="K5" s="68">
        <f>H5-'Daily Data'!BJ114</f>
        <v>2.3300000000000001E-2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Data'!H114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3.561041835104687E-2</v>
      </c>
      <c r="C9" s="56">
        <f t="shared" ref="C9:G9" si="6">((1+$I9)^(C2/365)-1)*365/C2</f>
        <v>3.5622578232228842E-2</v>
      </c>
      <c r="D9" s="56">
        <f t="shared" si="6"/>
        <v>3.5650393040337715E-2</v>
      </c>
      <c r="E9" s="56">
        <f t="shared" si="6"/>
        <v>3.5702623883787733E-2</v>
      </c>
      <c r="F9" s="56">
        <f t="shared" si="6"/>
        <v>3.5754956757379511E-2</v>
      </c>
      <c r="G9" s="56">
        <f t="shared" si="6"/>
        <v>3.5912569803879281E-2</v>
      </c>
      <c r="H9" s="53">
        <v>3.56E-2</v>
      </c>
      <c r="I9" s="74">
        <f t="shared" si="1"/>
        <v>3.623946816391288E-2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0:F10">
    <cfRule type="expression" dxfId="23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4.2999999999999997E-2</v>
      </c>
      <c r="E3" s="55">
        <v>0.04</v>
      </c>
      <c r="F3" s="55">
        <v>4.8000000000000001E-2</v>
      </c>
      <c r="G3" s="55">
        <v>5.2999999999999999E-2</v>
      </c>
      <c r="H3" s="53">
        <v>3.5099999999999999E-2</v>
      </c>
      <c r="I3" s="74">
        <f>(1+H3/365)^365-1</f>
        <v>3.5721528087785392E-2</v>
      </c>
      <c r="J3" s="75"/>
      <c r="K3" s="68">
        <f>H3-'Daily Data'!AR115</f>
        <v>2.3199999999999998E-2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Data'!Z115</f>
        <v>1.0700000000000001E-2</v>
      </c>
    </row>
    <row r="5" spans="1:11" ht="23.15" customHeight="1" x14ac:dyDescent="0.5">
      <c r="A5" s="51" t="s">
        <v>17</v>
      </c>
      <c r="B5" s="56">
        <v>4.19E-2</v>
      </c>
      <c r="C5" s="56">
        <f t="shared" ref="C5:G5" si="2">((1+$I5)^(C2/365)-1)*365/C2</f>
        <v>3.4721450854841733E-2</v>
      </c>
      <c r="D5" s="56">
        <v>5.0299999999999997E-2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7">
        <v>3.4700000000000002E-2</v>
      </c>
      <c r="I5" s="74">
        <f t="shared" si="1"/>
        <v>3.5307361916328883E-2</v>
      </c>
      <c r="J5" s="75"/>
      <c r="K5" s="68">
        <f>H5-'Daily Data'!BJ115</f>
        <v>2.2200000000000001E-2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2.5999999999999999E-2</v>
      </c>
      <c r="C7" s="52">
        <f t="shared" ref="C7:G7" si="4">((1+$I7)^(C2/365)-1)*365/C2</f>
        <v>2.4710867557852234E-2</v>
      </c>
      <c r="D7" s="52">
        <v>2.7199999999999998E-2</v>
      </c>
      <c r="E7" s="52">
        <f t="shared" si="4"/>
        <v>2.4749373217086885E-2</v>
      </c>
      <c r="F7" s="52">
        <f t="shared" si="4"/>
        <v>2.4774528700820298E-2</v>
      </c>
      <c r="G7" s="52">
        <f t="shared" si="4"/>
        <v>2.4850199871383649E-2</v>
      </c>
      <c r="H7" s="53">
        <v>2.47E-2</v>
      </c>
      <c r="I7" s="74">
        <f t="shared" si="1"/>
        <v>2.5006715522271517E-2</v>
      </c>
      <c r="J7" s="75"/>
      <c r="K7" s="68">
        <f>H7-1.06%</f>
        <v>1.41E-2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Data'!H115</f>
        <v>2.1200000000000004E-2</v>
      </c>
    </row>
    <row r="9" spans="1:11" ht="23.15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46189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3.5000000000000003E-2</v>
      </c>
      <c r="D3" s="55">
        <v>3.9E-2</v>
      </c>
      <c r="E3" s="55">
        <v>0.04</v>
      </c>
      <c r="F3" s="55">
        <v>4.7300000000000002E-2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Data'!AR116</f>
        <v>2.4499999999999997E-2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Data'!Z116</f>
        <v>1.0000000000000002E-2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3.4120715315691226E-2</v>
      </c>
      <c r="D5" s="56">
        <v>4.9000000000000002E-2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7">
        <v>3.4099999999999998E-2</v>
      </c>
      <c r="I5" s="74">
        <f t="shared" si="1"/>
        <v>3.4686422321102972E-2</v>
      </c>
      <c r="J5" s="75"/>
      <c r="K5" s="68">
        <f>H5-'Daily Data'!BJ116</f>
        <v>2.2199999999999998E-2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2.4199999999999999E-2</v>
      </c>
      <c r="C7" s="52">
        <f t="shared" ref="C7:G7" si="4">((1+$I7)^(C2/365)-1)*365/C2</f>
        <v>2.3109505049901946E-2</v>
      </c>
      <c r="D7" s="52">
        <v>2.5399999999999999E-2</v>
      </c>
      <c r="E7" s="52">
        <f t="shared" si="4"/>
        <v>2.3143180200244085E-2</v>
      </c>
      <c r="F7" s="52">
        <f t="shared" si="4"/>
        <v>2.3165177501613794E-2</v>
      </c>
      <c r="G7" s="52">
        <f t="shared" si="4"/>
        <v>2.3231336803506069E-2</v>
      </c>
      <c r="H7" s="53">
        <v>2.3099999999999999E-2</v>
      </c>
      <c r="I7" s="74">
        <f t="shared" si="1"/>
        <v>2.3368123294949417E-2</v>
      </c>
      <c r="J7" s="75"/>
      <c r="K7" s="68">
        <f>H7-1.06%</f>
        <v>1.2499999999999999E-2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Data'!H116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3.5000000000000003E-2</v>
      </c>
      <c r="C10" s="52">
        <v>3.5000000000000003E-2</v>
      </c>
      <c r="D10" s="52">
        <v>0.06</v>
      </c>
      <c r="E10" s="52">
        <v>0.06</v>
      </c>
      <c r="F10" s="52">
        <v>0.06</v>
      </c>
      <c r="G10" s="11"/>
      <c r="H10" s="11"/>
      <c r="I10" s="11"/>
      <c r="J10" s="11"/>
      <c r="K10" s="11"/>
    </row>
  </sheetData>
  <conditionalFormatting sqref="A1:J9 A10:F10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2.8500000000000001E-2</v>
      </c>
      <c r="C3" s="55">
        <v>3.5000000000000003E-2</v>
      </c>
      <c r="D3" s="55">
        <v>3.7999999999999999E-2</v>
      </c>
      <c r="E3" s="55">
        <v>5.7200000000000001E-2</v>
      </c>
      <c r="F3" s="55">
        <v>4.8000000000000001E-2</v>
      </c>
      <c r="G3" s="55">
        <v>5.2999999999999999E-2</v>
      </c>
      <c r="H3" s="53">
        <v>3.7199999999999997E-2</v>
      </c>
      <c r="I3" s="74">
        <f>(1+H3/365)^365-1</f>
        <v>3.7898612814819987E-2</v>
      </c>
      <c r="J3" s="75"/>
      <c r="K3" s="68">
        <f>H3-'Daily Data'!AR117</f>
        <v>2.4999999999999994E-2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Data'!Z117</f>
        <v>9.8000000000000014E-3</v>
      </c>
    </row>
    <row r="5" spans="1:11" ht="23.15" customHeight="1" x14ac:dyDescent="0.5">
      <c r="A5" s="51" t="s">
        <v>17</v>
      </c>
      <c r="B5" s="56">
        <v>4.1200000000000001E-2</v>
      </c>
      <c r="C5" s="56">
        <f t="shared" ref="C5:G5" si="2">((1+$I5)^(C2/365)-1)*365/C2</f>
        <v>3.4320959069194204E-2</v>
      </c>
      <c r="D5" s="56">
        <v>4.9399999999999999E-2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7">
        <v>3.4299999999999997E-2</v>
      </c>
      <c r="I5" s="74">
        <f t="shared" si="1"/>
        <v>3.4893360908936799E-2</v>
      </c>
      <c r="J5" s="75"/>
      <c r="K5" s="68">
        <f>H5-'Daily Data'!BJ117</f>
        <v>2.1899999999999996E-2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2.52E-2</v>
      </c>
      <c r="C7" s="52">
        <f t="shared" ref="C7:G7" si="4">((1+$I7)^(C2/365)-1)*365/C2</f>
        <v>2.4010260232618413E-2</v>
      </c>
      <c r="D7" s="52">
        <v>2.6200000000000001E-2</v>
      </c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H7-1.06%</f>
        <v>1.34E-2</v>
      </c>
    </row>
    <row r="8" spans="1:11" ht="23.15" customHeight="1" x14ac:dyDescent="0.4">
      <c r="A8" s="51" t="s">
        <v>62</v>
      </c>
      <c r="B8" s="52">
        <f>((1+$I8)^(B2/365)-1)*365/B2</f>
        <v>3.3309115550375711E-2</v>
      </c>
      <c r="C8" s="52">
        <f t="shared" ref="C8:G8" si="5">((1+$I8)^(C2/365)-1)*365/C2</f>
        <v>3.3319754564417998E-2</v>
      </c>
      <c r="D8" s="52">
        <f t="shared" si="5"/>
        <v>3.3344089328047145E-2</v>
      </c>
      <c r="E8" s="52">
        <f t="shared" si="5"/>
        <v>3.3389780901737866E-2</v>
      </c>
      <c r="F8" s="52">
        <f t="shared" si="5"/>
        <v>3.3435555957286103E-2</v>
      </c>
      <c r="G8" s="52">
        <f t="shared" si="5"/>
        <v>3.3573383732896381E-2</v>
      </c>
      <c r="H8" s="53">
        <v>3.3300000000000003E-2</v>
      </c>
      <c r="I8" s="74">
        <f t="shared" si="1"/>
        <v>3.3859080551566834E-2</v>
      </c>
      <c r="J8" s="75"/>
      <c r="K8" s="68">
        <f>H8-'Daily Data'!H117</f>
        <v>2.1500000000000005E-2</v>
      </c>
    </row>
    <row r="9" spans="1:11" ht="23.15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3.1E-2</v>
      </c>
      <c r="C3" s="55">
        <v>0.04</v>
      </c>
      <c r="D3" s="55">
        <v>3.6999999999999998E-2</v>
      </c>
      <c r="E3" s="55">
        <v>5.7000000000000002E-2</v>
      </c>
      <c r="F3" s="55">
        <v>4.8000000000000001E-2</v>
      </c>
      <c r="G3" s="55">
        <v>5.79E-2</v>
      </c>
      <c r="H3" s="53">
        <v>3.6400000000000002E-2</v>
      </c>
      <c r="I3" s="74">
        <f>(1+H3/365)^365-1</f>
        <v>3.7068709602530836E-2</v>
      </c>
      <c r="J3" s="75"/>
      <c r="K3" s="68">
        <f>H3-'Daily Data'!AR118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Data'!Z118</f>
        <v>9.700000000000002E-3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3.4020593973874136E-2</v>
      </c>
      <c r="D5" s="56">
        <v>4.82E-2</v>
      </c>
      <c r="E5" s="56">
        <f t="shared" si="2"/>
        <v>3.4093598620163604E-2</v>
      </c>
      <c r="F5" s="56">
        <f t="shared" si="2"/>
        <v>3.4141322866853417E-2</v>
      </c>
      <c r="G5" s="56">
        <f t="shared" si="2"/>
        <v>3.4285030666084418E-2</v>
      </c>
      <c r="H5" s="57">
        <v>3.4000000000000002E-2</v>
      </c>
      <c r="I5" s="74">
        <f t="shared" si="1"/>
        <v>3.4582968502674616E-2</v>
      </c>
      <c r="J5" s="75"/>
      <c r="K5" s="68">
        <f>H5-'Daily Data'!BJ118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2.6100000000000002E-2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3.2508682795319786E-2</v>
      </c>
      <c r="C8" s="52">
        <f t="shared" ref="C8:G8" si="5">((1+$I8)^(C2/365)-1)*365/C2</f>
        <v>3.2518816632587697E-2</v>
      </c>
      <c r="D8" s="52">
        <f t="shared" si="5"/>
        <v>3.2541995508796773E-2</v>
      </c>
      <c r="E8" s="52">
        <f t="shared" si="5"/>
        <v>3.2585515295304769E-2</v>
      </c>
      <c r="F8" s="52">
        <f t="shared" si="5"/>
        <v>3.2629112682946743E-2</v>
      </c>
      <c r="G8" s="52">
        <f t="shared" si="5"/>
        <v>3.2760372011032608E-2</v>
      </c>
      <c r="H8" s="53">
        <v>3.2500000000000001E-2</v>
      </c>
      <c r="I8" s="74">
        <f t="shared" si="1"/>
        <v>3.303239851864892E-2</v>
      </c>
      <c r="J8" s="75"/>
      <c r="K8" s="68">
        <f>H8-'Daily Data'!H118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4.4499999999999998E-2</v>
      </c>
      <c r="D3" s="55">
        <v>0.04</v>
      </c>
      <c r="E3" s="55">
        <v>6.3E-2</v>
      </c>
      <c r="F3" s="55">
        <v>4.8000000000000001E-2</v>
      </c>
      <c r="G3" s="55">
        <v>5.8999999999999997E-2</v>
      </c>
      <c r="H3" s="53">
        <v>3.5099999999999999E-2</v>
      </c>
      <c r="I3" s="74">
        <f>(1+H3/365)^365-1</f>
        <v>3.5721528087785392E-2</v>
      </c>
      <c r="J3" s="75"/>
      <c r="K3" s="68">
        <f>'Daily Data'!AR119</f>
        <v>1.18E-2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Data'!Z119</f>
        <v>9.5000000000000015E-3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3.3019400165881306E-2</v>
      </c>
      <c r="D5" s="56">
        <v>4.7399999999999998E-2</v>
      </c>
      <c r="E5" s="56">
        <f t="shared" si="2"/>
        <v>3.3088169112457676E-2</v>
      </c>
      <c r="F5" s="56">
        <f t="shared" si="2"/>
        <v>3.3133121295987555E-2</v>
      </c>
      <c r="G5" s="56">
        <f t="shared" si="2"/>
        <v>3.3268466960937645E-2</v>
      </c>
      <c r="H5" s="57">
        <v>3.3000000000000002E-2</v>
      </c>
      <c r="I5" s="74">
        <f t="shared" si="1"/>
        <v>3.3548997504548206E-2</v>
      </c>
      <c r="J5" s="75"/>
      <c r="K5" s="68">
        <f>H5-'Daily Data'!AR119</f>
        <v>2.1200000000000004E-2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2.6200000000000001E-2</v>
      </c>
      <c r="C7" s="52">
        <f t="shared" ref="C7:G7" si="4">((1+$I7)^(C2/365)-1)*365/C2</f>
        <v>2.4911044287406679E-2</v>
      </c>
      <c r="D7" s="52">
        <v>2.7400000000000001E-2</v>
      </c>
      <c r="E7" s="52">
        <f t="shared" si="4"/>
        <v>2.4950176552328323E-2</v>
      </c>
      <c r="F7" s="52">
        <f t="shared" si="4"/>
        <v>2.4975741748298013E-2</v>
      </c>
      <c r="G7" s="52">
        <f t="shared" si="4"/>
        <v>2.5052647078200485E-2</v>
      </c>
      <c r="H7" s="53">
        <v>2.4899999999999999E-2</v>
      </c>
      <c r="I7" s="74">
        <f t="shared" si="1"/>
        <v>2.5211723436161959E-2</v>
      </c>
      <c r="J7" s="75"/>
      <c r="K7" s="68">
        <f>H7-1.06%</f>
        <v>1.4299999999999998E-2</v>
      </c>
    </row>
    <row r="8" spans="1:11" ht="23.15" customHeight="1" x14ac:dyDescent="0.4">
      <c r="A8" s="51" t="s">
        <v>62</v>
      </c>
      <c r="B8" s="52">
        <f>((1+$I8)^(B2/365)-1)*365/B2</f>
        <v>3.1708260565512791E-2</v>
      </c>
      <c r="C8" s="52">
        <f t="shared" ref="C8:G8" si="5">((1+$I8)^(C2/365)-1)*365/C2</f>
        <v>3.1717901519644563E-2</v>
      </c>
      <c r="D8" s="52">
        <f t="shared" si="5"/>
        <v>3.1739952665787552E-2</v>
      </c>
      <c r="E8" s="52">
        <f t="shared" si="5"/>
        <v>3.1781353676550363E-2</v>
      </c>
      <c r="F8" s="52">
        <f t="shared" si="5"/>
        <v>3.1822826690937146E-2</v>
      </c>
      <c r="G8" s="52">
        <f t="shared" si="5"/>
        <v>3.1947679166106885E-2</v>
      </c>
      <c r="H8" s="53">
        <v>3.1699999999999999E-2</v>
      </c>
      <c r="I8" s="74">
        <f t="shared" si="1"/>
        <v>3.2206375697757972E-2</v>
      </c>
      <c r="J8" s="75"/>
      <c r="K8" s="68">
        <f>H8-'Daily Data'!H119</f>
        <v>2.0999999999999998E-2</v>
      </c>
    </row>
    <row r="9" spans="1:11" ht="23.15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Data'!Z120</f>
        <v>9.8000000000000014E-3</v>
      </c>
    </row>
    <row r="5" spans="1:11" ht="23.15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3.131745252004222E-2</v>
      </c>
      <c r="D5" s="56">
        <v>4.7399999999999998E-2</v>
      </c>
      <c r="E5" s="56">
        <f t="shared" si="2"/>
        <v>3.137931185839702E-2</v>
      </c>
      <c r="F5" s="56">
        <f t="shared" si="2"/>
        <v>3.1419742666299495E-2</v>
      </c>
      <c r="G5" s="56">
        <f t="shared" si="2"/>
        <v>3.1541452283600606E-2</v>
      </c>
      <c r="H5" s="57">
        <v>3.1300000000000001E-2</v>
      </c>
      <c r="I5" s="74">
        <f t="shared" si="1"/>
        <v>3.1793611327958216E-2</v>
      </c>
      <c r="J5" s="75"/>
      <c r="K5" s="68">
        <f>H5-'Daily Data'!BJ120</f>
        <v>1.6800000000000002E-2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3.1508156652631909E-2</v>
      </c>
      <c r="C8" s="52">
        <f t="shared" ref="C8:G8" si="5">((1+$I8)^(C2/365)-1)*365/C2</f>
        <v>3.1517676306815581E-2</v>
      </c>
      <c r="D8" s="52">
        <f t="shared" si="5"/>
        <v>3.1539449919734897E-2</v>
      </c>
      <c r="E8" s="52">
        <f t="shared" si="5"/>
        <v>3.1580329518414073E-2</v>
      </c>
      <c r="F8" s="52">
        <f t="shared" si="5"/>
        <v>3.1621279764769708E-2</v>
      </c>
      <c r="G8" s="52">
        <f t="shared" si="5"/>
        <v>3.1744555764847346E-2</v>
      </c>
      <c r="H8" s="53">
        <v>3.15E-2</v>
      </c>
      <c r="I8" s="74">
        <f t="shared" si="1"/>
        <v>3.1999972932999388E-2</v>
      </c>
      <c r="J8" s="75"/>
      <c r="K8" s="68">
        <f>H8-'Daily Data'!H120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3.2408629440969942E-2</v>
      </c>
      <c r="C9" s="56">
        <f t="shared" ref="C9:G9" si="6">((1+$I9)^(C2/365)-1)*365/C2</f>
        <v>3.2418700995537265E-2</v>
      </c>
      <c r="D9" s="56">
        <f t="shared" si="6"/>
        <v>3.2441737365686896E-2</v>
      </c>
      <c r="E9" s="56">
        <f t="shared" si="6"/>
        <v>3.2484989406369791E-2</v>
      </c>
      <c r="F9" s="56">
        <f t="shared" si="6"/>
        <v>3.2528318333154047E-2</v>
      </c>
      <c r="G9" s="56">
        <f t="shared" si="6"/>
        <v>3.2658767969349564E-2</v>
      </c>
      <c r="H9" s="53">
        <v>3.2399999999999998E-2</v>
      </c>
      <c r="I9" s="74">
        <f t="shared" si="1"/>
        <v>3.2929109626098185E-2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B3-'Daily Data'!AR121</f>
        <v>2.0700000000000003E-2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Data'!Z121</f>
        <v>9.8000000000000014E-3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4.1730980689982856E-2</v>
      </c>
      <c r="D5" s="56">
        <v>7.1099999999999997E-2</v>
      </c>
      <c r="E5" s="56">
        <f t="shared" si="2"/>
        <v>4.1840851351749211E-2</v>
      </c>
      <c r="F5" s="56">
        <f t="shared" si="2"/>
        <v>4.1912713893351702E-2</v>
      </c>
      <c r="G5" s="56">
        <f t="shared" si="2"/>
        <v>4.2129290335449224E-2</v>
      </c>
      <c r="H5" s="57">
        <v>4.1700000000000001E-2</v>
      </c>
      <c r="I5" s="74">
        <f t="shared" si="1"/>
        <v>4.2579174052441493E-2</v>
      </c>
      <c r="J5" s="75"/>
      <c r="K5" s="68">
        <f>H5-'Daily Data'!BJ121</f>
        <v>2.1600000000000001E-2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F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Data'!H121</f>
        <v>2.1600000000000001E-2</v>
      </c>
    </row>
    <row r="9" spans="1:11" ht="23.15" customHeight="1" x14ac:dyDescent="0.5">
      <c r="A9" s="51" t="s">
        <v>61</v>
      </c>
      <c r="B9" s="56">
        <f>((1+$I9)^(B2/365)-1)*365/B2</f>
        <v>3.280884384506149E-2</v>
      </c>
      <c r="C9" s="56">
        <f t="shared" ref="C9:G9" si="6">((1+$I9)^(C2/365)-1)*365/C2</f>
        <v>3.2819165682932416E-2</v>
      </c>
      <c r="D9" s="56">
        <f t="shared" si="6"/>
        <v>3.2842774717098698E-2</v>
      </c>
      <c r="E9" s="56">
        <f t="shared" si="6"/>
        <v>3.2887102710980422E-2</v>
      </c>
      <c r="F9" s="56">
        <f t="shared" si="6"/>
        <v>3.2931510477701459E-2</v>
      </c>
      <c r="G9" s="56">
        <f t="shared" si="6"/>
        <v>3.306521403168864E-2</v>
      </c>
      <c r="H9" s="53">
        <v>3.2800000000000003E-2</v>
      </c>
      <c r="I9" s="74">
        <f t="shared" si="1"/>
        <v>3.334232700144435E-2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3.2500000000000001E-2</v>
      </c>
      <c r="D3" s="55">
        <v>3.6600000000000001E-2</v>
      </c>
      <c r="E3" s="55">
        <v>3.8899999999999997E-2</v>
      </c>
      <c r="F3" s="55">
        <v>4.65E-2</v>
      </c>
      <c r="G3" s="55">
        <v>5.7799999999999997E-2</v>
      </c>
      <c r="H3" s="53">
        <v>3.5299999999999998E-2</v>
      </c>
      <c r="I3" s="74">
        <f>(1+H3/365)^365-1</f>
        <v>3.5928673130481092E-2</v>
      </c>
      <c r="J3" s="75"/>
      <c r="K3" s="68">
        <f>H3-'Daily Data'!AR122</f>
        <v>2.4E-2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Data'!Z122</f>
        <v>1.0400000000000001E-2</v>
      </c>
    </row>
    <row r="5" spans="1:11" ht="23.15" customHeight="1" x14ac:dyDescent="0.5">
      <c r="A5" s="51" t="s">
        <v>17</v>
      </c>
      <c r="B5" s="56">
        <v>5.9299999999999999E-2</v>
      </c>
      <c r="C5" s="56">
        <f t="shared" ref="C5:G5" si="2">((1+$I5)^(C2/365)-1)*365/C2</f>
        <v>4.9543658268123091E-2</v>
      </c>
      <c r="D5" s="56">
        <v>7.1099999999999997E-2</v>
      </c>
      <c r="E5" s="56">
        <f t="shared" si="2"/>
        <v>4.9698554137662457E-2</v>
      </c>
      <c r="F5" s="56">
        <f t="shared" si="2"/>
        <v>4.9799920991994019E-2</v>
      </c>
      <c r="G5" s="56">
        <f t="shared" si="2"/>
        <v>5.0105678377983978E-2</v>
      </c>
      <c r="H5" s="57">
        <v>4.9500000000000002E-2</v>
      </c>
      <c r="I5" s="74">
        <f t="shared" si="1"/>
        <v>5.0742065704776351E-2</v>
      </c>
      <c r="J5" s="75"/>
      <c r="K5" s="68">
        <f>H5-'Daily Data'!BJ122</f>
        <v>2.8000000000000004E-2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3.1808312768565487E-2</v>
      </c>
      <c r="C8" s="52">
        <f t="shared" ref="C8:G8" si="5">((1+$I8)^(C2/365)-1)*365/C2</f>
        <v>3.1818014660799525E-2</v>
      </c>
      <c r="D8" s="52">
        <f t="shared" si="5"/>
        <v>3.1840205233434705E-2</v>
      </c>
      <c r="E8" s="52">
        <f t="shared" si="5"/>
        <v>3.1881868192445817E-2</v>
      </c>
      <c r="F8" s="52">
        <f t="shared" si="5"/>
        <v>3.1923603839523036E-2</v>
      </c>
      <c r="G8" s="52">
        <f t="shared" si="5"/>
        <v>3.2049248337316039E-2</v>
      </c>
      <c r="H8" s="53">
        <v>3.1800000000000002E-2</v>
      </c>
      <c r="I8" s="74">
        <f t="shared" si="1"/>
        <v>3.230959251755694E-2</v>
      </c>
      <c r="J8" s="75"/>
      <c r="K8" s="68">
        <f>H8-'Daily Data'!H122</f>
        <v>2.1000000000000001E-2</v>
      </c>
    </row>
    <row r="9" spans="1:11" ht="23.15" customHeight="1" x14ac:dyDescent="0.5">
      <c r="A9" s="51" t="s">
        <v>61</v>
      </c>
      <c r="B9" s="56">
        <f>((1+$I9)^(B2/365)-1)*365/B2</f>
        <v>3.2508682795319786E-2</v>
      </c>
      <c r="C9" s="56">
        <f t="shared" ref="C9:G9" si="6">((1+$I9)^(C2/365)-1)*365/C2</f>
        <v>3.2518816632587697E-2</v>
      </c>
      <c r="D9" s="56">
        <f t="shared" si="6"/>
        <v>3.2541995508796773E-2</v>
      </c>
      <c r="E9" s="56">
        <f t="shared" si="6"/>
        <v>3.2585515295304769E-2</v>
      </c>
      <c r="F9" s="56">
        <f t="shared" si="6"/>
        <v>3.2629112682946743E-2</v>
      </c>
      <c r="G9" s="56">
        <f t="shared" si="6"/>
        <v>3.2760372011032608E-2</v>
      </c>
      <c r="H9" s="53">
        <v>3.2500000000000001E-2</v>
      </c>
      <c r="I9" s="74">
        <f t="shared" si="1"/>
        <v>3.303239851864892E-2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3.1E-2</v>
      </c>
      <c r="E3" s="55">
        <v>6.0999999999999999E-2</v>
      </c>
      <c r="F3" s="55">
        <v>4.9000000000000002E-2</v>
      </c>
      <c r="G3" s="55">
        <v>5.9900000000000002E-2</v>
      </c>
      <c r="H3" s="53">
        <v>3.6299999999999999E-2</v>
      </c>
      <c r="I3" s="74">
        <f>(1+H3/365)^365-1</f>
        <v>3.6965018242766767E-2</v>
      </c>
      <c r="J3" s="75"/>
      <c r="K3" s="68">
        <f>H3-'Daily Data'!AR123</f>
        <v>2.3799999999999998E-2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Data'!Z123</f>
        <v>9.6000000000000009E-3</v>
      </c>
    </row>
    <row r="5" spans="1:11" ht="23.15" customHeight="1" x14ac:dyDescent="0.5">
      <c r="A5" s="51" t="s">
        <v>17</v>
      </c>
      <c r="B5" s="56">
        <v>6.3299999999999995E-2</v>
      </c>
      <c r="C5" s="56">
        <f t="shared" ref="C5:G5" si="2">((1+$I5)^(C2/365)-1)*365/C2</f>
        <v>5.2849675204099188E-2</v>
      </c>
      <c r="D5" s="56">
        <v>7.5899999999999995E-2</v>
      </c>
      <c r="E5" s="56">
        <f t="shared" si="2"/>
        <v>5.3025950027636201E-2</v>
      </c>
      <c r="F5" s="56">
        <f t="shared" si="2"/>
        <v>5.3141334131244666E-2</v>
      </c>
      <c r="G5" s="56">
        <f t="shared" si="2"/>
        <v>5.3489498686576945E-2</v>
      </c>
      <c r="H5" s="57">
        <v>5.28E-2</v>
      </c>
      <c r="I5" s="74">
        <f t="shared" si="1"/>
        <v>5.4214754655201425E-2</v>
      </c>
      <c r="J5" s="75"/>
      <c r="K5" s="68">
        <f>H5-'Daily Data'!BJ123</f>
        <v>3.09E-2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2.7E-2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.15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Data'!H123</f>
        <v>2.1500000000000002E-2</v>
      </c>
    </row>
    <row r="9" spans="1:11" ht="23.15" customHeight="1" x14ac:dyDescent="0.5">
      <c r="A9" s="51" t="s">
        <v>61</v>
      </c>
      <c r="B9" s="56">
        <f>((1+I9)^(B2/365)-1)*365/B2</f>
        <v>3.4539801443087867E-2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3.4529999999999998E-2</v>
      </c>
      <c r="I9" s="74">
        <f t="shared" si="1"/>
        <v>3.5131391311001847E-2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3.2000000000000001E-2</v>
      </c>
      <c r="D3" s="55">
        <v>3.7999999999999999E-2</v>
      </c>
      <c r="E3" s="55">
        <v>5.9700000000000003E-2</v>
      </c>
      <c r="F3" s="55">
        <v>4.9000000000000002E-2</v>
      </c>
      <c r="G3" s="55">
        <v>5.6899999999999999E-2</v>
      </c>
      <c r="H3" s="53">
        <v>3.6799999999999999E-2</v>
      </c>
      <c r="I3" s="74">
        <f>(1+H3/365)^365-1</f>
        <v>3.7483578454069244E-2</v>
      </c>
      <c r="J3" s="75"/>
      <c r="K3" s="68">
        <f>H3-'Daily Data'!AR124</f>
        <v>2.4399999999999998E-2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Data'!Z124</f>
        <v>9.5000000000000015E-3</v>
      </c>
    </row>
    <row r="5" spans="1:11" ht="23.15" customHeight="1" x14ac:dyDescent="0.5">
      <c r="A5" s="51" t="s">
        <v>17</v>
      </c>
      <c r="B5" s="56">
        <v>6.3799999999999996E-2</v>
      </c>
      <c r="C5" s="56">
        <f t="shared" ref="C5:G5" si="2">((1+$I5)^(C2/365)-1)*365/C2</f>
        <v>5.3250430930830629E-2</v>
      </c>
      <c r="D5" s="56">
        <v>7.6600000000000001E-2</v>
      </c>
      <c r="E5" s="56">
        <f t="shared" si="2"/>
        <v>5.3429391347276901E-2</v>
      </c>
      <c r="F5" s="56">
        <f t="shared" si="2"/>
        <v>5.3546536612990449E-2</v>
      </c>
      <c r="G5" s="56">
        <f t="shared" si="2"/>
        <v>5.3900030917774011E-2</v>
      </c>
      <c r="H5" s="57">
        <v>5.3199999999999997E-2</v>
      </c>
      <c r="I5" s="74">
        <f t="shared" si="1"/>
        <v>5.4636463658827239E-2</v>
      </c>
      <c r="J5" s="75"/>
      <c r="K5" s="68">
        <f>H5-'Daily Data'!BJ124</f>
        <v>3.1199999999999999E-2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2.7E-2</v>
      </c>
      <c r="C7" s="52">
        <f t="shared" ref="C7:G7" si="4">((1+$I7)^(C2/365)-1)*365/C2</f>
        <v>2.5811857215221928E-2</v>
      </c>
      <c r="D7" s="52">
        <v>2.8299999999999999E-2</v>
      </c>
      <c r="E7" s="52">
        <f t="shared" si="4"/>
        <v>2.5853871894912912E-2</v>
      </c>
      <c r="F7" s="52">
        <f t="shared" si="4"/>
        <v>2.5881321894265188E-2</v>
      </c>
      <c r="G7" s="52">
        <f t="shared" si="4"/>
        <v>2.5963905256004081E-2</v>
      </c>
      <c r="H7" s="53">
        <v>2.58E-2</v>
      </c>
      <c r="I7" s="74">
        <f t="shared" si="1"/>
        <v>2.6134765186633047E-2</v>
      </c>
      <c r="J7" s="75"/>
      <c r="K7" s="68">
        <f>H7-1.06%</f>
        <v>1.52E-2</v>
      </c>
    </row>
    <row r="8" spans="1:11" ht="23.15" customHeight="1" x14ac:dyDescent="0.4">
      <c r="A8" s="51" t="s">
        <v>62</v>
      </c>
      <c r="B8" s="52">
        <f>((1+$I8)^(B2/365)-1)*365/B2</f>
        <v>3.2708789997348199E-2</v>
      </c>
      <c r="C8" s="52">
        <f t="shared" ref="C8:G8" si="5">((1+$I8)^(C2/365)-1)*365/C2</f>
        <v>3.2719048976256326E-2</v>
      </c>
      <c r="D8" s="52">
        <f t="shared" si="5"/>
        <v>3.2742514184474304E-2</v>
      </c>
      <c r="E8" s="52">
        <f t="shared" si="5"/>
        <v>3.2786571947560107E-2</v>
      </c>
      <c r="F8" s="52">
        <f t="shared" si="5"/>
        <v>3.2830708755136703E-2</v>
      </c>
      <c r="G8" s="52">
        <f t="shared" si="5"/>
        <v>3.2963595041935363E-2</v>
      </c>
      <c r="H8" s="53">
        <v>3.27E-2</v>
      </c>
      <c r="I8" s="74">
        <f t="shared" si="1"/>
        <v>3.3239007205273285E-2</v>
      </c>
      <c r="J8" s="75"/>
      <c r="K8" s="68">
        <f>H8-'Daily Data'!H124</f>
        <v>2.1299999999999999E-2</v>
      </c>
    </row>
    <row r="9" spans="1:11" ht="23.15" customHeight="1" x14ac:dyDescent="0.5">
      <c r="A9" s="51" t="s">
        <v>61</v>
      </c>
      <c r="B9" s="56">
        <f>((1+I9)^(B2/365)-1)*365/B2</f>
        <v>3.4509784417989478E-2</v>
      </c>
      <c r="C9" s="56">
        <f t="shared" ref="C9:G9" si="6">((1+J9)^(C2/365)-1)*365/C2</f>
        <v>0</v>
      </c>
      <c r="D9" s="56">
        <f t="shared" si="6"/>
        <v>0</v>
      </c>
      <c r="E9" s="56">
        <f t="shared" si="6"/>
        <v>0</v>
      </c>
      <c r="F9" s="56">
        <f t="shared" si="6"/>
        <v>0</v>
      </c>
      <c r="G9" s="56">
        <f t="shared" si="6"/>
        <v>0</v>
      </c>
      <c r="H9" s="53">
        <v>3.4500000000000003E-2</v>
      </c>
      <c r="I9" s="74">
        <f t="shared" si="1"/>
        <v>3.5100340771234473E-2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0.04</v>
      </c>
      <c r="D3" s="55">
        <v>4.5999999999999999E-2</v>
      </c>
      <c r="E3" s="55">
        <v>5.96E-2</v>
      </c>
      <c r="F3" s="55">
        <v>4.9000000000000002E-2</v>
      </c>
      <c r="G3" s="55">
        <v>5.96E-2</v>
      </c>
      <c r="H3" s="53">
        <v>3.61E-2</v>
      </c>
      <c r="I3" s="74">
        <f>(1+H3/365)^365-1</f>
        <v>3.6757666539783518E-2</v>
      </c>
      <c r="J3" s="75"/>
      <c r="K3" s="68">
        <f>H3-'Daily Data'!AR125</f>
        <v>2.4199999999999999E-2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Data'!Z125</f>
        <v>9.3000000000000027E-3</v>
      </c>
    </row>
    <row r="5" spans="1:11" ht="23.15" customHeight="1" x14ac:dyDescent="0.5">
      <c r="A5" s="51" t="s">
        <v>17</v>
      </c>
      <c r="B5" s="56">
        <v>6.3200000000000006E-2</v>
      </c>
      <c r="C5" s="56">
        <f t="shared" ref="C5:G5" si="2">((1+$I5)^(C2/365)-1)*365/C2</f>
        <v>5.2749487164463801E-2</v>
      </c>
      <c r="D5" s="56">
        <v>7.5800000000000006E-2</v>
      </c>
      <c r="E5" s="56">
        <f t="shared" si="2"/>
        <v>5.2925093773015672E-2</v>
      </c>
      <c r="F5" s="56">
        <f t="shared" si="2"/>
        <v>5.3040039685020607E-2</v>
      </c>
      <c r="G5" s="56">
        <f t="shared" si="2"/>
        <v>5.3386878209514509E-2</v>
      </c>
      <c r="H5" s="57">
        <v>5.2699999999999997E-2</v>
      </c>
      <c r="I5" s="74">
        <f t="shared" si="1"/>
        <v>5.4109353682553651E-2</v>
      </c>
      <c r="J5" s="75"/>
      <c r="K5" s="68">
        <f>H5-'Daily Data'!BJ125</f>
        <v>3.2799999999999996E-2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2.7199999999999998E-2</v>
      </c>
      <c r="C7" s="52">
        <f t="shared" ref="C7:G7" si="4">((1+$I7)^(C2/365)-1)*365/C2</f>
        <v>2.5911949322887175E-2</v>
      </c>
      <c r="D7" s="52">
        <v>2.8500000000000001E-2</v>
      </c>
      <c r="E7" s="52">
        <f t="shared" si="4"/>
        <v>2.5954290603619774E-2</v>
      </c>
      <c r="F7" s="52">
        <f t="shared" si="4"/>
        <v>2.5981954177583283E-2</v>
      </c>
      <c r="G7" s="52">
        <f t="shared" si="4"/>
        <v>2.6065180992459636E-2</v>
      </c>
      <c r="H7" s="53">
        <v>2.5899999999999999E-2</v>
      </c>
      <c r="I7" s="74">
        <f t="shared" si="1"/>
        <v>2.6237376526543565E-2</v>
      </c>
      <c r="J7" s="75"/>
      <c r="K7" s="68">
        <f>H7-1.06%</f>
        <v>1.5299999999999999E-2</v>
      </c>
    </row>
    <row r="8" spans="1:11" ht="23.15" customHeight="1" x14ac:dyDescent="0.4">
      <c r="A8" s="51" t="s">
        <v>62</v>
      </c>
      <c r="B8" s="52">
        <f>((1+$I8)^(B2/365)-1)*365/B2</f>
        <v>3.2408629440969942E-2</v>
      </c>
      <c r="C8" s="52">
        <f t="shared" ref="C8:G8" si="5">((1+$I8)^(C2/365)-1)*365/C2</f>
        <v>3.2418700995537265E-2</v>
      </c>
      <c r="D8" s="52">
        <f t="shared" si="5"/>
        <v>3.2441737365686896E-2</v>
      </c>
      <c r="E8" s="52">
        <f t="shared" si="5"/>
        <v>3.2484989406369791E-2</v>
      </c>
      <c r="F8" s="52">
        <f t="shared" si="5"/>
        <v>3.2528318333154047E-2</v>
      </c>
      <c r="G8" s="52">
        <f t="shared" si="5"/>
        <v>3.2658767969349564E-2</v>
      </c>
      <c r="H8" s="53">
        <v>3.2399999999999998E-2</v>
      </c>
      <c r="I8" s="74">
        <f t="shared" si="1"/>
        <v>3.2929109626098185E-2</v>
      </c>
      <c r="J8" s="75"/>
      <c r="K8" s="68">
        <f>H8-'Daily Data'!H125</f>
        <v>2.1199999999999997E-2</v>
      </c>
    </row>
    <row r="9" spans="1:11" ht="23.15" customHeight="1" x14ac:dyDescent="0.5">
      <c r="A9" s="51" t="s">
        <v>61</v>
      </c>
      <c r="B9" s="56">
        <f>((1+$I9)^(B2/365)-1)*365/B2</f>
        <v>3.4609841225906601E-2</v>
      </c>
      <c r="C9" s="56">
        <f t="shared" ref="C9:G9" si="6">((1+$I9)^(C2/365)-1)*365/C2</f>
        <v>3.4621327373535973E-2</v>
      </c>
      <c r="D9" s="56">
        <f t="shared" si="6"/>
        <v>3.464760051509911E-2</v>
      </c>
      <c r="E9" s="56">
        <f t="shared" si="6"/>
        <v>3.4696934332418397E-2</v>
      </c>
      <c r="F9" s="56">
        <f t="shared" si="6"/>
        <v>3.4746361809923854E-2</v>
      </c>
      <c r="G9" s="56">
        <f t="shared" si="6"/>
        <v>3.4895208206242749E-2</v>
      </c>
      <c r="H9" s="53">
        <v>3.4599999999999999E-2</v>
      </c>
      <c r="I9" s="74">
        <f t="shared" si="1"/>
        <v>3.5203846182888965E-2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46199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3.9899999999999998E-2</v>
      </c>
      <c r="D3" s="55">
        <v>4.1000000000000002E-2</v>
      </c>
      <c r="E3" s="55">
        <v>5.9299999999999999E-2</v>
      </c>
      <c r="F3" s="55">
        <v>4.0899999999999999E-2</v>
      </c>
      <c r="G3" s="55">
        <v>5.9499999999999997E-2</v>
      </c>
      <c r="H3" s="53">
        <v>3.6999999999999998E-2</v>
      </c>
      <c r="I3" s="74">
        <f>(1+H3/365)^365-1</f>
        <v>3.7691074941686109E-2</v>
      </c>
      <c r="J3" s="75"/>
      <c r="K3" s="68">
        <f>H3-'Daily Data'!AR126</f>
        <v>2.47E-2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Data'!Z126</f>
        <v>9.1999999999999998E-3</v>
      </c>
    </row>
    <row r="5" spans="1:11" ht="23.15" customHeight="1" x14ac:dyDescent="0.5">
      <c r="A5" s="51" t="s">
        <v>17</v>
      </c>
      <c r="B5" s="56">
        <v>6.4699999999999994E-2</v>
      </c>
      <c r="C5" s="56">
        <f t="shared" ref="C5:G5" si="2">((1+$I6)^(C2/365)-1)*365/C2</f>
        <v>3.3720232087598924E-2</v>
      </c>
      <c r="D5" s="56">
        <v>7.7700000000000005E-2</v>
      </c>
      <c r="E5" s="56">
        <f t="shared" si="2"/>
        <v>3.3791952704462558E-2</v>
      </c>
      <c r="F5" s="56">
        <f t="shared" si="2"/>
        <v>3.3838836584806672E-2</v>
      </c>
      <c r="G5" s="56">
        <f t="shared" si="2"/>
        <v>3.3980009211555737E-2</v>
      </c>
      <c r="H5" s="57">
        <v>5.3999999999999999E-2</v>
      </c>
      <c r="I5" s="74">
        <f t="shared" si="1"/>
        <v>5.5480386424407557E-2</v>
      </c>
      <c r="J5" s="75"/>
      <c r="K5" s="68">
        <f>H5-'Daily Data'!BJ126</f>
        <v>3.3299999999999996E-2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2.6800000000000001E-2</v>
      </c>
      <c r="C7" s="52">
        <f t="shared" ref="C7:G7" si="4">((1+$I7)^(C2/365)-1)*365/C2</f>
        <v>2.5511583031124378E-2</v>
      </c>
      <c r="D7" s="52">
        <v>2.8199999999999999E-2</v>
      </c>
      <c r="E7" s="52">
        <f t="shared" si="4"/>
        <v>2.5552625507271554E-2</v>
      </c>
      <c r="F7" s="52">
        <f t="shared" si="4"/>
        <v>2.5579439765606862E-2</v>
      </c>
      <c r="G7" s="52">
        <f t="shared" si="4"/>
        <v>2.5660107842983764E-2</v>
      </c>
      <c r="H7" s="53">
        <v>2.5499999999999998E-2</v>
      </c>
      <c r="I7" s="74">
        <f t="shared" si="1"/>
        <v>2.5826992553672934E-2</v>
      </c>
      <c r="J7" s="75"/>
      <c r="K7" s="68">
        <f>H7-1.06%</f>
        <v>1.4899999999999998E-2</v>
      </c>
    </row>
    <row r="8" spans="1:11" ht="23.15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Data'!H126</f>
        <v>2.1499999999999998E-2</v>
      </c>
    </row>
    <row r="9" spans="1:11" ht="23.15" customHeight="1" x14ac:dyDescent="0.5">
      <c r="A9" s="51" t="s">
        <v>61</v>
      </c>
      <c r="B9" s="56">
        <f>((1+$I9)^(B2/365)-1)*365/B2</f>
        <v>3.4709898198359249E-2</v>
      </c>
      <c r="C9" s="56">
        <f t="shared" ref="C9:G9" si="6">((1+$I9)^(C2/365)-1)*365/C2</f>
        <v>3.4721450854841733E-2</v>
      </c>
      <c r="D9" s="56">
        <f t="shared" si="6"/>
        <v>3.4747876182692296E-2</v>
      </c>
      <c r="E9" s="56">
        <f t="shared" si="6"/>
        <v>3.4797495973070948E-2</v>
      </c>
      <c r="F9" s="56">
        <f t="shared" si="6"/>
        <v>3.4847210239193682E-2</v>
      </c>
      <c r="G9" s="56">
        <f t="shared" si="6"/>
        <v>3.4996921918003271E-2</v>
      </c>
      <c r="H9" s="53">
        <v>3.4700000000000002E-2</v>
      </c>
      <c r="I9" s="74">
        <f t="shared" si="1"/>
        <v>3.5307361916328883E-2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Data'!AR127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Data'!Z127</f>
        <v>1.6299999999999999E-2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5.4653120929969511E-2</v>
      </c>
      <c r="D5" s="56">
        <v>6.2199999999999998E-2</v>
      </c>
      <c r="E5" s="56">
        <f t="shared" si="2"/>
        <v>5.4841641376906967E-2</v>
      </c>
      <c r="F5" s="56">
        <f t="shared" si="2"/>
        <v>5.4965056522566016E-2</v>
      </c>
      <c r="G5" s="56">
        <f t="shared" si="2"/>
        <v>5.5337527987590028E-2</v>
      </c>
      <c r="H5" s="57">
        <v>5.4600000000000003E-2</v>
      </c>
      <c r="I5" s="74">
        <f t="shared" si="1"/>
        <v>5.6113770425693321E-2</v>
      </c>
      <c r="J5" s="75"/>
      <c r="K5" s="68">
        <f>H5-'Daily Data'!BJ127</f>
        <v>3.4300000000000004E-2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3.3909447023868777E-2</v>
      </c>
      <c r="C8" s="52">
        <f t="shared" ref="C8:G8" si="5">((1+$I8)^(C2/365)-1)*365/C2</f>
        <v>3.3920472988498589E-2</v>
      </c>
      <c r="D8" s="52">
        <f t="shared" si="5"/>
        <v>3.3945693147479895E-2</v>
      </c>
      <c r="E8" s="52">
        <f t="shared" si="5"/>
        <v>3.3993048356382727E-2</v>
      </c>
      <c r="F8" s="52">
        <f t="shared" si="5"/>
        <v>3.4040491647770316E-2</v>
      </c>
      <c r="G8" s="52">
        <f t="shared" si="5"/>
        <v>3.4183351862080429E-2</v>
      </c>
      <c r="H8" s="53">
        <v>3.39E-2</v>
      </c>
      <c r="I8" s="74">
        <f t="shared" si="1"/>
        <v>3.4479524999688094E-2</v>
      </c>
      <c r="J8" s="75"/>
      <c r="K8" s="68">
        <f>H8-'Daily Data'!H127</f>
        <v>2.2600000000000002E-2</v>
      </c>
    </row>
    <row r="9" spans="1:11" ht="23.15" customHeight="1" x14ac:dyDescent="0.5">
      <c r="A9" s="51" t="s">
        <v>61</v>
      </c>
      <c r="B9" s="56">
        <f>((1+$I9)^(B2/365)-1)*365/B2</f>
        <v>3.5010070102444092E-2</v>
      </c>
      <c r="C9" s="56">
        <f t="shared" ref="C9:G9" si="6">((1+$I9)^(C2/365)-1)*365/C2</f>
        <v>3.5021823438143466E-2</v>
      </c>
      <c r="D9" s="56">
        <f t="shared" si="6"/>
        <v>3.5048707965300539E-2</v>
      </c>
      <c r="E9" s="56">
        <f t="shared" si="6"/>
        <v>3.5099190647355928E-2</v>
      </c>
      <c r="F9" s="56">
        <f t="shared" si="6"/>
        <v>3.5149770280249383E-2</v>
      </c>
      <c r="G9" s="56">
        <f t="shared" si="6"/>
        <v>3.5302092981027482E-2</v>
      </c>
      <c r="H9" s="53">
        <v>3.5000000000000003E-2</v>
      </c>
      <c r="I9" s="74">
        <f t="shared" si="1"/>
        <v>3.5617971057199993E-2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Data'!AR128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Data'!Z128</f>
        <v>9.1999999999999998E-3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5.3651192366085794E-2</v>
      </c>
      <c r="D5" s="56">
        <v>6.2199999999999998E-2</v>
      </c>
      <c r="E5" s="56">
        <f t="shared" si="2"/>
        <v>5.3832858749404591E-2</v>
      </c>
      <c r="F5" s="56">
        <f t="shared" si="2"/>
        <v>5.3951778611946395E-2</v>
      </c>
      <c r="G5" s="56">
        <f t="shared" si="2"/>
        <v>5.4310643676858256E-2</v>
      </c>
      <c r="H5" s="57">
        <v>5.3600000000000002E-2</v>
      </c>
      <c r="I5" s="74">
        <f t="shared" si="1"/>
        <v>5.5058340892861102E-2</v>
      </c>
      <c r="J5" s="75"/>
      <c r="K5" s="68">
        <f>H5-'Daily Data'!BJ128</f>
        <v>3.4299999999999997E-2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Data'!H128</f>
        <v>2.3E-2</v>
      </c>
    </row>
    <row r="9" spans="1:11" ht="23.15" customHeight="1" x14ac:dyDescent="0.5">
      <c r="A9" s="51" t="s">
        <v>61</v>
      </c>
      <c r="B9" s="56">
        <f>((1+$I9)^(B2/365)-1)*365/B2</f>
        <v>3.430967129548395E-2</v>
      </c>
      <c r="C9" s="56">
        <f t="shared" ref="C9:G9" si="6">((1+$I9)^(C2/365)-1)*365/C2</f>
        <v>3.4320959069194204E-2</v>
      </c>
      <c r="D9" s="56">
        <f t="shared" si="6"/>
        <v>3.4346778292231983E-2</v>
      </c>
      <c r="E9" s="56">
        <f t="shared" si="6"/>
        <v>3.4395259162604379E-2</v>
      </c>
      <c r="F9" s="56">
        <f t="shared" si="6"/>
        <v>3.4443831274714017E-2</v>
      </c>
      <c r="G9" s="56">
        <f t="shared" si="6"/>
        <v>3.459009699547997E-2</v>
      </c>
      <c r="H9" s="53">
        <v>3.4299999999999997E-2</v>
      </c>
      <c r="I9" s="74">
        <f t="shared" si="1"/>
        <v>3.4893360908936799E-2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3.78E-2</v>
      </c>
      <c r="D3" s="55">
        <v>4.0800000000000003E-2</v>
      </c>
      <c r="E3" s="55">
        <v>5.8400000000000001E-2</v>
      </c>
      <c r="F3" s="55">
        <v>0.04</v>
      </c>
      <c r="G3" s="55">
        <v>4.3999999999999997E-2</v>
      </c>
      <c r="H3" s="53">
        <v>3.6600000000000001E-2</v>
      </c>
      <c r="I3" s="74">
        <f>(1+H3/365)^365-1</f>
        <v>3.727612334382413E-2</v>
      </c>
      <c r="J3" s="75"/>
      <c r="K3" s="68">
        <f>H3-'Daily Data'!AR129</f>
        <v>2.4300000000000002E-2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Data'!Z129</f>
        <v>9.9000000000000008E-3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.15" customHeight="1" x14ac:dyDescent="0.4">
      <c r="A8" s="51" t="s">
        <v>62</v>
      </c>
      <c r="B8" s="52">
        <f>((1+$I8)^(B2/365)-1)*365/B2</f>
        <v>3.290889785714822E-2</v>
      </c>
      <c r="C8" s="52">
        <f t="shared" ref="C8:G8" si="5">((1+$I8)^(C2/365)-1)*365/C2</f>
        <v>3.2919282746055836E-2</v>
      </c>
      <c r="D8" s="52">
        <f t="shared" si="5"/>
        <v>3.2943036046151376E-2</v>
      </c>
      <c r="E8" s="52">
        <f t="shared" si="5"/>
        <v>3.2987635099189561E-2</v>
      </c>
      <c r="F8" s="52">
        <f t="shared" si="5"/>
        <v>3.3032314657883019E-2</v>
      </c>
      <c r="G8" s="52">
        <f t="shared" si="5"/>
        <v>3.3166838004525655E-2</v>
      </c>
      <c r="H8" s="53">
        <v>3.2899999999999999E-2</v>
      </c>
      <c r="I8" s="74">
        <f t="shared" si="1"/>
        <v>3.3445657100777071E-2</v>
      </c>
      <c r="J8" s="75"/>
      <c r="K8" s="68">
        <f>H8-'Daily Data'!H129</f>
        <v>2.1299999999999999E-2</v>
      </c>
    </row>
    <row r="9" spans="1:11" ht="23.15" customHeight="1" x14ac:dyDescent="0.5">
      <c r="A9" s="51" t="s">
        <v>61</v>
      </c>
      <c r="B9" s="56">
        <f>((1+$I9)^(B2/365)-1)*365/B2</f>
        <v>3.4209614980849228E-2</v>
      </c>
      <c r="C9" s="56">
        <f t="shared" ref="C9:G9" si="6">((1+$I9)^(C2/365)-1)*365/C2</f>
        <v>3.4220837014135107E-2</v>
      </c>
      <c r="D9" s="56">
        <f t="shared" si="6"/>
        <v>3.4246505811097595E-2</v>
      </c>
      <c r="E9" s="56">
        <f t="shared" si="6"/>
        <v>3.4294704023164348E-2</v>
      </c>
      <c r="F9" s="56">
        <f t="shared" si="6"/>
        <v>3.4342992680180727E-2</v>
      </c>
      <c r="G9" s="56">
        <f t="shared" si="6"/>
        <v>3.4488403232455951E-2</v>
      </c>
      <c r="H9" s="53">
        <v>3.4200000000000001E-2</v>
      </c>
      <c r="I9" s="74">
        <f t="shared" si="1"/>
        <v>3.4789886456186414E-2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3 A4:H9 J4:J9 I4:I10 A10:F10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0.03</v>
      </c>
      <c r="C3" s="55">
        <v>3.1899999999999998E-2</v>
      </c>
      <c r="D3" s="55">
        <v>3.9E-2</v>
      </c>
      <c r="E3" s="55">
        <v>5.7799999999999997E-2</v>
      </c>
      <c r="F3" s="55">
        <v>4.4999999999999998E-2</v>
      </c>
      <c r="G3" s="55">
        <v>4.1000000000000002E-2</v>
      </c>
      <c r="H3" s="53">
        <v>3.9800000000000002E-2</v>
      </c>
      <c r="I3" s="74">
        <f>(1+H3/365)^365-1</f>
        <v>4.0600374996768718E-2</v>
      </c>
      <c r="J3" s="75"/>
      <c r="K3" s="68">
        <f>H3-'Daily Data'!AR130</f>
        <v>2.6000000000000002E-2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Data'!Z130</f>
        <v>8.8000000000000023E-3</v>
      </c>
    </row>
    <row r="5" spans="1:11" ht="23.15" customHeight="1" x14ac:dyDescent="0.5">
      <c r="A5" s="51" t="s">
        <v>17</v>
      </c>
      <c r="B5" s="56">
        <v>5.1900000000000002E-2</v>
      </c>
      <c r="C5" s="56">
        <f t="shared" ref="C5:G5" si="2">((1+$I5)^(C2/365)-1)*365/C2</f>
        <v>4.323325015011005E-2</v>
      </c>
      <c r="D5" s="56">
        <v>6.2199999999999998E-2</v>
      </c>
      <c r="E5" s="56">
        <f t="shared" si="2"/>
        <v>4.3351178817987633E-2</v>
      </c>
      <c r="F5" s="56">
        <f t="shared" si="2"/>
        <v>4.3428319855029436E-2</v>
      </c>
      <c r="G5" s="56">
        <f t="shared" si="2"/>
        <v>4.3660842741178034E-2</v>
      </c>
      <c r="H5" s="57">
        <v>4.3200000000000002E-2</v>
      </c>
      <c r="I5" s="74">
        <f t="shared" si="1"/>
        <v>4.4144034169892876E-2</v>
      </c>
      <c r="J5" s="75"/>
      <c r="K5" s="68">
        <f>H5-'Daily Data'!BJ129</f>
        <v>2.4800000000000003E-2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3.5299999999999998E-2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.15" customHeight="1" x14ac:dyDescent="0.4">
      <c r="A8" s="51" t="s">
        <v>62</v>
      </c>
      <c r="B8" s="52">
        <f>((1+$I8)^(B2/365)-1)*365/B2</f>
        <v>3.5910594695506913E-2</v>
      </c>
      <c r="C8" s="52">
        <f t="shared" ref="C8:G8" si="5">((1+$I8)^(C2/365)-1)*365/C2</f>
        <v>3.5922960443012478E-2</v>
      </c>
      <c r="D8" s="52">
        <f t="shared" si="5"/>
        <v>3.5951246333042218E-2</v>
      </c>
      <c r="E8" s="52">
        <f t="shared" si="5"/>
        <v>3.6004362447270476E-2</v>
      </c>
      <c r="F8" s="52">
        <f t="shared" si="5"/>
        <v>3.6057583196594925E-2</v>
      </c>
      <c r="G8" s="52">
        <f t="shared" si="5"/>
        <v>3.6217875576784582E-2</v>
      </c>
      <c r="H8" s="53">
        <v>3.5900000000000001E-2</v>
      </c>
      <c r="I8" s="74">
        <f t="shared" si="1"/>
        <v>3.6550356185158339E-2</v>
      </c>
      <c r="J8" s="75"/>
      <c r="K8" s="68">
        <f>H8-'Daily Data'!H130</f>
        <v>2.23E-2</v>
      </c>
    </row>
    <row r="9" spans="1:11" ht="23.15" customHeight="1" x14ac:dyDescent="0.5">
      <c r="A9" s="51" t="s">
        <v>61</v>
      </c>
      <c r="B9" s="56">
        <f>((1+$I9)^(B2/365)-1)*365/B2</f>
        <v>3.6811132610262698E-2</v>
      </c>
      <c r="C9" s="56">
        <f t="shared" ref="C9:G9" si="6">((1+$I9)^(C2/365)-1)*365/C2</f>
        <v>3.6824126331346081E-2</v>
      </c>
      <c r="D9" s="56">
        <f t="shared" si="6"/>
        <v>3.6853849234498227E-2</v>
      </c>
      <c r="E9" s="56">
        <f t="shared" si="6"/>
        <v>3.6909665927788916E-2</v>
      </c>
      <c r="F9" s="56">
        <f t="shared" si="6"/>
        <v>3.6965595336695314E-2</v>
      </c>
      <c r="G9" s="56">
        <f t="shared" si="6"/>
        <v>3.7134062420906062E-2</v>
      </c>
      <c r="H9" s="53">
        <v>3.6799999999999999E-2</v>
      </c>
      <c r="I9" s="74">
        <f t="shared" si="1"/>
        <v>3.7483578454069244E-2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3.2000000000000001E-2</v>
      </c>
      <c r="C3" s="55">
        <v>4.2999999999999997E-2</v>
      </c>
      <c r="D3" s="55">
        <v>4.1000000000000002E-2</v>
      </c>
      <c r="E3" s="55">
        <v>5.8000000000000003E-2</v>
      </c>
      <c r="F3" s="55">
        <v>4.9500000000000002E-2</v>
      </c>
      <c r="G3" s="55">
        <v>5.5E-2</v>
      </c>
      <c r="H3" s="53">
        <v>3.9600000000000003E-2</v>
      </c>
      <c r="I3" s="74">
        <f>(1+H3/365)^365-1</f>
        <v>4.0392298362033729E-2</v>
      </c>
      <c r="J3" s="75"/>
      <c r="K3" s="68">
        <f>H3-'Daily Data'!AR131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Data'!Z131</f>
        <v>8.5000000000000006E-3</v>
      </c>
    </row>
    <row r="5" spans="1:11" ht="23.15" customHeight="1" x14ac:dyDescent="0.5">
      <c r="A5" s="51" t="s">
        <v>17</v>
      </c>
      <c r="B5" s="56">
        <v>4.87E-2</v>
      </c>
      <c r="C5" s="56">
        <f t="shared" ref="C5:G5" si="2">((1+$I5)^(C2/365)-1)*365/C2</f>
        <v>3.5922960443012478E-2</v>
      </c>
      <c r="D5" s="56">
        <v>5.16E-2</v>
      </c>
      <c r="E5" s="56">
        <f t="shared" si="2"/>
        <v>3.6004362447270476E-2</v>
      </c>
      <c r="F5" s="56">
        <f t="shared" si="2"/>
        <v>3.6057583196594925E-2</v>
      </c>
      <c r="G5" s="56">
        <f t="shared" si="2"/>
        <v>3.6217875576784582E-2</v>
      </c>
      <c r="H5" s="57">
        <v>3.5900000000000001E-2</v>
      </c>
      <c r="I5" s="74">
        <f t="shared" si="1"/>
        <v>3.6550356185158339E-2</v>
      </c>
      <c r="J5" s="75"/>
      <c r="K5" s="68">
        <f>H5-'Daily Data'!BJ131</f>
        <v>2.2499999999999999E-2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3.6999999999999998E-2</v>
      </c>
      <c r="C7" s="52">
        <f t="shared" ref="C7:G7" si="4">((1+$I7)^(C2/365)-1)*365/C2</f>
        <v>3.5222073609817203E-2</v>
      </c>
      <c r="D7" s="52">
        <v>3.8699999999999998E-2</v>
      </c>
      <c r="E7" s="52">
        <f t="shared" si="4"/>
        <v>3.5300328557368831E-2</v>
      </c>
      <c r="F7" s="52">
        <f t="shared" si="4"/>
        <v>3.5351489269211729E-2</v>
      </c>
      <c r="G7" s="52">
        <f t="shared" si="4"/>
        <v>3.5505565298553574E-2</v>
      </c>
      <c r="H7" s="53">
        <v>3.5200000000000002E-2</v>
      </c>
      <c r="I7" s="74">
        <f t="shared" si="1"/>
        <v>3.582509544513357E-2</v>
      </c>
      <c r="J7" s="75"/>
      <c r="K7" s="68">
        <f>H7-1.06%</f>
        <v>2.4600000000000004E-2</v>
      </c>
    </row>
    <row r="8" spans="1:11" ht="23.15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Data'!H131</f>
        <v>2.1999999999999999E-2</v>
      </c>
    </row>
    <row r="9" spans="1:11" ht="23.15" customHeight="1" x14ac:dyDescent="0.5">
      <c r="A9" s="51" t="s">
        <v>61</v>
      </c>
      <c r="B9" s="56">
        <f>((1+$I9)^(B2/365)-1)*365/B2</f>
        <v>3.7111314875581947E-2</v>
      </c>
      <c r="C9" s="56">
        <f t="shared" ref="C9:G9" si="6">((1+$I9)^(C2/365)-1)*365/C2</f>
        <v>3.7124521379478526E-2</v>
      </c>
      <c r="D9" s="56">
        <f t="shared" si="6"/>
        <v>3.7154731209908344E-2</v>
      </c>
      <c r="E9" s="56">
        <f t="shared" si="6"/>
        <v>3.7211463020234627E-2</v>
      </c>
      <c r="F9" s="56">
        <f t="shared" si="6"/>
        <v>3.7268310329474294E-2</v>
      </c>
      <c r="G9" s="56">
        <f t="shared" si="6"/>
        <v>3.7439547899246244E-2</v>
      </c>
      <c r="H9" s="53">
        <v>3.7100000000000001E-2</v>
      </c>
      <c r="I9" s="74">
        <f t="shared" si="1"/>
        <v>3.7794838704558797E-2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3.5000000000000003E-2</v>
      </c>
      <c r="C3" s="55">
        <v>4.2999999999999997E-2</v>
      </c>
      <c r="D3" s="55">
        <v>4.1000000000000002E-2</v>
      </c>
      <c r="E3" s="55">
        <v>5.21E-2</v>
      </c>
      <c r="F3" s="55">
        <v>4.8800000000000003E-2</v>
      </c>
      <c r="G3" s="55">
        <v>5.9700000000000003E-2</v>
      </c>
      <c r="H3" s="53">
        <v>4.0300000000000002E-2</v>
      </c>
      <c r="I3" s="74">
        <f>(1+H3/365)^365-1</f>
        <v>4.1120748168237853E-2</v>
      </c>
      <c r="J3" s="75"/>
      <c r="K3" s="68">
        <f>H3-'Daily Data'!AR132</f>
        <v>2.4800000000000003E-2</v>
      </c>
    </row>
    <row r="4" spans="1:11" ht="23.15" customHeight="1" x14ac:dyDescent="0.5">
      <c r="A4" s="51" t="s">
        <v>15</v>
      </c>
      <c r="B4" s="56">
        <f>((1+$I4)^(B2/365)-1)*365/B2</f>
        <v>2.5035149911084891E-2</v>
      </c>
      <c r="C4" s="56">
        <f t="shared" ref="C4:G4" si="0">((1+$I4)^(C2/365)-1)*365/C2</f>
        <v>2.5041159926311014E-2</v>
      </c>
      <c r="D4" s="56">
        <f t="shared" si="0"/>
        <v>2.5054904328822736E-2</v>
      </c>
      <c r="E4" s="56">
        <f t="shared" si="0"/>
        <v>2.5080702201325855E-2</v>
      </c>
      <c r="F4" s="56">
        <f t="shared" si="0"/>
        <v>2.5106535490993349E-2</v>
      </c>
      <c r="G4" s="56">
        <f t="shared" si="0"/>
        <v>2.5184248410435296E-2</v>
      </c>
      <c r="H4" s="57">
        <v>2.503E-2</v>
      </c>
      <c r="I4" s="74">
        <f t="shared" ref="I4:I9" si="1">(1+H4/365)^365-1</f>
        <v>2.5345000507333015E-2</v>
      </c>
      <c r="J4" s="75"/>
      <c r="K4" s="68">
        <f>H4-'Daily Data'!Z132</f>
        <v>7.4299999999999991E-3</v>
      </c>
    </row>
    <row r="5" spans="1:11" ht="23.15" customHeight="1" x14ac:dyDescent="0.5">
      <c r="A5" s="51" t="s">
        <v>17</v>
      </c>
      <c r="B5" s="56">
        <v>3.6600000000000001E-2</v>
      </c>
      <c r="C5" s="56">
        <f t="shared" ref="C5:G5" si="2">((1+$I5)^(C2/365)-1)*365/C2</f>
        <v>3.762518692503198E-2</v>
      </c>
      <c r="D5" s="56">
        <v>3.8399999999999997E-2</v>
      </c>
      <c r="E5" s="56">
        <f t="shared" si="2"/>
        <v>3.7714490694561884E-2</v>
      </c>
      <c r="F5" s="56">
        <f t="shared" si="2"/>
        <v>3.7772884523489474E-2</v>
      </c>
      <c r="G5" s="56">
        <f t="shared" si="2"/>
        <v>3.7948790239201682E-2</v>
      </c>
      <c r="H5" s="57">
        <v>3.7600000000000001E-2</v>
      </c>
      <c r="I5" s="74">
        <f t="shared" si="1"/>
        <v>3.8313812750667031E-2</v>
      </c>
      <c r="J5" s="75"/>
      <c r="K5" s="68">
        <f>H5-'Daily Data'!Z132</f>
        <v>0.02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4">
      <c r="A7" s="51" t="s">
        <v>52</v>
      </c>
      <c r="B7" s="52">
        <v>3.6600000000000001E-2</v>
      </c>
      <c r="C7" s="52">
        <f t="shared" ref="C7:G7" si="4">((1+$I7)^(C2/365)-1)*365/C2</f>
        <v>3.4921698887096272E-2</v>
      </c>
      <c r="D7" s="52">
        <v>3.8399999999999997E-2</v>
      </c>
      <c r="E7" s="52">
        <f t="shared" si="4"/>
        <v>3.4998624130466095E-2</v>
      </c>
      <c r="F7" s="52">
        <f t="shared" si="4"/>
        <v>3.5048914474249737E-2</v>
      </c>
      <c r="G7" s="52">
        <f t="shared" si="4"/>
        <v>3.52003643051041E-2</v>
      </c>
      <c r="H7" s="53">
        <v>3.49E-2</v>
      </c>
      <c r="I7" s="74">
        <f t="shared" si="1"/>
        <v>3.5514424352408591E-2</v>
      </c>
      <c r="J7" s="75"/>
      <c r="K7" s="68">
        <f>H7-1.06%</f>
        <v>2.4300000000000002E-2</v>
      </c>
    </row>
    <row r="8" spans="1:11" ht="23.15" customHeight="1" x14ac:dyDescent="0.4">
      <c r="A8" s="51" t="s">
        <v>62</v>
      </c>
      <c r="B8" s="52">
        <f>((1+$I8)^(B2/365)-1)*365/B2</f>
        <v>3.6310832124105845E-2</v>
      </c>
      <c r="C8" s="52">
        <f t="shared" ref="C8:G8" si="5">((1+$I8)^(C2/365)-1)*365/C2</f>
        <v>3.6323475049729645E-2</v>
      </c>
      <c r="D8" s="52">
        <f t="shared" si="5"/>
        <v>3.6352395210776788E-2</v>
      </c>
      <c r="E8" s="52">
        <f t="shared" si="5"/>
        <v>3.6406703291771501E-2</v>
      </c>
      <c r="F8" s="52">
        <f t="shared" si="5"/>
        <v>3.6461119549689336E-2</v>
      </c>
      <c r="G8" s="52">
        <f t="shared" si="5"/>
        <v>3.6625019812009267E-2</v>
      </c>
      <c r="H8" s="53">
        <v>3.6299999999999999E-2</v>
      </c>
      <c r="I8" s="74">
        <f t="shared" si="1"/>
        <v>3.6965018242766767E-2</v>
      </c>
      <c r="J8" s="75"/>
      <c r="K8" s="68">
        <f>H8-'Daily Data'!H132</f>
        <v>2.23E-2</v>
      </c>
    </row>
    <row r="9" spans="1:11" ht="23.15" customHeight="1" x14ac:dyDescent="0.5">
      <c r="A9" s="51" t="s">
        <v>61</v>
      </c>
      <c r="B9" s="56">
        <f>((1+$I9)^(B2/365)-1)*365/B2</f>
        <v>3.7811745917646675E-2</v>
      </c>
      <c r="C9" s="56">
        <f t="shared" ref="C9:G9" si="6">((1+$I9)^(C2/365)-1)*365/C2</f>
        <v>3.7825455639434812E-2</v>
      </c>
      <c r="D9" s="56">
        <f t="shared" si="6"/>
        <v>3.7856817040241096E-2</v>
      </c>
      <c r="E9" s="56">
        <f t="shared" si="6"/>
        <v>3.7915713146943579E-2</v>
      </c>
      <c r="F9" s="56">
        <f t="shared" si="6"/>
        <v>3.7974731424557651E-2</v>
      </c>
      <c r="G9" s="56">
        <f t="shared" si="6"/>
        <v>3.8152522137446708E-2</v>
      </c>
      <c r="H9" s="53">
        <v>3.78E-2</v>
      </c>
      <c r="I9" s="74">
        <f t="shared" si="1"/>
        <v>3.8521474829770863E-2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3.49E-2</v>
      </c>
      <c r="C3" s="55">
        <v>3.7999999999999999E-2</v>
      </c>
      <c r="D3" s="55">
        <v>3.9899999999999998E-2</v>
      </c>
      <c r="E3" s="55">
        <v>5.7599999999999998E-2</v>
      </c>
      <c r="F3" s="55">
        <v>3.9100000000000003E-2</v>
      </c>
      <c r="G3" s="55">
        <v>5.1999999999999998E-2</v>
      </c>
      <c r="H3" s="53">
        <v>4.1500000000000002E-2</v>
      </c>
      <c r="I3" s="74">
        <f>(1+H3/365)^365-1</f>
        <v>4.237070282542077E-2</v>
      </c>
      <c r="J3" s="75"/>
      <c r="K3" s="68">
        <f>H3-'Daily Data'!AR133</f>
        <v>2.5100000000000001E-2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Data'!Z133</f>
        <v>7.6000000000000026E-3</v>
      </c>
    </row>
    <row r="5" spans="1:11" ht="23.15" customHeight="1" x14ac:dyDescent="0.5">
      <c r="A5" s="51" t="s">
        <v>17</v>
      </c>
      <c r="B5" s="56">
        <v>4.6600000000000003E-2</v>
      </c>
      <c r="C5" s="56">
        <f t="shared" ref="C5:G5" si="2">((1+$I5)^(C2/365)-1)*365/C2</f>
        <v>3.7124521379478526E-2</v>
      </c>
      <c r="D5" s="56">
        <v>5.3499999999999999E-2</v>
      </c>
      <c r="E5" s="56">
        <f t="shared" si="2"/>
        <v>3.7211463020234627E-2</v>
      </c>
      <c r="F5" s="56">
        <f t="shared" si="2"/>
        <v>3.7268310329474294E-2</v>
      </c>
      <c r="G5" s="56">
        <f t="shared" si="2"/>
        <v>3.7439547899246244E-2</v>
      </c>
      <c r="H5" s="57">
        <v>3.7100000000000001E-2</v>
      </c>
      <c r="I5" s="74">
        <f t="shared" si="1"/>
        <v>3.7794838704558797E-2</v>
      </c>
      <c r="J5" s="75"/>
      <c r="K5" s="68">
        <f>H5-'Daily Data'!BJ133</f>
        <v>2.2100000000000002E-2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3.8100000000000002E-2</v>
      </c>
      <c r="C7" s="52">
        <f t="shared" ref="C7:G7" si="4">((1+$I7)^(C2/365)-1)*365/C2</f>
        <v>3.6323475049729645E-2</v>
      </c>
      <c r="D7" s="56">
        <v>3.9899999999999998E-2</v>
      </c>
      <c r="E7" s="52">
        <f t="shared" si="4"/>
        <v>3.6406703291771501E-2</v>
      </c>
      <c r="F7" s="52">
        <f t="shared" si="4"/>
        <v>3.6461119549689336E-2</v>
      </c>
      <c r="G7" s="52">
        <f t="shared" si="4"/>
        <v>3.6625019812009267E-2</v>
      </c>
      <c r="H7" s="53">
        <v>3.6299999999999999E-2</v>
      </c>
      <c r="I7" s="74">
        <f t="shared" si="1"/>
        <v>3.6965018242766767E-2</v>
      </c>
      <c r="J7" s="75"/>
      <c r="K7" s="68">
        <f>H7-1.06%</f>
        <v>2.5700000000000001E-2</v>
      </c>
    </row>
    <row r="8" spans="1:11" ht="23.15" customHeight="1" x14ac:dyDescent="0.4">
      <c r="A8" s="51" t="s">
        <v>62</v>
      </c>
      <c r="B8" s="52">
        <f>((1+$I8)^(B2/365)-1)*365/B2</f>
        <v>3.7311437208140515E-2</v>
      </c>
      <c r="C8" s="52">
        <f t="shared" ref="C8:G8" si="5">((1+$I8)^(C2/365)-1)*365/C2</f>
        <v>3.7324786527908681E-2</v>
      </c>
      <c r="D8" s="52">
        <f t="shared" si="5"/>
        <v>3.735532317743958E-2</v>
      </c>
      <c r="E8" s="52">
        <f t="shared" si="5"/>
        <v>3.7412669211809337E-2</v>
      </c>
      <c r="F8" s="52">
        <f t="shared" si="5"/>
        <v>3.74701326258867E-2</v>
      </c>
      <c r="G8" s="52">
        <f t="shared" si="5"/>
        <v>3.7643229852613126E-2</v>
      </c>
      <c r="H8" s="53">
        <v>3.73E-2</v>
      </c>
      <c r="I8" s="74">
        <f t="shared" si="1"/>
        <v>3.8002397273573685E-2</v>
      </c>
      <c r="J8" s="75"/>
      <c r="K8" s="68">
        <f>H8-'Daily Data'!H133</f>
        <v>2.24E-2</v>
      </c>
    </row>
    <row r="9" spans="1:11" ht="23.15" customHeight="1" x14ac:dyDescent="0.5">
      <c r="A9" s="51" t="s">
        <v>61</v>
      </c>
      <c r="B9" s="56">
        <f>((1+$I9)^(B2/365)-1)*365/B2</f>
        <v>3.8912439551918511E-2</v>
      </c>
      <c r="C9" s="56">
        <f t="shared" ref="C9:G9" si="6">((1+$I9)^(C2/365)-1)*365/C2</f>
        <v>3.8926959066522389E-2</v>
      </c>
      <c r="D9" s="56">
        <f t="shared" si="6"/>
        <v>3.8960173660393282E-2</v>
      </c>
      <c r="E9" s="56">
        <f t="shared" si="6"/>
        <v>3.9022552912378425E-2</v>
      </c>
      <c r="F9" s="56">
        <f t="shared" si="6"/>
        <v>3.9085065331842528E-2</v>
      </c>
      <c r="G9" s="56">
        <f t="shared" si="6"/>
        <v>3.9273404797430481E-2</v>
      </c>
      <c r="H9" s="53">
        <v>3.8899999999999997E-2</v>
      </c>
      <c r="I9" s="74">
        <f t="shared" si="1"/>
        <v>3.9664356841096371E-2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:J9 I4:I10 A10:F10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3.7324786527908681E-2</v>
      </c>
      <c r="D5" s="56">
        <v>5.4899999999999997E-2</v>
      </c>
      <c r="E5" s="56">
        <f t="shared" si="2"/>
        <v>3.7412669211809337E-2</v>
      </c>
      <c r="F5" s="56">
        <f t="shared" si="2"/>
        <v>3.74701326258867E-2</v>
      </c>
      <c r="G5" s="56">
        <f t="shared" si="2"/>
        <v>3.7643229852613126E-2</v>
      </c>
      <c r="H5" s="57">
        <v>3.73E-2</v>
      </c>
      <c r="I5" s="74">
        <f t="shared" si="1"/>
        <v>3.8002397273573685E-2</v>
      </c>
      <c r="J5" s="75"/>
      <c r="K5" s="68">
        <f>H5-'Daily Data'!BJ134</f>
        <v>2.3400000000000001E-2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7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3.9800000000000002E-2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3.691119320087604E-2</v>
      </c>
      <c r="C8" s="52">
        <f t="shared" ref="C8:G8" si="5">((1+$I8)^(C2/365)-1)*365/C2</f>
        <v>3.6924257657428176E-2</v>
      </c>
      <c r="D8" s="52">
        <f t="shared" si="5"/>
        <v>3.6954142429492388E-2</v>
      </c>
      <c r="E8" s="52">
        <f t="shared" si="5"/>
        <v>3.7010263332617192E-2</v>
      </c>
      <c r="F8" s="52">
        <f t="shared" si="5"/>
        <v>3.706649787408943E-2</v>
      </c>
      <c r="G8" s="52">
        <f t="shared" si="5"/>
        <v>3.7235885920416052E-2</v>
      </c>
      <c r="H8" s="53">
        <v>3.6900000000000002E-2</v>
      </c>
      <c r="I8" s="74">
        <f t="shared" si="1"/>
        <v>3.7587321525166306E-2</v>
      </c>
      <c r="J8" s="75"/>
      <c r="K8" s="68">
        <f>H8-'Daily Data'!H134</f>
        <v>2.2400000000000003E-2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0:F10 I4:I10 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 t="s">
        <v>72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3.801187055273008E-2</v>
      </c>
      <c r="C8" s="52">
        <f t="shared" ref="C8:F8" si="5">((1+$I8)^(C2/365)-1)*365/C2</f>
        <v>3.8025725780286922E-2</v>
      </c>
      <c r="D8" s="52">
        <f t="shared" si="5"/>
        <v>3.8057420163112088E-2</v>
      </c>
      <c r="E8" s="52">
        <f t="shared" si="5"/>
        <v>3.8116942104048458E-2</v>
      </c>
      <c r="F8" s="52">
        <f t="shared" si="5"/>
        <v>3.8176588168356236E-2</v>
      </c>
      <c r="G8" s="52">
        <f>((1+$I8)^(G2/365)-1)*365/G2</f>
        <v>3.8356274017090804E-2</v>
      </c>
      <c r="H8" s="53">
        <v>3.7999999999999999E-2</v>
      </c>
      <c r="I8" s="74">
        <f t="shared" si="1"/>
        <v>3.8729178327362002E-2</v>
      </c>
      <c r="J8" s="75"/>
      <c r="K8" s="68">
        <f>H8-'Daily Data'!H134</f>
        <v>2.35E-2</v>
      </c>
    </row>
    <row r="9" spans="1:11" ht="23.15" customHeight="1" x14ac:dyDescent="0.5">
      <c r="A9" s="51" t="s">
        <v>61</v>
      </c>
      <c r="B9" s="56">
        <f>((1+$I9)^(B2/365)-1)*365/B2</f>
        <v>3.8412121796570657E-2</v>
      </c>
      <c r="C9" s="56">
        <f t="shared" ref="C9:G9" si="6">((1+$I9)^(C2/365)-1)*365/C2</f>
        <v>3.8426270341367919E-2</v>
      </c>
      <c r="D9" s="56">
        <f t="shared" si="6"/>
        <v>3.8458635971029276E-2</v>
      </c>
      <c r="E9" s="56">
        <f t="shared" si="6"/>
        <v>3.8519419533253031E-2</v>
      </c>
      <c r="F9" s="56">
        <f t="shared" si="6"/>
        <v>3.8580331186044731E-2</v>
      </c>
      <c r="G9" s="56">
        <f t="shared" si="6"/>
        <v>3.8763837728371019E-2</v>
      </c>
      <c r="H9" s="53">
        <v>3.8399999999999997E-2</v>
      </c>
      <c r="I9" s="74">
        <f t="shared" si="1"/>
        <v>3.9144709610959838E-2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0:F10 I1:I10 J1:J9 A1:H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tabSelected="1" topLeftCell="B1" zoomScale="60" zoomScaleNormal="6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.15" customHeight="1" x14ac:dyDescent="0.35">
      <c r="A2" s="50">
        <v>46209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.15" customHeight="1" x14ac:dyDescent="0.4">
      <c r="A3" s="51" t="s">
        <v>16</v>
      </c>
      <c r="B3" s="55">
        <v>5.0999999999999997E-2</v>
      </c>
      <c r="C3" s="55">
        <v>4.2799999999999998E-2</v>
      </c>
      <c r="D3" s="55">
        <v>0.04</v>
      </c>
      <c r="E3" s="55">
        <v>5.5899999999999998E-2</v>
      </c>
      <c r="F3" s="55">
        <v>3.9100000000000003E-2</v>
      </c>
      <c r="G3" s="55">
        <v>4.0099999999999997E-2</v>
      </c>
      <c r="H3" s="53">
        <v>4.1000000000000002E-2</v>
      </c>
      <c r="I3" s="74">
        <f>(1+H3/365)^365-1</f>
        <v>4.1849706613630966E-2</v>
      </c>
      <c r="J3" s="75"/>
      <c r="K3" s="68">
        <f>H3-'Daily Data'!AR134</f>
        <v>2.5000000000000001E-2</v>
      </c>
    </row>
    <row r="4" spans="1:11" ht="23.15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'Daily Data'!Z136</f>
        <v>1.55E-2</v>
      </c>
    </row>
    <row r="5" spans="1:11" ht="23.15" customHeight="1" x14ac:dyDescent="0.5">
      <c r="A5" s="51" t="s">
        <v>17</v>
      </c>
      <c r="B5" s="56">
        <v>4.5999999999999999E-2</v>
      </c>
      <c r="C5" s="56">
        <f t="shared" ref="C5:G5" si="2">((1+$I5)^(C2/365)-1)*365/C2</f>
        <v>3.8225997347559368E-2</v>
      </c>
      <c r="D5" s="56">
        <v>5.4899999999999997E-2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7">
        <v>3.8199999999999998E-2</v>
      </c>
      <c r="I5" s="74">
        <f t="shared" si="1"/>
        <v>3.8936923251637001E-2</v>
      </c>
      <c r="J5" s="75"/>
      <c r="K5" s="68">
        <f>H5-'Daily Data'!BJ134</f>
        <v>2.4299999999999999E-2</v>
      </c>
    </row>
    <row r="6" spans="1:11" ht="23.15" customHeight="1" x14ac:dyDescent="0.5">
      <c r="A6" s="51" t="s">
        <v>60</v>
      </c>
      <c r="B6" s="52">
        <v>3.7499999999999999E-2</v>
      </c>
      <c r="C6" s="52">
        <f t="shared" ref="C6:G6" si="3">((1+$I6)^(C2/365)-1)*365/C2</f>
        <v>3.7525053102707075E-2</v>
      </c>
      <c r="D6" s="52">
        <v>0.06</v>
      </c>
      <c r="E6" s="52">
        <f t="shared" si="3"/>
        <v>3.7613881907545298E-2</v>
      </c>
      <c r="F6" s="52">
        <f t="shared" si="3"/>
        <v>3.7671964763798499E-2</v>
      </c>
      <c r="G6" s="52">
        <f t="shared" si="3"/>
        <v>3.7846931782462699E-2</v>
      </c>
      <c r="H6" s="57">
        <v>3.7499999999999999E-2</v>
      </c>
      <c r="I6" s="74">
        <f t="shared" si="1"/>
        <v>3.8209997240440829E-2</v>
      </c>
      <c r="J6" s="75"/>
      <c r="K6" s="68">
        <f>H6-2.3%</f>
        <v>1.4499999999999999E-2</v>
      </c>
    </row>
    <row r="7" spans="1:11" ht="23.15" customHeight="1" x14ac:dyDescent="0.5">
      <c r="A7" s="51" t="s">
        <v>52</v>
      </c>
      <c r="B7" s="56">
        <v>3.7999999999999999E-2</v>
      </c>
      <c r="C7" s="56">
        <f t="shared" ref="C7:G7" si="4">((1+$I7)^(C2/365)-1)*365/C2</f>
        <v>3.6223345863170948E-2</v>
      </c>
      <c r="D7" s="56">
        <v>3.9199999999999999E-2</v>
      </c>
      <c r="E7" s="56">
        <f t="shared" si="4"/>
        <v>3.6306115642032878E-2</v>
      </c>
      <c r="F7" s="56">
        <f t="shared" si="4"/>
        <v>3.6360231771886457E-2</v>
      </c>
      <c r="G7" s="56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.15" customHeight="1" x14ac:dyDescent="0.4">
      <c r="A8" s="51" t="s">
        <v>62</v>
      </c>
      <c r="B8" s="52">
        <f>((1+$I8)^(B2/365)-1)*365/B2</f>
        <v>3.8211995845654566E-2</v>
      </c>
      <c r="C8" s="52">
        <f t="shared" ref="C8:G8" si="5">((1+$I8)^(C2/365)-1)*365/C2</f>
        <v>3.8225997347559368E-2</v>
      </c>
      <c r="D8" s="52">
        <f t="shared" si="5"/>
        <v>3.8258026473317185E-2</v>
      </c>
      <c r="E8" s="52">
        <f t="shared" si="5"/>
        <v>3.8318177566042645E-2</v>
      </c>
      <c r="F8" s="52">
        <f t="shared" si="5"/>
        <v>3.837845475532109E-2</v>
      </c>
      <c r="G8" s="52">
        <f t="shared" si="5"/>
        <v>3.8560045880042144E-2</v>
      </c>
      <c r="H8" s="53">
        <v>3.8199999999999998E-2</v>
      </c>
      <c r="I8" s="74">
        <f t="shared" si="1"/>
        <v>3.8936923251637001E-2</v>
      </c>
      <c r="J8" s="75"/>
      <c r="K8" s="68">
        <f>H8-'Daily Data'!H134</f>
        <v>2.3699999999999999E-2</v>
      </c>
    </row>
    <row r="9" spans="1:11" ht="23.15" customHeight="1" x14ac:dyDescent="0.5">
      <c r="A9" s="51" t="s">
        <v>61</v>
      </c>
      <c r="B9" s="56">
        <f>((1+$I9)^(B2/365)-1)*365/B2</f>
        <v>3.8111933116994026E-2</v>
      </c>
      <c r="C9" s="56">
        <f t="shared" ref="C9:G9" si="6">((1+$I9)^(C2/365)-1)*365/C2</f>
        <v>3.8125861385658953E-2</v>
      </c>
      <c r="D9" s="56">
        <f t="shared" si="6"/>
        <v>3.8157722919830293E-2</v>
      </c>
      <c r="E9" s="56">
        <f t="shared" si="6"/>
        <v>3.8217559021958877E-2</v>
      </c>
      <c r="F9" s="56">
        <f t="shared" si="6"/>
        <v>3.8277520231449862E-2</v>
      </c>
      <c r="G9" s="56">
        <f t="shared" si="6"/>
        <v>3.8458157450568138E-2</v>
      </c>
      <c r="H9" s="53">
        <v>3.8100000000000002E-2</v>
      </c>
      <c r="I9" s="74">
        <f t="shared" si="1"/>
        <v>3.88330456106869E-2</v>
      </c>
      <c r="J9" s="75"/>
      <c r="K9" s="68"/>
    </row>
    <row r="10" spans="1:11" ht="21" x14ac:dyDescent="0.35">
      <c r="A10" s="51" t="s">
        <v>70</v>
      </c>
      <c r="B10" s="52">
        <v>0.03</v>
      </c>
      <c r="C10" s="52">
        <v>0.03</v>
      </c>
      <c r="D10" s="52">
        <v>0.06</v>
      </c>
      <c r="E10" s="52">
        <v>0.06</v>
      </c>
      <c r="F10" s="52">
        <v>0.06</v>
      </c>
      <c r="G10" s="11"/>
      <c r="H10" s="11"/>
      <c r="I10" s="74"/>
      <c r="J10" s="11"/>
      <c r="K10" s="11"/>
    </row>
  </sheetData>
  <conditionalFormatting sqref="A10:F10 I1:I10 J1:J9 A1:H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111</vt:i4>
      </vt:variant>
    </vt:vector>
  </HeadingPairs>
  <TitlesOfParts>
    <vt:vector size="111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2026-07-06T07:49:20Z</dcterms:modified>
</cp:coreProperties>
</file>