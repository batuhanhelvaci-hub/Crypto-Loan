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42A78AE9-92D7-40AC-A0B4-C3471A6EC0B4}" xr6:coauthVersionLast="47" xr6:coauthVersionMax="47" xr10:uidLastSave="{00000000-0000-0000-0000-000000000000}"/>
  <bookViews>
    <workbookView xWindow="-28920" yWindow="855" windowWidth="29040" windowHeight="17520" firstSheet="105" activeTab="114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  <sheet name="10.07.2026" sheetId="137" r:id="rId1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37" l="1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I9" i="136" l="1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<sst xmlns="http://schemas.openxmlformats.org/spreadsheetml/2006/main" count="5622" uniqueCount="73">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</sst>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1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styles" Target="styles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46273</xdr:colOff>
      <xdr:row>147</xdr:row>
      <xdr:rowOff>101070</xdr:rowOff>
    </xdr:from>
    <xdr:to>
      <xdr:col>33</xdr:col>
      <xdr:colOff>398021</xdr:colOff>
      <xdr:row>181</xdr:row>
      <xdr:rowOff>120728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76195" y="26354351"/>
          <a:ext cx="6542998" cy="609819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80" zoomScale="115" zoomScaleNormal="115" workbookViewId="0">
      <selection activeCell="G192" sqref="G192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>
        <v>60030</v>
      </c>
    </row>
    <row r="182" spans="1:7" x14ac:dyDescent="0.35">
      <c r="A182" s="82">
        <v>46203</v>
      </c>
      <c r="B182" s="83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90">
        <v>60261</v>
      </c>
    </row>
    <row r="183" spans="1:7" x14ac:dyDescent="0.35">
      <c r="A183" s="82">
        <v>46204</v>
      </c>
      <c r="B183" s="83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90">
        <v>58625</v>
      </c>
    </row>
    <row r="184" spans="1:7" x14ac:dyDescent="0.35">
      <c r="A184" s="82">
        <v>46205</v>
      </c>
      <c r="B184" s="83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90">
        <v>60025</v>
      </c>
    </row>
    <row r="185" spans="1:7" x14ac:dyDescent="0.35">
      <c r="A185" s="82">
        <v>46206</v>
      </c>
      <c r="B185" s="83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90">
        <v>61561</v>
      </c>
    </row>
    <row r="186" spans="1:7" x14ac:dyDescent="0.35">
      <c r="A186" s="82">
        <v>46207</v>
      </c>
      <c r="B186" s="83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90">
        <v>62584</v>
      </c>
    </row>
    <row r="187" spans="1:7" x14ac:dyDescent="0.35">
      <c r="A187" s="82">
        <v>46208</v>
      </c>
      <c r="B187" s="83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90">
        <v>63145</v>
      </c>
    </row>
    <row r="188" spans="1:7" x14ac:dyDescent="0.35">
      <c r="A188" s="82">
        <v>46209</v>
      </c>
      <c r="B188" s="83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90">
        <v>63651</v>
      </c>
    </row>
    <row r="189" spans="1:7" x14ac:dyDescent="0.35">
      <c r="A189" s="82">
        <v>46210</v>
      </c>
      <c r="B189" s="83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90">
        <v>63331</v>
      </c>
    </row>
    <row r="190" spans="1:7" x14ac:dyDescent="0.35">
      <c r="A190" s="82">
        <v>46211</v>
      </c>
      <c r="B190" s="83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90">
        <v>63365</v>
      </c>
    </row>
    <row r="191" spans="1:7" x14ac:dyDescent="0.35">
      <c r="A191" s="82">
        <v>46212</v>
      </c>
      <c r="B191" s="83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90">
        <v>62291</v>
      </c>
    </row>
    <row r="192" spans="1:7" x14ac:dyDescent="0.35">
      <c r="A192" s="82">
        <v>46213</v>
      </c>
      <c r="B192" s="83">
        <v>3.6400000000000002E-2</v>
      </c>
      <c r="C192" s="23">
        <v>2.47E-2</v>
      </c>
      <c r="D192" s="23">
        <v>3.9399999999999998E-2</v>
      </c>
      <c r="E192" s="23">
        <v>3.78E-2</v>
      </c>
      <c r="F192" s="23">
        <v>4.5199999999999997E-2</v>
      </c>
      <c r="G192" s="90"/>
    </row>
    <row r="193" spans="1:7" x14ac:dyDescent="0.35">
      <c r="A193" s="82">
        <v>46214</v>
      </c>
      <c r="B193" s="83"/>
      <c r="C193" s="23"/>
      <c r="D193" s="23"/>
      <c r="E193" s="23"/>
      <c r="F193" s="23"/>
      <c r="G193" s="90"/>
    </row>
    <row r="194" spans="1:7" x14ac:dyDescent="0.35">
      <c r="A194" s="80"/>
      <c r="B194" s="80"/>
    </row>
    <row r="195" spans="1:7" x14ac:dyDescent="0.35">
      <c r="A195" s="80"/>
      <c r="B195" s="80"/>
    </row>
    <row r="196" spans="1:7" x14ac:dyDescent="0.35">
      <c r="A196" s="80"/>
      <c r="B196" s="80"/>
    </row>
    <row r="197" spans="1:7" x14ac:dyDescent="0.35">
      <c r="A197" s="80"/>
      <c r="B197" s="80"/>
    </row>
    <row r="198" spans="1:7" x14ac:dyDescent="0.35">
      <c r="A198" s="80"/>
      <c r="B198" s="80"/>
    </row>
    <row r="199" spans="1:7" x14ac:dyDescent="0.35">
      <c r="A199" s="80"/>
      <c r="B199" s="80"/>
    </row>
    <row r="200" spans="1:7" x14ac:dyDescent="0.35">
      <c r="A200" s="80"/>
      <c r="B200" s="80"/>
    </row>
    <row r="201" spans="1:7" x14ac:dyDescent="0.35">
      <c r="A201" s="80"/>
      <c r="B201" s="80"/>
    </row>
    <row r="202" spans="1:7" x14ac:dyDescent="0.35">
      <c r="A202" s="80"/>
      <c r="B202" s="80"/>
    </row>
    <row r="203" spans="1:7" x14ac:dyDescent="0.35">
      <c r="A203" s="80"/>
      <c r="B203" s="80"/>
    </row>
    <row r="204" spans="1:7" x14ac:dyDescent="0.35">
      <c r="A204" s="80"/>
      <c r="B204" s="80"/>
    </row>
    <row r="205" spans="1:7" x14ac:dyDescent="0.35">
      <c r="A205" s="80"/>
      <c r="B205" s="80"/>
    </row>
    <row r="206" spans="1:7" x14ac:dyDescent="0.35">
      <c r="A206" s="80"/>
      <c r="B206" s="80"/>
    </row>
    <row r="207" spans="1:7" x14ac:dyDescent="0.35">
      <c r="A207" s="80"/>
      <c r="B207" s="80"/>
    </row>
    <row r="208" spans="1:7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18" zoomScale="96" zoomScaleNormal="96" workbookViewId="0">
      <selection activeCell="AT140" sqref="AT140:AZ140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6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6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6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6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41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6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6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6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6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6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6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8">
        <v>3.6700000000000003E-2</v>
      </c>
      <c r="Q140" s="86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8">
        <v>2.5000000000000001E-2</v>
      </c>
      <c r="AI140" s="13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4">
        <v>3.5000000000000003E-2</v>
      </c>
      <c r="AU140" s="14">
        <v>3.5000000000000003E-2</v>
      </c>
      <c r="AV140" s="14">
        <v>4.0099999999999997E-2</v>
      </c>
      <c r="AW140" s="14">
        <v>4.2900000000000001E-2</v>
      </c>
      <c r="AX140" s="14">
        <v>4.2900000000000001E-2</v>
      </c>
      <c r="AY140" s="14">
        <v>5.4899999999999997E-2</v>
      </c>
      <c r="AZ140" s="14">
        <v>4.0300000000000002E-2</v>
      </c>
      <c r="BA140" s="13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8">
        <v>4.4900000000000002E-2</v>
      </c>
      <c r="BM140" s="1"/>
      <c r="BN140" s="58">
        <v>5.3800000000000001E-2</v>
      </c>
      <c r="BO140" s="1"/>
      <c r="BP140" s="1"/>
      <c r="BQ140" s="1"/>
      <c r="BR140" s="58">
        <v>3.7400000000000003E-2</v>
      </c>
      <c r="BS140" s="13">
        <f t="shared" si="15"/>
        <v>2.2700000000000005E-2</v>
      </c>
    </row>
    <row r="141" spans="1:71" x14ac:dyDescent="0.35">
      <c r="A141" s="4">
        <v>46214</v>
      </c>
      <c r="B141" s="3"/>
      <c r="C141" s="3"/>
      <c r="D141" s="3"/>
      <c r="E141" s="3"/>
      <c r="F141" s="3"/>
      <c r="G141" s="3"/>
      <c r="H141" s="9"/>
      <c r="I141" s="2">
        <v>46214</v>
      </c>
      <c r="J141" s="1"/>
      <c r="K141" s="1"/>
      <c r="L141" s="1"/>
      <c r="M141" s="1"/>
      <c r="N141" s="1"/>
      <c r="O141" s="1"/>
      <c r="P141" s="58"/>
      <c r="Q141" s="86">
        <f t="shared" si="12"/>
        <v>0</v>
      </c>
      <c r="S141" s="4">
        <v>46214</v>
      </c>
      <c r="T141" s="3"/>
      <c r="U141" s="3"/>
      <c r="V141" s="3"/>
      <c r="W141" s="3"/>
      <c r="X141" s="6"/>
      <c r="Y141" s="3"/>
      <c r="Z141" s="6"/>
      <c r="AA141" s="2">
        <v>46214</v>
      </c>
      <c r="AB141" s="1"/>
      <c r="AC141" s="1"/>
      <c r="AD141" s="1"/>
      <c r="AE141" s="1"/>
      <c r="AF141" s="1"/>
      <c r="AG141" s="1"/>
      <c r="AH141" s="58"/>
      <c r="AI141" s="13">
        <f t="shared" si="13"/>
        <v>0</v>
      </c>
      <c r="AK141" s="4">
        <v>46214</v>
      </c>
      <c r="AL141" s="6"/>
      <c r="AM141" s="3"/>
      <c r="AN141" s="3"/>
      <c r="AO141" s="3"/>
      <c r="AP141" s="3"/>
      <c r="AQ141" s="3"/>
      <c r="AR141" s="6"/>
      <c r="AS141" s="2">
        <v>46214</v>
      </c>
      <c r="AT141" s="14"/>
      <c r="AU141" s="14"/>
      <c r="AV141" s="14"/>
      <c r="AW141" s="14"/>
      <c r="AX141" s="14"/>
      <c r="AY141" s="14"/>
      <c r="AZ141" s="14"/>
      <c r="BA141" s="13">
        <f t="shared" si="14"/>
        <v>0</v>
      </c>
      <c r="BC141" s="4">
        <v>46214</v>
      </c>
      <c r="BD141" s="6"/>
      <c r="BE141" s="6"/>
      <c r="BF141" s="6"/>
      <c r="BG141" s="3"/>
      <c r="BH141" s="3"/>
      <c r="BI141" s="3"/>
      <c r="BJ141" s="6"/>
      <c r="BK141" s="2">
        <v>46214</v>
      </c>
      <c r="BL141" s="58"/>
      <c r="BM141" s="1"/>
      <c r="BN141" s="58"/>
      <c r="BO141" s="1"/>
      <c r="BP141" s="1"/>
      <c r="BQ141" s="1"/>
      <c r="BR141" s="58"/>
      <c r="BS141" s="13">
        <f t="shared" si="15"/>
        <v>0</v>
      </c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15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14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13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12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11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10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09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08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07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06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05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04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03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02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01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00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99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98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97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96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95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34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32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H7-1.06%</f>
        <v>2.7300000000000005E-2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tabSelected="1" zoomScale="80" zoomScaleNormal="80" workbookViewId="0">
      <selection activeCell="G35" sqref="G3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4.0099999999999997E-2</v>
      </c>
      <c r="E3" s="55">
        <v>4.2900000000000001E-2</v>
      </c>
      <c r="F3" s="55">
        <v>4.2900000000000001E-2</v>
      </c>
      <c r="G3" s="55">
        <v>5.4899999999999997E-2</v>
      </c>
      <c r="H3" s="53">
        <v>4.0300000000000002E-2</v>
      </c>
      <c r="I3" s="74">
        <f>(1+H3/365)^365-1</f>
        <v>4.1120748168237853E-2</v>
      </c>
      <c r="J3" s="75"/>
      <c r="K3" s="68">
        <f>H3-'Daily Data'!AR140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4.4900000000000002E-2</v>
      </c>
      <c r="C5" s="56">
        <f t="shared" ref="C5:G5" si="2">((1+$I5)^(C2/365)-1)*365/C2</f>
        <v>3.7424919637020534E-2</v>
      </c>
      <c r="D5" s="56">
        <v>5.3800000000000001E-2</v>
      </c>
      <c r="E5" s="56">
        <f t="shared" si="2"/>
        <v>3.7513274746653447E-2</v>
      </c>
      <c r="F5" s="56">
        <f t="shared" si="2"/>
        <v>3.7571047464634799E-2</v>
      </c>
      <c r="G5" s="56">
        <f t="shared" si="2"/>
        <v>3.7745078320365125E-2</v>
      </c>
      <c r="H5" s="57">
        <v>3.7400000000000003E-2</v>
      </c>
      <c r="I5" s="74">
        <f t="shared" si="1"/>
        <v>3.8106192081770685E-2</v>
      </c>
      <c r="J5" s="75"/>
      <c r="K5" s="68">
        <f>H5-'Daily Data'!BJ140</f>
        <v>2.2700000000000005E-2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4.1300000000000003E-2</v>
      </c>
      <c r="C7" s="56">
        <f t="shared" ref="C7:G7" si="4">((1+$I7)^(C2/365)-1)*365/C2</f>
        <v>3.9427656707190346E-2</v>
      </c>
      <c r="D7" s="56">
        <v>4.3299999999999998E-2</v>
      </c>
      <c r="E7" s="56">
        <f t="shared" si="4"/>
        <v>3.9525726953030728E-2</v>
      </c>
      <c r="F7" s="56">
        <f t="shared" si="4"/>
        <v>3.9589861010926784E-2</v>
      </c>
      <c r="G7" s="56">
        <f t="shared" si="4"/>
        <v>3.9783096817143065E-2</v>
      </c>
      <c r="H7" s="53">
        <v>3.9399999999999998E-2</v>
      </c>
      <c r="I7" s="74">
        <f t="shared" si="1"/>
        <v>4.0184263220001792E-2</v>
      </c>
      <c r="J7" s="75"/>
      <c r="K7" s="68">
        <f>H7-1.06%</f>
        <v>2.8799999999999999E-2</v>
      </c>
    </row>
    <row r="8" spans="1:11" ht="23.15" customHeight="1" x14ac:dyDescent="0.4">
      <c r="A8" s="51" t="s">
        <v>62</v>
      </c>
      <c r="B8" s="52">
        <f>((1+$I8)^(B2/365)-1)*365/B2</f>
        <v>3.6711072184115415E-2</v>
      </c>
      <c r="C8" s="52">
        <f t="shared" ref="C8:G8" si="5">((1+$I8)^(C2/365)-1)*365/C2</f>
        <v>3.6723995361844466E-2</v>
      </c>
      <c r="D8" s="52">
        <f t="shared" si="5"/>
        <v>3.6753556836253844E-2</v>
      </c>
      <c r="E8" s="52">
        <f t="shared" si="5"/>
        <v>3.6809070148862498E-2</v>
      </c>
      <c r="F8" s="52">
        <f t="shared" si="5"/>
        <v>3.6864695259371E-2</v>
      </c>
      <c r="G8" s="52">
        <f t="shared" si="5"/>
        <v>3.7032243914290011E-2</v>
      </c>
      <c r="H8" s="53">
        <v>3.6700000000000003E-2</v>
      </c>
      <c r="I8" s="74">
        <f t="shared" si="1"/>
        <v>3.7379845727282035E-2</v>
      </c>
      <c r="J8" s="75"/>
      <c r="K8" s="68">
        <f>H8-'Daily Data'!H140</f>
        <v>2.2300000000000004E-2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2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1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115</vt:i4>
      </vt:variant>
    </vt:vector>
  </HeadingPairs>
  <TitlesOfParts>
    <vt:vector size="115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2026-07-10T07:00:13Z</dcterms:modified>
</cp:coreProperties>
</file>