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96161C28-58D1-4CD3-96C8-897279E2A8F2}" xr6:coauthVersionLast="47" xr6:coauthVersionMax="47" xr10:uidLastSave="{00000000-0000-0000-0000-000000000000}"/>
  <bookViews>
    <workbookView xWindow="-28920" yWindow="855" windowWidth="29040" windowHeight="17520" firstSheet="123" activeTab="132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.3.2026" sheetId="29" r:id="rId12"/>
    <sheet name="30.3.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  <sheet name="23.05.2026" sheetId="89" r:id="rId67"/>
    <sheet name="24.05.2026" sheetId="90" r:id="rId68"/>
    <sheet name="25.05.2026" sheetId="91" r:id="rId69"/>
    <sheet name="26.05.2026" sheetId="92" r:id="rId70"/>
    <sheet name="27.05.2026" sheetId="93" r:id="rId71"/>
    <sheet name="28.05.2026" sheetId="94" r:id="rId72"/>
    <sheet name="29.05.2026" sheetId="95" r:id="rId73"/>
    <sheet name="30.05.2026" sheetId="96" r:id="rId74"/>
    <sheet name="31.05.2026" sheetId="97" r:id="rId75"/>
    <sheet name="01.06.2026" sheetId="98" r:id="rId76"/>
    <sheet name="02.06.2026" sheetId="99" r:id="rId77"/>
    <sheet name="03.06.2026" sheetId="100" r:id="rId78"/>
    <sheet name="04.06.2026" sheetId="101" r:id="rId79"/>
    <sheet name="05.06.2026" sheetId="102" r:id="rId80"/>
    <sheet name="06.06.2026" sheetId="103" r:id="rId81"/>
    <sheet name="07.06.2026" sheetId="104" r:id="rId82"/>
    <sheet name="08.06.2026" sheetId="105" r:id="rId83"/>
    <sheet name="09.06.2026" sheetId="106" r:id="rId84"/>
    <sheet name="10.06.2026" sheetId="107" r:id="rId85"/>
    <sheet name="11.06.2026" sheetId="108" r:id="rId86"/>
    <sheet name="12.06.2026" sheetId="109" r:id="rId87"/>
    <sheet name="13.06.2026" sheetId="110" r:id="rId88"/>
    <sheet name="14.06.2026" sheetId="111" r:id="rId89"/>
    <sheet name="15.06.2026" sheetId="112" r:id="rId90"/>
    <sheet name="16.06.2026" sheetId="113" r:id="rId91"/>
    <sheet name="17.06.2026" sheetId="114" r:id="rId92"/>
    <sheet name="18.06.2026" sheetId="115" r:id="rId93"/>
    <sheet name="19.06.2026" sheetId="116" r:id="rId94"/>
    <sheet name="20.06.2026" sheetId="117" r:id="rId95"/>
    <sheet name="21.06.2026" sheetId="118" r:id="rId96"/>
    <sheet name="22.06.2026" sheetId="119" r:id="rId97"/>
    <sheet name="23.06.2026" sheetId="120" r:id="rId98"/>
    <sheet name="24.06.2026" sheetId="121" r:id="rId99"/>
    <sheet name="25.06.2026" sheetId="122" r:id="rId100"/>
    <sheet name="26.06.2026" sheetId="123" r:id="rId101"/>
    <sheet name="27.06.2026" sheetId="124" r:id="rId102"/>
    <sheet name="28.06.2026" sheetId="125" r:id="rId103"/>
    <sheet name="29.06.2026" sheetId="126" r:id="rId104"/>
    <sheet name="30.06.2026" sheetId="127" r:id="rId105"/>
    <sheet name="01.07.2026" sheetId="128" r:id="rId106"/>
    <sheet name="02.07.2026" sheetId="129" r:id="rId107"/>
    <sheet name="03.07.2026" sheetId="130" r:id="rId108"/>
    <sheet name="04.07.2026" sheetId="131" r:id="rId109"/>
    <sheet name="05.07.2026" sheetId="132" r:id="rId110"/>
    <sheet name="06.07.2026" sheetId="133" r:id="rId111"/>
    <sheet name="07.07.2026" sheetId="134" r:id="rId112"/>
    <sheet name="08.07.2026" sheetId="135" r:id="rId113"/>
    <sheet name="09.07.2026" sheetId="136" r:id="rId114"/>
    <sheet name="10.07.2026" sheetId="137" r:id="rId115"/>
    <sheet name="11.07.2026" sheetId="138" r:id="rId116"/>
    <sheet name="12.07.2026" sheetId="139" r:id="rId117"/>
    <sheet name="13.07.2026" sheetId="140" r:id="rId118"/>
    <sheet name="14.07.2026" sheetId="141" r:id="rId119"/>
    <sheet name="15.07.2026" sheetId="142" r:id="rId120"/>
    <sheet name="16.07.2026" sheetId="143" r:id="rId121"/>
    <sheet name="17.07.2026" sheetId="144" r:id="rId122"/>
    <sheet name="18.07.2026" sheetId="145" r:id="rId123"/>
    <sheet name="19.07.2026" sheetId="146" r:id="rId124"/>
    <sheet name="20.07.2026" sheetId="147" r:id="rId125"/>
    <sheet name="21.07.2026" sheetId="148" r:id="rId126"/>
    <sheet name="22.07.2026" sheetId="149" r:id="rId127"/>
    <sheet name="23.07.2026" sheetId="150" r:id="rId128"/>
    <sheet name="24.07.2026" sheetId="151" r:id="rId129"/>
    <sheet name="25.07.2026" sheetId="152" r:id="rId130"/>
    <sheet name="26.07.2026" sheetId="153" r:id="rId131"/>
    <sheet name="27.07.2026" sheetId="154" r:id="rId132"/>
    <sheet name="28.07.2026" sheetId="155" r:id="rId13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55" l="1"/>
  <c r="D9" i="155"/>
  <c r="E9" i="155"/>
  <c r="F9" i="155"/>
  <c r="G9" i="155"/>
  <c r="B9" i="155"/>
  <c r="C8" i="155"/>
  <c r="D8" i="155"/>
  <c r="E8" i="155"/>
  <c r="F8" i="155"/>
  <c r="G8" i="155"/>
  <c r="B8" i="155"/>
  <c r="C7" i="155"/>
  <c r="E7" i="155"/>
  <c r="F7" i="155"/>
  <c r="G7" i="155"/>
  <c r="C6" i="155"/>
  <c r="E6" i="155"/>
  <c r="F6" i="155"/>
  <c r="G6" i="155"/>
  <c r="C5" i="155"/>
  <c r="E5" i="155"/>
  <c r="F5" i="155"/>
  <c r="G5" i="155"/>
  <c r="G4" i="155"/>
  <c r="F4" i="155"/>
  <c r="E4" i="155"/>
  <c r="D4" i="155"/>
  <c r="C4" i="155"/>
  <c r="B4" i="155"/>
  <c r="BS158" i="10"/>
  <c r="AI158" i="10"/>
  <c r="Q158" i="10"/>
  <c r="I9" i="155"/>
  <c r="K8" i="155"/>
  <c r="I8" i="155"/>
  <c r="K7" i="155"/>
  <c r="I7" i="155"/>
  <c r="K6" i="155"/>
  <c r="I6" i="155"/>
  <c r="K5" i="155"/>
  <c r="I5" i="155"/>
  <c r="K4" i="155"/>
  <c r="I4" i="155"/>
  <c r="K3" i="155"/>
  <c r="I3" i="155"/>
  <c r="I9" i="154"/>
  <c r="G9" i="154"/>
  <c r="F9" i="154"/>
  <c r="E9" i="154"/>
  <c r="D9" i="154"/>
  <c r="C9" i="154"/>
  <c r="B9" i="154"/>
  <c r="K8" i="154"/>
  <c r="I8" i="154"/>
  <c r="G8" i="154"/>
  <c r="F8" i="154"/>
  <c r="E8" i="154"/>
  <c r="D8" i="154"/>
  <c r="C8" i="154"/>
  <c r="B8" i="154"/>
  <c r="K7" i="154"/>
  <c r="I7" i="154"/>
  <c r="G7" i="154"/>
  <c r="F7" i="154"/>
  <c r="E7" i="154"/>
  <c r="C7" i="154"/>
  <c r="K6" i="154"/>
  <c r="I6" i="154"/>
  <c r="G6" i="154"/>
  <c r="F6" i="154"/>
  <c r="E6" i="154"/>
  <c r="C6" i="154"/>
  <c r="K5" i="154"/>
  <c r="I5" i="154"/>
  <c r="F5" i="154" s="1"/>
  <c r="G5" i="154"/>
  <c r="E5" i="154"/>
  <c r="C5" i="154"/>
  <c r="K4" i="154"/>
  <c r="I4" i="154"/>
  <c r="G4" i="154"/>
  <c r="F4" i="154"/>
  <c r="E4" i="154"/>
  <c r="D4" i="154"/>
  <c r="C4" i="154"/>
  <c r="B4" i="154"/>
  <c r="K3" i="154"/>
  <c r="I3" i="154"/>
  <c r="C9" i="153"/>
  <c r="D9" i="153"/>
  <c r="E9" i="153"/>
  <c r="F9" i="153"/>
  <c r="G9" i="153"/>
  <c r="B9" i="153"/>
  <c r="C8" i="153"/>
  <c r="D8" i="153"/>
  <c r="E8" i="153"/>
  <c r="F8" i="153"/>
  <c r="G8" i="153"/>
  <c r="B8" i="153"/>
  <c r="C7" i="153"/>
  <c r="E7" i="153"/>
  <c r="F7" i="153"/>
  <c r="G7" i="153"/>
  <c r="C6" i="153"/>
  <c r="E6" i="153"/>
  <c r="F6" i="153"/>
  <c r="G6" i="153"/>
  <c r="C5" i="153"/>
  <c r="E5" i="153"/>
  <c r="F5" i="153"/>
  <c r="G5" i="153"/>
  <c r="C4" i="153"/>
  <c r="D4" i="153"/>
  <c r="E4" i="153"/>
  <c r="F4" i="153"/>
  <c r="G4" i="153"/>
  <c r="B4" i="153"/>
  <c r="K8" i="152"/>
  <c r="K7" i="152"/>
  <c r="K6" i="152"/>
  <c r="K5" i="152"/>
  <c r="K4" i="152"/>
  <c r="K3" i="152"/>
  <c r="C9" i="152"/>
  <c r="D9" i="152"/>
  <c r="E9" i="152"/>
  <c r="F9" i="152"/>
  <c r="G9" i="152"/>
  <c r="B9" i="152"/>
  <c r="C8" i="152"/>
  <c r="D8" i="152"/>
  <c r="E8" i="152"/>
  <c r="F8" i="152"/>
  <c r="G8" i="152"/>
  <c r="B8" i="152"/>
  <c r="C7" i="152"/>
  <c r="E7" i="152"/>
  <c r="F7" i="152"/>
  <c r="G7" i="152"/>
  <c r="C6" i="152"/>
  <c r="E6" i="152"/>
  <c r="F6" i="152"/>
  <c r="G6" i="152"/>
  <c r="C5" i="152"/>
  <c r="E5" i="152"/>
  <c r="F5" i="152"/>
  <c r="G5" i="152"/>
  <c r="G4" i="151"/>
  <c r="F4" i="151"/>
  <c r="E4" i="151"/>
  <c r="D4" i="151"/>
  <c r="C4" i="151"/>
  <c r="B4" i="151"/>
  <c r="I9" i="153"/>
  <c r="K8" i="153"/>
  <c r="I8" i="153"/>
  <c r="K7" i="153"/>
  <c r="I7" i="153"/>
  <c r="K6" i="153"/>
  <c r="I6" i="153"/>
  <c r="K5" i="153"/>
  <c r="I5" i="153"/>
  <c r="K4" i="153"/>
  <c r="I4" i="153"/>
  <c r="K3" i="153"/>
  <c r="I3" i="153"/>
  <c r="I9" i="152"/>
  <c r="I8" i="152"/>
  <c r="I7" i="152"/>
  <c r="I6" i="152"/>
  <c r="I5" i="152"/>
  <c r="I4" i="152"/>
  <c r="G4" i="152" s="1"/>
  <c r="I3" i="152"/>
  <c r="BS157" i="10"/>
  <c r="BS156" i="10"/>
  <c r="BS155" i="10"/>
  <c r="BA156" i="10"/>
  <c r="C9" i="151"/>
  <c r="D9" i="151"/>
  <c r="E9" i="151"/>
  <c r="F9" i="151"/>
  <c r="G9" i="151"/>
  <c r="B9" i="151"/>
  <c r="C8" i="151"/>
  <c r="D8" i="151"/>
  <c r="E8" i="151"/>
  <c r="F8" i="151"/>
  <c r="G8" i="151"/>
  <c r="B8" i="151"/>
  <c r="C7" i="151"/>
  <c r="E7" i="151"/>
  <c r="F7" i="151"/>
  <c r="G7" i="151"/>
  <c r="C6" i="151"/>
  <c r="E6" i="151"/>
  <c r="F6" i="151"/>
  <c r="G6" i="151"/>
  <c r="C5" i="151"/>
  <c r="E5" i="151"/>
  <c r="F5" i="151"/>
  <c r="G5" i="151"/>
  <c r="BS154" i="10"/>
  <c r="I9" i="151"/>
  <c r="K8" i="151"/>
  <c r="I8" i="151"/>
  <c r="K7" i="151"/>
  <c r="I7" i="151"/>
  <c r="K6" i="151"/>
  <c r="I6" i="151"/>
  <c r="K5" i="151"/>
  <c r="I5" i="151"/>
  <c r="K4" i="151"/>
  <c r="I4" i="151"/>
  <c r="K3" i="151"/>
  <c r="I3" i="151"/>
  <c r="K8" i="150"/>
  <c r="K7" i="150"/>
  <c r="K6" i="150"/>
  <c r="K5" i="150"/>
  <c r="K4" i="150"/>
  <c r="K3" i="150"/>
  <c r="C9" i="150"/>
  <c r="D9" i="150"/>
  <c r="E9" i="150"/>
  <c r="F9" i="150"/>
  <c r="G9" i="150"/>
  <c r="B9" i="150"/>
  <c r="C8" i="150"/>
  <c r="D8" i="150"/>
  <c r="E8" i="150"/>
  <c r="F8" i="150"/>
  <c r="G8" i="150"/>
  <c r="B8" i="150"/>
  <c r="C7" i="150"/>
  <c r="E7" i="150"/>
  <c r="F7" i="150"/>
  <c r="G7" i="150"/>
  <c r="C6" i="150"/>
  <c r="E6" i="150"/>
  <c r="F6" i="150"/>
  <c r="G6" i="150"/>
  <c r="C5" i="150"/>
  <c r="E5" i="150"/>
  <c r="F5" i="150"/>
  <c r="G5" i="150"/>
  <c r="G4" i="150"/>
  <c r="F4" i="150"/>
  <c r="E4" i="150"/>
  <c r="D4" i="150"/>
  <c r="C4" i="150"/>
  <c r="B4" i="150"/>
  <c r="BS153" i="10"/>
  <c r="AI154" i="10"/>
  <c r="AI155" i="10"/>
  <c r="AI156" i="10"/>
  <c r="AI157" i="10"/>
  <c r="AI153" i="10"/>
  <c r="I9" i="150"/>
  <c r="I8" i="150"/>
  <c r="I7" i="150"/>
  <c r="I6" i="150"/>
  <c r="I5" i="150"/>
  <c r="I4" i="150"/>
  <c r="I3" i="150"/>
  <c r="K8" i="149"/>
  <c r="K7" i="149"/>
  <c r="K6" i="149"/>
  <c r="K5" i="149"/>
  <c r="K4" i="149"/>
  <c r="K3" i="149"/>
  <c r="C9" i="149"/>
  <c r="D9" i="149"/>
  <c r="E9" i="149"/>
  <c r="F9" i="149"/>
  <c r="G9" i="149"/>
  <c r="B9" i="149"/>
  <c r="C8" i="149"/>
  <c r="D8" i="149"/>
  <c r="E8" i="149"/>
  <c r="F8" i="149"/>
  <c r="G8" i="149"/>
  <c r="B8" i="149"/>
  <c r="C7" i="149"/>
  <c r="E7" i="149"/>
  <c r="F7" i="149"/>
  <c r="G7" i="149"/>
  <c r="C6" i="149"/>
  <c r="E6" i="149"/>
  <c r="F6" i="149"/>
  <c r="G6" i="149"/>
  <c r="C5" i="149"/>
  <c r="E5" i="149"/>
  <c r="F5" i="149"/>
  <c r="G5" i="149"/>
  <c r="C4" i="149"/>
  <c r="D4" i="149"/>
  <c r="E4" i="149"/>
  <c r="F4" i="149"/>
  <c r="G4" i="149"/>
  <c r="B4" i="149"/>
  <c r="BS152" i="10"/>
  <c r="B4" i="152" l="1"/>
  <c r="C4" i="152"/>
  <c r="D4" i="152"/>
  <c r="E4" i="152"/>
  <c r="F4" i="152"/>
  <c r="AI152" i="10"/>
  <c r="BA153" i="10" l="1"/>
  <c r="BA154" i="10"/>
  <c r="BA155" i="10"/>
  <c r="Q153" i="10"/>
  <c r="Q154" i="10"/>
  <c r="Q155" i="10"/>
  <c r="Q156" i="10"/>
  <c r="Q157" i="10"/>
  <c r="I9" i="149"/>
  <c r="I8" i="149"/>
  <c r="I7" i="149"/>
  <c r="I6" i="149"/>
  <c r="I5" i="149"/>
  <c r="I4" i="149"/>
  <c r="I3" i="149"/>
  <c r="K9" i="148"/>
  <c r="K8" i="148"/>
  <c r="K7" i="148"/>
  <c r="K6" i="148"/>
  <c r="K5" i="148"/>
  <c r="K4" i="148"/>
  <c r="K3" i="148"/>
  <c r="C9" i="148"/>
  <c r="D9" i="148"/>
  <c r="E9" i="148"/>
  <c r="F9" i="148"/>
  <c r="G9" i="148"/>
  <c r="B9" i="148"/>
  <c r="C8" i="148"/>
  <c r="D8" i="148"/>
  <c r="E8" i="148"/>
  <c r="F8" i="148"/>
  <c r="G8" i="148"/>
  <c r="B8" i="148"/>
  <c r="C7" i="148"/>
  <c r="E7" i="148"/>
  <c r="F7" i="148"/>
  <c r="G7" i="148"/>
  <c r="C6" i="148"/>
  <c r="E6" i="148"/>
  <c r="F6" i="148"/>
  <c r="G6" i="148"/>
  <c r="C5" i="148"/>
  <c r="E5" i="148"/>
  <c r="F5" i="148"/>
  <c r="G5" i="148"/>
  <c r="C4" i="148"/>
  <c r="D4" i="148"/>
  <c r="E4" i="148"/>
  <c r="F4" i="148"/>
  <c r="G4" i="148"/>
  <c r="B4" i="148"/>
  <c r="BS151" i="10"/>
  <c r="AI151" i="10"/>
  <c r="I9" i="148"/>
  <c r="I8" i="148"/>
  <c r="I7" i="148"/>
  <c r="I6" i="148"/>
  <c r="I5" i="148"/>
  <c r="I4" i="148"/>
  <c r="I3" i="148"/>
  <c r="C9" i="147" l="1"/>
  <c r="D9" i="147"/>
  <c r="E9" i="147"/>
  <c r="F9" i="147"/>
  <c r="G9" i="147"/>
  <c r="B9" i="147"/>
  <c r="C8" i="147"/>
  <c r="D8" i="147"/>
  <c r="E8" i="147"/>
  <c r="F8" i="147"/>
  <c r="G8" i="147"/>
  <c r="B8" i="147"/>
  <c r="C7" i="147"/>
  <c r="E7" i="147"/>
  <c r="F7" i="147"/>
  <c r="G7" i="147"/>
  <c r="C6" i="147"/>
  <c r="E6" i="147"/>
  <c r="F6" i="147"/>
  <c r="G6" i="147"/>
  <c r="C5" i="147"/>
  <c r="E5" i="147"/>
  <c r="F5" i="147"/>
  <c r="G5" i="147"/>
  <c r="G4" i="147"/>
  <c r="F4" i="147"/>
  <c r="E4" i="147"/>
  <c r="D4" i="147"/>
  <c r="C4" i="147"/>
  <c r="B4" i="147"/>
  <c r="C9" i="146"/>
  <c r="D9" i="146"/>
  <c r="E9" i="146"/>
  <c r="F9" i="146"/>
  <c r="G9" i="146"/>
  <c r="B9" i="146"/>
  <c r="C8" i="146"/>
  <c r="D8" i="146"/>
  <c r="E8" i="146"/>
  <c r="F8" i="146"/>
  <c r="G8" i="146"/>
  <c r="B8" i="146"/>
  <c r="C7" i="146"/>
  <c r="E7" i="146"/>
  <c r="F7" i="146"/>
  <c r="G7" i="146"/>
  <c r="C6" i="146"/>
  <c r="E6" i="146"/>
  <c r="F6" i="146"/>
  <c r="G6" i="146"/>
  <c r="C5" i="146"/>
  <c r="E5" i="146"/>
  <c r="F5" i="146"/>
  <c r="G5" i="146"/>
  <c r="G4" i="146"/>
  <c r="F4" i="146"/>
  <c r="E4" i="146"/>
  <c r="D4" i="146"/>
  <c r="C4" i="146"/>
  <c r="B4" i="146"/>
  <c r="C9" i="145"/>
  <c r="D9" i="145"/>
  <c r="E9" i="145"/>
  <c r="F9" i="145"/>
  <c r="G9" i="145"/>
  <c r="B9" i="145"/>
  <c r="C8" i="145"/>
  <c r="D8" i="145"/>
  <c r="E8" i="145"/>
  <c r="F8" i="145"/>
  <c r="G8" i="145"/>
  <c r="B8" i="145"/>
  <c r="C7" i="145"/>
  <c r="E7" i="145"/>
  <c r="F7" i="145"/>
  <c r="G7" i="145"/>
  <c r="C6" i="145"/>
  <c r="E6" i="145"/>
  <c r="F6" i="145"/>
  <c r="G6" i="145"/>
  <c r="C5" i="145"/>
  <c r="E5" i="145"/>
  <c r="F5" i="145"/>
  <c r="G5" i="145"/>
  <c r="G4" i="145"/>
  <c r="F4" i="145"/>
  <c r="E4" i="145"/>
  <c r="D4" i="145"/>
  <c r="C4" i="145"/>
  <c r="B4" i="145"/>
  <c r="BS150" i="10"/>
  <c r="BS149" i="10"/>
  <c r="BS148" i="10"/>
  <c r="AI148" i="10"/>
  <c r="AI149" i="10"/>
  <c r="AI150" i="10"/>
  <c r="I9" i="147"/>
  <c r="K8" i="147"/>
  <c r="I8" i="147"/>
  <c r="K7" i="147"/>
  <c r="I7" i="147"/>
  <c r="K6" i="147"/>
  <c r="I6" i="147"/>
  <c r="K5" i="147"/>
  <c r="I5" i="147"/>
  <c r="K4" i="147"/>
  <c r="I4" i="147"/>
  <c r="K3" i="147"/>
  <c r="I3" i="147"/>
  <c r="I9" i="146"/>
  <c r="K8" i="146"/>
  <c r="I8" i="146"/>
  <c r="K7" i="146"/>
  <c r="I7" i="146"/>
  <c r="K6" i="146"/>
  <c r="I6" i="146"/>
  <c r="K5" i="146"/>
  <c r="I5" i="146"/>
  <c r="K4" i="146"/>
  <c r="I4" i="146"/>
  <c r="K3" i="146"/>
  <c r="I3" i="146"/>
  <c r="I9" i="145"/>
  <c r="K8" i="145"/>
  <c r="I8" i="145"/>
  <c r="K7" i="145"/>
  <c r="I7" i="145"/>
  <c r="K6" i="145"/>
  <c r="I6" i="145"/>
  <c r="K5" i="145"/>
  <c r="I5" i="145"/>
  <c r="K4" i="145"/>
  <c r="I4" i="145"/>
  <c r="K3" i="145"/>
  <c r="I3" i="145"/>
  <c r="C9" i="144"/>
  <c r="D9" i="144"/>
  <c r="E9" i="144"/>
  <c r="F9" i="144"/>
  <c r="G9" i="144"/>
  <c r="B9" i="144"/>
  <c r="F8" i="144"/>
  <c r="G8" i="144"/>
  <c r="B8" i="144"/>
  <c r="C7" i="144"/>
  <c r="D7" i="144"/>
  <c r="E7" i="144"/>
  <c r="F7" i="144"/>
  <c r="G7" i="144"/>
  <c r="B7" i="144"/>
  <c r="B6" i="144"/>
  <c r="C6" i="144"/>
  <c r="D6" i="144"/>
  <c r="E6" i="144"/>
  <c r="F6" i="144"/>
  <c r="G6" i="144"/>
  <c r="C5" i="144"/>
  <c r="D5" i="144"/>
  <c r="E5" i="144"/>
  <c r="F5" i="144"/>
  <c r="G5" i="144"/>
  <c r="B5" i="144"/>
  <c r="G4" i="144"/>
  <c r="F4" i="144"/>
  <c r="E4" i="144"/>
  <c r="D4" i="144"/>
  <c r="C4" i="144"/>
  <c r="B4" i="144"/>
  <c r="BS147" i="10"/>
  <c r="AI147" i="10"/>
  <c r="BA147" i="10"/>
  <c r="BA148" i="10"/>
  <c r="BA149" i="10"/>
  <c r="BA150" i="10"/>
  <c r="BA151" i="10"/>
  <c r="BA152" i="10"/>
  <c r="Q147" i="10"/>
  <c r="Q148" i="10"/>
  <c r="Q149" i="10"/>
  <c r="Q150" i="10"/>
  <c r="Q151" i="10"/>
  <c r="Q152" i="10"/>
  <c r="I9" i="144"/>
  <c r="K8" i="144"/>
  <c r="I8" i="144"/>
  <c r="C8" i="144" s="1"/>
  <c r="K7" i="144"/>
  <c r="I7" i="144"/>
  <c r="K6" i="144"/>
  <c r="I6" i="144"/>
  <c r="K5" i="144"/>
  <c r="I5" i="144"/>
  <c r="K4" i="144"/>
  <c r="I4" i="144"/>
  <c r="K3" i="144"/>
  <c r="I3" i="144"/>
  <c r="K8" i="143"/>
  <c r="K7" i="143"/>
  <c r="K6" i="143"/>
  <c r="K5" i="143"/>
  <c r="K4" i="143"/>
  <c r="K3" i="143"/>
  <c r="C5" i="142"/>
  <c r="C9" i="142"/>
  <c r="D9" i="142"/>
  <c r="E9" i="142"/>
  <c r="F9" i="142"/>
  <c r="G9" i="142"/>
  <c r="B9" i="142"/>
  <c r="C9" i="143"/>
  <c r="D9" i="143"/>
  <c r="E9" i="143"/>
  <c r="F9" i="143"/>
  <c r="G9" i="143"/>
  <c r="B9" i="143"/>
  <c r="C8" i="143"/>
  <c r="D8" i="143"/>
  <c r="E8" i="143"/>
  <c r="F8" i="143"/>
  <c r="G8" i="143"/>
  <c r="B8" i="143"/>
  <c r="C7" i="143"/>
  <c r="E7" i="143"/>
  <c r="F7" i="143"/>
  <c r="G7" i="143"/>
  <c r="C6" i="143"/>
  <c r="E6" i="143"/>
  <c r="F6" i="143"/>
  <c r="G6" i="143"/>
  <c r="C5" i="143"/>
  <c r="E5" i="143"/>
  <c r="F5" i="143"/>
  <c r="G5" i="143"/>
  <c r="C8" i="142"/>
  <c r="D8" i="142"/>
  <c r="E8" i="142"/>
  <c r="F8" i="142"/>
  <c r="G8" i="142"/>
  <c r="B8" i="142"/>
  <c r="C7" i="142"/>
  <c r="E7" i="142"/>
  <c r="F7" i="142"/>
  <c r="G7" i="142"/>
  <c r="C6" i="142"/>
  <c r="E6" i="142"/>
  <c r="F6" i="142"/>
  <c r="G6" i="142"/>
  <c r="E5" i="142"/>
  <c r="F5" i="142"/>
  <c r="G5" i="142"/>
  <c r="G4" i="143"/>
  <c r="F4" i="143"/>
  <c r="E4" i="143"/>
  <c r="D4" i="143"/>
  <c r="C4" i="143"/>
  <c r="B4" i="143"/>
  <c r="G4" i="142"/>
  <c r="F4" i="142"/>
  <c r="E4" i="142"/>
  <c r="D4" i="142"/>
  <c r="C4" i="142"/>
  <c r="B4" i="142"/>
  <c r="AI145" i="10"/>
  <c r="AI146" i="10"/>
  <c r="I9" i="143"/>
  <c r="I8" i="143"/>
  <c r="I7" i="143"/>
  <c r="I6" i="143"/>
  <c r="I5" i="143"/>
  <c r="I4" i="143"/>
  <c r="I3" i="143"/>
  <c r="I9" i="142"/>
  <c r="K8" i="142"/>
  <c r="I8" i="142"/>
  <c r="K7" i="142"/>
  <c r="I7" i="142"/>
  <c r="K6" i="142"/>
  <c r="I6" i="142"/>
  <c r="K5" i="142"/>
  <c r="I5" i="142"/>
  <c r="K4" i="142"/>
  <c r="I4" i="142"/>
  <c r="K3" i="142"/>
  <c r="I3" i="142"/>
  <c r="K8" i="141"/>
  <c r="K7" i="141"/>
  <c r="K6" i="141"/>
  <c r="K5" i="141"/>
  <c r="K4" i="141"/>
  <c r="K3" i="141"/>
  <c r="C8" i="141"/>
  <c r="D8" i="141"/>
  <c r="E8" i="141"/>
  <c r="F8" i="141"/>
  <c r="G8" i="141"/>
  <c r="C9" i="141"/>
  <c r="D9" i="141"/>
  <c r="E9" i="141"/>
  <c r="F9" i="141"/>
  <c r="G9" i="141"/>
  <c r="B9" i="141"/>
  <c r="B8" i="141"/>
  <c r="C7" i="141"/>
  <c r="E7" i="141"/>
  <c r="F7" i="141"/>
  <c r="G7" i="141"/>
  <c r="C6" i="141"/>
  <c r="E6" i="141"/>
  <c r="F6" i="141"/>
  <c r="G6" i="141"/>
  <c r="C5" i="141"/>
  <c r="E5" i="141"/>
  <c r="F5" i="141"/>
  <c r="G5" i="141"/>
  <c r="G4" i="141"/>
  <c r="F4" i="141"/>
  <c r="E4" i="141"/>
  <c r="D4" i="141"/>
  <c r="C4" i="141"/>
  <c r="B4" i="141"/>
  <c r="E8" i="144" l="1"/>
  <c r="D8" i="144"/>
  <c r="I9" i="141"/>
  <c r="I8" i="141"/>
  <c r="I7" i="141"/>
  <c r="I6" i="141"/>
  <c r="I5" i="141"/>
  <c r="I4" i="141"/>
  <c r="I3" i="141"/>
  <c r="I9" i="140" l="1"/>
  <c r="G9" i="140"/>
  <c r="F9" i="140"/>
  <c r="E9" i="140"/>
  <c r="D9" i="140"/>
  <c r="C9" i="140"/>
  <c r="B9" i="140"/>
  <c r="K8" i="140"/>
  <c r="I8" i="140"/>
  <c r="E8" i="140" s="1"/>
  <c r="K7" i="140"/>
  <c r="I7" i="140"/>
  <c r="G7" i="140"/>
  <c r="F7" i="140"/>
  <c r="E7" i="140"/>
  <c r="C7" i="140"/>
  <c r="K6" i="140"/>
  <c r="I6" i="140"/>
  <c r="G6" i="140"/>
  <c r="F6" i="140"/>
  <c r="E6" i="140"/>
  <c r="C6" i="140"/>
  <c r="K5" i="140"/>
  <c r="I5" i="140"/>
  <c r="G5" i="140"/>
  <c r="F5" i="140"/>
  <c r="E5" i="140"/>
  <c r="C5" i="140"/>
  <c r="K4" i="140"/>
  <c r="I4" i="140"/>
  <c r="G4" i="140"/>
  <c r="F4" i="140"/>
  <c r="E4" i="140"/>
  <c r="D4" i="140"/>
  <c r="C4" i="140"/>
  <c r="B4" i="140"/>
  <c r="K3" i="140"/>
  <c r="I3" i="140"/>
  <c r="C9" i="139"/>
  <c r="D9" i="139"/>
  <c r="E9" i="139"/>
  <c r="F9" i="139"/>
  <c r="G9" i="139"/>
  <c r="B9" i="139"/>
  <c r="C8" i="139"/>
  <c r="D8" i="139"/>
  <c r="E8" i="139"/>
  <c r="F8" i="139"/>
  <c r="G8" i="139"/>
  <c r="B8" i="139"/>
  <c r="C7" i="139"/>
  <c r="E7" i="139"/>
  <c r="F7" i="139"/>
  <c r="G7" i="139"/>
  <c r="C6" i="139"/>
  <c r="E6" i="139"/>
  <c r="F6" i="139"/>
  <c r="G6" i="139"/>
  <c r="C5" i="139"/>
  <c r="E5" i="139"/>
  <c r="F5" i="139"/>
  <c r="G5" i="139"/>
  <c r="G4" i="139"/>
  <c r="F4" i="139"/>
  <c r="E4" i="139"/>
  <c r="D4" i="139"/>
  <c r="C4" i="139"/>
  <c r="B4" i="139"/>
  <c r="C9" i="138"/>
  <c r="D9" i="138"/>
  <c r="E9" i="138"/>
  <c r="F9" i="138"/>
  <c r="G9" i="138"/>
  <c r="B9" i="138"/>
  <c r="C8" i="138"/>
  <c r="D8" i="138"/>
  <c r="E8" i="138"/>
  <c r="F8" i="138"/>
  <c r="G8" i="138"/>
  <c r="B8" i="138"/>
  <c r="C7" i="138"/>
  <c r="E7" i="138"/>
  <c r="F7" i="138"/>
  <c r="G7" i="138"/>
  <c r="C6" i="138"/>
  <c r="E6" i="138"/>
  <c r="F6" i="138"/>
  <c r="G6" i="138"/>
  <c r="C5" i="138"/>
  <c r="E5" i="138"/>
  <c r="F5" i="138"/>
  <c r="G5" i="138"/>
  <c r="G4" i="138"/>
  <c r="F4" i="138"/>
  <c r="E4" i="138"/>
  <c r="D4" i="138"/>
  <c r="C4" i="138"/>
  <c r="B4" i="138"/>
  <c r="AI142" i="10"/>
  <c r="AI143" i="10"/>
  <c r="AI144" i="10"/>
  <c r="BS142" i="10"/>
  <c r="BS143" i="10"/>
  <c r="BS144" i="10"/>
  <c r="BS145" i="10"/>
  <c r="BS146" i="10"/>
  <c r="BA142" i="10"/>
  <c r="BA143" i="10"/>
  <c r="BA144" i="10"/>
  <c r="BA145" i="10"/>
  <c r="BA146" i="10"/>
  <c r="Q142" i="10"/>
  <c r="Q143" i="10"/>
  <c r="Q144" i="10"/>
  <c r="Q145" i="10"/>
  <c r="Q146" i="10"/>
  <c r="I9" i="139"/>
  <c r="K8" i="139"/>
  <c r="I8" i="139"/>
  <c r="K7" i="139"/>
  <c r="I7" i="139"/>
  <c r="K6" i="139"/>
  <c r="I6" i="139"/>
  <c r="K5" i="139"/>
  <c r="I5" i="139"/>
  <c r="K4" i="139"/>
  <c r="I4" i="139"/>
  <c r="K3" i="139"/>
  <c r="I3" i="139"/>
  <c r="I9" i="138"/>
  <c r="K8" i="138"/>
  <c r="I8" i="138"/>
  <c r="K7" i="138"/>
  <c r="I7" i="138"/>
  <c r="K6" i="138"/>
  <c r="I6" i="138"/>
  <c r="K5" i="138"/>
  <c r="I5" i="138"/>
  <c r="K4" i="138"/>
  <c r="I4" i="138"/>
  <c r="K3" i="138"/>
  <c r="I3" i="138"/>
  <c r="K8" i="137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F8" i="140" l="1"/>
  <c r="B8" i="140"/>
  <c r="C8" i="140"/>
  <c r="D8" i="140"/>
  <c r="G8" i="140"/>
  <c r="I9" i="136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1BD1CA-15AE-426B-8FC0-17B9DD06C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C26A86-7330-45A1-95D5-81CCC2E4976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9FA5F8-73E2-4191-985A-A900E9BEB04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7873134-7DF9-490A-AC3F-4441D28D753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39B667D-317D-49D8-B73F-23D0F6C628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305F93-5F7C-4156-8885-C5325BC1AB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64BAC-6A08-4CA0-BADD-C866201DE0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00E9A4F-B9C4-4B3C-B409-55CA64A74A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6A0A691-FF58-4AEB-BC08-F5B041BFEE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EAB1BA-8B97-4F63-ABFE-D3C9D25B6A3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548FC-C96E-4D75-8B07-E378790E7F6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A48909-1074-4D3E-B5D4-735DC24036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1C605A3-D492-4939-B5F6-5106675503F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F20A322-CCFB-4B43-88CC-BF15B8AE58D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BF1217-CFBD-43D0-B6F5-8F62FC51819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07BB2C-8C80-4467-9FA8-F3BC564473D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3519FA8-ED94-482B-ACC6-30BF0126C97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61156DF-F899-4D67-A331-D84FD1C9BE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<sst xmlns="http://schemas.openxmlformats.org/spreadsheetml/2006/main" count="6403" uniqueCount="73">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</sst>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7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160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theme" Target="theme/theme1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styles" Target="style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593960</xdr:colOff>
      <xdr:row>164</xdr:row>
      <xdr:rowOff>172508</xdr:rowOff>
    </xdr:from>
    <xdr:to>
      <xdr:col>33</xdr:col>
      <xdr:colOff>350396</xdr:colOff>
      <xdr:row>199</xdr:row>
      <xdr:rowOff>9603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18648" y="30112758"/>
          <a:ext cx="6487436" cy="622678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2.xml"/><Relationship Id="rId1" Type="http://schemas.openxmlformats.org/officeDocument/2006/relationships/vmlDrawing" Target="../drawings/vmlDrawing112.vml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3.xml"/><Relationship Id="rId1" Type="http://schemas.openxmlformats.org/officeDocument/2006/relationships/vmlDrawing" Target="../drawings/vmlDrawing113.vml"/></Relationships>
</file>

<file path=xl/worksheets/_rels/sheet1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6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5.xml"/><Relationship Id="rId1" Type="http://schemas.openxmlformats.org/officeDocument/2006/relationships/vmlDrawing" Target="../drawings/vmlDrawing115.v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6.xml"/><Relationship Id="rId1" Type="http://schemas.openxmlformats.org/officeDocument/2006/relationships/vmlDrawing" Target="../drawings/vmlDrawing116.v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7.xml"/><Relationship Id="rId1" Type="http://schemas.openxmlformats.org/officeDocument/2006/relationships/vmlDrawing" Target="../drawings/vmlDrawing117.vml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8.xml"/><Relationship Id="rId1" Type="http://schemas.openxmlformats.org/officeDocument/2006/relationships/vmlDrawing" Target="../drawings/vmlDrawing118.vml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9.xml"/><Relationship Id="rId1" Type="http://schemas.openxmlformats.org/officeDocument/2006/relationships/vmlDrawing" Target="../drawings/vmlDrawing119.vml"/></Relationships>
</file>

<file path=xl/worksheets/_rels/sheet1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7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1.xml"/><Relationship Id="rId1" Type="http://schemas.openxmlformats.org/officeDocument/2006/relationships/vmlDrawing" Target="../drawings/vmlDrawing121.vml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2.xml"/><Relationship Id="rId1" Type="http://schemas.openxmlformats.org/officeDocument/2006/relationships/vmlDrawing" Target="../drawings/vmlDrawing122.vml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3.xml"/><Relationship Id="rId1" Type="http://schemas.openxmlformats.org/officeDocument/2006/relationships/vmlDrawing" Target="../drawings/vmlDrawing123.vml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4.xml"/><Relationship Id="rId1" Type="http://schemas.openxmlformats.org/officeDocument/2006/relationships/vmlDrawing" Target="../drawings/vmlDrawing124.vml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5.xml"/><Relationship Id="rId1" Type="http://schemas.openxmlformats.org/officeDocument/2006/relationships/vmlDrawing" Target="../drawings/vmlDrawing125.vml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6.xml"/><Relationship Id="rId1" Type="http://schemas.openxmlformats.org/officeDocument/2006/relationships/vmlDrawing" Target="../drawings/vmlDrawing126.vml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7.xml"/><Relationship Id="rId1" Type="http://schemas.openxmlformats.org/officeDocument/2006/relationships/vmlDrawing" Target="../drawings/vmlDrawing127.vml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8.xml"/><Relationship Id="rId1" Type="http://schemas.openxmlformats.org/officeDocument/2006/relationships/vmlDrawing" Target="../drawings/vmlDrawing128.vml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9.xml"/><Relationship Id="rId1" Type="http://schemas.openxmlformats.org/officeDocument/2006/relationships/vmlDrawing" Target="../drawings/vmlDrawing129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048576"/>
  <sheetViews>
    <sheetView topLeftCell="A195" zoomScale="115" zoomScaleNormal="115" workbookViewId="0">
      <selection activeCell="G210" sqref="G210"/>
    </sheetView>
  </sheetViews>
  <sheetFormatPr defaultRowHeight="14.5" x14ac:dyDescent="0.35"/>
  <cols>
    <col min="1" max="2" width="15.54296875" style="80" customWidth="1"/>
    <col min="3" max="6" width="15.54296875" style="24" customWidth="1"/>
    <col min="7" max="7" width="11.81640625" style="92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0" t="s">
        <v>68</v>
      </c>
    </row>
    <row r="2" spans="1:7" x14ac:dyDescent="0.35">
      <c r="A2" s="86">
        <v>46023</v>
      </c>
      <c r="B2" s="87">
        <v>4.36E-2</v>
      </c>
      <c r="C2" s="88">
        <v>3.1600000000000003E-2</v>
      </c>
      <c r="D2" s="88">
        <v>3.85E-2</v>
      </c>
      <c r="E2" s="88">
        <v>4.5400000000000003E-2</v>
      </c>
      <c r="F2" s="88">
        <v>4.4299999999999999E-2</v>
      </c>
      <c r="G2" s="89">
        <v>88728</v>
      </c>
    </row>
    <row r="3" spans="1:7" x14ac:dyDescent="0.35">
      <c r="A3" s="86">
        <v>46024</v>
      </c>
      <c r="B3" s="87">
        <v>4.4600000000000001E-2</v>
      </c>
      <c r="C3" s="88">
        <v>3.1600000000000003E-2</v>
      </c>
      <c r="D3" s="88">
        <v>3.9399999999999998E-2</v>
      </c>
      <c r="E3" s="88">
        <v>4.6199999999999998E-2</v>
      </c>
      <c r="F3" s="88">
        <v>4.36E-2</v>
      </c>
      <c r="G3" s="89">
        <v>89926</v>
      </c>
    </row>
    <row r="4" spans="1:7" x14ac:dyDescent="0.35">
      <c r="A4" s="86">
        <v>46025</v>
      </c>
      <c r="B4" s="87">
        <v>4.5900000000000003E-2</v>
      </c>
      <c r="C4" s="88">
        <v>3.1600000000000003E-2</v>
      </c>
      <c r="D4" s="88">
        <v>3.9699999999999999E-2</v>
      </c>
      <c r="E4" s="88">
        <v>4.7199999999999999E-2</v>
      </c>
      <c r="F4" s="88">
        <v>4.2700000000000002E-2</v>
      </c>
      <c r="G4" s="89">
        <v>90594</v>
      </c>
    </row>
    <row r="5" spans="1:7" x14ac:dyDescent="0.35">
      <c r="A5" s="86">
        <v>46026</v>
      </c>
      <c r="B5" s="87">
        <v>4.5900000000000003E-2</v>
      </c>
      <c r="C5" s="88">
        <v>3.1600000000000003E-2</v>
      </c>
      <c r="D5" s="88">
        <v>3.9600000000000003E-2</v>
      </c>
      <c r="E5" s="88">
        <v>4.7800000000000002E-2</v>
      </c>
      <c r="F5" s="88">
        <v>4.0399999999999998E-2</v>
      </c>
      <c r="G5" s="89">
        <v>91373</v>
      </c>
    </row>
    <row r="6" spans="1:7" x14ac:dyDescent="0.35">
      <c r="A6" s="86">
        <v>46027</v>
      </c>
      <c r="B6" s="87">
        <v>4.6199999999999998E-2</v>
      </c>
      <c r="C6" s="88">
        <v>3.1600000000000003E-2</v>
      </c>
      <c r="D6" s="88">
        <v>3.95E-2</v>
      </c>
      <c r="E6" s="88">
        <v>4.7899999999999998E-2</v>
      </c>
      <c r="F6" s="88">
        <v>4.8899999999999999E-2</v>
      </c>
      <c r="G6" s="89">
        <v>93927</v>
      </c>
    </row>
    <row r="7" spans="1:7" x14ac:dyDescent="0.35">
      <c r="A7" s="86">
        <v>46028</v>
      </c>
      <c r="B7" s="87">
        <v>4.58E-2</v>
      </c>
      <c r="C7" s="88">
        <v>3.1600000000000003E-2</v>
      </c>
      <c r="D7" s="88">
        <v>3.9699999999999999E-2</v>
      </c>
      <c r="E7" s="88">
        <v>4.7E-2</v>
      </c>
      <c r="F7" s="88">
        <v>5.0299999999999997E-2</v>
      </c>
      <c r="G7" s="89">
        <v>93667</v>
      </c>
    </row>
    <row r="8" spans="1:7" x14ac:dyDescent="0.35">
      <c r="A8" s="86">
        <v>46029</v>
      </c>
      <c r="B8" s="87">
        <v>4.5600000000000002E-2</v>
      </c>
      <c r="C8" s="88">
        <v>3.1600000000000003E-2</v>
      </c>
      <c r="D8" s="88">
        <v>3.9800000000000002E-2</v>
      </c>
      <c r="E8" s="88">
        <v>4.7500000000000001E-2</v>
      </c>
      <c r="F8" s="88">
        <v>5.1400000000000001E-2</v>
      </c>
      <c r="G8" s="89">
        <v>91257</v>
      </c>
    </row>
    <row r="9" spans="1:7" x14ac:dyDescent="0.35">
      <c r="A9" s="86">
        <v>46030</v>
      </c>
      <c r="B9" s="87">
        <v>4.6100000000000002E-2</v>
      </c>
      <c r="C9" s="88">
        <v>3.1600000000000003E-2</v>
      </c>
      <c r="D9" s="88">
        <v>3.8399999999999997E-2</v>
      </c>
      <c r="E9" s="88">
        <v>4.8000000000000001E-2</v>
      </c>
      <c r="F9" s="88">
        <v>5.0599999999999999E-2</v>
      </c>
      <c r="G9" s="89">
        <v>90984</v>
      </c>
    </row>
    <row r="10" spans="1:7" x14ac:dyDescent="0.35">
      <c r="A10" s="86">
        <v>46031</v>
      </c>
      <c r="B10" s="87">
        <v>4.6100000000000002E-2</v>
      </c>
      <c r="C10" s="88">
        <v>3.1600000000000003E-2</v>
      </c>
      <c r="D10" s="88">
        <v>3.73E-2</v>
      </c>
      <c r="E10" s="88">
        <v>4.8599999999999997E-2</v>
      </c>
      <c r="F10" s="88">
        <v>5.1700000000000003E-2</v>
      </c>
      <c r="G10" s="89">
        <v>90505</v>
      </c>
    </row>
    <row r="11" spans="1:7" x14ac:dyDescent="0.35">
      <c r="A11" s="86">
        <v>46032</v>
      </c>
      <c r="B11" s="87">
        <v>4.65E-2</v>
      </c>
      <c r="C11" s="88">
        <v>3.1600000000000003E-2</v>
      </c>
      <c r="D11" s="88">
        <v>3.7100000000000001E-2</v>
      </c>
      <c r="E11" s="88">
        <v>4.7500000000000001E-2</v>
      </c>
      <c r="F11" s="88">
        <v>5.1799999999999999E-2</v>
      </c>
      <c r="G11" s="89">
        <v>90442</v>
      </c>
    </row>
    <row r="12" spans="1:7" x14ac:dyDescent="0.35">
      <c r="A12" s="86">
        <v>46033</v>
      </c>
      <c r="B12" s="87">
        <v>4.6600000000000003E-2</v>
      </c>
      <c r="C12" s="88">
        <v>3.1600000000000003E-2</v>
      </c>
      <c r="D12" s="88">
        <v>3.73E-2</v>
      </c>
      <c r="E12" s="88">
        <v>4.8099999999999997E-2</v>
      </c>
      <c r="F12" s="88">
        <v>5.21E-2</v>
      </c>
      <c r="G12" s="89">
        <v>90819</v>
      </c>
    </row>
    <row r="13" spans="1:7" x14ac:dyDescent="0.35">
      <c r="A13" s="86">
        <v>46034</v>
      </c>
      <c r="B13" s="87">
        <v>4.7100000000000003E-2</v>
      </c>
      <c r="C13" s="88">
        <v>3.1600000000000003E-2</v>
      </c>
      <c r="D13" s="88">
        <v>3.8300000000000001E-2</v>
      </c>
      <c r="E13" s="88">
        <v>4.8899999999999999E-2</v>
      </c>
      <c r="F13" s="88">
        <v>5.2200000000000003E-2</v>
      </c>
      <c r="G13" s="89">
        <v>91135</v>
      </c>
    </row>
    <row r="14" spans="1:7" x14ac:dyDescent="0.35">
      <c r="A14" s="86">
        <v>46035</v>
      </c>
      <c r="B14" s="87">
        <v>4.6600000000000003E-2</v>
      </c>
      <c r="C14" s="88">
        <v>3.1600000000000003E-2</v>
      </c>
      <c r="D14" s="88">
        <v>3.8699999999999998E-2</v>
      </c>
      <c r="E14" s="88">
        <v>4.9200000000000001E-2</v>
      </c>
      <c r="F14" s="88">
        <v>5.0799999999999998E-2</v>
      </c>
      <c r="G14" s="89">
        <v>95260</v>
      </c>
    </row>
    <row r="15" spans="1:7" x14ac:dyDescent="0.35">
      <c r="A15" s="86">
        <v>46036</v>
      </c>
      <c r="B15" s="87">
        <v>4.9399999999999999E-2</v>
      </c>
      <c r="C15" s="88">
        <v>3.1600000000000003E-2</v>
      </c>
      <c r="D15" s="88">
        <v>4.2500000000000003E-2</v>
      </c>
      <c r="E15" s="88">
        <v>5.0200000000000002E-2</v>
      </c>
      <c r="F15" s="88">
        <v>4.7399999999999998E-2</v>
      </c>
      <c r="G15" s="89">
        <v>97008</v>
      </c>
    </row>
    <row r="16" spans="1:7" x14ac:dyDescent="0.35">
      <c r="A16" s="86">
        <v>46037</v>
      </c>
      <c r="B16" s="87">
        <v>4.99E-2</v>
      </c>
      <c r="C16" s="88">
        <v>3.1600000000000003E-2</v>
      </c>
      <c r="D16" s="88">
        <v>4.3900000000000002E-2</v>
      </c>
      <c r="E16" s="88">
        <v>5.11E-2</v>
      </c>
      <c r="F16" s="88">
        <v>5.3800000000000001E-2</v>
      </c>
      <c r="G16" s="89">
        <v>95585</v>
      </c>
    </row>
    <row r="17" spans="1:7" x14ac:dyDescent="0.35">
      <c r="A17" s="86">
        <v>46038</v>
      </c>
      <c r="B17" s="87">
        <v>4.9299999999999997E-2</v>
      </c>
      <c r="C17" s="88">
        <v>3.7499999999999999E-2</v>
      </c>
      <c r="D17" s="88">
        <v>5.3699999999999998E-2</v>
      </c>
      <c r="E17" s="88">
        <v>5.0999999999999997E-2</v>
      </c>
      <c r="F17" s="88">
        <v>5.8799999999999998E-2</v>
      </c>
      <c r="G17" s="89">
        <v>95516</v>
      </c>
    </row>
    <row r="18" spans="1:7" x14ac:dyDescent="0.35">
      <c r="A18" s="86">
        <v>46039</v>
      </c>
      <c r="B18" s="87">
        <v>4.7199999999999999E-2</v>
      </c>
      <c r="C18" s="88">
        <v>3.7499999999999999E-2</v>
      </c>
      <c r="D18" s="88">
        <v>5.1999999999999998E-2</v>
      </c>
      <c r="E18" s="88">
        <v>4.8899999999999999E-2</v>
      </c>
      <c r="F18" s="88">
        <v>5.7299999999999997E-2</v>
      </c>
      <c r="G18" s="89">
        <v>95100</v>
      </c>
    </row>
    <row r="19" spans="1:7" x14ac:dyDescent="0.35">
      <c r="A19" s="86">
        <v>46040</v>
      </c>
      <c r="B19" s="87">
        <v>4.5699999999999998E-2</v>
      </c>
      <c r="C19" s="88">
        <v>3.7499999999999999E-2</v>
      </c>
      <c r="D19" s="88">
        <v>5.0799999999999998E-2</v>
      </c>
      <c r="E19" s="88">
        <v>4.8300000000000003E-2</v>
      </c>
      <c r="F19" s="88">
        <v>5.6099999999999997E-2</v>
      </c>
      <c r="G19" s="89">
        <v>93753</v>
      </c>
    </row>
    <row r="20" spans="1:7" x14ac:dyDescent="0.35">
      <c r="A20" s="86">
        <v>46041</v>
      </c>
      <c r="B20" s="87">
        <v>4.53E-2</v>
      </c>
      <c r="C20" s="88">
        <v>3.7499999999999999E-2</v>
      </c>
      <c r="D20" s="88">
        <v>4.9700000000000001E-2</v>
      </c>
      <c r="E20" s="88">
        <v>4.7199999999999999E-2</v>
      </c>
      <c r="F20" s="88">
        <v>5.6000000000000001E-2</v>
      </c>
      <c r="G20" s="89">
        <v>92558</v>
      </c>
    </row>
    <row r="21" spans="1:7" x14ac:dyDescent="0.35">
      <c r="A21" s="86">
        <v>46042</v>
      </c>
      <c r="B21" s="87">
        <v>4.4200000000000003E-2</v>
      </c>
      <c r="C21" s="88">
        <v>3.7499999999999999E-2</v>
      </c>
      <c r="D21" s="88">
        <v>4.8599999999999997E-2</v>
      </c>
      <c r="E21" s="88">
        <v>4.6100000000000002E-2</v>
      </c>
      <c r="F21" s="88">
        <v>5.5899999999999998E-2</v>
      </c>
      <c r="G21" s="89">
        <v>88313</v>
      </c>
    </row>
    <row r="22" spans="1:7" x14ac:dyDescent="0.35">
      <c r="A22" s="86">
        <v>46043</v>
      </c>
      <c r="B22" s="87">
        <v>4.4699999999999997E-2</v>
      </c>
      <c r="C22" s="88">
        <v>3.7499999999999999E-2</v>
      </c>
      <c r="D22" s="88">
        <v>4.9099999999999998E-2</v>
      </c>
      <c r="E22" s="88">
        <v>4.6699999999999998E-2</v>
      </c>
      <c r="F22" s="88">
        <v>5.91E-2</v>
      </c>
      <c r="G22" s="89">
        <v>89354</v>
      </c>
    </row>
    <row r="23" spans="1:7" x14ac:dyDescent="0.35">
      <c r="A23" s="86">
        <v>46044</v>
      </c>
      <c r="B23" s="87">
        <v>4.41E-2</v>
      </c>
      <c r="C23" s="88">
        <v>3.7499999999999999E-2</v>
      </c>
      <c r="D23" s="88">
        <v>4.9000000000000002E-2</v>
      </c>
      <c r="E23" s="88">
        <v>4.6600000000000003E-2</v>
      </c>
      <c r="F23" s="88">
        <v>5.8099999999999999E-2</v>
      </c>
      <c r="G23" s="89">
        <v>89443</v>
      </c>
    </row>
    <row r="24" spans="1:7" x14ac:dyDescent="0.35">
      <c r="A24" s="86">
        <v>46045</v>
      </c>
      <c r="B24" s="87">
        <v>4.4299999999999999E-2</v>
      </c>
      <c r="C24" s="88">
        <v>3.7499999999999999E-2</v>
      </c>
      <c r="D24" s="88">
        <v>4.8399999999999999E-2</v>
      </c>
      <c r="E24" s="88">
        <v>4.6100000000000002E-2</v>
      </c>
      <c r="F24" s="88">
        <v>5.8299999999999998E-2</v>
      </c>
      <c r="G24" s="89">
        <v>89412</v>
      </c>
    </row>
    <row r="25" spans="1:7" x14ac:dyDescent="0.35">
      <c r="A25" s="86">
        <v>46046</v>
      </c>
      <c r="B25" s="87">
        <v>4.5400000000000003E-2</v>
      </c>
      <c r="C25" s="88">
        <v>3.7499999999999999E-2</v>
      </c>
      <c r="D25" s="88">
        <v>4.9000000000000002E-2</v>
      </c>
      <c r="E25" s="88">
        <v>4.7100000000000003E-2</v>
      </c>
      <c r="F25" s="88">
        <v>5.7200000000000001E-2</v>
      </c>
      <c r="G25" s="89">
        <v>89171</v>
      </c>
    </row>
    <row r="26" spans="1:7" x14ac:dyDescent="0.35">
      <c r="A26" s="86">
        <v>46047</v>
      </c>
      <c r="B26" s="87">
        <v>4.5999999999999999E-2</v>
      </c>
      <c r="C26" s="88">
        <v>3.7499999999999999E-2</v>
      </c>
      <c r="D26" s="88">
        <v>5.0500000000000003E-2</v>
      </c>
      <c r="E26" s="88">
        <v>4.8000000000000001E-2</v>
      </c>
      <c r="F26" s="88">
        <v>5.6800000000000003E-2</v>
      </c>
      <c r="G26" s="89">
        <v>86548</v>
      </c>
    </row>
    <row r="27" spans="1:7" x14ac:dyDescent="0.35">
      <c r="A27" s="86">
        <v>46048</v>
      </c>
      <c r="B27" s="87">
        <v>4.58E-2</v>
      </c>
      <c r="C27" s="88">
        <v>3.7499999999999999E-2</v>
      </c>
      <c r="D27" s="88">
        <v>5.0299999999999997E-2</v>
      </c>
      <c r="E27" s="88">
        <v>4.7699999999999999E-2</v>
      </c>
      <c r="F27" s="88">
        <v>5.7700000000000001E-2</v>
      </c>
      <c r="G27" s="89">
        <v>88308</v>
      </c>
    </row>
    <row r="28" spans="1:7" x14ac:dyDescent="0.35">
      <c r="A28" s="86">
        <v>46049</v>
      </c>
      <c r="B28" s="87">
        <v>4.65E-2</v>
      </c>
      <c r="C28" s="88">
        <v>3.7499999999999999E-2</v>
      </c>
      <c r="D28" s="88">
        <v>5.0900000000000001E-2</v>
      </c>
      <c r="E28" s="88">
        <v>4.8399999999999999E-2</v>
      </c>
      <c r="F28" s="88">
        <v>5.0500000000000003E-2</v>
      </c>
      <c r="G28" s="89">
        <v>89204</v>
      </c>
    </row>
    <row r="29" spans="1:7" x14ac:dyDescent="0.35">
      <c r="A29" s="86">
        <v>46050</v>
      </c>
      <c r="B29" s="87">
        <v>4.7E-2</v>
      </c>
      <c r="C29" s="88">
        <v>3.7499999999999999E-2</v>
      </c>
      <c r="D29" s="88">
        <v>5.0900000000000001E-2</v>
      </c>
      <c r="E29" s="88">
        <v>4.8399999999999999E-2</v>
      </c>
      <c r="F29" s="88">
        <v>5.5399999999999998E-2</v>
      </c>
      <c r="G29" s="89">
        <v>89162</v>
      </c>
    </row>
    <row r="30" spans="1:7" x14ac:dyDescent="0.35">
      <c r="A30" s="86">
        <v>46051</v>
      </c>
      <c r="B30" s="87">
        <v>4.8099999999999997E-2</v>
      </c>
      <c r="C30" s="88">
        <v>3.7499999999999999E-2</v>
      </c>
      <c r="D30" s="88">
        <v>5.21E-2</v>
      </c>
      <c r="E30" s="88">
        <v>4.99E-2</v>
      </c>
      <c r="F30" s="88">
        <v>5.5399999999999998E-2</v>
      </c>
      <c r="G30" s="89">
        <v>84570</v>
      </c>
    </row>
    <row r="31" spans="1:7" x14ac:dyDescent="0.35">
      <c r="A31" s="86">
        <v>46052</v>
      </c>
      <c r="B31" s="87">
        <v>4.6699999999999998E-2</v>
      </c>
      <c r="C31" s="88">
        <v>3.7499999999999999E-2</v>
      </c>
      <c r="D31" s="88">
        <v>5.1999999999999998E-2</v>
      </c>
      <c r="E31" s="88">
        <v>4.8800000000000003E-2</v>
      </c>
      <c r="F31" s="88">
        <v>5.3999999999999999E-2</v>
      </c>
      <c r="G31" s="89">
        <v>84142</v>
      </c>
    </row>
    <row r="32" spans="1:7" x14ac:dyDescent="0.35">
      <c r="A32" s="86">
        <v>46053</v>
      </c>
      <c r="B32" s="87">
        <v>4.4699999999999997E-2</v>
      </c>
      <c r="C32" s="88">
        <v>3.7499999999999999E-2</v>
      </c>
      <c r="D32" s="88">
        <v>4.8899999999999999E-2</v>
      </c>
      <c r="E32" s="88">
        <v>4.65E-2</v>
      </c>
      <c r="F32" s="88">
        <v>5.3499999999999999E-2</v>
      </c>
      <c r="G32" s="89">
        <v>78726</v>
      </c>
    </row>
    <row r="33" spans="1:7" x14ac:dyDescent="0.35">
      <c r="A33" s="81">
        <v>46054.125</v>
      </c>
      <c r="B33" s="87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89">
        <v>76937</v>
      </c>
    </row>
    <row r="34" spans="1:7" x14ac:dyDescent="0.35">
      <c r="A34" s="81">
        <v>46055.125</v>
      </c>
      <c r="B34" s="82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89">
        <v>78768</v>
      </c>
    </row>
    <row r="35" spans="1:7" x14ac:dyDescent="0.35">
      <c r="A35" s="81">
        <v>46056.125</v>
      </c>
      <c r="B35" s="82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89">
        <v>75639</v>
      </c>
    </row>
    <row r="36" spans="1:7" x14ac:dyDescent="0.35">
      <c r="A36" s="81">
        <v>46057.125</v>
      </c>
      <c r="B36" s="82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89">
        <v>73172</v>
      </c>
    </row>
    <row r="37" spans="1:7" x14ac:dyDescent="0.35">
      <c r="A37" s="81">
        <v>46058.125</v>
      </c>
      <c r="B37" s="82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89">
        <v>62854</v>
      </c>
    </row>
    <row r="38" spans="1:7" x14ac:dyDescent="0.35">
      <c r="A38" s="81">
        <v>46059.125</v>
      </c>
      <c r="B38" s="82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89">
        <v>70524</v>
      </c>
    </row>
    <row r="39" spans="1:7" x14ac:dyDescent="0.35">
      <c r="A39" s="81">
        <v>46060.125</v>
      </c>
      <c r="B39" s="82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89">
        <v>69297</v>
      </c>
    </row>
    <row r="40" spans="1:7" x14ac:dyDescent="0.35">
      <c r="A40" s="81">
        <v>46061.125</v>
      </c>
      <c r="B40" s="82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89">
        <v>70542</v>
      </c>
    </row>
    <row r="41" spans="1:7" x14ac:dyDescent="0.35">
      <c r="A41" s="81">
        <v>46062.125</v>
      </c>
      <c r="B41" s="82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89">
        <v>70096</v>
      </c>
    </row>
    <row r="42" spans="1:7" x14ac:dyDescent="0.35">
      <c r="A42" s="81">
        <v>46063.125</v>
      </c>
      <c r="B42" s="82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89">
        <v>68780</v>
      </c>
    </row>
    <row r="43" spans="1:7" x14ac:dyDescent="0.35">
      <c r="A43" s="81">
        <v>46064.125</v>
      </c>
      <c r="B43" s="82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89">
        <v>66938</v>
      </c>
    </row>
    <row r="44" spans="1:7" x14ac:dyDescent="0.35">
      <c r="A44" s="81">
        <v>46065.125</v>
      </c>
      <c r="B44" s="82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89">
        <v>66185</v>
      </c>
    </row>
    <row r="45" spans="1:7" x14ac:dyDescent="0.35">
      <c r="A45" s="81">
        <v>46066.125</v>
      </c>
      <c r="B45" s="82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89">
        <v>68839</v>
      </c>
    </row>
    <row r="46" spans="1:7" x14ac:dyDescent="0.35">
      <c r="A46" s="81">
        <v>46067.125</v>
      </c>
      <c r="B46" s="82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89">
        <v>69766</v>
      </c>
    </row>
    <row r="47" spans="1:7" x14ac:dyDescent="0.35">
      <c r="A47" s="81">
        <v>46068.125</v>
      </c>
      <c r="B47" s="82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89">
        <v>68717</v>
      </c>
    </row>
    <row r="48" spans="1:7" x14ac:dyDescent="0.35">
      <c r="A48" s="81">
        <v>46069.125</v>
      </c>
      <c r="B48" s="82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89">
        <v>68908</v>
      </c>
    </row>
    <row r="49" spans="1:8" x14ac:dyDescent="0.35">
      <c r="A49" s="81">
        <v>46070.125</v>
      </c>
      <c r="B49" s="82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89">
        <v>67489</v>
      </c>
    </row>
    <row r="50" spans="1:8" x14ac:dyDescent="0.35">
      <c r="A50" s="81">
        <v>46071.125</v>
      </c>
      <c r="B50" s="82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89">
        <v>66456</v>
      </c>
    </row>
    <row r="51" spans="1:8" x14ac:dyDescent="0.35">
      <c r="A51" s="81">
        <v>46072.125</v>
      </c>
      <c r="B51" s="82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89">
        <v>66919</v>
      </c>
    </row>
    <row r="52" spans="1:8" x14ac:dyDescent="0.35">
      <c r="A52" s="81">
        <v>46073.125</v>
      </c>
      <c r="B52" s="82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89">
        <v>67970</v>
      </c>
    </row>
    <row r="53" spans="1:8" x14ac:dyDescent="0.35">
      <c r="A53" s="81">
        <v>46074.125</v>
      </c>
      <c r="B53" s="82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89">
        <v>67978</v>
      </c>
    </row>
    <row r="54" spans="1:8" x14ac:dyDescent="0.35">
      <c r="A54" s="81">
        <v>46075.125</v>
      </c>
      <c r="B54" s="82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89">
        <v>67585</v>
      </c>
    </row>
    <row r="55" spans="1:8" x14ac:dyDescent="0.35">
      <c r="A55" s="81">
        <v>46076.125</v>
      </c>
      <c r="B55" s="82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89">
        <v>64578</v>
      </c>
    </row>
    <row r="56" spans="1:8" x14ac:dyDescent="0.35">
      <c r="A56" s="81">
        <v>46077.125</v>
      </c>
      <c r="B56" s="82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89">
        <v>64074</v>
      </c>
    </row>
    <row r="57" spans="1:8" x14ac:dyDescent="0.35">
      <c r="A57" s="81">
        <v>46078.125</v>
      </c>
      <c r="B57" s="82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89">
        <v>67947</v>
      </c>
    </row>
    <row r="58" spans="1:8" x14ac:dyDescent="0.35">
      <c r="A58" s="81">
        <v>46079.125</v>
      </c>
      <c r="B58" s="82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89">
        <v>67469</v>
      </c>
    </row>
    <row r="59" spans="1:8" x14ac:dyDescent="0.35">
      <c r="A59" s="81">
        <v>46080.125</v>
      </c>
      <c r="B59" s="82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89">
        <v>65884</v>
      </c>
    </row>
    <row r="60" spans="1:8" x14ac:dyDescent="0.35">
      <c r="A60" s="81">
        <v>46081.125</v>
      </c>
      <c r="B60" s="82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89">
        <v>67008</v>
      </c>
    </row>
    <row r="61" spans="1:8" x14ac:dyDescent="0.35">
      <c r="A61" s="81">
        <v>46082.125</v>
      </c>
      <c r="B61" s="82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89">
        <v>65713</v>
      </c>
    </row>
    <row r="62" spans="1:8" x14ac:dyDescent="0.35">
      <c r="A62" s="81">
        <v>46083.125</v>
      </c>
      <c r="B62" s="82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89">
        <v>68864</v>
      </c>
    </row>
    <row r="63" spans="1:8" x14ac:dyDescent="0.35">
      <c r="A63" s="81">
        <v>46084.125</v>
      </c>
      <c r="B63" s="82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89">
        <v>68322</v>
      </c>
      <c r="H63" s="47"/>
    </row>
    <row r="64" spans="1:8" x14ac:dyDescent="0.35">
      <c r="A64" s="81">
        <v>46085.125</v>
      </c>
      <c r="B64" s="82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89">
        <v>72670</v>
      </c>
    </row>
    <row r="65" spans="1:7" x14ac:dyDescent="0.35">
      <c r="A65" s="81">
        <v>46086.125</v>
      </c>
      <c r="B65" s="82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89">
        <v>70875</v>
      </c>
    </row>
    <row r="66" spans="1:7" x14ac:dyDescent="0.35">
      <c r="A66" s="81">
        <v>46087.125</v>
      </c>
      <c r="B66" s="82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89">
        <v>68148</v>
      </c>
    </row>
    <row r="67" spans="1:7" x14ac:dyDescent="0.35">
      <c r="A67" s="81">
        <v>46088.125</v>
      </c>
      <c r="B67" s="82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89">
        <v>67271</v>
      </c>
    </row>
    <row r="68" spans="1:7" x14ac:dyDescent="0.35">
      <c r="A68" s="81">
        <v>46089.125</v>
      </c>
      <c r="B68" s="82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89">
        <v>66036</v>
      </c>
    </row>
    <row r="69" spans="1:7" x14ac:dyDescent="0.35">
      <c r="A69" s="81">
        <v>46090.125</v>
      </c>
      <c r="B69" s="82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89">
        <v>68459</v>
      </c>
    </row>
    <row r="70" spans="1:7" x14ac:dyDescent="0.35">
      <c r="A70" s="81">
        <v>46091.125</v>
      </c>
      <c r="B70" s="82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89">
        <v>69883</v>
      </c>
    </row>
    <row r="71" spans="1:7" x14ac:dyDescent="0.35">
      <c r="A71" s="81">
        <v>46092.125</v>
      </c>
      <c r="B71" s="82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89">
        <v>70227</v>
      </c>
    </row>
    <row r="72" spans="1:7" x14ac:dyDescent="0.35">
      <c r="A72" s="81">
        <v>46093.125</v>
      </c>
      <c r="B72" s="82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89">
        <v>70544</v>
      </c>
    </row>
    <row r="73" spans="1:7" x14ac:dyDescent="0.35">
      <c r="A73" s="81">
        <v>46094.125</v>
      </c>
      <c r="B73" s="82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89">
        <v>70965</v>
      </c>
    </row>
    <row r="74" spans="1:7" x14ac:dyDescent="0.35">
      <c r="A74" s="81">
        <v>46095.125</v>
      </c>
      <c r="B74" s="82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89">
        <v>71217</v>
      </c>
    </row>
    <row r="75" spans="1:7" x14ac:dyDescent="0.35">
      <c r="A75" s="81">
        <v>46096.125</v>
      </c>
      <c r="B75" s="82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89">
        <v>72682</v>
      </c>
    </row>
    <row r="76" spans="1:7" x14ac:dyDescent="0.35">
      <c r="A76" s="81">
        <v>46097.125</v>
      </c>
      <c r="B76" s="82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89">
        <v>74858</v>
      </c>
    </row>
    <row r="77" spans="1:7" x14ac:dyDescent="0.35">
      <c r="A77" s="81">
        <v>46098.125</v>
      </c>
      <c r="B77" s="82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89">
        <v>73926</v>
      </c>
    </row>
    <row r="78" spans="1:7" x14ac:dyDescent="0.35">
      <c r="A78" s="81">
        <v>46099.125</v>
      </c>
      <c r="B78" s="82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89">
        <v>71256</v>
      </c>
    </row>
    <row r="79" spans="1:7" x14ac:dyDescent="0.35">
      <c r="A79" s="81">
        <v>46100.125</v>
      </c>
      <c r="B79" s="82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89">
        <v>69871</v>
      </c>
    </row>
    <row r="80" spans="1:7" x14ac:dyDescent="0.35">
      <c r="A80" s="81">
        <v>46101.125</v>
      </c>
      <c r="B80" s="82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89">
        <v>70553</v>
      </c>
    </row>
    <row r="81" spans="1:7" x14ac:dyDescent="0.35">
      <c r="A81" s="81">
        <v>46102.125</v>
      </c>
      <c r="B81" s="82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89">
        <v>68734</v>
      </c>
    </row>
    <row r="82" spans="1:7" x14ac:dyDescent="0.35">
      <c r="A82" s="81">
        <v>46103.125</v>
      </c>
      <c r="B82" s="82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89">
        <v>67849</v>
      </c>
    </row>
    <row r="83" spans="1:7" x14ac:dyDescent="0.35">
      <c r="A83" s="81">
        <v>46104.125</v>
      </c>
      <c r="B83" s="82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89">
        <v>70893</v>
      </c>
    </row>
    <row r="84" spans="1:7" x14ac:dyDescent="0.35">
      <c r="A84" s="81">
        <v>46105.125</v>
      </c>
      <c r="B84" s="82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89">
        <v>70525</v>
      </c>
    </row>
    <row r="85" spans="1:7" x14ac:dyDescent="0.35">
      <c r="A85" s="81">
        <v>46106.125</v>
      </c>
      <c r="B85" s="82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89">
        <v>71309</v>
      </c>
    </row>
    <row r="86" spans="1:7" x14ac:dyDescent="0.35">
      <c r="A86" s="81">
        <v>46107.125</v>
      </c>
      <c r="B86" s="82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89">
        <v>68791</v>
      </c>
    </row>
    <row r="87" spans="1:7" x14ac:dyDescent="0.35">
      <c r="A87" s="81">
        <v>46108.125</v>
      </c>
      <c r="B87" s="82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89">
        <v>66321</v>
      </c>
    </row>
    <row r="88" spans="1:7" x14ac:dyDescent="0.35">
      <c r="A88" s="81">
        <v>46109.125</v>
      </c>
      <c r="B88" s="82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89">
        <v>66321</v>
      </c>
    </row>
    <row r="89" spans="1:7" x14ac:dyDescent="0.35">
      <c r="A89" s="81">
        <v>46110.125</v>
      </c>
      <c r="B89" s="82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89">
        <v>65970</v>
      </c>
    </row>
    <row r="90" spans="1:7" x14ac:dyDescent="0.35">
      <c r="A90" s="81">
        <v>46111.125</v>
      </c>
      <c r="B90" s="82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89">
        <v>66699</v>
      </c>
    </row>
    <row r="91" spans="1:7" x14ac:dyDescent="0.35">
      <c r="A91" s="81">
        <v>46112.125</v>
      </c>
      <c r="B91" s="82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89">
        <v>68232</v>
      </c>
    </row>
    <row r="92" spans="1:7" x14ac:dyDescent="0.35">
      <c r="A92" s="81">
        <v>46113.125</v>
      </c>
      <c r="B92" s="82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89">
        <v>68089</v>
      </c>
    </row>
    <row r="93" spans="1:7" x14ac:dyDescent="0.35">
      <c r="A93" s="81">
        <v>46114.125</v>
      </c>
      <c r="B93" s="82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89">
        <v>66892</v>
      </c>
    </row>
    <row r="94" spans="1:7" x14ac:dyDescent="0.35">
      <c r="A94" s="81">
        <v>46115.125</v>
      </c>
      <c r="B94" s="82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89">
        <v>66940</v>
      </c>
    </row>
    <row r="95" spans="1:7" x14ac:dyDescent="0.35">
      <c r="A95" s="81">
        <v>46116.125</v>
      </c>
      <c r="B95" s="82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89">
        <v>67304</v>
      </c>
    </row>
    <row r="96" spans="1:7" x14ac:dyDescent="0.35">
      <c r="A96" s="81">
        <v>46117.125</v>
      </c>
      <c r="B96" s="82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89">
        <v>68986</v>
      </c>
    </row>
    <row r="97" spans="1:7" x14ac:dyDescent="0.35">
      <c r="A97" s="81">
        <v>46118.125</v>
      </c>
      <c r="B97" s="82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89">
        <v>68864</v>
      </c>
    </row>
    <row r="98" spans="1:7" x14ac:dyDescent="0.35">
      <c r="A98" s="81">
        <v>46119.125</v>
      </c>
      <c r="B98" s="82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89">
        <v>71976</v>
      </c>
    </row>
    <row r="99" spans="1:7" x14ac:dyDescent="0.35">
      <c r="A99" s="81">
        <v>46120.125</v>
      </c>
      <c r="B99" s="82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89">
        <v>71117</v>
      </c>
    </row>
    <row r="100" spans="1:7" x14ac:dyDescent="0.35">
      <c r="A100" s="81">
        <v>46121.125</v>
      </c>
      <c r="B100" s="82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89">
        <v>71771</v>
      </c>
    </row>
    <row r="101" spans="1:7" x14ac:dyDescent="0.35">
      <c r="A101" s="81">
        <v>46122.125</v>
      </c>
      <c r="B101" s="82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89">
        <v>72973</v>
      </c>
    </row>
    <row r="102" spans="1:7" x14ac:dyDescent="0.35">
      <c r="A102" s="81">
        <v>46123.125</v>
      </c>
      <c r="B102" s="82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89">
        <v>73054</v>
      </c>
    </row>
    <row r="103" spans="1:7" x14ac:dyDescent="0.35">
      <c r="A103" s="81">
        <v>46124.125</v>
      </c>
      <c r="B103" s="82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89">
        <v>70757</v>
      </c>
    </row>
    <row r="104" spans="1:7" x14ac:dyDescent="0.35">
      <c r="A104" s="81">
        <v>46125.125</v>
      </c>
      <c r="B104" s="82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89">
        <v>74515</v>
      </c>
    </row>
    <row r="105" spans="1:7" x14ac:dyDescent="0.35">
      <c r="A105" s="81">
        <v>46126.125</v>
      </c>
      <c r="B105" s="82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89">
        <v>74181</v>
      </c>
    </row>
    <row r="106" spans="1:7" x14ac:dyDescent="0.35">
      <c r="A106" s="81">
        <v>46127.125</v>
      </c>
      <c r="B106" s="82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89">
        <v>74834</v>
      </c>
    </row>
    <row r="107" spans="1:7" x14ac:dyDescent="0.35">
      <c r="A107" s="81">
        <v>46128.125</v>
      </c>
      <c r="B107" s="82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89">
        <v>74810</v>
      </c>
    </row>
    <row r="108" spans="1:7" x14ac:dyDescent="0.35">
      <c r="A108" s="81">
        <v>46129.125</v>
      </c>
      <c r="B108" s="82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1">
        <v>77154</v>
      </c>
    </row>
    <row r="109" spans="1:7" x14ac:dyDescent="0.35">
      <c r="A109" s="81">
        <v>46130.125</v>
      </c>
      <c r="B109" s="82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1">
        <v>77072</v>
      </c>
    </row>
    <row r="110" spans="1:7" x14ac:dyDescent="0.35">
      <c r="A110" s="81">
        <v>46131.125</v>
      </c>
      <c r="B110" s="82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1">
        <v>75691</v>
      </c>
    </row>
    <row r="111" spans="1:7" x14ac:dyDescent="0.35">
      <c r="A111" s="81">
        <v>46132.125</v>
      </c>
      <c r="B111" s="82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89">
        <v>75965.25</v>
      </c>
    </row>
    <row r="112" spans="1:7" x14ac:dyDescent="0.35">
      <c r="A112" s="81">
        <v>46133.125</v>
      </c>
      <c r="B112" s="82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89">
        <v>75841</v>
      </c>
    </row>
    <row r="113" spans="1:7" x14ac:dyDescent="0.35">
      <c r="A113" s="81">
        <v>46134.125</v>
      </c>
      <c r="B113" s="82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1">
        <v>76336</v>
      </c>
    </row>
    <row r="114" spans="1:7" x14ac:dyDescent="0.35">
      <c r="A114" s="81">
        <v>46135.125</v>
      </c>
      <c r="B114" s="82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89">
        <v>78179</v>
      </c>
    </row>
    <row r="115" spans="1:7" x14ac:dyDescent="0.35">
      <c r="A115" s="81">
        <v>46136.125</v>
      </c>
      <c r="B115" s="82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89">
        <v>78257</v>
      </c>
    </row>
    <row r="116" spans="1:7" x14ac:dyDescent="0.35">
      <c r="A116" s="81">
        <v>46137.125</v>
      </c>
      <c r="B116" s="82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89">
        <v>77437</v>
      </c>
    </row>
    <row r="117" spans="1:7" x14ac:dyDescent="0.35">
      <c r="A117" s="81">
        <v>46138.125</v>
      </c>
      <c r="B117" s="82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89">
        <v>77625</v>
      </c>
    </row>
    <row r="118" spans="1:7" x14ac:dyDescent="0.35">
      <c r="A118" s="81">
        <v>46139.125</v>
      </c>
      <c r="B118" s="82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89">
        <v>78657</v>
      </c>
    </row>
    <row r="119" spans="1:7" x14ac:dyDescent="0.35">
      <c r="A119" s="81">
        <v>46140.125</v>
      </c>
      <c r="B119" s="82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89">
        <v>77372</v>
      </c>
    </row>
    <row r="120" spans="1:7" x14ac:dyDescent="0.35">
      <c r="A120" s="81">
        <v>46141.125</v>
      </c>
      <c r="B120" s="82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89">
        <v>76342</v>
      </c>
    </row>
    <row r="121" spans="1:7" x14ac:dyDescent="0.35">
      <c r="A121" s="81">
        <v>46142.125</v>
      </c>
      <c r="B121" s="82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89">
        <v>75780</v>
      </c>
    </row>
    <row r="122" spans="1:7" x14ac:dyDescent="0.35">
      <c r="A122" s="81">
        <v>46143</v>
      </c>
      <c r="B122" s="82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89">
        <v>76347</v>
      </c>
    </row>
    <row r="123" spans="1:7" x14ac:dyDescent="0.35">
      <c r="A123" s="81">
        <v>46144</v>
      </c>
      <c r="B123" s="82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89">
        <v>78232</v>
      </c>
    </row>
    <row r="124" spans="1:7" x14ac:dyDescent="0.35">
      <c r="A124" s="81">
        <v>46145</v>
      </c>
      <c r="B124" s="82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89">
        <v>78687</v>
      </c>
    </row>
    <row r="125" spans="1:7" x14ac:dyDescent="0.35">
      <c r="A125" s="81">
        <v>46146</v>
      </c>
      <c r="B125" s="82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89">
        <v>78569</v>
      </c>
    </row>
    <row r="126" spans="1:7" x14ac:dyDescent="0.35">
      <c r="A126" s="81">
        <v>46147</v>
      </c>
      <c r="B126" s="82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89">
        <v>80905</v>
      </c>
    </row>
    <row r="127" spans="1:7" x14ac:dyDescent="0.35">
      <c r="A127" s="81">
        <v>46148</v>
      </c>
      <c r="B127" s="82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89">
        <v>81200</v>
      </c>
    </row>
    <row r="128" spans="1:7" x14ac:dyDescent="0.35">
      <c r="A128" s="81">
        <v>46149</v>
      </c>
      <c r="B128" s="82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89">
        <v>81448</v>
      </c>
    </row>
    <row r="129" spans="1:7" x14ac:dyDescent="0.35">
      <c r="A129" s="81">
        <v>46150</v>
      </c>
      <c r="B129" s="82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89">
        <v>80007</v>
      </c>
    </row>
    <row r="130" spans="1:7" x14ac:dyDescent="0.35">
      <c r="A130" s="81">
        <v>46151</v>
      </c>
      <c r="B130" s="82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89">
        <v>82215</v>
      </c>
    </row>
    <row r="131" spans="1:7" x14ac:dyDescent="0.35">
      <c r="A131" s="81">
        <v>46152</v>
      </c>
      <c r="B131" s="82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89">
        <v>80678</v>
      </c>
    </row>
    <row r="132" spans="1:7" x14ac:dyDescent="0.35">
      <c r="A132" s="81">
        <v>46153</v>
      </c>
      <c r="B132" s="82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89">
        <v>82210</v>
      </c>
    </row>
    <row r="133" spans="1:7" x14ac:dyDescent="0.35">
      <c r="A133" s="81">
        <v>46154</v>
      </c>
      <c r="B133" s="82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89">
        <v>81745</v>
      </c>
    </row>
    <row r="134" spans="1:7" x14ac:dyDescent="0.35">
      <c r="A134" s="81">
        <v>46155</v>
      </c>
      <c r="B134" s="82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89">
        <v>80505</v>
      </c>
    </row>
    <row r="135" spans="1:7" x14ac:dyDescent="0.35">
      <c r="A135" s="81">
        <v>46156</v>
      </c>
      <c r="B135" s="82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89">
        <v>79315</v>
      </c>
    </row>
    <row r="136" spans="1:7" x14ac:dyDescent="0.35">
      <c r="A136" s="81">
        <v>46157</v>
      </c>
      <c r="B136" s="82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89">
        <v>81090</v>
      </c>
    </row>
    <row r="137" spans="1:7" x14ac:dyDescent="0.35">
      <c r="A137" s="81">
        <v>46158</v>
      </c>
      <c r="B137" s="82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89">
        <v>79114</v>
      </c>
    </row>
    <row r="138" spans="1:7" x14ac:dyDescent="0.35">
      <c r="A138" s="81">
        <v>46159</v>
      </c>
      <c r="B138" s="82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89">
        <v>78149</v>
      </c>
    </row>
    <row r="139" spans="1:7" x14ac:dyDescent="0.35">
      <c r="A139" s="81">
        <v>46160</v>
      </c>
      <c r="B139" s="82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89">
        <v>76751</v>
      </c>
    </row>
    <row r="140" spans="1:7" x14ac:dyDescent="0.35">
      <c r="A140" s="81">
        <v>46161</v>
      </c>
      <c r="B140" s="82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89">
        <v>77002</v>
      </c>
    </row>
    <row r="141" spans="1:7" x14ac:dyDescent="0.35">
      <c r="A141" s="81">
        <v>46162</v>
      </c>
      <c r="B141" s="82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89">
        <v>76835</v>
      </c>
    </row>
    <row r="142" spans="1:7" x14ac:dyDescent="0.35">
      <c r="A142" s="81">
        <v>46163</v>
      </c>
      <c r="B142" s="82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89">
        <v>77553</v>
      </c>
    </row>
    <row r="143" spans="1:7" x14ac:dyDescent="0.35">
      <c r="A143" s="81">
        <v>46164</v>
      </c>
      <c r="B143" s="82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89">
        <v>77616</v>
      </c>
    </row>
    <row r="144" spans="1:7" x14ac:dyDescent="0.35">
      <c r="A144" s="81">
        <v>46165</v>
      </c>
      <c r="B144" s="82">
        <v>3.2800000000000003E-2</v>
      </c>
      <c r="C144" s="23">
        <v>2.47E-2</v>
      </c>
      <c r="D144" s="23">
        <v>3.61E-2</v>
      </c>
      <c r="E144" s="23">
        <v>3.5700000000000003E-2</v>
      </c>
      <c r="F144" s="23">
        <v>4.0599999999999997E-2</v>
      </c>
      <c r="G144" s="89">
        <v>75540</v>
      </c>
    </row>
    <row r="145" spans="1:7" x14ac:dyDescent="0.35">
      <c r="A145" s="81">
        <v>46166</v>
      </c>
      <c r="B145" s="82">
        <v>3.32E-2</v>
      </c>
      <c r="C145" s="23">
        <v>2.47E-2</v>
      </c>
      <c r="D145" s="23">
        <v>3.5900000000000001E-2</v>
      </c>
      <c r="E145" s="23">
        <v>3.5099999999999999E-2</v>
      </c>
      <c r="F145" s="23">
        <v>3.9600000000000003E-2</v>
      </c>
      <c r="G145" s="89">
        <v>76752</v>
      </c>
    </row>
    <row r="146" spans="1:7" x14ac:dyDescent="0.35">
      <c r="A146" s="81">
        <v>46167</v>
      </c>
      <c r="B146" s="82">
        <v>3.32E-2</v>
      </c>
      <c r="C146" s="23">
        <v>2.47E-2</v>
      </c>
      <c r="D146" s="23">
        <v>3.6600000000000001E-2</v>
      </c>
      <c r="E146" s="23">
        <v>3.5000000000000003E-2</v>
      </c>
      <c r="F146" s="23">
        <v>3.9600000000000003E-2</v>
      </c>
      <c r="G146" s="89">
        <v>77065</v>
      </c>
    </row>
    <row r="147" spans="1:7" x14ac:dyDescent="0.35">
      <c r="A147" s="81">
        <v>46168</v>
      </c>
      <c r="B147" s="82">
        <v>3.4599999999999999E-2</v>
      </c>
      <c r="C147" s="23">
        <v>2.47E-2</v>
      </c>
      <c r="D147" s="23">
        <v>3.7600000000000001E-2</v>
      </c>
      <c r="E147" s="23">
        <v>3.5900000000000001E-2</v>
      </c>
      <c r="F147" s="23">
        <v>4.0300000000000002E-2</v>
      </c>
      <c r="G147" s="89">
        <v>77323</v>
      </c>
    </row>
    <row r="148" spans="1:7" x14ac:dyDescent="0.35">
      <c r="A148" s="81">
        <v>46169</v>
      </c>
      <c r="B148" s="82">
        <v>3.5999999999999997E-2</v>
      </c>
      <c r="C148" s="23">
        <v>2.47E-2</v>
      </c>
      <c r="D148" s="23">
        <v>3.9E-2</v>
      </c>
      <c r="E148" s="23">
        <v>3.7199999999999997E-2</v>
      </c>
      <c r="F148" s="23">
        <v>4.2799999999999998E-2</v>
      </c>
      <c r="G148" s="89">
        <v>75931</v>
      </c>
    </row>
    <row r="149" spans="1:7" x14ac:dyDescent="0.35">
      <c r="A149" s="81">
        <v>46170</v>
      </c>
      <c r="B149" s="82">
        <v>3.6600000000000001E-2</v>
      </c>
      <c r="C149" s="23">
        <v>2.47E-2</v>
      </c>
      <c r="D149" s="23">
        <v>4.02E-2</v>
      </c>
      <c r="E149" s="23">
        <v>3.8399999999999997E-2</v>
      </c>
      <c r="F149" s="23">
        <v>4.4200000000000003E-2</v>
      </c>
      <c r="G149" s="89">
        <v>74450</v>
      </c>
    </row>
    <row r="150" spans="1:7" x14ac:dyDescent="0.35">
      <c r="A150" s="81">
        <v>46171</v>
      </c>
      <c r="B150" s="82">
        <v>3.7400000000000003E-2</v>
      </c>
      <c r="C150" s="23">
        <v>2.47E-2</v>
      </c>
      <c r="D150" s="23">
        <v>4.1099999999999998E-2</v>
      </c>
      <c r="E150" s="23">
        <v>3.9199999999999999E-2</v>
      </c>
      <c r="F150" s="23">
        <v>4.5400000000000003E-2</v>
      </c>
      <c r="G150" s="89">
        <v>73618</v>
      </c>
    </row>
    <row r="151" spans="1:7" x14ac:dyDescent="0.35">
      <c r="A151" s="81">
        <v>46172</v>
      </c>
      <c r="B151" s="82">
        <v>3.73E-2</v>
      </c>
      <c r="C151" s="23">
        <v>2.47E-2</v>
      </c>
      <c r="D151" s="23">
        <v>4.0599999999999997E-2</v>
      </c>
      <c r="E151" s="23">
        <v>3.8800000000000001E-2</v>
      </c>
      <c r="F151" s="23">
        <v>4.5499999999999999E-2</v>
      </c>
      <c r="G151" s="89">
        <v>73461</v>
      </c>
    </row>
    <row r="152" spans="1:7" x14ac:dyDescent="0.35">
      <c r="A152" s="81">
        <v>46173</v>
      </c>
      <c r="B152" s="82">
        <v>3.73E-2</v>
      </c>
      <c r="C152" s="23">
        <v>2.47E-2</v>
      </c>
      <c r="D152" s="23">
        <v>4.1099999999999998E-2</v>
      </c>
      <c r="E152" s="23">
        <v>3.9199999999999999E-2</v>
      </c>
      <c r="F152" s="23">
        <v>0.04</v>
      </c>
      <c r="G152" s="89">
        <v>73885</v>
      </c>
    </row>
    <row r="153" spans="1:7" x14ac:dyDescent="0.35">
      <c r="A153" s="81">
        <v>46174</v>
      </c>
      <c r="B153" s="82">
        <v>3.73E-2</v>
      </c>
      <c r="C153" s="23">
        <v>2.47E-2</v>
      </c>
      <c r="D153" s="23">
        <v>4.1099999999999998E-2</v>
      </c>
      <c r="E153" s="23">
        <v>3.9199999999999999E-2</v>
      </c>
      <c r="F153" s="23">
        <v>4.4999999999999998E-2</v>
      </c>
      <c r="G153" s="89">
        <v>73675</v>
      </c>
    </row>
    <row r="154" spans="1:7" x14ac:dyDescent="0.35">
      <c r="A154" s="81">
        <v>46175</v>
      </c>
      <c r="B154" s="82">
        <v>4.1799999999999997E-2</v>
      </c>
      <c r="C154" s="23">
        <v>2.47E-2</v>
      </c>
      <c r="D154" s="23">
        <v>4.5400000000000003E-2</v>
      </c>
      <c r="E154" s="23">
        <v>4.2900000000000001E-2</v>
      </c>
      <c r="F154" s="23">
        <v>4.6600000000000003E-2</v>
      </c>
      <c r="G154" s="89">
        <v>71408</v>
      </c>
    </row>
    <row r="155" spans="1:7" x14ac:dyDescent="0.35">
      <c r="A155" s="81">
        <v>46176</v>
      </c>
      <c r="B155" s="82">
        <v>4.2799999999999998E-2</v>
      </c>
      <c r="C155" s="23">
        <v>2.47E-2</v>
      </c>
      <c r="D155" s="23">
        <v>4.7E-2</v>
      </c>
      <c r="E155" s="23">
        <v>4.4900000000000002E-2</v>
      </c>
      <c r="F155" s="23">
        <v>5.2600000000000001E-2</v>
      </c>
      <c r="G155" s="89">
        <v>66761</v>
      </c>
    </row>
    <row r="156" spans="1:7" x14ac:dyDescent="0.35">
      <c r="A156" s="81">
        <v>46177</v>
      </c>
      <c r="B156" s="82">
        <v>4.0500000000000001E-2</v>
      </c>
      <c r="C156" s="23">
        <v>2.47E-2</v>
      </c>
      <c r="D156" s="23">
        <v>5.0200000000000002E-2</v>
      </c>
      <c r="E156" s="23">
        <v>4.8000000000000001E-2</v>
      </c>
      <c r="F156" s="23">
        <v>5.28E-2</v>
      </c>
      <c r="G156" s="89">
        <v>64143</v>
      </c>
    </row>
    <row r="157" spans="1:7" x14ac:dyDescent="0.35">
      <c r="A157" s="81">
        <v>46178</v>
      </c>
      <c r="B157" s="82">
        <v>4.0500000000000001E-2</v>
      </c>
      <c r="C157" s="23">
        <v>2.47E-2</v>
      </c>
      <c r="D157" s="23">
        <v>4.4600000000000001E-2</v>
      </c>
      <c r="E157" s="23">
        <v>4.2599999999999999E-2</v>
      </c>
      <c r="F157" s="23">
        <v>5.4800000000000001E-2</v>
      </c>
      <c r="G157" s="89">
        <v>63885</v>
      </c>
    </row>
    <row r="158" spans="1:7" x14ac:dyDescent="0.35">
      <c r="A158" s="81">
        <v>46179</v>
      </c>
      <c r="B158" s="82">
        <v>3.7900000000000003E-2</v>
      </c>
      <c r="C158" s="23">
        <v>2.47E-2</v>
      </c>
      <c r="D158" s="23">
        <v>4.24E-2</v>
      </c>
      <c r="E158" s="23">
        <v>4.0500000000000001E-2</v>
      </c>
      <c r="F158" s="23">
        <v>4.7E-2</v>
      </c>
      <c r="G158" s="89">
        <v>61057</v>
      </c>
    </row>
    <row r="159" spans="1:7" x14ac:dyDescent="0.35">
      <c r="A159" s="81">
        <v>46180</v>
      </c>
      <c r="B159" s="82">
        <v>3.6799999999999999E-2</v>
      </c>
      <c r="C159" s="23">
        <v>2.47E-2</v>
      </c>
      <c r="D159" s="23">
        <v>4.0500000000000001E-2</v>
      </c>
      <c r="E159" s="23">
        <v>3.8699999999999998E-2</v>
      </c>
      <c r="F159" s="23">
        <v>4.4999999999999998E-2</v>
      </c>
      <c r="G159" s="89">
        <v>60885</v>
      </c>
    </row>
    <row r="160" spans="1:7" x14ac:dyDescent="0.35">
      <c r="A160" s="81">
        <v>46181</v>
      </c>
      <c r="B160" s="82">
        <v>3.6299999999999999E-2</v>
      </c>
      <c r="C160" s="23">
        <v>2.47E-2</v>
      </c>
      <c r="D160" s="23">
        <v>3.9899999999999998E-2</v>
      </c>
      <c r="E160" s="23">
        <v>3.8100000000000002E-2</v>
      </c>
      <c r="F160" s="23">
        <v>4.3700000000000003E-2</v>
      </c>
      <c r="G160" s="89">
        <v>63332</v>
      </c>
    </row>
    <row r="161" spans="1:7" x14ac:dyDescent="0.35">
      <c r="A161" s="81">
        <v>46182</v>
      </c>
      <c r="B161" s="82">
        <v>3.6299999999999999E-2</v>
      </c>
      <c r="C161" s="23">
        <v>2.47E-2</v>
      </c>
      <c r="D161" s="23">
        <v>3.9899999999999998E-2</v>
      </c>
      <c r="E161" s="23">
        <v>3.8100000000000002E-2</v>
      </c>
      <c r="F161" s="23">
        <v>4.2700000000000002E-2</v>
      </c>
      <c r="G161" s="89">
        <v>61685</v>
      </c>
    </row>
    <row r="162" spans="1:7" x14ac:dyDescent="0.35">
      <c r="A162" s="81">
        <v>46183</v>
      </c>
      <c r="B162" s="82">
        <v>3.6700000000000003E-2</v>
      </c>
      <c r="C162" s="23">
        <v>2.47E-2</v>
      </c>
      <c r="D162" s="23">
        <v>4.0399999999999998E-2</v>
      </c>
      <c r="E162" s="23">
        <v>3.8600000000000002E-2</v>
      </c>
      <c r="F162" s="23">
        <v>4.3499999999999997E-2</v>
      </c>
      <c r="G162" s="89">
        <v>61509</v>
      </c>
    </row>
    <row r="163" spans="1:7" x14ac:dyDescent="0.35">
      <c r="A163" s="81">
        <v>46184</v>
      </c>
      <c r="B163" s="82">
        <v>3.6600000000000001E-2</v>
      </c>
      <c r="C163" s="23">
        <v>2.47E-2</v>
      </c>
      <c r="D163" s="23">
        <v>4.02E-2</v>
      </c>
      <c r="E163" s="23">
        <v>3.8399999999999997E-2</v>
      </c>
      <c r="F163" s="23">
        <v>4.4699999999999997E-2</v>
      </c>
      <c r="G163" s="89">
        <v>63612</v>
      </c>
    </row>
    <row r="164" spans="1:7" x14ac:dyDescent="0.35">
      <c r="A164" s="81">
        <v>46185</v>
      </c>
      <c r="B164" s="82">
        <v>3.5900000000000001E-2</v>
      </c>
      <c r="C164" s="23">
        <v>2.47E-2</v>
      </c>
      <c r="D164" s="23">
        <v>3.95E-2</v>
      </c>
      <c r="E164" s="23">
        <v>3.78E-2</v>
      </c>
      <c r="F164" s="23">
        <v>4.3700000000000003E-2</v>
      </c>
      <c r="G164" s="89">
        <v>63626</v>
      </c>
    </row>
    <row r="165" spans="1:7" x14ac:dyDescent="0.35">
      <c r="A165" s="81">
        <v>46186</v>
      </c>
      <c r="B165" s="82">
        <v>3.5400000000000001E-2</v>
      </c>
      <c r="C165" s="23">
        <v>2.47E-2</v>
      </c>
      <c r="D165" s="23">
        <v>3.9E-2</v>
      </c>
      <c r="E165" s="23">
        <v>3.7199999999999997E-2</v>
      </c>
      <c r="F165" s="23">
        <v>4.0500000000000001E-2</v>
      </c>
      <c r="G165" s="89">
        <v>63580</v>
      </c>
    </row>
    <row r="166" spans="1:7" x14ac:dyDescent="0.35">
      <c r="A166" s="81">
        <v>46187</v>
      </c>
      <c r="B166" s="82">
        <v>3.3799999999999997E-2</v>
      </c>
      <c r="C166" s="23">
        <v>2.47E-2</v>
      </c>
      <c r="D166" s="23">
        <v>3.7199999999999997E-2</v>
      </c>
      <c r="E166" s="23">
        <v>3.56E-2</v>
      </c>
      <c r="F166" s="23">
        <v>4.1399999999999999E-2</v>
      </c>
      <c r="G166" s="89">
        <v>64459</v>
      </c>
    </row>
    <row r="167" spans="1:7" x14ac:dyDescent="0.35">
      <c r="A167" s="81">
        <v>46188</v>
      </c>
      <c r="B167" s="82">
        <v>3.4299999999999997E-2</v>
      </c>
      <c r="C167" s="23">
        <v>2.47E-2</v>
      </c>
      <c r="D167" s="23">
        <v>3.73E-2</v>
      </c>
      <c r="E167" s="23">
        <v>3.5700000000000003E-2</v>
      </c>
      <c r="F167" s="23">
        <v>4.1000000000000002E-2</v>
      </c>
      <c r="G167" s="89">
        <v>66515</v>
      </c>
    </row>
    <row r="168" spans="1:7" x14ac:dyDescent="0.35">
      <c r="A168" s="81">
        <v>46189</v>
      </c>
      <c r="B168" s="82">
        <v>3.4299999999999997E-2</v>
      </c>
      <c r="C168" s="23">
        <v>2.47E-2</v>
      </c>
      <c r="D168" s="23">
        <v>3.6600000000000001E-2</v>
      </c>
      <c r="E168" s="23">
        <v>3.5000000000000003E-2</v>
      </c>
      <c r="F168" s="23">
        <v>4.2299999999999997E-2</v>
      </c>
      <c r="G168" s="89">
        <v>66328</v>
      </c>
    </row>
    <row r="169" spans="1:7" x14ac:dyDescent="0.35">
      <c r="A169" s="81">
        <v>46190</v>
      </c>
      <c r="B169" s="82">
        <v>3.3399999999999999E-2</v>
      </c>
      <c r="C169" s="23">
        <v>2.47E-2</v>
      </c>
      <c r="D169" s="23">
        <v>3.6700000000000003E-2</v>
      </c>
      <c r="E169" s="23">
        <v>3.5099999999999999E-2</v>
      </c>
      <c r="F169" s="23">
        <v>4.41E-2</v>
      </c>
      <c r="G169" s="89">
        <v>65676</v>
      </c>
    </row>
    <row r="170" spans="1:7" x14ac:dyDescent="0.35">
      <c r="A170" s="81">
        <v>46191</v>
      </c>
      <c r="B170" s="82">
        <v>3.2899999999999999E-2</v>
      </c>
      <c r="C170" s="23">
        <v>2.47E-2</v>
      </c>
      <c r="D170" s="23">
        <v>3.6200000000000003E-2</v>
      </c>
      <c r="E170" s="23">
        <v>3.4599999999999999E-2</v>
      </c>
      <c r="F170" s="23">
        <v>4.2599999999999999E-2</v>
      </c>
      <c r="G170" s="89">
        <v>64510</v>
      </c>
    </row>
    <row r="171" spans="1:7" x14ac:dyDescent="0.35">
      <c r="A171" s="81">
        <v>46192</v>
      </c>
      <c r="B171" s="82">
        <v>3.1800000000000002E-2</v>
      </c>
      <c r="C171" s="23">
        <v>2.47E-2</v>
      </c>
      <c r="D171" s="23">
        <v>3.5000000000000003E-2</v>
      </c>
      <c r="E171" s="23">
        <v>3.3500000000000002E-2</v>
      </c>
      <c r="F171" s="23">
        <v>4.5400000000000003E-2</v>
      </c>
      <c r="G171" s="89">
        <v>62960</v>
      </c>
    </row>
    <row r="172" spans="1:7" x14ac:dyDescent="0.35">
      <c r="A172" s="81">
        <v>46193</v>
      </c>
      <c r="B172" s="82">
        <v>3.0800000000000001E-2</v>
      </c>
      <c r="C172" s="23">
        <v>2.47E-2</v>
      </c>
      <c r="D172" s="23">
        <v>3.39E-2</v>
      </c>
      <c r="E172" s="23">
        <v>3.2399999999999998E-2</v>
      </c>
      <c r="F172" s="23">
        <v>3.9300000000000002E-2</v>
      </c>
      <c r="G172" s="89">
        <v>63544</v>
      </c>
    </row>
    <row r="173" spans="1:7" x14ac:dyDescent="0.35">
      <c r="A173" s="81">
        <v>46194</v>
      </c>
      <c r="B173" s="82">
        <v>3.1300000000000001E-2</v>
      </c>
      <c r="C173" s="23">
        <v>2.47E-2</v>
      </c>
      <c r="D173" s="23">
        <v>3.44E-2</v>
      </c>
      <c r="E173" s="23">
        <v>3.2800000000000003E-2</v>
      </c>
      <c r="F173" s="23">
        <v>3.6499999999999998E-2</v>
      </c>
      <c r="G173" s="89">
        <v>64298</v>
      </c>
    </row>
    <row r="174" spans="1:7" x14ac:dyDescent="0.35">
      <c r="A174" s="81">
        <v>46195</v>
      </c>
      <c r="B174" s="82">
        <v>3.1300000000000001E-2</v>
      </c>
      <c r="C174" s="23">
        <v>2.47E-2</v>
      </c>
      <c r="D174" s="23">
        <v>3.4000000000000002E-2</v>
      </c>
      <c r="E174" s="23">
        <v>3.2500000000000001E-2</v>
      </c>
      <c r="F174" s="23">
        <v>6.13E-2</v>
      </c>
      <c r="G174" s="89">
        <v>63313</v>
      </c>
    </row>
    <row r="175" spans="1:7" x14ac:dyDescent="0.35">
      <c r="A175" s="81">
        <v>46196</v>
      </c>
      <c r="B175" s="82">
        <v>3.27E-2</v>
      </c>
      <c r="C175" s="23">
        <v>2.47E-2</v>
      </c>
      <c r="D175" s="23">
        <v>3.5999999999999997E-2</v>
      </c>
      <c r="E175" s="23">
        <v>3.4500000000000003E-2</v>
      </c>
      <c r="F175" s="23">
        <v>5.7099999999999998E-2</v>
      </c>
      <c r="G175" s="89">
        <v>64021</v>
      </c>
    </row>
    <row r="176" spans="1:7" x14ac:dyDescent="0.35">
      <c r="A176" s="81">
        <v>46197</v>
      </c>
      <c r="B176" s="82">
        <v>3.2800000000000003E-2</v>
      </c>
      <c r="C176" s="23">
        <v>2.47E-2</v>
      </c>
      <c r="D176" s="23">
        <v>3.61E-2</v>
      </c>
      <c r="E176" s="23">
        <v>3.4500000000000003E-2</v>
      </c>
      <c r="F176" s="23">
        <v>6.1899999999999997E-2</v>
      </c>
      <c r="G176" s="89">
        <v>62735</v>
      </c>
    </row>
    <row r="177" spans="1:7" x14ac:dyDescent="0.35">
      <c r="A177" s="81">
        <v>46198</v>
      </c>
      <c r="B177" s="82">
        <v>3.2800000000000003E-2</v>
      </c>
      <c r="C177" s="23">
        <v>2.47E-2</v>
      </c>
      <c r="D177" s="23">
        <v>3.6200000000000003E-2</v>
      </c>
      <c r="E177" s="23">
        <v>3.4599999999999999E-2</v>
      </c>
      <c r="F177" s="23">
        <v>6.0499999999999998E-2</v>
      </c>
      <c r="G177" s="89">
        <v>61079</v>
      </c>
    </row>
    <row r="178" spans="1:7" x14ac:dyDescent="0.35">
      <c r="A178" s="81">
        <v>46199</v>
      </c>
      <c r="B178" s="82">
        <v>3.3099999999999997E-2</v>
      </c>
      <c r="C178" s="23">
        <v>2.47E-2</v>
      </c>
      <c r="D178" s="23">
        <v>3.6400000000000002E-2</v>
      </c>
      <c r="E178" s="23">
        <v>3.4700000000000002E-2</v>
      </c>
      <c r="F178" s="23">
        <v>6.1899999999999997E-2</v>
      </c>
      <c r="G178" s="89">
        <v>59795</v>
      </c>
    </row>
    <row r="179" spans="1:7" x14ac:dyDescent="0.35">
      <c r="A179" s="81">
        <v>46200</v>
      </c>
      <c r="B179" s="82">
        <v>3.3300000000000003E-2</v>
      </c>
      <c r="C179" s="23">
        <v>2.47E-2</v>
      </c>
      <c r="D179" s="23">
        <v>3.6600000000000001E-2</v>
      </c>
      <c r="E179" s="23">
        <v>3.5000000000000003E-2</v>
      </c>
      <c r="F179" s="23">
        <v>6.2199999999999998E-2</v>
      </c>
      <c r="G179" s="89">
        <v>60098</v>
      </c>
    </row>
    <row r="180" spans="1:7" x14ac:dyDescent="0.35">
      <c r="A180" s="81">
        <v>46201</v>
      </c>
      <c r="B180" s="82">
        <v>3.2599999999999997E-2</v>
      </c>
      <c r="C180" s="23">
        <v>2.47E-2</v>
      </c>
      <c r="D180" s="23">
        <v>3.5799999999999998E-2</v>
      </c>
      <c r="E180" s="23">
        <v>3.4299999999999997E-2</v>
      </c>
      <c r="F180" s="23">
        <v>6.2100000000000002E-2</v>
      </c>
      <c r="G180" s="89">
        <v>59578</v>
      </c>
    </row>
    <row r="181" spans="1:7" x14ac:dyDescent="0.35">
      <c r="A181" s="81">
        <v>46202</v>
      </c>
      <c r="B181" s="82">
        <v>3.2599999999999997E-2</v>
      </c>
      <c r="C181" s="23">
        <v>2.47E-2</v>
      </c>
      <c r="D181" s="23">
        <v>3.5700000000000003E-2</v>
      </c>
      <c r="E181" s="23">
        <v>3.4200000000000001E-2</v>
      </c>
      <c r="F181" s="23">
        <v>6.1600000000000002E-2</v>
      </c>
      <c r="G181" s="89">
        <v>60030</v>
      </c>
    </row>
    <row r="182" spans="1:7" x14ac:dyDescent="0.35">
      <c r="A182" s="81">
        <v>46203</v>
      </c>
      <c r="B182" s="82">
        <v>3.5400000000000001E-2</v>
      </c>
      <c r="C182" s="23">
        <v>2.47E-2</v>
      </c>
      <c r="D182" s="23">
        <v>3.8600000000000002E-2</v>
      </c>
      <c r="E182" s="23">
        <v>3.6799999999999999E-2</v>
      </c>
      <c r="F182" s="23">
        <v>5.0599999999999999E-2</v>
      </c>
      <c r="G182" s="89">
        <v>60261</v>
      </c>
    </row>
    <row r="183" spans="1:7" x14ac:dyDescent="0.35">
      <c r="A183" s="81">
        <v>46204</v>
      </c>
      <c r="B183" s="82">
        <v>3.5700000000000003E-2</v>
      </c>
      <c r="C183" s="23">
        <v>2.47E-2</v>
      </c>
      <c r="D183" s="23">
        <v>3.8800000000000001E-2</v>
      </c>
      <c r="E183" s="23">
        <v>3.7100000000000001E-2</v>
      </c>
      <c r="F183" s="23">
        <v>5.57E-2</v>
      </c>
      <c r="G183" s="89">
        <v>58625</v>
      </c>
    </row>
    <row r="184" spans="1:7" x14ac:dyDescent="0.35">
      <c r="A184" s="81">
        <v>46205</v>
      </c>
      <c r="B184" s="82">
        <v>3.6700000000000003E-2</v>
      </c>
      <c r="C184" s="23">
        <v>2.47E-2</v>
      </c>
      <c r="D184" s="23">
        <v>3.95E-2</v>
      </c>
      <c r="E184" s="23">
        <v>3.78E-2</v>
      </c>
      <c r="F184" s="23">
        <v>4.1700000000000001E-2</v>
      </c>
      <c r="G184" s="89">
        <v>60025</v>
      </c>
    </row>
    <row r="185" spans="1:7" x14ac:dyDescent="0.35">
      <c r="A185" s="81">
        <v>46206</v>
      </c>
      <c r="B185" s="82">
        <v>3.6999999999999998E-2</v>
      </c>
      <c r="C185" s="23">
        <v>2.47E-2</v>
      </c>
      <c r="D185" s="23">
        <v>4.07E-2</v>
      </c>
      <c r="E185" s="23">
        <v>3.8899999999999997E-2</v>
      </c>
      <c r="F185" s="23">
        <v>4.3200000000000002E-2</v>
      </c>
      <c r="G185" s="89">
        <v>61561</v>
      </c>
    </row>
    <row r="186" spans="1:7" x14ac:dyDescent="0.35">
      <c r="A186" s="81">
        <v>46207</v>
      </c>
      <c r="B186" s="82">
        <v>3.6200000000000003E-2</v>
      </c>
      <c r="C186" s="23">
        <v>2.47E-2</v>
      </c>
      <c r="D186" s="23">
        <v>3.9899999999999998E-2</v>
      </c>
      <c r="E186" s="23">
        <v>3.8100000000000002E-2</v>
      </c>
      <c r="F186" s="23">
        <v>4.24E-2</v>
      </c>
      <c r="G186" s="89">
        <v>62584</v>
      </c>
    </row>
    <row r="187" spans="1:7" x14ac:dyDescent="0.35">
      <c r="A187" s="81">
        <v>46208</v>
      </c>
      <c r="B187" s="82">
        <v>3.6900000000000002E-2</v>
      </c>
      <c r="C187" s="23">
        <v>2.47E-2</v>
      </c>
      <c r="D187" s="23">
        <v>4.0099999999999997E-2</v>
      </c>
      <c r="E187" s="23">
        <v>3.8399999999999997E-2</v>
      </c>
      <c r="F187" s="23">
        <v>4.3499999999999997E-2</v>
      </c>
      <c r="G187" s="89">
        <v>63145</v>
      </c>
    </row>
    <row r="188" spans="1:7" x14ac:dyDescent="0.35">
      <c r="A188" s="81">
        <v>46209</v>
      </c>
      <c r="B188" s="82">
        <v>3.6299999999999999E-2</v>
      </c>
      <c r="C188" s="23">
        <v>2.47E-2</v>
      </c>
      <c r="D188" s="23">
        <v>3.9899999999999998E-2</v>
      </c>
      <c r="E188" s="23">
        <v>3.8100000000000002E-2</v>
      </c>
      <c r="F188" s="23">
        <v>4.3700000000000003E-2</v>
      </c>
      <c r="G188" s="89">
        <v>63651</v>
      </c>
    </row>
    <row r="189" spans="1:7" x14ac:dyDescent="0.35">
      <c r="A189" s="81">
        <v>46210</v>
      </c>
      <c r="B189" s="82">
        <v>3.7499999999999999E-2</v>
      </c>
      <c r="C189" s="23">
        <v>2.47E-2</v>
      </c>
      <c r="D189" s="23">
        <v>4.1300000000000003E-2</v>
      </c>
      <c r="E189" s="23">
        <v>3.95E-2</v>
      </c>
      <c r="F189" s="23">
        <v>4.4999999999999998E-2</v>
      </c>
      <c r="G189" s="89">
        <v>63331</v>
      </c>
    </row>
    <row r="190" spans="1:7" x14ac:dyDescent="0.35">
      <c r="A190" s="81">
        <v>46211</v>
      </c>
      <c r="B190" s="82">
        <v>3.8100000000000002E-2</v>
      </c>
      <c r="C190" s="23">
        <v>2.47E-2</v>
      </c>
      <c r="D190" s="23">
        <v>4.19E-2</v>
      </c>
      <c r="E190" s="23">
        <v>4.0099999999999997E-2</v>
      </c>
      <c r="F190" s="23">
        <v>4.5499999999999999E-2</v>
      </c>
      <c r="G190" s="89">
        <v>63365</v>
      </c>
    </row>
    <row r="191" spans="1:7" x14ac:dyDescent="0.35">
      <c r="A191" s="81">
        <v>46212</v>
      </c>
      <c r="B191" s="82">
        <v>3.7100000000000001E-2</v>
      </c>
      <c r="C191" s="23">
        <v>2.47E-2</v>
      </c>
      <c r="D191" s="23">
        <v>4.0800000000000003E-2</v>
      </c>
      <c r="E191" s="23">
        <v>3.8899999999999997E-2</v>
      </c>
      <c r="F191" s="23">
        <v>4.5499999999999999E-2</v>
      </c>
      <c r="G191" s="89">
        <v>62291</v>
      </c>
    </row>
    <row r="192" spans="1:7" x14ac:dyDescent="0.35">
      <c r="A192" s="81">
        <v>46213</v>
      </c>
      <c r="B192" s="82">
        <v>3.6400000000000002E-2</v>
      </c>
      <c r="C192" s="23">
        <v>2.47E-2</v>
      </c>
      <c r="D192" s="23">
        <v>3.9399999999999998E-2</v>
      </c>
      <c r="E192" s="23">
        <v>3.78E-2</v>
      </c>
      <c r="F192" s="23">
        <v>4.5199999999999997E-2</v>
      </c>
      <c r="G192" s="89">
        <v>64231</v>
      </c>
    </row>
    <row r="193" spans="1:7" x14ac:dyDescent="0.35">
      <c r="A193" s="81">
        <v>46214</v>
      </c>
      <c r="B193" s="82">
        <v>3.6999999999999998E-2</v>
      </c>
      <c r="C193" s="23">
        <v>2.47E-2</v>
      </c>
      <c r="D193" s="23">
        <v>4.07E-2</v>
      </c>
      <c r="E193" s="23">
        <v>3.8899999999999997E-2</v>
      </c>
      <c r="F193" s="23">
        <v>4.3799999999999999E-2</v>
      </c>
      <c r="G193" s="89">
        <v>64161</v>
      </c>
    </row>
    <row r="194" spans="1:7" x14ac:dyDescent="0.35">
      <c r="A194" s="81">
        <v>46215</v>
      </c>
      <c r="B194" s="82">
        <v>3.6799999999999999E-2</v>
      </c>
      <c r="C194" s="23">
        <v>2.47E-2</v>
      </c>
      <c r="D194" s="23">
        <v>0.04</v>
      </c>
      <c r="E194" s="23">
        <v>3.8199999999999998E-2</v>
      </c>
      <c r="F194" s="23">
        <v>4.5900000000000003E-2</v>
      </c>
      <c r="G194" s="89">
        <v>63819</v>
      </c>
    </row>
    <row r="195" spans="1:7" x14ac:dyDescent="0.35">
      <c r="A195" s="81">
        <v>46216</v>
      </c>
      <c r="B195" s="82">
        <v>3.5900000000000001E-2</v>
      </c>
      <c r="C195" s="23">
        <v>2.47E-2</v>
      </c>
      <c r="D195" s="23">
        <v>3.95E-2</v>
      </c>
      <c r="E195" s="23">
        <v>3.78E-2</v>
      </c>
      <c r="F195" s="23">
        <v>4.4600000000000001E-2</v>
      </c>
      <c r="G195" s="89">
        <v>63781</v>
      </c>
    </row>
    <row r="196" spans="1:7" x14ac:dyDescent="0.35">
      <c r="A196" s="81">
        <v>46217</v>
      </c>
      <c r="B196" s="82">
        <v>3.73E-2</v>
      </c>
      <c r="C196" s="23">
        <v>2.47E-2</v>
      </c>
      <c r="D196" s="23">
        <v>4.0599999999999997E-2</v>
      </c>
      <c r="E196" s="23">
        <v>3.8800000000000001E-2</v>
      </c>
      <c r="F196" s="23">
        <v>4.3299999999999998E-2</v>
      </c>
      <c r="G196" s="89">
        <v>62335</v>
      </c>
    </row>
    <row r="197" spans="1:7" x14ac:dyDescent="0.35">
      <c r="A197" s="81">
        <v>46218</v>
      </c>
      <c r="B197" s="82">
        <v>3.7400000000000003E-2</v>
      </c>
      <c r="C197" s="23">
        <v>2.47E-2</v>
      </c>
      <c r="D197" s="23">
        <v>4.0300000000000002E-2</v>
      </c>
      <c r="E197" s="23">
        <v>3.85E-2</v>
      </c>
      <c r="F197" s="23">
        <v>4.4299999999999999E-2</v>
      </c>
      <c r="G197" s="89">
        <v>65044</v>
      </c>
    </row>
    <row r="198" spans="1:7" x14ac:dyDescent="0.35">
      <c r="A198" s="81">
        <v>46219</v>
      </c>
      <c r="B198" s="82">
        <v>3.7900000000000003E-2</v>
      </c>
      <c r="C198" s="23">
        <v>2.47E-2</v>
      </c>
      <c r="D198" s="23">
        <v>4.1700000000000001E-2</v>
      </c>
      <c r="E198" s="23">
        <v>3.9899999999999998E-2</v>
      </c>
      <c r="F198" s="23">
        <v>4.65E-2</v>
      </c>
      <c r="G198" s="89">
        <v>63831</v>
      </c>
    </row>
    <row r="199" spans="1:7" x14ac:dyDescent="0.35">
      <c r="A199" s="81">
        <v>46220</v>
      </c>
      <c r="B199" s="82">
        <v>3.7499999999999999E-2</v>
      </c>
      <c r="C199" s="23">
        <v>2.47E-2</v>
      </c>
      <c r="D199" s="23">
        <v>4.1200000000000001E-2</v>
      </c>
      <c r="E199" s="23">
        <v>3.9300000000000002E-2</v>
      </c>
      <c r="F199" s="23">
        <v>4.5900000000000003E-2</v>
      </c>
      <c r="G199" s="89">
        <v>63831</v>
      </c>
    </row>
    <row r="200" spans="1:7" x14ac:dyDescent="0.35">
      <c r="A200" s="81">
        <v>46221</v>
      </c>
      <c r="B200" s="82">
        <v>3.6299999999999999E-2</v>
      </c>
      <c r="C200" s="23">
        <v>2.47E-2</v>
      </c>
      <c r="D200" s="23">
        <v>3.9899999999999998E-2</v>
      </c>
      <c r="E200" s="23">
        <v>3.8100000000000002E-2</v>
      </c>
      <c r="F200" s="23">
        <v>4.3900000000000002E-2</v>
      </c>
      <c r="G200" s="89">
        <v>63932</v>
      </c>
    </row>
    <row r="201" spans="1:7" x14ac:dyDescent="0.35">
      <c r="A201" s="81">
        <v>46222</v>
      </c>
      <c r="B201" s="82">
        <v>3.5900000000000001E-2</v>
      </c>
      <c r="C201" s="23">
        <v>2.47E-2</v>
      </c>
      <c r="D201" s="23">
        <v>3.95E-2</v>
      </c>
      <c r="E201" s="23">
        <v>3.78E-2</v>
      </c>
      <c r="F201" s="23">
        <v>4.3700000000000003E-2</v>
      </c>
      <c r="G201" s="89">
        <v>64835</v>
      </c>
    </row>
    <row r="202" spans="1:7" x14ac:dyDescent="0.35">
      <c r="A202" s="81">
        <v>46223</v>
      </c>
      <c r="B202" s="82">
        <v>3.6600000000000001E-2</v>
      </c>
      <c r="C202" s="23">
        <v>2.47E-2</v>
      </c>
      <c r="D202" s="23">
        <v>3.95E-2</v>
      </c>
      <c r="E202" s="23">
        <v>3.78E-2</v>
      </c>
      <c r="F202" s="23">
        <v>4.3099999999999999E-2</v>
      </c>
      <c r="G202" s="89">
        <v>64723</v>
      </c>
    </row>
    <row r="203" spans="1:7" x14ac:dyDescent="0.35">
      <c r="A203" s="81">
        <v>46224</v>
      </c>
      <c r="B203" s="82">
        <v>3.6799999999999999E-2</v>
      </c>
      <c r="C203" s="23">
        <v>2.47E-2</v>
      </c>
      <c r="D203" s="23">
        <v>4.0500000000000001E-2</v>
      </c>
      <c r="E203" s="23">
        <v>3.78E-2</v>
      </c>
      <c r="F203" s="23">
        <v>4.24E-2</v>
      </c>
      <c r="G203" s="89">
        <v>65256</v>
      </c>
    </row>
    <row r="204" spans="1:7" x14ac:dyDescent="0.35">
      <c r="A204" s="81">
        <v>46225</v>
      </c>
      <c r="B204" s="82">
        <v>3.7600000000000001E-2</v>
      </c>
      <c r="C204" s="23">
        <v>2.47E-2</v>
      </c>
      <c r="D204" s="23">
        <v>4.1300000000000003E-2</v>
      </c>
      <c r="E204" s="23">
        <v>3.78E-2</v>
      </c>
      <c r="F204" s="23">
        <v>4.4999999999999998E-2</v>
      </c>
      <c r="G204" s="89">
        <v>66556</v>
      </c>
    </row>
    <row r="205" spans="1:7" x14ac:dyDescent="0.35">
      <c r="A205" s="81">
        <v>46226</v>
      </c>
      <c r="B205" s="82">
        <v>3.8100000000000002E-2</v>
      </c>
      <c r="C205" s="23">
        <v>2.47E-2</v>
      </c>
      <c r="D205" s="23">
        <v>4.19E-2</v>
      </c>
      <c r="E205" s="23">
        <v>3.78E-2</v>
      </c>
      <c r="F205" s="23">
        <v>4.48E-2</v>
      </c>
      <c r="G205" s="89">
        <v>66115</v>
      </c>
    </row>
    <row r="206" spans="1:7" x14ac:dyDescent="0.35">
      <c r="A206" s="81">
        <v>46227</v>
      </c>
      <c r="B206" s="82">
        <v>3.8100000000000002E-2</v>
      </c>
      <c r="C206" s="23">
        <v>2.47E-2</v>
      </c>
      <c r="D206" s="23">
        <v>4.2200000000000001E-2</v>
      </c>
      <c r="E206" s="23">
        <v>3.78E-2</v>
      </c>
      <c r="F206" s="23">
        <v>4.58E-2</v>
      </c>
      <c r="G206" s="89">
        <v>64140</v>
      </c>
    </row>
    <row r="207" spans="1:7" x14ac:dyDescent="0.35">
      <c r="A207" s="81">
        <v>46228</v>
      </c>
      <c r="B207" s="82">
        <v>3.7900000000000003E-2</v>
      </c>
      <c r="C207" s="23">
        <v>2.47E-2</v>
      </c>
      <c r="D207" s="23">
        <v>4.1700000000000001E-2</v>
      </c>
      <c r="E207" s="23">
        <v>3.78E-2</v>
      </c>
      <c r="F207" s="23">
        <v>4.5999999999999999E-2</v>
      </c>
      <c r="G207" s="89">
        <v>64100</v>
      </c>
    </row>
    <row r="208" spans="1:7" x14ac:dyDescent="0.35">
      <c r="A208" s="81">
        <v>46229</v>
      </c>
      <c r="B208" s="82">
        <v>3.7699999999999997E-2</v>
      </c>
      <c r="C208" s="23">
        <v>2.47E-2</v>
      </c>
      <c r="D208" s="23">
        <v>4.1500000000000002E-2</v>
      </c>
      <c r="E208" s="23">
        <v>3.78E-2</v>
      </c>
      <c r="F208" s="23">
        <v>4.5499999999999999E-2</v>
      </c>
      <c r="G208" s="89">
        <v>64377</v>
      </c>
    </row>
    <row r="209" spans="1:7" x14ac:dyDescent="0.35">
      <c r="A209" s="81">
        <v>46230</v>
      </c>
      <c r="B209" s="82">
        <v>3.8199999999999998E-2</v>
      </c>
      <c r="C209" s="23">
        <v>2.47E-2</v>
      </c>
      <c r="D209" s="23">
        <v>4.1500000000000002E-2</v>
      </c>
      <c r="E209" s="23">
        <v>3.78E-2</v>
      </c>
      <c r="F209" s="23">
        <v>4.4699999999999997E-2</v>
      </c>
      <c r="G209" s="89">
        <v>65400</v>
      </c>
    </row>
    <row r="210" spans="1:7" x14ac:dyDescent="0.35">
      <c r="A210" s="81">
        <v>46231</v>
      </c>
      <c r="B210" s="82">
        <v>3.7400000000000003E-2</v>
      </c>
      <c r="C210" s="23">
        <v>2.47E-2</v>
      </c>
      <c r="D210" s="23">
        <v>4.1099999999999998E-2</v>
      </c>
      <c r="E210" s="23">
        <v>3.9300000000000002E-2</v>
      </c>
      <c r="F210" s="23">
        <v>4.6300000000000001E-2</v>
      </c>
      <c r="G210" s="89"/>
    </row>
    <row r="211" spans="1:7" x14ac:dyDescent="0.35">
      <c r="A211" s="81">
        <v>46232</v>
      </c>
      <c r="B211" s="82"/>
      <c r="C211" s="23"/>
      <c r="D211" s="23"/>
      <c r="E211" s="23"/>
      <c r="F211" s="23"/>
      <c r="G211" s="89"/>
    </row>
    <row r="212" spans="1:7" x14ac:dyDescent="0.35">
      <c r="A212" s="81">
        <v>46233</v>
      </c>
      <c r="B212" s="82"/>
      <c r="C212" s="23"/>
      <c r="D212" s="23"/>
      <c r="E212" s="23"/>
      <c r="F212" s="23"/>
      <c r="G212" s="89"/>
    </row>
    <row r="213" spans="1:7" x14ac:dyDescent="0.35">
      <c r="A213" s="81">
        <v>46234</v>
      </c>
      <c r="B213" s="82"/>
      <c r="C213" s="23"/>
      <c r="D213" s="23"/>
      <c r="E213" s="23"/>
      <c r="F213" s="23"/>
      <c r="G213" s="89"/>
    </row>
    <row r="214" spans="1:7" x14ac:dyDescent="0.35">
      <c r="A214" s="81">
        <v>46235</v>
      </c>
      <c r="B214" s="82"/>
      <c r="C214" s="23"/>
      <c r="D214" s="23"/>
      <c r="E214" s="23"/>
      <c r="F214" s="23"/>
      <c r="G214" s="89"/>
    </row>
    <row r="1048576" spans="3:3" x14ac:dyDescent="0.35">
      <c r="C1048576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138" zoomScaleNormal="100" workbookViewId="0">
      <selection activeCell="AT158" sqref="AT158:AZ158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9062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90625" bestFit="1" customWidth="1"/>
    <col min="37" max="37" width="10.54296875" bestFit="1" customWidth="1"/>
    <col min="38" max="38" width="8.26953125" bestFit="1" customWidth="1"/>
    <col min="39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0" width="6.1796875" bestFit="1" customWidth="1"/>
    <col min="51" max="51" width="7.726562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3" t="s">
        <v>12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5"/>
      <c r="S1" s="93" t="s">
        <v>15</v>
      </c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5"/>
      <c r="AK1" s="93" t="s">
        <v>16</v>
      </c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5"/>
      <c r="BC1" s="93" t="s">
        <v>17</v>
      </c>
      <c r="BD1" s="94"/>
      <c r="BE1" s="94"/>
      <c r="BF1" s="94"/>
      <c r="BG1" s="94"/>
      <c r="BH1" s="94"/>
      <c r="BI1" s="94"/>
      <c r="BJ1" s="94"/>
      <c r="BK1" s="94"/>
      <c r="BL1" s="94"/>
      <c r="BM1" s="94"/>
      <c r="BN1" s="94"/>
      <c r="BO1" s="94"/>
      <c r="BP1" s="94"/>
      <c r="BQ1" s="94"/>
      <c r="BR1" s="95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5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5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5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5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5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5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5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5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5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5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5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5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5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5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5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5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5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5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5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5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5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5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5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5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5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5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5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5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5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5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5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5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5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5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5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5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5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5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5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>
        <v>3.3799999999999997E-2</v>
      </c>
      <c r="Q92" s="85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>
        <v>2.5000000000000001E-2</v>
      </c>
      <c r="AI92" s="13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4">
        <v>0.04</v>
      </c>
      <c r="AU92" s="14">
        <v>3.49E-2</v>
      </c>
      <c r="AV92" s="14">
        <v>3.5000000000000003E-2</v>
      </c>
      <c r="AW92" s="14">
        <v>4.99E-2</v>
      </c>
      <c r="AX92" s="14">
        <v>4.9000000000000002E-2</v>
      </c>
      <c r="AY92" s="14">
        <v>4.7699999999999999E-2</v>
      </c>
      <c r="AZ92" s="14">
        <v>3.6999999999999998E-2</v>
      </c>
      <c r="BA92" s="13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8">
        <v>4.1000000000000002E-2</v>
      </c>
      <c r="BM92" s="1"/>
      <c r="BN92" s="58">
        <v>4.9299999999999997E-2</v>
      </c>
      <c r="BO92" s="1"/>
      <c r="BP92" s="1"/>
      <c r="BQ92" s="1"/>
      <c r="BR92" s="58">
        <v>3.39E-2</v>
      </c>
      <c r="BS92" s="13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>
        <v>3.4200000000000001E-2</v>
      </c>
      <c r="Q93" s="85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>
        <v>2.5000000000000001E-2</v>
      </c>
      <c r="AI93" s="13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4">
        <v>0.04</v>
      </c>
      <c r="AU93" s="14">
        <v>3.49E-2</v>
      </c>
      <c r="AV93" s="14">
        <v>3.5000000000000003E-2</v>
      </c>
      <c r="AW93" s="14">
        <v>4.99E-2</v>
      </c>
      <c r="AX93" s="14">
        <v>4.9000000000000002E-2</v>
      </c>
      <c r="AY93" s="14">
        <v>4.7699999999999999E-2</v>
      </c>
      <c r="AZ93" s="14">
        <v>3.6999999999999998E-2</v>
      </c>
      <c r="BA93" s="13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8">
        <v>4.1000000000000002E-2</v>
      </c>
      <c r="BM93" s="1"/>
      <c r="BN93" s="58">
        <v>4.9299999999999997E-2</v>
      </c>
      <c r="BO93" s="1"/>
      <c r="BP93" s="1"/>
      <c r="BQ93" s="1"/>
      <c r="BR93" s="58">
        <v>3.3799999999999997E-2</v>
      </c>
      <c r="BS93" s="13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8">
        <v>3.44E-2</v>
      </c>
      <c r="Q94" s="85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8">
        <v>2.5000000000000001E-2</v>
      </c>
      <c r="AI94" s="13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4">
        <v>0.04</v>
      </c>
      <c r="AU94" s="14">
        <v>3.49E-2</v>
      </c>
      <c r="AV94" s="14">
        <v>3.5000000000000003E-2</v>
      </c>
      <c r="AW94" s="14">
        <v>4.99E-2</v>
      </c>
      <c r="AX94" s="14">
        <v>4.9000000000000002E-2</v>
      </c>
      <c r="AY94" s="14">
        <v>4.7699999999999999E-2</v>
      </c>
      <c r="AZ94" s="14">
        <v>3.6999999999999998E-2</v>
      </c>
      <c r="BA94" s="13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8">
        <v>4.1599999999999998E-2</v>
      </c>
      <c r="BM94" s="1"/>
      <c r="BN94" s="58">
        <v>4.99E-2</v>
      </c>
      <c r="BO94" s="1"/>
      <c r="BP94" s="1"/>
      <c r="BQ94" s="1"/>
      <c r="BR94" s="58">
        <v>3.4099999999999998E-2</v>
      </c>
      <c r="BS94" s="13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8">
        <v>3.5499999999999997E-2</v>
      </c>
      <c r="Q95" s="85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8">
        <v>2.5000000000000001E-2</v>
      </c>
      <c r="AI95" s="13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4">
        <v>0.04</v>
      </c>
      <c r="AU95" s="14">
        <v>3.49E-2</v>
      </c>
      <c r="AV95" s="14">
        <v>3.5000000000000003E-2</v>
      </c>
      <c r="AW95" s="14">
        <v>4.99E-2</v>
      </c>
      <c r="AX95" s="14">
        <v>4.9000000000000002E-2</v>
      </c>
      <c r="AY95" s="14">
        <v>4.7699999999999999E-2</v>
      </c>
      <c r="AZ95" s="14">
        <v>3.6999999999999998E-2</v>
      </c>
      <c r="BA95" s="13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8">
        <v>4.2000000000000003E-2</v>
      </c>
      <c r="BM95" s="1"/>
      <c r="BN95" s="58">
        <v>5.2499999999999998E-2</v>
      </c>
      <c r="BO95" s="1"/>
      <c r="BP95" s="1"/>
      <c r="BQ95" s="1"/>
      <c r="BR95" s="58">
        <v>3.5900000000000001E-2</v>
      </c>
      <c r="BS95" s="13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8">
        <v>3.6799999999999999E-2</v>
      </c>
      <c r="Q96" s="85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8">
        <v>2.5000000000000001E-2</v>
      </c>
      <c r="AI96" s="13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4">
        <v>0.04</v>
      </c>
      <c r="AU96" s="14">
        <v>3.49E-2</v>
      </c>
      <c r="AV96" s="14">
        <v>3.5000000000000003E-2</v>
      </c>
      <c r="AW96" s="14">
        <v>4.99E-2</v>
      </c>
      <c r="AX96" s="14">
        <v>4.9000000000000002E-2</v>
      </c>
      <c r="AY96" s="14">
        <v>4.7699999999999999E-2</v>
      </c>
      <c r="AZ96" s="14">
        <v>3.6999999999999998E-2</v>
      </c>
      <c r="BA96" s="13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8">
        <v>4.2000000000000003E-2</v>
      </c>
      <c r="BM96" s="1"/>
      <c r="BN96" s="58">
        <v>5.2499999999999998E-2</v>
      </c>
      <c r="BO96" s="1"/>
      <c r="BP96" s="1"/>
      <c r="BQ96" s="1"/>
      <c r="BR96" s="58">
        <v>3.6999999999999998E-2</v>
      </c>
      <c r="BS96" s="13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8">
        <v>3.7499999999999999E-2</v>
      </c>
      <c r="Q97" s="85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8">
        <v>2.5000000000000001E-2</v>
      </c>
      <c r="AI97" s="13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4">
        <v>0.04</v>
      </c>
      <c r="AU97" s="14">
        <v>3.49E-2</v>
      </c>
      <c r="AV97" s="14">
        <v>3.5000000000000003E-2</v>
      </c>
      <c r="AW97" s="14">
        <v>4.99E-2</v>
      </c>
      <c r="AX97" s="14">
        <v>4.9000000000000002E-2</v>
      </c>
      <c r="AY97" s="14">
        <v>4.7699999999999999E-2</v>
      </c>
      <c r="AZ97" s="14">
        <v>3.6999999999999998E-2</v>
      </c>
      <c r="BA97" s="13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8">
        <v>4.3499999999999997E-2</v>
      </c>
      <c r="BM97" s="1"/>
      <c r="BN97" s="58">
        <v>5.5E-2</v>
      </c>
      <c r="BO97" s="1"/>
      <c r="BP97" s="1"/>
      <c r="BQ97" s="1"/>
      <c r="BR97" s="58">
        <v>3.7999999999999999E-2</v>
      </c>
      <c r="BS97" s="13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8">
        <v>3.85E-2</v>
      </c>
      <c r="Q98" s="85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8">
        <v>2.5000000000000001E-2</v>
      </c>
      <c r="AI98" s="13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4">
        <v>0.04</v>
      </c>
      <c r="AU98" s="14">
        <v>3.49E-2</v>
      </c>
      <c r="AV98" s="14">
        <v>3.5000000000000003E-2</v>
      </c>
      <c r="AW98" s="14">
        <v>4.99E-2</v>
      </c>
      <c r="AX98" s="14">
        <v>4.9000000000000002E-2</v>
      </c>
      <c r="AY98" s="14">
        <v>4.7699999999999999E-2</v>
      </c>
      <c r="AZ98" s="14">
        <v>3.6999999999999998E-2</v>
      </c>
      <c r="BA98" s="13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8">
        <v>4.3499999999999997E-2</v>
      </c>
      <c r="BM98" s="1"/>
      <c r="BN98" s="58">
        <v>5.5E-2</v>
      </c>
      <c r="BO98" s="1"/>
      <c r="BP98" s="1"/>
      <c r="BQ98" s="1"/>
      <c r="BR98" s="58">
        <v>3.8600000000000002E-2</v>
      </c>
      <c r="BS98" s="13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8">
        <v>3.8300000000000001E-2</v>
      </c>
      <c r="Q99" s="85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8">
        <v>2.5000000000000001E-2</v>
      </c>
      <c r="AI99" s="13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4">
        <v>0.04</v>
      </c>
      <c r="AU99" s="14">
        <v>3.49E-2</v>
      </c>
      <c r="AV99" s="14">
        <v>3.5000000000000003E-2</v>
      </c>
      <c r="AW99" s="14">
        <v>4.99E-2</v>
      </c>
      <c r="AX99" s="14">
        <v>4.9000000000000002E-2</v>
      </c>
      <c r="AY99" s="14">
        <v>4.7699999999999999E-2</v>
      </c>
      <c r="AZ99" s="14">
        <v>3.6999999999999998E-2</v>
      </c>
      <c r="BA99" s="13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8">
        <v>4.3499999999999997E-2</v>
      </c>
      <c r="BM99" s="1"/>
      <c r="BN99" s="58">
        <v>5.5E-2</v>
      </c>
      <c r="BO99" s="1"/>
      <c r="BP99" s="1"/>
      <c r="BQ99" s="1"/>
      <c r="BR99" s="58">
        <v>3.8199999999999998E-2</v>
      </c>
      <c r="BS99" s="13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8">
        <v>3.85E-2</v>
      </c>
      <c r="Q100" s="85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8">
        <v>2.5000000000000001E-2</v>
      </c>
      <c r="AI100" s="13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4">
        <v>0.04</v>
      </c>
      <c r="AU100" s="14">
        <v>3.49E-2</v>
      </c>
      <c r="AV100" s="14">
        <v>3.5000000000000003E-2</v>
      </c>
      <c r="AW100" s="14">
        <v>4.99E-2</v>
      </c>
      <c r="AX100" s="14">
        <v>4.9000000000000002E-2</v>
      </c>
      <c r="AY100" s="14">
        <v>4.7699999999999999E-2</v>
      </c>
      <c r="AZ100" s="14">
        <v>3.6999999999999998E-2</v>
      </c>
      <c r="BA100" s="13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8">
        <v>4.7300000000000002E-2</v>
      </c>
      <c r="BM100" s="1"/>
      <c r="BN100" s="58">
        <v>5.67E-2</v>
      </c>
      <c r="BO100" s="1"/>
      <c r="BP100" s="1"/>
      <c r="BQ100" s="1"/>
      <c r="BR100" s="58">
        <v>3.8300000000000001E-2</v>
      </c>
      <c r="BS100" s="13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8">
        <v>3.8600000000000002E-2</v>
      </c>
      <c r="Q101" s="85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8">
        <v>2.5000000000000001E-2</v>
      </c>
      <c r="AI101" s="13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4">
        <v>3.4599999999999999E-2</v>
      </c>
      <c r="AU101" s="14">
        <v>3.49E-2</v>
      </c>
      <c r="AV101" s="14">
        <v>4.99E-2</v>
      </c>
      <c r="AW101" s="14">
        <v>4.8899999999999999E-2</v>
      </c>
      <c r="AX101" s="14">
        <v>4.8899999999999999E-2</v>
      </c>
      <c r="AY101" s="14">
        <v>5.4399999999999997E-2</v>
      </c>
      <c r="AZ101" s="14">
        <v>4.2099999999999999E-2</v>
      </c>
      <c r="BA101" s="13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8">
        <v>4.7300000000000002E-2</v>
      </c>
      <c r="BM101" s="1"/>
      <c r="BN101" s="58">
        <v>5.67E-2</v>
      </c>
      <c r="BO101" s="1"/>
      <c r="BP101" s="1"/>
      <c r="BQ101" s="1"/>
      <c r="BR101" s="58">
        <v>3.95E-2</v>
      </c>
      <c r="BS101" s="13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8">
        <v>4.2500000000000003E-2</v>
      </c>
      <c r="Q102" s="85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8">
        <v>2.5000000000000001E-2</v>
      </c>
      <c r="AI102" s="13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4">
        <v>3.4500000000000003E-2</v>
      </c>
      <c r="AU102" s="14">
        <v>3.4799999999999998E-2</v>
      </c>
      <c r="AV102" s="14">
        <v>4.8899999999999999E-2</v>
      </c>
      <c r="AW102" s="14">
        <v>0.04</v>
      </c>
      <c r="AX102" s="14">
        <v>4.8800000000000003E-2</v>
      </c>
      <c r="AY102" s="14">
        <v>5.5E-2</v>
      </c>
      <c r="AZ102" s="14">
        <v>4.65E-2</v>
      </c>
      <c r="BA102" s="13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8">
        <v>5.1200000000000002E-2</v>
      </c>
      <c r="BM102" s="1"/>
      <c r="BN102" s="58">
        <v>6.1499999999999999E-2</v>
      </c>
      <c r="BO102" s="1"/>
      <c r="BP102" s="1"/>
      <c r="BQ102" s="1"/>
      <c r="BR102" s="58">
        <v>4.2700000000000002E-2</v>
      </c>
      <c r="BS102" s="13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8">
        <v>4.2999999999999997E-2</v>
      </c>
      <c r="Q103" s="85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8">
        <v>2.5000000000000001E-2</v>
      </c>
      <c r="AI103" s="13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4">
        <v>3.5000000000000003E-2</v>
      </c>
      <c r="AU103" s="14">
        <v>3.49E-2</v>
      </c>
      <c r="AV103" s="14">
        <v>4.8800000000000003E-2</v>
      </c>
      <c r="AW103" s="14">
        <v>0.04</v>
      </c>
      <c r="AX103" s="14">
        <v>4.8000000000000001E-2</v>
      </c>
      <c r="AY103" s="14">
        <v>5.8999999999999997E-2</v>
      </c>
      <c r="AZ103" s="14">
        <v>4.6899999999999997E-2</v>
      </c>
      <c r="BA103" s="13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8">
        <v>5.28E-2</v>
      </c>
      <c r="BM103" s="1"/>
      <c r="BN103" s="58">
        <v>6.3299999999999995E-2</v>
      </c>
      <c r="BO103" s="1"/>
      <c r="BP103" s="1"/>
      <c r="BQ103" s="1"/>
      <c r="BR103" s="58">
        <v>4.41E-2</v>
      </c>
      <c r="BS103" s="13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8">
        <v>4.36E-2</v>
      </c>
      <c r="Q104" s="85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8">
        <v>2.5000000000000001E-2</v>
      </c>
      <c r="AI104" s="13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4">
        <v>3.95E-2</v>
      </c>
      <c r="AU104" s="14">
        <v>3.49E-2</v>
      </c>
      <c r="AV104" s="14">
        <v>4.87E-2</v>
      </c>
      <c r="AW104" s="14">
        <v>0.04</v>
      </c>
      <c r="AX104" s="14">
        <v>4.7E-2</v>
      </c>
      <c r="AY104" s="14">
        <v>5.9200000000000003E-2</v>
      </c>
      <c r="AZ104" s="14">
        <v>4.9099999999999998E-2</v>
      </c>
      <c r="BA104" s="13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8">
        <v>5.5800000000000002E-2</v>
      </c>
      <c r="BM104" s="1"/>
      <c r="BN104" s="58">
        <v>6.6900000000000001E-2</v>
      </c>
      <c r="BO104" s="1"/>
      <c r="BP104" s="1"/>
      <c r="BQ104" s="1"/>
      <c r="BR104" s="58">
        <v>4.65E-2</v>
      </c>
      <c r="BS104" s="13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8">
        <v>3.8699999999999998E-2</v>
      </c>
      <c r="Q105" s="85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8">
        <v>2.5000000000000001E-2</v>
      </c>
      <c r="AI105" s="13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4">
        <v>3.7499999999999999E-2</v>
      </c>
      <c r="AU105" s="14">
        <v>3.7999999999999999E-2</v>
      </c>
      <c r="AV105" s="14">
        <v>4.4999999999999998E-2</v>
      </c>
      <c r="AW105" s="14">
        <v>0.04</v>
      </c>
      <c r="AX105" s="14">
        <v>4.7E-2</v>
      </c>
      <c r="AY105" s="14">
        <v>5.9900000000000002E-2</v>
      </c>
      <c r="AZ105" s="14">
        <v>4.41E-2</v>
      </c>
      <c r="BA105" s="13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8">
        <v>4.8599999999999997E-2</v>
      </c>
      <c r="BM105" s="1"/>
      <c r="BN105" s="58">
        <v>5.8299999999999998E-2</v>
      </c>
      <c r="BO105" s="1"/>
      <c r="BP105" s="1"/>
      <c r="BQ105" s="1"/>
      <c r="BR105" s="58">
        <v>4.0500000000000001E-2</v>
      </c>
      <c r="BS105" s="13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8">
        <v>3.6400000000000002E-2</v>
      </c>
      <c r="Q106" s="85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8">
        <v>2.5000000000000001E-2</v>
      </c>
      <c r="AI106" s="13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4">
        <v>0.04</v>
      </c>
      <c r="AU106" s="14">
        <v>3.9E-2</v>
      </c>
      <c r="AV106" s="14">
        <v>4.2999999999999997E-2</v>
      </c>
      <c r="AW106" s="14">
        <v>0.04</v>
      </c>
      <c r="AX106" s="14">
        <v>4.4900000000000002E-2</v>
      </c>
      <c r="AY106" s="14">
        <v>4.4999999999999998E-2</v>
      </c>
      <c r="AZ106" s="14">
        <v>4.0399999999999998E-2</v>
      </c>
      <c r="BA106" s="13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8">
        <v>4.4200000000000003E-2</v>
      </c>
      <c r="BM106" s="1"/>
      <c r="BN106" s="58">
        <v>5.2999999999999999E-2</v>
      </c>
      <c r="BO106" s="1"/>
      <c r="BP106" s="1"/>
      <c r="BQ106" s="1"/>
      <c r="BR106" s="58">
        <v>3.8199999999999998E-2</v>
      </c>
      <c r="BS106" s="13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8">
        <v>3.6299999999999999E-2</v>
      </c>
      <c r="Q107" s="85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8">
        <v>2.5000000000000001E-2</v>
      </c>
      <c r="AI107" s="13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4">
        <v>0.04</v>
      </c>
      <c r="AU107" s="14">
        <v>3.9E-2</v>
      </c>
      <c r="AV107" s="14">
        <v>4.2999999999999997E-2</v>
      </c>
      <c r="AW107" s="14">
        <v>0.04</v>
      </c>
      <c r="AX107" s="14">
        <v>4.4900000000000002E-2</v>
      </c>
      <c r="AY107" s="14">
        <v>4.4999999999999998E-2</v>
      </c>
      <c r="AZ107" s="14">
        <v>4.0399999999999998E-2</v>
      </c>
      <c r="BA107" s="13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8">
        <v>4.4200000000000003E-2</v>
      </c>
      <c r="BM107" s="1"/>
      <c r="BN107" s="58">
        <v>5.2999999999999999E-2</v>
      </c>
      <c r="BO107" s="1"/>
      <c r="BP107" s="1"/>
      <c r="BQ107" s="1"/>
      <c r="BR107" s="58">
        <v>3.7199999999999997E-2</v>
      </c>
      <c r="BS107" s="13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8">
        <v>3.6400000000000002E-2</v>
      </c>
      <c r="Q108" s="85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8">
        <v>2.5000000000000001E-2</v>
      </c>
      <c r="AI108" s="13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4">
        <v>0.04</v>
      </c>
      <c r="AU108" s="14">
        <v>3.9E-2</v>
      </c>
      <c r="AV108" s="14">
        <v>4.2999999999999997E-2</v>
      </c>
      <c r="AW108" s="14">
        <v>0.04</v>
      </c>
      <c r="AX108" s="14">
        <v>4.4900000000000002E-2</v>
      </c>
      <c r="AY108" s="14">
        <v>4.4999999999999998E-2</v>
      </c>
      <c r="AZ108" s="14">
        <v>4.0399999999999998E-2</v>
      </c>
      <c r="BA108" s="13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8">
        <v>4.4200000000000003E-2</v>
      </c>
      <c r="BM108" s="1"/>
      <c r="BN108" s="58">
        <v>5.2999999999999999E-2</v>
      </c>
      <c r="BO108" s="1"/>
      <c r="BP108" s="1"/>
      <c r="BQ108" s="1"/>
      <c r="BR108" s="58">
        <v>3.6799999999999999E-2</v>
      </c>
      <c r="BS108" s="13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8">
        <v>3.5799999999999998E-2</v>
      </c>
      <c r="Q109" s="85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8">
        <v>2.5000000000000001E-2</v>
      </c>
      <c r="AI109" s="13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4">
        <v>4.4499999999999998E-2</v>
      </c>
      <c r="AU109" s="14">
        <v>3.9E-2</v>
      </c>
      <c r="AV109" s="14">
        <v>4.2999999999999997E-2</v>
      </c>
      <c r="AW109" s="14">
        <v>0.04</v>
      </c>
      <c r="AX109" s="14">
        <v>4.4900000000000002E-2</v>
      </c>
      <c r="AY109" s="14">
        <v>4.4999999999999998E-2</v>
      </c>
      <c r="AZ109" s="14">
        <v>4.0399999999999998E-2</v>
      </c>
      <c r="BA109" s="13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8">
        <v>4.3799999999999999E-2</v>
      </c>
      <c r="BM109" s="1"/>
      <c r="BN109" s="58">
        <v>5.2600000000000001E-2</v>
      </c>
      <c r="BO109" s="1"/>
      <c r="BP109" s="1"/>
      <c r="BQ109" s="1"/>
      <c r="BR109" s="58">
        <v>3.6600000000000001E-2</v>
      </c>
      <c r="BS109" s="13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8">
        <v>3.5799999999999998E-2</v>
      </c>
      <c r="Q110" s="85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8">
        <v>2.5000000000000001E-2</v>
      </c>
      <c r="AI110" s="13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4">
        <v>3.7999999999999999E-2</v>
      </c>
      <c r="AU110" s="14">
        <v>3.9E-2</v>
      </c>
      <c r="AV110" s="14">
        <v>3.7999999999999999E-2</v>
      </c>
      <c r="AW110" s="14">
        <v>3.9E-2</v>
      </c>
      <c r="AX110" s="14">
        <v>4.5400000000000003E-2</v>
      </c>
      <c r="AY110" s="14">
        <v>5.3999999999999999E-2</v>
      </c>
      <c r="AZ110" s="14">
        <v>4.0300000000000002E-2</v>
      </c>
      <c r="BA110" s="13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8">
        <v>4.4400000000000002E-2</v>
      </c>
      <c r="BM110" s="1"/>
      <c r="BN110" s="58">
        <v>5.3199999999999997E-2</v>
      </c>
      <c r="BO110" s="1"/>
      <c r="BP110" s="1"/>
      <c r="BQ110" s="1"/>
      <c r="BR110" s="58">
        <v>3.7100000000000001E-2</v>
      </c>
      <c r="BS110" s="13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8">
        <v>3.61E-2</v>
      </c>
      <c r="Q111" s="85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8">
        <v>2.5000000000000001E-2</v>
      </c>
      <c r="AI111" s="13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4">
        <v>3.5000000000000003E-2</v>
      </c>
      <c r="AU111" s="14">
        <v>3.6900000000000002E-2</v>
      </c>
      <c r="AV111" s="14">
        <v>3.7999999999999999E-2</v>
      </c>
      <c r="AW111" s="14">
        <v>3.9E-2</v>
      </c>
      <c r="AX111" s="14">
        <v>4.5400000000000003E-2</v>
      </c>
      <c r="AY111" s="14">
        <v>5.45E-2</v>
      </c>
      <c r="AZ111" s="14">
        <v>4.0399999999999998E-2</v>
      </c>
      <c r="BA111" s="13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8">
        <v>4.4200000000000003E-2</v>
      </c>
      <c r="BM111" s="1"/>
      <c r="BN111" s="58">
        <v>5.2999999999999999E-2</v>
      </c>
      <c r="BO111" s="1"/>
      <c r="BP111" s="1"/>
      <c r="BQ111" s="1"/>
      <c r="BR111" s="58">
        <v>3.6799999999999999E-2</v>
      </c>
      <c r="BS111" s="13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8">
        <v>3.4200000000000001E-2</v>
      </c>
      <c r="Q112" s="85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8">
        <v>2.5000000000000001E-2</v>
      </c>
      <c r="AI112" s="13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4">
        <v>3.4500000000000003E-2</v>
      </c>
      <c r="AU112" s="14">
        <v>3.6799999999999999E-2</v>
      </c>
      <c r="AV112" s="14">
        <v>3.9899999999999998E-2</v>
      </c>
      <c r="AW112" s="14" t="s">
        <v>69</v>
      </c>
      <c r="AX112" s="14">
        <v>4.4999999999999998E-2</v>
      </c>
      <c r="AY112" s="14">
        <v>5.5E-2</v>
      </c>
      <c r="AZ112" s="14">
        <v>3.9899999999999998E-2</v>
      </c>
      <c r="BA112" s="13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8">
        <v>4.36E-2</v>
      </c>
      <c r="BM112" s="1"/>
      <c r="BN112" s="58">
        <v>5.2299999999999999E-2</v>
      </c>
      <c r="BO112" s="1"/>
      <c r="BP112" s="1"/>
      <c r="BQ112" s="1"/>
      <c r="BR112" s="58">
        <v>3.6499999999999998E-2</v>
      </c>
      <c r="BS112" s="13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8">
        <v>3.3000000000000002E-2</v>
      </c>
      <c r="Q113" s="85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8">
        <v>2.5000000000000001E-2</v>
      </c>
      <c r="AI113" s="13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4">
        <v>3.2000000000000001E-2</v>
      </c>
      <c r="AU113" s="14">
        <v>3.2000000000000001E-2</v>
      </c>
      <c r="AV113" s="14">
        <v>4.2999999999999997E-2</v>
      </c>
      <c r="AW113" s="14">
        <v>0.04</v>
      </c>
      <c r="AX113" s="14">
        <v>4.8000000000000001E-2</v>
      </c>
      <c r="AY113" s="14">
        <v>5.2999999999999999E-2</v>
      </c>
      <c r="AZ113" s="14">
        <v>3.6600000000000001E-2</v>
      </c>
      <c r="BA113" s="13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8">
        <v>4.19E-2</v>
      </c>
      <c r="BM113" s="1"/>
      <c r="BN113" s="58">
        <v>5.0299999999999997E-2</v>
      </c>
      <c r="BO113" s="1"/>
      <c r="BP113" s="1"/>
      <c r="BQ113" s="1"/>
      <c r="BR113" s="58">
        <v>3.5400000000000001E-2</v>
      </c>
      <c r="BS113" s="13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8">
        <v>3.2500000000000001E-2</v>
      </c>
      <c r="Q114" s="85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8">
        <v>2.5000000000000001E-2</v>
      </c>
      <c r="AI114" s="13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4">
        <v>3.2000000000000001E-2</v>
      </c>
      <c r="AU114" s="14">
        <v>3.2000000000000001E-2</v>
      </c>
      <c r="AV114" s="14">
        <v>4.2999999999999997E-2</v>
      </c>
      <c r="AW114" s="14">
        <v>0.04</v>
      </c>
      <c r="AX114" s="14">
        <v>4.8000000000000001E-2</v>
      </c>
      <c r="AY114" s="14">
        <v>5.2999999999999999E-2</v>
      </c>
      <c r="AZ114" s="14">
        <v>3.5999999999999997E-2</v>
      </c>
      <c r="BA114" s="13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8">
        <v>4.19E-2</v>
      </c>
      <c r="BM114" s="1"/>
      <c r="BN114" s="58">
        <v>5.0299999999999997E-2</v>
      </c>
      <c r="BO114" s="1"/>
      <c r="BP114" s="1"/>
      <c r="BQ114" s="1"/>
      <c r="BR114" s="58">
        <v>3.5400000000000001E-2</v>
      </c>
      <c r="BS114" s="13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8">
        <v>3.2500000000000001E-2</v>
      </c>
      <c r="Q115" s="85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8">
        <v>2.5000000000000001E-2</v>
      </c>
      <c r="AI115" s="13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4">
        <v>3.2000000000000001E-2</v>
      </c>
      <c r="AU115" s="14">
        <v>3.2000000000000001E-2</v>
      </c>
      <c r="AV115" s="14">
        <v>4.2999999999999997E-2</v>
      </c>
      <c r="AW115" s="14">
        <v>0.04</v>
      </c>
      <c r="AX115" s="14">
        <v>4.8000000000000001E-2</v>
      </c>
      <c r="AY115" s="14">
        <v>5.2999999999999999E-2</v>
      </c>
      <c r="AZ115" s="14">
        <v>3.5099999999999999E-2</v>
      </c>
      <c r="BA115" s="13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8">
        <v>4.19E-2</v>
      </c>
      <c r="BM115" s="1"/>
      <c r="BN115" s="58">
        <v>5.0299999999999997E-2</v>
      </c>
      <c r="BO115" s="1"/>
      <c r="BP115" s="1"/>
      <c r="BQ115" s="1"/>
      <c r="BR115" s="58">
        <v>3.4700000000000002E-2</v>
      </c>
      <c r="BS115" s="13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8">
        <v>3.32E-2</v>
      </c>
      <c r="Q116" s="85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8">
        <v>2.5000000000000001E-2</v>
      </c>
      <c r="AI116" s="13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4">
        <v>0.03</v>
      </c>
      <c r="AU116" s="14">
        <v>3.5000000000000003E-2</v>
      </c>
      <c r="AV116" s="14">
        <v>3.9E-2</v>
      </c>
      <c r="AW116" s="14">
        <v>0.04</v>
      </c>
      <c r="AX116" s="14">
        <v>4.7300000000000002E-2</v>
      </c>
      <c r="AY116" s="14">
        <v>5.2999999999999999E-2</v>
      </c>
      <c r="AZ116" s="14">
        <v>3.7199999999999997E-2</v>
      </c>
      <c r="BA116" s="13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8">
        <v>4.1200000000000001E-2</v>
      </c>
      <c r="BM116" s="1"/>
      <c r="BN116" s="58">
        <v>4.9000000000000002E-2</v>
      </c>
      <c r="BO116" s="1"/>
      <c r="BP116" s="1"/>
      <c r="BQ116" s="1"/>
      <c r="BR116" s="58">
        <v>3.4099999999999998E-2</v>
      </c>
      <c r="BS116" s="13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8">
        <v>3.3300000000000003E-2</v>
      </c>
      <c r="Q117" s="85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8">
        <v>2.5000000000000001E-2</v>
      </c>
      <c r="AI117" s="13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4">
        <v>2.8500000000000001E-2</v>
      </c>
      <c r="AU117" s="14">
        <v>3.5000000000000003E-2</v>
      </c>
      <c r="AV117" s="14">
        <v>3.7999999999999999E-2</v>
      </c>
      <c r="AW117" s="14">
        <v>5.7200000000000001E-2</v>
      </c>
      <c r="AX117" s="14">
        <v>4.8000000000000001E-2</v>
      </c>
      <c r="AY117" s="14">
        <v>5.2999999999999999E-2</v>
      </c>
      <c r="AZ117" s="14">
        <v>3.7199999999999997E-2</v>
      </c>
      <c r="BA117" s="13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8">
        <v>4.1200000000000001E-2</v>
      </c>
      <c r="BM117" s="1"/>
      <c r="BN117" s="58">
        <v>4.9399999999999999E-2</v>
      </c>
      <c r="BO117" s="1"/>
      <c r="BP117" s="1"/>
      <c r="BQ117" s="1"/>
      <c r="BR117" s="58">
        <v>3.4299999999999997E-2</v>
      </c>
      <c r="BS117" s="13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8">
        <v>3.2500000000000001E-2</v>
      </c>
      <c r="Q118" s="85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8">
        <v>2.5000000000000001E-2</v>
      </c>
      <c r="AI118" s="13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4">
        <v>3.1E-2</v>
      </c>
      <c r="AU118" s="14">
        <v>0.04</v>
      </c>
      <c r="AV118" s="14">
        <v>3.6999999999999998E-2</v>
      </c>
      <c r="AW118" s="14">
        <v>5.7000000000000002E-2</v>
      </c>
      <c r="AX118" s="14">
        <v>4.8000000000000001E-2</v>
      </c>
      <c r="AY118" s="14">
        <v>5.79E-2</v>
      </c>
      <c r="AZ118" s="14">
        <v>3.6400000000000002E-2</v>
      </c>
      <c r="BA118" s="13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8">
        <v>4.1000000000000002E-2</v>
      </c>
      <c r="BM118" s="1"/>
      <c r="BN118" s="58">
        <v>4.82E-2</v>
      </c>
      <c r="BO118" s="1"/>
      <c r="BP118" s="1"/>
      <c r="BQ118" s="1"/>
      <c r="BR118" s="58">
        <v>3.4000000000000002E-2</v>
      </c>
      <c r="BS118" s="13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8">
        <v>3.1699999999999999E-2</v>
      </c>
      <c r="Q119" s="85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8">
        <v>2.5000000000000001E-2</v>
      </c>
      <c r="AI119" s="13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4">
        <v>3.2000000000000001E-2</v>
      </c>
      <c r="AU119" s="14">
        <v>4.4499999999999998E-2</v>
      </c>
      <c r="AV119" s="14">
        <v>0.04</v>
      </c>
      <c r="AW119" s="14">
        <v>6.3E-2</v>
      </c>
      <c r="AX119" s="14">
        <v>4.8000000000000001E-2</v>
      </c>
      <c r="AY119" s="14">
        <v>5.8999999999999997E-2</v>
      </c>
      <c r="AZ119" s="14">
        <v>3.5099999999999999E-2</v>
      </c>
      <c r="BA119" s="13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8">
        <v>4.1000000000000002E-2</v>
      </c>
      <c r="BM119" s="1"/>
      <c r="BN119" s="58">
        <v>4.7399999999999998E-2</v>
      </c>
      <c r="BO119" s="1"/>
      <c r="BP119" s="1"/>
      <c r="BQ119" s="1"/>
      <c r="BR119" s="58">
        <v>3.3000000000000002E-2</v>
      </c>
      <c r="BS119" s="13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8">
        <v>3.15E-2</v>
      </c>
      <c r="Q120" s="85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8">
        <v>2.5000000000000001E-2</v>
      </c>
      <c r="AI120" s="13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4">
        <v>3.2000000000000001E-2</v>
      </c>
      <c r="AU120" s="14">
        <v>3.2500000000000001E-2</v>
      </c>
      <c r="AV120" s="14">
        <v>3.6600000000000001E-2</v>
      </c>
      <c r="AW120" s="14">
        <v>3.8899999999999997E-2</v>
      </c>
      <c r="AX120" s="14">
        <v>4.65E-2</v>
      </c>
      <c r="AY120" s="14">
        <v>5.7799999999999997E-2</v>
      </c>
      <c r="AZ120" s="14">
        <v>3.5299999999999998E-2</v>
      </c>
      <c r="BA120" s="13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8">
        <v>4.1000000000000002E-2</v>
      </c>
      <c r="BM120" s="1"/>
      <c r="BN120" s="58">
        <v>4.7399999999999998E-2</v>
      </c>
      <c r="BO120" s="1"/>
      <c r="BP120" s="1"/>
      <c r="BQ120" s="1"/>
      <c r="BR120" s="58">
        <v>3.1300000000000001E-2</v>
      </c>
      <c r="BS120" s="13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8">
        <v>3.1800000000000002E-2</v>
      </c>
      <c r="Q121" s="85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8">
        <v>2.5000000000000001E-2</v>
      </c>
      <c r="AI121" s="13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4">
        <v>3.2000000000000001E-2</v>
      </c>
      <c r="AU121" s="14">
        <v>3.2500000000000001E-2</v>
      </c>
      <c r="AV121" s="14">
        <v>3.6600000000000001E-2</v>
      </c>
      <c r="AW121" s="14">
        <v>3.8899999999999997E-2</v>
      </c>
      <c r="AX121" s="14">
        <v>4.65E-2</v>
      </c>
      <c r="AY121" s="14">
        <v>5.7799999999999997E-2</v>
      </c>
      <c r="AZ121" s="14">
        <v>3.5299999999999998E-2</v>
      </c>
      <c r="BA121" s="13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8">
        <v>5.9299999999999999E-2</v>
      </c>
      <c r="BM121" s="1"/>
      <c r="BN121" s="58">
        <v>7.1099999999999997E-2</v>
      </c>
      <c r="BO121" s="1"/>
      <c r="BP121" s="1"/>
      <c r="BQ121" s="1"/>
      <c r="BR121" s="58">
        <v>4.1700000000000001E-2</v>
      </c>
      <c r="BS121" s="13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8">
        <v>3.1800000000000002E-2</v>
      </c>
      <c r="Q122" s="85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8">
        <v>2.5000000000000001E-2</v>
      </c>
      <c r="AI122" s="13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4">
        <v>3.2000000000000001E-2</v>
      </c>
      <c r="AU122" s="14">
        <v>3.2500000000000001E-2</v>
      </c>
      <c r="AV122" s="14">
        <v>3.6600000000000001E-2</v>
      </c>
      <c r="AW122" s="14">
        <v>3.8899999999999997E-2</v>
      </c>
      <c r="AX122" s="14">
        <v>4.65E-2</v>
      </c>
      <c r="AY122" s="14">
        <v>5.7799999999999997E-2</v>
      </c>
      <c r="AZ122" s="14">
        <v>3.5299999999999998E-2</v>
      </c>
      <c r="BA122" s="13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8">
        <v>5.9299999999999999E-2</v>
      </c>
      <c r="BM122" s="1"/>
      <c r="BN122" s="58">
        <v>7.1099999999999997E-2</v>
      </c>
      <c r="BO122" s="1"/>
      <c r="BP122" s="1"/>
      <c r="BQ122" s="1"/>
      <c r="BR122" s="58">
        <v>4.9500000000000002E-2</v>
      </c>
      <c r="BS122" s="13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8">
        <v>3.3500000000000002E-2</v>
      </c>
      <c r="Q123" s="85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8">
        <v>2.5000000000000001E-2</v>
      </c>
      <c r="AI123" s="13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4">
        <v>3.2000000000000001E-2</v>
      </c>
      <c r="AU123" s="14">
        <v>3.9899999999999998E-2</v>
      </c>
      <c r="AV123" s="14">
        <v>3.1E-2</v>
      </c>
      <c r="AW123" s="14">
        <v>6.0999999999999999E-2</v>
      </c>
      <c r="AX123" s="14">
        <v>4.9000000000000002E-2</v>
      </c>
      <c r="AY123" s="14">
        <v>5.9900000000000002E-2</v>
      </c>
      <c r="AZ123" s="14">
        <v>3.6299999999999999E-2</v>
      </c>
      <c r="BA123" s="13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8">
        <v>6.3299999999999995E-2</v>
      </c>
      <c r="BM123" s="1"/>
      <c r="BN123" s="58">
        <v>7.5899999999999995E-2</v>
      </c>
      <c r="BO123" s="1"/>
      <c r="BP123" s="1"/>
      <c r="BQ123" s="1"/>
      <c r="BR123" s="58">
        <v>5.28E-2</v>
      </c>
      <c r="BS123" s="13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8">
        <v>3.27E-2</v>
      </c>
      <c r="Q124" s="85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8">
        <v>2.5000000000000001E-2</v>
      </c>
      <c r="AI124" s="13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4">
        <v>3.2000000000000001E-2</v>
      </c>
      <c r="AU124" s="14">
        <v>3.2000000000000001E-2</v>
      </c>
      <c r="AV124" s="14">
        <v>3.7999999999999999E-2</v>
      </c>
      <c r="AW124" s="14">
        <v>5.9700000000000003E-2</v>
      </c>
      <c r="AX124" s="14">
        <v>4.9000000000000002E-2</v>
      </c>
      <c r="AY124" s="14">
        <v>5.6899999999999999E-2</v>
      </c>
      <c r="AZ124" s="14">
        <v>3.6799999999999999E-2</v>
      </c>
      <c r="BA124" s="13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8">
        <v>6.3799999999999996E-2</v>
      </c>
      <c r="BM124" s="1"/>
      <c r="BN124" s="58">
        <v>7.6600000000000001E-2</v>
      </c>
      <c r="BO124" s="1"/>
      <c r="BP124" s="1"/>
      <c r="BQ124" s="1"/>
      <c r="BR124" s="58">
        <v>5.3199999999999997E-2</v>
      </c>
      <c r="BS124" s="13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8">
        <v>3.2399999999999998E-2</v>
      </c>
      <c r="Q125" s="85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8">
        <v>2.5000000000000001E-2</v>
      </c>
      <c r="AI125" s="13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4">
        <v>3.2000000000000001E-2</v>
      </c>
      <c r="AU125" s="14">
        <v>0.04</v>
      </c>
      <c r="AV125" s="14">
        <v>4.5999999999999999E-2</v>
      </c>
      <c r="AW125" s="14">
        <v>5.96E-2</v>
      </c>
      <c r="AX125" s="14">
        <v>4.9000000000000002E-2</v>
      </c>
      <c r="AY125" s="14">
        <v>5.96E-2</v>
      </c>
      <c r="AZ125" s="14">
        <v>3.61E-2</v>
      </c>
      <c r="BA125" s="13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8">
        <v>6.3200000000000006E-2</v>
      </c>
      <c r="BM125" s="1"/>
      <c r="BN125" s="58">
        <v>7.5800000000000006E-2</v>
      </c>
      <c r="BO125" s="1"/>
      <c r="BP125" s="1"/>
      <c r="BQ125" s="1"/>
      <c r="BR125" s="58">
        <v>5.2699999999999997E-2</v>
      </c>
      <c r="BS125" s="13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8">
        <v>3.32E-2</v>
      </c>
      <c r="Q126" s="85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8">
        <v>2.5000000000000001E-2</v>
      </c>
      <c r="AI126" s="13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4">
        <v>3.2000000000000001E-2</v>
      </c>
      <c r="AU126" s="14">
        <v>3.9899999999999998E-2</v>
      </c>
      <c r="AV126" s="14">
        <v>4.1000000000000002E-2</v>
      </c>
      <c r="AW126" s="14">
        <v>5.9299999999999999E-2</v>
      </c>
      <c r="AX126" s="14">
        <v>4.0899999999999999E-2</v>
      </c>
      <c r="AY126" s="14" t="s">
        <v>71</v>
      </c>
      <c r="AZ126" s="14">
        <v>3.6999999999999998E-2</v>
      </c>
      <c r="BA126" s="13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8">
        <v>6.4699999999999994E-2</v>
      </c>
      <c r="BM126" s="1"/>
      <c r="BN126" s="58">
        <v>7.7700000000000005E-2</v>
      </c>
      <c r="BO126" s="1"/>
      <c r="BP126" s="1"/>
      <c r="BQ126" s="1"/>
      <c r="BR126" s="58">
        <v>5.3999999999999999E-2</v>
      </c>
      <c r="BS126" s="13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8">
        <v>3.39E-2</v>
      </c>
      <c r="Q127" s="85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8">
        <v>2.5000000000000001E-2</v>
      </c>
      <c r="AI127" s="13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4">
        <v>3.2000000000000001E-2</v>
      </c>
      <c r="AU127" s="14">
        <v>3.78E-2</v>
      </c>
      <c r="AV127" s="14">
        <v>4.0800000000000003E-2</v>
      </c>
      <c r="AW127" s="14">
        <v>5.8400000000000001E-2</v>
      </c>
      <c r="AX127" s="14">
        <v>0.04</v>
      </c>
      <c r="AY127" s="14">
        <v>4.3999999999999997E-2</v>
      </c>
      <c r="AZ127" s="14">
        <v>3.6600000000000001E-2</v>
      </c>
      <c r="BA127" s="13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8">
        <v>5.1900000000000002E-2</v>
      </c>
      <c r="BM127" s="1"/>
      <c r="BN127" s="58">
        <v>6.2199999999999998E-2</v>
      </c>
      <c r="BO127" s="1"/>
      <c r="BP127" s="1"/>
      <c r="BQ127" s="1"/>
      <c r="BR127" s="58">
        <v>5.3600000000000002E-2</v>
      </c>
      <c r="BS127" s="13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8">
        <v>3.4200000000000001E-2</v>
      </c>
      <c r="Q128" s="85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8">
        <v>2.5000000000000001E-2</v>
      </c>
      <c r="AI128" s="13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4">
        <v>3.2000000000000001E-2</v>
      </c>
      <c r="AU128" s="14">
        <v>3.78E-2</v>
      </c>
      <c r="AV128" s="14">
        <v>4.0800000000000003E-2</v>
      </c>
      <c r="AW128" s="14">
        <v>5.8400000000000001E-2</v>
      </c>
      <c r="AX128" s="14">
        <v>0.04</v>
      </c>
      <c r="AY128" s="14">
        <v>4.3999999999999997E-2</v>
      </c>
      <c r="AZ128" s="14">
        <v>3.6600000000000001E-2</v>
      </c>
      <c r="BA128" s="13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8">
        <v>5.1900000000000002E-2</v>
      </c>
      <c r="BM128" s="1"/>
      <c r="BN128" s="58">
        <v>6.2199999999999998E-2</v>
      </c>
      <c r="BO128" s="1"/>
      <c r="BP128" s="1"/>
      <c r="BQ128" s="1"/>
      <c r="BR128" s="58">
        <v>5.3600000000000002E-2</v>
      </c>
      <c r="BS128" s="13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8">
        <v>3.2899999999999999E-2</v>
      </c>
      <c r="Q129" s="85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8">
        <v>2.5000000000000001E-2</v>
      </c>
      <c r="AI129" s="13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4">
        <v>3.2000000000000001E-2</v>
      </c>
      <c r="AU129" s="14">
        <v>3.78E-2</v>
      </c>
      <c r="AV129" s="14">
        <v>4.0800000000000003E-2</v>
      </c>
      <c r="AW129" s="14">
        <v>5.8400000000000001E-2</v>
      </c>
      <c r="AX129" s="14">
        <v>0.04</v>
      </c>
      <c r="AY129" s="14">
        <v>4.3999999999999997E-2</v>
      </c>
      <c r="AZ129" s="14">
        <v>3.6600000000000001E-2</v>
      </c>
      <c r="BA129" s="13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8">
        <v>5.1900000000000002E-2</v>
      </c>
      <c r="BM129" s="1"/>
      <c r="BN129" s="58">
        <v>6.2199999999999998E-2</v>
      </c>
      <c r="BO129" s="1"/>
      <c r="BP129" s="1"/>
      <c r="BQ129" s="1"/>
      <c r="BR129" s="58">
        <v>4.3200000000000002E-2</v>
      </c>
      <c r="BS129" s="13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8">
        <v>3.5900000000000001E-2</v>
      </c>
      <c r="Q130" s="85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8">
        <v>2.5000000000000001E-2</v>
      </c>
      <c r="AI130" s="13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4">
        <v>0.03</v>
      </c>
      <c r="AU130" s="14">
        <v>3.1899999999999998E-2</v>
      </c>
      <c r="AV130" s="14">
        <v>3.9E-2</v>
      </c>
      <c r="AW130" s="14">
        <v>5.7799999999999997E-2</v>
      </c>
      <c r="AX130" s="14">
        <v>4.4999999999999998E-2</v>
      </c>
      <c r="AY130" s="14">
        <v>4.1000000000000002E-2</v>
      </c>
      <c r="AZ130" s="14">
        <v>3.9800000000000002E-2</v>
      </c>
      <c r="BA130" s="13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8">
        <v>5.1900000000000002E-2</v>
      </c>
      <c r="BM130" s="1"/>
      <c r="BN130" s="58">
        <v>6.2199999999999998E-2</v>
      </c>
      <c r="BO130" s="1"/>
      <c r="BP130" s="1"/>
      <c r="BQ130" s="1"/>
      <c r="BR130" s="58">
        <v>4.3200000000000002E-2</v>
      </c>
      <c r="BS130" s="13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8">
        <v>3.5499999999999997E-2</v>
      </c>
      <c r="Q131" s="85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8">
        <v>2.5000000000000001E-2</v>
      </c>
      <c r="AI131" s="13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4">
        <v>3.2000000000000001E-2</v>
      </c>
      <c r="AU131" s="14">
        <v>4.2999999999999997E-2</v>
      </c>
      <c r="AV131" s="14">
        <v>4.1000000000000002E-2</v>
      </c>
      <c r="AW131" s="14">
        <v>5.8000000000000003E-2</v>
      </c>
      <c r="AX131" s="14">
        <v>4.9500000000000002E-2</v>
      </c>
      <c r="AY131" s="14">
        <v>5.5E-2</v>
      </c>
      <c r="AZ131" s="14">
        <v>3.9600000000000003E-2</v>
      </c>
      <c r="BA131" s="13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8">
        <v>4.87E-2</v>
      </c>
      <c r="BM131" s="1"/>
      <c r="BN131" s="58">
        <v>5.16E-2</v>
      </c>
      <c r="BO131" s="1"/>
      <c r="BP131" s="1"/>
      <c r="BQ131" s="1"/>
      <c r="BR131" s="58">
        <v>3.5900000000000001E-2</v>
      </c>
      <c r="BS131" s="13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8">
        <v>3.6299999999999999E-2</v>
      </c>
      <c r="Q132" s="85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8">
        <v>2.5000000000000001E-2</v>
      </c>
      <c r="AI132" s="13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4">
        <v>3.5000000000000003E-2</v>
      </c>
      <c r="AU132" s="14">
        <v>4.2999999999999997E-2</v>
      </c>
      <c r="AV132" s="14">
        <v>4.1000000000000002E-2</v>
      </c>
      <c r="AW132" s="14">
        <v>5.21E-2</v>
      </c>
      <c r="AX132" s="14">
        <v>4.8800000000000003E-2</v>
      </c>
      <c r="AY132" s="14">
        <v>5.9700000000000003E-2</v>
      </c>
      <c r="AZ132" s="14">
        <v>4.0300000000000002E-2</v>
      </c>
      <c r="BA132" s="13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8">
        <v>4.7E-2</v>
      </c>
      <c r="BM132" s="1"/>
      <c r="BN132" s="58">
        <v>5.4199999999999998E-2</v>
      </c>
      <c r="BO132" s="1"/>
      <c r="BP132" s="1"/>
      <c r="BQ132" s="1"/>
      <c r="BR132" s="58">
        <v>3.7600000000000001E-2</v>
      </c>
      <c r="BS132" s="13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8">
        <v>3.73E-2</v>
      </c>
      <c r="Q133" s="85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8">
        <v>2.5000000000000001E-2</v>
      </c>
      <c r="AI133" s="13">
        <f t="shared" ref="AI133:AI158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4">
        <v>3.49E-2</v>
      </c>
      <c r="AU133" s="14">
        <v>3.7999999999999999E-2</v>
      </c>
      <c r="AV133" s="14">
        <v>3.9899999999999998E-2</v>
      </c>
      <c r="AW133" s="14">
        <v>5.7599999999999998E-2</v>
      </c>
      <c r="AX133" s="14">
        <v>3.9100000000000003E-2</v>
      </c>
      <c r="AY133" s="14">
        <v>5.1999999999999998E-2</v>
      </c>
      <c r="AZ133" s="14">
        <v>4.1500000000000002E-2</v>
      </c>
      <c r="BA133" s="13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8">
        <v>4.6600000000000003E-2</v>
      </c>
      <c r="BM133" s="1"/>
      <c r="BN133" s="58">
        <v>5.3499999999999999E-2</v>
      </c>
      <c r="BO133" s="1"/>
      <c r="BP133" s="1"/>
      <c r="BQ133" s="1"/>
      <c r="BR133" s="58">
        <v>3.7100000000000001E-2</v>
      </c>
      <c r="BS133" s="13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8">
        <v>3.6900000000000002E-2</v>
      </c>
      <c r="Q134" s="85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8">
        <v>2.5000000000000001E-2</v>
      </c>
      <c r="AI134" s="13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4">
        <v>5.0999999999999997E-2</v>
      </c>
      <c r="AU134" s="14">
        <v>4.2799999999999998E-2</v>
      </c>
      <c r="AV134" s="14">
        <v>0.04</v>
      </c>
      <c r="AW134" s="14">
        <v>5.5899999999999998E-2</v>
      </c>
      <c r="AX134" s="14">
        <v>3.9100000000000003E-2</v>
      </c>
      <c r="AY134" s="14">
        <v>4.0099999999999997E-2</v>
      </c>
      <c r="AZ134" s="14">
        <v>4.1000000000000002E-2</v>
      </c>
      <c r="BA134" s="13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8">
        <v>4.5999999999999999E-2</v>
      </c>
      <c r="BM134" s="1"/>
      <c r="BN134" s="58">
        <v>5.4899999999999997E-2</v>
      </c>
      <c r="BO134" s="1"/>
      <c r="BP134" s="1"/>
      <c r="BQ134" s="1"/>
      <c r="BR134" s="58">
        <v>3.73E-2</v>
      </c>
      <c r="BS134" s="13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8">
        <v>3.7999999999999999E-2</v>
      </c>
      <c r="Q135" s="85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8">
        <v>2.5000000000000001E-2</v>
      </c>
      <c r="AI135" s="13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4">
        <v>5.0999999999999997E-2</v>
      </c>
      <c r="AU135" s="14">
        <v>4.2799999999999998E-2</v>
      </c>
      <c r="AV135" s="14">
        <v>0.04</v>
      </c>
      <c r="AW135" s="14">
        <v>5.5899999999999998E-2</v>
      </c>
      <c r="AX135" s="14">
        <v>3.9100000000000003E-2</v>
      </c>
      <c r="AY135" s="14">
        <v>4.0099999999999997E-2</v>
      </c>
      <c r="AZ135" s="14">
        <v>4.1000000000000002E-2</v>
      </c>
      <c r="BA135" s="13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8">
        <v>4.5999999999999999E-2</v>
      </c>
      <c r="BM135" s="1"/>
      <c r="BN135" s="58">
        <v>5.4899999999999997E-2</v>
      </c>
      <c r="BO135" s="1"/>
      <c r="BP135" s="1"/>
      <c r="BQ135" s="1"/>
      <c r="BR135" s="58">
        <v>3.7499999999999999E-2</v>
      </c>
      <c r="BS135" s="13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8">
        <v>3.8199999999999998E-2</v>
      </c>
      <c r="Q136" s="85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8">
        <v>2.5000000000000001E-2</v>
      </c>
      <c r="AI136" s="13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4">
        <v>5.0999999999999997E-2</v>
      </c>
      <c r="AU136" s="14">
        <v>4.2799999999999998E-2</v>
      </c>
      <c r="AV136" s="14">
        <v>0.04</v>
      </c>
      <c r="AW136" s="14">
        <v>5.5899999999999998E-2</v>
      </c>
      <c r="AX136" s="14">
        <v>3.9100000000000003E-2</v>
      </c>
      <c r="AY136" s="14">
        <v>4.0099999999999997E-2</v>
      </c>
      <c r="AZ136" s="14">
        <v>4.1000000000000002E-2</v>
      </c>
      <c r="BA136" s="13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8">
        <v>4.5999999999999999E-2</v>
      </c>
      <c r="BM136" s="1"/>
      <c r="BN136" s="58">
        <v>5.4899999999999997E-2</v>
      </c>
      <c r="BO136" s="1"/>
      <c r="BP136" s="1"/>
      <c r="BQ136" s="1"/>
      <c r="BR136" s="58">
        <v>3.8199999999999998E-2</v>
      </c>
      <c r="BS136" s="13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8">
        <v>3.7600000000000001E-2</v>
      </c>
      <c r="Q137" s="85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8">
        <v>2.5000000000000001E-2</v>
      </c>
      <c r="AI137" s="13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4">
        <v>3.5000000000000003E-2</v>
      </c>
      <c r="AU137" s="14">
        <v>0.04</v>
      </c>
      <c r="AV137" s="14">
        <v>4.4999999999999998E-2</v>
      </c>
      <c r="AW137" s="14">
        <v>5.5E-2</v>
      </c>
      <c r="AX137" s="14">
        <v>4.4900000000000002E-2</v>
      </c>
      <c r="AY137" s="14">
        <v>4.0099999999999997E-2</v>
      </c>
      <c r="AZ137" s="14">
        <v>4.2000000000000003E-2</v>
      </c>
      <c r="BA137" s="13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8">
        <v>4.6300000000000001E-2</v>
      </c>
      <c r="BM137" s="1"/>
      <c r="BN137" s="58">
        <v>5.5599999999999997E-2</v>
      </c>
      <c r="BO137" s="1"/>
      <c r="BP137" s="1"/>
      <c r="BQ137" s="1"/>
      <c r="BR137" s="58">
        <v>3.8600000000000002E-2</v>
      </c>
      <c r="BS137" s="13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8">
        <v>3.7600000000000001E-2</v>
      </c>
      <c r="Q138" s="85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8">
        <v>2.5000000000000001E-2</v>
      </c>
      <c r="AI138" s="13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4">
        <v>3.49E-2</v>
      </c>
      <c r="AU138" s="14">
        <v>0.04</v>
      </c>
      <c r="AV138" s="14">
        <v>4.1000000000000002E-2</v>
      </c>
      <c r="AW138" s="14">
        <v>4.2900000000000001E-2</v>
      </c>
      <c r="AX138" s="14">
        <v>4.2900000000000001E-2</v>
      </c>
      <c r="AY138" s="14">
        <v>4.0099999999999997E-2</v>
      </c>
      <c r="AZ138" s="14">
        <v>4.19E-2</v>
      </c>
      <c r="BA138" s="13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8">
        <v>4.7399999999999998E-2</v>
      </c>
      <c r="BM138" s="1"/>
      <c r="BN138" s="58">
        <v>5.6899999999999999E-2</v>
      </c>
      <c r="BO138" s="1"/>
      <c r="BP138" s="1"/>
      <c r="BQ138" s="1"/>
      <c r="BR138" s="58">
        <v>3.9399999999999998E-2</v>
      </c>
      <c r="BS138" s="13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8">
        <v>3.7100000000000001E-2</v>
      </c>
      <c r="Q139" s="85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8">
        <v>2.5000000000000001E-2</v>
      </c>
      <c r="AI139" s="13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4">
        <v>3.2000000000000001E-2</v>
      </c>
      <c r="AU139" s="14">
        <v>0.04</v>
      </c>
      <c r="AV139" s="14">
        <v>4.02E-2</v>
      </c>
      <c r="AW139" s="14">
        <v>4.2900000000000001E-2</v>
      </c>
      <c r="AX139" s="14">
        <v>4.2900000000000001E-2</v>
      </c>
      <c r="AY139" s="14">
        <v>4.0099999999999997E-2</v>
      </c>
      <c r="AZ139" s="14">
        <v>4.1099999999999998E-2</v>
      </c>
      <c r="BA139" s="13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8">
        <v>4.6300000000000001E-2</v>
      </c>
      <c r="BM139" s="1"/>
      <c r="BN139" s="58">
        <v>5.5599999999999997E-2</v>
      </c>
      <c r="BO139" s="1"/>
      <c r="BP139" s="1"/>
      <c r="BQ139" s="1"/>
      <c r="BR139" s="58">
        <v>3.8600000000000002E-2</v>
      </c>
      <c r="BS139" s="13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8">
        <v>3.6700000000000003E-2</v>
      </c>
      <c r="Q140" s="85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8">
        <v>2.5000000000000001E-2</v>
      </c>
      <c r="AI140" s="13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4">
        <v>3.5000000000000003E-2</v>
      </c>
      <c r="AU140" s="14">
        <v>3.5000000000000003E-2</v>
      </c>
      <c r="AV140" s="14">
        <v>4.0099999999999997E-2</v>
      </c>
      <c r="AW140" s="14">
        <v>4.2900000000000001E-2</v>
      </c>
      <c r="AX140" s="14">
        <v>4.2900000000000001E-2</v>
      </c>
      <c r="AY140" s="14">
        <v>5.4899999999999997E-2</v>
      </c>
      <c r="AZ140" s="14">
        <v>4.0300000000000002E-2</v>
      </c>
      <c r="BA140" s="13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8">
        <v>4.4900000000000002E-2</v>
      </c>
      <c r="BM140" s="1"/>
      <c r="BN140" s="58">
        <v>5.3800000000000001E-2</v>
      </c>
      <c r="BO140" s="1"/>
      <c r="BP140" s="1"/>
      <c r="BQ140" s="1"/>
      <c r="BR140" s="58">
        <v>3.7400000000000003E-2</v>
      </c>
      <c r="BS140" s="13">
        <f t="shared" si="15"/>
        <v>2.2700000000000005E-2</v>
      </c>
    </row>
    <row r="141" spans="1:71" x14ac:dyDescent="0.35">
      <c r="A141" s="4">
        <v>46214</v>
      </c>
      <c r="B141" s="3" t="s">
        <v>33</v>
      </c>
      <c r="C141" s="3" t="s">
        <v>33</v>
      </c>
      <c r="D141" s="3" t="s">
        <v>32</v>
      </c>
      <c r="E141" s="3" t="s">
        <v>33</v>
      </c>
      <c r="F141" s="3" t="s">
        <v>32</v>
      </c>
      <c r="G141" s="3" t="s">
        <v>33</v>
      </c>
      <c r="H141" s="9">
        <v>1.46E-2</v>
      </c>
      <c r="I141" s="2">
        <v>46214</v>
      </c>
      <c r="J141" s="1" t="s">
        <v>33</v>
      </c>
      <c r="K141" s="1" t="s">
        <v>33</v>
      </c>
      <c r="L141" s="1" t="s">
        <v>32</v>
      </c>
      <c r="M141" s="1" t="s">
        <v>33</v>
      </c>
      <c r="N141" s="1" t="s">
        <v>32</v>
      </c>
      <c r="O141" s="1" t="s">
        <v>32</v>
      </c>
      <c r="P141" s="58">
        <v>3.8800000000000001E-2</v>
      </c>
      <c r="Q141" s="85">
        <f t="shared" si="12"/>
        <v>2.4199999999999999E-2</v>
      </c>
      <c r="S141" s="4">
        <v>46214</v>
      </c>
      <c r="T141" s="3" t="s">
        <v>33</v>
      </c>
      <c r="U141" s="3" t="s">
        <v>33</v>
      </c>
      <c r="V141" s="3" t="s">
        <v>33</v>
      </c>
      <c r="W141" s="3" t="s">
        <v>33</v>
      </c>
      <c r="X141" s="6">
        <v>3.5000000000000003E-2</v>
      </c>
      <c r="Y141" s="3" t="s">
        <v>33</v>
      </c>
      <c r="Z141" s="6">
        <v>1.8599999999999998E-2</v>
      </c>
      <c r="AA141" s="2">
        <v>46214</v>
      </c>
      <c r="AB141" s="1" t="s">
        <v>33</v>
      </c>
      <c r="AC141" s="1" t="s">
        <v>33</v>
      </c>
      <c r="AD141" s="1" t="s">
        <v>33</v>
      </c>
      <c r="AE141" s="1" t="s">
        <v>33</v>
      </c>
      <c r="AF141" s="1" t="s">
        <v>33</v>
      </c>
      <c r="AG141" s="1" t="s">
        <v>33</v>
      </c>
      <c r="AH141" s="58">
        <v>2.5000000000000001E-2</v>
      </c>
      <c r="AI141" s="13">
        <f t="shared" si="13"/>
        <v>6.4000000000000029E-3</v>
      </c>
      <c r="AK141" s="4">
        <v>46214</v>
      </c>
      <c r="AL141" s="6">
        <v>0.02</v>
      </c>
      <c r="AM141" s="3"/>
      <c r="AN141" s="3"/>
      <c r="AO141" s="3"/>
      <c r="AP141" s="3" t="s">
        <v>33</v>
      </c>
      <c r="AQ141" s="3" t="s">
        <v>33</v>
      </c>
      <c r="AR141" s="6">
        <v>1.47E-2</v>
      </c>
      <c r="AS141" s="2">
        <v>46214</v>
      </c>
      <c r="AT141" s="14">
        <v>3.5000000000000003E-2</v>
      </c>
      <c r="AU141" s="14">
        <v>3.5000000000000003E-2</v>
      </c>
      <c r="AV141" s="14">
        <v>3.9899999999999998E-2</v>
      </c>
      <c r="AW141" s="14">
        <v>0.04</v>
      </c>
      <c r="AX141" s="14">
        <v>4.4499999999999998E-2</v>
      </c>
      <c r="AY141" s="14">
        <v>3.9300000000000002E-2</v>
      </c>
      <c r="AZ141" s="14">
        <v>3.9899999999999998E-2</v>
      </c>
      <c r="BA141" s="13">
        <f t="shared" si="14"/>
        <v>2.52E-2</v>
      </c>
      <c r="BC141" s="4">
        <v>46214</v>
      </c>
      <c r="BD141" s="6">
        <v>1.52E-2</v>
      </c>
      <c r="BE141" s="6">
        <v>1.54E-2</v>
      </c>
      <c r="BF141" s="6">
        <v>1.5599999999999999E-2</v>
      </c>
      <c r="BG141" s="3"/>
      <c r="BH141" s="3"/>
      <c r="BI141" s="3"/>
      <c r="BJ141" s="6">
        <v>1.5599999999999999E-2</v>
      </c>
      <c r="BK141" s="2">
        <v>46214</v>
      </c>
      <c r="BL141" s="58">
        <v>4.4600000000000001E-2</v>
      </c>
      <c r="BM141" s="1"/>
      <c r="BN141" s="58">
        <v>5.3499999999999999E-2</v>
      </c>
      <c r="BO141" s="1"/>
      <c r="BP141" s="1"/>
      <c r="BQ141" s="1"/>
      <c r="BR141" s="58">
        <v>3.8899999999999997E-2</v>
      </c>
      <c r="BS141" s="13">
        <f t="shared" si="15"/>
        <v>2.3299999999999998E-2</v>
      </c>
    </row>
    <row r="142" spans="1:71" x14ac:dyDescent="0.35">
      <c r="A142" s="4">
        <v>46215</v>
      </c>
      <c r="B142" s="3" t="s">
        <v>33</v>
      </c>
      <c r="C142" s="3" t="s">
        <v>33</v>
      </c>
      <c r="D142" s="3" t="s">
        <v>32</v>
      </c>
      <c r="E142" s="3" t="s">
        <v>33</v>
      </c>
      <c r="F142" s="3" t="s">
        <v>32</v>
      </c>
      <c r="G142" s="3" t="s">
        <v>33</v>
      </c>
      <c r="H142" s="9">
        <v>1.4E-2</v>
      </c>
      <c r="I142" s="2">
        <v>46215</v>
      </c>
      <c r="J142" s="1" t="s">
        <v>33</v>
      </c>
      <c r="K142" s="1" t="s">
        <v>33</v>
      </c>
      <c r="L142" s="1" t="s">
        <v>32</v>
      </c>
      <c r="M142" s="1" t="s">
        <v>33</v>
      </c>
      <c r="N142" s="1" t="s">
        <v>32</v>
      </c>
      <c r="O142" s="1" t="s">
        <v>32</v>
      </c>
      <c r="P142" s="58">
        <v>3.7699999999999997E-2</v>
      </c>
      <c r="Q142" s="85">
        <f t="shared" ref="Q142:Q146" si="16">P142-H142</f>
        <v>2.3699999999999999E-2</v>
      </c>
      <c r="S142" s="4">
        <v>46215</v>
      </c>
      <c r="T142" s="3" t="s">
        <v>33</v>
      </c>
      <c r="U142" s="3" t="s">
        <v>33</v>
      </c>
      <c r="V142" s="3" t="s">
        <v>33</v>
      </c>
      <c r="W142" s="3" t="s">
        <v>33</v>
      </c>
      <c r="X142" s="6">
        <v>3.5000000000000003E-2</v>
      </c>
      <c r="Y142" s="3" t="s">
        <v>33</v>
      </c>
      <c r="Z142" s="6">
        <v>1.83E-2</v>
      </c>
      <c r="AA142" s="2">
        <v>46215</v>
      </c>
      <c r="AB142" s="1" t="s">
        <v>33</v>
      </c>
      <c r="AC142" s="1" t="s">
        <v>33</v>
      </c>
      <c r="AD142" s="1" t="s">
        <v>33</v>
      </c>
      <c r="AE142" s="1" t="s">
        <v>33</v>
      </c>
      <c r="AF142" s="1" t="s">
        <v>33</v>
      </c>
      <c r="AG142" s="1" t="s">
        <v>33</v>
      </c>
      <c r="AH142" s="58">
        <v>2.5000000000000001E-2</v>
      </c>
      <c r="AI142" s="13">
        <f t="shared" si="13"/>
        <v>6.7000000000000011E-3</v>
      </c>
      <c r="AK142" s="4">
        <v>46215</v>
      </c>
      <c r="AL142" s="6">
        <v>0.02</v>
      </c>
      <c r="AM142" s="3"/>
      <c r="AN142" s="3"/>
      <c r="AO142" s="3"/>
      <c r="AP142" s="3" t="s">
        <v>33</v>
      </c>
      <c r="AQ142" s="3" t="s">
        <v>33</v>
      </c>
      <c r="AR142" s="6">
        <v>1.44E-2</v>
      </c>
      <c r="AS142" s="2">
        <v>46215</v>
      </c>
      <c r="AT142" s="14">
        <v>3.5000000000000003E-2</v>
      </c>
      <c r="AU142" s="14">
        <v>3.5000000000000003E-2</v>
      </c>
      <c r="AV142" s="14">
        <v>3.9899999999999998E-2</v>
      </c>
      <c r="AW142" s="14">
        <v>0.04</v>
      </c>
      <c r="AX142" s="14">
        <v>4.4499999999999998E-2</v>
      </c>
      <c r="AY142" s="14">
        <v>3.9300000000000002E-2</v>
      </c>
      <c r="AZ142" s="14">
        <v>3.9899999999999998E-2</v>
      </c>
      <c r="BA142" s="13">
        <f t="shared" ref="BA142:BA146" si="17">AZ142-AR142</f>
        <v>2.5499999999999998E-2</v>
      </c>
      <c r="BC142" s="4">
        <v>46215</v>
      </c>
      <c r="BD142" s="6">
        <v>1.52E-2</v>
      </c>
      <c r="BE142" s="6">
        <v>1.54E-2</v>
      </c>
      <c r="BF142" s="6">
        <v>1.5599999999999999E-2</v>
      </c>
      <c r="BG142" s="3"/>
      <c r="BH142" s="3"/>
      <c r="BI142" s="3"/>
      <c r="BJ142" s="6">
        <v>1.5599999999999999E-2</v>
      </c>
      <c r="BK142" s="2">
        <v>46215</v>
      </c>
      <c r="BL142" s="58">
        <v>4.4600000000000001E-2</v>
      </c>
      <c r="BM142" s="1"/>
      <c r="BN142" s="58">
        <v>5.3499999999999999E-2</v>
      </c>
      <c r="BO142" s="1"/>
      <c r="BP142" s="1"/>
      <c r="BQ142" s="1"/>
      <c r="BR142" s="58">
        <v>3.8100000000000002E-2</v>
      </c>
      <c r="BS142" s="13">
        <f t="shared" ref="BS142:BS158" si="18">BR142-BJ142</f>
        <v>2.2500000000000003E-2</v>
      </c>
    </row>
    <row r="143" spans="1:71" x14ac:dyDescent="0.35">
      <c r="A143" s="4">
        <v>46216</v>
      </c>
      <c r="B143" s="3" t="s">
        <v>33</v>
      </c>
      <c r="C143" s="3" t="s">
        <v>33</v>
      </c>
      <c r="D143" s="3" t="s">
        <v>32</v>
      </c>
      <c r="E143" s="3" t="s">
        <v>33</v>
      </c>
      <c r="F143" s="3" t="s">
        <v>32</v>
      </c>
      <c r="G143" s="3" t="s">
        <v>33</v>
      </c>
      <c r="H143" s="9">
        <v>1.38E-2</v>
      </c>
      <c r="I143" s="2">
        <v>46216</v>
      </c>
      <c r="J143" s="1" t="s">
        <v>33</v>
      </c>
      <c r="K143" s="1" t="s">
        <v>33</v>
      </c>
      <c r="L143" s="1" t="s">
        <v>32</v>
      </c>
      <c r="M143" s="1" t="s">
        <v>33</v>
      </c>
      <c r="N143" s="1" t="s">
        <v>32</v>
      </c>
      <c r="O143" s="1" t="s">
        <v>32</v>
      </c>
      <c r="P143" s="58">
        <v>3.7100000000000001E-2</v>
      </c>
      <c r="Q143" s="85">
        <f t="shared" si="16"/>
        <v>2.3300000000000001E-2</v>
      </c>
      <c r="S143" s="4">
        <v>46216</v>
      </c>
      <c r="T143" s="3" t="s">
        <v>33</v>
      </c>
      <c r="U143" s="3" t="s">
        <v>33</v>
      </c>
      <c r="V143" s="3" t="s">
        <v>33</v>
      </c>
      <c r="W143" s="3" t="s">
        <v>33</v>
      </c>
      <c r="X143" s="6">
        <v>3.5000000000000003E-2</v>
      </c>
      <c r="Y143" s="3" t="s">
        <v>33</v>
      </c>
      <c r="Z143" s="6">
        <v>1.6299999999999999E-2</v>
      </c>
      <c r="AA143" s="2">
        <v>46216</v>
      </c>
      <c r="AB143" s="1" t="s">
        <v>33</v>
      </c>
      <c r="AC143" s="1" t="s">
        <v>33</v>
      </c>
      <c r="AD143" s="1" t="s">
        <v>33</v>
      </c>
      <c r="AE143" s="1" t="s">
        <v>33</v>
      </c>
      <c r="AF143" s="1" t="s">
        <v>33</v>
      </c>
      <c r="AG143" s="1" t="s">
        <v>33</v>
      </c>
      <c r="AH143" s="58">
        <v>2.5000000000000001E-2</v>
      </c>
      <c r="AI143" s="13">
        <f t="shared" si="13"/>
        <v>8.7000000000000029E-3</v>
      </c>
      <c r="AK143" s="4">
        <v>46216</v>
      </c>
      <c r="AL143" s="6">
        <v>0.02</v>
      </c>
      <c r="AM143" s="3"/>
      <c r="AN143" s="3"/>
      <c r="AO143" s="3"/>
      <c r="AP143" s="3" t="s">
        <v>33</v>
      </c>
      <c r="AQ143" s="3" t="s">
        <v>33</v>
      </c>
      <c r="AR143" s="6">
        <v>1.3599999999999999E-2</v>
      </c>
      <c r="AS143" s="2">
        <v>46216</v>
      </c>
      <c r="AT143" s="14">
        <v>3.5000000000000003E-2</v>
      </c>
      <c r="AU143" s="14">
        <v>3.5000000000000003E-2</v>
      </c>
      <c r="AV143" s="14">
        <v>3.9899999999999998E-2</v>
      </c>
      <c r="AW143" s="14">
        <v>0.04</v>
      </c>
      <c r="AX143" s="14">
        <v>4.4499999999999998E-2</v>
      </c>
      <c r="AY143" s="14">
        <v>3.9300000000000002E-2</v>
      </c>
      <c r="AZ143" s="14">
        <v>3.9899999999999998E-2</v>
      </c>
      <c r="BA143" s="13">
        <f t="shared" si="17"/>
        <v>2.6299999999999997E-2</v>
      </c>
      <c r="BC143" s="4">
        <v>46216</v>
      </c>
      <c r="BD143" s="6">
        <v>1.52E-2</v>
      </c>
      <c r="BE143" s="6">
        <v>1.54E-2</v>
      </c>
      <c r="BF143" s="6">
        <v>1.5599999999999999E-2</v>
      </c>
      <c r="BG143" s="3"/>
      <c r="BH143" s="3"/>
      <c r="BI143" s="3"/>
      <c r="BJ143" s="6">
        <v>1.54E-2</v>
      </c>
      <c r="BK143" s="2">
        <v>46216</v>
      </c>
      <c r="BL143" s="58">
        <v>4.4600000000000001E-2</v>
      </c>
      <c r="BM143" s="1"/>
      <c r="BN143" s="58">
        <v>5.3499999999999999E-2</v>
      </c>
      <c r="BO143" s="1"/>
      <c r="BP143" s="1"/>
      <c r="BQ143" s="1"/>
      <c r="BR143" s="58">
        <v>3.7199999999999997E-2</v>
      </c>
      <c r="BS143" s="13">
        <f t="shared" si="18"/>
        <v>2.1799999999999996E-2</v>
      </c>
    </row>
    <row r="144" spans="1:71" x14ac:dyDescent="0.35">
      <c r="A144" s="4">
        <v>46217</v>
      </c>
      <c r="B144" s="3" t="s">
        <v>33</v>
      </c>
      <c r="C144" s="3" t="s">
        <v>33</v>
      </c>
      <c r="D144" s="3" t="s">
        <v>32</v>
      </c>
      <c r="E144" s="3" t="s">
        <v>33</v>
      </c>
      <c r="F144" s="3" t="s">
        <v>32</v>
      </c>
      <c r="G144" s="3" t="s">
        <v>33</v>
      </c>
      <c r="H144" s="9">
        <v>1.4500000000000001E-2</v>
      </c>
      <c r="I144" s="2">
        <v>46217</v>
      </c>
      <c r="J144" s="1" t="s">
        <v>33</v>
      </c>
      <c r="K144" s="1" t="s">
        <v>33</v>
      </c>
      <c r="L144" s="1" t="s">
        <v>32</v>
      </c>
      <c r="M144" s="1" t="s">
        <v>33</v>
      </c>
      <c r="N144" s="1" t="s">
        <v>32</v>
      </c>
      <c r="O144" s="1" t="s">
        <v>32</v>
      </c>
      <c r="P144" s="58">
        <v>3.6900000000000002E-2</v>
      </c>
      <c r="Q144" s="85">
        <f t="shared" si="16"/>
        <v>2.2400000000000003E-2</v>
      </c>
      <c r="S144" s="4">
        <v>46217</v>
      </c>
      <c r="T144" s="3" t="s">
        <v>33</v>
      </c>
      <c r="U144" s="3" t="s">
        <v>33</v>
      </c>
      <c r="V144" s="3" t="s">
        <v>33</v>
      </c>
      <c r="W144" s="3" t="s">
        <v>33</v>
      </c>
      <c r="X144" s="6">
        <v>3.5000000000000003E-2</v>
      </c>
      <c r="Y144" s="3" t="s">
        <v>33</v>
      </c>
      <c r="Z144" s="6">
        <v>1.8499999999999999E-2</v>
      </c>
      <c r="AA144" s="2">
        <v>46217</v>
      </c>
      <c r="AB144" s="1" t="s">
        <v>33</v>
      </c>
      <c r="AC144" s="1" t="s">
        <v>33</v>
      </c>
      <c r="AD144" s="1" t="s">
        <v>33</v>
      </c>
      <c r="AE144" s="1" t="s">
        <v>33</v>
      </c>
      <c r="AF144" s="1" t="s">
        <v>33</v>
      </c>
      <c r="AG144" s="1" t="s">
        <v>33</v>
      </c>
      <c r="AH144" s="58">
        <v>2.5000000000000001E-2</v>
      </c>
      <c r="AI144" s="13">
        <f t="shared" si="13"/>
        <v>6.5000000000000023E-3</v>
      </c>
      <c r="AK144" s="4">
        <v>46217</v>
      </c>
      <c r="AL144" s="6">
        <v>0.02</v>
      </c>
      <c r="AM144" s="3"/>
      <c r="AN144" s="3"/>
      <c r="AO144" s="3"/>
      <c r="AP144" s="3" t="s">
        <v>33</v>
      </c>
      <c r="AQ144" s="3" t="s">
        <v>33</v>
      </c>
      <c r="AR144" s="6">
        <v>1.43E-2</v>
      </c>
      <c r="AS144" s="2">
        <v>46217</v>
      </c>
      <c r="AT144" s="14">
        <v>3.5000000000000003E-2</v>
      </c>
      <c r="AU144" s="14">
        <v>4.2999999999999997E-2</v>
      </c>
      <c r="AV144" s="14">
        <v>0.04</v>
      </c>
      <c r="AW144" s="14">
        <v>0.04</v>
      </c>
      <c r="AX144" s="14">
        <v>4.4499999999999998E-2</v>
      </c>
      <c r="AY144" s="14">
        <v>5.7299999999999997E-2</v>
      </c>
      <c r="AZ144" s="14">
        <v>4.0599999999999997E-2</v>
      </c>
      <c r="BA144" s="13">
        <f t="shared" si="17"/>
        <v>2.6299999999999997E-2</v>
      </c>
      <c r="BC144" s="4">
        <v>46217</v>
      </c>
      <c r="BD144" s="6">
        <v>1.52E-2</v>
      </c>
      <c r="BE144" s="6">
        <v>1.54E-2</v>
      </c>
      <c r="BF144" s="6">
        <v>1.5599999999999999E-2</v>
      </c>
      <c r="BG144" s="3"/>
      <c r="BH144" s="3"/>
      <c r="BI144" s="3"/>
      <c r="BJ144" s="6">
        <v>1.4500000000000001E-2</v>
      </c>
      <c r="BK144" s="2">
        <v>46217</v>
      </c>
      <c r="BL144" s="58">
        <v>4.5600000000000002E-2</v>
      </c>
      <c r="BM144" s="1"/>
      <c r="BN144" s="58">
        <v>5.4699999999999999E-2</v>
      </c>
      <c r="BO144" s="1"/>
      <c r="BP144" s="1"/>
      <c r="BQ144" s="1"/>
      <c r="BR144" s="58">
        <v>3.7999999999999999E-2</v>
      </c>
      <c r="BS144" s="13">
        <f t="shared" si="18"/>
        <v>2.35E-2</v>
      </c>
    </row>
    <row r="145" spans="1:71" x14ac:dyDescent="0.35">
      <c r="A145" s="4">
        <v>46218</v>
      </c>
      <c r="B145" s="3" t="s">
        <v>33</v>
      </c>
      <c r="C145" s="3" t="s">
        <v>33</v>
      </c>
      <c r="D145" s="3" t="s">
        <v>32</v>
      </c>
      <c r="E145" s="3" t="s">
        <v>33</v>
      </c>
      <c r="F145" s="3" t="s">
        <v>32</v>
      </c>
      <c r="G145" s="3" t="s">
        <v>33</v>
      </c>
      <c r="H145" s="9">
        <v>1.54E-2</v>
      </c>
      <c r="I145" s="2">
        <v>46218</v>
      </c>
      <c r="J145" s="1" t="s">
        <v>33</v>
      </c>
      <c r="K145" s="1" t="s">
        <v>33</v>
      </c>
      <c r="L145" s="1" t="s">
        <v>32</v>
      </c>
      <c r="M145" s="1" t="s">
        <v>33</v>
      </c>
      <c r="N145" s="1" t="s">
        <v>32</v>
      </c>
      <c r="O145" s="1" t="s">
        <v>32</v>
      </c>
      <c r="P145" s="58">
        <v>3.8300000000000001E-2</v>
      </c>
      <c r="Q145" s="85">
        <f t="shared" si="16"/>
        <v>2.29E-2</v>
      </c>
      <c r="S145" s="4">
        <v>46218</v>
      </c>
      <c r="T145" s="3" t="s">
        <v>33</v>
      </c>
      <c r="U145" s="3" t="s">
        <v>33</v>
      </c>
      <c r="V145" s="3" t="s">
        <v>33</v>
      </c>
      <c r="W145" s="3" t="s">
        <v>33</v>
      </c>
      <c r="X145" s="6">
        <v>3.5000000000000003E-2</v>
      </c>
      <c r="Y145" s="3" t="s">
        <v>33</v>
      </c>
      <c r="Z145" s="6">
        <v>1.89E-2</v>
      </c>
      <c r="AA145" s="2">
        <v>46218</v>
      </c>
      <c r="AB145" s="1" t="s">
        <v>33</v>
      </c>
      <c r="AC145" s="1" t="s">
        <v>33</v>
      </c>
      <c r="AD145" s="1" t="s">
        <v>33</v>
      </c>
      <c r="AE145" s="1" t="s">
        <v>33</v>
      </c>
      <c r="AF145" s="1" t="s">
        <v>33</v>
      </c>
      <c r="AG145" s="1" t="s">
        <v>33</v>
      </c>
      <c r="AH145" s="58">
        <v>2.5000000000000001E-2</v>
      </c>
      <c r="AI145" s="13">
        <f t="shared" si="13"/>
        <v>6.1000000000000013E-3</v>
      </c>
      <c r="AK145" s="4">
        <v>46218</v>
      </c>
      <c r="AL145" s="6">
        <v>0.02</v>
      </c>
      <c r="AM145" s="3"/>
      <c r="AN145" s="3"/>
      <c r="AO145" s="3"/>
      <c r="AP145" s="3" t="s">
        <v>33</v>
      </c>
      <c r="AQ145" s="3" t="s">
        <v>33</v>
      </c>
      <c r="AR145" s="6">
        <v>1.6299999999999999E-2</v>
      </c>
      <c r="AS145" s="2">
        <v>46218</v>
      </c>
      <c r="AT145" s="14">
        <v>3.3000000000000002E-2</v>
      </c>
      <c r="AU145" s="14">
        <v>3.3000000000000002E-2</v>
      </c>
      <c r="AV145" s="14">
        <v>3.7900000000000003E-2</v>
      </c>
      <c r="AW145" s="14">
        <v>0.04</v>
      </c>
      <c r="AX145" s="14">
        <v>4.2900000000000001E-2</v>
      </c>
      <c r="AY145" s="14">
        <v>5.7299999999999997E-2</v>
      </c>
      <c r="AZ145" s="14">
        <v>4.2200000000000001E-2</v>
      </c>
      <c r="BA145" s="13">
        <f t="shared" si="17"/>
        <v>2.5900000000000003E-2</v>
      </c>
      <c r="BC145" s="4">
        <v>46218</v>
      </c>
      <c r="BD145" s="6">
        <v>1.52E-2</v>
      </c>
      <c r="BE145" s="6">
        <v>1.54E-2</v>
      </c>
      <c r="BF145" s="6">
        <v>1.5599999999999999E-2</v>
      </c>
      <c r="BG145" s="3"/>
      <c r="BH145" s="3"/>
      <c r="BI145" s="3"/>
      <c r="BJ145" s="6">
        <v>1.5599999999999999E-2</v>
      </c>
      <c r="BK145" s="2">
        <v>46218</v>
      </c>
      <c r="BL145" s="58">
        <v>4.7199999999999999E-2</v>
      </c>
      <c r="BM145" s="1"/>
      <c r="BN145" s="58">
        <v>5.6599999999999998E-2</v>
      </c>
      <c r="BO145" s="1"/>
      <c r="BP145" s="1"/>
      <c r="BQ145" s="1"/>
      <c r="BR145" s="58">
        <v>3.95E-2</v>
      </c>
      <c r="BS145" s="13">
        <f t="shared" si="18"/>
        <v>2.3900000000000001E-2</v>
      </c>
    </row>
    <row r="146" spans="1:71" x14ac:dyDescent="0.35">
      <c r="A146" s="4">
        <v>46219</v>
      </c>
      <c r="B146" s="3" t="s">
        <v>33</v>
      </c>
      <c r="C146" s="3" t="s">
        <v>33</v>
      </c>
      <c r="D146" s="3" t="s">
        <v>32</v>
      </c>
      <c r="E146" s="3" t="s">
        <v>33</v>
      </c>
      <c r="F146" s="3" t="s">
        <v>32</v>
      </c>
      <c r="G146" s="3" t="s">
        <v>33</v>
      </c>
      <c r="H146" s="9">
        <v>1.54E-2</v>
      </c>
      <c r="I146" s="2">
        <v>46219</v>
      </c>
      <c r="J146" s="1" t="s">
        <v>33</v>
      </c>
      <c r="K146" s="1" t="s">
        <v>33</v>
      </c>
      <c r="L146" s="1" t="s">
        <v>32</v>
      </c>
      <c r="M146" s="1" t="s">
        <v>33</v>
      </c>
      <c r="N146" s="1" t="s">
        <v>32</v>
      </c>
      <c r="O146" s="1" t="s">
        <v>32</v>
      </c>
      <c r="P146" s="58">
        <v>3.8100000000000002E-2</v>
      </c>
      <c r="Q146" s="85">
        <f t="shared" si="16"/>
        <v>2.2700000000000001E-2</v>
      </c>
      <c r="S146" s="4">
        <v>46219</v>
      </c>
      <c r="T146" s="3" t="s">
        <v>33</v>
      </c>
      <c r="U146" s="3" t="s">
        <v>33</v>
      </c>
      <c r="V146" s="3" t="s">
        <v>33</v>
      </c>
      <c r="W146" s="3" t="s">
        <v>33</v>
      </c>
      <c r="X146" s="6">
        <v>3.5000000000000003E-2</v>
      </c>
      <c r="Y146" s="3" t="s">
        <v>33</v>
      </c>
      <c r="Z146" s="6">
        <v>1.9099999999999999E-2</v>
      </c>
      <c r="AA146" s="2">
        <v>46219</v>
      </c>
      <c r="AB146" s="1" t="s">
        <v>33</v>
      </c>
      <c r="AC146" s="1" t="s">
        <v>33</v>
      </c>
      <c r="AD146" s="1" t="s">
        <v>33</v>
      </c>
      <c r="AE146" s="1" t="s">
        <v>33</v>
      </c>
      <c r="AF146" s="1" t="s">
        <v>33</v>
      </c>
      <c r="AG146" s="1" t="s">
        <v>33</v>
      </c>
      <c r="AH146" s="58">
        <v>2.5000000000000001E-2</v>
      </c>
      <c r="AI146" s="13">
        <f t="shared" si="13"/>
        <v>5.9000000000000025E-3</v>
      </c>
      <c r="AK146" s="4">
        <v>46219</v>
      </c>
      <c r="AL146" s="6">
        <v>0.02</v>
      </c>
      <c r="AM146" s="3"/>
      <c r="AN146" s="3"/>
      <c r="AO146" s="3"/>
      <c r="AP146" s="3" t="s">
        <v>33</v>
      </c>
      <c r="AQ146" s="3" t="s">
        <v>33</v>
      </c>
      <c r="AR146" s="6">
        <v>1.6299999999999999E-2</v>
      </c>
      <c r="AS146" s="2">
        <v>46219</v>
      </c>
      <c r="AT146" s="14">
        <v>3.3000000000000002E-2</v>
      </c>
      <c r="AU146" s="14">
        <v>3.3000000000000002E-2</v>
      </c>
      <c r="AV146" s="14">
        <v>3.7900000000000003E-2</v>
      </c>
      <c r="AW146" s="14">
        <v>0.04</v>
      </c>
      <c r="AX146" s="14">
        <v>4.2900000000000001E-2</v>
      </c>
      <c r="AY146" s="14">
        <v>5.7299999999999997E-2</v>
      </c>
      <c r="AZ146" s="14">
        <v>4.2200000000000001E-2</v>
      </c>
      <c r="BA146" s="13">
        <f t="shared" si="17"/>
        <v>2.5900000000000003E-2</v>
      </c>
      <c r="BC146" s="4">
        <v>46219</v>
      </c>
      <c r="BD146" s="6">
        <v>1.52E-2</v>
      </c>
      <c r="BE146" s="6">
        <v>1.54E-2</v>
      </c>
      <c r="BF146" s="6">
        <v>1.5599999999999999E-2</v>
      </c>
      <c r="BG146" s="3"/>
      <c r="BH146" s="3"/>
      <c r="BI146" s="3"/>
      <c r="BJ146" s="6">
        <v>1.5599999999999999E-2</v>
      </c>
      <c r="BK146" s="2">
        <v>46219</v>
      </c>
      <c r="BL146" s="58">
        <v>4.7199999999999999E-2</v>
      </c>
      <c r="BM146" s="1"/>
      <c r="BN146" s="58">
        <v>5.6599999999999998E-2</v>
      </c>
      <c r="BO146" s="1"/>
      <c r="BP146" s="1"/>
      <c r="BQ146" s="1"/>
      <c r="BR146" s="58">
        <v>3.9399999999999998E-2</v>
      </c>
      <c r="BS146" s="13">
        <f t="shared" si="18"/>
        <v>2.3799999999999998E-2</v>
      </c>
    </row>
    <row r="147" spans="1:71" x14ac:dyDescent="0.35">
      <c r="A147" s="4">
        <v>46220</v>
      </c>
      <c r="B147" s="3" t="s">
        <v>33</v>
      </c>
      <c r="C147" s="3" t="s">
        <v>33</v>
      </c>
      <c r="D147" s="3" t="s">
        <v>32</v>
      </c>
      <c r="E147" s="3" t="s">
        <v>33</v>
      </c>
      <c r="F147" s="3" t="s">
        <v>32</v>
      </c>
      <c r="G147" s="3" t="s">
        <v>33</v>
      </c>
      <c r="H147" s="9">
        <v>1.5100000000000001E-2</v>
      </c>
      <c r="I147" s="2">
        <v>46220</v>
      </c>
      <c r="J147" s="1" t="s">
        <v>33</v>
      </c>
      <c r="K147" s="1" t="s">
        <v>33</v>
      </c>
      <c r="L147" s="1" t="s">
        <v>32</v>
      </c>
      <c r="M147" s="1" t="s">
        <v>33</v>
      </c>
      <c r="N147" s="1" t="s">
        <v>32</v>
      </c>
      <c r="O147" s="1" t="s">
        <v>32</v>
      </c>
      <c r="P147" s="58">
        <v>3.7699999999999997E-2</v>
      </c>
      <c r="Q147" s="85">
        <f t="shared" ref="Q147:Q152" si="19">P147-H147</f>
        <v>2.2599999999999995E-2</v>
      </c>
      <c r="S147" s="4">
        <v>46220</v>
      </c>
      <c r="T147" s="3" t="s">
        <v>33</v>
      </c>
      <c r="U147" s="3" t="s">
        <v>33</v>
      </c>
      <c r="V147" s="3" t="s">
        <v>33</v>
      </c>
      <c r="W147" s="3" t="s">
        <v>33</v>
      </c>
      <c r="X147" s="6">
        <v>3.5000000000000003E-2</v>
      </c>
      <c r="Y147" s="3" t="s">
        <v>33</v>
      </c>
      <c r="Z147" s="6">
        <v>1.9E-2</v>
      </c>
      <c r="AA147" s="2">
        <v>46220</v>
      </c>
      <c r="AB147" s="1" t="s">
        <v>33</v>
      </c>
      <c r="AC147" s="1" t="s">
        <v>33</v>
      </c>
      <c r="AD147" s="1" t="s">
        <v>33</v>
      </c>
      <c r="AE147" s="1" t="s">
        <v>33</v>
      </c>
      <c r="AF147" s="1" t="s">
        <v>33</v>
      </c>
      <c r="AG147" s="1" t="s">
        <v>33</v>
      </c>
      <c r="AH147" s="58">
        <v>2.5000000000000001E-2</v>
      </c>
      <c r="AI147" s="13">
        <f t="shared" si="13"/>
        <v>6.0000000000000019E-3</v>
      </c>
      <c r="AK147" s="4">
        <v>46220</v>
      </c>
      <c r="AL147" s="6">
        <v>0.02</v>
      </c>
      <c r="AM147" s="3"/>
      <c r="AN147" s="3"/>
      <c r="AO147" s="3"/>
      <c r="AP147" s="3" t="s">
        <v>33</v>
      </c>
      <c r="AQ147" s="3" t="s">
        <v>33</v>
      </c>
      <c r="AR147" s="6">
        <v>1.5800000000000002E-2</v>
      </c>
      <c r="AS147" s="2">
        <v>46220</v>
      </c>
      <c r="AT147" s="14">
        <v>3.5000000000000003E-2</v>
      </c>
      <c r="AU147" s="14">
        <v>3.3000000000000002E-2</v>
      </c>
      <c r="AV147" s="14">
        <v>3.5000000000000003E-2</v>
      </c>
      <c r="AW147" s="14">
        <v>0.04</v>
      </c>
      <c r="AX147" s="14">
        <v>4.2900000000000001E-2</v>
      </c>
      <c r="AY147" s="14">
        <v>5.7000000000000002E-2</v>
      </c>
      <c r="AZ147" s="14">
        <v>4.1700000000000001E-2</v>
      </c>
      <c r="BA147" s="13">
        <f t="shared" ref="BA147:BA152" si="20">AZ147-AR147</f>
        <v>2.5899999999999999E-2</v>
      </c>
      <c r="BC147" s="4">
        <v>46220</v>
      </c>
      <c r="BD147" s="6">
        <v>1.52E-2</v>
      </c>
      <c r="BE147" s="6">
        <v>1.54E-2</v>
      </c>
      <c r="BF147" s="6">
        <v>1.5599999999999999E-2</v>
      </c>
      <c r="BG147" s="3"/>
      <c r="BH147" s="3"/>
      <c r="BI147" s="3"/>
      <c r="BJ147" s="6">
        <v>1.61E-2</v>
      </c>
      <c r="BK147" s="2">
        <v>46220</v>
      </c>
      <c r="BL147" s="58">
        <v>4.6199999999999998E-2</v>
      </c>
      <c r="BM147" s="1"/>
      <c r="BN147" s="58">
        <v>5.5399999999999998E-2</v>
      </c>
      <c r="BO147" s="1"/>
      <c r="BP147" s="1"/>
      <c r="BQ147" s="1"/>
      <c r="BR147" s="58">
        <v>3.8699999999999998E-2</v>
      </c>
      <c r="BS147" s="13">
        <f t="shared" si="18"/>
        <v>2.2599999999999999E-2</v>
      </c>
    </row>
    <row r="148" spans="1:71" x14ac:dyDescent="0.35">
      <c r="A148" s="4">
        <v>46221</v>
      </c>
      <c r="B148" s="3" t="s">
        <v>33</v>
      </c>
      <c r="C148" s="3" t="s">
        <v>33</v>
      </c>
      <c r="D148" s="3" t="s">
        <v>32</v>
      </c>
      <c r="E148" s="3" t="s">
        <v>33</v>
      </c>
      <c r="F148" s="3" t="s">
        <v>32</v>
      </c>
      <c r="G148" s="3" t="s">
        <v>33</v>
      </c>
      <c r="H148" s="9">
        <v>1.4E-2</v>
      </c>
      <c r="I148" s="2">
        <v>46221</v>
      </c>
      <c r="J148" s="1" t="s">
        <v>33</v>
      </c>
      <c r="K148" s="1" t="s">
        <v>33</v>
      </c>
      <c r="L148" s="1" t="s">
        <v>32</v>
      </c>
      <c r="M148" s="1" t="s">
        <v>33</v>
      </c>
      <c r="N148" s="1" t="s">
        <v>32</v>
      </c>
      <c r="O148" s="1" t="s">
        <v>32</v>
      </c>
      <c r="P148" s="58">
        <v>3.7400000000000003E-2</v>
      </c>
      <c r="Q148" s="85">
        <f t="shared" si="19"/>
        <v>2.3400000000000004E-2</v>
      </c>
      <c r="S148" s="4">
        <v>46221</v>
      </c>
      <c r="T148" s="3" t="s">
        <v>33</v>
      </c>
      <c r="U148" s="3" t="s">
        <v>33</v>
      </c>
      <c r="V148" s="3" t="s">
        <v>33</v>
      </c>
      <c r="W148" s="3" t="s">
        <v>33</v>
      </c>
      <c r="X148" s="6">
        <v>3.5000000000000003E-2</v>
      </c>
      <c r="Y148" s="3" t="s">
        <v>33</v>
      </c>
      <c r="Z148" s="6">
        <v>1.9E-2</v>
      </c>
      <c r="AA148" s="2">
        <v>46221</v>
      </c>
      <c r="AB148" s="1" t="s">
        <v>33</v>
      </c>
      <c r="AC148" s="1" t="s">
        <v>33</v>
      </c>
      <c r="AD148" s="1" t="s">
        <v>33</v>
      </c>
      <c r="AE148" s="1" t="s">
        <v>33</v>
      </c>
      <c r="AF148" s="1" t="s">
        <v>33</v>
      </c>
      <c r="AG148" s="1" t="s">
        <v>33</v>
      </c>
      <c r="AH148" s="58">
        <v>2.5000000000000001E-2</v>
      </c>
      <c r="AI148" s="13">
        <f t="shared" si="13"/>
        <v>6.0000000000000019E-3</v>
      </c>
      <c r="AK148" s="4">
        <v>46221</v>
      </c>
      <c r="AL148" s="6">
        <v>0.02</v>
      </c>
      <c r="AM148" s="3"/>
      <c r="AN148" s="3"/>
      <c r="AO148" s="3"/>
      <c r="AP148" s="3" t="s">
        <v>33</v>
      </c>
      <c r="AQ148" s="3" t="s">
        <v>33</v>
      </c>
      <c r="AR148" s="6">
        <v>1.4999999999999999E-2</v>
      </c>
      <c r="AS148" s="2">
        <v>46221</v>
      </c>
      <c r="AT148" s="14">
        <v>3.3000000000000002E-2</v>
      </c>
      <c r="AU148" s="14">
        <v>3.39E-2</v>
      </c>
      <c r="AV148" s="14">
        <v>3.7699999999999997E-2</v>
      </c>
      <c r="AW148" s="14">
        <v>3.9899999999999998E-2</v>
      </c>
      <c r="AX148" s="14">
        <v>4.2900000000000001E-2</v>
      </c>
      <c r="AY148" s="14">
        <v>4.9799999999999997E-2</v>
      </c>
      <c r="AZ148" s="14">
        <v>4.0599999999999997E-2</v>
      </c>
      <c r="BA148" s="13">
        <f t="shared" si="20"/>
        <v>2.5599999999999998E-2</v>
      </c>
      <c r="BC148" s="4">
        <v>46221</v>
      </c>
      <c r="BD148" s="6">
        <v>1.52E-2</v>
      </c>
      <c r="BE148" s="6">
        <v>1.54E-2</v>
      </c>
      <c r="BF148" s="6">
        <v>1.5599999999999999E-2</v>
      </c>
      <c r="BG148" s="3"/>
      <c r="BH148" s="3"/>
      <c r="BI148" s="3"/>
      <c r="BJ148" s="6">
        <v>1.4999999999999999E-2</v>
      </c>
      <c r="BK148" s="2">
        <v>46221</v>
      </c>
      <c r="BL148" s="58">
        <v>4.5199999999999997E-2</v>
      </c>
      <c r="BM148" s="1"/>
      <c r="BN148" s="58">
        <v>5.4199999999999998E-2</v>
      </c>
      <c r="BO148" s="1"/>
      <c r="BP148" s="1"/>
      <c r="BQ148" s="1"/>
      <c r="BR148" s="58">
        <v>3.7499999999999999E-2</v>
      </c>
      <c r="BS148" s="13">
        <f t="shared" si="18"/>
        <v>2.2499999999999999E-2</v>
      </c>
    </row>
    <row r="149" spans="1:71" x14ac:dyDescent="0.35">
      <c r="A149" s="4">
        <v>46222</v>
      </c>
      <c r="B149" s="3" t="s">
        <v>33</v>
      </c>
      <c r="C149" s="3" t="s">
        <v>33</v>
      </c>
      <c r="D149" s="3" t="s">
        <v>32</v>
      </c>
      <c r="E149" s="3" t="s">
        <v>33</v>
      </c>
      <c r="F149" s="3" t="s">
        <v>32</v>
      </c>
      <c r="G149" s="3" t="s">
        <v>33</v>
      </c>
      <c r="H149" s="9">
        <v>1.41E-2</v>
      </c>
      <c r="I149" s="2">
        <v>46222</v>
      </c>
      <c r="J149" s="1" t="s">
        <v>33</v>
      </c>
      <c r="K149" s="1" t="s">
        <v>33</v>
      </c>
      <c r="L149" s="1" t="s">
        <v>32</v>
      </c>
      <c r="M149" s="1" t="s">
        <v>33</v>
      </c>
      <c r="N149" s="1" t="s">
        <v>32</v>
      </c>
      <c r="O149" s="1" t="s">
        <v>32</v>
      </c>
      <c r="P149" s="58">
        <v>3.6799999999999999E-2</v>
      </c>
      <c r="Q149" s="85">
        <f t="shared" si="19"/>
        <v>2.2699999999999998E-2</v>
      </c>
      <c r="S149" s="4">
        <v>46222</v>
      </c>
      <c r="T149" s="3" t="s">
        <v>33</v>
      </c>
      <c r="U149" s="3" t="s">
        <v>33</v>
      </c>
      <c r="V149" s="3" t="s">
        <v>33</v>
      </c>
      <c r="W149" s="3" t="s">
        <v>33</v>
      </c>
      <c r="X149" s="6">
        <v>3.5000000000000003E-2</v>
      </c>
      <c r="Y149" s="3" t="s">
        <v>33</v>
      </c>
      <c r="Z149" s="6">
        <v>1.9199999999999998E-2</v>
      </c>
      <c r="AA149" s="2">
        <v>46222</v>
      </c>
      <c r="AB149" s="1" t="s">
        <v>33</v>
      </c>
      <c r="AC149" s="1" t="s">
        <v>33</v>
      </c>
      <c r="AD149" s="1" t="s">
        <v>33</v>
      </c>
      <c r="AE149" s="1" t="s">
        <v>33</v>
      </c>
      <c r="AF149" s="1" t="s">
        <v>33</v>
      </c>
      <c r="AG149" s="1" t="s">
        <v>33</v>
      </c>
      <c r="AH149" s="58">
        <v>2.5000000000000001E-2</v>
      </c>
      <c r="AI149" s="13">
        <f t="shared" si="13"/>
        <v>5.8000000000000031E-3</v>
      </c>
      <c r="AK149" s="4">
        <v>46222</v>
      </c>
      <c r="AL149" s="6">
        <v>0.02</v>
      </c>
      <c r="AM149" s="3"/>
      <c r="AN149" s="3"/>
      <c r="AO149" s="3"/>
      <c r="AP149" s="3" t="s">
        <v>33</v>
      </c>
      <c r="AQ149" s="3" t="s">
        <v>33</v>
      </c>
      <c r="AR149" s="6">
        <v>1.4999999999999999E-2</v>
      </c>
      <c r="AS149" s="2">
        <v>46222</v>
      </c>
      <c r="AT149" s="14">
        <v>3.3000000000000002E-2</v>
      </c>
      <c r="AU149" s="14">
        <v>3.39E-2</v>
      </c>
      <c r="AV149" s="14">
        <v>3.7699999999999997E-2</v>
      </c>
      <c r="AW149" s="14">
        <v>3.9899999999999998E-2</v>
      </c>
      <c r="AX149" s="14">
        <v>4.2900000000000001E-2</v>
      </c>
      <c r="AY149" s="14">
        <v>4.9799999999999997E-2</v>
      </c>
      <c r="AZ149" s="14">
        <v>4.0599999999999997E-2</v>
      </c>
      <c r="BA149" s="13">
        <f t="shared" si="20"/>
        <v>2.5599999999999998E-2</v>
      </c>
      <c r="BC149" s="4">
        <v>46222</v>
      </c>
      <c r="BD149" s="6">
        <v>1.52E-2</v>
      </c>
      <c r="BE149" s="6">
        <v>1.54E-2</v>
      </c>
      <c r="BF149" s="6">
        <v>1.5599999999999999E-2</v>
      </c>
      <c r="BG149" s="3"/>
      <c r="BH149" s="3"/>
      <c r="BI149" s="3"/>
      <c r="BJ149" s="6">
        <v>1.49E-2</v>
      </c>
      <c r="BK149" s="2">
        <v>46222</v>
      </c>
      <c r="BL149" s="58">
        <v>4.5199999999999997E-2</v>
      </c>
      <c r="BM149" s="1"/>
      <c r="BN149" s="58">
        <v>5.4199999999999998E-2</v>
      </c>
      <c r="BO149" s="1"/>
      <c r="BP149" s="1"/>
      <c r="BQ149" s="1"/>
      <c r="BR149" s="58">
        <v>3.6999999999999998E-2</v>
      </c>
      <c r="BS149" s="13">
        <f t="shared" si="18"/>
        <v>2.2099999999999998E-2</v>
      </c>
    </row>
    <row r="150" spans="1:71" x14ac:dyDescent="0.35">
      <c r="A150" s="4">
        <v>46223</v>
      </c>
      <c r="B150" s="3" t="s">
        <v>33</v>
      </c>
      <c r="C150" s="3" t="s">
        <v>33</v>
      </c>
      <c r="D150" s="3" t="s">
        <v>32</v>
      </c>
      <c r="E150" s="3" t="s">
        <v>33</v>
      </c>
      <c r="F150" s="3" t="s">
        <v>32</v>
      </c>
      <c r="G150" s="3" t="s">
        <v>33</v>
      </c>
      <c r="H150" s="9">
        <v>1.43E-2</v>
      </c>
      <c r="I150" s="2">
        <v>46223</v>
      </c>
      <c r="J150" s="1" t="s">
        <v>33</v>
      </c>
      <c r="K150" s="1" t="s">
        <v>33</v>
      </c>
      <c r="L150" s="1" t="s">
        <v>32</v>
      </c>
      <c r="M150" s="1" t="s">
        <v>33</v>
      </c>
      <c r="N150" s="1" t="s">
        <v>32</v>
      </c>
      <c r="O150" s="1" t="s">
        <v>32</v>
      </c>
      <c r="P150" s="58">
        <v>3.7400000000000003E-2</v>
      </c>
      <c r="Q150" s="85">
        <f t="shared" si="19"/>
        <v>2.3100000000000002E-2</v>
      </c>
      <c r="S150" s="4">
        <v>46223</v>
      </c>
      <c r="T150" s="3" t="s">
        <v>33</v>
      </c>
      <c r="U150" s="3" t="s">
        <v>33</v>
      </c>
      <c r="V150" s="3" t="s">
        <v>33</v>
      </c>
      <c r="W150" s="3" t="s">
        <v>33</v>
      </c>
      <c r="X150" s="6">
        <v>3.5000000000000003E-2</v>
      </c>
      <c r="Y150" s="3" t="s">
        <v>33</v>
      </c>
      <c r="Z150" s="6">
        <v>1.72E-2</v>
      </c>
      <c r="AA150" s="2">
        <v>46223</v>
      </c>
      <c r="AB150" s="1" t="s">
        <v>33</v>
      </c>
      <c r="AC150" s="1" t="s">
        <v>33</v>
      </c>
      <c r="AD150" s="1" t="s">
        <v>33</v>
      </c>
      <c r="AE150" s="1" t="s">
        <v>33</v>
      </c>
      <c r="AF150" s="1" t="s">
        <v>33</v>
      </c>
      <c r="AG150" s="1" t="s">
        <v>33</v>
      </c>
      <c r="AH150" s="58">
        <v>2.5000000000000001E-2</v>
      </c>
      <c r="AI150" s="13">
        <f t="shared" si="13"/>
        <v>7.8000000000000014E-3</v>
      </c>
      <c r="AK150" s="4">
        <v>46223</v>
      </c>
      <c r="AL150" s="6">
        <v>0.02</v>
      </c>
      <c r="AM150" s="3"/>
      <c r="AN150" s="3"/>
      <c r="AO150" s="3"/>
      <c r="AP150" s="3" t="s">
        <v>33</v>
      </c>
      <c r="AQ150" s="3" t="s">
        <v>33</v>
      </c>
      <c r="AR150" s="6">
        <v>1.4999999999999999E-2</v>
      </c>
      <c r="AS150" s="2">
        <v>46223</v>
      </c>
      <c r="AT150" s="14">
        <v>3.3000000000000002E-2</v>
      </c>
      <c r="AU150" s="14">
        <v>3.39E-2</v>
      </c>
      <c r="AV150" s="14">
        <v>3.7699999999999997E-2</v>
      </c>
      <c r="AW150" s="14">
        <v>3.9899999999999998E-2</v>
      </c>
      <c r="AX150" s="14">
        <v>4.2900000000000001E-2</v>
      </c>
      <c r="AY150" s="14">
        <v>4.9799999999999997E-2</v>
      </c>
      <c r="AZ150" s="14">
        <v>4.0599999999999997E-2</v>
      </c>
      <c r="BA150" s="13">
        <f t="shared" si="20"/>
        <v>2.5599999999999998E-2</v>
      </c>
      <c r="BC150" s="4">
        <v>46223</v>
      </c>
      <c r="BD150" s="6">
        <v>1.52E-2</v>
      </c>
      <c r="BE150" s="6">
        <v>1.54E-2</v>
      </c>
      <c r="BF150" s="6">
        <v>1.5599999999999999E-2</v>
      </c>
      <c r="BG150" s="3"/>
      <c r="BH150" s="3"/>
      <c r="BI150" s="3"/>
      <c r="BJ150" s="6">
        <v>1.4800000000000001E-2</v>
      </c>
      <c r="BK150" s="2">
        <v>46223</v>
      </c>
      <c r="BL150" s="58">
        <v>4.5199999999999997E-2</v>
      </c>
      <c r="BM150" s="1"/>
      <c r="BN150" s="58">
        <v>5.4199999999999998E-2</v>
      </c>
      <c r="BO150" s="1"/>
      <c r="BP150" s="1"/>
      <c r="BQ150" s="1"/>
      <c r="BR150" s="58">
        <v>3.78E-2</v>
      </c>
      <c r="BS150" s="13">
        <f t="shared" si="18"/>
        <v>2.3E-2</v>
      </c>
    </row>
    <row r="151" spans="1:71" x14ac:dyDescent="0.35">
      <c r="A151" s="4">
        <v>46224</v>
      </c>
      <c r="B151" s="3" t="s">
        <v>33</v>
      </c>
      <c r="C151" s="3" t="s">
        <v>33</v>
      </c>
      <c r="D151" s="3" t="s">
        <v>32</v>
      </c>
      <c r="E151" s="3" t="s">
        <v>33</v>
      </c>
      <c r="F151" s="3" t="s">
        <v>32</v>
      </c>
      <c r="G151" s="3" t="s">
        <v>33</v>
      </c>
      <c r="H151" s="9">
        <v>1.5100000000000001E-2</v>
      </c>
      <c r="I151" s="2">
        <v>46224</v>
      </c>
      <c r="J151" s="1" t="s">
        <v>33</v>
      </c>
      <c r="K151" s="1" t="s">
        <v>33</v>
      </c>
      <c r="L151" s="1" t="s">
        <v>32</v>
      </c>
      <c r="M151" s="1" t="s">
        <v>33</v>
      </c>
      <c r="N151" s="1" t="s">
        <v>32</v>
      </c>
      <c r="O151" s="1" t="s">
        <v>32</v>
      </c>
      <c r="P151" s="58">
        <v>3.78E-2</v>
      </c>
      <c r="Q151" s="85">
        <f t="shared" si="19"/>
        <v>2.2699999999999998E-2</v>
      </c>
      <c r="S151" s="4">
        <v>46224</v>
      </c>
      <c r="T151" s="3" t="s">
        <v>33</v>
      </c>
      <c r="U151" s="3" t="s">
        <v>33</v>
      </c>
      <c r="V151" s="3" t="s">
        <v>33</v>
      </c>
      <c r="W151" s="3" t="s">
        <v>33</v>
      </c>
      <c r="X151" s="6">
        <v>3.5000000000000003E-2</v>
      </c>
      <c r="Y151" s="3" t="s">
        <v>33</v>
      </c>
      <c r="Z151" s="6">
        <v>1.9300000000000001E-2</v>
      </c>
      <c r="AA151" s="2">
        <v>46224</v>
      </c>
      <c r="AB151" s="1" t="s">
        <v>33</v>
      </c>
      <c r="AC151" s="1" t="s">
        <v>33</v>
      </c>
      <c r="AD151" s="1" t="s">
        <v>33</v>
      </c>
      <c r="AE151" s="1" t="s">
        <v>33</v>
      </c>
      <c r="AF151" s="1" t="s">
        <v>33</v>
      </c>
      <c r="AG151" s="1" t="s">
        <v>33</v>
      </c>
      <c r="AH151" s="58">
        <v>2.5000000000000001E-2</v>
      </c>
      <c r="AI151" s="13">
        <f t="shared" si="13"/>
        <v>5.7000000000000002E-3</v>
      </c>
      <c r="AK151" s="4">
        <v>46224</v>
      </c>
      <c r="AL151" s="6">
        <v>0.02</v>
      </c>
      <c r="AM151" s="3"/>
      <c r="AN151" s="3"/>
      <c r="AO151" s="3"/>
      <c r="AP151" s="3" t="s">
        <v>33</v>
      </c>
      <c r="AQ151" s="3" t="s">
        <v>33</v>
      </c>
      <c r="AR151" s="6">
        <v>1.61E-2</v>
      </c>
      <c r="AS151" s="2">
        <v>46224</v>
      </c>
      <c r="AT151" s="14">
        <v>3.39E-2</v>
      </c>
      <c r="AU151" s="14">
        <v>3.49E-2</v>
      </c>
      <c r="AV151" s="14">
        <v>3.7499999999999999E-2</v>
      </c>
      <c r="AW151" s="14">
        <v>3.9899999999999998E-2</v>
      </c>
      <c r="AX151" s="14">
        <v>4.1799999999999997E-2</v>
      </c>
      <c r="AY151" s="14">
        <v>4.99E-2</v>
      </c>
      <c r="AZ151" s="14">
        <v>4.1300000000000003E-2</v>
      </c>
      <c r="BA151" s="13">
        <f t="shared" si="20"/>
        <v>2.5200000000000004E-2</v>
      </c>
      <c r="BC151" s="4">
        <v>46224</v>
      </c>
      <c r="BD151" s="6">
        <v>1.52E-2</v>
      </c>
      <c r="BE151" s="6">
        <v>1.54E-2</v>
      </c>
      <c r="BF151" s="6">
        <v>1.5599999999999999E-2</v>
      </c>
      <c r="BG151" s="3"/>
      <c r="BH151" s="3"/>
      <c r="BI151" s="3"/>
      <c r="BJ151" s="6">
        <v>1.41E-2</v>
      </c>
      <c r="BK151" s="2">
        <v>46224</v>
      </c>
      <c r="BL151" s="58">
        <v>4.5900000000000003E-2</v>
      </c>
      <c r="BM151" s="1"/>
      <c r="BN151" s="58">
        <v>5.5100000000000003E-2</v>
      </c>
      <c r="BO151" s="1"/>
      <c r="BP151" s="1"/>
      <c r="BQ151" s="1"/>
      <c r="BR151" s="58">
        <v>3.8300000000000001E-2</v>
      </c>
      <c r="BS151" s="13">
        <f t="shared" si="18"/>
        <v>2.4199999999999999E-2</v>
      </c>
    </row>
    <row r="152" spans="1:71" x14ac:dyDescent="0.35">
      <c r="A152" s="4">
        <v>46225</v>
      </c>
      <c r="B152" s="3" t="s">
        <v>33</v>
      </c>
      <c r="C152" s="3" t="s">
        <v>33</v>
      </c>
      <c r="D152" s="3" t="s">
        <v>32</v>
      </c>
      <c r="E152" s="3" t="s">
        <v>33</v>
      </c>
      <c r="F152" s="3" t="s">
        <v>32</v>
      </c>
      <c r="G152" s="3" t="s">
        <v>33</v>
      </c>
      <c r="H152" s="9">
        <v>1.4800000000000001E-2</v>
      </c>
      <c r="I152" s="2">
        <v>46225</v>
      </c>
      <c r="J152" s="1" t="s">
        <v>33</v>
      </c>
      <c r="K152" s="1" t="s">
        <v>33</v>
      </c>
      <c r="L152" s="1" t="s">
        <v>32</v>
      </c>
      <c r="M152" s="1" t="s">
        <v>33</v>
      </c>
      <c r="N152" s="1" t="s">
        <v>32</v>
      </c>
      <c r="O152" s="1" t="s">
        <v>32</v>
      </c>
      <c r="P152" s="58">
        <v>3.7400000000000003E-2</v>
      </c>
      <c r="Q152" s="85">
        <f t="shared" si="19"/>
        <v>2.2600000000000002E-2</v>
      </c>
      <c r="S152" s="4">
        <v>46225</v>
      </c>
      <c r="T152" s="3" t="s">
        <v>33</v>
      </c>
      <c r="U152" s="3" t="s">
        <v>33</v>
      </c>
      <c r="V152" s="3" t="s">
        <v>33</v>
      </c>
      <c r="W152" s="3" t="s">
        <v>33</v>
      </c>
      <c r="X152" s="6">
        <v>3.5000000000000003E-2</v>
      </c>
      <c r="Y152" s="3" t="s">
        <v>33</v>
      </c>
      <c r="Z152" s="6">
        <v>1.9199999999999998E-2</v>
      </c>
      <c r="AA152" s="2">
        <v>46225</v>
      </c>
      <c r="AB152" s="1" t="s">
        <v>33</v>
      </c>
      <c r="AC152" s="1" t="s">
        <v>33</v>
      </c>
      <c r="AD152" s="1" t="s">
        <v>33</v>
      </c>
      <c r="AE152" s="1" t="s">
        <v>33</v>
      </c>
      <c r="AF152" s="1" t="s">
        <v>33</v>
      </c>
      <c r="AG152" s="1" t="s">
        <v>33</v>
      </c>
      <c r="AH152" s="58">
        <v>2.5000000000000001E-2</v>
      </c>
      <c r="AI152" s="13">
        <f t="shared" si="13"/>
        <v>5.8000000000000031E-3</v>
      </c>
      <c r="AK152" s="4">
        <v>46225</v>
      </c>
      <c r="AL152" s="6">
        <v>0.02</v>
      </c>
      <c r="AM152" s="3"/>
      <c r="AN152" s="3"/>
      <c r="AO152" s="3"/>
      <c r="AP152" s="3" t="s">
        <v>33</v>
      </c>
      <c r="AQ152" s="3" t="s">
        <v>33</v>
      </c>
      <c r="AR152" s="6">
        <v>1.6299999999999999E-2</v>
      </c>
      <c r="AS152" s="2">
        <v>46225</v>
      </c>
      <c r="AT152" s="14">
        <v>3.5000000000000003E-2</v>
      </c>
      <c r="AU152" s="14">
        <v>3.5000000000000003E-2</v>
      </c>
      <c r="AV152" s="14">
        <v>3.5900000000000001E-2</v>
      </c>
      <c r="AW152" s="14">
        <v>3.9899999999999998E-2</v>
      </c>
      <c r="AX152" s="14">
        <v>4.19E-2</v>
      </c>
      <c r="AY152" s="14">
        <v>5.0999999999999997E-2</v>
      </c>
      <c r="AZ152" s="14">
        <v>4.1300000000000003E-2</v>
      </c>
      <c r="BA152" s="13">
        <f t="shared" si="20"/>
        <v>2.5000000000000005E-2</v>
      </c>
      <c r="BC152" s="4">
        <v>46225</v>
      </c>
      <c r="BD152" s="6">
        <v>1.52E-2</v>
      </c>
      <c r="BE152" s="6">
        <v>1.54E-2</v>
      </c>
      <c r="BF152" s="6">
        <v>1.5599999999999999E-2</v>
      </c>
      <c r="BG152" s="3"/>
      <c r="BH152" s="3"/>
      <c r="BI152" s="3"/>
      <c r="BJ152" s="6">
        <v>1.4800000000000001E-2</v>
      </c>
      <c r="BK152" s="2">
        <v>46225</v>
      </c>
      <c r="BL152" s="58">
        <v>4.65E-2</v>
      </c>
      <c r="BM152" s="1"/>
      <c r="BN152" s="58">
        <v>5.5800000000000002E-2</v>
      </c>
      <c r="BO152" s="1"/>
      <c r="BP152" s="1"/>
      <c r="BQ152" s="1"/>
      <c r="BR152" s="58">
        <v>3.9E-2</v>
      </c>
      <c r="BS152" s="13">
        <f t="shared" si="18"/>
        <v>2.4199999999999999E-2</v>
      </c>
    </row>
    <row r="153" spans="1:71" x14ac:dyDescent="0.35">
      <c r="A153" s="4">
        <v>46226</v>
      </c>
      <c r="B153" s="3" t="s">
        <v>33</v>
      </c>
      <c r="C153" s="3" t="s">
        <v>33</v>
      </c>
      <c r="D153" s="3" t="s">
        <v>32</v>
      </c>
      <c r="E153" s="3" t="s">
        <v>33</v>
      </c>
      <c r="F153" s="3" t="s">
        <v>32</v>
      </c>
      <c r="G153" s="3" t="s">
        <v>33</v>
      </c>
      <c r="H153" s="9">
        <v>1.5800000000000002E-2</v>
      </c>
      <c r="I153" s="2">
        <v>46226</v>
      </c>
      <c r="J153" s="1" t="s">
        <v>33</v>
      </c>
      <c r="K153" s="1" t="s">
        <v>33</v>
      </c>
      <c r="L153" s="1" t="s">
        <v>32</v>
      </c>
      <c r="M153" s="1" t="s">
        <v>33</v>
      </c>
      <c r="N153" s="1" t="s">
        <v>32</v>
      </c>
      <c r="O153" s="1" t="s">
        <v>32</v>
      </c>
      <c r="P153" s="58">
        <v>3.8699999999999998E-2</v>
      </c>
      <c r="Q153" s="85">
        <f t="shared" ref="Q153:Q158" si="21">P153-H153</f>
        <v>2.2899999999999997E-2</v>
      </c>
      <c r="S153" s="4">
        <v>46226</v>
      </c>
      <c r="T153" s="3" t="s">
        <v>33</v>
      </c>
      <c r="U153" s="3" t="s">
        <v>33</v>
      </c>
      <c r="V153" s="3" t="s">
        <v>33</v>
      </c>
      <c r="W153" s="3" t="s">
        <v>33</v>
      </c>
      <c r="X153" s="6">
        <v>3.5000000000000003E-2</v>
      </c>
      <c r="Y153" s="3" t="s">
        <v>33</v>
      </c>
      <c r="Z153" s="6">
        <v>1.9300000000000001E-2</v>
      </c>
      <c r="AA153" s="2">
        <v>46226</v>
      </c>
      <c r="AB153" s="1" t="s">
        <v>33</v>
      </c>
      <c r="AC153" s="1" t="s">
        <v>33</v>
      </c>
      <c r="AD153" s="1" t="s">
        <v>33</v>
      </c>
      <c r="AE153" s="1" t="s">
        <v>33</v>
      </c>
      <c r="AF153" s="1" t="s">
        <v>33</v>
      </c>
      <c r="AG153" s="1" t="s">
        <v>33</v>
      </c>
      <c r="AH153" s="58">
        <v>2.5000000000000001E-2</v>
      </c>
      <c r="AI153" s="13">
        <f t="shared" si="13"/>
        <v>5.7000000000000002E-3</v>
      </c>
      <c r="AK153" s="4">
        <v>46226</v>
      </c>
      <c r="AL153" s="6">
        <v>0.02</v>
      </c>
      <c r="AM153" s="3"/>
      <c r="AN153" s="3"/>
      <c r="AO153" s="3"/>
      <c r="AP153" s="3" t="s">
        <v>33</v>
      </c>
      <c r="AQ153" s="3" t="s">
        <v>33</v>
      </c>
      <c r="AR153" s="6">
        <v>1.6400000000000001E-2</v>
      </c>
      <c r="AS153" s="2">
        <v>46226</v>
      </c>
      <c r="AT153" s="14">
        <v>3.49E-2</v>
      </c>
      <c r="AU153" s="14">
        <v>3.5000000000000003E-2</v>
      </c>
      <c r="AV153" s="14">
        <v>3.49E-2</v>
      </c>
      <c r="AW153" s="14">
        <v>3.9899999999999998E-2</v>
      </c>
      <c r="AX153" s="14">
        <v>0.04</v>
      </c>
      <c r="AY153" s="14">
        <v>5.0799999999999998E-2</v>
      </c>
      <c r="AZ153" s="14">
        <v>4.1799999999999997E-2</v>
      </c>
      <c r="BA153" s="13">
        <f t="shared" ref="BA153:BA154" si="22">AZ153-AR153</f>
        <v>2.5399999999999995E-2</v>
      </c>
      <c r="BC153" s="4">
        <v>46226</v>
      </c>
      <c r="BD153" s="6">
        <v>1.52E-2</v>
      </c>
      <c r="BE153" s="6">
        <v>1.54E-2</v>
      </c>
      <c r="BF153" s="6">
        <v>1.5599999999999999E-2</v>
      </c>
      <c r="BG153" s="3"/>
      <c r="BH153" s="3"/>
      <c r="BI153" s="3"/>
      <c r="BJ153" s="6">
        <v>1.47E-2</v>
      </c>
      <c r="BK153" s="2">
        <v>46226</v>
      </c>
      <c r="BL153" s="58">
        <v>4.7300000000000002E-2</v>
      </c>
      <c r="BM153" s="1"/>
      <c r="BN153" s="58">
        <v>5.67E-2</v>
      </c>
      <c r="BO153" s="1"/>
      <c r="BP153" s="1"/>
      <c r="BQ153" s="1"/>
      <c r="BR153" s="58">
        <v>3.9600000000000003E-2</v>
      </c>
      <c r="BS153" s="13">
        <f t="shared" si="18"/>
        <v>2.4900000000000005E-2</v>
      </c>
    </row>
    <row r="154" spans="1:71" x14ac:dyDescent="0.35">
      <c r="A154" s="4">
        <v>46227</v>
      </c>
      <c r="B154" s="3" t="s">
        <v>33</v>
      </c>
      <c r="C154" s="3" t="s">
        <v>33</v>
      </c>
      <c r="D154" s="3" t="s">
        <v>32</v>
      </c>
      <c r="E154" s="3" t="s">
        <v>33</v>
      </c>
      <c r="F154" s="3" t="s">
        <v>32</v>
      </c>
      <c r="G154" s="3" t="s">
        <v>33</v>
      </c>
      <c r="H154" s="9">
        <v>1.6E-2</v>
      </c>
      <c r="I154" s="2">
        <v>46227</v>
      </c>
      <c r="J154" s="1" t="s">
        <v>33</v>
      </c>
      <c r="K154" s="1" t="s">
        <v>33</v>
      </c>
      <c r="L154" s="1" t="s">
        <v>32</v>
      </c>
      <c r="M154" s="1" t="s">
        <v>33</v>
      </c>
      <c r="N154" s="1" t="s">
        <v>32</v>
      </c>
      <c r="O154" s="1" t="s">
        <v>32</v>
      </c>
      <c r="P154" s="58">
        <v>3.8899999999999997E-2</v>
      </c>
      <c r="Q154" s="85">
        <f t="shared" si="21"/>
        <v>2.2899999999999997E-2</v>
      </c>
      <c r="S154" s="4">
        <v>46227</v>
      </c>
      <c r="T154" s="3" t="s">
        <v>33</v>
      </c>
      <c r="U154" s="3" t="s">
        <v>33</v>
      </c>
      <c r="V154" s="3" t="s">
        <v>33</v>
      </c>
      <c r="W154" s="3" t="s">
        <v>33</v>
      </c>
      <c r="X154" s="6">
        <v>3.5000000000000003E-2</v>
      </c>
      <c r="Y154" s="3" t="s">
        <v>33</v>
      </c>
      <c r="Z154" s="6">
        <v>1.9400000000000001E-2</v>
      </c>
      <c r="AA154" s="2">
        <v>46227</v>
      </c>
      <c r="AB154" s="1" t="s">
        <v>33</v>
      </c>
      <c r="AC154" s="1" t="s">
        <v>33</v>
      </c>
      <c r="AD154" s="1" t="s">
        <v>33</v>
      </c>
      <c r="AE154" s="1" t="s">
        <v>33</v>
      </c>
      <c r="AF154" s="1" t="s">
        <v>33</v>
      </c>
      <c r="AG154" s="1" t="s">
        <v>33</v>
      </c>
      <c r="AH154" s="58">
        <v>2.5000000000000001E-2</v>
      </c>
      <c r="AI154" s="13">
        <f t="shared" si="13"/>
        <v>5.6000000000000008E-3</v>
      </c>
      <c r="AK154" s="4">
        <v>46227</v>
      </c>
      <c r="AL154" s="6">
        <v>0.02</v>
      </c>
      <c r="AM154" s="3"/>
      <c r="AN154" s="3"/>
      <c r="AO154" s="3"/>
      <c r="AP154" s="3" t="s">
        <v>33</v>
      </c>
      <c r="AQ154" s="3" t="s">
        <v>33</v>
      </c>
      <c r="AR154" s="6">
        <v>1.6400000000000001E-2</v>
      </c>
      <c r="AS154" s="2">
        <v>46227</v>
      </c>
      <c r="AT154" s="14">
        <v>3.5000000000000003E-2</v>
      </c>
      <c r="AU154" s="14">
        <v>3.6900000000000002E-2</v>
      </c>
      <c r="AV154" s="14">
        <v>3.5900000000000001E-2</v>
      </c>
      <c r="AW154" s="14">
        <v>3.9899999999999998E-2</v>
      </c>
      <c r="AX154" s="14">
        <v>4.4400000000000002E-2</v>
      </c>
      <c r="AY154" s="14">
        <v>4.9700000000000001E-2</v>
      </c>
      <c r="AZ154" s="14">
        <v>4.2700000000000002E-2</v>
      </c>
      <c r="BA154" s="13">
        <f t="shared" si="22"/>
        <v>2.63E-2</v>
      </c>
      <c r="BC154" s="4">
        <v>46227</v>
      </c>
      <c r="BD154" s="6">
        <v>1.52E-2</v>
      </c>
      <c r="BE154" s="6">
        <v>1.54E-2</v>
      </c>
      <c r="BF154" s="6">
        <v>1.5599999999999999E-2</v>
      </c>
      <c r="BG154" s="3"/>
      <c r="BH154" s="3"/>
      <c r="BI154" s="3"/>
      <c r="BJ154" s="6">
        <v>1.4500000000000001E-2</v>
      </c>
      <c r="BK154" s="2">
        <v>46227</v>
      </c>
      <c r="BL154" s="58">
        <v>4.7300000000000002E-2</v>
      </c>
      <c r="BM154" s="1"/>
      <c r="BN154" s="58">
        <v>5.67E-2</v>
      </c>
      <c r="BO154" s="1"/>
      <c r="BP154" s="1"/>
      <c r="BQ154" s="1"/>
      <c r="BR154" s="58">
        <v>3.9399999999999998E-2</v>
      </c>
      <c r="BS154" s="13">
        <f t="shared" si="18"/>
        <v>2.4899999999999999E-2</v>
      </c>
    </row>
    <row r="155" spans="1:71" x14ac:dyDescent="0.35">
      <c r="A155" s="4">
        <v>46228</v>
      </c>
      <c r="B155" s="3" t="s">
        <v>33</v>
      </c>
      <c r="C155" s="3" t="s">
        <v>33</v>
      </c>
      <c r="D155" s="3" t="s">
        <v>32</v>
      </c>
      <c r="E155" s="3" t="s">
        <v>33</v>
      </c>
      <c r="F155" s="3" t="s">
        <v>32</v>
      </c>
      <c r="G155" s="3" t="s">
        <v>33</v>
      </c>
      <c r="H155" s="9">
        <v>1.5299999999999999E-2</v>
      </c>
      <c r="I155" s="2">
        <v>46228</v>
      </c>
      <c r="J155" s="1" t="s">
        <v>33</v>
      </c>
      <c r="K155" s="1" t="s">
        <v>33</v>
      </c>
      <c r="L155" s="1" t="s">
        <v>32</v>
      </c>
      <c r="M155" s="1" t="s">
        <v>33</v>
      </c>
      <c r="N155" s="1" t="s">
        <v>32</v>
      </c>
      <c r="O155" s="1" t="s">
        <v>32</v>
      </c>
      <c r="P155" s="58">
        <v>3.9100000000000003E-2</v>
      </c>
      <c r="Q155" s="85">
        <f t="shared" si="21"/>
        <v>2.3800000000000002E-2</v>
      </c>
      <c r="S155" s="4">
        <v>46228</v>
      </c>
      <c r="T155" s="3" t="s">
        <v>33</v>
      </c>
      <c r="U155" s="3" t="s">
        <v>33</v>
      </c>
      <c r="V155" s="3" t="s">
        <v>33</v>
      </c>
      <c r="W155" s="3" t="s">
        <v>33</v>
      </c>
      <c r="X155" s="6">
        <v>3.5000000000000003E-2</v>
      </c>
      <c r="Y155" s="3" t="s">
        <v>33</v>
      </c>
      <c r="Z155" s="6">
        <v>1.89E-2</v>
      </c>
      <c r="AA155" s="2">
        <v>46228</v>
      </c>
      <c r="AB155" s="1" t="s">
        <v>33</v>
      </c>
      <c r="AC155" s="1" t="s">
        <v>33</v>
      </c>
      <c r="AD155" s="1" t="s">
        <v>33</v>
      </c>
      <c r="AE155" s="1" t="s">
        <v>33</v>
      </c>
      <c r="AF155" s="1" t="s">
        <v>33</v>
      </c>
      <c r="AG155" s="1" t="s">
        <v>33</v>
      </c>
      <c r="AH155" s="58">
        <v>2.5000000000000001E-2</v>
      </c>
      <c r="AI155" s="13">
        <f t="shared" si="13"/>
        <v>6.1000000000000013E-3</v>
      </c>
      <c r="AK155" s="4">
        <v>46228</v>
      </c>
      <c r="AL155" s="6">
        <v>0.02</v>
      </c>
      <c r="AM155" s="3"/>
      <c r="AN155" s="3"/>
      <c r="AO155" s="3"/>
      <c r="AP155" s="3" t="s">
        <v>33</v>
      </c>
      <c r="AQ155" s="3" t="s">
        <v>33</v>
      </c>
      <c r="AR155" s="6">
        <v>1.6400000000000001E-2</v>
      </c>
      <c r="AS155" s="2">
        <v>46228</v>
      </c>
      <c r="AT155" s="14">
        <v>3.5000000000000003E-2</v>
      </c>
      <c r="AU155" s="14">
        <v>3.5000000000000003E-2</v>
      </c>
      <c r="AV155" s="14">
        <v>3.78E-2</v>
      </c>
      <c r="AW155" s="14">
        <v>3.9800000000000002E-2</v>
      </c>
      <c r="AX155" s="14">
        <v>4.4600000000000001E-2</v>
      </c>
      <c r="AY155" s="14">
        <v>4.9700000000000001E-2</v>
      </c>
      <c r="AZ155" s="14">
        <v>4.24E-2</v>
      </c>
      <c r="BA155" s="13">
        <f>AZ156-AR155</f>
        <v>2.5999999999999999E-2</v>
      </c>
      <c r="BC155" s="4">
        <v>46228</v>
      </c>
      <c r="BD155" s="6">
        <v>1.52E-2</v>
      </c>
      <c r="BE155" s="6">
        <v>1.54E-2</v>
      </c>
      <c r="BF155" s="6">
        <v>1.5599999999999999E-2</v>
      </c>
      <c r="BG155" s="3"/>
      <c r="BH155" s="3"/>
      <c r="BI155" s="3"/>
      <c r="BJ155" s="6">
        <v>1.43E-2</v>
      </c>
      <c r="BK155" s="2">
        <v>46228</v>
      </c>
      <c r="BL155" s="58">
        <v>4.7199999999999999E-2</v>
      </c>
      <c r="BM155" s="1"/>
      <c r="BN155" s="58">
        <v>5.6599999999999998E-2</v>
      </c>
      <c r="BO155" s="1"/>
      <c r="BP155" s="1"/>
      <c r="BQ155" s="1"/>
      <c r="BR155" s="58">
        <v>3.9100000000000003E-2</v>
      </c>
      <c r="BS155" s="13">
        <f t="shared" si="18"/>
        <v>2.4800000000000003E-2</v>
      </c>
    </row>
    <row r="156" spans="1:71" x14ac:dyDescent="0.35">
      <c r="A156" s="4">
        <v>46229</v>
      </c>
      <c r="B156" s="3" t="s">
        <v>33</v>
      </c>
      <c r="C156" s="3" t="s">
        <v>33</v>
      </c>
      <c r="D156" s="3" t="s">
        <v>32</v>
      </c>
      <c r="E156" s="3" t="s">
        <v>33</v>
      </c>
      <c r="F156" s="3" t="s">
        <v>32</v>
      </c>
      <c r="G156" s="3" t="s">
        <v>33</v>
      </c>
      <c r="H156" s="9">
        <v>1.5299999999999999E-2</v>
      </c>
      <c r="I156" s="2">
        <v>46229</v>
      </c>
      <c r="J156" s="1" t="s">
        <v>33</v>
      </c>
      <c r="K156" s="1" t="s">
        <v>33</v>
      </c>
      <c r="L156" s="1" t="s">
        <v>32</v>
      </c>
      <c r="M156" s="1" t="s">
        <v>33</v>
      </c>
      <c r="N156" s="1" t="s">
        <v>32</v>
      </c>
      <c r="O156" s="1" t="s">
        <v>32</v>
      </c>
      <c r="P156" s="58">
        <v>3.85E-2</v>
      </c>
      <c r="Q156" s="85">
        <f t="shared" si="21"/>
        <v>2.3199999999999998E-2</v>
      </c>
      <c r="S156" s="4">
        <v>46229</v>
      </c>
      <c r="T156" s="3" t="s">
        <v>33</v>
      </c>
      <c r="U156" s="3" t="s">
        <v>33</v>
      </c>
      <c r="V156" s="3" t="s">
        <v>33</v>
      </c>
      <c r="W156" s="3" t="s">
        <v>33</v>
      </c>
      <c r="X156" s="6">
        <v>3.5000000000000003E-2</v>
      </c>
      <c r="Y156" s="3" t="s">
        <v>33</v>
      </c>
      <c r="Z156" s="6">
        <v>1.9E-2</v>
      </c>
      <c r="AA156" s="2">
        <v>46229</v>
      </c>
      <c r="AB156" s="1" t="s">
        <v>33</v>
      </c>
      <c r="AC156" s="1" t="s">
        <v>33</v>
      </c>
      <c r="AD156" s="1" t="s">
        <v>33</v>
      </c>
      <c r="AE156" s="1" t="s">
        <v>33</v>
      </c>
      <c r="AF156" s="1" t="s">
        <v>33</v>
      </c>
      <c r="AG156" s="1" t="s">
        <v>33</v>
      </c>
      <c r="AH156" s="58">
        <v>2.5000000000000001E-2</v>
      </c>
      <c r="AI156" s="13">
        <f t="shared" si="13"/>
        <v>6.0000000000000019E-3</v>
      </c>
      <c r="AK156" s="4">
        <v>46229</v>
      </c>
      <c r="AL156" s="6">
        <v>0.02</v>
      </c>
      <c r="AM156" s="3"/>
      <c r="AN156" s="3"/>
      <c r="AO156" s="3"/>
      <c r="AP156" s="3" t="s">
        <v>33</v>
      </c>
      <c r="AQ156" s="3" t="s">
        <v>33</v>
      </c>
      <c r="AR156" s="6">
        <v>1.6400000000000001E-2</v>
      </c>
      <c r="AS156" s="2">
        <v>46229</v>
      </c>
      <c r="AT156" s="14">
        <v>3.5000000000000003E-2</v>
      </c>
      <c r="AU156" s="14">
        <v>3.5000000000000003E-2</v>
      </c>
      <c r="AV156" s="14">
        <v>3.78E-2</v>
      </c>
      <c r="AW156" s="14">
        <v>3.9800000000000002E-2</v>
      </c>
      <c r="AX156" s="14">
        <v>4.4600000000000001E-2</v>
      </c>
      <c r="AY156" s="14">
        <v>4.9700000000000001E-2</v>
      </c>
      <c r="AZ156" s="14">
        <v>4.24E-2</v>
      </c>
      <c r="BA156" s="13">
        <f t="shared" ref="BA156" si="23">AZ157-AR156</f>
        <v>2.5999999999999999E-2</v>
      </c>
      <c r="BC156" s="4">
        <v>46229</v>
      </c>
      <c r="BD156" s="6">
        <v>1.52E-2</v>
      </c>
      <c r="BE156" s="6">
        <v>1.54E-2</v>
      </c>
      <c r="BF156" s="6">
        <v>1.5599999999999999E-2</v>
      </c>
      <c r="BG156" s="3"/>
      <c r="BH156" s="3"/>
      <c r="BI156" s="3"/>
      <c r="BJ156" s="6">
        <v>1.41E-2</v>
      </c>
      <c r="BK156" s="2">
        <v>46229</v>
      </c>
      <c r="BL156" s="58">
        <v>4.7199999999999999E-2</v>
      </c>
      <c r="BM156" s="1"/>
      <c r="BN156" s="58">
        <v>5.6599999999999998E-2</v>
      </c>
      <c r="BO156" s="1"/>
      <c r="BP156" s="1"/>
      <c r="BQ156" s="1"/>
      <c r="BR156" s="58">
        <v>3.85E-2</v>
      </c>
      <c r="BS156" s="13">
        <f t="shared" si="18"/>
        <v>2.4399999999999998E-2</v>
      </c>
    </row>
    <row r="157" spans="1:71" x14ac:dyDescent="0.35">
      <c r="A157" s="4">
        <v>46230</v>
      </c>
      <c r="B157" s="3" t="s">
        <v>33</v>
      </c>
      <c r="C157" s="3" t="s">
        <v>33</v>
      </c>
      <c r="D157" s="3" t="s">
        <v>32</v>
      </c>
      <c r="E157" s="3" t="s">
        <v>33</v>
      </c>
      <c r="F157" s="3" t="s">
        <v>32</v>
      </c>
      <c r="G157" s="3" t="s">
        <v>33</v>
      </c>
      <c r="H157" s="9">
        <v>1.54E-2</v>
      </c>
      <c r="I157" s="2">
        <v>46230</v>
      </c>
      <c r="J157" s="1" t="s">
        <v>33</v>
      </c>
      <c r="K157" s="1" t="s">
        <v>33</v>
      </c>
      <c r="L157" s="1" t="s">
        <v>32</v>
      </c>
      <c r="M157" s="1" t="s">
        <v>33</v>
      </c>
      <c r="N157" s="1" t="s">
        <v>32</v>
      </c>
      <c r="O157" s="1" t="s">
        <v>32</v>
      </c>
      <c r="P157" s="58">
        <v>3.9100000000000003E-2</v>
      </c>
      <c r="Q157" s="85">
        <f t="shared" si="21"/>
        <v>2.3700000000000002E-2</v>
      </c>
      <c r="S157" s="4">
        <v>46230</v>
      </c>
      <c r="T157" s="3" t="s">
        <v>33</v>
      </c>
      <c r="U157" s="3" t="s">
        <v>33</v>
      </c>
      <c r="V157" s="3" t="s">
        <v>33</v>
      </c>
      <c r="W157" s="3" t="s">
        <v>33</v>
      </c>
      <c r="X157" s="6">
        <v>3.5000000000000003E-2</v>
      </c>
      <c r="Y157" s="3" t="s">
        <v>33</v>
      </c>
      <c r="Z157" s="6">
        <v>1.9099999999999999E-2</v>
      </c>
      <c r="AA157" s="2">
        <v>46230</v>
      </c>
      <c r="AB157" s="1" t="s">
        <v>33</v>
      </c>
      <c r="AC157" s="1" t="s">
        <v>33</v>
      </c>
      <c r="AD157" s="1" t="s">
        <v>33</v>
      </c>
      <c r="AE157" s="1" t="s">
        <v>33</v>
      </c>
      <c r="AF157" s="1" t="s">
        <v>33</v>
      </c>
      <c r="AG157" s="1" t="s">
        <v>33</v>
      </c>
      <c r="AH157" s="58">
        <v>2.5000000000000001E-2</v>
      </c>
      <c r="AI157" s="13">
        <f t="shared" si="13"/>
        <v>5.9000000000000025E-3</v>
      </c>
      <c r="AK157" s="4">
        <v>46230</v>
      </c>
      <c r="AL157" s="6">
        <v>0.02</v>
      </c>
      <c r="AM157" s="3"/>
      <c r="AN157" s="3"/>
      <c r="AO157" s="3"/>
      <c r="AP157" s="3" t="s">
        <v>33</v>
      </c>
      <c r="AQ157" s="3" t="s">
        <v>33</v>
      </c>
      <c r="AR157" s="6">
        <v>1.61E-2</v>
      </c>
      <c r="AS157" s="2">
        <v>46230</v>
      </c>
      <c r="AT157" s="14">
        <v>3.5000000000000003E-2</v>
      </c>
      <c r="AU157" s="14">
        <v>3.5000000000000003E-2</v>
      </c>
      <c r="AV157" s="14">
        <v>3.78E-2</v>
      </c>
      <c r="AW157" s="14">
        <v>3.9800000000000002E-2</v>
      </c>
      <c r="AX157" s="14">
        <v>4.4600000000000001E-2</v>
      </c>
      <c r="AY157" s="14">
        <v>4.9700000000000001E-2</v>
      </c>
      <c r="AZ157" s="14">
        <v>4.24E-2</v>
      </c>
      <c r="BA157" s="13">
        <v>2.5999999999999999E-2</v>
      </c>
      <c r="BC157" s="4">
        <v>46230</v>
      </c>
      <c r="BD157" s="6">
        <v>1.52E-2</v>
      </c>
      <c r="BE157" s="6">
        <v>1.54E-2</v>
      </c>
      <c r="BF157" s="6">
        <v>1.5599999999999999E-2</v>
      </c>
      <c r="BG157" s="3"/>
      <c r="BH157" s="3"/>
      <c r="BI157" s="3"/>
      <c r="BJ157" s="6">
        <v>1.6E-2</v>
      </c>
      <c r="BK157" s="2">
        <v>46230</v>
      </c>
      <c r="BL157" s="58">
        <v>4.7199999999999999E-2</v>
      </c>
      <c r="BM157" s="1"/>
      <c r="BN157" s="58">
        <v>5.6599999999999998E-2</v>
      </c>
      <c r="BO157" s="1"/>
      <c r="BP157" s="1"/>
      <c r="BQ157" s="1"/>
      <c r="BR157" s="58">
        <v>3.9600000000000003E-2</v>
      </c>
      <c r="BS157" s="13">
        <f t="shared" si="18"/>
        <v>2.3600000000000003E-2</v>
      </c>
    </row>
    <row r="158" spans="1:71" x14ac:dyDescent="0.35">
      <c r="A158" s="4">
        <v>46231</v>
      </c>
      <c r="B158" s="3" t="s">
        <v>33</v>
      </c>
      <c r="C158" s="3" t="s">
        <v>33</v>
      </c>
      <c r="D158" s="3" t="s">
        <v>32</v>
      </c>
      <c r="E158" s="3" t="s">
        <v>33</v>
      </c>
      <c r="F158" s="3" t="s">
        <v>32</v>
      </c>
      <c r="G158" s="3" t="s">
        <v>33</v>
      </c>
      <c r="H158" s="9">
        <v>1.49E-2</v>
      </c>
      <c r="I158" s="2">
        <v>46231</v>
      </c>
      <c r="J158" s="1" t="s">
        <v>33</v>
      </c>
      <c r="K158" s="1" t="s">
        <v>33</v>
      </c>
      <c r="L158" s="1" t="s">
        <v>32</v>
      </c>
      <c r="M158" s="1" t="s">
        <v>33</v>
      </c>
      <c r="N158" s="1" t="s">
        <v>32</v>
      </c>
      <c r="O158" s="1" t="s">
        <v>32</v>
      </c>
      <c r="P158" s="58">
        <v>3.7600000000000001E-2</v>
      </c>
      <c r="Q158" s="85">
        <f t="shared" si="21"/>
        <v>2.2700000000000001E-2</v>
      </c>
      <c r="S158" s="4">
        <v>46231</v>
      </c>
      <c r="T158" s="3" t="s">
        <v>33</v>
      </c>
      <c r="U158" s="3" t="s">
        <v>33</v>
      </c>
      <c r="V158" s="3" t="s">
        <v>33</v>
      </c>
      <c r="W158" s="3" t="s">
        <v>33</v>
      </c>
      <c r="X158" s="6">
        <v>3.5000000000000003E-2</v>
      </c>
      <c r="Y158" s="3" t="s">
        <v>33</v>
      </c>
      <c r="Z158" s="6">
        <v>1.89E-2</v>
      </c>
      <c r="AA158" s="2">
        <v>46231</v>
      </c>
      <c r="AB158" s="1" t="s">
        <v>33</v>
      </c>
      <c r="AC158" s="1" t="s">
        <v>33</v>
      </c>
      <c r="AD158" s="1" t="s">
        <v>33</v>
      </c>
      <c r="AE158" s="1" t="s">
        <v>33</v>
      </c>
      <c r="AF158" s="1" t="s">
        <v>33</v>
      </c>
      <c r="AG158" s="1" t="s">
        <v>33</v>
      </c>
      <c r="AH158" s="58">
        <v>2.5000000000000001E-2</v>
      </c>
      <c r="AI158" s="13">
        <f t="shared" si="13"/>
        <v>6.1000000000000013E-3</v>
      </c>
      <c r="AK158" s="4">
        <v>46231</v>
      </c>
      <c r="AL158" s="6">
        <v>0.02</v>
      </c>
      <c r="AM158" s="3"/>
      <c r="AN158" s="3"/>
      <c r="AO158" s="3"/>
      <c r="AP158" s="3" t="s">
        <v>33</v>
      </c>
      <c r="AQ158" s="3" t="s">
        <v>33</v>
      </c>
      <c r="AR158" s="6">
        <v>1.54E-2</v>
      </c>
      <c r="AS158" s="2">
        <v>46231</v>
      </c>
      <c r="AT158" s="14">
        <v>3.4799999999999998E-2</v>
      </c>
      <c r="AU158" s="14">
        <v>3.6900000000000002E-2</v>
      </c>
      <c r="AV158" s="14">
        <v>3.5999999999999997E-2</v>
      </c>
      <c r="AW158" s="14">
        <v>3.9899999999999998E-2</v>
      </c>
      <c r="AX158" s="14">
        <v>4.48E-2</v>
      </c>
      <c r="AY158" s="14">
        <v>4.9500000000000002E-2</v>
      </c>
      <c r="AZ158" s="14">
        <v>4.1099999999999998E-2</v>
      </c>
      <c r="BA158" s="13">
        <v>2.5999999999999999E-2</v>
      </c>
      <c r="BC158" s="4">
        <v>46231</v>
      </c>
      <c r="BD158" s="6">
        <v>1.52E-2</v>
      </c>
      <c r="BE158" s="6">
        <v>1.54E-2</v>
      </c>
      <c r="BF158" s="6">
        <v>1.5599999999999999E-2</v>
      </c>
      <c r="BG158" s="3"/>
      <c r="BH158" s="3"/>
      <c r="BI158" s="3"/>
      <c r="BJ158" s="6">
        <v>1.44E-2</v>
      </c>
      <c r="BK158" s="2">
        <v>46231</v>
      </c>
      <c r="BL158" s="58">
        <v>4.5999999999999999E-2</v>
      </c>
      <c r="BM158" s="1"/>
      <c r="BN158" s="58">
        <v>5.5199999999999999E-2</v>
      </c>
      <c r="BO158" s="1"/>
      <c r="BP158" s="1"/>
      <c r="BQ158" s="1"/>
      <c r="BR158" s="58">
        <v>3.8300000000000001E-2</v>
      </c>
      <c r="BS158" s="13">
        <f t="shared" si="18"/>
        <v>2.3900000000000001E-2</v>
      </c>
    </row>
    <row r="159" spans="1:71" x14ac:dyDescent="0.35">
      <c r="A159" s="4">
        <v>46232</v>
      </c>
      <c r="B159" s="3" t="s">
        <v>33</v>
      </c>
      <c r="C159" s="3" t="s">
        <v>33</v>
      </c>
      <c r="D159" s="3" t="s">
        <v>32</v>
      </c>
      <c r="E159" s="3" t="s">
        <v>33</v>
      </c>
      <c r="F159" s="3" t="s">
        <v>32</v>
      </c>
      <c r="G159" s="3" t="s">
        <v>33</v>
      </c>
      <c r="H159" s="9"/>
      <c r="I159" s="2">
        <v>46232</v>
      </c>
      <c r="J159" s="1" t="s">
        <v>33</v>
      </c>
      <c r="K159" s="1" t="s">
        <v>33</v>
      </c>
      <c r="L159" s="1" t="s">
        <v>32</v>
      </c>
      <c r="M159" s="1" t="s">
        <v>33</v>
      </c>
      <c r="N159" s="1" t="s">
        <v>32</v>
      </c>
      <c r="O159" s="1" t="s">
        <v>32</v>
      </c>
      <c r="P159" s="58"/>
      <c r="Q159" s="85"/>
      <c r="S159" s="4">
        <v>46232</v>
      </c>
      <c r="T159" s="3" t="s">
        <v>33</v>
      </c>
      <c r="U159" s="3" t="s">
        <v>33</v>
      </c>
      <c r="V159" s="3" t="s">
        <v>33</v>
      </c>
      <c r="W159" s="3" t="s">
        <v>33</v>
      </c>
      <c r="X159" s="6"/>
      <c r="Y159" s="3" t="s">
        <v>33</v>
      </c>
      <c r="Z159" s="6"/>
      <c r="AA159" s="2">
        <v>46232</v>
      </c>
      <c r="AB159" s="1" t="s">
        <v>33</v>
      </c>
      <c r="AC159" s="1" t="s">
        <v>33</v>
      </c>
      <c r="AD159" s="1" t="s">
        <v>33</v>
      </c>
      <c r="AE159" s="1" t="s">
        <v>33</v>
      </c>
      <c r="AF159" s="1" t="s">
        <v>33</v>
      </c>
      <c r="AG159" s="1" t="s">
        <v>33</v>
      </c>
      <c r="AH159" s="58"/>
      <c r="AI159" s="13"/>
      <c r="AK159" s="4">
        <v>46232</v>
      </c>
      <c r="AL159" s="6"/>
      <c r="AM159" s="3"/>
      <c r="AN159" s="3"/>
      <c r="AO159" s="3"/>
      <c r="AP159" s="3"/>
      <c r="AQ159" s="3"/>
      <c r="AR159" s="6"/>
      <c r="AS159" s="2">
        <v>46232</v>
      </c>
      <c r="AT159" s="14"/>
      <c r="AU159" s="14"/>
      <c r="AV159" s="14"/>
      <c r="AW159" s="14"/>
      <c r="AX159" s="14"/>
      <c r="AY159" s="14"/>
      <c r="AZ159" s="14"/>
      <c r="BA159" s="13"/>
      <c r="BC159" s="4">
        <v>46232</v>
      </c>
      <c r="BD159" s="6"/>
      <c r="BE159" s="6"/>
      <c r="BF159" s="6"/>
      <c r="BG159" s="3"/>
      <c r="BH159" s="3"/>
      <c r="BI159" s="3"/>
      <c r="BJ159" s="6"/>
      <c r="BK159" s="2">
        <v>46232</v>
      </c>
      <c r="BL159" s="58"/>
      <c r="BM159" s="1"/>
      <c r="BN159" s="58"/>
      <c r="BO159" s="1"/>
      <c r="BP159" s="1"/>
      <c r="BQ159" s="1"/>
      <c r="BR159" s="58"/>
      <c r="BS159" s="13"/>
    </row>
    <row r="160" spans="1:71" x14ac:dyDescent="0.35">
      <c r="A160" s="4">
        <v>46233</v>
      </c>
      <c r="B160" s="3" t="s">
        <v>33</v>
      </c>
      <c r="C160" s="3" t="s">
        <v>33</v>
      </c>
      <c r="D160" s="3" t="s">
        <v>32</v>
      </c>
      <c r="E160" s="3" t="s">
        <v>33</v>
      </c>
      <c r="F160" s="3" t="s">
        <v>32</v>
      </c>
      <c r="G160" s="3" t="s">
        <v>33</v>
      </c>
      <c r="H160" s="9"/>
      <c r="I160" s="2">
        <v>46233</v>
      </c>
      <c r="J160" s="1" t="s">
        <v>33</v>
      </c>
      <c r="K160" s="1" t="s">
        <v>33</v>
      </c>
      <c r="L160" s="1" t="s">
        <v>32</v>
      </c>
      <c r="M160" s="1" t="s">
        <v>33</v>
      </c>
      <c r="N160" s="1" t="s">
        <v>32</v>
      </c>
      <c r="O160" s="1" t="s">
        <v>32</v>
      </c>
      <c r="P160" s="58"/>
      <c r="Q160" s="85"/>
      <c r="S160" s="4">
        <v>46233</v>
      </c>
      <c r="T160" s="3" t="s">
        <v>33</v>
      </c>
      <c r="U160" s="3" t="s">
        <v>33</v>
      </c>
      <c r="V160" s="3" t="s">
        <v>33</v>
      </c>
      <c r="W160" s="3" t="s">
        <v>33</v>
      </c>
      <c r="X160" s="6"/>
      <c r="Y160" s="3" t="s">
        <v>33</v>
      </c>
      <c r="Z160" s="6"/>
      <c r="AA160" s="2">
        <v>46233</v>
      </c>
      <c r="AB160" s="1" t="s">
        <v>33</v>
      </c>
      <c r="AC160" s="1" t="s">
        <v>33</v>
      </c>
      <c r="AD160" s="1" t="s">
        <v>33</v>
      </c>
      <c r="AE160" s="1" t="s">
        <v>33</v>
      </c>
      <c r="AF160" s="1" t="s">
        <v>33</v>
      </c>
      <c r="AG160" s="1" t="s">
        <v>33</v>
      </c>
      <c r="AH160" s="58"/>
      <c r="AI160" s="13"/>
      <c r="AK160" s="4">
        <v>46233</v>
      </c>
      <c r="AL160" s="6"/>
      <c r="AM160" s="3"/>
      <c r="AN160" s="3"/>
      <c r="AO160" s="3"/>
      <c r="AP160" s="3"/>
      <c r="AQ160" s="3"/>
      <c r="AR160" s="6"/>
      <c r="AS160" s="2">
        <v>46233</v>
      </c>
      <c r="AT160" s="14"/>
      <c r="AU160" s="14"/>
      <c r="AV160" s="14"/>
      <c r="AW160" s="14"/>
      <c r="AX160" s="14"/>
      <c r="AY160" s="14"/>
      <c r="AZ160" s="14"/>
      <c r="BA160" s="13"/>
      <c r="BC160" s="4">
        <v>46233</v>
      </c>
      <c r="BD160" s="6"/>
      <c r="BE160" s="6"/>
      <c r="BF160" s="6"/>
      <c r="BG160" s="3"/>
      <c r="BH160" s="3"/>
      <c r="BI160" s="3"/>
      <c r="BJ160" s="6"/>
      <c r="BK160" s="2">
        <v>46233</v>
      </c>
      <c r="BL160" s="58"/>
      <c r="BM160" s="1"/>
      <c r="BN160" s="58"/>
      <c r="BO160" s="1"/>
      <c r="BP160" s="1"/>
      <c r="BQ160" s="1"/>
      <c r="BR160" s="58"/>
      <c r="BS160" s="13"/>
    </row>
    <row r="161" spans="1:71" x14ac:dyDescent="0.35">
      <c r="A161" s="4">
        <v>46234</v>
      </c>
      <c r="B161" s="3" t="s">
        <v>33</v>
      </c>
      <c r="C161" s="3" t="s">
        <v>33</v>
      </c>
      <c r="D161" s="3" t="s">
        <v>32</v>
      </c>
      <c r="E161" s="3" t="s">
        <v>33</v>
      </c>
      <c r="F161" s="3" t="s">
        <v>32</v>
      </c>
      <c r="G161" s="3" t="s">
        <v>33</v>
      </c>
      <c r="H161" s="9"/>
      <c r="I161" s="2">
        <v>46234</v>
      </c>
      <c r="J161" s="1" t="s">
        <v>33</v>
      </c>
      <c r="K161" s="1" t="s">
        <v>33</v>
      </c>
      <c r="L161" s="1" t="s">
        <v>32</v>
      </c>
      <c r="M161" s="1" t="s">
        <v>33</v>
      </c>
      <c r="N161" s="1" t="s">
        <v>32</v>
      </c>
      <c r="O161" s="1" t="s">
        <v>32</v>
      </c>
      <c r="P161" s="58"/>
      <c r="Q161" s="85"/>
      <c r="S161" s="4">
        <v>46234</v>
      </c>
      <c r="T161" s="3" t="s">
        <v>33</v>
      </c>
      <c r="U161" s="3" t="s">
        <v>33</v>
      </c>
      <c r="V161" s="3" t="s">
        <v>33</v>
      </c>
      <c r="W161" s="3" t="s">
        <v>33</v>
      </c>
      <c r="X161" s="6"/>
      <c r="Y161" s="3" t="s">
        <v>33</v>
      </c>
      <c r="Z161" s="6"/>
      <c r="AA161" s="2">
        <v>46234</v>
      </c>
      <c r="AB161" s="1" t="s">
        <v>33</v>
      </c>
      <c r="AC161" s="1" t="s">
        <v>33</v>
      </c>
      <c r="AD161" s="1" t="s">
        <v>33</v>
      </c>
      <c r="AE161" s="1" t="s">
        <v>33</v>
      </c>
      <c r="AF161" s="1" t="s">
        <v>33</v>
      </c>
      <c r="AG161" s="1" t="s">
        <v>33</v>
      </c>
      <c r="AH161" s="58"/>
      <c r="AI161" s="13"/>
      <c r="AK161" s="4">
        <v>46234</v>
      </c>
      <c r="AL161" s="6"/>
      <c r="AM161" s="3"/>
      <c r="AN161" s="3"/>
      <c r="AO161" s="3"/>
      <c r="AP161" s="3"/>
      <c r="AQ161" s="3"/>
      <c r="AR161" s="6"/>
      <c r="AS161" s="2">
        <v>46234</v>
      </c>
      <c r="AT161" s="14"/>
      <c r="AU161" s="14"/>
      <c r="AV161" s="14"/>
      <c r="AW161" s="14"/>
      <c r="AX161" s="14"/>
      <c r="AY161" s="14"/>
      <c r="AZ161" s="14"/>
      <c r="BA161" s="13"/>
      <c r="BC161" s="4">
        <v>46234</v>
      </c>
      <c r="BD161" s="6"/>
      <c r="BE161" s="6"/>
      <c r="BF161" s="6"/>
      <c r="BG161" s="3"/>
      <c r="BH161" s="3"/>
      <c r="BI161" s="3"/>
      <c r="BJ161" s="6"/>
      <c r="BK161" s="2">
        <v>46234</v>
      </c>
      <c r="BL161" s="58"/>
      <c r="BM161" s="1"/>
      <c r="BN161" s="58"/>
      <c r="BO161" s="1"/>
      <c r="BP161" s="1"/>
      <c r="BQ161" s="1"/>
      <c r="BR161" s="58"/>
      <c r="BS161" s="13"/>
    </row>
    <row r="162" spans="1:71" x14ac:dyDescent="0.35">
      <c r="A162" s="4">
        <v>46235</v>
      </c>
      <c r="B162" s="3" t="s">
        <v>33</v>
      </c>
      <c r="C162" s="3" t="s">
        <v>33</v>
      </c>
      <c r="D162" s="3" t="s">
        <v>32</v>
      </c>
      <c r="E162" s="3" t="s">
        <v>33</v>
      </c>
      <c r="F162" s="3" t="s">
        <v>32</v>
      </c>
      <c r="G162" s="3" t="s">
        <v>33</v>
      </c>
      <c r="H162" s="9"/>
      <c r="I162" s="2">
        <v>46235</v>
      </c>
      <c r="J162" s="1" t="s">
        <v>33</v>
      </c>
      <c r="K162" s="1" t="s">
        <v>33</v>
      </c>
      <c r="L162" s="1" t="s">
        <v>32</v>
      </c>
      <c r="M162" s="1" t="s">
        <v>33</v>
      </c>
      <c r="N162" s="1" t="s">
        <v>32</v>
      </c>
      <c r="O162" s="1" t="s">
        <v>32</v>
      </c>
      <c r="P162" s="58"/>
      <c r="Q162" s="85"/>
      <c r="S162" s="4">
        <v>46235</v>
      </c>
      <c r="T162" s="3" t="s">
        <v>33</v>
      </c>
      <c r="U162" s="3" t="s">
        <v>33</v>
      </c>
      <c r="V162" s="3" t="s">
        <v>33</v>
      </c>
      <c r="W162" s="3" t="s">
        <v>33</v>
      </c>
      <c r="X162" s="6"/>
      <c r="Y162" s="3" t="s">
        <v>33</v>
      </c>
      <c r="Z162" s="6"/>
      <c r="AA162" s="2">
        <v>46235</v>
      </c>
      <c r="AB162" s="1" t="s">
        <v>33</v>
      </c>
      <c r="AC162" s="1" t="s">
        <v>33</v>
      </c>
      <c r="AD162" s="1" t="s">
        <v>33</v>
      </c>
      <c r="AE162" s="1" t="s">
        <v>33</v>
      </c>
      <c r="AF162" s="1" t="s">
        <v>33</v>
      </c>
      <c r="AG162" s="1" t="s">
        <v>33</v>
      </c>
      <c r="AH162" s="58"/>
      <c r="AI162" s="13"/>
      <c r="AK162" s="4">
        <v>46235</v>
      </c>
      <c r="AL162" s="6"/>
      <c r="AM162" s="3"/>
      <c r="AN162" s="3"/>
      <c r="AO162" s="3"/>
      <c r="AP162" s="3"/>
      <c r="AQ162" s="3"/>
      <c r="AR162" s="6"/>
      <c r="AS162" s="2">
        <v>46235</v>
      </c>
      <c r="AT162" s="14"/>
      <c r="AU162" s="14"/>
      <c r="AV162" s="14"/>
      <c r="AW162" s="14"/>
      <c r="AX162" s="14"/>
      <c r="AY162" s="14"/>
      <c r="AZ162" s="14"/>
      <c r="BA162" s="13"/>
      <c r="BC162" s="4">
        <v>46235</v>
      </c>
      <c r="BD162" s="6"/>
      <c r="BE162" s="6"/>
      <c r="BF162" s="6"/>
      <c r="BG162" s="3"/>
      <c r="BH162" s="3"/>
      <c r="BI162" s="3"/>
      <c r="BJ162" s="6"/>
      <c r="BK162" s="2">
        <v>46235</v>
      </c>
      <c r="BL162" s="58"/>
      <c r="BM162" s="1"/>
      <c r="BN162" s="58"/>
      <c r="BO162" s="1"/>
      <c r="BP162" s="1"/>
      <c r="BQ162" s="1"/>
      <c r="BR162" s="58"/>
      <c r="BS162" s="13"/>
    </row>
    <row r="163" spans="1:71" x14ac:dyDescent="0.35">
      <c r="A163" s="4">
        <v>46236</v>
      </c>
      <c r="B163" s="3" t="s">
        <v>33</v>
      </c>
      <c r="C163" s="3" t="s">
        <v>33</v>
      </c>
      <c r="D163" s="3" t="s">
        <v>32</v>
      </c>
      <c r="E163" s="3" t="s">
        <v>33</v>
      </c>
      <c r="F163" s="3" t="s">
        <v>32</v>
      </c>
      <c r="G163" s="3" t="s">
        <v>33</v>
      </c>
      <c r="H163" s="9"/>
      <c r="I163" s="2">
        <v>46236</v>
      </c>
      <c r="J163" s="1" t="s">
        <v>33</v>
      </c>
      <c r="K163" s="1" t="s">
        <v>33</v>
      </c>
      <c r="L163" s="1" t="s">
        <v>32</v>
      </c>
      <c r="M163" s="1" t="s">
        <v>33</v>
      </c>
      <c r="N163" s="1" t="s">
        <v>32</v>
      </c>
      <c r="O163" s="1" t="s">
        <v>32</v>
      </c>
      <c r="P163" s="58"/>
      <c r="Q163" s="85"/>
      <c r="S163" s="4">
        <v>46236</v>
      </c>
      <c r="T163" s="3" t="s">
        <v>33</v>
      </c>
      <c r="U163" s="3" t="s">
        <v>33</v>
      </c>
      <c r="V163" s="3" t="s">
        <v>33</v>
      </c>
      <c r="W163" s="3" t="s">
        <v>33</v>
      </c>
      <c r="X163" s="6"/>
      <c r="Y163" s="3" t="s">
        <v>33</v>
      </c>
      <c r="Z163" s="6"/>
      <c r="AA163" s="2">
        <v>46236</v>
      </c>
      <c r="AB163" s="1" t="s">
        <v>33</v>
      </c>
      <c r="AC163" s="1" t="s">
        <v>33</v>
      </c>
      <c r="AD163" s="1" t="s">
        <v>33</v>
      </c>
      <c r="AE163" s="1" t="s">
        <v>33</v>
      </c>
      <c r="AF163" s="1" t="s">
        <v>33</v>
      </c>
      <c r="AG163" s="1" t="s">
        <v>33</v>
      </c>
      <c r="AH163" s="58"/>
      <c r="AI163" s="13"/>
      <c r="AK163" s="4">
        <v>46236</v>
      </c>
      <c r="AL163" s="6"/>
      <c r="AM163" s="3"/>
      <c r="AN163" s="3"/>
      <c r="AO163" s="3"/>
      <c r="AP163" s="3"/>
      <c r="AQ163" s="3"/>
      <c r="AR163" s="6"/>
      <c r="AS163" s="2">
        <v>46236</v>
      </c>
      <c r="AT163" s="14"/>
      <c r="AU163" s="14"/>
      <c r="AV163" s="14"/>
      <c r="AW163" s="14"/>
      <c r="AX163" s="14"/>
      <c r="AY163" s="14"/>
      <c r="AZ163" s="14"/>
      <c r="BA163" s="13"/>
      <c r="BC163" s="4">
        <v>46236</v>
      </c>
      <c r="BD163" s="6"/>
      <c r="BE163" s="6"/>
      <c r="BF163" s="6"/>
      <c r="BG163" s="3"/>
      <c r="BH163" s="3"/>
      <c r="BI163" s="3"/>
      <c r="BJ163" s="6"/>
      <c r="BK163" s="2">
        <v>46236</v>
      </c>
      <c r="BL163" s="58"/>
      <c r="BM163" s="1"/>
      <c r="BN163" s="58"/>
      <c r="BO163" s="1"/>
      <c r="BP163" s="1"/>
      <c r="BQ163" s="1"/>
      <c r="BR163" s="58"/>
      <c r="BS163" s="13"/>
    </row>
    <row r="1048575" spans="34:45" x14ac:dyDescent="0.35">
      <c r="AP1048575" s="19"/>
      <c r="AQ1048575" s="19"/>
      <c r="AR1048575" s="19"/>
      <c r="AS1048575" s="19"/>
    </row>
    <row r="1048576" spans="34:45" x14ac:dyDescent="0.35">
      <c r="AH1048576" s="60"/>
      <c r="AP1048576" s="18"/>
      <c r="AQ1048576" s="19"/>
      <c r="AR1048576" s="60"/>
      <c r="AS1048576" s="19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6" t="s">
        <v>44</v>
      </c>
      <c r="C1" s="96"/>
      <c r="D1" s="96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5429687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8164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54296875" style="24" customWidth="1"/>
    <col min="33" max="34" width="8.7265625" style="24"/>
    <col min="35" max="35" width="10.17968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1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158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157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156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.15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.15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155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.15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.15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154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.15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153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152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151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150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149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.15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148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147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146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145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.15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.15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144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.15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.15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.15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143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.15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.15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.15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142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.15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.15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141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.15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140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139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138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.15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1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.15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.15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4" t="s">
        <v>67</v>
      </c>
      <c r="B10" s="83">
        <f>AVERAGE(B3:B9)</f>
        <v>3.115988142928364E-2</v>
      </c>
      <c r="C10" s="83">
        <f t="shared" ref="C10:I10" si="6">AVERAGE(C3:C9)</f>
        <v>2.4052790043091139E-2</v>
      </c>
      <c r="D10" s="83">
        <f t="shared" si="6"/>
        <v>3.18077508576027E-2</v>
      </c>
      <c r="E10" s="83">
        <f t="shared" si="6"/>
        <v>2.5730851265227984E-2</v>
      </c>
      <c r="F10" s="83">
        <f t="shared" si="6"/>
        <v>2.8768144048917692E-2</v>
      </c>
      <c r="G10" s="83">
        <f t="shared" si="6"/>
        <v>2.8894535758690804E-2</v>
      </c>
      <c r="H10" s="83">
        <f t="shared" si="6"/>
        <v>2.861428571428571E-2</v>
      </c>
      <c r="I10" s="83">
        <f t="shared" si="6"/>
        <v>2.904266688358681E-2</v>
      </c>
    </row>
  </sheetData>
  <conditionalFormatting sqref="A1:J9 A10">
    <cfRule type="expression" dxfId="1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1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1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1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.15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.15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.15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.15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.15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.15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.15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.15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.15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.15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.15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.15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.15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.15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10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.15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10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.15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10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.15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10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.15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.15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10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10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10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.15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10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10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.15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10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.15" customHeight="1" x14ac:dyDescent="0.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9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(H3-'Daily Data'!AR92)</f>
        <v>2.5499999999999998E-2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Data'!Z92</f>
        <v>1.1500000000000002E-2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>((1+I5)^(C2/365)-1)*365/C2</f>
        <v>3.3920472988498589E-2</v>
      </c>
      <c r="D5" s="56">
        <v>4.9299999999999997E-2</v>
      </c>
      <c r="E5" s="56">
        <f>((1+$I5)^(E2/365)-1)*365/E2</f>
        <v>3.3993048356382727E-2</v>
      </c>
      <c r="F5" s="56">
        <f t="shared" ref="F5:G5" si="2">((1+$I5)^(F2/365)-1)*365/F2</f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Data'!AR92</f>
        <v>2.24E-2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3.1699999999999999E-2</v>
      </c>
      <c r="C7" s="52">
        <f>((1+I7)^(C2/365)-1)*365/C2</f>
        <v>3.0216247184851448E-2</v>
      </c>
      <c r="D7" s="52">
        <v>3.32E-2</v>
      </c>
      <c r="E7" s="52">
        <f>((1+$I7)^(E2/365)-1)*365/E2</f>
        <v>3.0273830874697632E-2</v>
      </c>
      <c r="F7" s="52">
        <f t="shared" ref="F7:G7" si="4">((1+$I7)^(F2/365)-1)*365/F2</f>
        <v>3.0311464275388368E-2</v>
      </c>
      <c r="G7" s="52">
        <f t="shared" si="4"/>
        <v>3.0424739121945526E-2</v>
      </c>
      <c r="H7" s="53">
        <v>3.0200000000000001E-2</v>
      </c>
      <c r="I7" s="74">
        <f t="shared" si="1"/>
        <v>3.0659357866290149E-2</v>
      </c>
      <c r="J7" s="75"/>
      <c r="K7" s="68">
        <f>H7-1.06%</f>
        <v>1.9599999999999999E-2</v>
      </c>
    </row>
    <row r="8" spans="1:11" ht="23.15" customHeight="1" x14ac:dyDescent="0.4">
      <c r="A8" s="51" t="s">
        <v>62</v>
      </c>
      <c r="B8" s="52">
        <f>((1+$I8)^(B2/365)-1)*365/B2</f>
        <v>3.3809391367190918E-2</v>
      </c>
      <c r="C8" s="52">
        <f t="shared" ref="C8:G8" si="5">((1+$I8)^(C2/365)-1)*365/C2</f>
        <v>3.382035235981351E-2</v>
      </c>
      <c r="D8" s="52">
        <f t="shared" si="5"/>
        <v>3.3845423852858346E-2</v>
      </c>
      <c r="E8" s="52">
        <f t="shared" si="5"/>
        <v>3.3892499717891801E-2</v>
      </c>
      <c r="F8" s="52">
        <f t="shared" si="5"/>
        <v>3.3939662887175724E-2</v>
      </c>
      <c r="G8" s="52">
        <f t="shared" si="5"/>
        <v>3.4081678044053536E-2</v>
      </c>
      <c r="H8" s="53">
        <v>3.3799999999999997E-2</v>
      </c>
      <c r="I8" s="74">
        <f t="shared" si="1"/>
        <v>3.4376091811363807E-2</v>
      </c>
      <c r="J8" s="75"/>
      <c r="K8" s="68">
        <f>H8-'Daily Data'!H92</f>
        <v>2.2599999999999995E-2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9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Data'!AR63</f>
        <v>0.03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3.382035235981351E-2</v>
      </c>
      <c r="D5" s="56">
        <v>4.9299999999999997E-2</v>
      </c>
      <c r="E5" s="56">
        <f t="shared" si="2"/>
        <v>3.3892499717891801E-2</v>
      </c>
      <c r="F5" s="56">
        <f t="shared" si="2"/>
        <v>3.3939662887175724E-2</v>
      </c>
      <c r="G5" s="56">
        <f t="shared" si="2"/>
        <v>3.4081678044053536E-2</v>
      </c>
      <c r="H5" s="53">
        <v>3.3799999999999997E-2</v>
      </c>
      <c r="I5" s="74">
        <f t="shared" si="1"/>
        <v>3.4376091811363807E-2</v>
      </c>
      <c r="J5" s="75"/>
      <c r="K5" s="68">
        <f>H5-'Daily Data'!BJ63</f>
        <v>2.6199999999999998E-2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H7-1.36%</f>
        <v>1.7599999999999998E-2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Data'!H63</f>
        <v>2.6200000000000001E-2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9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/>
      <c r="J3" s="75"/>
      <c r="K3" s="68"/>
    </row>
    <row r="4" spans="1:11" ht="23.15" customHeight="1" x14ac:dyDescent="0.5">
      <c r="A4" s="51" t="s">
        <v>15</v>
      </c>
      <c r="B4" s="56"/>
      <c r="C4" s="56"/>
      <c r="D4" s="56"/>
      <c r="E4" s="56"/>
      <c r="F4" s="56"/>
      <c r="G4" s="56"/>
      <c r="H4" s="53">
        <v>2.5000000000000001E-2</v>
      </c>
      <c r="I4" s="74"/>
      <c r="J4" s="75"/>
      <c r="K4" s="68"/>
    </row>
    <row r="5" spans="1:11" ht="23.15" customHeight="1" x14ac:dyDescent="0.5">
      <c r="A5" s="51" t="s">
        <v>17</v>
      </c>
      <c r="B5" s="56"/>
      <c r="C5" s="56"/>
      <c r="D5" s="56"/>
      <c r="E5" s="56"/>
      <c r="F5" s="56"/>
      <c r="G5" s="56"/>
      <c r="H5" s="53"/>
      <c r="I5" s="74"/>
      <c r="J5" s="75"/>
      <c r="K5" s="68"/>
    </row>
    <row r="6" spans="1:11" ht="23.15" customHeight="1" x14ac:dyDescent="0.4">
      <c r="A6" s="51" t="s">
        <v>60</v>
      </c>
      <c r="B6" s="52"/>
      <c r="C6" s="52"/>
      <c r="D6" s="52"/>
      <c r="E6" s="52"/>
      <c r="F6" s="52"/>
      <c r="G6" s="52"/>
      <c r="H6" s="53"/>
      <c r="I6" s="74"/>
      <c r="J6" s="75"/>
      <c r="K6" s="68"/>
    </row>
    <row r="7" spans="1:11" ht="23.15" customHeight="1" x14ac:dyDescent="0.4">
      <c r="A7" s="51" t="s">
        <v>52</v>
      </c>
      <c r="B7" s="52"/>
      <c r="C7" s="52"/>
      <c r="D7" s="52"/>
      <c r="E7" s="52"/>
      <c r="F7" s="52"/>
      <c r="G7" s="52"/>
      <c r="H7" s="53"/>
      <c r="I7" s="74"/>
      <c r="J7" s="75"/>
      <c r="K7" s="68"/>
    </row>
    <row r="8" spans="1:11" ht="23.15" customHeight="1" x14ac:dyDescent="0.4">
      <c r="A8" s="51" t="s">
        <v>62</v>
      </c>
      <c r="B8" s="52"/>
      <c r="C8" s="52"/>
      <c r="D8" s="52"/>
      <c r="E8" s="52"/>
      <c r="F8" s="52"/>
      <c r="G8" s="52"/>
      <c r="H8" s="53"/>
      <c r="I8" s="74"/>
      <c r="J8" s="75"/>
      <c r="K8" s="68"/>
    </row>
    <row r="9" spans="1:11" ht="23.15" customHeight="1" x14ac:dyDescent="0.5">
      <c r="A9" s="51" t="s">
        <v>61</v>
      </c>
      <c r="B9" s="56"/>
      <c r="C9" s="56"/>
      <c r="D9" s="56"/>
      <c r="E9" s="56"/>
      <c r="F9" s="56"/>
      <c r="G9" s="56"/>
      <c r="H9" s="53"/>
      <c r="I9" s="74"/>
      <c r="J9" s="75"/>
      <c r="K9" s="69"/>
    </row>
  </sheetData>
  <conditionalFormatting sqref="A1:J9">
    <cfRule type="expression" dxfId="9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Data'!AR95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Data'!Z95</f>
        <v>1.1300000000000001E-2</v>
      </c>
    </row>
    <row r="5" spans="1:11" ht="23.15" customHeight="1" x14ac:dyDescent="0.5">
      <c r="A5" s="51" t="s">
        <v>17</v>
      </c>
      <c r="B5" s="56">
        <v>4.2000000000000003E-2</v>
      </c>
      <c r="C5" s="56">
        <f>((1+$I5)^(C2/365)-1)*365/C2</f>
        <v>3.5922960443012478E-2</v>
      </c>
      <c r="D5" s="56">
        <v>5.2499999999999998E-2</v>
      </c>
      <c r="E5" s="56">
        <f>((1+$I5)^(E2/365)-1)*365/E2</f>
        <v>3.6004362447270476E-2</v>
      </c>
      <c r="F5" s="56">
        <f t="shared" ref="F5:G5" si="2">((1+$I5)^(F2/365)-1)*365/F2</f>
        <v>3.6057583196594925E-2</v>
      </c>
      <c r="G5" s="56">
        <f t="shared" si="2"/>
        <v>3.6217875576784582E-2</v>
      </c>
      <c r="H5" s="53">
        <v>3.5900000000000001E-2</v>
      </c>
      <c r="I5" s="74">
        <f t="shared" si="1"/>
        <v>3.6550356185158339E-2</v>
      </c>
      <c r="J5" s="75"/>
      <c r="K5" s="68">
        <f>H5-'Daily Data'!BJ95</f>
        <v>2.3800000000000002E-2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>((1+I7)^(C2/365)-1)*365/C2</f>
        <v>3.121734116151758E-2</v>
      </c>
      <c r="D7" s="52">
        <v>3.4299999999999997E-2</v>
      </c>
      <c r="E7" s="52">
        <f>((1+$I7)^(E2/365)-1)*365/E2</f>
        <v>3.1278805465217829E-2</v>
      </c>
      <c r="F7" s="52">
        <f t="shared" ref="F7:G7" si="4">((1+$I7)^(F2/365)-1)*365/F2</f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Data'!H95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3.5910594695506913E-2</v>
      </c>
      <c r="C9" s="56">
        <f t="shared" ref="C9:G9" si="6">((1+$I9)^(C2/365)-1)*365/C2</f>
        <v>3.5922960443012478E-2</v>
      </c>
      <c r="D9" s="56">
        <f t="shared" si="6"/>
        <v>3.5951246333042218E-2</v>
      </c>
      <c r="E9" s="56">
        <f t="shared" si="6"/>
        <v>3.6004362447270476E-2</v>
      </c>
      <c r="F9" s="56">
        <f t="shared" si="6"/>
        <v>3.6057583196594925E-2</v>
      </c>
      <c r="G9" s="56">
        <f t="shared" si="6"/>
        <v>3.6217875576784582E-2</v>
      </c>
      <c r="H9" s="53">
        <v>3.5900000000000001E-2</v>
      </c>
      <c r="I9" s="74">
        <f t="shared" si="1"/>
        <v>3.6550356185158339E-2</v>
      </c>
      <c r="J9" s="75"/>
      <c r="K9" s="69"/>
    </row>
  </sheetData>
  <conditionalFormatting sqref="A1:J9">
    <cfRule type="expression" dxfId="9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Data'!AR96</f>
        <v>2.3599999999999996E-2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Data'!Z96</f>
        <v>1.1100000000000002E-2</v>
      </c>
    </row>
    <row r="5" spans="1:11" ht="23.15" customHeight="1" x14ac:dyDescent="0.5">
      <c r="A5" s="51" t="s">
        <v>17</v>
      </c>
      <c r="B5" s="56">
        <v>4.2000000000000003E-2</v>
      </c>
      <c r="C5" s="56">
        <f>((1+I5)^(C2/365)-1)*365/C2</f>
        <v>3.7024389340166004E-2</v>
      </c>
      <c r="D5" s="56">
        <v>5.2499999999999998E-2</v>
      </c>
      <c r="E5" s="56">
        <f>((1+$I5)^(E2/365)-1)*365/E2</f>
        <v>3.7110862363455399E-2</v>
      </c>
      <c r="F5" s="56">
        <f>((1+$I5)^(F2/365)-1)*365/F2</f>
        <v>3.7167402871694732E-2</v>
      </c>
      <c r="G5" s="56">
        <f>((1+$I5)^(G2/365)-1)*365/G2</f>
        <v>3.7337714413147337E-2</v>
      </c>
      <c r="H5" s="53">
        <v>3.6999999999999998E-2</v>
      </c>
      <c r="I5" s="74">
        <f t="shared" si="1"/>
        <v>3.7691074941686109E-2</v>
      </c>
      <c r="J5" s="75"/>
      <c r="K5" s="68">
        <f>H5-'Daily Data'!BJ96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 t="shared" ref="C7:G7" si="3">((1+$I7)^(C2/365)-1)*365/C2</f>
        <v>3.4220837014135107E-2</v>
      </c>
      <c r="D7" s="52">
        <v>3.7600000000000001E-2</v>
      </c>
      <c r="E7" s="52">
        <f t="shared" si="3"/>
        <v>3.4294704023164348E-2</v>
      </c>
      <c r="F7" s="52">
        <f t="shared" si="3"/>
        <v>3.4342992680180727E-2</v>
      </c>
      <c r="G7" s="52">
        <f t="shared" si="3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H7-2%</f>
        <v>1.4200000000000001E-2</v>
      </c>
    </row>
    <row r="8" spans="1:11" ht="23.15" customHeight="1" x14ac:dyDescent="0.4">
      <c r="A8" s="51" t="s">
        <v>62</v>
      </c>
      <c r="B8" s="52">
        <f>((1+$I8)^(B2/365)-1)*365/B2</f>
        <v>3.6811132610262698E-2</v>
      </c>
      <c r="C8" s="52">
        <f t="shared" ref="C8:G8" si="4">((1+$I8)^(C2/365)-1)*365/C2</f>
        <v>3.6824126331346081E-2</v>
      </c>
      <c r="D8" s="52">
        <f t="shared" si="4"/>
        <v>3.6853849234498227E-2</v>
      </c>
      <c r="E8" s="52">
        <f t="shared" si="4"/>
        <v>3.6909665927788916E-2</v>
      </c>
      <c r="F8" s="52">
        <f t="shared" si="4"/>
        <v>3.6965595336695314E-2</v>
      </c>
      <c r="G8" s="52">
        <f t="shared" si="4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Data'!H96</f>
        <v>2.2699999999999998E-2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5">((1+$I9)^(C2/365)-1)*365/C2</f>
        <v>4.2832637114085803E-2</v>
      </c>
      <c r="D9" s="56">
        <f t="shared" si="5"/>
        <v>4.287285143257006E-2</v>
      </c>
      <c r="E9" s="56">
        <f t="shared" si="5"/>
        <v>4.2948389023937085E-2</v>
      </c>
      <c r="F9" s="56">
        <f t="shared" si="5"/>
        <v>4.3024104068013491E-2</v>
      </c>
      <c r="G9" s="56">
        <f t="shared" si="5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Data'!AR97</f>
        <v>2.3E-2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Data'!Z97</f>
        <v>1.0800000000000001E-2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3.8025725780286922E-2</v>
      </c>
      <c r="D5" s="56">
        <v>5.5E-2</v>
      </c>
      <c r="E5" s="56">
        <f>((1+$I5)^(E2/365)-1)*365/E2</f>
        <v>3.8116942104048458E-2</v>
      </c>
      <c r="F5" s="56">
        <f t="shared" ref="F5:G5" si="2">((1+$I5)^(F2/365)-1)*365/F2</f>
        <v>3.8176588168356236E-2</v>
      </c>
      <c r="G5" s="56">
        <f t="shared" si="2"/>
        <v>3.8356274017090804E-2</v>
      </c>
      <c r="H5" s="53">
        <v>3.7999999999999999E-2</v>
      </c>
      <c r="I5" s="74">
        <f t="shared" si="1"/>
        <v>3.8729178327362002E-2</v>
      </c>
      <c r="J5" s="75"/>
      <c r="K5" s="68">
        <f>H5-'Daily Data'!BJ97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>((1+$I7)^(C2/365)-1)*365/C2</f>
        <v>3.4220837014135107E-2</v>
      </c>
      <c r="D7" s="52">
        <v>3.7600000000000001E-2</v>
      </c>
      <c r="E7" s="52">
        <f>((1+$I7)^(E2/365)-1)*365/E2</f>
        <v>3.4294704023164348E-2</v>
      </c>
      <c r="F7" s="52">
        <f t="shared" ref="F7:G7" si="4">((1+$I7)^(F2/365)-1)*365/F2</f>
        <v>3.4342992680180727E-2</v>
      </c>
      <c r="G7" s="52">
        <f t="shared" si="4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H7-1.06%</f>
        <v>2.3600000000000003E-2</v>
      </c>
    </row>
    <row r="8" spans="1:11" ht="23.15" customHeight="1" x14ac:dyDescent="0.4">
      <c r="A8" s="51" t="s">
        <v>62</v>
      </c>
      <c r="B8" s="52">
        <f>((1+$I8)^(B2/365)-1)*365/B2</f>
        <v>3.751156019854017E-2</v>
      </c>
      <c r="C8" s="52">
        <f t="shared" ref="C8:G8" si="5">((1+$I8)^(C2/365)-1)*365/C2</f>
        <v>3.7525053102707075E-2</v>
      </c>
      <c r="D8" s="52">
        <f t="shared" si="5"/>
        <v>3.7555918332129311E-2</v>
      </c>
      <c r="E8" s="52">
        <f t="shared" si="5"/>
        <v>3.7613881907545298E-2</v>
      </c>
      <c r="F8" s="52">
        <f t="shared" si="5"/>
        <v>3.7671964763798499E-2</v>
      </c>
      <c r="G8" s="52">
        <f t="shared" si="5"/>
        <v>3.7846931782462699E-2</v>
      </c>
      <c r="H8" s="53">
        <v>3.7499999999999999E-2</v>
      </c>
      <c r="I8" s="74">
        <f t="shared" si="1"/>
        <v>3.8209997240440829E-2</v>
      </c>
      <c r="J8" s="75"/>
      <c r="K8" s="68">
        <f>H8-'Daily Data'!H98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9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((1+H3/365)^365-1)</f>
        <v>3.7691074941686109E-2</v>
      </c>
      <c r="J3" s="75"/>
      <c r="K3" s="68">
        <f>H3-'Daily Data'!AR98</f>
        <v>2.1599999999999998E-2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Data'!Z98</f>
        <v>1.0600000000000002E-2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3.8626544761562069E-2</v>
      </c>
      <c r="D5" s="56">
        <v>5.5E-2</v>
      </c>
      <c r="E5" s="56">
        <f>((1+$I5)^(E2/365)-1)*365/E2</f>
        <v>3.8720668005707982E-2</v>
      </c>
      <c r="F5" s="56">
        <f t="shared" ref="F5:G5" si="2">((1+$I5)^(F2/365)-1)*365/F2</f>
        <v>3.8782217460826149E-2</v>
      </c>
      <c r="G5" s="56">
        <f t="shared" si="2"/>
        <v>3.8967649563848281E-2</v>
      </c>
      <c r="H5" s="53">
        <v>3.8600000000000002E-2</v>
      </c>
      <c r="I5" s="74">
        <f t="shared" si="1"/>
        <v>3.9352537413389843E-2</v>
      </c>
      <c r="J5" s="75"/>
      <c r="K5" s="68">
        <f>H5-'Daily Data'!BJ98</f>
        <v>2.4600000000000004E-2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Data'!H98</f>
        <v>2.3399999999999997E-2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Data'!AR99</f>
        <v>2.1399999999999999E-2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Data'!Z99</f>
        <v>1.0700000000000001E-2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 t="shared" ref="C5:G5" si="2">((1+$I5)^(C2/365)-1)*365/C2</f>
        <v>3.8225997347559368E-2</v>
      </c>
      <c r="D5" s="56">
        <v>5.5E-2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3">
        <v>3.8199999999999998E-2</v>
      </c>
      <c r="I5" s="74">
        <f t="shared" si="1"/>
        <v>3.8936923251637001E-2</v>
      </c>
      <c r="J5" s="75"/>
      <c r="K5" s="68">
        <f>H5-'Daily Data'!BJ99</f>
        <v>2.4399999999999998E-2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Data'!H99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9"/>
    </row>
  </sheetData>
  <conditionalFormatting sqref="A1:J9">
    <cfRule type="expression" dxfId="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Data'!AR100</f>
        <v>2.1099999999999997E-2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Data'!Z100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3.8326133666167612E-2</v>
      </c>
      <c r="D5" s="56">
        <v>5.67E-2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3">
        <v>3.8300000000000001E-2</v>
      </c>
      <c r="I5" s="74">
        <f t="shared" si="1"/>
        <v>3.9040811251424667E-2</v>
      </c>
      <c r="J5" s="75"/>
      <c r="K5" s="68">
        <f>H5-'Daily Data'!BJ100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Data'!H100</f>
        <v>2.35E-2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3.4599999999999999E-2</v>
      </c>
      <c r="C3" s="55">
        <v>3.49E-2</v>
      </c>
      <c r="D3" s="55">
        <v>4.99E-2</v>
      </c>
      <c r="E3" s="55">
        <v>4.8899999999999999E-2</v>
      </c>
      <c r="F3" s="55">
        <v>4.8899999999999999E-2</v>
      </c>
      <c r="G3" s="55">
        <v>5.4399999999999997E-2</v>
      </c>
      <c r="H3" s="53">
        <v>4.2099999999999999E-2</v>
      </c>
      <c r="I3" s="74">
        <f>(1+H3/365)^365-1</f>
        <v>4.2996241252897249E-2</v>
      </c>
      <c r="J3" s="75"/>
      <c r="K3" s="68">
        <f>H3-'Daily Data'!AR101</f>
        <v>2.4599999999999997E-2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Data'!Z101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3.9527797305134844E-2</v>
      </c>
      <c r="D5" s="56">
        <v>5.67E-2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3">
        <v>3.95E-2</v>
      </c>
      <c r="I5" s="74">
        <f t="shared" si="1"/>
        <v>4.0288275604905666E-2</v>
      </c>
      <c r="J5" s="75"/>
      <c r="K5" s="68">
        <f>H5-'Daily Data'!BJ101</f>
        <v>2.5700000000000001E-2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3.8612248405269937E-2</v>
      </c>
      <c r="C8" s="52">
        <f t="shared" ref="C8:G8" si="5">((1+$I8)^(C2/365)-1)*365/C2</f>
        <v>3.8626544761562069E-2</v>
      </c>
      <c r="D8" s="52">
        <f t="shared" si="5"/>
        <v>3.8659248656118694E-2</v>
      </c>
      <c r="E8" s="52">
        <f t="shared" si="5"/>
        <v>3.8720668005707982E-2</v>
      </c>
      <c r="F8" s="52">
        <f t="shared" si="5"/>
        <v>3.8782217460826149E-2</v>
      </c>
      <c r="G8" s="52">
        <f t="shared" si="5"/>
        <v>3.8967649563848281E-2</v>
      </c>
      <c r="H8" s="53">
        <v>3.8600000000000002E-2</v>
      </c>
      <c r="I8" s="74">
        <f t="shared" si="1"/>
        <v>3.9352537413389843E-2</v>
      </c>
      <c r="J8" s="75"/>
      <c r="K8" s="68">
        <f>H8-'Daily Data'!H101</f>
        <v>2.2800000000000001E-2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  <row r="16" spans="1:11" x14ac:dyDescent="0.35">
      <c r="G16" s="19"/>
    </row>
    <row r="17" spans="7:7" x14ac:dyDescent="0.35">
      <c r="G17" s="19"/>
    </row>
    <row r="18" spans="7:7" x14ac:dyDescent="0.35">
      <c r="G18" s="60"/>
    </row>
    <row r="19" spans="7:7" x14ac:dyDescent="0.35">
      <c r="G19" s="60"/>
    </row>
    <row r="20" spans="7:7" x14ac:dyDescent="0.35">
      <c r="G20" s="19"/>
    </row>
  </sheetData>
  <conditionalFormatting sqref="A1:J9">
    <cfRule type="expression" dxfId="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3.4799999999999998E-2</v>
      </c>
      <c r="D3" s="55">
        <v>4.8899999999999999E-2</v>
      </c>
      <c r="E3" s="55">
        <v>0.04</v>
      </c>
      <c r="F3" s="55">
        <v>4.8800000000000003E-2</v>
      </c>
      <c r="G3" s="55">
        <v>5.5E-2</v>
      </c>
      <c r="H3" s="53">
        <v>4.65E-2</v>
      </c>
      <c r="I3" s="74">
        <f>(1+H3/365)^365-1</f>
        <v>4.7594976365493258E-2</v>
      </c>
      <c r="J3" s="75"/>
      <c r="K3" s="68">
        <f>H3-'Daily Data'!AR102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Data'!H102</f>
        <v>5.8000000000000031E-3</v>
      </c>
    </row>
    <row r="5" spans="1:11" ht="23.15" customHeight="1" x14ac:dyDescent="0.5">
      <c r="A5" s="51" t="s">
        <v>17</v>
      </c>
      <c r="B5" s="56">
        <v>5.1200000000000002E-2</v>
      </c>
      <c r="C5" s="56">
        <f t="shared" ref="C5:G5" si="2">((1+$I5)^(C2/365)-1)*365/C2</f>
        <v>4.2732484746831965E-2</v>
      </c>
      <c r="D5" s="56">
        <v>6.1499999999999999E-2</v>
      </c>
      <c r="E5" s="56">
        <f t="shared" si="2"/>
        <v>4.2847695644248965E-2</v>
      </c>
      <c r="F5" s="56">
        <f t="shared" si="2"/>
        <v>4.2923056280611376E-2</v>
      </c>
      <c r="G5" s="56">
        <f t="shared" si="2"/>
        <v>4.315020010039558E-2</v>
      </c>
      <c r="H5" s="53">
        <v>4.2700000000000002E-2</v>
      </c>
      <c r="I5" s="74">
        <f t="shared" si="1"/>
        <v>4.3622154043978734E-2</v>
      </c>
      <c r="J5" s="75"/>
      <c r="K5" s="68">
        <f>H5-'Daily Data'!BJ102</f>
        <v>2.6600000000000002E-2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4.2514848771842341E-2</v>
      </c>
      <c r="C8" s="52">
        <f t="shared" ref="C8:G8" si="5">((1+$I8)^(C2/365)-1)*365/C2</f>
        <v>4.2532181082204676E-2</v>
      </c>
      <c r="D8" s="52">
        <f t="shared" si="5"/>
        <v>4.2571833178827546E-2</v>
      </c>
      <c r="E8" s="52">
        <f t="shared" si="5"/>
        <v>4.2646313767056111E-2</v>
      </c>
      <c r="F8" s="52">
        <f t="shared" si="5"/>
        <v>4.2720968096388673E-2</v>
      </c>
      <c r="G8" s="52">
        <f t="shared" si="5"/>
        <v>4.2945978096879549E-2</v>
      </c>
      <c r="H8" s="53">
        <v>4.2500000000000003E-2</v>
      </c>
      <c r="I8" s="74">
        <f t="shared" si="1"/>
        <v>4.3413474837240562E-2</v>
      </c>
      <c r="J8" s="75"/>
      <c r="K8" s="68">
        <f>H8-1.92%</f>
        <v>2.3300000000000005E-2</v>
      </c>
    </row>
    <row r="9" spans="1:11" ht="23.15" customHeight="1" x14ac:dyDescent="0.5">
      <c r="A9" s="51" t="s">
        <v>61</v>
      </c>
      <c r="B9" s="56">
        <f>((1+$I9)^(B2/365)-1)*365/B2</f>
        <v>4.2915129621032513E-2</v>
      </c>
      <c r="C9" s="56">
        <f t="shared" ref="C9:G9" si="6">((1+$I9)^(C2/365)-1)*365/C2</f>
        <v>4.2932789838088001E-2</v>
      </c>
      <c r="D9" s="56">
        <f t="shared" si="6"/>
        <v>4.2973192444788845E-2</v>
      </c>
      <c r="E9" s="56">
        <f t="shared" si="6"/>
        <v>4.3049084031183106E-2</v>
      </c>
      <c r="F9" s="56">
        <f t="shared" si="6"/>
        <v>4.3125154319151399E-2</v>
      </c>
      <c r="G9" s="56">
        <f t="shared" si="6"/>
        <v>4.3354442133061333E-2</v>
      </c>
      <c r="H9" s="53">
        <v>4.2900000000000001E-2</v>
      </c>
      <c r="I9" s="74">
        <f t="shared" si="1"/>
        <v>4.3830874871463754E-2</v>
      </c>
      <c r="J9" s="75"/>
      <c r="K9" s="69"/>
    </row>
  </sheetData>
  <conditionalFormatting sqref="A1:J9">
    <cfRule type="expression" dxfId="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3.49E-2</v>
      </c>
      <c r="D3" s="55">
        <v>4.8800000000000003E-2</v>
      </c>
      <c r="E3" s="55">
        <v>0.04</v>
      </c>
      <c r="F3" s="55">
        <v>4.8000000000000001E-2</v>
      </c>
      <c r="G3" s="55">
        <v>5.8999999999999997E-2</v>
      </c>
      <c r="H3" s="53">
        <v>4.6899999999999997E-2</v>
      </c>
      <c r="I3" s="74">
        <f>(1+H3/365)^365-1</f>
        <v>4.8014044546304424E-2</v>
      </c>
      <c r="J3" s="75"/>
      <c r="K3" s="68">
        <f>H3-'Daily Data'!AR103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5.28E-2</v>
      </c>
      <c r="C5" s="56">
        <f>((1+I5)^(C2/365)-1)*365/C2</f>
        <v>4.4134650346251733E-2</v>
      </c>
      <c r="D5" s="56">
        <v>6.3799999999999996E-2</v>
      </c>
      <c r="E5" s="56">
        <f>((1+$I5)^(E2/365)-1)*365/E2</f>
        <v>4.4257551069836011E-2</v>
      </c>
      <c r="F5" s="56">
        <f t="shared" ref="F5:G5" si="2">((1+$I5)^(F2/365)-1)*365/F2</f>
        <v>4.4337949518542676E-2</v>
      </c>
      <c r="G5" s="56">
        <f t="shared" si="2"/>
        <v>4.4580315051523496E-2</v>
      </c>
      <c r="H5" s="53">
        <v>4.41E-2</v>
      </c>
      <c r="I5" s="74">
        <f t="shared" si="1"/>
        <v>4.5084074336688928E-2</v>
      </c>
      <c r="J5" s="75"/>
      <c r="K5" s="68">
        <f>H5-'Daily Data'!BJ103</f>
        <v>2.63E-2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3.4099999999999998E-2</v>
      </c>
      <c r="C7" s="52">
        <f>((1+I7)^(C2/365)-1)*365/C2</f>
        <v>3.2518816632587697E-2</v>
      </c>
      <c r="D7" s="52">
        <v>3.5799999999999998E-2</v>
      </c>
      <c r="E7" s="52">
        <f>((1+$I7)^(E2/365)-1)*365/E2</f>
        <v>3.2585515295304769E-2</v>
      </c>
      <c r="F7" s="52">
        <f t="shared" ref="F7:G7" si="4">((1+$I7)^(F2/365)-1)*365/F2</f>
        <v>3.2629112682946743E-2</v>
      </c>
      <c r="G7" s="52">
        <f t="shared" si="4"/>
        <v>3.2760372011032608E-2</v>
      </c>
      <c r="H7" s="53">
        <v>3.2500000000000001E-2</v>
      </c>
      <c r="I7" s="74">
        <f t="shared" si="1"/>
        <v>3.303239851864892E-2</v>
      </c>
      <c r="J7" s="75"/>
      <c r="K7" s="68">
        <f>H7-1.06%</f>
        <v>2.1900000000000003E-2</v>
      </c>
    </row>
    <row r="8" spans="1:11" ht="23.15" customHeight="1" x14ac:dyDescent="0.4">
      <c r="A8" s="51" t="s">
        <v>62</v>
      </c>
      <c r="B8" s="52">
        <f>((1+$I8)^(B2/365)-1)*365/B2</f>
        <v>4.3015200244608094E-2</v>
      </c>
      <c r="C8" s="52">
        <f t="shared" ref="C8:G8" si="5">((1+$I8)^(C2/365)-1)*365/C2</f>
        <v>4.3032942918809609E-2</v>
      </c>
      <c r="D8" s="52">
        <f t="shared" si="5"/>
        <v>4.3073534254197764E-2</v>
      </c>
      <c r="E8" s="52">
        <f t="shared" si="5"/>
        <v>4.3149780665970826E-2</v>
      </c>
      <c r="F8" s="52">
        <f t="shared" si="5"/>
        <v>4.3226207034042216E-2</v>
      </c>
      <c r="G8" s="52">
        <f t="shared" si="5"/>
        <v>4.3456570661041326E-2</v>
      </c>
      <c r="H8" s="53">
        <v>4.2999999999999997E-2</v>
      </c>
      <c r="I8" s="74">
        <f t="shared" si="1"/>
        <v>4.3935250895680733E-2</v>
      </c>
      <c r="J8" s="75"/>
      <c r="K8" s="68">
        <f>H8-'Daily Data'!H103</f>
        <v>2.3299999999999998E-2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8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3.95E-2</v>
      </c>
      <c r="C3" s="55">
        <v>3.49E-2</v>
      </c>
      <c r="D3" s="55">
        <v>4.87E-2</v>
      </c>
      <c r="E3" s="55">
        <v>0.04</v>
      </c>
      <c r="F3" s="55">
        <v>4.7E-2</v>
      </c>
      <c r="G3" s="55">
        <v>5.9200000000000003E-2</v>
      </c>
      <c r="H3" s="53">
        <v>4.9099999999999998E-2</v>
      </c>
      <c r="I3" s="74">
        <f>(1+H3/365)^365-1</f>
        <v>5.0321909665185904E-2</v>
      </c>
      <c r="J3" s="75"/>
      <c r="K3" s="68">
        <f>H3-'Daily Data'!AR104</f>
        <v>2.8299999999999999E-2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5.5800000000000002E-2</v>
      </c>
      <c r="C5" s="56">
        <f t="shared" ref="C5:G5" si="2">((1+$I5)^(C2/365)-1)*365/C2</f>
        <v>4.6538525450946423E-2</v>
      </c>
      <c r="D5" s="56">
        <v>6.6900000000000001E-2</v>
      </c>
      <c r="E5" s="56">
        <f t="shared" si="2"/>
        <v>4.6675188403669354E-2</v>
      </c>
      <c r="F5" s="56">
        <f t="shared" si="2"/>
        <v>4.6764604648815496E-2</v>
      </c>
      <c r="G5" s="56">
        <f t="shared" si="2"/>
        <v>4.7034225939659821E-2</v>
      </c>
      <c r="H5" s="53">
        <v>4.65E-2</v>
      </c>
      <c r="I5" s="74">
        <f t="shared" si="1"/>
        <v>4.7594976365493258E-2</v>
      </c>
      <c r="J5" s="75"/>
      <c r="K5" s="68">
        <f>H5-'Daily Data'!BJ104</f>
        <v>2.75E-2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2.9000000000000001E-2</v>
      </c>
      <c r="C7" s="52">
        <f t="shared" ref="C7:G7" si="4">((1+$I7)^(C2/365)-1)*365/C2</f>
        <v>2.7613569693030509E-2</v>
      </c>
      <c r="D7" s="52">
        <v>3.0300000000000001E-2</v>
      </c>
      <c r="E7" s="52">
        <f t="shared" si="4"/>
        <v>2.7661657006941637E-2</v>
      </c>
      <c r="F7" s="52">
        <f t="shared" si="4"/>
        <v>2.7693078446810349E-2</v>
      </c>
      <c r="G7" s="52">
        <f t="shared" si="4"/>
        <v>2.7787628574820866E-2</v>
      </c>
      <c r="H7" s="53">
        <v>2.76E-2</v>
      </c>
      <c r="I7" s="74">
        <f t="shared" si="1"/>
        <v>2.7983335754216743E-2</v>
      </c>
      <c r="J7" s="75"/>
      <c r="K7" s="68">
        <f>H7-1.06%</f>
        <v>1.7000000000000001E-2</v>
      </c>
    </row>
    <row r="8" spans="1:11" ht="23.15" customHeight="1" x14ac:dyDescent="0.4">
      <c r="A8" s="51" t="s">
        <v>62</v>
      </c>
      <c r="B8" s="52">
        <f>((1+$I8)^(B2/365)-1)*365/B2</f>
        <v>4.3615627439733053E-2</v>
      </c>
      <c r="C8" s="52">
        <f t="shared" ref="C8:G8" si="5">((1+$I8)^(C2/365)-1)*365/C2</f>
        <v>4.363386889274766E-2</v>
      </c>
      <c r="D8" s="52">
        <f t="shared" si="5"/>
        <v>4.3675601850457969E-2</v>
      </c>
      <c r="E8" s="52">
        <f t="shared" si="5"/>
        <v>4.3753994653074044E-2</v>
      </c>
      <c r="F8" s="52">
        <f t="shared" si="5"/>
        <v>4.3832575064065793E-2</v>
      </c>
      <c r="G8" s="52">
        <f t="shared" si="5"/>
        <v>4.4069447005582213E-2</v>
      </c>
      <c r="H8" s="53">
        <v>4.36E-2</v>
      </c>
      <c r="I8" s="74">
        <f t="shared" si="1"/>
        <v>4.4561725651013573E-2</v>
      </c>
      <c r="J8" s="75"/>
      <c r="K8" s="68">
        <f>H8-'Daily Data'!H104</f>
        <v>2.3400000000000001E-2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8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3.7499999999999999E-2</v>
      </c>
      <c r="C3" s="55">
        <v>3.7999999999999999E-2</v>
      </c>
      <c r="D3" s="55">
        <v>4.4999999999999998E-2</v>
      </c>
      <c r="E3" s="55">
        <v>0.04</v>
      </c>
      <c r="F3" s="55">
        <v>4.7E-2</v>
      </c>
      <c r="G3" s="55">
        <v>5.9900000000000002E-2</v>
      </c>
      <c r="H3" s="53">
        <v>4.41E-2</v>
      </c>
      <c r="I3" s="74">
        <f>(1+H3/365)^365-1</f>
        <v>4.5084074336688928E-2</v>
      </c>
      <c r="J3" s="75"/>
      <c r="K3" s="68">
        <f>H3-'Daily Data'!AR105</f>
        <v>2.75E-2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Data'!Z105</f>
        <v>9.700000000000002E-3</v>
      </c>
    </row>
    <row r="5" spans="1:11" ht="23.15" customHeight="1" x14ac:dyDescent="0.5">
      <c r="A5" s="51" t="s">
        <v>17</v>
      </c>
      <c r="B5" s="56">
        <v>4.8599999999999997E-2</v>
      </c>
      <c r="C5" s="56">
        <f t="shared" ref="C5:G5" si="2">((1+$I5)^(C2/365)-1)*365/C2</f>
        <v>4.052922289982909E-2</v>
      </c>
      <c r="D5" s="56">
        <v>5.8299999999999998E-2</v>
      </c>
      <c r="E5" s="56">
        <f t="shared" si="2"/>
        <v>4.0632852986788683E-2</v>
      </c>
      <c r="F5" s="56">
        <f t="shared" si="2"/>
        <v>4.0700628138462452E-2</v>
      </c>
      <c r="G5" s="56">
        <f t="shared" si="2"/>
        <v>4.0904859236788139E-2</v>
      </c>
      <c r="H5" s="57">
        <v>4.0500000000000001E-2</v>
      </c>
      <c r="I5" s="74">
        <f t="shared" si="1"/>
        <v>4.1328970092306072E-2</v>
      </c>
      <c r="J5" s="75"/>
      <c r="K5" s="68">
        <f>H5-'Daily Data'!BJ105</f>
        <v>2.5300000000000003E-2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2.69E-2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Data'!H105</f>
        <v>2.24E-2</v>
      </c>
    </row>
    <row r="9" spans="1:11" ht="23.15" customHeight="1" x14ac:dyDescent="0.5">
      <c r="A9" s="51" t="s">
        <v>61</v>
      </c>
      <c r="B9" s="56">
        <f>((1+$I9)^(B2/365)-1)*365/B2</f>
        <v>4.2614918737380006E-2</v>
      </c>
      <c r="C9" s="56">
        <f t="shared" ref="C9:G9" si="6">((1+$I9)^(C2/365)-1)*365/C2</f>
        <v>4.263233273613546E-2</v>
      </c>
      <c r="D9" s="56">
        <f t="shared" si="6"/>
        <v>4.2672171799586711E-2</v>
      </c>
      <c r="E9" s="56">
        <f t="shared" si="6"/>
        <v>4.2747003891891823E-2</v>
      </c>
      <c r="F9" s="56">
        <f t="shared" si="6"/>
        <v>4.2822010956684808E-2</v>
      </c>
      <c r="G9" s="56">
        <f t="shared" si="6"/>
        <v>4.3048086595060091E-2</v>
      </c>
      <c r="H9" s="53">
        <v>4.2599999999999999E-2</v>
      </c>
      <c r="I9" s="74">
        <f t="shared" si="1"/>
        <v>4.3517809238476701E-2</v>
      </c>
      <c r="J9" s="75"/>
      <c r="K9" s="69"/>
    </row>
  </sheetData>
  <conditionalFormatting sqref="A1:J9">
    <cfRule type="expression" dxfId="8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Data'!Z106</f>
        <v>1.0100000000000001E-2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3.8225997347559368E-2</v>
      </c>
      <c r="D5" s="56">
        <v>5.2999999999999999E-2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Data'!BJ106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Data'!H106</f>
        <v>2.1900000000000003E-2</v>
      </c>
    </row>
    <row r="9" spans="1:11" ht="23.15" customHeight="1" x14ac:dyDescent="0.5">
      <c r="A9" s="51" t="s">
        <v>61</v>
      </c>
      <c r="B9" s="56">
        <f>((1+$I9)^(B2/365)-1)*365/B2</f>
        <v>4.0513484000246666E-2</v>
      </c>
      <c r="C9" s="56">
        <f t="shared" ref="C9:G9" si="6">((1+$I9)^(C2/365)-1)*365/C2</f>
        <v>4.052922289982909E-2</v>
      </c>
      <c r="D9" s="56">
        <f t="shared" si="6"/>
        <v>4.0565228148374044E-2</v>
      </c>
      <c r="E9" s="56">
        <f t="shared" si="6"/>
        <v>4.0632852986788683E-2</v>
      </c>
      <c r="F9" s="56">
        <f t="shared" si="6"/>
        <v>4.0700628138462452E-2</v>
      </c>
      <c r="G9" s="56">
        <f t="shared" si="6"/>
        <v>4.0904859236788139E-2</v>
      </c>
      <c r="H9" s="53">
        <v>4.0500000000000001E-2</v>
      </c>
      <c r="I9" s="74">
        <f t="shared" si="1"/>
        <v>4.1328970092306072E-2</v>
      </c>
      <c r="J9" s="75"/>
      <c r="K9" s="69"/>
    </row>
  </sheetData>
  <conditionalFormatting sqref="A1:J9">
    <cfRule type="expression" dxfId="8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Data'!AR107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Data'!Z107</f>
        <v>1.0000000000000002E-2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3.7224653775365733E-2</v>
      </c>
      <c r="D5" s="56">
        <v>5.2999999999999999E-2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Data'!BJ107</f>
        <v>2.1599999999999998E-2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Data'!H107</f>
        <v>2.23E-2</v>
      </c>
    </row>
    <row r="9" spans="1:11" ht="23.15" customHeight="1" x14ac:dyDescent="0.5">
      <c r="A9" s="51" t="s">
        <v>61</v>
      </c>
      <c r="B9" s="56">
        <f>((1+$I9)^(B2/365)-1)*365/B2</f>
        <v>3.8712311956318669E-2</v>
      </c>
      <c r="C9" s="56">
        <f t="shared" ref="C9:G9" si="6">((1+$I9)^(C2/365)-1)*365/C2</f>
        <v>3.8726682506561701E-2</v>
      </c>
      <c r="D9" s="56">
        <f t="shared" si="6"/>
        <v>3.8759556193956914E-2</v>
      </c>
      <c r="E9" s="56">
        <f t="shared" si="6"/>
        <v>3.8821294681477138E-2</v>
      </c>
      <c r="F9" s="56">
        <f t="shared" si="6"/>
        <v>3.8883164289896549E-2</v>
      </c>
      <c r="G9" s="56">
        <f t="shared" si="6"/>
        <v>3.9069562977386327E-2</v>
      </c>
      <c r="H9" s="53">
        <v>3.8699999999999998E-2</v>
      </c>
      <c r="I9" s="74">
        <f t="shared" si="1"/>
        <v>3.9456466858355688E-2</v>
      </c>
      <c r="J9" s="75"/>
      <c r="K9" s="69"/>
    </row>
  </sheetData>
  <conditionalFormatting sqref="A1:J9">
    <cfRule type="expression" dxfId="8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Data'!AR108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Data'!Z108</f>
        <v>1.0800000000000001E-2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Data'!BJ108</f>
        <v>2.3699999999999999E-2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Data'!H108</f>
        <v>2.23E-2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8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4.4499999999999998E-2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Data'!AR109</f>
        <v>2.5599999999999998E-2</v>
      </c>
    </row>
    <row r="4" spans="1:11" ht="23.15" customHeight="1" x14ac:dyDescent="0.5">
      <c r="A4" s="51" t="s">
        <v>15</v>
      </c>
      <c r="B4" s="56">
        <f>((1+$I5)^(B2/365)-1)*365/B2</f>
        <v>3.6611011922457352E-2</v>
      </c>
      <c r="C4" s="56">
        <f t="shared" ref="C4:G4" si="0">((1+$I5)^(C2/365)-1)*365/C2</f>
        <v>3.6623864748969649E-2</v>
      </c>
      <c r="D4" s="56">
        <f t="shared" si="0"/>
        <v>3.6653265234805166E-2</v>
      </c>
      <c r="E4" s="56">
        <f t="shared" si="0"/>
        <v>3.6708475995860898E-2</v>
      </c>
      <c r="F4" s="56">
        <f t="shared" si="0"/>
        <v>3.6763797642103878E-2</v>
      </c>
      <c r="G4" s="56">
        <f t="shared" si="0"/>
        <v>3.6930430400372957E-2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Data'!Z109</f>
        <v>1.0300000000000002E-2</v>
      </c>
    </row>
    <row r="5" spans="1:11" ht="23.15" customHeight="1" x14ac:dyDescent="0.5">
      <c r="A5" s="51" t="s">
        <v>17</v>
      </c>
      <c r="B5" s="56">
        <v>4.3799999999999999E-2</v>
      </c>
      <c r="C5" s="56">
        <f t="shared" ref="C5:F5" si="2">((1+$I5)^(C2/365)-1)*365/C2</f>
        <v>3.6623864748969649E-2</v>
      </c>
      <c r="D5" s="56">
        <v>5.2600000000000001E-2</v>
      </c>
      <c r="E5" s="56">
        <f t="shared" si="2"/>
        <v>3.6708475995860898E-2</v>
      </c>
      <c r="F5" s="56">
        <f t="shared" si="2"/>
        <v>3.6763797642103878E-2</v>
      </c>
      <c r="G5" s="56">
        <f>((1+$I5)^(G2/365)-1)*365/G2</f>
        <v>3.6930430400372957E-2</v>
      </c>
      <c r="H5" s="57">
        <v>3.6600000000000001E-2</v>
      </c>
      <c r="I5" s="74">
        <f t="shared" si="1"/>
        <v>3.727612334382413E-2</v>
      </c>
      <c r="J5" s="75"/>
      <c r="K5" s="68">
        <f>H5-'Daily Data'!BJ109</f>
        <v>2.3900000000000001E-2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2.1999999999999999E-2</v>
      </c>
      <c r="C7" s="52">
        <f t="shared" ref="C7:G7" si="4">((1+$I7)^(C2/365)-1)*365/C2</f>
        <v>2.1007855232316502E-2</v>
      </c>
      <c r="D7" s="52">
        <v>2.3099999999999999E-2</v>
      </c>
      <c r="E7" s="52">
        <f t="shared" si="4"/>
        <v>2.1035682144425177E-2</v>
      </c>
      <c r="F7" s="52">
        <f t="shared" si="4"/>
        <v>2.1053856606007598E-2</v>
      </c>
      <c r="G7" s="52">
        <f t="shared" si="4"/>
        <v>2.1108505700553632E-2</v>
      </c>
      <c r="H7" s="53">
        <v>2.1000000000000001E-2</v>
      </c>
      <c r="I7" s="74">
        <f t="shared" si="1"/>
        <v>2.1221434731349964E-2</v>
      </c>
      <c r="J7" s="75"/>
      <c r="K7" s="68">
        <f>H7-1.06%</f>
        <v>1.0400000000000001E-2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Data'!H109</f>
        <v>2.2199999999999998E-2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8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3.7999999999999999E-2</v>
      </c>
      <c r="C3" s="55">
        <v>3.9E-2</v>
      </c>
      <c r="D3" s="55">
        <v>3.7999999999999999E-2</v>
      </c>
      <c r="E3" s="55">
        <v>3.9E-2</v>
      </c>
      <c r="F3" s="55">
        <v>4.5400000000000003E-2</v>
      </c>
      <c r="G3" s="55">
        <v>5.3999999999999999E-2</v>
      </c>
      <c r="H3" s="53">
        <v>4.0300000000000002E-2</v>
      </c>
      <c r="I3" s="74">
        <f>(1+H3/365)^365-1</f>
        <v>4.1120748168237853E-2</v>
      </c>
      <c r="J3" s="75"/>
      <c r="K3" s="68">
        <f>H3-'Daily Data'!AR110</f>
        <v>2.6300000000000004E-2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Data'!Z110</f>
        <v>1.0100000000000001E-2</v>
      </c>
    </row>
    <row r="5" spans="1:11" ht="23.15" customHeight="1" x14ac:dyDescent="0.5">
      <c r="A5" s="51" t="s">
        <v>17</v>
      </c>
      <c r="B5" s="56">
        <v>4.4400000000000002E-2</v>
      </c>
      <c r="C5" s="56">
        <f>((1+I5)^(C2/365)-1)*365/C2</f>
        <v>3.7124521379478526E-2</v>
      </c>
      <c r="D5" s="56">
        <v>5.3199999999999997E-2</v>
      </c>
      <c r="E5" s="56">
        <f>((1+$I5)^(E2/365)-1)*365/E2</f>
        <v>3.7211463020234627E-2</v>
      </c>
      <c r="F5" s="56">
        <f t="shared" ref="F5:G5" si="2">((1+$I5)^(F2/365)-1)*365/F2</f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Data'!BJ110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2.23E-2</v>
      </c>
      <c r="C7" s="52">
        <f t="shared" ref="C7:G7" si="4">((1+$I7)^(C2/365)-1)*365/C2</f>
        <v>2.1208005585827774E-2</v>
      </c>
      <c r="D7" s="52">
        <v>2.3400000000000001E-2</v>
      </c>
      <c r="E7" s="52">
        <f t="shared" si="4"/>
        <v>2.1236365426236359E-2</v>
      </c>
      <c r="F7" s="52">
        <f t="shared" si="4"/>
        <v>2.1254888214009424E-2</v>
      </c>
      <c r="G7" s="52">
        <f t="shared" si="4"/>
        <v>2.1310585918899037E-2</v>
      </c>
      <c r="H7" s="53">
        <v>2.12E-2</v>
      </c>
      <c r="I7" s="74">
        <f t="shared" si="1"/>
        <v>2.1425687635407309E-2</v>
      </c>
      <c r="J7" s="75"/>
      <c r="K7" s="68">
        <f>H7-1.06%</f>
        <v>1.06E-2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Data'!H110</f>
        <v>2.2099999999999998E-2</v>
      </c>
    </row>
    <row r="9" spans="1:11" ht="23.15" customHeight="1" x14ac:dyDescent="0.5">
      <c r="A9" s="51" t="s">
        <v>61</v>
      </c>
      <c r="B9" s="56">
        <f>((1+$I9)^(B2/365)-1)*365/B2</f>
        <v>3.8612248405269937E-2</v>
      </c>
      <c r="C9" s="56">
        <f t="shared" ref="C9:G9" si="6">((1+$I9)^(C2/365)-1)*365/C2</f>
        <v>3.8626544761562069E-2</v>
      </c>
      <c r="D9" s="56">
        <f t="shared" si="6"/>
        <v>3.8659248656118694E-2</v>
      </c>
      <c r="E9" s="56">
        <f t="shared" si="6"/>
        <v>3.8720668005707982E-2</v>
      </c>
      <c r="F9" s="56">
        <f t="shared" si="6"/>
        <v>3.8782217460826149E-2</v>
      </c>
      <c r="G9" s="56">
        <f t="shared" si="6"/>
        <v>3.8967649563848281E-2</v>
      </c>
      <c r="H9" s="53">
        <v>3.8600000000000002E-2</v>
      </c>
      <c r="I9" s="74">
        <f t="shared" si="1"/>
        <v>3.9352537413389843E-2</v>
      </c>
      <c r="J9" s="75"/>
      <c r="K9" s="69"/>
    </row>
  </sheetData>
  <conditionalFormatting sqref="A1:J9">
    <cfRule type="expression" dxfId="8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3.6900000000000002E-2</v>
      </c>
      <c r="D3" s="55">
        <v>3.7999999999999999E-2</v>
      </c>
      <c r="E3" s="55">
        <v>3.9E-2</v>
      </c>
      <c r="F3" s="55">
        <v>4.5400000000000003E-2</v>
      </c>
      <c r="G3" s="55">
        <v>5.45E-2</v>
      </c>
      <c r="H3" s="53">
        <v>4.0399999999999998E-2</v>
      </c>
      <c r="I3" s="74">
        <f>(1+H3/365)^365-1</f>
        <v>4.1224853939605843E-2</v>
      </c>
      <c r="J3" s="75"/>
      <c r="K3" s="68">
        <f>H3-'Daily Data'!AR111</f>
        <v>2.7099999999999999E-2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Data'!BJ111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2.2700000000000001E-2</v>
      </c>
      <c r="C7" s="52">
        <f t="shared" ref="C7:G7" si="4">((1+$I7)^(C2/365)-1)*365/C2</f>
        <v>2.1608310569760963E-2</v>
      </c>
      <c r="D7" s="52">
        <v>2.3800000000000002E-2</v>
      </c>
      <c r="E7" s="52">
        <f t="shared" si="4"/>
        <v>2.1637751452725933E-2</v>
      </c>
      <c r="F7" s="52">
        <f t="shared" si="4"/>
        <v>2.1656980840644872E-2</v>
      </c>
      <c r="G7" s="52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9"/>
    </row>
  </sheetData>
  <conditionalFormatting sqref="A1:J9">
    <cfRule type="expression" dxfId="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3.6799999999999999E-2</v>
      </c>
      <c r="D3" s="55">
        <v>3.9899999999999998E-2</v>
      </c>
      <c r="E3" s="55" t="s">
        <v>69</v>
      </c>
      <c r="F3" s="55">
        <v>4.4999999999999998E-2</v>
      </c>
      <c r="G3" s="55">
        <v>5.5E-2</v>
      </c>
      <c r="H3" s="53">
        <v>3.9899999999999998E-2</v>
      </c>
      <c r="I3" s="74">
        <f>(1+H3/365)^365-1</f>
        <v>4.0704428876507048E-2</v>
      </c>
      <c r="J3" s="75"/>
      <c r="K3" s="68">
        <f>H3-'Daily Data'!AR112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4.36E-2</v>
      </c>
      <c r="C5" s="56">
        <f t="shared" ref="C5:G5" si="2">((1+$I5)^(C2/365)-1)*365/C2</f>
        <v>3.6523734492600046E-2</v>
      </c>
      <c r="D5" s="56">
        <v>5.2299999999999999E-2</v>
      </c>
      <c r="E5" s="56">
        <f t="shared" si="2"/>
        <v>3.6607883468631482E-2</v>
      </c>
      <c r="F5" s="56">
        <f t="shared" si="2"/>
        <v>3.666290248471115E-2</v>
      </c>
      <c r="G5" s="56">
        <f t="shared" si="2"/>
        <v>3.6828621878785224E-2</v>
      </c>
      <c r="H5" s="57">
        <v>3.6499999999999998E-2</v>
      </c>
      <c r="I5" s="74">
        <f t="shared" si="1"/>
        <v>3.7172411302539565E-2</v>
      </c>
      <c r="J5" s="75"/>
      <c r="K5" s="68">
        <f>H5-'Daily Data'!BJ112</f>
        <v>2.2599999999999999E-2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2.29E-2</v>
      </c>
      <c r="C7" s="52">
        <f t="shared" ref="C7:G7" si="4">((1+$I7)^(C2/365)-1)*365/C2</f>
        <v>2.1808465200333398E-2</v>
      </c>
      <c r="D7" s="52">
        <v>2.4E-2</v>
      </c>
      <c r="E7" s="52">
        <f t="shared" si="4"/>
        <v>2.1838454197951385E-2</v>
      </c>
      <c r="F7" s="52">
        <f t="shared" si="4"/>
        <v>2.1858041860356409E-2</v>
      </c>
      <c r="G7" s="52">
        <f t="shared" si="4"/>
        <v>2.1916945503448543E-2</v>
      </c>
      <c r="H7" s="53">
        <v>2.18E-2</v>
      </c>
      <c r="I7" s="74">
        <f t="shared" si="1"/>
        <v>2.2038690822175022E-2</v>
      </c>
      <c r="J7" s="75"/>
      <c r="K7" s="68">
        <f>H7-1.01%</f>
        <v>1.17E-2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9"/>
    </row>
  </sheetData>
  <conditionalFormatting sqref="A1:J9">
    <cfRule type="expression" dxfId="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3.6600000000000001E-2</v>
      </c>
      <c r="I3" s="74">
        <f>(1+H3/365)^365-1</f>
        <v>3.727612334382413E-2</v>
      </c>
      <c r="J3" s="75"/>
      <c r="K3" s="68">
        <f>H3-'Daily Data'!I128</f>
        <v>-46200.963400000001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Data'!Z113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Data'!BJ113</f>
        <v>2.3199999999999998E-2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2.69E-2</v>
      </c>
      <c r="C7" s="52">
        <f t="shared" ref="C7:G7" si="4">((1+$I7)^(C2/365)-1)*365/C2</f>
        <v>2.5611674069389738E-2</v>
      </c>
      <c r="D7" s="52">
        <v>2.81E-2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H7-1.06%</f>
        <v>1.5000000000000001E-2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Data'!H113</f>
        <v>2.0700000000000003E-2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77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76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3.5999999999999997E-2</v>
      </c>
      <c r="I3" s="74">
        <f>(1+H3/365)^365-1</f>
        <v>3.6654006194406952E-2</v>
      </c>
      <c r="J3" s="75"/>
      <c r="K3" s="68">
        <f>H3-'Daily Data'!BJ114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Data'!Z114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Data'!BJ114</f>
        <v>2.3300000000000001E-2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Data'!H114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3.561041835104687E-2</v>
      </c>
      <c r="C9" s="56">
        <f t="shared" ref="C9:G9" si="6">((1+$I9)^(C2/365)-1)*365/C2</f>
        <v>3.5622578232228842E-2</v>
      </c>
      <c r="D9" s="56">
        <f t="shared" si="6"/>
        <v>3.5650393040337715E-2</v>
      </c>
      <c r="E9" s="56">
        <f t="shared" si="6"/>
        <v>3.5702623883787733E-2</v>
      </c>
      <c r="F9" s="56">
        <f t="shared" si="6"/>
        <v>3.5754956757379511E-2</v>
      </c>
      <c r="G9" s="56">
        <f t="shared" si="6"/>
        <v>3.5912569803879281E-2</v>
      </c>
      <c r="H9" s="53">
        <v>3.56E-2</v>
      </c>
      <c r="I9" s="74">
        <f t="shared" si="1"/>
        <v>3.623946816391288E-2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75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74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3.5099999999999999E-2</v>
      </c>
      <c r="I3" s="74">
        <f>(1+H3/365)^365-1</f>
        <v>3.5721528087785392E-2</v>
      </c>
      <c r="J3" s="75"/>
      <c r="K3" s="68">
        <f>H3-'Daily Data'!AR115</f>
        <v>2.3199999999999998E-2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Data'!Z115</f>
        <v>1.0700000000000001E-2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3.4721450854841733E-2</v>
      </c>
      <c r="D5" s="56">
        <v>5.0299999999999997E-2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7">
        <v>3.4700000000000002E-2</v>
      </c>
      <c r="I5" s="74">
        <f t="shared" si="1"/>
        <v>3.5307361916328883E-2</v>
      </c>
      <c r="J5" s="75"/>
      <c r="K5" s="68">
        <f>H5-'Daily Data'!BJ115</f>
        <v>2.2200000000000001E-2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Data'!H115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3.5000000000000003E-2</v>
      </c>
      <c r="D3" s="55">
        <v>3.9E-2</v>
      </c>
      <c r="E3" s="55">
        <v>0.04</v>
      </c>
      <c r="F3" s="55">
        <v>4.7300000000000002E-2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Data'!AR116</f>
        <v>2.4499999999999997E-2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Data'!Z116</f>
        <v>1.0000000000000002E-2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3.4120715315691226E-2</v>
      </c>
      <c r="D5" s="56">
        <v>4.9000000000000002E-2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7">
        <v>3.4099999999999998E-2</v>
      </c>
      <c r="I5" s="74">
        <f t="shared" si="1"/>
        <v>3.4686422321102972E-2</v>
      </c>
      <c r="J5" s="75"/>
      <c r="K5" s="68">
        <f>H5-'Daily Data'!BJ116</f>
        <v>2.2199999999999998E-2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2.4199999999999999E-2</v>
      </c>
      <c r="C7" s="52">
        <f t="shared" ref="C7:G7" si="4">((1+$I7)^(C2/365)-1)*365/C2</f>
        <v>2.3109505049901946E-2</v>
      </c>
      <c r="D7" s="52">
        <v>2.5399999999999999E-2</v>
      </c>
      <c r="E7" s="52">
        <f t="shared" si="4"/>
        <v>2.3143180200244085E-2</v>
      </c>
      <c r="F7" s="52">
        <f t="shared" si="4"/>
        <v>2.3165177501613794E-2</v>
      </c>
      <c r="G7" s="52">
        <f t="shared" si="4"/>
        <v>2.3231336803506069E-2</v>
      </c>
      <c r="H7" s="53">
        <v>2.3099999999999999E-2</v>
      </c>
      <c r="I7" s="74">
        <f t="shared" si="1"/>
        <v>2.3368123294949417E-2</v>
      </c>
      <c r="J7" s="75"/>
      <c r="K7" s="68">
        <f>H7-1.06%</f>
        <v>1.2499999999999999E-2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Data'!H116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2.8500000000000001E-2</v>
      </c>
      <c r="C3" s="55">
        <v>3.5000000000000003E-2</v>
      </c>
      <c r="D3" s="55">
        <v>3.7999999999999999E-2</v>
      </c>
      <c r="E3" s="55">
        <v>5.7200000000000001E-2</v>
      </c>
      <c r="F3" s="55">
        <v>4.8000000000000001E-2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Data'!AR117</f>
        <v>2.4999999999999994E-2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Data'!Z117</f>
        <v>9.8000000000000014E-3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3.4320959069194204E-2</v>
      </c>
      <c r="D5" s="56">
        <v>4.9399999999999999E-2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7">
        <v>3.4299999999999997E-2</v>
      </c>
      <c r="I5" s="74">
        <f t="shared" si="1"/>
        <v>3.4893360908936799E-2</v>
      </c>
      <c r="J5" s="75"/>
      <c r="K5" s="68">
        <f>H5-'Daily Data'!BJ117</f>
        <v>2.1899999999999996E-2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2.52E-2</v>
      </c>
      <c r="C7" s="52">
        <f t="shared" ref="C7:G7" si="4">((1+$I7)^(C2/365)-1)*365/C2</f>
        <v>2.4010260232618413E-2</v>
      </c>
      <c r="D7" s="52">
        <v>2.6200000000000001E-2</v>
      </c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H7-1.06%</f>
        <v>1.34E-2</v>
      </c>
    </row>
    <row r="8" spans="1:11" ht="23.15" customHeight="1" x14ac:dyDescent="0.4">
      <c r="A8" s="51" t="s">
        <v>62</v>
      </c>
      <c r="B8" s="52">
        <f>((1+$I8)^(B2/365)-1)*365/B2</f>
        <v>3.3309115550375711E-2</v>
      </c>
      <c r="C8" s="52">
        <f t="shared" ref="C8:G8" si="5">((1+$I8)^(C2/365)-1)*365/C2</f>
        <v>3.3319754564417998E-2</v>
      </c>
      <c r="D8" s="52">
        <f t="shared" si="5"/>
        <v>3.3344089328047145E-2</v>
      </c>
      <c r="E8" s="52">
        <f t="shared" si="5"/>
        <v>3.3389780901737866E-2</v>
      </c>
      <c r="F8" s="52">
        <f t="shared" si="5"/>
        <v>3.3435555957286103E-2</v>
      </c>
      <c r="G8" s="52">
        <f t="shared" si="5"/>
        <v>3.3573383732896381E-2</v>
      </c>
      <c r="H8" s="53">
        <v>3.3300000000000003E-2</v>
      </c>
      <c r="I8" s="74">
        <f t="shared" si="1"/>
        <v>3.3859080551566834E-2</v>
      </c>
      <c r="J8" s="75"/>
      <c r="K8" s="68">
        <f>H8-'Daily Data'!H117</f>
        <v>2.1500000000000005E-2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0.04</v>
      </c>
      <c r="D3" s="55">
        <v>3.6999999999999998E-2</v>
      </c>
      <c r="E3" s="55">
        <v>5.7000000000000002E-2</v>
      </c>
      <c r="F3" s="55">
        <v>4.8000000000000001E-2</v>
      </c>
      <c r="G3" s="55">
        <v>5.79E-2</v>
      </c>
      <c r="H3" s="53">
        <v>3.6400000000000002E-2</v>
      </c>
      <c r="I3" s="74">
        <f>(1+H3/365)^365-1</f>
        <v>3.7068709602530836E-2</v>
      </c>
      <c r="J3" s="75"/>
      <c r="K3" s="68">
        <f>H3-'Daily Data'!AR118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Data'!Z118</f>
        <v>9.700000000000002E-3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3.4020593973874136E-2</v>
      </c>
      <c r="D5" s="56">
        <v>4.82E-2</v>
      </c>
      <c r="E5" s="56">
        <f t="shared" si="2"/>
        <v>3.4093598620163604E-2</v>
      </c>
      <c r="F5" s="56">
        <f t="shared" si="2"/>
        <v>3.4141322866853417E-2</v>
      </c>
      <c r="G5" s="56">
        <f t="shared" si="2"/>
        <v>3.4285030666084418E-2</v>
      </c>
      <c r="H5" s="57">
        <v>3.4000000000000002E-2</v>
      </c>
      <c r="I5" s="74">
        <f t="shared" si="1"/>
        <v>3.4582968502674616E-2</v>
      </c>
      <c r="J5" s="75"/>
      <c r="K5" s="68">
        <f>H5-'Daily Data'!BJ118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2.6100000000000002E-2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Data'!H118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4.4499999999999998E-2</v>
      </c>
      <c r="D3" s="55">
        <v>0.04</v>
      </c>
      <c r="E3" s="55">
        <v>6.3E-2</v>
      </c>
      <c r="F3" s="55">
        <v>4.8000000000000001E-2</v>
      </c>
      <c r="G3" s="55">
        <v>5.8999999999999997E-2</v>
      </c>
      <c r="H3" s="53">
        <v>3.5099999999999999E-2</v>
      </c>
      <c r="I3" s="74">
        <f>(1+H3/365)^365-1</f>
        <v>3.5721528087785392E-2</v>
      </c>
      <c r="J3" s="75"/>
      <c r="K3" s="68">
        <f>'Daily Data'!AR119</f>
        <v>1.18E-2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Data'!Z119</f>
        <v>9.5000000000000015E-3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3.3019400165881306E-2</v>
      </c>
      <c r="D5" s="56">
        <v>4.7399999999999998E-2</v>
      </c>
      <c r="E5" s="56">
        <f t="shared" si="2"/>
        <v>3.3088169112457676E-2</v>
      </c>
      <c r="F5" s="56">
        <f t="shared" si="2"/>
        <v>3.3133121295987555E-2</v>
      </c>
      <c r="G5" s="56">
        <f t="shared" si="2"/>
        <v>3.3268466960937645E-2</v>
      </c>
      <c r="H5" s="57">
        <v>3.3000000000000002E-2</v>
      </c>
      <c r="I5" s="74">
        <f t="shared" si="1"/>
        <v>3.3548997504548206E-2</v>
      </c>
      <c r="J5" s="75"/>
      <c r="K5" s="68">
        <f>H5-'Daily Data'!AR119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2.6200000000000001E-2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3.1708260565512791E-2</v>
      </c>
      <c r="C8" s="52">
        <f t="shared" ref="C8:G8" si="5">((1+$I8)^(C2/365)-1)*365/C2</f>
        <v>3.1717901519644563E-2</v>
      </c>
      <c r="D8" s="52">
        <f t="shared" si="5"/>
        <v>3.1739952665787552E-2</v>
      </c>
      <c r="E8" s="52">
        <f t="shared" si="5"/>
        <v>3.1781353676550363E-2</v>
      </c>
      <c r="F8" s="52">
        <f t="shared" si="5"/>
        <v>3.1822826690937146E-2</v>
      </c>
      <c r="G8" s="52">
        <f t="shared" si="5"/>
        <v>3.1947679166106885E-2</v>
      </c>
      <c r="H8" s="53">
        <v>3.1699999999999999E-2</v>
      </c>
      <c r="I8" s="74">
        <f t="shared" si="1"/>
        <v>3.2206375697757972E-2</v>
      </c>
      <c r="J8" s="75"/>
      <c r="K8" s="68">
        <f>H8-'Daily Data'!H119</f>
        <v>2.0999999999999998E-2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Data'!Z120</f>
        <v>9.8000000000000014E-3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3.131745252004222E-2</v>
      </c>
      <c r="D5" s="56">
        <v>4.7399999999999998E-2</v>
      </c>
      <c r="E5" s="56">
        <f t="shared" si="2"/>
        <v>3.137931185839702E-2</v>
      </c>
      <c r="F5" s="56">
        <f t="shared" si="2"/>
        <v>3.1419742666299495E-2</v>
      </c>
      <c r="G5" s="56">
        <f t="shared" si="2"/>
        <v>3.1541452283600606E-2</v>
      </c>
      <c r="H5" s="57">
        <v>3.1300000000000001E-2</v>
      </c>
      <c r="I5" s="74">
        <f t="shared" si="1"/>
        <v>3.1793611327958216E-2</v>
      </c>
      <c r="J5" s="75"/>
      <c r="K5" s="68">
        <f>H5-'Daily Data'!BJ120</f>
        <v>1.6800000000000002E-2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3.1508156652631909E-2</v>
      </c>
      <c r="C8" s="52">
        <f t="shared" ref="C8:G8" si="5">((1+$I8)^(C2/365)-1)*365/C2</f>
        <v>3.1517676306815581E-2</v>
      </c>
      <c r="D8" s="52">
        <f t="shared" si="5"/>
        <v>3.1539449919734897E-2</v>
      </c>
      <c r="E8" s="52">
        <f t="shared" si="5"/>
        <v>3.1580329518414073E-2</v>
      </c>
      <c r="F8" s="52">
        <f t="shared" si="5"/>
        <v>3.1621279764769708E-2</v>
      </c>
      <c r="G8" s="52">
        <f t="shared" si="5"/>
        <v>3.1744555764847346E-2</v>
      </c>
      <c r="H8" s="53">
        <v>3.15E-2</v>
      </c>
      <c r="I8" s="74">
        <f t="shared" si="1"/>
        <v>3.1999972932999388E-2</v>
      </c>
      <c r="J8" s="75"/>
      <c r="K8" s="68">
        <f>H8-'Daily Data'!H120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3.2408629440969942E-2</v>
      </c>
      <c r="C9" s="56">
        <f t="shared" ref="C9:G9" si="6">((1+$I9)^(C2/365)-1)*365/C2</f>
        <v>3.2418700995537265E-2</v>
      </c>
      <c r="D9" s="56">
        <f t="shared" si="6"/>
        <v>3.2441737365686896E-2</v>
      </c>
      <c r="E9" s="56">
        <f t="shared" si="6"/>
        <v>3.2484989406369791E-2</v>
      </c>
      <c r="F9" s="56">
        <f t="shared" si="6"/>
        <v>3.2528318333154047E-2</v>
      </c>
      <c r="G9" s="56">
        <f t="shared" si="6"/>
        <v>3.2658767969349564E-2</v>
      </c>
      <c r="H9" s="53">
        <v>3.2399999999999998E-2</v>
      </c>
      <c r="I9" s="74">
        <f t="shared" si="1"/>
        <v>3.2929109626098185E-2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B3-'Daily Data'!AR121</f>
        <v>2.0700000000000003E-2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Data'!Z121</f>
        <v>9.8000000000000014E-3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4.1730980689982856E-2</v>
      </c>
      <c r="D5" s="56">
        <v>7.1099999999999997E-2</v>
      </c>
      <c r="E5" s="56">
        <f t="shared" si="2"/>
        <v>4.1840851351749211E-2</v>
      </c>
      <c r="F5" s="56">
        <f t="shared" si="2"/>
        <v>4.1912713893351702E-2</v>
      </c>
      <c r="G5" s="56">
        <f t="shared" si="2"/>
        <v>4.2129290335449224E-2</v>
      </c>
      <c r="H5" s="57">
        <v>4.1700000000000001E-2</v>
      </c>
      <c r="I5" s="74">
        <f t="shared" si="1"/>
        <v>4.2579174052441493E-2</v>
      </c>
      <c r="J5" s="75"/>
      <c r="K5" s="68">
        <f>H5-'Daily Data'!BJ121</f>
        <v>2.1600000000000001E-2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Data'!H121</f>
        <v>2.1600000000000001E-2</v>
      </c>
    </row>
    <row r="9" spans="1:11" ht="23.15" customHeight="1" x14ac:dyDescent="0.5">
      <c r="A9" s="51" t="s">
        <v>61</v>
      </c>
      <c r="B9" s="56">
        <f>((1+$I9)^(B2/365)-1)*365/B2</f>
        <v>3.280884384506149E-2</v>
      </c>
      <c r="C9" s="56">
        <f t="shared" ref="C9:G9" si="6">((1+$I9)^(C2/365)-1)*365/C2</f>
        <v>3.2819165682932416E-2</v>
      </c>
      <c r="D9" s="56">
        <f t="shared" si="6"/>
        <v>3.2842774717098698E-2</v>
      </c>
      <c r="E9" s="56">
        <f t="shared" si="6"/>
        <v>3.2887102710980422E-2</v>
      </c>
      <c r="F9" s="56">
        <f t="shared" si="6"/>
        <v>3.2931510477701459E-2</v>
      </c>
      <c r="G9" s="56">
        <f t="shared" si="6"/>
        <v>3.306521403168864E-2</v>
      </c>
      <c r="H9" s="53">
        <v>3.2800000000000003E-2</v>
      </c>
      <c r="I9" s="74">
        <f t="shared" si="1"/>
        <v>3.334232700144435E-2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Data'!Z122</f>
        <v>1.0400000000000001E-2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4.9543658268123091E-2</v>
      </c>
      <c r="D5" s="56">
        <v>7.1099999999999997E-2</v>
      </c>
      <c r="E5" s="56">
        <f t="shared" si="2"/>
        <v>4.9698554137662457E-2</v>
      </c>
      <c r="F5" s="56">
        <f t="shared" si="2"/>
        <v>4.9799920991994019E-2</v>
      </c>
      <c r="G5" s="56">
        <f t="shared" si="2"/>
        <v>5.0105678377983978E-2</v>
      </c>
      <c r="H5" s="57">
        <v>4.9500000000000002E-2</v>
      </c>
      <c r="I5" s="74">
        <f t="shared" si="1"/>
        <v>5.0742065704776351E-2</v>
      </c>
      <c r="J5" s="75"/>
      <c r="K5" s="68">
        <f>H5-'Daily Data'!BJ122</f>
        <v>2.8000000000000004E-2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Data'!H122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3.2508682795319786E-2</v>
      </c>
      <c r="C9" s="56">
        <f t="shared" ref="C9:G9" si="6">((1+$I9)^(C2/365)-1)*365/C2</f>
        <v>3.2518816632587697E-2</v>
      </c>
      <c r="D9" s="56">
        <f t="shared" si="6"/>
        <v>3.2541995508796773E-2</v>
      </c>
      <c r="E9" s="56">
        <f t="shared" si="6"/>
        <v>3.2585515295304769E-2</v>
      </c>
      <c r="F9" s="56">
        <f t="shared" si="6"/>
        <v>3.2629112682946743E-2</v>
      </c>
      <c r="G9" s="56">
        <f t="shared" si="6"/>
        <v>3.2760372011032608E-2</v>
      </c>
      <c r="H9" s="53">
        <v>3.2500000000000001E-2</v>
      </c>
      <c r="I9" s="74">
        <f t="shared" si="1"/>
        <v>3.303239851864892E-2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3.1E-2</v>
      </c>
      <c r="E3" s="55">
        <v>6.0999999999999999E-2</v>
      </c>
      <c r="F3" s="55">
        <v>4.9000000000000002E-2</v>
      </c>
      <c r="G3" s="55">
        <v>5.9900000000000002E-2</v>
      </c>
      <c r="H3" s="53">
        <v>3.6299999999999999E-2</v>
      </c>
      <c r="I3" s="74">
        <f>(1+H3/365)^365-1</f>
        <v>3.6965018242766767E-2</v>
      </c>
      <c r="J3" s="75"/>
      <c r="K3" s="68">
        <f>H3-'Daily Data'!AR123</f>
        <v>2.3799999999999998E-2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Data'!Z123</f>
        <v>9.6000000000000009E-3</v>
      </c>
    </row>
    <row r="5" spans="1:11" ht="23.15" customHeight="1" x14ac:dyDescent="0.5">
      <c r="A5" s="51" t="s">
        <v>17</v>
      </c>
      <c r="B5" s="56">
        <v>6.3299999999999995E-2</v>
      </c>
      <c r="C5" s="56">
        <f t="shared" ref="C5:G5" si="2">((1+$I5)^(C2/365)-1)*365/C2</f>
        <v>5.2849675204099188E-2</v>
      </c>
      <c r="D5" s="56">
        <v>7.5899999999999995E-2</v>
      </c>
      <c r="E5" s="56">
        <f t="shared" si="2"/>
        <v>5.3025950027636201E-2</v>
      </c>
      <c r="F5" s="56">
        <f t="shared" si="2"/>
        <v>5.3141334131244666E-2</v>
      </c>
      <c r="G5" s="56">
        <f t="shared" si="2"/>
        <v>5.3489498686576945E-2</v>
      </c>
      <c r="H5" s="57">
        <v>5.28E-2</v>
      </c>
      <c r="I5" s="74">
        <f t="shared" si="1"/>
        <v>5.4214754655201425E-2</v>
      </c>
      <c r="J5" s="75"/>
      <c r="K5" s="68">
        <f>H5-'Daily Data'!BJ123</f>
        <v>3.09E-2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Data'!H123</f>
        <v>2.1500000000000002E-2</v>
      </c>
    </row>
    <row r="9" spans="1:11" ht="23.15" customHeight="1" x14ac:dyDescent="0.5">
      <c r="A9" s="51" t="s">
        <v>61</v>
      </c>
      <c r="B9" s="56">
        <f>((1+I9)^(B2/365)-1)*365/B2</f>
        <v>3.4539801443087867E-2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3.4529999999999998E-2</v>
      </c>
      <c r="I9" s="74">
        <f t="shared" si="1"/>
        <v>3.5131391311001847E-2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3.7999999999999999E-2</v>
      </c>
      <c r="E3" s="55">
        <v>5.9700000000000003E-2</v>
      </c>
      <c r="F3" s="55">
        <v>4.9000000000000002E-2</v>
      </c>
      <c r="G3" s="55">
        <v>5.6899999999999999E-2</v>
      </c>
      <c r="H3" s="53">
        <v>3.6799999999999999E-2</v>
      </c>
      <c r="I3" s="74">
        <f>(1+H3/365)^365-1</f>
        <v>3.7483578454069244E-2</v>
      </c>
      <c r="J3" s="75"/>
      <c r="K3" s="68">
        <f>H3-'Daily Data'!AR124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Data'!Z124</f>
        <v>9.5000000000000015E-3</v>
      </c>
    </row>
    <row r="5" spans="1:11" ht="23.15" customHeight="1" x14ac:dyDescent="0.5">
      <c r="A5" s="51" t="s">
        <v>17</v>
      </c>
      <c r="B5" s="56">
        <v>6.3799999999999996E-2</v>
      </c>
      <c r="C5" s="56">
        <f t="shared" ref="C5:G5" si="2">((1+$I5)^(C2/365)-1)*365/C2</f>
        <v>5.3250430930830629E-2</v>
      </c>
      <c r="D5" s="56">
        <v>7.6600000000000001E-2</v>
      </c>
      <c r="E5" s="56">
        <f t="shared" si="2"/>
        <v>5.3429391347276901E-2</v>
      </c>
      <c r="F5" s="56">
        <f t="shared" si="2"/>
        <v>5.3546536612990449E-2</v>
      </c>
      <c r="G5" s="56">
        <f t="shared" si="2"/>
        <v>5.3900030917774011E-2</v>
      </c>
      <c r="H5" s="57">
        <v>5.3199999999999997E-2</v>
      </c>
      <c r="I5" s="74">
        <f t="shared" si="1"/>
        <v>5.4636463658827239E-2</v>
      </c>
      <c r="J5" s="75"/>
      <c r="K5" s="68">
        <f>H5-'Daily Data'!BJ124</f>
        <v>3.1199999999999999E-2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2.7E-2</v>
      </c>
      <c r="C7" s="52">
        <f t="shared" ref="C7:G7" si="4">((1+$I7)^(C2/365)-1)*365/C2</f>
        <v>2.5811857215221928E-2</v>
      </c>
      <c r="D7" s="52">
        <v>2.8299999999999999E-2</v>
      </c>
      <c r="E7" s="52">
        <f t="shared" si="4"/>
        <v>2.5853871894912912E-2</v>
      </c>
      <c r="F7" s="52">
        <f t="shared" si="4"/>
        <v>2.5881321894265188E-2</v>
      </c>
      <c r="G7" s="52">
        <f t="shared" si="4"/>
        <v>2.5963905256004081E-2</v>
      </c>
      <c r="H7" s="53">
        <v>2.58E-2</v>
      </c>
      <c r="I7" s="74">
        <f t="shared" si="1"/>
        <v>2.6134765186633047E-2</v>
      </c>
      <c r="J7" s="75"/>
      <c r="K7" s="68">
        <f>H7-1.06%</f>
        <v>1.52E-2</v>
      </c>
    </row>
    <row r="8" spans="1:11" ht="23.15" customHeight="1" x14ac:dyDescent="0.4">
      <c r="A8" s="51" t="s">
        <v>62</v>
      </c>
      <c r="B8" s="52">
        <f>((1+$I8)^(B2/365)-1)*365/B2</f>
        <v>3.2708789997348199E-2</v>
      </c>
      <c r="C8" s="52">
        <f t="shared" ref="C8:G8" si="5">((1+$I8)^(C2/365)-1)*365/C2</f>
        <v>3.2719048976256326E-2</v>
      </c>
      <c r="D8" s="52">
        <f t="shared" si="5"/>
        <v>3.2742514184474304E-2</v>
      </c>
      <c r="E8" s="52">
        <f t="shared" si="5"/>
        <v>3.2786571947560107E-2</v>
      </c>
      <c r="F8" s="52">
        <f t="shared" si="5"/>
        <v>3.2830708755136703E-2</v>
      </c>
      <c r="G8" s="52">
        <f t="shared" si="5"/>
        <v>3.2963595041935363E-2</v>
      </c>
      <c r="H8" s="53">
        <v>3.27E-2</v>
      </c>
      <c r="I8" s="74">
        <f t="shared" si="1"/>
        <v>3.3239007205273285E-2</v>
      </c>
      <c r="J8" s="75"/>
      <c r="K8" s="68">
        <f>H8-'Daily Data'!H124</f>
        <v>2.1299999999999999E-2</v>
      </c>
    </row>
    <row r="9" spans="1:11" ht="23.15" customHeight="1" x14ac:dyDescent="0.5">
      <c r="A9" s="51" t="s">
        <v>61</v>
      </c>
      <c r="B9" s="56">
        <f>((1+I9)^(B2/365)-1)*365/B2</f>
        <v>3.4509784417989478E-2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3.4500000000000003E-2</v>
      </c>
      <c r="I9" s="74">
        <f t="shared" si="1"/>
        <v>3.5100340771234473E-2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0.04</v>
      </c>
      <c r="D3" s="55">
        <v>4.5999999999999999E-2</v>
      </c>
      <c r="E3" s="55">
        <v>5.96E-2</v>
      </c>
      <c r="F3" s="55">
        <v>4.9000000000000002E-2</v>
      </c>
      <c r="G3" s="55">
        <v>5.96E-2</v>
      </c>
      <c r="H3" s="53">
        <v>3.61E-2</v>
      </c>
      <c r="I3" s="74">
        <f>(1+H3/365)^365-1</f>
        <v>3.6757666539783518E-2</v>
      </c>
      <c r="J3" s="75"/>
      <c r="K3" s="68">
        <f>H3-'Daily Data'!AR125</f>
        <v>2.4199999999999999E-2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Data'!Z125</f>
        <v>9.3000000000000027E-3</v>
      </c>
    </row>
    <row r="5" spans="1:11" ht="23.15" customHeight="1" x14ac:dyDescent="0.5">
      <c r="A5" s="51" t="s">
        <v>17</v>
      </c>
      <c r="B5" s="56">
        <v>6.3200000000000006E-2</v>
      </c>
      <c r="C5" s="56">
        <f t="shared" ref="C5:G5" si="2">((1+$I5)^(C2/365)-1)*365/C2</f>
        <v>5.2749487164463801E-2</v>
      </c>
      <c r="D5" s="56">
        <v>7.5800000000000006E-2</v>
      </c>
      <c r="E5" s="56">
        <f t="shared" si="2"/>
        <v>5.2925093773015672E-2</v>
      </c>
      <c r="F5" s="56">
        <f t="shared" si="2"/>
        <v>5.3040039685020607E-2</v>
      </c>
      <c r="G5" s="56">
        <f t="shared" si="2"/>
        <v>5.3386878209514509E-2</v>
      </c>
      <c r="H5" s="57">
        <v>5.2699999999999997E-2</v>
      </c>
      <c r="I5" s="74">
        <f t="shared" si="1"/>
        <v>5.4109353682553651E-2</v>
      </c>
      <c r="J5" s="75"/>
      <c r="K5" s="68">
        <f>H5-'Daily Data'!BJ125</f>
        <v>3.2799999999999996E-2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2.7199999999999998E-2</v>
      </c>
      <c r="C7" s="52">
        <f t="shared" ref="C7:G7" si="4">((1+$I7)^(C2/365)-1)*365/C2</f>
        <v>2.5911949322887175E-2</v>
      </c>
      <c r="D7" s="52">
        <v>2.8500000000000001E-2</v>
      </c>
      <c r="E7" s="52">
        <f t="shared" si="4"/>
        <v>2.5954290603619774E-2</v>
      </c>
      <c r="F7" s="52">
        <f t="shared" si="4"/>
        <v>2.5981954177583283E-2</v>
      </c>
      <c r="G7" s="52">
        <f t="shared" si="4"/>
        <v>2.6065180992459636E-2</v>
      </c>
      <c r="H7" s="53">
        <v>2.5899999999999999E-2</v>
      </c>
      <c r="I7" s="74">
        <f t="shared" si="1"/>
        <v>2.6237376526543565E-2</v>
      </c>
      <c r="J7" s="75"/>
      <c r="K7" s="68">
        <f>H7-1.06%</f>
        <v>1.5299999999999999E-2</v>
      </c>
    </row>
    <row r="8" spans="1:11" ht="23.15" customHeight="1" x14ac:dyDescent="0.4">
      <c r="A8" s="51" t="s">
        <v>62</v>
      </c>
      <c r="B8" s="52">
        <f>((1+$I8)^(B2/365)-1)*365/B2</f>
        <v>3.2408629440969942E-2</v>
      </c>
      <c r="C8" s="52">
        <f t="shared" ref="C8:G8" si="5">((1+$I8)^(C2/365)-1)*365/C2</f>
        <v>3.2418700995537265E-2</v>
      </c>
      <c r="D8" s="52">
        <f t="shared" si="5"/>
        <v>3.2441737365686896E-2</v>
      </c>
      <c r="E8" s="52">
        <f t="shared" si="5"/>
        <v>3.2484989406369791E-2</v>
      </c>
      <c r="F8" s="52">
        <f t="shared" si="5"/>
        <v>3.2528318333154047E-2</v>
      </c>
      <c r="G8" s="52">
        <f t="shared" si="5"/>
        <v>3.2658767969349564E-2</v>
      </c>
      <c r="H8" s="53">
        <v>3.2399999999999998E-2</v>
      </c>
      <c r="I8" s="74">
        <f t="shared" si="1"/>
        <v>3.2929109626098185E-2</v>
      </c>
      <c r="J8" s="75"/>
      <c r="K8" s="68">
        <f>H8-'Daily Data'!H125</f>
        <v>2.1199999999999997E-2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4.1000000000000002E-2</v>
      </c>
      <c r="E3" s="55">
        <v>5.9299999999999999E-2</v>
      </c>
      <c r="F3" s="55">
        <v>4.0899999999999999E-2</v>
      </c>
      <c r="G3" s="55">
        <v>5.9499999999999997E-2</v>
      </c>
      <c r="H3" s="53">
        <v>3.6999999999999998E-2</v>
      </c>
      <c r="I3" s="74">
        <f>(1+H3/365)^365-1</f>
        <v>3.7691074941686109E-2</v>
      </c>
      <c r="J3" s="75"/>
      <c r="K3" s="68">
        <f>H3-'Daily Data'!AR126</f>
        <v>2.47E-2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Data'!Z126</f>
        <v>9.1999999999999998E-3</v>
      </c>
    </row>
    <row r="5" spans="1:11" ht="23.15" customHeight="1" x14ac:dyDescent="0.5">
      <c r="A5" s="51" t="s">
        <v>17</v>
      </c>
      <c r="B5" s="56">
        <v>6.4699999999999994E-2</v>
      </c>
      <c r="C5" s="56">
        <f t="shared" ref="C5:G5" si="2">((1+$I6)^(C2/365)-1)*365/C2</f>
        <v>3.3720232087598924E-2</v>
      </c>
      <c r="D5" s="56">
        <v>7.7700000000000005E-2</v>
      </c>
      <c r="E5" s="56">
        <f t="shared" si="2"/>
        <v>3.3791952704462558E-2</v>
      </c>
      <c r="F5" s="56">
        <f t="shared" si="2"/>
        <v>3.3838836584806672E-2</v>
      </c>
      <c r="G5" s="56">
        <f t="shared" si="2"/>
        <v>3.3980009211555737E-2</v>
      </c>
      <c r="H5" s="57">
        <v>5.3999999999999999E-2</v>
      </c>
      <c r="I5" s="74">
        <f t="shared" si="1"/>
        <v>5.5480386424407557E-2</v>
      </c>
      <c r="J5" s="75"/>
      <c r="K5" s="68">
        <f>H5-'Daily Data'!BJ126</f>
        <v>3.3299999999999996E-2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2.6800000000000001E-2</v>
      </c>
      <c r="C7" s="52">
        <f t="shared" ref="C7:G7" si="4">((1+$I7)^(C2/365)-1)*365/C2</f>
        <v>2.5511583031124378E-2</v>
      </c>
      <c r="D7" s="52">
        <v>2.8199999999999999E-2</v>
      </c>
      <c r="E7" s="52">
        <f t="shared" si="4"/>
        <v>2.5552625507271554E-2</v>
      </c>
      <c r="F7" s="52">
        <f t="shared" si="4"/>
        <v>2.5579439765606862E-2</v>
      </c>
      <c r="G7" s="52">
        <f t="shared" si="4"/>
        <v>2.5660107842983764E-2</v>
      </c>
      <c r="H7" s="53">
        <v>2.5499999999999998E-2</v>
      </c>
      <c r="I7" s="74">
        <f t="shared" si="1"/>
        <v>2.5826992553672934E-2</v>
      </c>
      <c r="J7" s="75"/>
      <c r="K7" s="68">
        <f>H7-1.06%</f>
        <v>1.4899999999999998E-2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Data'!H126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3.4709898198359249E-2</v>
      </c>
      <c r="C9" s="56">
        <f t="shared" ref="C9:G9" si="6">((1+$I9)^(C2/365)-1)*365/C2</f>
        <v>3.4721450854841733E-2</v>
      </c>
      <c r="D9" s="56">
        <f t="shared" si="6"/>
        <v>3.4747876182692296E-2</v>
      </c>
      <c r="E9" s="56">
        <f t="shared" si="6"/>
        <v>3.4797495973070948E-2</v>
      </c>
      <c r="F9" s="56">
        <f t="shared" si="6"/>
        <v>3.4847210239193682E-2</v>
      </c>
      <c r="G9" s="56">
        <f t="shared" si="6"/>
        <v>3.4996921918003271E-2</v>
      </c>
      <c r="H9" s="53">
        <v>3.4700000000000002E-2</v>
      </c>
      <c r="I9" s="74">
        <f t="shared" si="1"/>
        <v>3.5307361916328883E-2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Data'!AR127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Data'!Z127</f>
        <v>1.6299999999999999E-2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5.4653120929969511E-2</v>
      </c>
      <c r="D5" s="56">
        <v>6.2199999999999998E-2</v>
      </c>
      <c r="E5" s="56">
        <f t="shared" si="2"/>
        <v>5.4841641376906967E-2</v>
      </c>
      <c r="F5" s="56">
        <f t="shared" si="2"/>
        <v>5.4965056522566016E-2</v>
      </c>
      <c r="G5" s="56">
        <f t="shared" si="2"/>
        <v>5.5337527987590028E-2</v>
      </c>
      <c r="H5" s="57">
        <v>5.4600000000000003E-2</v>
      </c>
      <c r="I5" s="74">
        <f t="shared" si="1"/>
        <v>5.6113770425693321E-2</v>
      </c>
      <c r="J5" s="75"/>
      <c r="K5" s="68">
        <f>H5-'Daily Data'!BJ127</f>
        <v>3.4300000000000004E-2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3.3909447023868777E-2</v>
      </c>
      <c r="C8" s="52">
        <f t="shared" ref="C8:G8" si="5">((1+$I8)^(C2/365)-1)*365/C2</f>
        <v>3.3920472988498589E-2</v>
      </c>
      <c r="D8" s="52">
        <f t="shared" si="5"/>
        <v>3.3945693147479895E-2</v>
      </c>
      <c r="E8" s="52">
        <f t="shared" si="5"/>
        <v>3.3993048356382727E-2</v>
      </c>
      <c r="F8" s="52">
        <f t="shared" si="5"/>
        <v>3.4040491647770316E-2</v>
      </c>
      <c r="G8" s="52">
        <f t="shared" si="5"/>
        <v>3.4183351862080429E-2</v>
      </c>
      <c r="H8" s="53">
        <v>3.39E-2</v>
      </c>
      <c r="I8" s="74">
        <f t="shared" si="1"/>
        <v>3.4479524999688094E-2</v>
      </c>
      <c r="J8" s="75"/>
      <c r="K8" s="68">
        <f>H8-'Daily Data'!H127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Data'!AR128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Data'!Z128</f>
        <v>9.1999999999999998E-3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5.3651192366085794E-2</v>
      </c>
      <c r="D5" s="56">
        <v>6.2199999999999998E-2</v>
      </c>
      <c r="E5" s="56">
        <f t="shared" si="2"/>
        <v>5.3832858749404591E-2</v>
      </c>
      <c r="F5" s="56">
        <f t="shared" si="2"/>
        <v>5.3951778611946395E-2</v>
      </c>
      <c r="G5" s="56">
        <f t="shared" si="2"/>
        <v>5.4310643676858256E-2</v>
      </c>
      <c r="H5" s="57">
        <v>5.3600000000000002E-2</v>
      </c>
      <c r="I5" s="74">
        <f t="shared" si="1"/>
        <v>5.5058340892861102E-2</v>
      </c>
      <c r="J5" s="75"/>
      <c r="K5" s="68">
        <f>H5-'Daily Data'!BJ128</f>
        <v>3.4299999999999997E-2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Data'!H128</f>
        <v>2.3E-2</v>
      </c>
    </row>
    <row r="9" spans="1:11" ht="23.15" customHeight="1" x14ac:dyDescent="0.5">
      <c r="A9" s="51" t="s">
        <v>61</v>
      </c>
      <c r="B9" s="56">
        <f>((1+$I9)^(B2/365)-1)*365/B2</f>
        <v>3.430967129548395E-2</v>
      </c>
      <c r="C9" s="56">
        <f t="shared" ref="C9:G9" si="6">((1+$I9)^(C2/365)-1)*365/C2</f>
        <v>3.4320959069194204E-2</v>
      </c>
      <c r="D9" s="56">
        <f t="shared" si="6"/>
        <v>3.4346778292231983E-2</v>
      </c>
      <c r="E9" s="56">
        <f t="shared" si="6"/>
        <v>3.4395259162604379E-2</v>
      </c>
      <c r="F9" s="56">
        <f t="shared" si="6"/>
        <v>3.4443831274714017E-2</v>
      </c>
      <c r="G9" s="56">
        <f t="shared" si="6"/>
        <v>3.459009699547997E-2</v>
      </c>
      <c r="H9" s="53">
        <v>3.4299999999999997E-2</v>
      </c>
      <c r="I9" s="74">
        <f t="shared" si="1"/>
        <v>3.4893360908936799E-2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Data'!AR129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Data'!Z129</f>
        <v>9.9000000000000008E-3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3.290889785714822E-2</v>
      </c>
      <c r="C8" s="52">
        <f t="shared" ref="C8:G8" si="5">((1+$I8)^(C2/365)-1)*365/C2</f>
        <v>3.2919282746055836E-2</v>
      </c>
      <c r="D8" s="52">
        <f t="shared" si="5"/>
        <v>3.2943036046151376E-2</v>
      </c>
      <c r="E8" s="52">
        <f t="shared" si="5"/>
        <v>3.2987635099189561E-2</v>
      </c>
      <c r="F8" s="52">
        <f t="shared" si="5"/>
        <v>3.3032314657883019E-2</v>
      </c>
      <c r="G8" s="52">
        <f t="shared" si="5"/>
        <v>3.3166838004525655E-2</v>
      </c>
      <c r="H8" s="53">
        <v>3.2899999999999999E-2</v>
      </c>
      <c r="I8" s="74">
        <f t="shared" si="1"/>
        <v>3.3445657100777071E-2</v>
      </c>
      <c r="J8" s="75"/>
      <c r="K8" s="68">
        <f>H8-'Daily Data'!H129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3.4209614980849228E-2</v>
      </c>
      <c r="C9" s="56">
        <f t="shared" ref="C9:G9" si="6">((1+$I9)^(C2/365)-1)*365/C2</f>
        <v>3.4220837014135107E-2</v>
      </c>
      <c r="D9" s="56">
        <f t="shared" si="6"/>
        <v>3.4246505811097595E-2</v>
      </c>
      <c r="E9" s="56">
        <f t="shared" si="6"/>
        <v>3.4294704023164348E-2</v>
      </c>
      <c r="F9" s="56">
        <f t="shared" si="6"/>
        <v>3.4342992680180727E-2</v>
      </c>
      <c r="G9" s="56">
        <f t="shared" si="6"/>
        <v>3.4488403232455951E-2</v>
      </c>
      <c r="H9" s="53">
        <v>3.4200000000000001E-2</v>
      </c>
      <c r="I9" s="74">
        <f t="shared" si="1"/>
        <v>3.4789886456186414E-2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3.1899999999999998E-2</v>
      </c>
      <c r="D3" s="55">
        <v>3.9E-2</v>
      </c>
      <c r="E3" s="55">
        <v>5.7799999999999997E-2</v>
      </c>
      <c r="F3" s="55">
        <v>4.4999999999999998E-2</v>
      </c>
      <c r="G3" s="55">
        <v>4.1000000000000002E-2</v>
      </c>
      <c r="H3" s="53">
        <v>3.9800000000000002E-2</v>
      </c>
      <c r="I3" s="74">
        <f>(1+H3/365)^365-1</f>
        <v>4.0600374996768718E-2</v>
      </c>
      <c r="J3" s="75"/>
      <c r="K3" s="68">
        <f>H3-'Daily Data'!AR130</f>
        <v>2.6000000000000002E-2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Data'!Z130</f>
        <v>8.8000000000000023E-3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3.5299999999999998E-2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3.5910594695506913E-2</v>
      </c>
      <c r="C8" s="52">
        <f t="shared" ref="C8:G8" si="5">((1+$I8)^(C2/365)-1)*365/C2</f>
        <v>3.5922960443012478E-2</v>
      </c>
      <c r="D8" s="52">
        <f t="shared" si="5"/>
        <v>3.5951246333042218E-2</v>
      </c>
      <c r="E8" s="52">
        <f t="shared" si="5"/>
        <v>3.6004362447270476E-2</v>
      </c>
      <c r="F8" s="52">
        <f t="shared" si="5"/>
        <v>3.6057583196594925E-2</v>
      </c>
      <c r="G8" s="52">
        <f t="shared" si="5"/>
        <v>3.6217875576784582E-2</v>
      </c>
      <c r="H8" s="53">
        <v>3.5900000000000001E-2</v>
      </c>
      <c r="I8" s="74">
        <f t="shared" si="1"/>
        <v>3.6550356185158339E-2</v>
      </c>
      <c r="J8" s="75"/>
      <c r="K8" s="68">
        <f>H8-'Daily Data'!H130</f>
        <v>2.23E-2</v>
      </c>
    </row>
    <row r="9" spans="1:11" ht="23.15" customHeight="1" x14ac:dyDescent="0.5">
      <c r="A9" s="51" t="s">
        <v>61</v>
      </c>
      <c r="B9" s="56">
        <f>((1+$I9)^(B2/365)-1)*365/B2</f>
        <v>3.6811132610262698E-2</v>
      </c>
      <c r="C9" s="56">
        <f t="shared" ref="C9:G9" si="6">((1+$I9)^(C2/365)-1)*365/C2</f>
        <v>3.6824126331346081E-2</v>
      </c>
      <c r="D9" s="56">
        <f t="shared" si="6"/>
        <v>3.6853849234498227E-2</v>
      </c>
      <c r="E9" s="56">
        <f t="shared" si="6"/>
        <v>3.6909665927788916E-2</v>
      </c>
      <c r="F9" s="56">
        <f t="shared" si="6"/>
        <v>3.6965595336695314E-2</v>
      </c>
      <c r="G9" s="56">
        <f t="shared" si="6"/>
        <v>3.7134062420906062E-2</v>
      </c>
      <c r="H9" s="53">
        <v>3.6799999999999999E-2</v>
      </c>
      <c r="I9" s="74">
        <f t="shared" si="1"/>
        <v>3.7483578454069244E-2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4.2999999999999997E-2</v>
      </c>
      <c r="D3" s="55">
        <v>4.1000000000000002E-2</v>
      </c>
      <c r="E3" s="55">
        <v>5.8000000000000003E-2</v>
      </c>
      <c r="F3" s="55">
        <v>4.9500000000000002E-2</v>
      </c>
      <c r="G3" s="55">
        <v>5.5E-2</v>
      </c>
      <c r="H3" s="53">
        <v>3.9600000000000003E-2</v>
      </c>
      <c r="I3" s="74">
        <f>(1+H3/365)^365-1</f>
        <v>4.0392298362033729E-2</v>
      </c>
      <c r="J3" s="75"/>
      <c r="K3" s="68">
        <f>H3-'Daily Data'!AR131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Data'!Z131</f>
        <v>8.5000000000000006E-3</v>
      </c>
    </row>
    <row r="5" spans="1:11" ht="23.15" customHeight="1" x14ac:dyDescent="0.5">
      <c r="A5" s="51" t="s">
        <v>17</v>
      </c>
      <c r="B5" s="56">
        <v>4.87E-2</v>
      </c>
      <c r="C5" s="56">
        <f t="shared" ref="C5:G5" si="2">((1+$I5)^(C2/365)-1)*365/C2</f>
        <v>3.5922960443012478E-2</v>
      </c>
      <c r="D5" s="56">
        <v>5.16E-2</v>
      </c>
      <c r="E5" s="56">
        <f t="shared" si="2"/>
        <v>3.6004362447270476E-2</v>
      </c>
      <c r="F5" s="56">
        <f t="shared" si="2"/>
        <v>3.6057583196594925E-2</v>
      </c>
      <c r="G5" s="56">
        <f t="shared" si="2"/>
        <v>3.6217875576784582E-2</v>
      </c>
      <c r="H5" s="57">
        <v>3.5900000000000001E-2</v>
      </c>
      <c r="I5" s="74">
        <f t="shared" si="1"/>
        <v>3.6550356185158339E-2</v>
      </c>
      <c r="J5" s="75"/>
      <c r="K5" s="68">
        <f>H5-'Daily Data'!BJ131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3.6999999999999998E-2</v>
      </c>
      <c r="C7" s="52">
        <f t="shared" ref="C7:G7" si="4">((1+$I7)^(C2/365)-1)*365/C2</f>
        <v>3.5222073609817203E-2</v>
      </c>
      <c r="D7" s="52">
        <v>3.8699999999999998E-2</v>
      </c>
      <c r="E7" s="52">
        <f t="shared" si="4"/>
        <v>3.5300328557368831E-2</v>
      </c>
      <c r="F7" s="52">
        <f t="shared" si="4"/>
        <v>3.5351489269211729E-2</v>
      </c>
      <c r="G7" s="52">
        <f t="shared" si="4"/>
        <v>3.5505565298553574E-2</v>
      </c>
      <c r="H7" s="53">
        <v>3.5200000000000002E-2</v>
      </c>
      <c r="I7" s="74">
        <f t="shared" si="1"/>
        <v>3.582509544513357E-2</v>
      </c>
      <c r="J7" s="75"/>
      <c r="K7" s="68">
        <f>H7-1.06%</f>
        <v>2.4600000000000004E-2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Data'!H131</f>
        <v>2.1999999999999999E-2</v>
      </c>
    </row>
    <row r="9" spans="1:11" ht="23.15" customHeight="1" x14ac:dyDescent="0.5">
      <c r="A9" s="51" t="s">
        <v>61</v>
      </c>
      <c r="B9" s="56">
        <f>((1+$I9)^(B2/365)-1)*365/B2</f>
        <v>3.7111314875581947E-2</v>
      </c>
      <c r="C9" s="56">
        <f t="shared" ref="C9:G9" si="6">((1+$I9)^(C2/365)-1)*365/C2</f>
        <v>3.7124521379478526E-2</v>
      </c>
      <c r="D9" s="56">
        <f t="shared" si="6"/>
        <v>3.7154731209908344E-2</v>
      </c>
      <c r="E9" s="56">
        <f t="shared" si="6"/>
        <v>3.7211463020234627E-2</v>
      </c>
      <c r="F9" s="56">
        <f t="shared" si="6"/>
        <v>3.7268310329474294E-2</v>
      </c>
      <c r="G9" s="56">
        <f t="shared" si="6"/>
        <v>3.7439547899246244E-2</v>
      </c>
      <c r="H9" s="53">
        <v>3.7100000000000001E-2</v>
      </c>
      <c r="I9" s="74">
        <f t="shared" si="1"/>
        <v>3.7794838704558797E-2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4.2999999999999997E-2</v>
      </c>
      <c r="D3" s="55">
        <v>4.1000000000000002E-2</v>
      </c>
      <c r="E3" s="55">
        <v>5.21E-2</v>
      </c>
      <c r="F3" s="55">
        <v>4.8800000000000003E-2</v>
      </c>
      <c r="G3" s="55">
        <v>5.9700000000000003E-2</v>
      </c>
      <c r="H3" s="53">
        <v>4.0300000000000002E-2</v>
      </c>
      <c r="I3" s="74">
        <f>(1+H3/365)^365-1</f>
        <v>4.1120748168237853E-2</v>
      </c>
      <c r="J3" s="75"/>
      <c r="K3" s="68">
        <f>H3-'Daily Data'!AR132</f>
        <v>2.4800000000000003E-2</v>
      </c>
    </row>
    <row r="4" spans="1:11" ht="23.15" customHeight="1" x14ac:dyDescent="0.5">
      <c r="A4" s="51" t="s">
        <v>15</v>
      </c>
      <c r="B4" s="56">
        <f>((1+$I4)^(B2/365)-1)*365/B2</f>
        <v>2.5035149911084891E-2</v>
      </c>
      <c r="C4" s="56">
        <f t="shared" ref="C4:G4" si="0">((1+$I4)^(C2/365)-1)*365/C2</f>
        <v>2.5041159926311014E-2</v>
      </c>
      <c r="D4" s="56">
        <f t="shared" si="0"/>
        <v>2.5054904328822736E-2</v>
      </c>
      <c r="E4" s="56">
        <f t="shared" si="0"/>
        <v>2.5080702201325855E-2</v>
      </c>
      <c r="F4" s="56">
        <f t="shared" si="0"/>
        <v>2.5106535490993349E-2</v>
      </c>
      <c r="G4" s="56">
        <f t="shared" si="0"/>
        <v>2.5184248410435296E-2</v>
      </c>
      <c r="H4" s="57">
        <v>2.503E-2</v>
      </c>
      <c r="I4" s="74">
        <f t="shared" ref="I4:I9" si="1">(1+H4/365)^365-1</f>
        <v>2.5345000507333015E-2</v>
      </c>
      <c r="J4" s="75"/>
      <c r="K4" s="68">
        <f>H4-'Daily Data'!Z132</f>
        <v>7.4299999999999991E-3</v>
      </c>
    </row>
    <row r="5" spans="1:11" ht="23.15" customHeight="1" x14ac:dyDescent="0.5">
      <c r="A5" s="51" t="s">
        <v>17</v>
      </c>
      <c r="B5" s="56">
        <v>3.6600000000000001E-2</v>
      </c>
      <c r="C5" s="56">
        <f t="shared" ref="C5:G5" si="2">((1+$I5)^(C2/365)-1)*365/C2</f>
        <v>3.762518692503198E-2</v>
      </c>
      <c r="D5" s="56">
        <v>3.8399999999999997E-2</v>
      </c>
      <c r="E5" s="56">
        <f t="shared" si="2"/>
        <v>3.7714490694561884E-2</v>
      </c>
      <c r="F5" s="56">
        <f t="shared" si="2"/>
        <v>3.7772884523489474E-2</v>
      </c>
      <c r="G5" s="56">
        <f t="shared" si="2"/>
        <v>3.7948790239201682E-2</v>
      </c>
      <c r="H5" s="57">
        <v>3.7600000000000001E-2</v>
      </c>
      <c r="I5" s="74">
        <f t="shared" si="1"/>
        <v>3.8313812750667031E-2</v>
      </c>
      <c r="J5" s="75"/>
      <c r="K5" s="68">
        <f>H5-'Daily Data'!Z132</f>
        <v>0.02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3.6600000000000001E-2</v>
      </c>
      <c r="C7" s="52">
        <f t="shared" ref="C7:G7" si="4">((1+$I7)^(C2/365)-1)*365/C2</f>
        <v>3.4921698887096272E-2</v>
      </c>
      <c r="D7" s="52">
        <v>3.8399999999999997E-2</v>
      </c>
      <c r="E7" s="52">
        <f t="shared" si="4"/>
        <v>3.4998624130466095E-2</v>
      </c>
      <c r="F7" s="52">
        <f t="shared" si="4"/>
        <v>3.5048914474249737E-2</v>
      </c>
      <c r="G7" s="52">
        <f t="shared" si="4"/>
        <v>3.52003643051041E-2</v>
      </c>
      <c r="H7" s="53">
        <v>3.49E-2</v>
      </c>
      <c r="I7" s="74">
        <f t="shared" si="1"/>
        <v>3.5514424352408591E-2</v>
      </c>
      <c r="J7" s="75"/>
      <c r="K7" s="68">
        <f>H7-1.06%</f>
        <v>2.4300000000000002E-2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Data'!H132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3.49E-2</v>
      </c>
      <c r="C3" s="55">
        <v>3.7999999999999999E-2</v>
      </c>
      <c r="D3" s="55">
        <v>3.9899999999999998E-2</v>
      </c>
      <c r="E3" s="55">
        <v>5.7599999999999998E-2</v>
      </c>
      <c r="F3" s="55">
        <v>3.9100000000000003E-2</v>
      </c>
      <c r="G3" s="55">
        <v>5.1999999999999998E-2</v>
      </c>
      <c r="H3" s="53">
        <v>4.1500000000000002E-2</v>
      </c>
      <c r="I3" s="74">
        <f>(1+H3/365)^365-1</f>
        <v>4.237070282542077E-2</v>
      </c>
      <c r="J3" s="75"/>
      <c r="K3" s="68">
        <f>H3-'Daily Data'!AR133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Data'!Z133</f>
        <v>7.6000000000000026E-3</v>
      </c>
    </row>
    <row r="5" spans="1:11" ht="23.15" customHeight="1" x14ac:dyDescent="0.5">
      <c r="A5" s="51" t="s">
        <v>17</v>
      </c>
      <c r="B5" s="56">
        <v>4.6600000000000003E-2</v>
      </c>
      <c r="C5" s="56">
        <f t="shared" ref="C5:G5" si="2">((1+$I5)^(C2/365)-1)*365/C2</f>
        <v>3.7124521379478526E-2</v>
      </c>
      <c r="D5" s="56">
        <v>5.3499999999999999E-2</v>
      </c>
      <c r="E5" s="56">
        <f t="shared" si="2"/>
        <v>3.7211463020234627E-2</v>
      </c>
      <c r="F5" s="56">
        <f t="shared" si="2"/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Data'!BJ133</f>
        <v>2.2100000000000002E-2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3.8100000000000002E-2</v>
      </c>
      <c r="C7" s="52">
        <f t="shared" ref="C7:G7" si="4">((1+$I7)^(C2/365)-1)*365/C2</f>
        <v>3.6323475049729645E-2</v>
      </c>
      <c r="D7" s="56">
        <v>3.9899999999999998E-2</v>
      </c>
      <c r="E7" s="52">
        <f t="shared" si="4"/>
        <v>3.6406703291771501E-2</v>
      </c>
      <c r="F7" s="52">
        <f t="shared" si="4"/>
        <v>3.6461119549689336E-2</v>
      </c>
      <c r="G7" s="52">
        <f t="shared" si="4"/>
        <v>3.6625019812009267E-2</v>
      </c>
      <c r="H7" s="53">
        <v>3.6299999999999999E-2</v>
      </c>
      <c r="I7" s="74">
        <f t="shared" si="1"/>
        <v>3.6965018242766767E-2</v>
      </c>
      <c r="J7" s="75"/>
      <c r="K7" s="68">
        <f>H7-1.06%</f>
        <v>2.5700000000000001E-2</v>
      </c>
    </row>
    <row r="8" spans="1:11" ht="23.15" customHeight="1" x14ac:dyDescent="0.4">
      <c r="A8" s="51" t="s">
        <v>62</v>
      </c>
      <c r="B8" s="52">
        <f>((1+$I8)^(B2/365)-1)*365/B2</f>
        <v>3.7311437208140515E-2</v>
      </c>
      <c r="C8" s="52">
        <f t="shared" ref="C8:G8" si="5">((1+$I8)^(C2/365)-1)*365/C2</f>
        <v>3.7324786527908681E-2</v>
      </c>
      <c r="D8" s="52">
        <f t="shared" si="5"/>
        <v>3.735532317743958E-2</v>
      </c>
      <c r="E8" s="52">
        <f t="shared" si="5"/>
        <v>3.7412669211809337E-2</v>
      </c>
      <c r="F8" s="52">
        <f t="shared" si="5"/>
        <v>3.74701326258867E-2</v>
      </c>
      <c r="G8" s="52">
        <f t="shared" si="5"/>
        <v>3.7643229852613126E-2</v>
      </c>
      <c r="H8" s="53">
        <v>3.73E-2</v>
      </c>
      <c r="I8" s="74">
        <f t="shared" si="1"/>
        <v>3.8002397273573685E-2</v>
      </c>
      <c r="J8" s="75"/>
      <c r="K8" s="68">
        <f>H8-'Daily Data'!H133</f>
        <v>2.24E-2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3.7324786527908681E-2</v>
      </c>
      <c r="D5" s="56">
        <v>5.4899999999999997E-2</v>
      </c>
      <c r="E5" s="56">
        <f t="shared" si="2"/>
        <v>3.7412669211809337E-2</v>
      </c>
      <c r="F5" s="56">
        <f t="shared" si="2"/>
        <v>3.74701326258867E-2</v>
      </c>
      <c r="G5" s="56">
        <f t="shared" si="2"/>
        <v>3.7643229852613126E-2</v>
      </c>
      <c r="H5" s="57">
        <v>3.73E-2</v>
      </c>
      <c r="I5" s="74">
        <f t="shared" si="1"/>
        <v>3.8002397273573685E-2</v>
      </c>
      <c r="J5" s="75"/>
      <c r="K5" s="68">
        <f>H5-'Daily Data'!BJ134</f>
        <v>2.3400000000000001E-2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>
        <v>3.9800000000000002E-2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3.691119320087604E-2</v>
      </c>
      <c r="C8" s="52">
        <f t="shared" ref="C8:G8" si="5">((1+$I8)^(C2/365)-1)*365/C2</f>
        <v>3.6924257657428176E-2</v>
      </c>
      <c r="D8" s="52">
        <f t="shared" si="5"/>
        <v>3.6954142429492388E-2</v>
      </c>
      <c r="E8" s="52">
        <f t="shared" si="5"/>
        <v>3.7010263332617192E-2</v>
      </c>
      <c r="F8" s="52">
        <f t="shared" si="5"/>
        <v>3.706649787408943E-2</v>
      </c>
      <c r="G8" s="52">
        <f t="shared" si="5"/>
        <v>3.7235885920416052E-2</v>
      </c>
      <c r="H8" s="53">
        <v>3.6900000000000002E-2</v>
      </c>
      <c r="I8" s="74">
        <f t="shared" si="1"/>
        <v>3.7587321525166306E-2</v>
      </c>
      <c r="J8" s="75"/>
      <c r="K8" s="68">
        <f>H8-'Daily Data'!H134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3.8225997347559368E-2</v>
      </c>
      <c r="D5" s="56">
        <v>5.4899999999999997E-2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Data'!BJ134</f>
        <v>2.4299999999999999E-2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3.7525053102707075E-2</v>
      </c>
      <c r="D6" s="52">
        <v>0.06</v>
      </c>
      <c r="E6" s="52">
        <f t="shared" si="3"/>
        <v>3.7613881907545298E-2</v>
      </c>
      <c r="F6" s="52">
        <f t="shared" si="3"/>
        <v>3.7671964763798499E-2</v>
      </c>
      <c r="G6" s="52">
        <f t="shared" si="3"/>
        <v>3.7846931782462699E-2</v>
      </c>
      <c r="H6" s="57">
        <v>3.7499999999999999E-2</v>
      </c>
      <c r="I6" s="74">
        <f t="shared" si="1"/>
        <v>3.8209997240440829E-2</v>
      </c>
      <c r="J6" s="75"/>
      <c r="K6" s="68">
        <f>H6-2.3%</f>
        <v>1.4499999999999999E-2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 t="s">
        <v>72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3.801187055273008E-2</v>
      </c>
      <c r="C8" s="52">
        <f t="shared" ref="C8:F8" si="5">((1+$I8)^(C2/365)-1)*365/C2</f>
        <v>3.8025725780286922E-2</v>
      </c>
      <c r="D8" s="52">
        <f t="shared" si="5"/>
        <v>3.8057420163112088E-2</v>
      </c>
      <c r="E8" s="52">
        <f t="shared" si="5"/>
        <v>3.8116942104048458E-2</v>
      </c>
      <c r="F8" s="52">
        <f t="shared" si="5"/>
        <v>3.8176588168356236E-2</v>
      </c>
      <c r="G8" s="52">
        <f>((1+$I8)^(G2/365)-1)*365/G2</f>
        <v>3.8356274017090804E-2</v>
      </c>
      <c r="H8" s="53">
        <v>3.7999999999999999E-2</v>
      </c>
      <c r="I8" s="74">
        <f t="shared" si="1"/>
        <v>3.8729178327362002E-2</v>
      </c>
      <c r="J8" s="75"/>
      <c r="K8" s="68">
        <f>H8-'Daily Data'!H134</f>
        <v>2.35E-2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 J1:J9 I1:I10 A10:F10">
    <cfRule type="expression" dxfId="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3.8225997347559368E-2</v>
      </c>
      <c r="D5" s="56">
        <v>5.4899999999999997E-2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Data'!BJ134</f>
        <v>2.4299999999999999E-2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3.7525053102707075E-2</v>
      </c>
      <c r="D6" s="52">
        <v>0.06</v>
      </c>
      <c r="E6" s="52">
        <f t="shared" si="3"/>
        <v>3.7613881907545298E-2</v>
      </c>
      <c r="F6" s="52">
        <f t="shared" si="3"/>
        <v>3.7671964763798499E-2</v>
      </c>
      <c r="G6" s="52">
        <f t="shared" si="3"/>
        <v>3.7846931782462699E-2</v>
      </c>
      <c r="H6" s="57">
        <v>3.7499999999999999E-2</v>
      </c>
      <c r="I6" s="74">
        <f t="shared" si="1"/>
        <v>3.8209997240440829E-2</v>
      </c>
      <c r="J6" s="75"/>
      <c r="K6" s="68">
        <f>H6-2.3%</f>
        <v>1.4499999999999999E-2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>
        <v>3.9199999999999999E-2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3.8211995845654566E-2</v>
      </c>
      <c r="C8" s="52">
        <f t="shared" ref="C8:G8" si="5">((1+$I8)^(C2/365)-1)*365/C2</f>
        <v>3.8225997347559368E-2</v>
      </c>
      <c r="D8" s="52">
        <f t="shared" si="5"/>
        <v>3.8258026473317185E-2</v>
      </c>
      <c r="E8" s="52">
        <f t="shared" si="5"/>
        <v>3.8318177566042645E-2</v>
      </c>
      <c r="F8" s="52">
        <f t="shared" si="5"/>
        <v>3.837845475532109E-2</v>
      </c>
      <c r="G8" s="52">
        <f t="shared" si="5"/>
        <v>3.8560045880042144E-2</v>
      </c>
      <c r="H8" s="53">
        <v>3.8199999999999998E-2</v>
      </c>
      <c r="I8" s="74">
        <f t="shared" si="1"/>
        <v>3.8936923251637001E-2</v>
      </c>
      <c r="J8" s="75"/>
      <c r="K8" s="68">
        <f>H8-'Daily Data'!H134</f>
        <v>2.3699999999999999E-2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 J1:J9 I1:I10 A10:F10">
    <cfRule type="expression" dxfId="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0.04</v>
      </c>
      <c r="D3" s="55">
        <v>4.4999999999999998E-2</v>
      </c>
      <c r="E3" s="55">
        <v>5.5E-2</v>
      </c>
      <c r="F3" s="55">
        <v>4.4900000000000002E-2</v>
      </c>
      <c r="G3" s="55">
        <v>4.0099999999999997E-2</v>
      </c>
      <c r="H3" s="53">
        <v>4.2000000000000003E-2</v>
      </c>
      <c r="I3" s="74">
        <f>(1+H3/365)^365-1</f>
        <v>4.2891958856924539E-2</v>
      </c>
      <c r="J3" s="75"/>
      <c r="K3" s="68">
        <f>H3-'Daily Data'!AR137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Data'!Z137</f>
        <v>6.7000000000000011E-3</v>
      </c>
    </row>
    <row r="5" spans="1:11" ht="23.15" customHeight="1" x14ac:dyDescent="0.5">
      <c r="A5" s="51" t="s">
        <v>17</v>
      </c>
      <c r="B5" s="56">
        <v>4.6300000000000001E-2</v>
      </c>
      <c r="C5" s="56">
        <f t="shared" ref="C5:G5" si="2">((1+$I5)^(C2/365)-1)*365/C2</f>
        <v>3.8626544761562069E-2</v>
      </c>
      <c r="D5" s="56">
        <v>5.5599999999999997E-2</v>
      </c>
      <c r="E5" s="56">
        <f t="shared" si="2"/>
        <v>3.8720668005707982E-2</v>
      </c>
      <c r="F5" s="56">
        <f t="shared" si="2"/>
        <v>3.8782217460826149E-2</v>
      </c>
      <c r="G5" s="56">
        <f t="shared" si="2"/>
        <v>3.8967649563848281E-2</v>
      </c>
      <c r="H5" s="57">
        <v>3.8600000000000002E-2</v>
      </c>
      <c r="I5" s="74">
        <f t="shared" si="1"/>
        <v>3.9352537413389843E-2</v>
      </c>
      <c r="J5" s="75"/>
      <c r="K5" s="68">
        <f>H5-'Daily Data'!BJ137</f>
        <v>2.4100000000000003E-2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3.78E-2</v>
      </c>
      <c r="C7" s="56">
        <f t="shared" ref="C7:G7" si="4">((1+$I7)^(C2/365)-1)*365/C2</f>
        <v>3.6023088559835527E-2</v>
      </c>
      <c r="D7" s="56">
        <v>3.9600000000000003E-2</v>
      </c>
      <c r="E7" s="56">
        <f t="shared" si="4"/>
        <v>3.6104945219826261E-2</v>
      </c>
      <c r="F7" s="56">
        <f t="shared" si="4"/>
        <v>3.6158463595416697E-2</v>
      </c>
      <c r="G7" s="56">
        <f t="shared" si="4"/>
        <v>3.6319654148926378E-2</v>
      </c>
      <c r="H7" s="53">
        <v>3.5999999999999997E-2</v>
      </c>
      <c r="I7" s="74">
        <f t="shared" si="1"/>
        <v>3.6654006194406952E-2</v>
      </c>
      <c r="J7" s="75"/>
      <c r="K7" s="68">
        <f>H7-1.06%</f>
        <v>2.5399999999999999E-2</v>
      </c>
    </row>
    <row r="8" spans="1:11" ht="23.15" customHeight="1" x14ac:dyDescent="0.4">
      <c r="A8" s="51" t="s">
        <v>62</v>
      </c>
      <c r="B8" s="52">
        <f>((1+$I8)^(B2/365)-1)*365/B2</f>
        <v>3.7611621940462241E-2</v>
      </c>
      <c r="C8" s="52">
        <f t="shared" ref="C8:G8" si="5">((1+$I8)^(C2/365)-1)*365/C2</f>
        <v>3.762518692503198E-2</v>
      </c>
      <c r="D8" s="52">
        <f t="shared" si="5"/>
        <v>3.7656217104698797E-2</v>
      </c>
      <c r="E8" s="52">
        <f t="shared" si="5"/>
        <v>3.7714490694561884E-2</v>
      </c>
      <c r="F8" s="52">
        <f t="shared" si="5"/>
        <v>3.7772884523489474E-2</v>
      </c>
      <c r="G8" s="52">
        <f t="shared" si="5"/>
        <v>3.7948790239201682E-2</v>
      </c>
      <c r="H8" s="53">
        <v>3.7600000000000001E-2</v>
      </c>
      <c r="I8" s="74">
        <f t="shared" si="1"/>
        <v>3.8313812750667031E-2</v>
      </c>
      <c r="J8" s="75"/>
      <c r="K8" s="68">
        <f>H8-'Daily Data'!H137</f>
        <v>2.2499999999999999E-2</v>
      </c>
    </row>
    <row r="9" spans="1:11" ht="23.15" customHeight="1" x14ac:dyDescent="0.5">
      <c r="A9" s="51" t="s">
        <v>61</v>
      </c>
      <c r="B9" s="56">
        <f>((1+$I9)^(B2/365)-1)*365/B2</f>
        <v>3.9512826285834003E-2</v>
      </c>
      <c r="C9" s="56">
        <f t="shared" ref="C9:G9" si="6">((1+$I9)^(C2/365)-1)*365/C2</f>
        <v>3.9527797305134844E-2</v>
      </c>
      <c r="D9" s="56">
        <f t="shared" si="6"/>
        <v>3.9562045185176621E-2</v>
      </c>
      <c r="E9" s="56">
        <f t="shared" si="6"/>
        <v>3.9626366640761357E-2</v>
      </c>
      <c r="F9" s="56">
        <f t="shared" si="6"/>
        <v>3.969082753132306E-2</v>
      </c>
      <c r="G9" s="56">
        <f t="shared" si="6"/>
        <v>3.9885050217776455E-2</v>
      </c>
      <c r="H9" s="53">
        <v>3.95E-2</v>
      </c>
      <c r="I9" s="74">
        <f t="shared" si="1"/>
        <v>4.0288275604905666E-2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5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50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3.49E-2</v>
      </c>
      <c r="C3" s="55">
        <v>0.04</v>
      </c>
      <c r="D3" s="55">
        <v>4.1000000000000002E-2</v>
      </c>
      <c r="E3" s="55">
        <v>4.2900000000000001E-2</v>
      </c>
      <c r="F3" s="55">
        <v>4.2900000000000001E-2</v>
      </c>
      <c r="G3" s="55">
        <v>4.0099999999999997E-2</v>
      </c>
      <c r="H3" s="53">
        <v>4.19E-2</v>
      </c>
      <c r="I3" s="74">
        <f>(1+H3/365)^365-1</f>
        <v>4.2787686858843488E-2</v>
      </c>
      <c r="J3" s="75"/>
      <c r="K3" s="68">
        <f>H3-'Daily Data'!AR138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Data'!Z138</f>
        <v>6.7000000000000011E-3</v>
      </c>
    </row>
    <row r="5" spans="1:11" ht="23.15" customHeight="1" x14ac:dyDescent="0.5">
      <c r="A5" s="51" t="s">
        <v>17</v>
      </c>
      <c r="B5" s="56">
        <v>4.7399999999999998E-2</v>
      </c>
      <c r="C5" s="56">
        <f t="shared" ref="C5:G5" si="2">((1+$I5)^(C2/365)-1)*365/C2</f>
        <v>3.9427656707190346E-2</v>
      </c>
      <c r="D5" s="56">
        <v>5.6899999999999999E-2</v>
      </c>
      <c r="E5" s="56">
        <f t="shared" si="2"/>
        <v>3.9525726953030728E-2</v>
      </c>
      <c r="F5" s="56">
        <f t="shared" si="2"/>
        <v>3.9589861010926784E-2</v>
      </c>
      <c r="G5" s="56">
        <f t="shared" si="2"/>
        <v>3.9783096817143065E-2</v>
      </c>
      <c r="H5" s="57">
        <v>3.9399999999999998E-2</v>
      </c>
      <c r="I5" s="74">
        <f t="shared" si="1"/>
        <v>4.0184263220001792E-2</v>
      </c>
      <c r="J5" s="75"/>
      <c r="K5" s="68">
        <f>H5-'Daily Data'!BJ138</f>
        <v>2.4399999999999998E-2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3.9699999999999999E-2</v>
      </c>
      <c r="C7" s="56">
        <f t="shared" ref="C7:G7" si="4">((1+$I7)^(C2/365)-1)*365/C2</f>
        <v>3.7825455639434812E-2</v>
      </c>
      <c r="D7" s="56">
        <v>4.1599999999999998E-2</v>
      </c>
      <c r="E7" s="56">
        <f t="shared" si="4"/>
        <v>3.7915713146943579E-2</v>
      </c>
      <c r="F7" s="56">
        <f t="shared" si="4"/>
        <v>3.7974731424557651E-2</v>
      </c>
      <c r="G7" s="56">
        <f t="shared" si="4"/>
        <v>3.8152522137446708E-2</v>
      </c>
      <c r="H7" s="53">
        <v>3.78E-2</v>
      </c>
      <c r="I7" s="74">
        <f t="shared" si="1"/>
        <v>3.8521474829770863E-2</v>
      </c>
      <c r="J7" s="75"/>
      <c r="K7" s="68">
        <f>H7-1.06%</f>
        <v>2.7200000000000002E-2</v>
      </c>
    </row>
    <row r="8" spans="1:11" ht="23.15" customHeight="1" x14ac:dyDescent="0.4">
      <c r="A8" s="51" t="s">
        <v>62</v>
      </c>
      <c r="B8" s="52">
        <f>((1+$I8)^(B2/365)-1)*365/B2</f>
        <v>3.7611621940462241E-2</v>
      </c>
      <c r="C8" s="52">
        <f t="shared" ref="C8:G8" si="5">((1+$I8)^(C2/365)-1)*365/C2</f>
        <v>3.762518692503198E-2</v>
      </c>
      <c r="D8" s="52">
        <f t="shared" si="5"/>
        <v>3.7656217104698797E-2</v>
      </c>
      <c r="E8" s="52">
        <f t="shared" si="5"/>
        <v>3.7714490694561884E-2</v>
      </c>
      <c r="F8" s="52">
        <f t="shared" si="5"/>
        <v>3.7772884523489474E-2</v>
      </c>
      <c r="G8" s="52">
        <f t="shared" si="5"/>
        <v>3.7948790239201682E-2</v>
      </c>
      <c r="H8" s="53">
        <v>3.7600000000000001E-2</v>
      </c>
      <c r="I8" s="74">
        <f t="shared" si="1"/>
        <v>3.8313812750667031E-2</v>
      </c>
      <c r="J8" s="75"/>
      <c r="K8" s="68">
        <f>H8-'Daily Data'!H138</f>
        <v>2.2499999999999999E-2</v>
      </c>
    </row>
    <row r="9" spans="1:11" ht="23.15" customHeight="1" x14ac:dyDescent="0.5">
      <c r="A9" s="51" t="s">
        <v>61</v>
      </c>
      <c r="B9" s="56">
        <f>((1+$I9)^(B2/365)-1)*365/B2</f>
        <v>4.0113218940828678E-2</v>
      </c>
      <c r="C9" s="56">
        <f t="shared" ref="C9:G9" si="6">((1+$I9)^(C2/365)-1)*365/C2</f>
        <v>4.0128648382387055E-2</v>
      </c>
      <c r="D9" s="56">
        <f t="shared" si="6"/>
        <v>4.0163945399559919E-2</v>
      </c>
      <c r="E9" s="56">
        <f t="shared" si="6"/>
        <v>4.0230238927370383E-2</v>
      </c>
      <c r="F9" s="56">
        <f t="shared" si="6"/>
        <v>4.0296678351598655E-2</v>
      </c>
      <c r="G9" s="56">
        <f t="shared" si="6"/>
        <v>4.0496875619757178E-2</v>
      </c>
      <c r="H9" s="53">
        <v>4.0099999999999997E-2</v>
      </c>
      <c r="I9" s="74">
        <f t="shared" si="1"/>
        <v>4.0912567765710728E-2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4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48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0.04</v>
      </c>
      <c r="D3" s="55">
        <v>4.02E-2</v>
      </c>
      <c r="E3" s="55">
        <v>4.2900000000000001E-2</v>
      </c>
      <c r="F3" s="55">
        <v>4.2900000000000001E-2</v>
      </c>
      <c r="G3" s="55">
        <v>4.0099999999999997E-2</v>
      </c>
      <c r="H3" s="53">
        <v>4.1099999999999998E-2</v>
      </c>
      <c r="I3" s="74">
        <f>(1+H3/365)^365-1</f>
        <v>4.1953885076647213E-2</v>
      </c>
      <c r="J3" s="75"/>
      <c r="K3" s="68">
        <f>H3-'Daily Data'!AR139</f>
        <v>2.4999999999999998E-2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Data'!Z139</f>
        <v>6.5000000000000023E-3</v>
      </c>
    </row>
    <row r="5" spans="1:11" ht="23.15" customHeight="1" x14ac:dyDescent="0.5">
      <c r="A5" s="51" t="s">
        <v>17</v>
      </c>
      <c r="B5" s="56">
        <v>4.6300000000000001E-2</v>
      </c>
      <c r="C5" s="56">
        <f t="shared" ref="C5:G5" si="2">((1+$I5)^(C2/365)-1)*365/C2</f>
        <v>3.8626544761562069E-2</v>
      </c>
      <c r="D5" s="56">
        <v>5.5599999999999997E-2</v>
      </c>
      <c r="E5" s="56">
        <f t="shared" si="2"/>
        <v>3.8720668005707982E-2</v>
      </c>
      <c r="F5" s="56">
        <f t="shared" si="2"/>
        <v>3.8782217460826149E-2</v>
      </c>
      <c r="G5" s="56">
        <f t="shared" si="2"/>
        <v>3.8967649563848281E-2</v>
      </c>
      <c r="H5" s="57">
        <v>3.8600000000000002E-2</v>
      </c>
      <c r="I5" s="74">
        <f t="shared" si="1"/>
        <v>3.9352537413389843E-2</v>
      </c>
      <c r="J5" s="75"/>
      <c r="K5" s="68">
        <f>H5-'Daily Data'!BJ139</f>
        <v>2.3600000000000003E-2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3.9800000000000002E-2</v>
      </c>
      <c r="C7" s="56">
        <f t="shared" ref="C7:G7" si="4">((1+$I7)^(C2/365)-1)*365/C2</f>
        <v>3.7925590531587998E-2</v>
      </c>
      <c r="D7" s="56">
        <v>4.1700000000000001E-2</v>
      </c>
      <c r="E7" s="56">
        <f t="shared" si="4"/>
        <v>3.801632681242758E-2</v>
      </c>
      <c r="F7" s="56">
        <f t="shared" si="4"/>
        <v>3.8075658566120378E-2</v>
      </c>
      <c r="G7" s="56">
        <f t="shared" si="4"/>
        <v>3.8254395579506578E-2</v>
      </c>
      <c r="H7" s="53">
        <v>3.7900000000000003E-2</v>
      </c>
      <c r="I7" s="74">
        <f t="shared" si="1"/>
        <v>3.8625321400776125E-2</v>
      </c>
      <c r="J7" s="75"/>
      <c r="K7" s="68">
        <f>H7-1.06%</f>
        <v>2.7300000000000005E-2</v>
      </c>
    </row>
    <row r="8" spans="1:11" ht="23.15" customHeight="1" x14ac:dyDescent="0.4">
      <c r="A8" s="51" t="s">
        <v>62</v>
      </c>
      <c r="B8" s="52">
        <f>((1+$I8)^(B2/365)-1)*365/B2</f>
        <v>3.7111314875581947E-2</v>
      </c>
      <c r="C8" s="52">
        <f t="shared" ref="C8:G8" si="5">((1+$I8)^(C2/365)-1)*365/C2</f>
        <v>3.7124521379478526E-2</v>
      </c>
      <c r="D8" s="52">
        <f t="shared" si="5"/>
        <v>3.7154731209908344E-2</v>
      </c>
      <c r="E8" s="52">
        <f t="shared" si="5"/>
        <v>3.7211463020234627E-2</v>
      </c>
      <c r="F8" s="52">
        <f t="shared" si="5"/>
        <v>3.7268310329474294E-2</v>
      </c>
      <c r="G8" s="52">
        <f t="shared" si="5"/>
        <v>3.7439547899246244E-2</v>
      </c>
      <c r="H8" s="53">
        <v>3.7100000000000001E-2</v>
      </c>
      <c r="I8" s="74">
        <f t="shared" si="1"/>
        <v>3.7794838704558797E-2</v>
      </c>
      <c r="J8" s="75"/>
      <c r="K8" s="68">
        <f>H8-'Daily Data'!H139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4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46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4.0099999999999997E-2</v>
      </c>
      <c r="E3" s="55">
        <v>4.2900000000000001E-2</v>
      </c>
      <c r="F3" s="55">
        <v>4.2900000000000001E-2</v>
      </c>
      <c r="G3" s="55">
        <v>5.4899999999999997E-2</v>
      </c>
      <c r="H3" s="53">
        <v>4.0300000000000002E-2</v>
      </c>
      <c r="I3" s="74">
        <f>(1+H3/365)^365-1</f>
        <v>4.1120748168237853E-2</v>
      </c>
      <c r="J3" s="75"/>
      <c r="K3" s="68">
        <f>H3-'Daily Data'!AR140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4.4900000000000002E-2</v>
      </c>
      <c r="C5" s="56">
        <f t="shared" ref="C5:G5" si="2">((1+$I5)^(C2/365)-1)*365/C2</f>
        <v>3.7424919637020534E-2</v>
      </c>
      <c r="D5" s="56">
        <v>5.3800000000000001E-2</v>
      </c>
      <c r="E5" s="56">
        <f t="shared" si="2"/>
        <v>3.7513274746653447E-2</v>
      </c>
      <c r="F5" s="56">
        <f t="shared" si="2"/>
        <v>3.7571047464634799E-2</v>
      </c>
      <c r="G5" s="56">
        <f t="shared" si="2"/>
        <v>3.7745078320365125E-2</v>
      </c>
      <c r="H5" s="57">
        <v>3.7400000000000003E-2</v>
      </c>
      <c r="I5" s="74">
        <f t="shared" si="1"/>
        <v>3.8106192081770685E-2</v>
      </c>
      <c r="J5" s="75"/>
      <c r="K5" s="68">
        <f>H5-'Daily Data'!BJ140</f>
        <v>2.2700000000000005E-2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4.1300000000000003E-2</v>
      </c>
      <c r="C7" s="56">
        <f t="shared" ref="C7:G7" si="4">((1+$I7)^(C2/365)-1)*365/C2</f>
        <v>3.9427656707190346E-2</v>
      </c>
      <c r="D7" s="56">
        <v>4.3299999999999998E-2</v>
      </c>
      <c r="E7" s="56">
        <f t="shared" si="4"/>
        <v>3.9525726953030728E-2</v>
      </c>
      <c r="F7" s="56">
        <f t="shared" si="4"/>
        <v>3.9589861010926784E-2</v>
      </c>
      <c r="G7" s="56">
        <f t="shared" si="4"/>
        <v>3.9783096817143065E-2</v>
      </c>
      <c r="H7" s="53">
        <v>3.9399999999999998E-2</v>
      </c>
      <c r="I7" s="74">
        <f t="shared" si="1"/>
        <v>4.0184263220001792E-2</v>
      </c>
      <c r="J7" s="75"/>
      <c r="K7" s="68">
        <f>H7-1.06%</f>
        <v>2.8799999999999999E-2</v>
      </c>
    </row>
    <row r="8" spans="1:11" ht="23.15" customHeight="1" x14ac:dyDescent="0.4">
      <c r="A8" s="51" t="s">
        <v>62</v>
      </c>
      <c r="B8" s="52">
        <f>((1+$I8)^(B2/365)-1)*365/B2</f>
        <v>3.6711072184115415E-2</v>
      </c>
      <c r="C8" s="52">
        <f t="shared" ref="C8:G8" si="5">((1+$I8)^(C2/365)-1)*365/C2</f>
        <v>3.6723995361844466E-2</v>
      </c>
      <c r="D8" s="52">
        <f t="shared" si="5"/>
        <v>3.6753556836253844E-2</v>
      </c>
      <c r="E8" s="52">
        <f t="shared" si="5"/>
        <v>3.6809070148862498E-2</v>
      </c>
      <c r="F8" s="52">
        <f t="shared" si="5"/>
        <v>3.6864695259371E-2</v>
      </c>
      <c r="G8" s="52">
        <f t="shared" si="5"/>
        <v>3.7032243914290011E-2</v>
      </c>
      <c r="H8" s="53">
        <v>3.6700000000000003E-2</v>
      </c>
      <c r="I8" s="74">
        <f t="shared" si="1"/>
        <v>3.7379845727282035E-2</v>
      </c>
      <c r="J8" s="75"/>
      <c r="K8" s="68">
        <f>H8-'Daily Data'!H140</f>
        <v>2.2300000000000004E-2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4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44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30B2-171C-4DD0-8B7E-A112CC32BEE8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3.9899999999999998E-2</v>
      </c>
      <c r="E3" s="55">
        <v>0.04</v>
      </c>
      <c r="F3" s="55">
        <v>4.4499999999999998E-2</v>
      </c>
      <c r="G3" s="55">
        <v>3.9300000000000002E-2</v>
      </c>
      <c r="H3" s="53">
        <v>3.9899999999999998E-2</v>
      </c>
      <c r="I3" s="74">
        <f>(1+H3/365)^365-1</f>
        <v>4.0704428876507048E-2</v>
      </c>
      <c r="J3" s="75"/>
      <c r="K3" s="68">
        <f>H3-'Daily Data'!AR140</f>
        <v>2.4799999999999996E-2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3.61E-2</v>
      </c>
      <c r="C5" s="56">
        <f t="shared" ref="C5:G5" si="2">((1+$I5)^(C2/365)-1)*365/C2</f>
        <v>3.8926959066522389E-2</v>
      </c>
      <c r="D5" s="56">
        <v>3.78E-2</v>
      </c>
      <c r="E5" s="56">
        <f t="shared" si="2"/>
        <v>3.9022552912378425E-2</v>
      </c>
      <c r="F5" s="56">
        <f t="shared" si="2"/>
        <v>3.9085065331842528E-2</v>
      </c>
      <c r="G5" s="56">
        <f t="shared" si="2"/>
        <v>3.9273404797430481E-2</v>
      </c>
      <c r="H5" s="57">
        <v>3.8899999999999997E-2</v>
      </c>
      <c r="I5" s="74">
        <f t="shared" si="1"/>
        <v>3.9664356841096371E-2</v>
      </c>
      <c r="J5" s="75"/>
      <c r="K5" s="68">
        <f>H5-'Daily Data'!BJ140</f>
        <v>2.4199999999999999E-2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3.61E-2</v>
      </c>
      <c r="C7" s="56">
        <f t="shared" ref="C7:G7" si="4">((1+$I7)^(C2/365)-1)*365/C2</f>
        <v>3.442108148072958E-2</v>
      </c>
      <c r="D7" s="56">
        <v>3.78E-2</v>
      </c>
      <c r="E7" s="56">
        <f t="shared" si="4"/>
        <v>3.449581592722497E-2</v>
      </c>
      <c r="F7" s="56">
        <f t="shared" si="4"/>
        <v>3.4544672327758312E-2</v>
      </c>
      <c r="G7" s="56">
        <f t="shared" si="4"/>
        <v>3.4691795745238868E-2</v>
      </c>
      <c r="H7" s="53">
        <v>3.44E-2</v>
      </c>
      <c r="I7" s="74">
        <f t="shared" si="1"/>
        <v>3.4996845680234534E-2</v>
      </c>
      <c r="J7" s="75"/>
      <c r="K7" s="68">
        <f>H7-1.06%</f>
        <v>2.3800000000000002E-2</v>
      </c>
    </row>
    <row r="8" spans="1:11" ht="23.15" customHeight="1" x14ac:dyDescent="0.4">
      <c r="A8" s="51" t="s">
        <v>62</v>
      </c>
      <c r="B8" s="52">
        <f>((1+$I8)^(B2/365)-1)*365/B2</f>
        <v>3.8812375671868189E-2</v>
      </c>
      <c r="C8" s="52">
        <f t="shared" ref="C8:G8" si="5">((1+$I8)^(C2/365)-1)*365/C2</f>
        <v>3.8826820608222859E-2</v>
      </c>
      <c r="D8" s="52">
        <f t="shared" si="5"/>
        <v>3.8859864528720513E-2</v>
      </c>
      <c r="E8" s="52">
        <f t="shared" si="5"/>
        <v>3.8921922983701972E-2</v>
      </c>
      <c r="F8" s="52">
        <f t="shared" si="5"/>
        <v>3.8984113580225445E-2</v>
      </c>
      <c r="G8" s="52">
        <f t="shared" si="5"/>
        <v>3.9171481388509101E-2</v>
      </c>
      <c r="H8" s="53">
        <v>3.8800000000000001E-2</v>
      </c>
      <c r="I8" s="74">
        <f t="shared" si="1"/>
        <v>3.9560406667257908E-2</v>
      </c>
      <c r="J8" s="75"/>
      <c r="K8" s="68">
        <f>H8-'Daily Data'!H140</f>
        <v>2.4400000000000002E-2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4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42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ED95D-382E-4795-9DE2-D7E61DAA7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3.9899999999999998E-2</v>
      </c>
      <c r="E3" s="55">
        <v>0.04</v>
      </c>
      <c r="F3" s="55">
        <v>4.4499999999999998E-2</v>
      </c>
      <c r="G3" s="55">
        <v>3.9300000000000002E-2</v>
      </c>
      <c r="H3" s="53">
        <v>3.9899999999999998E-2</v>
      </c>
      <c r="I3" s="74">
        <f>(1+H3/365)^365-1</f>
        <v>4.0704428876507048E-2</v>
      </c>
      <c r="J3" s="75"/>
      <c r="K3" s="68">
        <f>H3-'Daily Data'!AR140</f>
        <v>2.4799999999999996E-2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4.4600000000000001E-2</v>
      </c>
      <c r="C5" s="56">
        <f t="shared" ref="C5:G5" si="2">((1+$I5)^(C2/365)-1)*365/C2</f>
        <v>3.7224653775365733E-2</v>
      </c>
      <c r="D5" s="56">
        <v>5.3499999999999999E-2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Data'!BJ140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3.61E-2</v>
      </c>
      <c r="C7" s="56">
        <f t="shared" ref="C7:G7" si="4">((1+$I7)^(C2/365)-1)*365/C2</f>
        <v>3.442108148072958E-2</v>
      </c>
      <c r="D7" s="56">
        <v>3.78E-2</v>
      </c>
      <c r="E7" s="56">
        <f t="shared" si="4"/>
        <v>3.449581592722497E-2</v>
      </c>
      <c r="F7" s="56">
        <f t="shared" si="4"/>
        <v>3.4544672327758312E-2</v>
      </c>
      <c r="G7" s="56">
        <f t="shared" si="4"/>
        <v>3.4691795745238868E-2</v>
      </c>
      <c r="H7" s="53">
        <v>3.44E-2</v>
      </c>
      <c r="I7" s="74">
        <f t="shared" si="1"/>
        <v>3.4996845680234534E-2</v>
      </c>
      <c r="J7" s="75"/>
      <c r="K7" s="68">
        <f>H7-1.06%</f>
        <v>2.3800000000000002E-2</v>
      </c>
    </row>
    <row r="8" spans="1:11" ht="23.15" customHeight="1" x14ac:dyDescent="0.4">
      <c r="A8" s="51" t="s">
        <v>62</v>
      </c>
      <c r="B8" s="52">
        <f>((1+$I8)^(B2/365)-1)*365/B2</f>
        <v>3.7711683846780905E-2</v>
      </c>
      <c r="C8" s="52">
        <f t="shared" ref="C8:G8" si="5">((1+$I8)^(C2/365)-1)*365/C2</f>
        <v>3.7725321103891055E-2</v>
      </c>
      <c r="D8" s="52">
        <f t="shared" si="5"/>
        <v>3.775651667401806E-2</v>
      </c>
      <c r="E8" s="52">
        <f t="shared" si="5"/>
        <v>3.7815101107635661E-2</v>
      </c>
      <c r="F8" s="52">
        <f t="shared" si="5"/>
        <v>3.7873806743672578E-2</v>
      </c>
      <c r="G8" s="52">
        <f t="shared" si="5"/>
        <v>3.8050653690731094E-2</v>
      </c>
      <c r="H8" s="53">
        <v>3.7699999999999997E-2</v>
      </c>
      <c r="I8" s="74">
        <f t="shared" si="1"/>
        <v>3.8417638613382321E-2</v>
      </c>
      <c r="J8" s="75"/>
      <c r="K8" s="68">
        <f>H8-'Daily Data'!H140</f>
        <v>2.3299999999999998E-2</v>
      </c>
    </row>
    <row r="9" spans="1:11" ht="23.15" customHeight="1" x14ac:dyDescent="0.5">
      <c r="A9" s="51" t="s">
        <v>61</v>
      </c>
      <c r="B9" s="56">
        <f>((1+$I9)^(B2/365)-1)*365/B2</f>
        <v>3.8211995845654566E-2</v>
      </c>
      <c r="C9" s="56">
        <f t="shared" ref="C9:G9" si="6">((1+$I9)^(C2/365)-1)*365/C2</f>
        <v>3.8225997347559368E-2</v>
      </c>
      <c r="D9" s="56">
        <f t="shared" si="6"/>
        <v>3.8258026473317185E-2</v>
      </c>
      <c r="E9" s="56">
        <f t="shared" si="6"/>
        <v>3.8318177566042645E-2</v>
      </c>
      <c r="F9" s="56">
        <f t="shared" si="6"/>
        <v>3.837845475532109E-2</v>
      </c>
      <c r="G9" s="56">
        <f t="shared" si="6"/>
        <v>3.8560045880042144E-2</v>
      </c>
      <c r="H9" s="53">
        <v>3.8199999999999998E-2</v>
      </c>
      <c r="I9" s="74">
        <f t="shared" si="1"/>
        <v>3.8936923251637001E-2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4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40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CBEB-9D10-43F1-A78A-120CF4A6F1F0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3.9899999999999998E-2</v>
      </c>
      <c r="E3" s="55">
        <v>0.04</v>
      </c>
      <c r="F3" s="55">
        <v>4.4499999999999998E-2</v>
      </c>
      <c r="G3" s="55">
        <v>3.9300000000000002E-2</v>
      </c>
      <c r="H3" s="53">
        <v>3.9899999999999998E-2</v>
      </c>
      <c r="I3" s="74">
        <f>(1+H3/365)^365-1</f>
        <v>4.0704428876507048E-2</v>
      </c>
      <c r="J3" s="75"/>
      <c r="K3" s="68">
        <f>H3-'Daily Data'!AR140</f>
        <v>2.4799999999999996E-2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4.4600000000000001E-2</v>
      </c>
      <c r="C5" s="56">
        <f t="shared" ref="C5:G5" si="2">((1+$I5)^(C2/365)-1)*365/C2</f>
        <v>3.7224653775365733E-2</v>
      </c>
      <c r="D5" s="56">
        <v>5.3499999999999999E-2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Data'!BJ140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3.61E-2</v>
      </c>
      <c r="C7" s="56">
        <f t="shared" ref="C7:G7" si="4">((1+$I7)^(C2/365)-1)*365/C2</f>
        <v>3.442108148072958E-2</v>
      </c>
      <c r="D7" s="56">
        <v>3.78E-2</v>
      </c>
      <c r="E7" s="56">
        <f t="shared" si="4"/>
        <v>3.449581592722497E-2</v>
      </c>
      <c r="F7" s="56">
        <f t="shared" si="4"/>
        <v>3.4544672327758312E-2</v>
      </c>
      <c r="G7" s="56">
        <f t="shared" si="4"/>
        <v>3.4691795745238868E-2</v>
      </c>
      <c r="H7" s="53">
        <v>3.44E-2</v>
      </c>
      <c r="I7" s="74">
        <f t="shared" si="1"/>
        <v>3.4996845680234534E-2</v>
      </c>
      <c r="J7" s="75"/>
      <c r="K7" s="68">
        <f>H7-1.06%</f>
        <v>2.3800000000000002E-2</v>
      </c>
    </row>
    <row r="8" spans="1:11" ht="23.15" customHeight="1" x14ac:dyDescent="0.4">
      <c r="A8" s="51" t="s">
        <v>62</v>
      </c>
      <c r="B8" s="52">
        <f>((1+$I8)^(B2/365)-1)*365/B2</f>
        <v>3.7111314875581947E-2</v>
      </c>
      <c r="C8" s="52">
        <f t="shared" ref="C8:G8" si="5">((1+$I8)^(C2/365)-1)*365/C2</f>
        <v>3.7124521379478526E-2</v>
      </c>
      <c r="D8" s="52">
        <f t="shared" si="5"/>
        <v>3.7154731209908344E-2</v>
      </c>
      <c r="E8" s="52">
        <f t="shared" si="5"/>
        <v>3.7211463020234627E-2</v>
      </c>
      <c r="F8" s="52">
        <f t="shared" si="5"/>
        <v>3.7268310329474294E-2</v>
      </c>
      <c r="G8" s="52">
        <f t="shared" si="5"/>
        <v>3.7439547899246244E-2</v>
      </c>
      <c r="H8" s="53">
        <v>3.7100000000000001E-2</v>
      </c>
      <c r="I8" s="74">
        <f t="shared" si="1"/>
        <v>3.7794838704558797E-2</v>
      </c>
      <c r="J8" s="75"/>
      <c r="K8" s="68">
        <f>H8-'Daily Data'!H140</f>
        <v>2.2700000000000001E-2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3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8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2060-5D6B-4379-9649-3F7845DCE6D9}">
  <dimension ref="A1:K10"/>
  <sheetViews>
    <sheetView zoomScale="70" zoomScaleNormal="70" workbookViewId="0">
      <selection activeCell="D5" activeCellId="1" sqref="B5 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4.2999999999999997E-2</v>
      </c>
      <c r="D3" s="55">
        <v>0.04</v>
      </c>
      <c r="E3" s="55">
        <v>0.04</v>
      </c>
      <c r="F3" s="55">
        <v>4.4499999999999998E-2</v>
      </c>
      <c r="G3" s="55">
        <v>5.7299999999999997E-2</v>
      </c>
      <c r="H3" s="53">
        <v>4.0599999999999997E-2</v>
      </c>
      <c r="I3" s="74">
        <f>(1+H3/365)^365-1</f>
        <v>4.1433096627561561E-2</v>
      </c>
      <c r="J3" s="75"/>
      <c r="K3" s="68">
        <f>H3-'Daily Data'!AR144</f>
        <v>2.6299999999999997E-2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Data'!Z144</f>
        <v>6.5000000000000023E-3</v>
      </c>
    </row>
    <row r="5" spans="1:11" ht="23.15" customHeight="1" x14ac:dyDescent="0.5">
      <c r="A5" s="51" t="s">
        <v>17</v>
      </c>
      <c r="B5" s="56">
        <v>4.5600000000000002E-2</v>
      </c>
      <c r="C5" s="56">
        <f t="shared" ref="C5:G5" si="2">((1+$I5)^(C2/365)-1)*365/C2</f>
        <v>3.8025725780286922E-2</v>
      </c>
      <c r="D5" s="56">
        <v>5.4699999999999999E-2</v>
      </c>
      <c r="E5" s="56">
        <f t="shared" si="2"/>
        <v>3.8116942104048458E-2</v>
      </c>
      <c r="F5" s="56">
        <f t="shared" si="2"/>
        <v>3.8176588168356236E-2</v>
      </c>
      <c r="G5" s="56">
        <f t="shared" si="2"/>
        <v>3.8356274017090804E-2</v>
      </c>
      <c r="H5" s="57">
        <v>3.7999999999999999E-2</v>
      </c>
      <c r="I5" s="74">
        <f t="shared" si="1"/>
        <v>3.8729178327362002E-2</v>
      </c>
      <c r="J5" s="75"/>
      <c r="K5" s="68">
        <f>H5-'Daily Data'!BJ144</f>
        <v>2.35E-2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3.1300000000000001E-2</v>
      </c>
      <c r="C7" s="56">
        <f t="shared" ref="C7:G7" si="4">((1+$I7)^(C2/365)-1)*365/C2</f>
        <v>2.9815819576702873E-2</v>
      </c>
      <c r="D7" s="56">
        <v>3.2800000000000003E-2</v>
      </c>
      <c r="E7" s="56">
        <f t="shared" si="4"/>
        <v>2.9871886517863155E-2</v>
      </c>
      <c r="F7" s="56">
        <f t="shared" si="4"/>
        <v>2.9908527640715526E-2</v>
      </c>
      <c r="G7" s="56">
        <f t="shared" si="4"/>
        <v>3.0018810931547121E-2</v>
      </c>
      <c r="H7" s="53">
        <v>2.98E-2</v>
      </c>
      <c r="I7" s="74">
        <f t="shared" si="1"/>
        <v>3.0247210433201888E-2</v>
      </c>
      <c r="J7" s="75"/>
      <c r="K7" s="68">
        <f>H7-1.06%</f>
        <v>1.9200000000000002E-2</v>
      </c>
    </row>
    <row r="8" spans="1:11" ht="23.15" customHeight="1" x14ac:dyDescent="0.4">
      <c r="A8" s="51" t="s">
        <v>62</v>
      </c>
      <c r="B8" s="52">
        <f>((1+$I8)^(B2/365)-1)*365/B2</f>
        <v>3.691119320087604E-2</v>
      </c>
      <c r="C8" s="52">
        <f t="shared" ref="C8:G8" si="5">((1+$I8)^(C2/365)-1)*365/C2</f>
        <v>3.6924257657428176E-2</v>
      </c>
      <c r="D8" s="52">
        <f t="shared" si="5"/>
        <v>3.6954142429492388E-2</v>
      </c>
      <c r="E8" s="52">
        <f t="shared" si="5"/>
        <v>3.7010263332617192E-2</v>
      </c>
      <c r="F8" s="52">
        <f t="shared" si="5"/>
        <v>3.706649787408943E-2</v>
      </c>
      <c r="G8" s="52">
        <f t="shared" si="5"/>
        <v>3.7235885920416052E-2</v>
      </c>
      <c r="H8" s="53">
        <v>3.6900000000000002E-2</v>
      </c>
      <c r="I8" s="74">
        <f t="shared" si="1"/>
        <v>3.7587321525166306E-2</v>
      </c>
      <c r="J8" s="75"/>
      <c r="K8" s="68">
        <f>H8-'Daily Data'!H144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3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6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AD5A8-6DD8-4687-ABCE-D1E64D275412}">
  <dimension ref="A1:K10"/>
  <sheetViews>
    <sheetView zoomScale="80" zoomScaleNormal="80" workbookViewId="0">
      <selection activeCell="H26" sqref="H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3.3000000000000002E-2</v>
      </c>
      <c r="D3" s="55">
        <v>3.7900000000000003E-2</v>
      </c>
      <c r="E3" s="55">
        <v>0.04</v>
      </c>
      <c r="F3" s="55">
        <v>4.2900000000000001E-2</v>
      </c>
      <c r="G3" s="55">
        <v>5.7299999999999997E-2</v>
      </c>
      <c r="H3" s="53">
        <v>4.2200000000000001E-2</v>
      </c>
      <c r="I3" s="74">
        <f>(1+H3/365)^365-1</f>
        <v>4.3100534047914474E-2</v>
      </c>
      <c r="J3" s="75"/>
      <c r="K3" s="68">
        <f>H3-'Daily Data'!AR144</f>
        <v>2.7900000000000001E-2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Data'!Z144</f>
        <v>6.5000000000000023E-3</v>
      </c>
    </row>
    <row r="5" spans="1:11" ht="23.15" customHeight="1" x14ac:dyDescent="0.5">
      <c r="A5" s="51" t="s">
        <v>17</v>
      </c>
      <c r="B5" s="56">
        <v>4.7199999999999999E-2</v>
      </c>
      <c r="C5" s="56">
        <f t="shared" ref="C5:G5" si="2">((1+$I5)^(C2/365)-1)*365/C2</f>
        <v>3.9527797305134844E-2</v>
      </c>
      <c r="D5" s="56">
        <v>5.6599999999999998E-2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7">
        <v>3.95E-2</v>
      </c>
      <c r="I5" s="74">
        <f t="shared" si="1"/>
        <v>4.0288275604905666E-2</v>
      </c>
      <c r="J5" s="75"/>
      <c r="K5" s="68">
        <f>H5-'Daily Data'!BJ144</f>
        <v>2.5000000000000001E-2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2.2700000000000001E-2</v>
      </c>
      <c r="C7" s="56">
        <f t="shared" ref="C7:G7" si="4">((1+$I7)^(C2/365)-1)*365/C2</f>
        <v>2.1608310569760963E-2</v>
      </c>
      <c r="D7" s="56">
        <v>2.3699999999999999E-2</v>
      </c>
      <c r="E7" s="56">
        <f t="shared" si="4"/>
        <v>2.1637751452725933E-2</v>
      </c>
      <c r="F7" s="56">
        <f t="shared" si="4"/>
        <v>2.1656980840644872E-2</v>
      </c>
      <c r="G7" s="56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Data'!H144</f>
        <v>2.3800000000000002E-2</v>
      </c>
    </row>
    <row r="9" spans="1:11" ht="23.15" customHeight="1" x14ac:dyDescent="0.5">
      <c r="A9" s="51" t="s">
        <v>61</v>
      </c>
      <c r="B9" s="56">
        <f>((1+$I9)^(B2/365)-1)*365/B2</f>
        <v>3.851218501867569E-2</v>
      </c>
      <c r="C9" s="56">
        <f t="shared" ref="C9:G9" si="6">((1+$I9)^(C2/365)-1)*365/C2</f>
        <v>3.8526407373154492E-2</v>
      </c>
      <c r="D9" s="56">
        <f t="shared" si="6"/>
        <v>3.8558941915132906E-2</v>
      </c>
      <c r="E9" s="56">
        <f t="shared" si="6"/>
        <v>3.862004295629589E-2</v>
      </c>
      <c r="F9" s="56">
        <f t="shared" si="6"/>
        <v>3.8681273092882745E-2</v>
      </c>
      <c r="G9" s="56">
        <f t="shared" si="6"/>
        <v>3.8865741147578438E-2</v>
      </c>
      <c r="H9" s="53">
        <v>3.85E-2</v>
      </c>
      <c r="I9" s="74">
        <f t="shared" si="1"/>
        <v>3.9248618331255036E-2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3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4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C98D-50C8-49C8-ADAB-A4809DCE76C6}">
  <dimension ref="A1:K10"/>
  <sheetViews>
    <sheetView topLeftCell="C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3.3000000000000002E-2</v>
      </c>
      <c r="D3" s="55">
        <v>3.7900000000000003E-2</v>
      </c>
      <c r="E3" s="55">
        <v>0.04</v>
      </c>
      <c r="F3" s="55">
        <v>4.2900000000000001E-2</v>
      </c>
      <c r="G3" s="55">
        <v>5.7299999999999997E-2</v>
      </c>
      <c r="H3" s="53">
        <v>4.2200000000000001E-2</v>
      </c>
      <c r="I3" s="74">
        <f>(1+H3/365)^365-1</f>
        <v>4.3100534047914474E-2</v>
      </c>
      <c r="J3" s="75"/>
      <c r="K3" s="68">
        <f>H3-'Daily Data'!AR146</f>
        <v>2.5900000000000003E-2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v>4.7199999999999999E-2</v>
      </c>
      <c r="C5" s="56">
        <f t="shared" ref="C5:G5" si="2">((1+$I5)^(C2/365)-1)*365/C2</f>
        <v>3.9427656707190346E-2</v>
      </c>
      <c r="D5" s="56">
        <v>5.6599999999999998E-2</v>
      </c>
      <c r="E5" s="56">
        <f t="shared" si="2"/>
        <v>3.9525726953030728E-2</v>
      </c>
      <c r="F5" s="56">
        <f t="shared" si="2"/>
        <v>3.9589861010926784E-2</v>
      </c>
      <c r="G5" s="56">
        <f t="shared" si="2"/>
        <v>3.9783096817143065E-2</v>
      </c>
      <c r="H5" s="57">
        <v>3.9399999999999998E-2</v>
      </c>
      <c r="I5" s="74">
        <f t="shared" si="1"/>
        <v>4.0184263220001792E-2</v>
      </c>
      <c r="J5" s="75"/>
      <c r="K5" s="68">
        <f>H5-'Daily Data'!BJ146</f>
        <v>2.3799999999999998E-2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2.2700000000000001E-2</v>
      </c>
      <c r="C7" s="56">
        <f t="shared" ref="C7:G7" si="4">((1+$I7)^(C2/365)-1)*365/C2</f>
        <v>2.1608310569760963E-2</v>
      </c>
      <c r="D7" s="56">
        <v>2.3699999999999999E-2</v>
      </c>
      <c r="E7" s="56">
        <f t="shared" si="4"/>
        <v>2.1637751452725933E-2</v>
      </c>
      <c r="F7" s="56">
        <f t="shared" si="4"/>
        <v>2.1656980840644872E-2</v>
      </c>
      <c r="G7" s="56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3.8111933116994026E-2</v>
      </c>
      <c r="C8" s="52">
        <f t="shared" ref="C8:G8" si="5">((1+$I8)^(C2/365)-1)*365/C2</f>
        <v>3.8125861385658953E-2</v>
      </c>
      <c r="D8" s="52">
        <f t="shared" si="5"/>
        <v>3.8157722919830293E-2</v>
      </c>
      <c r="E8" s="52">
        <f t="shared" si="5"/>
        <v>3.8217559021958877E-2</v>
      </c>
      <c r="F8" s="52">
        <f t="shared" si="5"/>
        <v>3.8277520231449862E-2</v>
      </c>
      <c r="G8" s="52">
        <f t="shared" si="5"/>
        <v>3.8458157450568138E-2</v>
      </c>
      <c r="H8" s="53">
        <v>3.8100000000000002E-2</v>
      </c>
      <c r="I8" s="74">
        <f t="shared" si="1"/>
        <v>3.88330456106869E-2</v>
      </c>
      <c r="J8" s="75"/>
      <c r="K8" s="68">
        <f>H8-'Daily Data'!H146</f>
        <v>2.2700000000000001E-2</v>
      </c>
    </row>
    <row r="9" spans="1:11" ht="23.15" customHeight="1" x14ac:dyDescent="0.5">
      <c r="A9" s="51" t="s">
        <v>61</v>
      </c>
      <c r="B9" s="56">
        <f>((1+$I9)^(B2/365)-1)*365/B2</f>
        <v>3.9913087397973931E-2</v>
      </c>
      <c r="C9" s="56">
        <f t="shared" ref="C9:G9" si="6">((1+$I9)^(C2/365)-1)*365/C2</f>
        <v>3.9928363263475992E-2</v>
      </c>
      <c r="D9" s="56">
        <f t="shared" si="6"/>
        <v>3.9963308806990137E-2</v>
      </c>
      <c r="E9" s="56">
        <f t="shared" si="6"/>
        <v>4.0028941658392388E-2</v>
      </c>
      <c r="F9" s="56">
        <f t="shared" si="6"/>
        <v>4.0094718230666425E-2</v>
      </c>
      <c r="G9" s="56">
        <f t="shared" si="6"/>
        <v>4.0292913817926337E-2</v>
      </c>
      <c r="H9" s="53">
        <v>3.9899999999999998E-2</v>
      </c>
      <c r="I9" s="74">
        <f t="shared" si="1"/>
        <v>4.0704428876507048E-2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3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2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A151-424E-4789-8E09-B11266C28E0F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3.3000000000000002E-2</v>
      </c>
      <c r="D3" s="55">
        <v>3.5000000000000003E-2</v>
      </c>
      <c r="E3" s="55">
        <v>0.04</v>
      </c>
      <c r="F3" s="55">
        <v>4.2900000000000001E-2</v>
      </c>
      <c r="G3" s="55">
        <v>5.7000000000000002E-2</v>
      </c>
      <c r="H3" s="53">
        <v>4.1700000000000001E-2</v>
      </c>
      <c r="I3" s="74">
        <f>(1+H3/365)^365-1</f>
        <v>4.2579174052441493E-2</v>
      </c>
      <c r="J3" s="75"/>
      <c r="K3" s="68">
        <f>H3-'Daily Data'!AR146</f>
        <v>2.5400000000000002E-2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f>((1+$I5)^(B2/365)-1)*365/B2</f>
        <v>3.8712311956318669E-2</v>
      </c>
      <c r="C5" s="56">
        <f t="shared" ref="C5:G5" si="2">((1+$I5)^(C2/365)-1)*365/C2</f>
        <v>3.8726682506561701E-2</v>
      </c>
      <c r="D5" s="56">
        <f t="shared" si="2"/>
        <v>3.8759556193956914E-2</v>
      </c>
      <c r="E5" s="56">
        <f t="shared" si="2"/>
        <v>3.8821294681477138E-2</v>
      </c>
      <c r="F5" s="56">
        <f t="shared" si="2"/>
        <v>3.8883164289896549E-2</v>
      </c>
      <c r="G5" s="56">
        <f t="shared" si="2"/>
        <v>3.9069562977386327E-2</v>
      </c>
      <c r="H5" s="57">
        <v>3.8699999999999998E-2</v>
      </c>
      <c r="I5" s="74">
        <f t="shared" si="1"/>
        <v>3.9456466858355688E-2</v>
      </c>
      <c r="J5" s="75"/>
      <c r="K5" s="68">
        <f>H5-'Daily Data'!BJ146</f>
        <v>2.3099999999999999E-2</v>
      </c>
    </row>
    <row r="6" spans="1:11" ht="23.15" customHeight="1" x14ac:dyDescent="0.5">
      <c r="A6" s="51" t="s">
        <v>60</v>
      </c>
      <c r="B6" s="52">
        <f>((1+$I6)^(B2/365)-1)*365/B2</f>
        <v>3.3709335874898071E-2</v>
      </c>
      <c r="C6" s="52">
        <f t="shared" ref="C6:G6" si="3">((1+$I6)^(C2/365)-1)*365/C2</f>
        <v>3.3720232087598924E-2</v>
      </c>
      <c r="D6" s="52">
        <f t="shared" si="3"/>
        <v>3.3745155354740729E-2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f>((1+$I7)^(B2/365)-1)*365/B2</f>
        <v>1.7902633722116486E-2</v>
      </c>
      <c r="C7" s="56">
        <f t="shared" ref="C7:G7" si="4">((1+$I7)^(C2/365)-1)*365/C2</f>
        <v>1.7905707050962744E-2</v>
      </c>
      <c r="D7" s="56">
        <f t="shared" si="4"/>
        <v>1.7912734444474571E-2</v>
      </c>
      <c r="E7" s="56">
        <f t="shared" si="4"/>
        <v>1.7925920720718819E-2</v>
      </c>
      <c r="F7" s="56">
        <f t="shared" si="4"/>
        <v>1.7939119939552526E-2</v>
      </c>
      <c r="G7" s="56">
        <f t="shared" si="4"/>
        <v>1.7978795394591594E-2</v>
      </c>
      <c r="H7" s="53">
        <v>1.7899999999999999E-2</v>
      </c>
      <c r="I7" s="74">
        <f t="shared" si="1"/>
        <v>1.8060718352335359E-2</v>
      </c>
      <c r="J7" s="75"/>
      <c r="K7" s="68">
        <f>H7-1.06%</f>
        <v>7.2999999999999992E-3</v>
      </c>
    </row>
    <row r="8" spans="1:11" ht="23.15" customHeight="1" x14ac:dyDescent="0.4">
      <c r="A8" s="51" t="s">
        <v>62</v>
      </c>
      <c r="B8" s="52">
        <f>((1+$I8)^(B2/365)-1)*365/B2</f>
        <v>3.7711683846780905E-2</v>
      </c>
      <c r="C8" s="52">
        <f t="shared" ref="C8:G8" si="5">((1+$I8)^(C2/365)-1)*365/C2</f>
        <v>3.7725321103891055E-2</v>
      </c>
      <c r="D8" s="52">
        <f t="shared" si="5"/>
        <v>3.775651667401806E-2</v>
      </c>
      <c r="E8" s="52">
        <f t="shared" si="5"/>
        <v>3.7815101107635661E-2</v>
      </c>
      <c r="F8" s="52">
        <f t="shared" si="5"/>
        <v>3.7873806743672578E-2</v>
      </c>
      <c r="G8" s="52">
        <f t="shared" si="5"/>
        <v>3.8050653690731094E-2</v>
      </c>
      <c r="H8" s="53">
        <v>3.7699999999999997E-2</v>
      </c>
      <c r="I8" s="74">
        <f t="shared" si="1"/>
        <v>3.8417638613382321E-2</v>
      </c>
      <c r="J8" s="75"/>
      <c r="K8" s="68">
        <f>H8-'Daily Data'!H146</f>
        <v>2.2299999999999997E-2</v>
      </c>
    </row>
    <row r="9" spans="1:11" ht="23.15" customHeight="1" x14ac:dyDescent="0.5">
      <c r="A9" s="51" t="s">
        <v>61</v>
      </c>
      <c r="B9" s="56">
        <f>((1+$I9)^(B2/365)-1)*365/B2</f>
        <v>3.9312696716641442E-2</v>
      </c>
      <c r="C9" s="56">
        <f t="shared" ref="C9:G9" si="6">((1+$I9)^(C2/365)-1)*365/C2</f>
        <v>3.9327516465768438E-2</v>
      </c>
      <c r="D9" s="56">
        <f t="shared" si="6"/>
        <v>3.9361418155924789E-2</v>
      </c>
      <c r="E9" s="56">
        <f t="shared" si="6"/>
        <v>3.9425088891784137E-2</v>
      </c>
      <c r="F9" s="56">
        <f t="shared" si="6"/>
        <v>3.9488896952051947E-2</v>
      </c>
      <c r="G9" s="56">
        <f t="shared" si="6"/>
        <v>3.9681148415646884E-2</v>
      </c>
      <c r="H9" s="53">
        <v>3.9300000000000002E-2</v>
      </c>
      <c r="I9" s="74">
        <f t="shared" si="1"/>
        <v>4.0080261206093759E-2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3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0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16DC2-C83A-484D-A404-022A8C9F7973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3.39E-2</v>
      </c>
      <c r="D3" s="55">
        <v>3.7699999999999997E-2</v>
      </c>
      <c r="E3" s="55">
        <v>3.9899999999999998E-2</v>
      </c>
      <c r="F3" s="55">
        <v>4.2900000000000001E-2</v>
      </c>
      <c r="G3" s="55">
        <v>4.9799999999999997E-2</v>
      </c>
      <c r="H3" s="53">
        <v>4.0599999999999997E-2</v>
      </c>
      <c r="I3" s="74">
        <f>(1+H3/365)^365-1</f>
        <v>4.1433096627561561E-2</v>
      </c>
      <c r="J3" s="75"/>
      <c r="K3" s="68">
        <f>H3-'Daily Data'!AR146</f>
        <v>2.4299999999999999E-2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v>4.5199999999999997E-2</v>
      </c>
      <c r="C5" s="56">
        <f t="shared" ref="C5:G5" si="2">((1+$I5)^(C2/365)-1)*365/C2</f>
        <v>3.7525053102707075E-2</v>
      </c>
      <c r="D5" s="56">
        <v>5.4199999999999998E-2</v>
      </c>
      <c r="E5" s="56">
        <f t="shared" si="2"/>
        <v>3.7613881907545298E-2</v>
      </c>
      <c r="F5" s="56">
        <f t="shared" si="2"/>
        <v>3.7671964763798499E-2</v>
      </c>
      <c r="G5" s="56">
        <f t="shared" si="2"/>
        <v>3.7846931782462699E-2</v>
      </c>
      <c r="H5" s="57">
        <v>3.7499999999999999E-2</v>
      </c>
      <c r="I5" s="74">
        <f t="shared" si="1"/>
        <v>3.8209997240440829E-2</v>
      </c>
      <c r="J5" s="75"/>
      <c r="K5" s="68">
        <f>H5-'Daily Data'!BJ146</f>
        <v>2.1899999999999999E-2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2.0799999999999999E-2</v>
      </c>
      <c r="C7" s="56">
        <f t="shared" ref="C7:G7" si="4">((1+$I7)^(C2/365)-1)*365/C2</f>
        <v>1.6905087147609837E-2</v>
      </c>
      <c r="D7" s="56">
        <v>1.6400000000000001E-2</v>
      </c>
      <c r="E7" s="56">
        <f t="shared" si="4"/>
        <v>1.6923104225066061E-2</v>
      </c>
      <c r="F7" s="56">
        <f t="shared" si="4"/>
        <v>1.6934868285771128E-2</v>
      </c>
      <c r="G7" s="56">
        <f t="shared" si="4"/>
        <v>1.6970225927890305E-2</v>
      </c>
      <c r="H7" s="53">
        <v>1.6899999999999998E-2</v>
      </c>
      <c r="I7" s="74">
        <f t="shared" si="1"/>
        <v>1.704321497611061E-2</v>
      </c>
      <c r="J7" s="75"/>
      <c r="K7" s="68">
        <f>H7-1.06%</f>
        <v>6.2999999999999983E-3</v>
      </c>
    </row>
    <row r="8" spans="1:11" ht="23.15" customHeight="1" x14ac:dyDescent="0.4">
      <c r="A8" s="51" t="s">
        <v>62</v>
      </c>
      <c r="B8" s="52">
        <f>((1+$I8)^(B2/365)-1)*365/B2</f>
        <v>3.7411498621118887E-2</v>
      </c>
      <c r="C8" s="52">
        <f t="shared" ref="C8:G8" si="5">((1+$I8)^(C2/365)-1)*365/C2</f>
        <v>3.7424919637020534E-2</v>
      </c>
      <c r="D8" s="52">
        <f t="shared" si="5"/>
        <v>3.7455620356396047E-2</v>
      </c>
      <c r="E8" s="52">
        <f t="shared" si="5"/>
        <v>3.7513274746653447E-2</v>
      </c>
      <c r="F8" s="52">
        <f t="shared" si="5"/>
        <v>3.7571047464634799E-2</v>
      </c>
      <c r="G8" s="52">
        <f t="shared" si="5"/>
        <v>3.7745078320365125E-2</v>
      </c>
      <c r="H8" s="53">
        <v>3.7400000000000003E-2</v>
      </c>
      <c r="I8" s="74">
        <f t="shared" si="1"/>
        <v>3.8106192081770685E-2</v>
      </c>
      <c r="J8" s="75"/>
      <c r="K8" s="68">
        <f>H8-'Daily Data'!H146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8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FA33F-71E1-4573-972F-A13B5B04CBDF}">
  <dimension ref="A1:K10"/>
  <sheetViews>
    <sheetView zoomScale="80" zoomScaleNormal="80" zoomScaleSheetLayoutView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3.39E-2</v>
      </c>
      <c r="D3" s="55">
        <v>3.7699999999999997E-2</v>
      </c>
      <c r="E3" s="55">
        <v>3.9899999999999998E-2</v>
      </c>
      <c r="F3" s="55">
        <v>4.2900000000000001E-2</v>
      </c>
      <c r="G3" s="55">
        <v>4.9799999999999997E-2</v>
      </c>
      <c r="H3" s="53">
        <v>4.0599999999999997E-2</v>
      </c>
      <c r="I3" s="74">
        <f>(1+H3/365)^365-1</f>
        <v>4.1433096627561561E-2</v>
      </c>
      <c r="J3" s="75"/>
      <c r="K3" s="68">
        <f>H3-'Daily Data'!AR146</f>
        <v>2.4299999999999999E-2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v>4.5199999999999997E-2</v>
      </c>
      <c r="C5" s="56">
        <f t="shared" ref="C5:G5" si="2">((1+$I5)^(C2/365)-1)*365/C2</f>
        <v>3.7024389340166004E-2</v>
      </c>
      <c r="D5" s="56">
        <v>5.4199999999999998E-2</v>
      </c>
      <c r="E5" s="56">
        <f t="shared" si="2"/>
        <v>3.7110862363455399E-2</v>
      </c>
      <c r="F5" s="56">
        <f t="shared" si="2"/>
        <v>3.7167402871694732E-2</v>
      </c>
      <c r="G5" s="56">
        <f t="shared" si="2"/>
        <v>3.7337714413147337E-2</v>
      </c>
      <c r="H5" s="57">
        <v>3.6999999999999998E-2</v>
      </c>
      <c r="I5" s="74">
        <f t="shared" si="1"/>
        <v>3.7691074941686109E-2</v>
      </c>
      <c r="J5" s="75"/>
      <c r="K5" s="68">
        <f>H5-'Daily Data'!BJ146</f>
        <v>2.1399999999999999E-2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2.0799999999999999E-2</v>
      </c>
      <c r="C7" s="56">
        <f t="shared" ref="C7:G7" si="4">((1+$I7)^(C2/365)-1)*365/C2</f>
        <v>1.6905087147609837E-2</v>
      </c>
      <c r="D7" s="56">
        <v>1.6400000000000001E-2</v>
      </c>
      <c r="E7" s="56">
        <f t="shared" si="4"/>
        <v>1.6923104225066061E-2</v>
      </c>
      <c r="F7" s="56">
        <f t="shared" si="4"/>
        <v>1.6934868285771128E-2</v>
      </c>
      <c r="G7" s="56">
        <f t="shared" si="4"/>
        <v>1.6970225927890305E-2</v>
      </c>
      <c r="H7" s="53">
        <v>1.6899999999999998E-2</v>
      </c>
      <c r="I7" s="74">
        <f t="shared" si="1"/>
        <v>1.704321497611061E-2</v>
      </c>
      <c r="J7" s="75"/>
      <c r="K7" s="68">
        <f>H7-1.06%</f>
        <v>6.2999999999999983E-3</v>
      </c>
    </row>
    <row r="8" spans="1:11" ht="23.15" customHeight="1" x14ac:dyDescent="0.4">
      <c r="A8" s="51" t="s">
        <v>62</v>
      </c>
      <c r="B8" s="52">
        <f>((1+$I8)^(B2/365)-1)*365/B2</f>
        <v>3.6811132610262698E-2</v>
      </c>
      <c r="C8" s="52">
        <f t="shared" ref="C8:G8" si="5">((1+$I8)^(C2/365)-1)*365/C2</f>
        <v>3.6824126331346081E-2</v>
      </c>
      <c r="D8" s="52">
        <f t="shared" si="5"/>
        <v>3.6853849234498227E-2</v>
      </c>
      <c r="E8" s="52">
        <f t="shared" si="5"/>
        <v>3.6909665927788916E-2</v>
      </c>
      <c r="F8" s="52">
        <f t="shared" si="5"/>
        <v>3.6965595336695314E-2</v>
      </c>
      <c r="G8" s="52">
        <f t="shared" si="5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Data'!H146</f>
        <v>2.1399999999999999E-2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6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9577-012E-4F15-A43D-B47F55F5BC77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3.39E-2</v>
      </c>
      <c r="D3" s="55">
        <v>3.7699999999999997E-2</v>
      </c>
      <c r="E3" s="55">
        <v>3.9899999999999998E-2</v>
      </c>
      <c r="F3" s="55">
        <v>4.2900000000000001E-2</v>
      </c>
      <c r="G3" s="55">
        <v>4.9799999999999997E-2</v>
      </c>
      <c r="H3" s="53">
        <v>4.0599999999999997E-2</v>
      </c>
      <c r="I3" s="74">
        <f>(1+H3/365)^365-1</f>
        <v>4.1433096627561561E-2</v>
      </c>
      <c r="J3" s="75"/>
      <c r="K3" s="68">
        <f>H3-'Daily Data'!AR146</f>
        <v>2.4299999999999999E-2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v>4.5199999999999997E-2</v>
      </c>
      <c r="C5" s="56">
        <f t="shared" ref="C5:G5" si="2">((1+$I5)^(C2/365)-1)*365/C2</f>
        <v>3.7525053102707075E-2</v>
      </c>
      <c r="D5" s="56">
        <v>5.4199999999999998E-2</v>
      </c>
      <c r="E5" s="56">
        <f t="shared" si="2"/>
        <v>3.7613881907545298E-2</v>
      </c>
      <c r="F5" s="56">
        <f t="shared" si="2"/>
        <v>3.7671964763798499E-2</v>
      </c>
      <c r="G5" s="56">
        <f t="shared" si="2"/>
        <v>3.7846931782462699E-2</v>
      </c>
      <c r="H5" s="57">
        <v>3.7499999999999999E-2</v>
      </c>
      <c r="I5" s="74">
        <f t="shared" si="1"/>
        <v>3.8209997240440829E-2</v>
      </c>
      <c r="J5" s="75"/>
      <c r="K5" s="68">
        <f>H5-'Daily Data'!BJ146</f>
        <v>2.1899999999999999E-2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2.0799999999999999E-2</v>
      </c>
      <c r="C7" s="56">
        <f t="shared" ref="C7:G7" si="4">((1+$I7)^(C2/365)-1)*365/C2</f>
        <v>1.6905087147609837E-2</v>
      </c>
      <c r="D7" s="56">
        <v>1.6400000000000001E-2</v>
      </c>
      <c r="E7" s="56">
        <f t="shared" si="4"/>
        <v>1.6923104225066061E-2</v>
      </c>
      <c r="F7" s="56">
        <f t="shared" si="4"/>
        <v>1.6934868285771128E-2</v>
      </c>
      <c r="G7" s="56">
        <f t="shared" si="4"/>
        <v>1.6970225927890305E-2</v>
      </c>
      <c r="H7" s="53">
        <v>1.6899999999999998E-2</v>
      </c>
      <c r="I7" s="74">
        <f t="shared" si="1"/>
        <v>1.704321497611061E-2</v>
      </c>
      <c r="J7" s="75"/>
      <c r="K7" s="68">
        <f>H7-1.06%</f>
        <v>6.2999999999999983E-3</v>
      </c>
    </row>
    <row r="8" spans="1:11" ht="23.15" customHeight="1" x14ac:dyDescent="0.4">
      <c r="A8" s="51" t="s">
        <v>62</v>
      </c>
      <c r="B8" s="52">
        <f>((1+$I8)^(B2/365)-1)*365/B2</f>
        <v>3.7411498621118887E-2</v>
      </c>
      <c r="C8" s="52">
        <f t="shared" ref="C8:G8" si="5">((1+$I8)^(C2/365)-1)*365/C2</f>
        <v>3.7424919637020534E-2</v>
      </c>
      <c r="D8" s="52">
        <f t="shared" si="5"/>
        <v>3.7455620356396047E-2</v>
      </c>
      <c r="E8" s="52">
        <f t="shared" si="5"/>
        <v>3.7513274746653447E-2</v>
      </c>
      <c r="F8" s="52">
        <f t="shared" si="5"/>
        <v>3.7571047464634799E-2</v>
      </c>
      <c r="G8" s="52">
        <f t="shared" si="5"/>
        <v>3.7745078320365125E-2</v>
      </c>
      <c r="H8" s="53">
        <v>3.7400000000000003E-2</v>
      </c>
      <c r="I8" s="74">
        <f t="shared" si="1"/>
        <v>3.8106192081770685E-2</v>
      </c>
      <c r="J8" s="75"/>
      <c r="K8" s="68">
        <f>H8-'Daily Data'!H146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4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7DE97-939D-4C2D-843F-808F3FE9FE3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3.39E-2</v>
      </c>
      <c r="C3" s="55">
        <v>3.49E-2</v>
      </c>
      <c r="D3" s="55">
        <v>3.7499999999999999E-2</v>
      </c>
      <c r="E3" s="55">
        <v>3.9899999999999998E-2</v>
      </c>
      <c r="F3" s="55">
        <v>4.1799999999999997E-2</v>
      </c>
      <c r="G3" s="55">
        <v>4.99E-2</v>
      </c>
      <c r="H3" s="53">
        <v>4.1300000000000003E-2</v>
      </c>
      <c r="I3" s="74">
        <f>(1+H3/365)^365-1</f>
        <v>4.2162273169587428E-2</v>
      </c>
      <c r="J3" s="75"/>
      <c r="K3" s="68">
        <f>H3-'Daily Data'!AR151</f>
        <v>2.5200000000000004E-2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Data'!Z151</f>
        <v>5.7000000000000002E-3</v>
      </c>
    </row>
    <row r="5" spans="1:11" ht="23.15" customHeight="1" x14ac:dyDescent="0.5">
      <c r="A5" s="51" t="s">
        <v>17</v>
      </c>
      <c r="B5" s="56">
        <v>4.5900000000000003E-2</v>
      </c>
      <c r="C5" s="56">
        <f t="shared" ref="C5:G5" si="2">((1+$I5)^(C2/365)-1)*365/C2</f>
        <v>3.8326133666167612E-2</v>
      </c>
      <c r="D5" s="56">
        <v>5.5100000000000003E-2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7">
        <v>3.8300000000000001E-2</v>
      </c>
      <c r="I5" s="74">
        <f t="shared" si="1"/>
        <v>3.9040811251424667E-2</v>
      </c>
      <c r="J5" s="75"/>
      <c r="K5" s="68">
        <f>H5-'Daily Data'!BJ151</f>
        <v>2.4199999999999999E-2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2.64E-2</v>
      </c>
      <c r="C7" s="56">
        <f t="shared" ref="C7:G7" si="4">((1+$I7)^(C2/365)-1)*365/C2</f>
        <v>2.1408157364972067E-2</v>
      </c>
      <c r="D7" s="56">
        <v>2.07E-2</v>
      </c>
      <c r="E7" s="56">
        <f t="shared" si="4"/>
        <v>2.1437055195603755E-2</v>
      </c>
      <c r="F7" s="56">
        <f t="shared" si="4"/>
        <v>2.1455929625400896E-2</v>
      </c>
      <c r="G7" s="56">
        <f t="shared" si="4"/>
        <v>2.1512685957521694E-2</v>
      </c>
      <c r="H7" s="53">
        <v>2.1399999999999999E-2</v>
      </c>
      <c r="I7" s="74">
        <f t="shared" si="1"/>
        <v>2.1629981279808197E-2</v>
      </c>
      <c r="J7" s="75"/>
      <c r="K7" s="68">
        <f>H7-1.06%</f>
        <v>1.0799999999999999E-2</v>
      </c>
    </row>
    <row r="8" spans="1:11" ht="23.15" customHeight="1" x14ac:dyDescent="0.4">
      <c r="A8" s="51" t="s">
        <v>62</v>
      </c>
      <c r="B8" s="52">
        <f>((1+$I8)^(B2/365)-1)*365/B2</f>
        <v>3.7811745917646675E-2</v>
      </c>
      <c r="C8" s="52">
        <f t="shared" ref="C8:G8" si="5">((1+$I8)^(C2/365)-1)*365/C2</f>
        <v>3.7825455639434812E-2</v>
      </c>
      <c r="D8" s="52">
        <f t="shared" si="5"/>
        <v>3.7856817040241096E-2</v>
      </c>
      <c r="E8" s="52">
        <f t="shared" si="5"/>
        <v>3.7915713146943579E-2</v>
      </c>
      <c r="F8" s="52">
        <f t="shared" si="5"/>
        <v>3.7974731424557651E-2</v>
      </c>
      <c r="G8" s="52">
        <f t="shared" si="5"/>
        <v>3.8152522137446708E-2</v>
      </c>
      <c r="H8" s="53">
        <v>3.78E-2</v>
      </c>
      <c r="I8" s="74">
        <f t="shared" si="1"/>
        <v>3.8521474829770863E-2</v>
      </c>
      <c r="J8" s="75"/>
      <c r="K8" s="68">
        <f>H8-'Daily Data'!H151</f>
        <v>2.2699999999999998E-2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>
        <f>H9-'Daily Data'!H151</f>
        <v>2.2699999999999998E-2</v>
      </c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2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D2B5A-86B9-4325-BA3C-F30617E084D2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3.5900000000000001E-2</v>
      </c>
      <c r="E3" s="55">
        <v>3.9899999999999998E-2</v>
      </c>
      <c r="F3" s="55">
        <v>4.19E-2</v>
      </c>
      <c r="G3" s="55">
        <v>5.0999999999999997E-2</v>
      </c>
      <c r="H3" s="53">
        <v>4.1300000000000003E-2</v>
      </c>
      <c r="I3" s="74">
        <f>(1+H3/365)^365-1</f>
        <v>4.2162273169587428E-2</v>
      </c>
      <c r="J3" s="75"/>
      <c r="K3" s="68">
        <f>'Daily Data'!AR152</f>
        <v>1.6299999999999999E-2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Data'!Z152</f>
        <v>5.8000000000000031E-3</v>
      </c>
    </row>
    <row r="5" spans="1:11" ht="23.15" customHeight="1" x14ac:dyDescent="0.5">
      <c r="A5" s="51" t="s">
        <v>17</v>
      </c>
      <c r="B5" s="56">
        <v>4.65E-2</v>
      </c>
      <c r="C5" s="56">
        <f t="shared" ref="C5:G5" si="2">((1+$I5)^(C2/365)-1)*365/C2</f>
        <v>3.902709788137345E-2</v>
      </c>
      <c r="D5" s="56">
        <v>5.5800000000000002E-2</v>
      </c>
      <c r="E5" s="56">
        <f t="shared" si="2"/>
        <v>3.9123184467448412E-2</v>
      </c>
      <c r="F5" s="56">
        <f t="shared" si="2"/>
        <v>3.9186019544723498E-2</v>
      </c>
      <c r="G5" s="56">
        <f t="shared" si="2"/>
        <v>3.9375333204310747E-2</v>
      </c>
      <c r="H5" s="57">
        <v>3.9E-2</v>
      </c>
      <c r="I5" s="74">
        <f t="shared" si="1"/>
        <v>3.9768317380816542E-2</v>
      </c>
      <c r="J5" s="75"/>
      <c r="K5" s="68">
        <f>H5-'Daily Data'!BJ152</f>
        <v>2.4199999999999999E-2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2.2800000000000001E-2</v>
      </c>
      <c r="C7" s="56">
        <f t="shared" ref="C7:G7" si="4">((1+$I7)^(C2/365)-1)*365/C2</f>
        <v>1.8506096098917433E-2</v>
      </c>
      <c r="D7" s="56">
        <v>1.7899999999999999E-2</v>
      </c>
      <c r="E7" s="56">
        <f t="shared" si="4"/>
        <v>1.852768842656588E-2</v>
      </c>
      <c r="F7" s="56">
        <f t="shared" si="4"/>
        <v>1.8541788475384728E-2</v>
      </c>
      <c r="G7" s="56">
        <f t="shared" si="4"/>
        <v>1.8584174520299417E-2</v>
      </c>
      <c r="H7" s="53">
        <v>1.8499999999999999E-2</v>
      </c>
      <c r="I7" s="74">
        <f t="shared" si="1"/>
        <v>1.8671707596081832E-2</v>
      </c>
      <c r="J7" s="75"/>
      <c r="K7" s="68">
        <f>H7-1.06%</f>
        <v>7.899999999999999E-3</v>
      </c>
    </row>
    <row r="8" spans="1:11" ht="23.15" customHeight="1" x14ac:dyDescent="0.4">
      <c r="A8" s="51" t="s">
        <v>62</v>
      </c>
      <c r="B8" s="52">
        <f>((1+$I8)^(B2/365)-1)*365/B2</f>
        <v>3.7411498621118887E-2</v>
      </c>
      <c r="C8" s="52">
        <f t="shared" ref="C8:G8" si="5">((1+$I8)^(C2/365)-1)*365/C2</f>
        <v>3.7424919637020534E-2</v>
      </c>
      <c r="D8" s="52">
        <f t="shared" si="5"/>
        <v>3.7455620356396047E-2</v>
      </c>
      <c r="E8" s="52">
        <f t="shared" si="5"/>
        <v>3.7513274746653447E-2</v>
      </c>
      <c r="F8" s="52">
        <f t="shared" si="5"/>
        <v>3.7571047464634799E-2</v>
      </c>
      <c r="G8" s="52">
        <f t="shared" si="5"/>
        <v>3.7745078320365125E-2</v>
      </c>
      <c r="H8" s="53">
        <v>3.7400000000000003E-2</v>
      </c>
      <c r="I8" s="74">
        <f t="shared" si="1"/>
        <v>3.8106192081770685E-2</v>
      </c>
      <c r="J8" s="75"/>
      <c r="K8" s="68">
        <f>H8-'Daily Data'!H152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0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0FE8-C880-4851-AE70-A64E5525040D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3.49E-2</v>
      </c>
      <c r="C3" s="55">
        <v>3.5000000000000003E-2</v>
      </c>
      <c r="D3" s="55">
        <v>3.49E-2</v>
      </c>
      <c r="E3" s="55">
        <v>3.9899999999999998E-2</v>
      </c>
      <c r="F3" s="55">
        <v>0.04</v>
      </c>
      <c r="G3" s="55">
        <v>5.0799999999999998E-2</v>
      </c>
      <c r="H3" s="53">
        <v>4.1799999999999997E-2</v>
      </c>
      <c r="I3" s="74">
        <f>(1+H3/365)^365-1</f>
        <v>4.2683425257684871E-2</v>
      </c>
      <c r="J3" s="75"/>
      <c r="K3" s="68">
        <f>H3-'Daily Data'!AR153</f>
        <v>2.5399999999999995E-2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Data'!Z153</f>
        <v>5.7000000000000002E-3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3.9627938259787179E-2</v>
      </c>
      <c r="D5" s="56">
        <v>5.67E-2</v>
      </c>
      <c r="E5" s="56">
        <f t="shared" si="2"/>
        <v>3.9727007955192142E-2</v>
      </c>
      <c r="F5" s="56">
        <f t="shared" si="2"/>
        <v>3.9791796513491108E-2</v>
      </c>
      <c r="G5" s="56">
        <f t="shared" si="2"/>
        <v>3.9987008617983807E-2</v>
      </c>
      <c r="H5" s="57">
        <v>3.9600000000000003E-2</v>
      </c>
      <c r="I5" s="74">
        <f t="shared" si="1"/>
        <v>4.0392298362033729E-2</v>
      </c>
      <c r="J5" s="75"/>
      <c r="K5" s="68">
        <f>H5-'Daily Data'!BJ153</f>
        <v>2.4900000000000005E-2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2.7199999999999998E-2</v>
      </c>
      <c r="C7" s="56">
        <f t="shared" ref="C7:G7" si="4">((1+$I7)^(C2/365)-1)*365/C2</f>
        <v>2.2108699819147599E-2</v>
      </c>
      <c r="D7" s="56">
        <v>2.1299999999999999E-2</v>
      </c>
      <c r="E7" s="56">
        <f t="shared" si="4"/>
        <v>2.2139520481008534E-2</v>
      </c>
      <c r="F7" s="56">
        <f t="shared" si="4"/>
        <v>2.2159651773910487E-2</v>
      </c>
      <c r="G7" s="56">
        <f t="shared" si="4"/>
        <v>2.2220192205426197E-2</v>
      </c>
      <c r="H7" s="57">
        <v>2.2100000000000002E-2</v>
      </c>
      <c r="I7" s="74">
        <f t="shared" si="1"/>
        <v>2.2345329982560003E-2</v>
      </c>
      <c r="J7" s="75"/>
      <c r="K7" s="68">
        <f>H7-1.06%</f>
        <v>1.1500000000000002E-2</v>
      </c>
    </row>
    <row r="8" spans="1:11" ht="23.15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Data'!H153</f>
        <v>2.2899999999999997E-2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8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BD446-534B-49E1-A90A-7222D0209C6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3.6900000000000002E-2</v>
      </c>
      <c r="D3" s="55">
        <v>3.5900000000000001E-2</v>
      </c>
      <c r="E3" s="55">
        <v>3.9899999999999998E-2</v>
      </c>
      <c r="F3" s="55">
        <v>4.4400000000000002E-2</v>
      </c>
      <c r="G3" s="55">
        <v>4.9700000000000001E-2</v>
      </c>
      <c r="H3" s="53">
        <v>4.2700000000000002E-2</v>
      </c>
      <c r="I3" s="74">
        <f>(1+H3/365)^365-1</f>
        <v>4.3622154043978734E-2</v>
      </c>
      <c r="J3" s="75"/>
      <c r="K3" s="68">
        <f>H3-'Daily Data'!AR153</f>
        <v>2.63E-2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Data'!Z153</f>
        <v>5.7000000000000002E-3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3.9427656707190346E-2</v>
      </c>
      <c r="D5" s="56">
        <v>5.67E-2</v>
      </c>
      <c r="E5" s="56">
        <f t="shared" si="2"/>
        <v>3.9525726953030728E-2</v>
      </c>
      <c r="F5" s="56">
        <f t="shared" si="2"/>
        <v>3.9589861010926784E-2</v>
      </c>
      <c r="G5" s="56">
        <f t="shared" si="2"/>
        <v>3.9783096817143065E-2</v>
      </c>
      <c r="H5" s="57">
        <v>3.9399999999999998E-2</v>
      </c>
      <c r="I5" s="74">
        <f t="shared" si="1"/>
        <v>4.0184263220001792E-2</v>
      </c>
      <c r="J5" s="75"/>
      <c r="K5" s="68">
        <f>H5-'Daily Data'!BJ153</f>
        <v>2.47E-2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2.76E-2</v>
      </c>
      <c r="C7" s="56">
        <f t="shared" ref="C7:G7" si="4">((1+$I7)^(C2/365)-1)*365/C2</f>
        <v>2.2408937645895164E-2</v>
      </c>
      <c r="D7" s="56">
        <v>2.1700000000000001E-2</v>
      </c>
      <c r="E7" s="56">
        <f t="shared" si="4"/>
        <v>2.2440601363315864E-2</v>
      </c>
      <c r="F7" s="56">
        <f t="shared" si="4"/>
        <v>2.246128375003531E-2</v>
      </c>
      <c r="G7" s="56">
        <f t="shared" si="4"/>
        <v>2.2523483522765477E-2</v>
      </c>
      <c r="H7" s="57">
        <v>2.24E-2</v>
      </c>
      <c r="I7" s="74">
        <f t="shared" si="1"/>
        <v>2.2652060890960168E-2</v>
      </c>
      <c r="J7" s="75"/>
      <c r="K7" s="68">
        <f>H7-1.06%</f>
        <v>1.18E-2</v>
      </c>
    </row>
    <row r="8" spans="1:11" ht="23.15" customHeight="1" x14ac:dyDescent="0.4">
      <c r="A8" s="51" t="s">
        <v>62</v>
      </c>
      <c r="B8" s="52">
        <f>((1+$I8)^(B2/365)-1)*365/B2</f>
        <v>3.8912439551918511E-2</v>
      </c>
      <c r="C8" s="52">
        <f t="shared" ref="C8:G8" si="5">((1+$I8)^(C2/365)-1)*365/C2</f>
        <v>3.8926959066522389E-2</v>
      </c>
      <c r="D8" s="52">
        <f t="shared" si="5"/>
        <v>3.8960173660393282E-2</v>
      </c>
      <c r="E8" s="52">
        <f t="shared" si="5"/>
        <v>3.9022552912378425E-2</v>
      </c>
      <c r="F8" s="52">
        <f t="shared" si="5"/>
        <v>3.9085065331842528E-2</v>
      </c>
      <c r="G8" s="52">
        <f t="shared" si="5"/>
        <v>3.9273404797430481E-2</v>
      </c>
      <c r="H8" s="53">
        <v>3.8899999999999997E-2</v>
      </c>
      <c r="I8" s="74">
        <f t="shared" si="1"/>
        <v>3.9664356841096371E-2</v>
      </c>
      <c r="J8" s="75"/>
      <c r="K8" s="68">
        <f>H8-'Daily Data'!H153</f>
        <v>2.3099999999999996E-2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2:H9 B1:H1">
    <cfRule type="expression" dxfId="17" priority="3">
      <formula>_xlfn.ISFORMULA(A1)</formula>
    </cfRule>
    <cfRule type="expression" priority="4">
      <formula>_xlfn.ISFORMULA(A1)</formula>
    </cfRule>
  </conditionalFormatting>
  <conditionalFormatting sqref="J1:J9 I1:I10 A10:F10">
    <cfRule type="expression" dxfId="16" priority="9">
      <formula>_xlfn.ISFORMULA(A1)</formula>
    </cfRule>
    <cfRule type="expression" priority="10">
      <formula>_xlfn.ISFORMULA(A1)</formula>
    </cfRule>
  </conditionalFormatting>
  <conditionalFormatting sqref="A1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B097B-589E-4127-9CE7-8B6B9F2307B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3.78E-2</v>
      </c>
      <c r="E3" s="55">
        <v>3.9800000000000002E-2</v>
      </c>
      <c r="F3" s="55">
        <v>4.4600000000000001E-2</v>
      </c>
      <c r="G3" s="55">
        <v>4.9700000000000001E-2</v>
      </c>
      <c r="H3" s="53">
        <v>4.24E-2</v>
      </c>
      <c r="I3" s="74">
        <f>(1+H3/365)^365-1</f>
        <v>4.3309150839025312E-2</v>
      </c>
      <c r="J3" s="75"/>
      <c r="K3" s="68">
        <f>H3-'Daily Data'!AR155</f>
        <v>2.5999999999999999E-2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Data'!Z155</f>
        <v>6.1000000000000013E-3</v>
      </c>
    </row>
    <row r="5" spans="1:11" ht="23.15" customHeight="1" x14ac:dyDescent="0.5">
      <c r="A5" s="51" t="s">
        <v>17</v>
      </c>
      <c r="B5" s="56">
        <v>4.7199999999999999E-2</v>
      </c>
      <c r="C5" s="56">
        <f t="shared" ref="C5:G5" si="2">((1+$I5)^(C2/365)-1)*365/C2</f>
        <v>3.9127237052920774E-2</v>
      </c>
      <c r="D5" s="56">
        <v>5.6599999999999998E-2</v>
      </c>
      <c r="E5" s="56">
        <f t="shared" si="2"/>
        <v>3.9223817649076738E-2</v>
      </c>
      <c r="F5" s="56">
        <f t="shared" si="2"/>
        <v>3.9286976219068265E-2</v>
      </c>
      <c r="G5" s="56">
        <f t="shared" si="2"/>
        <v>3.9477266609533074E-2</v>
      </c>
      <c r="H5" s="57">
        <v>3.9100000000000003E-2</v>
      </c>
      <c r="I5" s="74">
        <f t="shared" si="1"/>
        <v>3.9872288287591928E-2</v>
      </c>
      <c r="J5" s="75"/>
      <c r="K5" s="68">
        <f>H5-'Daily Data'!BJ155</f>
        <v>2.4800000000000003E-2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2.9100000000000001E-2</v>
      </c>
      <c r="C7" s="56">
        <f t="shared" ref="C7:G7" si="4">((1+$I7)^(C2/365)-1)*365/C2</f>
        <v>2.3710005297053076E-2</v>
      </c>
      <c r="D7" s="56">
        <v>2.29E-2</v>
      </c>
      <c r="E7" s="56">
        <f t="shared" si="4"/>
        <v>2.374545390438787E-2</v>
      </c>
      <c r="F7" s="56">
        <f t="shared" si="4"/>
        <v>2.3768610629076623E-2</v>
      </c>
      <c r="G7" s="56">
        <f t="shared" si="4"/>
        <v>2.3838261610736038E-2</v>
      </c>
      <c r="H7" s="57">
        <v>2.3699999999999999E-2</v>
      </c>
      <c r="I7" s="74">
        <f t="shared" si="1"/>
        <v>2.3982289026257098E-2</v>
      </c>
      <c r="J7" s="75"/>
      <c r="K7" s="68">
        <f>H7-1.06%</f>
        <v>1.3099999999999999E-2</v>
      </c>
    </row>
    <row r="8" spans="1:11" ht="23.15" customHeight="1" x14ac:dyDescent="0.4">
      <c r="A8" s="51" t="s">
        <v>62</v>
      </c>
      <c r="B8" s="52">
        <f>((1+$I8)^(B2/365)-1)*365/B2</f>
        <v>3.9112567805359433E-2</v>
      </c>
      <c r="C8" s="52">
        <f t="shared" ref="C8:G8" si="5">((1+$I8)^(C2/365)-1)*365/C2</f>
        <v>3.9127237052920774E-2</v>
      </c>
      <c r="D8" s="52">
        <f t="shared" si="5"/>
        <v>3.9160794314363666E-2</v>
      </c>
      <c r="E8" s="52">
        <f t="shared" si="5"/>
        <v>3.9223817649076738E-2</v>
      </c>
      <c r="F8" s="52">
        <f t="shared" si="5"/>
        <v>3.9286976219068265E-2</v>
      </c>
      <c r="G8" s="52">
        <f t="shared" si="5"/>
        <v>3.9477266609533074E-2</v>
      </c>
      <c r="H8" s="53">
        <v>3.9100000000000003E-2</v>
      </c>
      <c r="I8" s="74">
        <f t="shared" si="1"/>
        <v>3.9872288287591928E-2</v>
      </c>
      <c r="J8" s="75"/>
      <c r="K8" s="68">
        <f>H8-'Daily Data'!H155</f>
        <v>2.3800000000000002E-2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2:H9 B1:H1">
    <cfRule type="expression" dxfId="15" priority="3">
      <formula>_xlfn.ISFORMULA(A1)</formula>
    </cfRule>
    <cfRule type="expression" priority="4">
      <formula>_xlfn.ISFORMULA(A1)</formula>
    </cfRule>
  </conditionalFormatting>
  <conditionalFormatting sqref="J1:J9 I1:I10 A10:F10">
    <cfRule type="expression" dxfId="14" priority="9">
      <formula>_xlfn.ISFORMULA(A1)</formula>
    </cfRule>
    <cfRule type="expression" priority="10">
      <formula>_xlfn.ISFORMULA(A1)</formula>
    </cfRule>
  </conditionalFormatting>
  <conditionalFormatting sqref="A1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3A9F-E207-4854-9880-6EC9C9B0D66C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3.78E-2</v>
      </c>
      <c r="E3" s="55">
        <v>3.9800000000000002E-2</v>
      </c>
      <c r="F3" s="55">
        <v>4.4600000000000001E-2</v>
      </c>
      <c r="G3" s="55">
        <v>4.9700000000000001E-2</v>
      </c>
      <c r="H3" s="53">
        <v>4.24E-2</v>
      </c>
      <c r="I3" s="74">
        <f>(1+H3/365)^365-1</f>
        <v>4.3309150839025312E-2</v>
      </c>
      <c r="J3" s="75"/>
      <c r="K3" s="68">
        <f>H3-'Daily Data'!AR153</f>
        <v>2.5999999999999999E-2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Data'!Z153</f>
        <v>5.7000000000000002E-3</v>
      </c>
    </row>
    <row r="5" spans="1:11" ht="23.15" customHeight="1" x14ac:dyDescent="0.5">
      <c r="A5" s="51" t="s">
        <v>17</v>
      </c>
      <c r="B5" s="56">
        <v>4.7199999999999999E-2</v>
      </c>
      <c r="C5" s="56">
        <f t="shared" ref="C5:G5" si="2">((1+$I5)^(C2/365)-1)*365/C2</f>
        <v>3.8526407373154492E-2</v>
      </c>
      <c r="D5" s="56">
        <v>5.6599999999999998E-2</v>
      </c>
      <c r="E5" s="56">
        <f t="shared" si="2"/>
        <v>3.862004295629589E-2</v>
      </c>
      <c r="F5" s="56">
        <f t="shared" si="2"/>
        <v>3.8681273092882745E-2</v>
      </c>
      <c r="G5" s="56">
        <f t="shared" si="2"/>
        <v>3.8865741147578438E-2</v>
      </c>
      <c r="H5" s="57">
        <v>3.85E-2</v>
      </c>
      <c r="I5" s="74">
        <f t="shared" si="1"/>
        <v>3.9248618331255036E-2</v>
      </c>
      <c r="J5" s="75"/>
      <c r="K5" s="68">
        <f>H5-'Daily Data'!BJ153</f>
        <v>2.3800000000000002E-2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2.9100000000000001E-2</v>
      </c>
      <c r="C7" s="56">
        <f t="shared" ref="C7:G7" si="4">((1+$I7)^(C2/365)-1)*365/C2</f>
        <v>2.3710005297053076E-2</v>
      </c>
      <c r="D7" s="56">
        <v>2.29E-2</v>
      </c>
      <c r="E7" s="56">
        <f t="shared" si="4"/>
        <v>2.374545390438787E-2</v>
      </c>
      <c r="F7" s="56">
        <f t="shared" si="4"/>
        <v>2.3768610629076623E-2</v>
      </c>
      <c r="G7" s="56">
        <f t="shared" si="4"/>
        <v>2.3838261610736038E-2</v>
      </c>
      <c r="H7" s="57">
        <v>2.3699999999999999E-2</v>
      </c>
      <c r="I7" s="74">
        <f t="shared" si="1"/>
        <v>2.3982289026257098E-2</v>
      </c>
      <c r="J7" s="75"/>
      <c r="K7" s="68">
        <f>H7-1.06%</f>
        <v>1.3099999999999999E-2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Data'!H153</f>
        <v>2.2699999999999998E-2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2:H9 B1:H1">
    <cfRule type="expression" dxfId="13" priority="3">
      <formula>_xlfn.ISFORMULA(A1)</formula>
    </cfRule>
    <cfRule type="expression" priority="4">
      <formula>_xlfn.ISFORMULA(A1)</formula>
    </cfRule>
  </conditionalFormatting>
  <conditionalFormatting sqref="J1:J9 I1:I10 A10:F10">
    <cfRule type="expression" dxfId="12" priority="5">
      <formula>_xlfn.ISFORMULA(A1)</formula>
    </cfRule>
    <cfRule type="expression" priority="6">
      <formula>_xlfn.ISFORMULA(A1)</formula>
    </cfRule>
  </conditionalFormatting>
  <conditionalFormatting sqref="A1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38A45-8B4C-4A6E-9224-F24F3B273A3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3.78E-2</v>
      </c>
      <c r="E3" s="55">
        <v>3.9800000000000002E-2</v>
      </c>
      <c r="F3" s="55">
        <v>4.4600000000000001E-2</v>
      </c>
      <c r="G3" s="55">
        <v>4.9700000000000001E-2</v>
      </c>
      <c r="H3" s="53">
        <v>4.24E-2</v>
      </c>
      <c r="I3" s="74">
        <f>(1+H3/365)^365-1</f>
        <v>4.3309150839025312E-2</v>
      </c>
      <c r="J3" s="75"/>
      <c r="K3" s="68">
        <f>H3-'Daily Data'!AR153</f>
        <v>2.5999999999999999E-2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Data'!Z153</f>
        <v>5.7000000000000002E-3</v>
      </c>
    </row>
    <row r="5" spans="1:11" ht="23.15" customHeight="1" x14ac:dyDescent="0.5">
      <c r="A5" s="51" t="s">
        <v>17</v>
      </c>
      <c r="B5" s="56">
        <v>4.7199999999999999E-2</v>
      </c>
      <c r="C5" s="56">
        <f t="shared" ref="C5:G5" si="2">((1+$I5)^(C2/365)-1)*365/C2</f>
        <v>3.8526407373154492E-2</v>
      </c>
      <c r="D5" s="56">
        <v>5.6599999999999998E-2</v>
      </c>
      <c r="E5" s="56">
        <f t="shared" si="2"/>
        <v>3.862004295629589E-2</v>
      </c>
      <c r="F5" s="56">
        <f t="shared" si="2"/>
        <v>3.8681273092882745E-2</v>
      </c>
      <c r="G5" s="56">
        <f t="shared" si="2"/>
        <v>3.8865741147578438E-2</v>
      </c>
      <c r="H5" s="57">
        <v>3.85E-2</v>
      </c>
      <c r="I5" s="74">
        <f t="shared" si="1"/>
        <v>3.9248618331255036E-2</v>
      </c>
      <c r="J5" s="75"/>
      <c r="K5" s="68">
        <f>H5-'Daily Data'!BJ153</f>
        <v>2.3800000000000002E-2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2.9100000000000001E-2</v>
      </c>
      <c r="C7" s="56">
        <f t="shared" ref="C7:G7" si="4">((1+$I7)^(C2/365)-1)*365/C2</f>
        <v>2.3710005297053076E-2</v>
      </c>
      <c r="D7" s="56">
        <v>2.29E-2</v>
      </c>
      <c r="E7" s="56">
        <f t="shared" si="4"/>
        <v>2.374545390438787E-2</v>
      </c>
      <c r="F7" s="56">
        <f t="shared" si="4"/>
        <v>2.3768610629076623E-2</v>
      </c>
      <c r="G7" s="56">
        <f t="shared" si="4"/>
        <v>2.3838261610736038E-2</v>
      </c>
      <c r="H7" s="57">
        <v>2.3699999999999999E-2</v>
      </c>
      <c r="I7" s="74">
        <f t="shared" si="1"/>
        <v>2.3982289026257098E-2</v>
      </c>
      <c r="J7" s="75"/>
      <c r="K7" s="68">
        <f>H7-1.06%</f>
        <v>1.3099999999999999E-2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Data'!H153</f>
        <v>2.2699999999999998E-2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2:J2 A3:A10 B1:J1">
    <cfRule type="expression" dxfId="11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0" priority="3">
      <formula>_xlfn.ISFORMULA(B3)</formula>
    </cfRule>
    <cfRule type="expression" priority="4">
      <formula>_xlfn.ISFORMULA(B3)</formula>
    </cfRule>
  </conditionalFormatting>
  <conditionalFormatting sqref="J3:J9 I3:I10 B10:F10">
    <cfRule type="expression" dxfId="9" priority="5">
      <formula>_xlfn.ISFORMULA(B3)</formula>
    </cfRule>
    <cfRule type="expression" priority="6">
      <formula>_xlfn.ISFORMULA(B3)</formula>
    </cfRule>
  </conditionalFormatting>
  <conditionalFormatting sqref="A1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95B6-62C3-4874-9214-1EC0BDA557BE}">
  <dimension ref="A1:K10"/>
  <sheetViews>
    <sheetView tabSelected="1" zoomScale="70" zoomScaleNormal="70" workbookViewId="0">
      <selection activeCell="I32" sqref="I3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3.4799999999999998E-2</v>
      </c>
      <c r="C3" s="55">
        <v>3.6900000000000002E-2</v>
      </c>
      <c r="D3" s="55">
        <v>3.5999999999999997E-2</v>
      </c>
      <c r="E3" s="55">
        <v>3.9899999999999998E-2</v>
      </c>
      <c r="F3" s="55">
        <v>4.48E-2</v>
      </c>
      <c r="G3" s="55">
        <v>4.9500000000000002E-2</v>
      </c>
      <c r="H3" s="53">
        <v>4.1099999999999998E-2</v>
      </c>
      <c r="I3" s="74">
        <f>(1+H3/365)^365-1</f>
        <v>4.1953885076647213E-2</v>
      </c>
      <c r="J3" s="75"/>
      <c r="K3" s="68">
        <f>H3-'Daily Data'!AR153</f>
        <v>2.4699999999999996E-2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Data'!Z153</f>
        <v>5.7000000000000002E-3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3.8326133666167612E-2</v>
      </c>
      <c r="D5" s="56">
        <v>5.5199999999999999E-2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7">
        <v>3.8300000000000001E-2</v>
      </c>
      <c r="I5" s="74">
        <f t="shared" si="1"/>
        <v>3.9040811251424667E-2</v>
      </c>
      <c r="J5" s="75"/>
      <c r="K5" s="68">
        <f>H5-'Daily Data'!BJ153</f>
        <v>2.3600000000000003E-2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2.9399999999999999E-2</v>
      </c>
      <c r="C7" s="56">
        <f t="shared" ref="C7:G7" si="4">((1+$I7)^(C2/365)-1)*365/C2</f>
        <v>2.3810089919127524E-2</v>
      </c>
      <c r="D7" s="56">
        <v>2.3099999999999999E-2</v>
      </c>
      <c r="E7" s="56">
        <f t="shared" si="4"/>
        <v>2.38458385338212E-2</v>
      </c>
      <c r="F7" s="56">
        <f t="shared" si="4"/>
        <v>2.386919139980459E-2</v>
      </c>
      <c r="G7" s="56">
        <f t="shared" si="4"/>
        <v>2.3939433107786758E-2</v>
      </c>
      <c r="H7" s="57">
        <v>2.3800000000000002E-2</v>
      </c>
      <c r="I7" s="74">
        <f t="shared" si="1"/>
        <v>2.4084685712115306E-2</v>
      </c>
      <c r="J7" s="75"/>
      <c r="K7" s="68">
        <f>H7-1.06%</f>
        <v>1.3200000000000002E-2</v>
      </c>
    </row>
    <row r="8" spans="1:11" ht="23.15" customHeight="1" x14ac:dyDescent="0.4">
      <c r="A8" s="51" t="s">
        <v>62</v>
      </c>
      <c r="B8" s="52">
        <f>((1+$I8)^(B2/365)-1)*365/B2</f>
        <v>3.7611621940462241E-2</v>
      </c>
      <c r="C8" s="52">
        <f t="shared" ref="C8:G8" si="5">((1+$I8)^(C2/365)-1)*365/C2</f>
        <v>3.762518692503198E-2</v>
      </c>
      <c r="D8" s="52">
        <f t="shared" si="5"/>
        <v>3.7656217104698797E-2</v>
      </c>
      <c r="E8" s="52">
        <f t="shared" si="5"/>
        <v>3.7714490694561884E-2</v>
      </c>
      <c r="F8" s="52">
        <f t="shared" si="5"/>
        <v>3.7772884523489474E-2</v>
      </c>
      <c r="G8" s="52">
        <f t="shared" si="5"/>
        <v>3.7948790239201682E-2</v>
      </c>
      <c r="H8" s="53">
        <v>3.7600000000000001E-2</v>
      </c>
      <c r="I8" s="74">
        <f t="shared" si="1"/>
        <v>3.8313812750667031E-2</v>
      </c>
      <c r="J8" s="75"/>
      <c r="K8" s="68">
        <f>H8-'Daily Data'!H153</f>
        <v>2.18E-2</v>
      </c>
    </row>
    <row r="9" spans="1:11" ht="23.15" customHeight="1" x14ac:dyDescent="0.5">
      <c r="A9" s="51" t="s">
        <v>61</v>
      </c>
      <c r="B9" s="56">
        <f>((1+$I9)^(B2/365)-1)*365/B2</f>
        <v>3.9312696716641442E-2</v>
      </c>
      <c r="C9" s="56">
        <f t="shared" ref="C9:G9" si="6">((1+$I9)^(C2/365)-1)*365/C2</f>
        <v>3.9327516465768438E-2</v>
      </c>
      <c r="D9" s="56">
        <f t="shared" si="6"/>
        <v>3.9361418155924789E-2</v>
      </c>
      <c r="E9" s="56">
        <f t="shared" si="6"/>
        <v>3.9425088891784137E-2</v>
      </c>
      <c r="F9" s="56">
        <f t="shared" si="6"/>
        <v>3.9488896952051947E-2</v>
      </c>
      <c r="G9" s="56">
        <f t="shared" si="6"/>
        <v>3.9681148415646884E-2</v>
      </c>
      <c r="H9" s="53">
        <v>3.9300000000000002E-2</v>
      </c>
      <c r="I9" s="74">
        <f t="shared" si="1"/>
        <v>4.0080261206093759E-2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2:J2 A3:A10 B1:J1">
    <cfRule type="expression" dxfId="4" priority="9">
      <formula>_xlfn.ISFORMULA(A1)</formula>
    </cfRule>
    <cfRule type="expression" priority="10">
      <formula>_xlfn.ISFORMULA(A1)</formula>
    </cfRule>
  </conditionalFormatting>
  <conditionalFormatting sqref="B3:H3 H4 B5:H9">
    <cfRule type="expression" dxfId="3" priority="5">
      <formula>_xlfn.ISFORMULA(B3)</formula>
    </cfRule>
    <cfRule type="expression" priority="6">
      <formula>_xlfn.ISFORMULA(B3)</formula>
    </cfRule>
  </conditionalFormatting>
  <conditionalFormatting sqref="J3:J9 I3:I10 B10:F10">
    <cfRule type="expression" dxfId="2" priority="7">
      <formula>_xlfn.ISFORMULA(B3)</formula>
    </cfRule>
    <cfRule type="expression" priority="8">
      <formula>_xlfn.ISFORMULA(B3)</formula>
    </cfRule>
  </conditionalFormatting>
  <conditionalFormatting sqref="A1">
    <cfRule type="expression" dxfId="1" priority="3">
      <formula>_xlfn.ISFORMULA(A1)</formula>
    </cfRule>
    <cfRule type="expression" priority="4">
      <formula>_xlfn.ISFORMULA(A1)</formula>
    </cfRule>
  </conditionalFormatting>
  <conditionalFormatting sqref="B4:G4">
    <cfRule type="expression" dxfId="0" priority="1">
      <formula>_xlfn.ISFORMULA(B4)</formula>
    </cfRule>
    <cfRule type="expression" priority="2">
      <formula>_xlfn.ISFORMULA(B4)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133</vt:i4>
      </vt:variant>
    </vt:vector>
  </HeadingPairs>
  <TitlesOfParts>
    <vt:vector size="133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  <vt:lpstr>11.07.2026</vt:lpstr>
      <vt:lpstr>12.07.2026</vt:lpstr>
      <vt:lpstr>13.07.2026</vt:lpstr>
      <vt:lpstr>14.07.2026</vt:lpstr>
      <vt:lpstr>15.07.2026</vt:lpstr>
      <vt:lpstr>16.07.2026</vt:lpstr>
      <vt:lpstr>17.07.2026</vt:lpstr>
      <vt:lpstr>18.07.2026</vt:lpstr>
      <vt:lpstr>19.07.2026</vt:lpstr>
      <vt:lpstr>20.07.2026</vt:lpstr>
      <vt:lpstr>21.07.2026</vt:lpstr>
      <vt:lpstr>22.07.2026</vt:lpstr>
      <vt:lpstr>23.07.2026</vt:lpstr>
      <vt:lpstr>24.07.2026</vt:lpstr>
      <vt:lpstr>25.07.2026</vt:lpstr>
      <vt:lpstr>26.07.2026</vt:lpstr>
      <vt:lpstr>27.07.2026</vt:lpstr>
      <vt:lpstr>28.07.2026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2026-07-28T07:31:53Z</dcterms:modified>
</cp:coreProperties>
</file>