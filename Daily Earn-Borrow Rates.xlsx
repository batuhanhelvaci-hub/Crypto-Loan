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8CBE467-2E16-4F66-971D-FE60EC70B9D7}" xr6:coauthVersionLast="47" xr6:coauthVersionMax="47" xr10:uidLastSave="{00000000-0000-0000-0000-000000000000}"/>
  <bookViews>
    <workbookView xWindow="-28920" yWindow="855" windowWidth="29040" windowHeight="17520" firstSheet="174" activeTab="183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  <sheet name="17.09.2026" sheetId="206" r:id="rId183"/>
    <sheet name="18.09.2026" sheetId="207" r:id="rId18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07" l="1"/>
  <c r="G9" i="207" s="1"/>
  <c r="E9" i="207"/>
  <c r="K8" i="207"/>
  <c r="I8" i="207"/>
  <c r="G8" i="207" s="1"/>
  <c r="K7" i="207"/>
  <c r="I7" i="207"/>
  <c r="G7" i="207"/>
  <c r="F7" i="207"/>
  <c r="E7" i="207"/>
  <c r="C7" i="207"/>
  <c r="K6" i="207"/>
  <c r="I6" i="207"/>
  <c r="G6" i="207" s="1"/>
  <c r="K5" i="207"/>
  <c r="I5" i="207"/>
  <c r="G5" i="207"/>
  <c r="F5" i="207"/>
  <c r="E5" i="207"/>
  <c r="C5" i="207"/>
  <c r="K4" i="207"/>
  <c r="I4" i="207"/>
  <c r="C4" i="207" s="1"/>
  <c r="G4" i="207"/>
  <c r="E4" i="207"/>
  <c r="D4" i="207"/>
  <c r="B4" i="207"/>
  <c r="K3" i="207"/>
  <c r="I3" i="207"/>
  <c r="G9" i="206"/>
  <c r="F9" i="206"/>
  <c r="E9" i="206"/>
  <c r="D9" i="206"/>
  <c r="C9" i="206"/>
  <c r="B9" i="206"/>
  <c r="G8" i="206"/>
  <c r="F8" i="206"/>
  <c r="E8" i="206"/>
  <c r="D8" i="206"/>
  <c r="C8" i="206"/>
  <c r="B8" i="206"/>
  <c r="G7" i="206"/>
  <c r="F7" i="206"/>
  <c r="E7" i="206"/>
  <c r="C7" i="206"/>
  <c r="G6" i="206"/>
  <c r="F6" i="206"/>
  <c r="E6" i="206"/>
  <c r="C6" i="206"/>
  <c r="G5" i="206"/>
  <c r="F5" i="206"/>
  <c r="E5" i="206"/>
  <c r="C5" i="206"/>
  <c r="G4" i="206"/>
  <c r="F4" i="206"/>
  <c r="E4" i="206"/>
  <c r="D4" i="206"/>
  <c r="C4" i="206"/>
  <c r="B4" i="206"/>
  <c r="I9" i="206"/>
  <c r="K8" i="206"/>
  <c r="I8" i="206"/>
  <c r="K7" i="206"/>
  <c r="I7" i="206"/>
  <c r="K6" i="206"/>
  <c r="I6" i="206"/>
  <c r="K5" i="206"/>
  <c r="I5" i="206"/>
  <c r="K4" i="206"/>
  <c r="I4" i="206"/>
  <c r="K3" i="206"/>
  <c r="I3" i="206"/>
  <c r="I9" i="205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F6" i="207" l="1"/>
  <c r="F4" i="207"/>
  <c r="F9" i="207"/>
  <c r="B9" i="207"/>
  <c r="C9" i="207"/>
  <c r="B8" i="207"/>
  <c r="C8" i="207"/>
  <c r="D8" i="207"/>
  <c r="E8" i="207"/>
  <c r="F8" i="207"/>
  <c r="C6" i="207"/>
  <c r="E6" i="207"/>
  <c r="D9" i="207"/>
  <c r="F6" i="205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DD888A0-1EC6-4D33-9E80-E0E2A40729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A322753-F429-4E0F-BC41-33E7A42B09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<sst xmlns="http://schemas.openxmlformats.org/spreadsheetml/2006/main" count="8246" uniqueCount="69">
  <si>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</si>
  <si>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</si>
  <si>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</si>
  <si>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</si>
  <si>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</si>
  <si>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</si>
  <si>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</si>
  <si>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</si>
  <si>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</si>
  <si>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</si>
  <si>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</si>
  <si>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</si>
  <si>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</si>
  <si>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</si>
  <si>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</si>
  <si>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</si>
  <si>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</si>
  <si>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</si>
  <si>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</si>
  <si>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</si>
  <si>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</si>
  <si>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</si>
  <si>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</si>
  <si>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</si>
  <si>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</si>
  <si>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</si>
  <si>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</si>
  <si>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</si>
  <si>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</si>
  <si>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</si>
  <si>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</si>
  <si>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</si>
  <si>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</si>
  <si>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</si>
  <si>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</si>
  <si>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</si>
  <si>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</si>
  <si>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</si>
  <si>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</si>
  <si>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</si>
  <si>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</si>
  <si>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</si>
  <si>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</si>
  <si>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</si>
  <si>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</si>
  <si>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</si>
  <si>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</si>
  <si>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</si>
  <si>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</si>
  <si>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</si>
  <si>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</si>
  <si>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</si>
  <si>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</si>
  <si>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</si>
  <si>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</si>
  <si>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</si>
  <si>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</si>
  <si>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</si>
  <si>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</si>
  <si>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</si>
  <si>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</si>
  <si>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</si>
  <si>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</si>
  <si>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</si>
  <si>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</si>
  <si>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</si>
  <si>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</si>
  <si>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</si>
  <si>
    <t>18.09.20268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</si>
</sst>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0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styles" Target="style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_rels/sheet1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0.xml"/><Relationship Id="rId1" Type="http://schemas.openxmlformats.org/officeDocument/2006/relationships/vmlDrawing" Target="../drawings/vmlDrawing180.vml"/></Relationships>
</file>

<file path=xl/worksheets/_rels/sheet1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1.xml"/><Relationship Id="rId1" Type="http://schemas.openxmlformats.org/officeDocument/2006/relationships/vmlDrawing" Target="../drawings/vmlDrawing18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4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40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40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9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9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9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9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9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9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9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9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9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9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8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8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38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38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38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38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38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38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38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3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3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2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1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1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5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5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5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5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4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2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2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2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17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0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0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2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01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0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9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8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97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9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9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9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9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88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8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83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8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7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6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175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7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7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6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6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6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5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5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4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4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43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1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4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38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6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35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3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3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2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2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9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9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9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9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zoomScale="80" zoomScaleNormal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644C-8F5D-4418-9670-2621C579483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4.1500000000000002E-2</v>
      </c>
      <c r="E3" s="54">
        <v>4.4900000000000002E-2</v>
      </c>
      <c r="F3" s="54">
        <v>4.7899999999999998E-2</v>
      </c>
      <c r="G3" s="54">
        <v>0.06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4.7940880812261187E-2</v>
      </c>
      <c r="D5" s="55">
        <v>6.0499999999999998E-2</v>
      </c>
      <c r="E5" s="55">
        <f t="shared" si="2"/>
        <v>4.808590998667276E-2</v>
      </c>
      <c r="F5" s="55">
        <f t="shared" si="2"/>
        <v>4.8180809336710879E-2</v>
      </c>
      <c r="G5" s="55">
        <f t="shared" si="2"/>
        <v>4.8467008151711975E-2</v>
      </c>
      <c r="H5" s="56">
        <v>4.7899999999999998E-2</v>
      </c>
      <c r="I5" s="73">
        <f t="shared" si="1"/>
        <v>4.9062446555858896E-2</v>
      </c>
      <c r="J5" s="74"/>
      <c r="K5" s="67">
        <f>H5-'Daily Data'!BJ153</f>
        <v>3.32E-2</v>
      </c>
    </row>
    <row r="6" spans="1:11" ht="23.15" customHeight="1" x14ac:dyDescent="0.5">
      <c r="A6" s="50" t="s">
        <v>55</v>
      </c>
      <c r="B6" s="51">
        <v>3.1800000000000002E-2</v>
      </c>
      <c r="C6" s="51">
        <f t="shared" ref="C6:G6" si="3">((1+$I6)^(C2/365)-1)*365/C2</f>
        <v>3.3720232087598924E-2</v>
      </c>
      <c r="D6" s="51">
        <v>3.5000000000000003E-2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C380-766C-4DD8-B763-A2F60667CE38}">
  <dimension ref="A1:K10"/>
  <sheetViews>
    <sheetView tabSelected="1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0.04</v>
      </c>
      <c r="D3" s="54">
        <v>4.1399999999999999E-2</v>
      </c>
      <c r="E3" s="54">
        <v>4.48E-2</v>
      </c>
      <c r="F3" s="54">
        <v>4.4999999999999998E-2</v>
      </c>
      <c r="G3" s="54">
        <v>0.06</v>
      </c>
      <c r="H3" s="52">
        <v>3.7199999999999997E-2</v>
      </c>
      <c r="I3" s="73">
        <f>(1+H3/365)^365-1</f>
        <v>3.7898612814819987E-2</v>
      </c>
      <c r="J3" s="74"/>
      <c r="K3" s="67">
        <f>H3-'Daily Data'!AR153</f>
        <v>2.0799999999999996E-2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4.9042780502923891E-2</v>
      </c>
      <c r="D5" s="55">
        <v>6.0499999999999998E-2</v>
      </c>
      <c r="E5" s="55">
        <f t="shared" si="2"/>
        <v>4.9194558042406578E-2</v>
      </c>
      <c r="F5" s="55">
        <f t="shared" si="2"/>
        <v>4.9293880751389449E-2</v>
      </c>
      <c r="G5" s="55">
        <f t="shared" si="2"/>
        <v>4.9593455821469214E-2</v>
      </c>
      <c r="H5" s="56">
        <v>4.9000000000000002E-2</v>
      </c>
      <c r="I5" s="73">
        <f t="shared" si="1"/>
        <v>5.0216896836915881E-2</v>
      </c>
      <c r="J5" s="74"/>
      <c r="K5" s="67">
        <f>H5-'Daily Data'!BJ153</f>
        <v>3.4300000000000004E-2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2.8814775512232469E-2</v>
      </c>
      <c r="D7" s="55">
        <v>2.81E-2</v>
      </c>
      <c r="E7" s="55">
        <f t="shared" si="4"/>
        <v>2.8867139310035983E-2</v>
      </c>
      <c r="F7" s="55">
        <f t="shared" si="4"/>
        <v>2.8901357961484207E-2</v>
      </c>
      <c r="G7" s="55">
        <f t="shared" si="4"/>
        <v>2.9004338734472852E-2</v>
      </c>
      <c r="H7" s="56">
        <v>2.8799999999999999E-2</v>
      </c>
      <c r="I7" s="73">
        <f t="shared" si="1"/>
        <v>2.9217560787452745E-2</v>
      </c>
      <c r="J7" s="74"/>
      <c r="K7" s="67">
        <f>H7-1.06%</f>
        <v>1.8200000000000001E-2</v>
      </c>
    </row>
    <row r="8" spans="1:11" ht="23.15" customHeight="1" x14ac:dyDescent="0.4">
      <c r="A8" s="50" t="s">
        <v>57</v>
      </c>
      <c r="B8" s="51">
        <f>((1+$I8)^(B2/365)-1)*365/B2</f>
        <v>4.8319178667796274E-2</v>
      </c>
      <c r="C8" s="51">
        <f t="shared" ref="C8:G8" si="5">((1+$I8)^(C2/365)-1)*365/C2</f>
        <v>4.834156661462926E-2</v>
      </c>
      <c r="D8" s="51">
        <f t="shared" si="5"/>
        <v>4.8392791016124481E-2</v>
      </c>
      <c r="E8" s="51">
        <f t="shared" si="5"/>
        <v>4.8489031929371658E-2</v>
      </c>
      <c r="F8" s="51">
        <f t="shared" si="5"/>
        <v>4.8585528040776788E-2</v>
      </c>
      <c r="G8" s="51">
        <f t="shared" si="5"/>
        <v>4.8876555188927598E-2</v>
      </c>
      <c r="H8" s="52">
        <v>4.8300000000000003E-2</v>
      </c>
      <c r="I8" s="73">
        <f t="shared" si="1"/>
        <v>4.9482100157312026E-2</v>
      </c>
      <c r="J8" s="74"/>
      <c r="K8" s="67">
        <f>H8-'Daily Data'!H153</f>
        <v>3.2500000000000001E-2</v>
      </c>
    </row>
    <row r="9" spans="1:11" ht="23.15" customHeight="1" x14ac:dyDescent="0.5">
      <c r="A9" s="50" t="s">
        <v>56</v>
      </c>
      <c r="B9" s="55">
        <f>((1+$I9)^(B2/365)-1)*365/B2</f>
        <v>4.9620225073435824E-2</v>
      </c>
      <c r="C9" s="55">
        <f t="shared" ref="C9:G9" si="6">((1+$I9)^(C2/365)-1)*365/C2</f>
        <v>4.9643834891457801E-2</v>
      </c>
      <c r="D9" s="55">
        <f t="shared" si="6"/>
        <v>4.9697856452395404E-2</v>
      </c>
      <c r="E9" s="55">
        <f t="shared" si="6"/>
        <v>4.979935824428551E-2</v>
      </c>
      <c r="F9" s="55">
        <f t="shared" si="6"/>
        <v>4.9901136442830521E-2</v>
      </c>
      <c r="G9" s="55">
        <f t="shared" si="6"/>
        <v>5.0208137960153429E-2</v>
      </c>
      <c r="H9" s="52">
        <v>4.9599999999999998E-2</v>
      </c>
      <c r="I9" s="73">
        <f t="shared" si="1"/>
        <v>5.084713090162829E-2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184</vt:i4>
      </vt:variant>
    </vt:vector>
  </HeadingPairs>
  <TitlesOfParts>
    <vt:vector size="184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2026-09-18T08:05:55Z</dcterms:modified>
</cp:coreProperties>
</file>