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66099A67-9BB3-41EC-890F-822DAB3EBB0B}" xr6:coauthVersionLast="47" xr6:coauthVersionMax="47" xr10:uidLastSave="{00000000-0000-0000-0000-000000000000}"/>
  <bookViews>
    <workbookView xWindow="-28920" yWindow="855" windowWidth="29040" windowHeight="17520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  <sheet name="25.08.2026" sheetId="183" r:id="rId16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83" l="1"/>
  <c r="B9" i="183"/>
  <c r="C8" i="183"/>
  <c r="B8" i="183"/>
  <c r="G6" i="183"/>
  <c r="F6" i="183"/>
  <c r="E6" i="183"/>
  <c r="C6" i="183"/>
  <c r="G5" i="183"/>
  <c r="F5" i="183"/>
  <c r="E5" i="183"/>
  <c r="C5" i="183"/>
  <c r="G4" i="183"/>
  <c r="F4" i="183"/>
  <c r="E4" i="183"/>
  <c r="D4" i="183"/>
  <c r="C4" i="183"/>
  <c r="B4" i="183"/>
  <c r="BS186" i="10"/>
  <c r="AI186" i="10"/>
  <c r="Q186" i="10"/>
  <c r="I9" i="183"/>
  <c r="G9" i="183" s="1"/>
  <c r="K8" i="183"/>
  <c r="I8" i="183"/>
  <c r="G8" i="183" s="1"/>
  <c r="K7" i="183"/>
  <c r="I7" i="183"/>
  <c r="G7" i="183" s="1"/>
  <c r="K6" i="183"/>
  <c r="I6" i="183"/>
  <c r="K5" i="183"/>
  <c r="I5" i="183"/>
  <c r="K4" i="183"/>
  <c r="I4" i="183"/>
  <c r="K3" i="183"/>
  <c r="I3" i="183"/>
  <c r="I9" i="182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D9" i="183" l="1"/>
  <c r="E9" i="183"/>
  <c r="F9" i="183"/>
  <c r="F8" i="183"/>
  <c r="D8" i="183"/>
  <c r="E8" i="183"/>
  <c r="C7" i="183"/>
  <c r="E7" i="183"/>
  <c r="F7" i="183"/>
  <c r="C8" i="182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4C8D5A4-7C27-4A82-92E9-8BBD87160B2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<sst xmlns="http://schemas.openxmlformats.org/spreadsheetml/2006/main" count="7437" uniqueCount="68">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</sst>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28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12935</xdr:colOff>
      <xdr:row>196</xdr:row>
      <xdr:rowOff>148695</xdr:rowOff>
    </xdr:from>
    <xdr:to>
      <xdr:col>33</xdr:col>
      <xdr:colOff>359921</xdr:colOff>
      <xdr:row>230</xdr:row>
      <xdr:rowOff>158828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9285" y="36242095"/>
          <a:ext cx="6487436" cy="62775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abSelected="1" topLeftCell="A226" zoomScale="115" zoomScaleNormal="115" workbookViewId="0">
      <selection activeCell="G238" sqref="G238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>
        <v>77735</v>
      </c>
    </row>
    <row r="238" spans="1:7" x14ac:dyDescent="0.35">
      <c r="A238" s="80">
        <v>46259</v>
      </c>
      <c r="B238" s="81">
        <v>5.4399999999999997E-2</v>
      </c>
      <c r="C238" s="22">
        <v>2.9600000000000001E-2</v>
      </c>
      <c r="D238" s="22">
        <v>5.1400000000000001E-2</v>
      </c>
      <c r="E238" s="22">
        <v>4.1799999999999997E-2</v>
      </c>
      <c r="F238" s="22">
        <v>5.8099999999999999E-2</v>
      </c>
      <c r="G238" s="88"/>
    </row>
    <row r="239" spans="1:7" x14ac:dyDescent="0.35">
      <c r="A239" s="80">
        <v>46260</v>
      </c>
      <c r="B239" s="81"/>
      <c r="C239" s="22"/>
      <c r="D239" s="22"/>
      <c r="E239" s="22"/>
      <c r="F239" s="22"/>
      <c r="G239" s="88"/>
    </row>
    <row r="240" spans="1:7" x14ac:dyDescent="0.35">
      <c r="A240" s="80">
        <v>46261</v>
      </c>
      <c r="B240" s="81"/>
      <c r="C240" s="22"/>
      <c r="D240" s="22"/>
      <c r="E240" s="22"/>
      <c r="F240" s="22"/>
      <c r="G240" s="88"/>
    </row>
    <row r="241" spans="1:7" x14ac:dyDescent="0.35">
      <c r="A241" s="80">
        <v>46262</v>
      </c>
      <c r="B241" s="81"/>
      <c r="C241" s="22"/>
      <c r="D241" s="22"/>
      <c r="E241" s="22"/>
      <c r="F241" s="22"/>
      <c r="G241" s="88"/>
    </row>
    <row r="242" spans="1:7" x14ac:dyDescent="0.35">
      <c r="A242" s="80">
        <v>46263</v>
      </c>
      <c r="B242" s="81"/>
      <c r="C242" s="22"/>
      <c r="D242" s="22"/>
      <c r="E242" s="22"/>
      <c r="F242" s="22"/>
      <c r="G242" s="88"/>
    </row>
    <row r="243" spans="1:7" x14ac:dyDescent="0.35">
      <c r="A243" s="80">
        <v>46264</v>
      </c>
      <c r="B243" s="81"/>
      <c r="C243" s="22"/>
      <c r="D243" s="22"/>
      <c r="E243" s="22"/>
      <c r="F243" s="22"/>
      <c r="G243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61" zoomScaleNormal="100" workbookViewId="0">
      <selection activeCell="AT186" sqref="AT186:AZ186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86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86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186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>
        <v>3.2300000000000002E-2</v>
      </c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>
        <v>5.5300000000000002E-2</v>
      </c>
      <c r="Q186" s="84">
        <f t="shared" si="21"/>
        <v>2.3E-2</v>
      </c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>
        <v>3.5000000000000003E-2</v>
      </c>
      <c r="Y186" s="3" t="s">
        <v>33</v>
      </c>
      <c r="Z186" s="6">
        <v>2.76E-2</v>
      </c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>
        <v>0.03</v>
      </c>
      <c r="AI186" s="12">
        <f t="shared" si="13"/>
        <v>2.3999999999999994E-3</v>
      </c>
      <c r="AK186" s="4">
        <v>46259</v>
      </c>
      <c r="AL186" s="6">
        <v>0.02</v>
      </c>
      <c r="AM186" s="3"/>
      <c r="AN186" s="3"/>
      <c r="AO186" s="3"/>
      <c r="AP186" s="3" t="s">
        <v>33</v>
      </c>
      <c r="AQ186" s="3" t="s">
        <v>33</v>
      </c>
      <c r="AR186" s="6">
        <v>2.1100000000000001E-2</v>
      </c>
      <c r="AS186" s="2">
        <v>46259</v>
      </c>
      <c r="AT186" s="13">
        <v>4.99E-2</v>
      </c>
      <c r="AU186" s="13">
        <v>4.48E-2</v>
      </c>
      <c r="AV186" s="13">
        <v>5.7700000000000001E-2</v>
      </c>
      <c r="AW186" s="13">
        <v>4.9700000000000001E-2</v>
      </c>
      <c r="AX186" s="13">
        <v>4.99E-2</v>
      </c>
      <c r="AY186" s="13">
        <v>5.3900000000000003E-2</v>
      </c>
      <c r="AZ186" s="13">
        <v>5.0900000000000001E-2</v>
      </c>
      <c r="BA186" s="12">
        <v>2.5999999999999999E-2</v>
      </c>
      <c r="BC186" s="4">
        <v>46259</v>
      </c>
      <c r="BD186" s="6" t="s">
        <v>33</v>
      </c>
      <c r="BE186" s="6">
        <v>2.8000000000000001E-2</v>
      </c>
      <c r="BF186" s="6">
        <v>3.2000000000000001E-2</v>
      </c>
      <c r="BG186" s="3"/>
      <c r="BH186" s="3"/>
      <c r="BI186" s="3"/>
      <c r="BJ186" s="6">
        <v>2.81E-2</v>
      </c>
      <c r="BK186" s="2">
        <v>46259</v>
      </c>
      <c r="BL186" s="57">
        <v>5.5E-2</v>
      </c>
      <c r="BM186" s="1"/>
      <c r="BN186" s="57">
        <v>6.0499999999999998E-2</v>
      </c>
      <c r="BO186" s="1"/>
      <c r="BP186" s="1"/>
      <c r="BQ186" s="1"/>
      <c r="BR186" s="57">
        <v>0.05</v>
      </c>
      <c r="BS186" s="12">
        <f t="shared" si="24"/>
        <v>2.1900000000000003E-2</v>
      </c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/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/>
      <c r="Q187" s="84"/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/>
      <c r="Y187" s="3" t="s">
        <v>33</v>
      </c>
      <c r="Z187" s="6"/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/>
      <c r="AI187" s="12"/>
      <c r="AK187" s="4">
        <v>46260</v>
      </c>
      <c r="AL187" s="6"/>
      <c r="AM187" s="3"/>
      <c r="AN187" s="3"/>
      <c r="AO187" s="3"/>
      <c r="AP187" s="3" t="s">
        <v>33</v>
      </c>
      <c r="AQ187" s="3" t="s">
        <v>33</v>
      </c>
      <c r="AR187" s="6"/>
      <c r="AS187" s="2">
        <v>46260</v>
      </c>
      <c r="AT187" s="13"/>
      <c r="AU187" s="13"/>
      <c r="AV187" s="13"/>
      <c r="AW187" s="13"/>
      <c r="AX187" s="13"/>
      <c r="AY187" s="13"/>
      <c r="AZ187" s="13"/>
      <c r="BA187" s="12"/>
      <c r="BC187" s="4">
        <v>46260</v>
      </c>
      <c r="BD187" s="6" t="s">
        <v>33</v>
      </c>
      <c r="BE187" s="6"/>
      <c r="BF187" s="6"/>
      <c r="BG187" s="3"/>
      <c r="BH187" s="3"/>
      <c r="BI187" s="3"/>
      <c r="BJ187" s="6"/>
      <c r="BK187" s="2">
        <v>46260</v>
      </c>
      <c r="BL187" s="57"/>
      <c r="BM187" s="1"/>
      <c r="BN187" s="57"/>
      <c r="BO187" s="1"/>
      <c r="BP187" s="1"/>
      <c r="BQ187" s="1"/>
      <c r="BR187" s="57"/>
      <c r="BS187" s="12"/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/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/>
      <c r="Q188" s="84"/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/>
      <c r="Y188" s="3" t="s">
        <v>33</v>
      </c>
      <c r="Z188" s="6"/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/>
      <c r="AI188" s="12"/>
      <c r="AK188" s="4">
        <v>46261</v>
      </c>
      <c r="AL188" s="6"/>
      <c r="AM188" s="3"/>
      <c r="AN188" s="3"/>
      <c r="AO188" s="3"/>
      <c r="AP188" s="3" t="s">
        <v>33</v>
      </c>
      <c r="AQ188" s="3" t="s">
        <v>33</v>
      </c>
      <c r="AR188" s="6"/>
      <c r="AS188" s="2">
        <v>46261</v>
      </c>
      <c r="AT188" s="13"/>
      <c r="AU188" s="13"/>
      <c r="AV188" s="13"/>
      <c r="AW188" s="13"/>
      <c r="AX188" s="13"/>
      <c r="AY188" s="13"/>
      <c r="AZ188" s="13"/>
      <c r="BA188" s="12"/>
      <c r="BC188" s="4">
        <v>46261</v>
      </c>
      <c r="BD188" s="6" t="s">
        <v>33</v>
      </c>
      <c r="BE188" s="6"/>
      <c r="BF188" s="6"/>
      <c r="BG188" s="3"/>
      <c r="BH188" s="3"/>
      <c r="BI188" s="3"/>
      <c r="BJ188" s="6"/>
      <c r="BK188" s="2">
        <v>46261</v>
      </c>
      <c r="BL188" s="57"/>
      <c r="BM188" s="1"/>
      <c r="BN188" s="57"/>
      <c r="BO188" s="1"/>
      <c r="BP188" s="1"/>
      <c r="BQ188" s="1"/>
      <c r="BR188" s="57"/>
      <c r="BS188" s="12"/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/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/>
      <c r="Q189" s="84"/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/>
      <c r="Y189" s="3" t="s">
        <v>33</v>
      </c>
      <c r="Z189" s="6"/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/>
      <c r="AI189" s="12"/>
      <c r="AK189" s="4">
        <v>46262</v>
      </c>
      <c r="AL189" s="6"/>
      <c r="AM189" s="3"/>
      <c r="AN189" s="3"/>
      <c r="AO189" s="3"/>
      <c r="AP189" s="3" t="s">
        <v>33</v>
      </c>
      <c r="AQ189" s="3" t="s">
        <v>33</v>
      </c>
      <c r="AR189" s="6"/>
      <c r="AS189" s="2">
        <v>46262</v>
      </c>
      <c r="AT189" s="13"/>
      <c r="AU189" s="13"/>
      <c r="AV189" s="13"/>
      <c r="AW189" s="13"/>
      <c r="AX189" s="13"/>
      <c r="AY189" s="13"/>
      <c r="AZ189" s="13"/>
      <c r="BA189" s="12"/>
      <c r="BC189" s="4">
        <v>46262</v>
      </c>
      <c r="BD189" s="6" t="s">
        <v>33</v>
      </c>
      <c r="BE189" s="6"/>
      <c r="BF189" s="6"/>
      <c r="BG189" s="3"/>
      <c r="BH189" s="3"/>
      <c r="BI189" s="3"/>
      <c r="BJ189" s="6"/>
      <c r="BK189" s="2">
        <v>46262</v>
      </c>
      <c r="BL189" s="57"/>
      <c r="BM189" s="1"/>
      <c r="BN189" s="57"/>
      <c r="BO189" s="1"/>
      <c r="BP189" s="1"/>
      <c r="BQ189" s="1"/>
      <c r="BR189" s="57"/>
      <c r="BS189" s="12"/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/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/>
      <c r="Q190" s="84"/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/>
      <c r="Y190" s="3" t="s">
        <v>33</v>
      </c>
      <c r="Z190" s="6"/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/>
      <c r="AI190" s="12"/>
      <c r="AK190" s="4">
        <v>46263</v>
      </c>
      <c r="AL190" s="6"/>
      <c r="AM190" s="3"/>
      <c r="AN190" s="3"/>
      <c r="AO190" s="3"/>
      <c r="AP190" s="3" t="s">
        <v>33</v>
      </c>
      <c r="AQ190" s="3" t="s">
        <v>33</v>
      </c>
      <c r="AR190" s="6"/>
      <c r="AS190" s="2">
        <v>46263</v>
      </c>
      <c r="AT190" s="13"/>
      <c r="AU190" s="13"/>
      <c r="AV190" s="13"/>
      <c r="AW190" s="13"/>
      <c r="AX190" s="13"/>
      <c r="AY190" s="13"/>
      <c r="AZ190" s="13"/>
      <c r="BA190" s="12"/>
      <c r="BC190" s="4">
        <v>46263</v>
      </c>
      <c r="BD190" s="6" t="s">
        <v>33</v>
      </c>
      <c r="BE190" s="6"/>
      <c r="BF190" s="6"/>
      <c r="BG190" s="3"/>
      <c r="BH190" s="3"/>
      <c r="BI190" s="3"/>
      <c r="BJ190" s="6"/>
      <c r="BK190" s="2">
        <v>46263</v>
      </c>
      <c r="BL190" s="57"/>
      <c r="BM190" s="1"/>
      <c r="BN190" s="57"/>
      <c r="BO190" s="1"/>
      <c r="BP190" s="1"/>
      <c r="BQ190" s="1"/>
      <c r="BR190" s="57"/>
      <c r="BS190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2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282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281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280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279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278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277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276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275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274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273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272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271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270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269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268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267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266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265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264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263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262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2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2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2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2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2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2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2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2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2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2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2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2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2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2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2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2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2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2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2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2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2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2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01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0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99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9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4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6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4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0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8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5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34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33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32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0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12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8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7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26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2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4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3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22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2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18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1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6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14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1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2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1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10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0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08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7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06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0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04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3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02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0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0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9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9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9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6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5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94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9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2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0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8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8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7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6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8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4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3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82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8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0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9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78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7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76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5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74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7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2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71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0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69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6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7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66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5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64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6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2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61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0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59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5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7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56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5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54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5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2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51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0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49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4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7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46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5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44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4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2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41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0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39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3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7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36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2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0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9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2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7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26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5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24" priority="19">
      <formula>_xlfn.ISFORMULA(A1)</formula>
    </cfRule>
    <cfRule type="expression" priority="20">
      <formula>_xlfn.ISFORMULA(A1)</formula>
    </cfRule>
  </conditionalFormatting>
  <conditionalFormatting sqref="B3:H9">
    <cfRule type="expression" dxfId="2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2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21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19" priority="23">
      <formula>_xlfn.ISFORMULA(A1)</formula>
    </cfRule>
    <cfRule type="expression" priority="24">
      <formula>_xlfn.ISFORMULA(A1)</formula>
    </cfRule>
  </conditionalFormatting>
  <conditionalFormatting sqref="B3:H9">
    <cfRule type="expression" dxfId="1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7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16" priority="21">
      <formula>_xlfn.ISFORMULA(B3)</formula>
    </cfRule>
    <cfRule type="expression" priority="22">
      <formula>_xlfn.ISFORMULA(B3)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14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1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zoomScale="60" zoomScaleNormal="60" workbookViewId="0">
      <selection activeCell="B4" sqref="B4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9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6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962A-71F2-40DE-9171-05162260BBE7}">
  <dimension ref="A1:K10"/>
  <sheetViews>
    <sheetView zoomScale="90" zoomScaleNormal="90" zoomScaleSheetLayoutView="80" workbookViewId="0">
      <selection activeCell="I38" sqref="I3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4.99E-2</v>
      </c>
      <c r="C3" s="54">
        <v>4.48E-2</v>
      </c>
      <c r="D3" s="54">
        <v>5.7700000000000001E-2</v>
      </c>
      <c r="E3" s="54">
        <v>4.9700000000000001E-2</v>
      </c>
      <c r="F3" s="54">
        <v>4.99E-2</v>
      </c>
      <c r="G3" s="54">
        <v>5.3900000000000003E-2</v>
      </c>
      <c r="H3" s="52">
        <v>5.0900000000000001E-2</v>
      </c>
      <c r="I3" s="73">
        <f>(1+H3/365)^365-1</f>
        <v>5.2213932230986249E-2</v>
      </c>
      <c r="J3" s="74"/>
      <c r="K3" s="67">
        <f>H3-'Daily Data'!AR153</f>
        <v>3.4500000000000003E-2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5.5325141334093671E-2</v>
      </c>
      <c r="C8" s="51">
        <f t="shared" ref="C8:G8" si="5">((1+$I8)^(C2/365)-1)*365/C2</f>
        <v>5.5354492154433714E-2</v>
      </c>
      <c r="D8" s="51">
        <f t="shared" si="5"/>
        <v>5.542165773154839E-2</v>
      </c>
      <c r="E8" s="51">
        <f t="shared" si="5"/>
        <v>5.5547886230688258E-2</v>
      </c>
      <c r="F8" s="51">
        <f t="shared" si="5"/>
        <v>5.5674498060932227E-2</v>
      </c>
      <c r="G8" s="51">
        <f t="shared" si="5"/>
        <v>5.6056646658316459E-2</v>
      </c>
      <c r="H8" s="52">
        <v>5.5300000000000002E-2</v>
      </c>
      <c r="I8" s="73">
        <f t="shared" si="1"/>
        <v>5.6853197515025489E-2</v>
      </c>
      <c r="J8" s="74"/>
      <c r="K8" s="67">
        <f>H8-'Daily Data'!H153</f>
        <v>3.95E-2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4" priority="9">
      <formula>_xlfn.ISFORMULA(A1)</formula>
    </cfRule>
    <cfRule type="expression" priority="10">
      <formula>_xlfn.ISFORMULA(A1)</formula>
    </cfRule>
  </conditionalFormatting>
  <conditionalFormatting sqref="B3:H3 H4:H9">
    <cfRule type="expression" dxfId="3" priority="3">
      <formula>_xlfn.ISFORMULA(B3)</formula>
    </cfRule>
    <cfRule type="expression" priority="4">
      <formula>_xlfn.ISFORMULA(B3)</formula>
    </cfRule>
  </conditionalFormatting>
  <conditionalFormatting sqref="I3:I10">
    <cfRule type="expression" dxfId="2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" priority="7">
      <formula>_xlfn.ISFORMULA(B3)</formula>
    </cfRule>
    <cfRule type="expression" priority="8">
      <formula>_xlfn.ISFORMULA(B3)</formula>
    </cfRule>
  </conditionalFormatting>
  <conditionalFormatting sqref="B4:G9">
    <cfRule type="expression" dxfId="0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160</vt:i4>
      </vt:variant>
    </vt:vector>
  </HeadingPairs>
  <TitlesOfParts>
    <vt:vector size="160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  <vt:lpstr>25.08.2026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2026-08-25T07:30:22Z</dcterms:modified>
</cp:coreProperties>
</file>