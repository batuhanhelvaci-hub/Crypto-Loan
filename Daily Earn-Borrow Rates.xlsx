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383F747A-066B-4C2F-B7AC-DCB167A3C47E}" xr6:coauthVersionLast="47" xr6:coauthVersionMax="47" xr10:uidLastSave="{00000000-0000-0000-0000-000000000000}"/>
  <bookViews>
    <workbookView xWindow="-28920" yWindow="855" windowWidth="29040" windowHeight="17520" firstSheet="118" activeTab="127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  <sheet name="22.07.2026" sheetId="149" r:id="rId127"/>
    <sheet name="23.07.2026" sheetId="150" r:id="rId1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50" l="1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AI152" i="10" l="1"/>
  <c r="BA153" i="10" l="1"/>
  <c r="BA154" i="10"/>
  <c r="BA155" i="10"/>
  <c r="BA156" i="10"/>
  <c r="BA157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<sst xmlns="http://schemas.openxmlformats.org/spreadsheetml/2006/main" count="6195" uniqueCount="73">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</sst>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4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350396</xdr:colOff>
      <xdr:row>199</xdr:row>
      <xdr:rowOff>9603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86" zoomScale="115" zoomScaleNormal="115" workbookViewId="0">
      <selection activeCell="G205" sqref="G205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>
        <v>65256</v>
      </c>
    </row>
    <row r="204" spans="1:7" x14ac:dyDescent="0.35">
      <c r="A204" s="81">
        <v>46225</v>
      </c>
      <c r="B204" s="82">
        <v>3.7600000000000001E-2</v>
      </c>
      <c r="C204" s="23">
        <v>2.47E-2</v>
      </c>
      <c r="D204" s="23">
        <v>4.1300000000000003E-2</v>
      </c>
      <c r="E204" s="23">
        <v>3.78E-2</v>
      </c>
      <c r="F204" s="23">
        <v>4.4999999999999998E-2</v>
      </c>
      <c r="G204" s="89">
        <v>66556</v>
      </c>
    </row>
    <row r="205" spans="1:7" x14ac:dyDescent="0.35">
      <c r="A205" s="81">
        <v>46226</v>
      </c>
      <c r="B205" s="82">
        <v>3.8100000000000002E-2</v>
      </c>
      <c r="C205" s="23">
        <v>2.47E-2</v>
      </c>
      <c r="D205" s="23">
        <v>4.19E-2</v>
      </c>
      <c r="E205" s="23">
        <v>3.78E-2</v>
      </c>
      <c r="F205" s="23">
        <v>4.48E-2</v>
      </c>
      <c r="G205" s="89"/>
    </row>
    <row r="206" spans="1:7" x14ac:dyDescent="0.35">
      <c r="A206" s="81">
        <v>46227</v>
      </c>
      <c r="B206" s="82"/>
      <c r="C206" s="23"/>
      <c r="D206" s="23"/>
      <c r="E206" s="23"/>
      <c r="F206" s="23"/>
      <c r="G206" s="89"/>
    </row>
    <row r="207" spans="1:7" x14ac:dyDescent="0.35">
      <c r="A207" s="81">
        <v>46228</v>
      </c>
      <c r="B207" s="82"/>
      <c r="C207" s="23"/>
      <c r="D207" s="23"/>
      <c r="E207" s="23"/>
      <c r="F207" s="23"/>
      <c r="G207" s="89"/>
    </row>
    <row r="208" spans="1:7" x14ac:dyDescent="0.35">
      <c r="A208" s="81">
        <v>46229</v>
      </c>
      <c r="B208" s="82"/>
      <c r="C208" s="23"/>
      <c r="D208" s="23"/>
      <c r="E208" s="23"/>
      <c r="F208" s="23"/>
      <c r="G208" s="89"/>
    </row>
    <row r="209" spans="1:7" x14ac:dyDescent="0.35">
      <c r="A209" s="81">
        <v>46230</v>
      </c>
      <c r="B209" s="82"/>
      <c r="C209" s="23"/>
      <c r="D209" s="23"/>
      <c r="E209" s="23"/>
      <c r="F209" s="23"/>
      <c r="G209" s="89"/>
    </row>
    <row r="210" spans="1:7" x14ac:dyDescent="0.35">
      <c r="A210" s="81">
        <v>46231</v>
      </c>
      <c r="B210" s="82"/>
      <c r="C210" s="23"/>
      <c r="D210" s="23"/>
      <c r="E210" s="23"/>
      <c r="F210" s="23"/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6" zoomScaleNormal="100" workbookViewId="0">
      <selection activeCell="AT153" sqref="AT153:AZ15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3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>
        <v>3.7400000000000003E-2</v>
      </c>
      <c r="Q152" s="85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>
        <v>2.5000000000000001E-2</v>
      </c>
      <c r="AI152" s="13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4">
        <v>3.5000000000000003E-2</v>
      </c>
      <c r="AU152" s="14">
        <v>3.5000000000000003E-2</v>
      </c>
      <c r="AV152" s="14">
        <v>3.5900000000000001E-2</v>
      </c>
      <c r="AW152" s="14">
        <v>3.9899999999999998E-2</v>
      </c>
      <c r="AX152" s="14">
        <v>4.19E-2</v>
      </c>
      <c r="AY152" s="14">
        <v>5.0999999999999997E-2</v>
      </c>
      <c r="AZ152" s="14">
        <v>4.1300000000000003E-2</v>
      </c>
      <c r="BA152" s="13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8">
        <v>4.65E-2</v>
      </c>
      <c r="BM152" s="1"/>
      <c r="BN152" s="58">
        <v>5.5800000000000002E-2</v>
      </c>
      <c r="BO152" s="1"/>
      <c r="BP152" s="1"/>
      <c r="BQ152" s="1"/>
      <c r="BR152" s="58">
        <v>3.9E-2</v>
      </c>
      <c r="BS152" s="13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8">
        <v>3.8699999999999998E-2</v>
      </c>
      <c r="Q153" s="85">
        <f t="shared" ref="Q153:Q157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8">
        <v>2.5000000000000001E-2</v>
      </c>
      <c r="AI153" s="13">
        <f t="shared" si="13"/>
        <v>5.7000000000000002E-3</v>
      </c>
      <c r="AK153" s="4">
        <v>46225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46225</v>
      </c>
      <c r="AT153" s="14">
        <v>3.49E-2</v>
      </c>
      <c r="AU153" s="14">
        <v>3.5000000000000003E-2</v>
      </c>
      <c r="AV153" s="14">
        <v>3.49E-2</v>
      </c>
      <c r="AW153" s="14">
        <v>3.9899999999999998E-2</v>
      </c>
      <c r="AX153" s="14">
        <v>0.04</v>
      </c>
      <c r="AY153" s="14">
        <v>5.0799999999999998E-2</v>
      </c>
      <c r="AZ153" s="14">
        <v>4.1799999999999997E-2</v>
      </c>
      <c r="BA153" s="13">
        <f t="shared" ref="BA153:BA157" si="22">AZ153-AR153</f>
        <v>2.5399999999999995E-2</v>
      </c>
      <c r="BC153" s="4">
        <v>46225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46225</v>
      </c>
      <c r="BL153" s="58">
        <v>4.7300000000000002E-2</v>
      </c>
      <c r="BM153" s="1"/>
      <c r="BN153" s="58">
        <v>5.67E-2</v>
      </c>
      <c r="BO153" s="1"/>
      <c r="BP153" s="1"/>
      <c r="BQ153" s="1"/>
      <c r="BR153" s="58">
        <v>3.9600000000000003E-2</v>
      </c>
      <c r="BS153" s="13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/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8"/>
      <c r="Q154" s="85">
        <f t="shared" si="21"/>
        <v>0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/>
      <c r="Y154" s="3" t="s">
        <v>33</v>
      </c>
      <c r="Z154" s="6"/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8"/>
      <c r="AI154" s="13">
        <f t="shared" si="13"/>
        <v>0</v>
      </c>
      <c r="AK154" s="4">
        <v>46225</v>
      </c>
      <c r="AL154" s="6"/>
      <c r="AM154" s="3"/>
      <c r="AN154" s="3"/>
      <c r="AO154" s="3"/>
      <c r="AP154" s="3"/>
      <c r="AQ154" s="3"/>
      <c r="AR154" s="6"/>
      <c r="AS154" s="2">
        <v>46225</v>
      </c>
      <c r="AT154" s="14"/>
      <c r="AU154" s="14"/>
      <c r="AV154" s="14"/>
      <c r="AW154" s="14"/>
      <c r="AX154" s="14"/>
      <c r="AY154" s="14"/>
      <c r="AZ154" s="14"/>
      <c r="BA154" s="13">
        <f t="shared" si="22"/>
        <v>0</v>
      </c>
      <c r="BC154" s="4">
        <v>46225</v>
      </c>
      <c r="BD154" s="6"/>
      <c r="BE154" s="6"/>
      <c r="BF154" s="6"/>
      <c r="BG154" s="3"/>
      <c r="BH154" s="3"/>
      <c r="BI154" s="3"/>
      <c r="BJ154" s="6"/>
      <c r="BK154" s="2">
        <v>46225</v>
      </c>
      <c r="BL154" s="58"/>
      <c r="BM154" s="1"/>
      <c r="BN154" s="58"/>
      <c r="BO154" s="1"/>
      <c r="BP154" s="1"/>
      <c r="BQ154" s="1"/>
      <c r="BR154" s="58"/>
      <c r="BS154" s="13"/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/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8"/>
      <c r="Q155" s="85">
        <f t="shared" si="21"/>
        <v>0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/>
      <c r="Y155" s="3" t="s">
        <v>33</v>
      </c>
      <c r="Z155" s="6"/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8"/>
      <c r="AI155" s="13">
        <f t="shared" si="13"/>
        <v>0</v>
      </c>
      <c r="AK155" s="4">
        <v>46225</v>
      </c>
      <c r="AL155" s="6"/>
      <c r="AM155" s="3"/>
      <c r="AN155" s="3"/>
      <c r="AO155" s="3"/>
      <c r="AP155" s="3"/>
      <c r="AQ155" s="3"/>
      <c r="AR155" s="6"/>
      <c r="AS155" s="2">
        <v>46225</v>
      </c>
      <c r="AT155" s="14"/>
      <c r="AU155" s="14"/>
      <c r="AV155" s="14"/>
      <c r="AW155" s="14"/>
      <c r="AX155" s="14"/>
      <c r="AY155" s="14"/>
      <c r="AZ155" s="14"/>
      <c r="BA155" s="13">
        <f t="shared" si="22"/>
        <v>0</v>
      </c>
      <c r="BC155" s="4">
        <v>46225</v>
      </c>
      <c r="BD155" s="6"/>
      <c r="BE155" s="6"/>
      <c r="BF155" s="6"/>
      <c r="BG155" s="3"/>
      <c r="BH155" s="3"/>
      <c r="BI155" s="3"/>
      <c r="BJ155" s="6"/>
      <c r="BK155" s="2">
        <v>46225</v>
      </c>
      <c r="BL155" s="58"/>
      <c r="BM155" s="1"/>
      <c r="BN155" s="58"/>
      <c r="BO155" s="1"/>
      <c r="BP155" s="1"/>
      <c r="BQ155" s="1"/>
      <c r="BR155" s="58"/>
      <c r="BS155" s="13"/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/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8"/>
      <c r="Q156" s="85">
        <f t="shared" si="21"/>
        <v>0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/>
      <c r="Y156" s="3" t="s">
        <v>33</v>
      </c>
      <c r="Z156" s="6"/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8"/>
      <c r="AI156" s="13">
        <f t="shared" si="13"/>
        <v>0</v>
      </c>
      <c r="AK156" s="4">
        <v>46225</v>
      </c>
      <c r="AL156" s="6"/>
      <c r="AM156" s="3"/>
      <c r="AN156" s="3"/>
      <c r="AO156" s="3"/>
      <c r="AP156" s="3"/>
      <c r="AQ156" s="3"/>
      <c r="AR156" s="6"/>
      <c r="AS156" s="2">
        <v>46225</v>
      </c>
      <c r="AT156" s="14"/>
      <c r="AU156" s="14"/>
      <c r="AV156" s="14"/>
      <c r="AW156" s="14"/>
      <c r="AX156" s="14"/>
      <c r="AY156" s="14"/>
      <c r="AZ156" s="14"/>
      <c r="BA156" s="13">
        <f t="shared" si="22"/>
        <v>0</v>
      </c>
      <c r="BC156" s="4">
        <v>46225</v>
      </c>
      <c r="BD156" s="6"/>
      <c r="BE156" s="6"/>
      <c r="BF156" s="6"/>
      <c r="BG156" s="3"/>
      <c r="BH156" s="3"/>
      <c r="BI156" s="3"/>
      <c r="BJ156" s="6"/>
      <c r="BK156" s="2">
        <v>46225</v>
      </c>
      <c r="BL156" s="58"/>
      <c r="BM156" s="1"/>
      <c r="BN156" s="58"/>
      <c r="BO156" s="1"/>
      <c r="BP156" s="1"/>
      <c r="BQ156" s="1"/>
      <c r="BR156" s="58"/>
      <c r="BS156" s="13"/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/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8"/>
      <c r="Q157" s="85">
        <f t="shared" si="21"/>
        <v>0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/>
      <c r="Y157" s="3" t="s">
        <v>33</v>
      </c>
      <c r="Z157" s="6"/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8"/>
      <c r="AI157" s="13">
        <f t="shared" si="13"/>
        <v>0</v>
      </c>
      <c r="AK157" s="4">
        <v>46225</v>
      </c>
      <c r="AL157" s="6"/>
      <c r="AM157" s="3"/>
      <c r="AN157" s="3"/>
      <c r="AO157" s="3"/>
      <c r="AP157" s="3"/>
      <c r="AQ157" s="3"/>
      <c r="AR157" s="6"/>
      <c r="AS157" s="2">
        <v>46225</v>
      </c>
      <c r="AT157" s="14"/>
      <c r="AU157" s="14"/>
      <c r="AV157" s="14"/>
      <c r="AW157" s="14"/>
      <c r="AX157" s="14"/>
      <c r="AY157" s="14"/>
      <c r="AZ157" s="14"/>
      <c r="BA157" s="13">
        <f t="shared" si="22"/>
        <v>0</v>
      </c>
      <c r="BC157" s="4">
        <v>46225</v>
      </c>
      <c r="BD157" s="6"/>
      <c r="BE157" s="6"/>
      <c r="BF157" s="6"/>
      <c r="BG157" s="3"/>
      <c r="BH157" s="3"/>
      <c r="BI157" s="3"/>
      <c r="BJ157" s="6"/>
      <c r="BK157" s="2">
        <v>46225</v>
      </c>
      <c r="BL157" s="58"/>
      <c r="BM157" s="1"/>
      <c r="BN157" s="58"/>
      <c r="BO157" s="1"/>
      <c r="BP157" s="1"/>
      <c r="BQ157" s="1"/>
      <c r="BR157" s="58"/>
      <c r="BS157" s="13"/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4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40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39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38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37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36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35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34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33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32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31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30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29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28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27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26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25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24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6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5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5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3.5900000000000001E-2</v>
      </c>
      <c r="E3" s="55">
        <v>3.9899999999999998E-2</v>
      </c>
      <c r="F3" s="55">
        <v>4.19E-2</v>
      </c>
      <c r="G3" s="55">
        <v>5.0999999999999997E-2</v>
      </c>
      <c r="H3" s="53">
        <v>4.1300000000000003E-2</v>
      </c>
      <c r="I3" s="74">
        <f>(1+H3/365)^365-1</f>
        <v>4.2162273169587428E-2</v>
      </c>
      <c r="J3" s="75"/>
      <c r="K3" s="68">
        <f>'Daily Data'!AR152</f>
        <v>1.6299999999999999E-2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Data'!Z152</f>
        <v>5.8000000000000031E-3</v>
      </c>
    </row>
    <row r="5" spans="1:11" ht="23.15" customHeight="1" x14ac:dyDescent="0.5">
      <c r="A5" s="51" t="s">
        <v>17</v>
      </c>
      <c r="B5" s="56">
        <v>4.65E-2</v>
      </c>
      <c r="C5" s="56">
        <f t="shared" ref="C5:G5" si="2">((1+$I5)^(C2/365)-1)*365/C2</f>
        <v>3.902709788137345E-2</v>
      </c>
      <c r="D5" s="56">
        <v>5.5800000000000002E-2</v>
      </c>
      <c r="E5" s="56">
        <f t="shared" si="2"/>
        <v>3.9123184467448412E-2</v>
      </c>
      <c r="F5" s="56">
        <f t="shared" si="2"/>
        <v>3.9186019544723498E-2</v>
      </c>
      <c r="G5" s="56">
        <f t="shared" si="2"/>
        <v>3.9375333204310747E-2</v>
      </c>
      <c r="H5" s="57">
        <v>3.9E-2</v>
      </c>
      <c r="I5" s="74">
        <f t="shared" si="1"/>
        <v>3.9768317380816542E-2</v>
      </c>
      <c r="J5" s="75"/>
      <c r="K5" s="68">
        <f>H5-'Daily Data'!BJ152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2.2800000000000001E-2</v>
      </c>
      <c r="C7" s="56">
        <f t="shared" ref="C7:G7" si="4">((1+$I7)^(C2/365)-1)*365/C2</f>
        <v>1.8506096098917433E-2</v>
      </c>
      <c r="D7" s="56">
        <v>1.7899999999999999E-2</v>
      </c>
      <c r="E7" s="56">
        <f t="shared" si="4"/>
        <v>1.852768842656588E-2</v>
      </c>
      <c r="F7" s="56">
        <f t="shared" si="4"/>
        <v>1.8541788475384728E-2</v>
      </c>
      <c r="G7" s="56">
        <f t="shared" si="4"/>
        <v>1.8584174520299417E-2</v>
      </c>
      <c r="H7" s="53">
        <v>1.8499999999999999E-2</v>
      </c>
      <c r="I7" s="74">
        <f t="shared" si="1"/>
        <v>1.8671707596081832E-2</v>
      </c>
      <c r="J7" s="75"/>
      <c r="K7" s="68">
        <f>H7-1.06%</f>
        <v>7.899999999999999E-3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Data'!H152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tabSelected="1"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3.5000000000000003E-2</v>
      </c>
      <c r="D3" s="55">
        <v>3.49E-2</v>
      </c>
      <c r="E3" s="55">
        <v>3.9899999999999998E-2</v>
      </c>
      <c r="F3" s="55">
        <v>0.04</v>
      </c>
      <c r="G3" s="55">
        <v>5.0799999999999998E-2</v>
      </c>
      <c r="H3" s="53">
        <v>4.1799999999999997E-2</v>
      </c>
      <c r="I3" s="74">
        <f>(1+H3/365)^365-1</f>
        <v>4.2683425257684871E-2</v>
      </c>
      <c r="J3" s="75"/>
      <c r="K3" s="68">
        <f>H3-'Daily Data'!AR153</f>
        <v>2.5399999999999995E-2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3.9627938259787179E-2</v>
      </c>
      <c r="D5" s="56">
        <v>5.67E-2</v>
      </c>
      <c r="E5" s="56">
        <f t="shared" si="2"/>
        <v>3.9727007955192142E-2</v>
      </c>
      <c r="F5" s="56">
        <f t="shared" si="2"/>
        <v>3.9791796513491108E-2</v>
      </c>
      <c r="G5" s="56">
        <f t="shared" si="2"/>
        <v>3.9987008617983807E-2</v>
      </c>
      <c r="H5" s="57">
        <v>3.9600000000000003E-2</v>
      </c>
      <c r="I5" s="74">
        <f t="shared" si="1"/>
        <v>4.0392298362033729E-2</v>
      </c>
      <c r="J5" s="75"/>
      <c r="K5" s="68">
        <f>H5-'Daily Data'!BJ153</f>
        <v>2.4900000000000005E-2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2.7199999999999998E-2</v>
      </c>
      <c r="C7" s="56">
        <f t="shared" ref="C7:G7" si="4">((1+$I7)^(C2/365)-1)*365/C2</f>
        <v>2.2108699819147599E-2</v>
      </c>
      <c r="D7" s="56">
        <v>2.1299999999999999E-2</v>
      </c>
      <c r="E7" s="56">
        <f t="shared" si="4"/>
        <v>2.2139520481008534E-2</v>
      </c>
      <c r="F7" s="56">
        <f t="shared" si="4"/>
        <v>2.2159651773910487E-2</v>
      </c>
      <c r="G7" s="56">
        <f t="shared" si="4"/>
        <v>2.2220192205426197E-2</v>
      </c>
      <c r="H7" s="57">
        <v>2.2100000000000002E-2</v>
      </c>
      <c r="I7" s="74">
        <f t="shared" si="1"/>
        <v>2.2345329982560003E-2</v>
      </c>
      <c r="J7" s="75"/>
      <c r="K7" s="68">
        <f>H7-1.06%</f>
        <v>1.1500000000000002E-2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Data'!H153</f>
        <v>2.2899999999999997E-2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128</vt:i4>
      </vt:variant>
    </vt:vector>
  </HeadingPairs>
  <TitlesOfParts>
    <vt:vector size="128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2026-07-23T07:15:49Z</dcterms:modified>
</cp:coreProperties>
</file>